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120-P-PRD-DI\Documents Network Produksi - PM\11. NOVEMBER\"/>
    </mc:Choice>
  </mc:AlternateContent>
  <bookViews>
    <workbookView xWindow="-105" yWindow="-105" windowWidth="20730" windowHeight="11760" tabRatio="930" activeTab="4"/>
  </bookViews>
  <sheets>
    <sheet name="Report1" sheetId="48" r:id="rId1"/>
    <sheet name="GRAFIK" sheetId="50" r:id="rId2"/>
    <sheet name="Listrik" sheetId="45" r:id="rId3"/>
    <sheet name="Trim Rwd" sheetId="47" r:id="rId4"/>
    <sheet name="Efficiency1" sheetId="46" r:id="rId5"/>
    <sheet name="Efficiency2" sheetId="57" r:id="rId6"/>
    <sheet name="Chem" sheetId="1" r:id="rId7"/>
    <sheet name="RBP" sheetId="54" r:id="rId8"/>
    <sheet name="BB" sheetId="2" r:id="rId9"/>
    <sheet name="Sheet1" sheetId="56" r:id="rId10"/>
    <sheet name="summary" sheetId="55"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 r:id="rId44"/>
    <externalReference r:id="rId45"/>
  </externalReferences>
  <definedNames>
    <definedName name="_xlnm._FilterDatabase" localSheetId="9" hidden="1">Sheet1!$B$1:$F$121</definedName>
    <definedName name="_xlnm.Print_Area" localSheetId="40">'1'!$A$2:$M$61</definedName>
    <definedName name="_xlnm.Print_Area" localSheetId="31">'10'!$A$2:$M$61</definedName>
    <definedName name="_xlnm.Print_Area" localSheetId="30">'11'!$A$2:$M$61</definedName>
    <definedName name="_xlnm.Print_Area" localSheetId="29">'12'!$A$2:$M$61</definedName>
    <definedName name="_xlnm.Print_Area" localSheetId="28">'13'!$A$1:$M$62</definedName>
    <definedName name="_xlnm.Print_Area" localSheetId="27">'14'!$A$1:$M$61</definedName>
    <definedName name="_xlnm.Print_Area" localSheetId="26">'15'!$A$1:$M$61</definedName>
    <definedName name="_xlnm.Print_Area" localSheetId="24">'17'!$A$1:$M$61</definedName>
    <definedName name="_xlnm.Print_Area" localSheetId="23">'18'!$A$1:$M$61</definedName>
    <definedName name="_xlnm.Print_Area" localSheetId="22">'19'!$A$1:$M$61</definedName>
    <definedName name="_xlnm.Print_Area" localSheetId="39">'2'!$A$2:$M$61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'31'!$A$1:$L$63</definedName>
    <definedName name="_xlnm.Print_Area" localSheetId="37">'4'!$A$1:$M$61</definedName>
    <definedName name="_xlnm.Print_Area" localSheetId="36">'5'!$A$1:$M$61</definedName>
    <definedName name="_xlnm.Print_Area" localSheetId="35">'6'!$A$2:$M$61</definedName>
    <definedName name="_xlnm.Print_Area" localSheetId="34">'7'!$A$2:$M$61</definedName>
    <definedName name="_xlnm.Print_Area" localSheetId="33">'8'!$A$2:$M$61</definedName>
    <definedName name="_xlnm.Print_Area" localSheetId="32">'9'!$A$1:$M$62</definedName>
    <definedName name="_xlnm.Print_Area" localSheetId="6">Chem!$CE$6:$CQ$15</definedName>
    <definedName name="_xlnm.Print_Area" localSheetId="4">Efficiency1!$A$1:$AD$168</definedName>
    <definedName name="_xlnm.Print_Area" localSheetId="5">Efficiency2!$A$1:$AD$168</definedName>
    <definedName name="_xlnm.Print_Area" localSheetId="2">Listrik!$A$2:$AT$40</definedName>
    <definedName name="_xlnm.Print_Area" localSheetId="0">Report1!$A$3:$AK$41</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63" i="57" l="1"/>
  <c r="H163" i="57" s="1"/>
  <c r="N160" i="57"/>
  <c r="H160" i="57" s="1"/>
  <c r="N159" i="57"/>
  <c r="H159" i="57" s="1"/>
  <c r="N155" i="57"/>
  <c r="H155" i="57" s="1"/>
  <c r="N154" i="57"/>
  <c r="H154" i="57" s="1"/>
  <c r="N151" i="57"/>
  <c r="H151" i="57" s="1"/>
  <c r="N150" i="57"/>
  <c r="H150" i="57" s="1"/>
  <c r="N146" i="57"/>
  <c r="H146" i="57" s="1"/>
  <c r="N142" i="57"/>
  <c r="H142" i="57" s="1"/>
  <c r="N141" i="57"/>
  <c r="H141" i="57" s="1"/>
  <c r="N136" i="57"/>
  <c r="H136" i="57" s="1"/>
  <c r="N134" i="57"/>
  <c r="H134" i="57" s="1"/>
  <c r="N133" i="57"/>
  <c r="H133" i="57" s="1"/>
  <c r="N132" i="57"/>
  <c r="H132" i="57" s="1"/>
  <c r="N128" i="57"/>
  <c r="H128" i="57" s="1"/>
  <c r="N127" i="57"/>
  <c r="H127" i="57" s="1"/>
  <c r="N124" i="57"/>
  <c r="H124" i="57" s="1"/>
  <c r="N123" i="57"/>
  <c r="H123" i="57" s="1"/>
  <c r="N122" i="57"/>
  <c r="H122" i="57" s="1"/>
  <c r="N118" i="57"/>
  <c r="H118" i="57" s="1"/>
  <c r="N117" i="57"/>
  <c r="H117" i="57" s="1"/>
  <c r="N112" i="57"/>
  <c r="H112" i="57" s="1"/>
  <c r="N108" i="57"/>
  <c r="H108" i="57" s="1"/>
  <c r="K108" i="57" s="1"/>
  <c r="C108" i="57"/>
  <c r="N107" i="57"/>
  <c r="H107" i="57" s="1"/>
  <c r="J107" i="57" s="1"/>
  <c r="N102" i="57"/>
  <c r="H102" i="57" s="1"/>
  <c r="N96" i="57"/>
  <c r="H96" i="57" s="1"/>
  <c r="N90" i="57"/>
  <c r="H90" i="57"/>
  <c r="J90" i="57" s="1"/>
  <c r="N84" i="57"/>
  <c r="H84" i="57" s="1"/>
  <c r="J84" i="57" s="1"/>
  <c r="N78" i="57"/>
  <c r="H78" i="57"/>
  <c r="N72" i="57"/>
  <c r="H72" i="57" s="1"/>
  <c r="N66" i="57"/>
  <c r="H66" i="57" s="1"/>
  <c r="J66" i="57" s="1"/>
  <c r="N60" i="57"/>
  <c r="H60" i="57"/>
  <c r="J60" i="57" s="1"/>
  <c r="N54" i="57"/>
  <c r="H54" i="57" s="1"/>
  <c r="N48" i="57"/>
  <c r="H48" i="57" s="1"/>
  <c r="N42" i="57"/>
  <c r="H42" i="57" s="1"/>
  <c r="J42" i="57" s="1"/>
  <c r="N36" i="57"/>
  <c r="H36" i="57" s="1"/>
  <c r="J36" i="57" s="1"/>
  <c r="N30" i="57"/>
  <c r="H30" i="57" s="1"/>
  <c r="N24" i="57"/>
  <c r="H24" i="57" s="1"/>
  <c r="N18" i="57"/>
  <c r="H18" i="57" s="1"/>
  <c r="J18" i="57" s="1"/>
  <c r="N12" i="57"/>
  <c r="H12" i="57" s="1"/>
  <c r="N6" i="57"/>
  <c r="H6" i="57" s="1"/>
  <c r="A6" i="57"/>
  <c r="Z155" i="57"/>
  <c r="Z154" i="57"/>
  <c r="Z151" i="57"/>
  <c r="Z142" i="57"/>
  <c r="Z141" i="57"/>
  <c r="Z136" i="57"/>
  <c r="Z133" i="57"/>
  <c r="Z132" i="57"/>
  <c r="Z123" i="57"/>
  <c r="Z122" i="57"/>
  <c r="Z117" i="57"/>
  <c r="Z12" i="57"/>
  <c r="Z6" i="57"/>
  <c r="J12" i="57" l="1"/>
  <c r="J163" i="57"/>
  <c r="J133" i="57"/>
  <c r="J24" i="57"/>
  <c r="J141" i="57"/>
  <c r="J128" i="57"/>
  <c r="J150" i="57"/>
  <c r="J96" i="57"/>
  <c r="J154" i="57"/>
  <c r="J124" i="57"/>
  <c r="J142" i="57"/>
  <c r="J72" i="57"/>
  <c r="J112" i="57"/>
  <c r="J132" i="57"/>
  <c r="J151" i="57"/>
  <c r="J117" i="57"/>
  <c r="J160" i="57"/>
  <c r="J48" i="57"/>
  <c r="J123" i="57"/>
  <c r="J122" i="57"/>
  <c r="J136" i="57"/>
  <c r="J159" i="57"/>
  <c r="J108" i="57"/>
  <c r="J118" i="57"/>
  <c r="J127" i="57"/>
  <c r="J134" i="57"/>
  <c r="J146" i="57"/>
  <c r="J155" i="57"/>
  <c r="J6" i="57"/>
  <c r="J30" i="57"/>
  <c r="J54" i="57"/>
  <c r="J78" i="57"/>
  <c r="J102" i="57"/>
  <c r="AP38" i="48" l="1"/>
  <c r="AP37" i="48"/>
  <c r="AR165" i="57"/>
  <c r="BA165" i="57" s="1"/>
  <c r="AM165" i="57"/>
  <c r="AC165" i="57"/>
  <c r="AR164" i="57"/>
  <c r="BA164" i="57" s="1"/>
  <c r="AM164" i="57"/>
  <c r="AC164" i="57"/>
  <c r="AR163" i="57"/>
  <c r="BA163" i="57" s="1"/>
  <c r="AM163" i="57"/>
  <c r="AR161" i="57"/>
  <c r="BA161" i="57" s="1"/>
  <c r="AM161" i="57"/>
  <c r="AC161" i="57"/>
  <c r="AR160" i="57"/>
  <c r="BA160" i="57" s="1"/>
  <c r="AM160" i="57"/>
  <c r="AR159" i="57"/>
  <c r="BA159" i="57" s="1"/>
  <c r="AM159" i="57"/>
  <c r="K7" i="37"/>
  <c r="W159" i="57" s="1"/>
  <c r="W159" i="46"/>
  <c r="N160" i="46"/>
  <c r="H160" i="46" s="1"/>
  <c r="E77" i="47"/>
  <c r="G77" i="47" s="1"/>
  <c r="H77" i="47" s="1"/>
  <c r="O163" i="57" s="1"/>
  <c r="U163" i="57" s="1"/>
  <c r="F74" i="47"/>
  <c r="E75" i="47"/>
  <c r="G75" i="47" s="1"/>
  <c r="E74" i="47"/>
  <c r="G74" i="47" s="1"/>
  <c r="E73" i="47"/>
  <c r="G73" i="47" s="1"/>
  <c r="H73" i="47" s="1"/>
  <c r="O159" i="57" s="1"/>
  <c r="V159" i="57" s="1"/>
  <c r="AD165" i="57" l="1"/>
  <c r="O163" i="46"/>
  <c r="AD161" i="57"/>
  <c r="C159" i="57"/>
  <c r="K159" i="57"/>
  <c r="U159" i="57"/>
  <c r="V163" i="57"/>
  <c r="C163" i="57"/>
  <c r="K163" i="57"/>
  <c r="BA38" i="48" s="1"/>
  <c r="AD159" i="57"/>
  <c r="AD160" i="57"/>
  <c r="O159" i="46"/>
  <c r="AD163" i="57"/>
  <c r="AD164" i="57"/>
  <c r="T159" i="57"/>
  <c r="P163" i="57"/>
  <c r="P159" i="57"/>
  <c r="T163" i="57"/>
  <c r="J160" i="46"/>
  <c r="H74" i="47"/>
  <c r="O160" i="57" l="1"/>
  <c r="O160" i="46"/>
  <c r="AC159" i="57"/>
  <c r="AC163" i="57"/>
  <c r="C160" i="57" l="1"/>
  <c r="K160" i="57"/>
  <c r="BA37" i="48" s="1"/>
  <c r="V160" i="57"/>
  <c r="P160" i="57"/>
  <c r="U160" i="57"/>
  <c r="T160" i="57"/>
  <c r="AC160" i="57" s="1"/>
  <c r="C160" i="46"/>
  <c r="K160" i="46"/>
  <c r="V160" i="46"/>
  <c r="T160" i="46"/>
  <c r="P160" i="46"/>
  <c r="U160" i="46"/>
  <c r="C8" i="37"/>
  <c r="K8" i="37" s="1"/>
  <c r="W160" i="46" l="1"/>
  <c r="W160" i="57"/>
  <c r="X159" i="57" s="1"/>
  <c r="AA39" i="2"/>
  <c r="W39" i="2"/>
  <c r="Y39" i="2" s="1"/>
  <c r="G39" i="2"/>
  <c r="AE38" i="2"/>
  <c r="AA38" i="2"/>
  <c r="W38" i="2"/>
  <c r="Y38" i="2" s="1"/>
  <c r="Y11" i="2"/>
  <c r="Y12" i="2"/>
  <c r="Y13" i="2"/>
  <c r="Y14" i="2"/>
  <c r="Y15" i="2"/>
  <c r="Y16" i="2"/>
  <c r="Y17" i="2"/>
  <c r="Y18" i="2"/>
  <c r="Y19" i="2"/>
  <c r="Y20" i="2"/>
  <c r="Y21" i="2"/>
  <c r="Y22" i="2"/>
  <c r="Y23" i="2"/>
  <c r="Y27" i="2"/>
  <c r="Y28" i="2"/>
  <c r="Y29" i="2"/>
  <c r="Y30" i="2"/>
  <c r="Y31" i="2"/>
  <c r="Y32" i="2"/>
  <c r="Y33" i="2"/>
  <c r="Y34" i="2"/>
  <c r="Y35" i="2"/>
  <c r="Y36" i="2"/>
  <c r="Y37" i="2"/>
  <c r="Y40" i="2"/>
  <c r="G38" i="2"/>
  <c r="AE11" i="54" l="1"/>
  <c r="AD4" i="54"/>
  <c r="AD3" i="54"/>
  <c r="AD1" i="54"/>
  <c r="AE4" i="54"/>
  <c r="AE3" i="54"/>
  <c r="U163" i="46" l="1"/>
  <c r="N163" i="46"/>
  <c r="AR165" i="46"/>
  <c r="BA165" i="46" s="1"/>
  <c r="AM165" i="46"/>
  <c r="AC165" i="46"/>
  <c r="AR164" i="46"/>
  <c r="BA164" i="46" s="1"/>
  <c r="AM164" i="46"/>
  <c r="AR163" i="46"/>
  <c r="BA163" i="46" s="1"/>
  <c r="AM163" i="46"/>
  <c r="U159" i="46"/>
  <c r="N159" i="46"/>
  <c r="H159" i="46" s="1"/>
  <c r="AR161" i="46"/>
  <c r="BA161" i="46" s="1"/>
  <c r="AM161" i="46"/>
  <c r="AC161" i="46"/>
  <c r="AR160" i="46"/>
  <c r="BA160" i="46" s="1"/>
  <c r="AM160" i="46"/>
  <c r="AC160" i="46"/>
  <c r="AR159" i="46"/>
  <c r="BA159" i="46" s="1"/>
  <c r="AM159" i="46"/>
  <c r="I38" i="4"/>
  <c r="I77" i="47" s="1"/>
  <c r="F9" i="37"/>
  <c r="I38" i="37"/>
  <c r="I73" i="47" s="1"/>
  <c r="O39" i="37"/>
  <c r="O40" i="37" s="1"/>
  <c r="AA35" i="37"/>
  <c r="AA36" i="37" s="1"/>
  <c r="AB30" i="37"/>
  <c r="Z30" i="37"/>
  <c r="AC30" i="37" s="1"/>
  <c r="AB29" i="37"/>
  <c r="Z29" i="37"/>
  <c r="AC29" i="37" s="1"/>
  <c r="AC28" i="37"/>
  <c r="AB28" i="37"/>
  <c r="AB27" i="37"/>
  <c r="Z27" i="37"/>
  <c r="AC27" i="37" s="1"/>
  <c r="Z17" i="37"/>
  <c r="AC17" i="37" s="1"/>
  <c r="AB20" i="37"/>
  <c r="Z20" i="37"/>
  <c r="AC20" i="37" s="1"/>
  <c r="AB19" i="37"/>
  <c r="Z19" i="37"/>
  <c r="AC19" i="37" s="1"/>
  <c r="AA25" i="37"/>
  <c r="AA26" i="37" s="1"/>
  <c r="AC18" i="37"/>
  <c r="AB17" i="37"/>
  <c r="AA7" i="37"/>
  <c r="AA6" i="37"/>
  <c r="AB6" i="37" s="1"/>
  <c r="Z7" i="37"/>
  <c r="AB9" i="37"/>
  <c r="Z9" i="37"/>
  <c r="AC9" i="37" s="1"/>
  <c r="AB8" i="37"/>
  <c r="Z8" i="37"/>
  <c r="AC8" i="37" s="1"/>
  <c r="Z6" i="37"/>
  <c r="AC6" i="37" s="1"/>
  <c r="AB35" i="37" l="1"/>
  <c r="AB36" i="37" s="1"/>
  <c r="AC35" i="37"/>
  <c r="AC36" i="37" s="1"/>
  <c r="AD159" i="46"/>
  <c r="AD160" i="46"/>
  <c r="V163" i="46"/>
  <c r="AD165" i="46"/>
  <c r="AD164" i="46"/>
  <c r="T163" i="46"/>
  <c r="P163" i="46"/>
  <c r="C163" i="46"/>
  <c r="N38" i="48" s="1"/>
  <c r="H163" i="46"/>
  <c r="AC164" i="46"/>
  <c r="AD163" i="46"/>
  <c r="V159" i="46"/>
  <c r="K159" i="46"/>
  <c r="J159" i="46"/>
  <c r="P159" i="46"/>
  <c r="C159" i="46"/>
  <c r="N37" i="48" s="1"/>
  <c r="T159" i="46"/>
  <c r="AD161" i="46"/>
  <c r="AC25" i="37"/>
  <c r="AC26" i="37" s="1"/>
  <c r="AB18" i="37"/>
  <c r="AB25" i="37" s="1"/>
  <c r="AB26" i="37" s="1"/>
  <c r="AC7" i="37"/>
  <c r="AC14" i="37" s="1"/>
  <c r="AA14" i="37"/>
  <c r="AA15" i="37" s="1"/>
  <c r="AB7" i="37"/>
  <c r="AB14" i="37" s="1"/>
  <c r="AB4" i="54"/>
  <c r="AB3" i="54"/>
  <c r="AC4" i="54"/>
  <c r="AC3" i="54"/>
  <c r="AB15" i="37" l="1"/>
  <c r="L37" i="48"/>
  <c r="X159" i="46"/>
  <c r="K163" i="46"/>
  <c r="L38" i="48" s="1"/>
  <c r="J163" i="46"/>
  <c r="AC159" i="46"/>
  <c r="AC15" i="37"/>
  <c r="AG4" i="54"/>
  <c r="AG3" i="54"/>
  <c r="AC157" i="57"/>
  <c r="AC156" i="57"/>
  <c r="AC152" i="57"/>
  <c r="AC148" i="57"/>
  <c r="AC147" i="57"/>
  <c r="AC143" i="57"/>
  <c r="AC138" i="57"/>
  <c r="AC137" i="57"/>
  <c r="W108" i="57"/>
  <c r="Y163" i="46" l="1"/>
  <c r="Y163" i="57"/>
  <c r="AC163" i="46"/>
  <c r="AR157" i="57" l="1"/>
  <c r="BA157" i="57" s="1"/>
  <c r="AM157" i="57"/>
  <c r="AD157" i="57" s="1"/>
  <c r="AR156" i="57"/>
  <c r="BA156" i="57" s="1"/>
  <c r="AM156" i="57"/>
  <c r="AR155" i="57"/>
  <c r="BA155" i="57" s="1"/>
  <c r="AM155" i="57"/>
  <c r="AR154" i="57"/>
  <c r="BA154" i="57" s="1"/>
  <c r="AM154" i="57"/>
  <c r="Q154" i="57"/>
  <c r="AR152" i="57"/>
  <c r="BA152" i="57" s="1"/>
  <c r="AM152" i="57"/>
  <c r="AR151" i="57"/>
  <c r="BA151" i="57" s="1"/>
  <c r="AM151" i="57"/>
  <c r="S151" i="57"/>
  <c r="AR150" i="57"/>
  <c r="BA150" i="57" s="1"/>
  <c r="AM150" i="57"/>
  <c r="AD154" i="57" l="1"/>
  <c r="AD156" i="57"/>
  <c r="AD152" i="57"/>
  <c r="AD150" i="57"/>
  <c r="AD155" i="57"/>
  <c r="AD151" i="57"/>
  <c r="AP36" i="48" l="1"/>
  <c r="AC157" i="46"/>
  <c r="AM157" i="46"/>
  <c r="AR157" i="46"/>
  <c r="BA157" i="46" s="1"/>
  <c r="AD157" i="46" l="1"/>
  <c r="Z154" i="46"/>
  <c r="C17" i="6"/>
  <c r="K8" i="6" s="1"/>
  <c r="C16" i="6"/>
  <c r="K7" i="6" s="1"/>
  <c r="F71" i="47"/>
  <c r="F70" i="47"/>
  <c r="E71" i="47"/>
  <c r="G71" i="47" s="1"/>
  <c r="H71" i="47" s="1"/>
  <c r="O155" i="57" s="1"/>
  <c r="E70" i="47"/>
  <c r="W154" i="57" l="1"/>
  <c r="W154" i="46"/>
  <c r="W155" i="57"/>
  <c r="W155" i="46"/>
  <c r="C155" i="57"/>
  <c r="K155" i="57"/>
  <c r="AC155" i="57" s="1"/>
  <c r="U155" i="57"/>
  <c r="V155" i="57"/>
  <c r="T155" i="57"/>
  <c r="P155" i="57"/>
  <c r="O155" i="46"/>
  <c r="G70" i="47"/>
  <c r="H70" i="47" s="1"/>
  <c r="O154" i="57" l="1"/>
  <c r="O154" i="46"/>
  <c r="AE37" i="2"/>
  <c r="AA37" i="2"/>
  <c r="G37" i="2"/>
  <c r="C154" i="57" l="1"/>
  <c r="K154" i="57"/>
  <c r="T154" i="57"/>
  <c r="V154" i="57"/>
  <c r="U154" i="57"/>
  <c r="P154" i="57"/>
  <c r="Q154" i="46"/>
  <c r="T155" i="46"/>
  <c r="N155" i="46"/>
  <c r="H155" i="46" s="1"/>
  <c r="N154" i="46"/>
  <c r="AR156" i="46"/>
  <c r="BA156" i="46" s="1"/>
  <c r="AM156" i="46"/>
  <c r="AC156" i="46"/>
  <c r="AR155" i="46"/>
  <c r="BA155" i="46" s="1"/>
  <c r="AD155" i="46" s="1"/>
  <c r="AM155" i="46"/>
  <c r="Z155" i="46"/>
  <c r="AR154" i="46"/>
  <c r="BA154" i="46" s="1"/>
  <c r="AM154" i="46"/>
  <c r="F26" i="6"/>
  <c r="F17" i="6"/>
  <c r="F9" i="6"/>
  <c r="AC154" i="57" l="1"/>
  <c r="BA36" i="48"/>
  <c r="X154" i="57"/>
  <c r="C155" i="46"/>
  <c r="V154" i="46"/>
  <c r="T154" i="46"/>
  <c r="AD156" i="46"/>
  <c r="AD154" i="46"/>
  <c r="P154" i="46"/>
  <c r="C154" i="46"/>
  <c r="H154" i="46"/>
  <c r="P155" i="46"/>
  <c r="V155" i="46"/>
  <c r="K155" i="46"/>
  <c r="AC155" i="46" s="1"/>
  <c r="J155" i="46"/>
  <c r="U155" i="46"/>
  <c r="U154" i="46"/>
  <c r="I38" i="6"/>
  <c r="I70" i="47" s="1"/>
  <c r="AA41" i="6"/>
  <c r="AI21" i="6"/>
  <c r="AG21" i="6"/>
  <c r="AJ21" i="6" s="1"/>
  <c r="AI19" i="6"/>
  <c r="AJ19" i="6"/>
  <c r="AI18" i="6"/>
  <c r="AJ18" i="6"/>
  <c r="AJ10" i="6"/>
  <c r="AI10" i="6"/>
  <c r="AI9" i="6"/>
  <c r="AJ9" i="6"/>
  <c r="AH8" i="6"/>
  <c r="AI8" i="6" s="1"/>
  <c r="AG8" i="6"/>
  <c r="AH7" i="6"/>
  <c r="AG7" i="6"/>
  <c r="AH6" i="6"/>
  <c r="AI6" i="6" s="1"/>
  <c r="AG6" i="6"/>
  <c r="G42" i="6"/>
  <c r="I37" i="6" s="1"/>
  <c r="F42" i="6"/>
  <c r="M42" i="6"/>
  <c r="AA28" i="6"/>
  <c r="AC28" i="6" s="1"/>
  <c r="AA27" i="6"/>
  <c r="Z28" i="6"/>
  <c r="AB30" i="6"/>
  <c r="Z30" i="6"/>
  <c r="AC30" i="6" s="1"/>
  <c r="Z29" i="6"/>
  <c r="AB27" i="6"/>
  <c r="Z27" i="6"/>
  <c r="AA17" i="6"/>
  <c r="AB17" i="6" s="1"/>
  <c r="AA18" i="6"/>
  <c r="AB18" i="6" s="1"/>
  <c r="Z18" i="6"/>
  <c r="Z19" i="6"/>
  <c r="AB20" i="6"/>
  <c r="Z20" i="6"/>
  <c r="AC20" i="6" s="1"/>
  <c r="Z17" i="6"/>
  <c r="AA8" i="6"/>
  <c r="Z7" i="6"/>
  <c r="Z8" i="6"/>
  <c r="AA7" i="6"/>
  <c r="AA6" i="6"/>
  <c r="AB6" i="6" s="1"/>
  <c r="AB9" i="6"/>
  <c r="Z9" i="6"/>
  <c r="AC9" i="6" s="1"/>
  <c r="AB8" i="6"/>
  <c r="Z6" i="6"/>
  <c r="AC27" i="6" l="1"/>
  <c r="AJ6" i="6"/>
  <c r="AC18" i="6"/>
  <c r="N36" i="48"/>
  <c r="AJ8" i="6"/>
  <c r="AA14" i="6"/>
  <c r="AA15" i="6" s="1"/>
  <c r="AC6" i="6"/>
  <c r="AC14" i="6" s="1"/>
  <c r="AC15" i="6" s="1"/>
  <c r="AA19" i="6"/>
  <c r="AB19" i="6" s="1"/>
  <c r="AB25" i="6" s="1"/>
  <c r="AJ7" i="6"/>
  <c r="AH14" i="6"/>
  <c r="AH15" i="6" s="1"/>
  <c r="K154" i="46"/>
  <c r="L36" i="48" s="1"/>
  <c r="J154" i="46"/>
  <c r="AI20" i="6"/>
  <c r="AI26" i="6" s="1"/>
  <c r="AI7" i="6"/>
  <c r="AI14" i="6" s="1"/>
  <c r="AI15" i="6" s="1"/>
  <c r="AB28" i="6"/>
  <c r="AA29" i="6"/>
  <c r="AC17" i="6"/>
  <c r="AC8" i="6"/>
  <c r="AC7" i="6"/>
  <c r="AB7" i="6"/>
  <c r="AB14" i="6" s="1"/>
  <c r="AB15" i="6" s="1"/>
  <c r="AR148" i="57"/>
  <c r="BA148" i="57" s="1"/>
  <c r="AM148" i="57"/>
  <c r="AR147" i="57"/>
  <c r="BA147" i="57" s="1"/>
  <c r="AM147" i="57"/>
  <c r="AD147" i="57" s="1"/>
  <c r="AR146" i="57"/>
  <c r="BA146" i="57" s="1"/>
  <c r="AM146" i="57"/>
  <c r="AD146" i="57" s="1"/>
  <c r="AC19" i="6" l="1"/>
  <c r="AC25" i="6" s="1"/>
  <c r="AC26" i="6" s="1"/>
  <c r="AJ14" i="6"/>
  <c r="AJ15" i="6" s="1"/>
  <c r="AA25" i="6"/>
  <c r="AA26" i="6" s="1"/>
  <c r="AD148" i="57"/>
  <c r="X154" i="46"/>
  <c r="AC154" i="46"/>
  <c r="AH26" i="6"/>
  <c r="AH27" i="6" s="1"/>
  <c r="AJ20" i="6"/>
  <c r="AJ26" i="6" s="1"/>
  <c r="AB29" i="6"/>
  <c r="AB35" i="6" s="1"/>
  <c r="AC29" i="6"/>
  <c r="AC35" i="6" s="1"/>
  <c r="AA35" i="6"/>
  <c r="AA36" i="6" s="1"/>
  <c r="AB26" i="6"/>
  <c r="Z151" i="46"/>
  <c r="K7" i="7"/>
  <c r="W151" i="57" s="1"/>
  <c r="C8" i="7"/>
  <c r="C7" i="7"/>
  <c r="K12" i="7" s="1"/>
  <c r="F67" i="47"/>
  <c r="F68" i="47"/>
  <c r="E68" i="47"/>
  <c r="G68" i="47" s="1"/>
  <c r="H68" i="47" s="1"/>
  <c r="E67" i="47"/>
  <c r="AP35" i="48"/>
  <c r="AP34" i="48"/>
  <c r="AJ27" i="6" l="1"/>
  <c r="W150" i="57"/>
  <c r="W150" i="46"/>
  <c r="O151" i="57"/>
  <c r="O151" i="46"/>
  <c r="G67" i="47"/>
  <c r="H67" i="47" s="1"/>
  <c r="W151" i="46"/>
  <c r="AC36" i="6"/>
  <c r="AI27" i="6"/>
  <c r="AB36" i="6"/>
  <c r="C151" i="57" l="1"/>
  <c r="K151" i="57"/>
  <c r="U151" i="57"/>
  <c r="T151" i="57"/>
  <c r="P151" i="57"/>
  <c r="V151" i="57"/>
  <c r="O150" i="57"/>
  <c r="O150" i="46"/>
  <c r="AE36" i="2"/>
  <c r="AA36" i="2"/>
  <c r="G36" i="2"/>
  <c r="C150" i="57" l="1"/>
  <c r="K150" i="57"/>
  <c r="P150" i="57"/>
  <c r="T150" i="57"/>
  <c r="V150" i="57"/>
  <c r="U150" i="57"/>
  <c r="AC151" i="57"/>
  <c r="S151" i="46"/>
  <c r="P151" i="46" s="1"/>
  <c r="N151" i="46"/>
  <c r="H151" i="46" s="1"/>
  <c r="AR152" i="46"/>
  <c r="BA152" i="46" s="1"/>
  <c r="AM152" i="46"/>
  <c r="AC152" i="46"/>
  <c r="AR151" i="46"/>
  <c r="BA151" i="46" s="1"/>
  <c r="AM151" i="46"/>
  <c r="AR150" i="46"/>
  <c r="BA150" i="46" s="1"/>
  <c r="AM150" i="46"/>
  <c r="P150" i="46"/>
  <c r="N150" i="46"/>
  <c r="F17" i="7"/>
  <c r="F9" i="7"/>
  <c r="I38" i="7"/>
  <c r="I67" i="47" s="1"/>
  <c r="I37" i="7"/>
  <c r="Q42" i="7"/>
  <c r="Z11" i="7"/>
  <c r="Y11" i="7"/>
  <c r="Z10" i="7"/>
  <c r="Y10" i="7"/>
  <c r="Y9" i="7"/>
  <c r="W9" i="7"/>
  <c r="Z9" i="7" s="1"/>
  <c r="W8" i="7"/>
  <c r="Y7" i="7"/>
  <c r="W7" i="7"/>
  <c r="Z7" i="7" s="1"/>
  <c r="Y6" i="7"/>
  <c r="Z6" i="7"/>
  <c r="G42" i="7"/>
  <c r="F42" i="7"/>
  <c r="Q27" i="7"/>
  <c r="Q28" i="7" s="1"/>
  <c r="P28" i="7"/>
  <c r="R30" i="7"/>
  <c r="P30" i="7"/>
  <c r="S30" i="7" s="1"/>
  <c r="R29" i="7"/>
  <c r="P29" i="7"/>
  <c r="S29" i="7" s="1"/>
  <c r="P27" i="7"/>
  <c r="R20" i="7"/>
  <c r="P20" i="7"/>
  <c r="S20" i="7" s="1"/>
  <c r="P19" i="7"/>
  <c r="R18" i="7"/>
  <c r="P18" i="7"/>
  <c r="S18" i="7" s="1"/>
  <c r="R17" i="7"/>
  <c r="P17" i="7"/>
  <c r="S17" i="7" s="1"/>
  <c r="Q9" i="7"/>
  <c r="R9" i="7" s="1"/>
  <c r="Q7" i="7"/>
  <c r="Q6" i="7"/>
  <c r="Q8" i="7" s="1"/>
  <c r="R8" i="7" s="1"/>
  <c r="P9" i="7"/>
  <c r="P8" i="7"/>
  <c r="P7" i="7"/>
  <c r="P6" i="7"/>
  <c r="S27" i="7" l="1"/>
  <c r="R27" i="7"/>
  <c r="AD152" i="46"/>
  <c r="R28" i="7"/>
  <c r="Q35" i="7"/>
  <c r="Q36" i="7" s="1"/>
  <c r="S9" i="7"/>
  <c r="S28" i="7"/>
  <c r="S35" i="7" s="1"/>
  <c r="S36" i="7" s="1"/>
  <c r="AD150" i="46"/>
  <c r="AC150" i="57"/>
  <c r="BA35" i="48"/>
  <c r="X150" i="57"/>
  <c r="C150" i="46"/>
  <c r="U151" i="46"/>
  <c r="T150" i="46"/>
  <c r="U150" i="46"/>
  <c r="C151" i="46"/>
  <c r="V150" i="46"/>
  <c r="K151" i="46"/>
  <c r="J151" i="46"/>
  <c r="T151" i="46"/>
  <c r="V151" i="46"/>
  <c r="AD151" i="46"/>
  <c r="H150" i="46"/>
  <c r="Y8" i="7"/>
  <c r="Y14" i="7" s="1"/>
  <c r="R35" i="7"/>
  <c r="S8" i="7"/>
  <c r="R7" i="7"/>
  <c r="R6" i="7"/>
  <c r="R14" i="7" s="1"/>
  <c r="S7" i="7"/>
  <c r="Q14" i="7"/>
  <c r="Q15" i="7" s="1"/>
  <c r="S6" i="7"/>
  <c r="AA35" i="2"/>
  <c r="AE35" i="2"/>
  <c r="G35" i="2"/>
  <c r="R36" i="7" l="1"/>
  <c r="S14" i="7"/>
  <c r="N35" i="48"/>
  <c r="AC151" i="46"/>
  <c r="K150" i="46"/>
  <c r="J150" i="46"/>
  <c r="X14" i="7"/>
  <c r="X15" i="7" s="1"/>
  <c r="Z8" i="7"/>
  <c r="Z14" i="7" s="1"/>
  <c r="Z15" i="7" s="1"/>
  <c r="R19" i="7"/>
  <c r="R25" i="7" s="1"/>
  <c r="Q25" i="7"/>
  <c r="Q26" i="7" s="1"/>
  <c r="S19" i="7"/>
  <c r="S25" i="7" s="1"/>
  <c r="S15" i="7"/>
  <c r="R15" i="7"/>
  <c r="L35" i="48" l="1"/>
  <c r="X150" i="46"/>
  <c r="AC150" i="46"/>
  <c r="Y15" i="7"/>
  <c r="S26" i="7"/>
  <c r="R26" i="7"/>
  <c r="F65" i="47" l="1"/>
  <c r="F64" i="47"/>
  <c r="E65" i="47"/>
  <c r="G65" i="47" s="1"/>
  <c r="E64" i="47"/>
  <c r="G64" i="47" l="1"/>
  <c r="H64" i="47" s="1"/>
  <c r="O146" i="57" s="1"/>
  <c r="Y3" i="54"/>
  <c r="X3" i="54"/>
  <c r="W3" i="54"/>
  <c r="W4" i="54"/>
  <c r="X4" i="54"/>
  <c r="Y4" i="54"/>
  <c r="Z4" i="54"/>
  <c r="Z3" i="54"/>
  <c r="AA4" i="54"/>
  <c r="AA3" i="54"/>
  <c r="C146" i="57" l="1"/>
  <c r="K146" i="57"/>
  <c r="V146" i="57"/>
  <c r="T146" i="57"/>
  <c r="U146" i="57"/>
  <c r="P146" i="57"/>
  <c r="O146" i="46"/>
  <c r="P146" i="46" s="1"/>
  <c r="N146" i="46"/>
  <c r="AR148" i="46"/>
  <c r="BA148" i="46" s="1"/>
  <c r="AM148" i="46"/>
  <c r="AC148" i="46"/>
  <c r="AR147" i="46"/>
  <c r="BA147" i="46" s="1"/>
  <c r="AM147" i="46"/>
  <c r="AC147" i="46"/>
  <c r="AR146" i="46"/>
  <c r="BA146" i="46" s="1"/>
  <c r="AM146" i="46"/>
  <c r="F17" i="8"/>
  <c r="F9" i="8"/>
  <c r="I38" i="8"/>
  <c r="I64" i="47" s="1"/>
  <c r="G42" i="8"/>
  <c r="I37" i="8" s="1"/>
  <c r="F42" i="8"/>
  <c r="R29" i="8"/>
  <c r="P29" i="8"/>
  <c r="S29" i="8" s="1"/>
  <c r="Q28" i="8"/>
  <c r="R28" i="8" s="1"/>
  <c r="P28" i="8"/>
  <c r="R27" i="8"/>
  <c r="P27" i="8"/>
  <c r="S27" i="8" s="1"/>
  <c r="R19" i="8"/>
  <c r="P19" i="8"/>
  <c r="S19" i="8" s="1"/>
  <c r="Q18" i="8"/>
  <c r="R18" i="8" s="1"/>
  <c r="P18" i="8"/>
  <c r="R17" i="8"/>
  <c r="P17" i="8"/>
  <c r="S17" i="8" s="1"/>
  <c r="R8" i="8"/>
  <c r="P8" i="8"/>
  <c r="S8" i="8" s="1"/>
  <c r="P7" i="8"/>
  <c r="Q7" i="8"/>
  <c r="R7" i="8" s="1"/>
  <c r="P6" i="8"/>
  <c r="S6" i="8" s="1"/>
  <c r="R25" i="8" l="1"/>
  <c r="S18" i="8"/>
  <c r="R35" i="8"/>
  <c r="S28" i="8"/>
  <c r="S35" i="8" s="1"/>
  <c r="S36" i="8" s="1"/>
  <c r="S25" i="8"/>
  <c r="AD146" i="46"/>
  <c r="Q35" i="8"/>
  <c r="Q36" i="8" s="1"/>
  <c r="AC146" i="57"/>
  <c r="V146" i="46"/>
  <c r="AD148" i="46"/>
  <c r="C146" i="46"/>
  <c r="N34" i="48" s="1"/>
  <c r="T146" i="46"/>
  <c r="H146" i="46"/>
  <c r="U146" i="46"/>
  <c r="AD147" i="46"/>
  <c r="Q25" i="8"/>
  <c r="Q26" i="8" s="1"/>
  <c r="S7" i="8"/>
  <c r="S14" i="8" s="1"/>
  <c r="R6" i="8"/>
  <c r="R14" i="8" s="1"/>
  <c r="Q14" i="8"/>
  <c r="Q15" i="8" s="1"/>
  <c r="R36" i="8" l="1"/>
  <c r="BA34" i="48"/>
  <c r="J146" i="46"/>
  <c r="K146" i="46"/>
  <c r="R26" i="8"/>
  <c r="S26" i="8"/>
  <c r="R15" i="8"/>
  <c r="S15" i="8"/>
  <c r="L34" i="48" l="1"/>
  <c r="AC146" i="46"/>
  <c r="AP33" i="48" l="1"/>
  <c r="AR144" i="57"/>
  <c r="BA144" i="57" s="1"/>
  <c r="AM144" i="57"/>
  <c r="AD144" i="57" s="1"/>
  <c r="AR143" i="57"/>
  <c r="BA143" i="57" s="1"/>
  <c r="AM143" i="57"/>
  <c r="AD143" i="57" s="1"/>
  <c r="AR142" i="57"/>
  <c r="BA142" i="57" s="1"/>
  <c r="AM142" i="57"/>
  <c r="S142" i="57"/>
  <c r="AR141" i="57"/>
  <c r="BA141" i="57" s="1"/>
  <c r="AM141" i="57"/>
  <c r="AD141" i="57" s="1"/>
  <c r="S141" i="57"/>
  <c r="Z142" i="46"/>
  <c r="W141" i="46"/>
  <c r="S142" i="46"/>
  <c r="S141" i="46"/>
  <c r="AR144" i="46"/>
  <c r="BA144" i="46" s="1"/>
  <c r="U52" i="9"/>
  <c r="R44" i="9"/>
  <c r="U44" i="9" s="1"/>
  <c r="V50" i="9"/>
  <c r="R50" i="9"/>
  <c r="U50" i="9" s="1"/>
  <c r="U46" i="9"/>
  <c r="K12" i="9"/>
  <c r="W142" i="57" s="1"/>
  <c r="K11" i="9"/>
  <c r="W141" i="57" s="1"/>
  <c r="F61" i="47"/>
  <c r="E62" i="47"/>
  <c r="G62" i="47" s="1"/>
  <c r="H62" i="47" s="1"/>
  <c r="E61" i="47"/>
  <c r="G61" i="47" s="1"/>
  <c r="H61" i="47" s="1"/>
  <c r="O141" i="57" s="1"/>
  <c r="W142" i="46" l="1"/>
  <c r="AD142" i="57"/>
  <c r="O142" i="46"/>
  <c r="O142" i="57"/>
  <c r="C141" i="57"/>
  <c r="K141" i="57"/>
  <c r="O141" i="46"/>
  <c r="U142" i="57"/>
  <c r="U141" i="57"/>
  <c r="V141" i="57"/>
  <c r="W50" i="9"/>
  <c r="AA141" i="57" l="1"/>
  <c r="C142" i="57"/>
  <c r="K142" i="57"/>
  <c r="AC142" i="57" s="1"/>
  <c r="T142" i="57"/>
  <c r="P142" i="57"/>
  <c r="V142" i="57"/>
  <c r="P141" i="57"/>
  <c r="T141" i="57"/>
  <c r="AC141" i="57" s="1"/>
  <c r="AB141" i="57" l="1"/>
  <c r="BA33" i="48"/>
  <c r="X141" i="57"/>
  <c r="AE34" i="2"/>
  <c r="AA34" i="2"/>
  <c r="G34" i="2"/>
  <c r="AM144" i="46" l="1"/>
  <c r="AD144" i="46" s="1"/>
  <c r="N142" i="46"/>
  <c r="H142" i="46" s="1"/>
  <c r="U142" i="46"/>
  <c r="AR143" i="46"/>
  <c r="BA143" i="46" s="1"/>
  <c r="AM143" i="46"/>
  <c r="AC143" i="46"/>
  <c r="AR142" i="46"/>
  <c r="BA142" i="46" s="1"/>
  <c r="AM142" i="46"/>
  <c r="AR141" i="46"/>
  <c r="BA141" i="46" s="1"/>
  <c r="AM141" i="46"/>
  <c r="Z141" i="46"/>
  <c r="P141" i="46"/>
  <c r="N141" i="46"/>
  <c r="H141" i="46" s="1"/>
  <c r="J141" i="46" s="1"/>
  <c r="F17" i="9"/>
  <c r="F9" i="9"/>
  <c r="I38" i="9"/>
  <c r="I61" i="47" s="1"/>
  <c r="Q41" i="9"/>
  <c r="Y19" i="9"/>
  <c r="Z19" i="9"/>
  <c r="Z17" i="9"/>
  <c r="Z9" i="9"/>
  <c r="Y9" i="9"/>
  <c r="X8" i="9"/>
  <c r="Z8" i="9" s="1"/>
  <c r="W8" i="9"/>
  <c r="X7" i="9"/>
  <c r="Y7" i="9" s="1"/>
  <c r="W7" i="9"/>
  <c r="X6" i="9"/>
  <c r="W6" i="9"/>
  <c r="G42" i="9"/>
  <c r="I37" i="9" s="1"/>
  <c r="F42" i="9"/>
  <c r="Q27" i="9"/>
  <c r="Q28" i="9" s="1"/>
  <c r="R28" i="9" s="1"/>
  <c r="R29" i="9"/>
  <c r="P29" i="9"/>
  <c r="S29" i="9" s="1"/>
  <c r="P28" i="9"/>
  <c r="P27" i="9"/>
  <c r="Q18" i="9"/>
  <c r="R18" i="9" s="1"/>
  <c r="P19" i="9"/>
  <c r="P18" i="9"/>
  <c r="P17" i="9"/>
  <c r="Q8" i="9"/>
  <c r="R8" i="9" s="1"/>
  <c r="Q7" i="9"/>
  <c r="R7" i="9" s="1"/>
  <c r="Q6" i="9"/>
  <c r="Q14" i="9" s="1"/>
  <c r="P8" i="9"/>
  <c r="S8" i="9" s="1"/>
  <c r="P7" i="9"/>
  <c r="P6" i="9"/>
  <c r="X14" i="9" l="1"/>
  <c r="Z7" i="9"/>
  <c r="Q35" i="9"/>
  <c r="Q36" i="9" s="1"/>
  <c r="T142" i="46"/>
  <c r="P142" i="46"/>
  <c r="U141" i="46"/>
  <c r="AA141" i="46" s="1"/>
  <c r="C142" i="46"/>
  <c r="V141" i="46"/>
  <c r="T141" i="46"/>
  <c r="C141" i="46"/>
  <c r="AD143" i="46"/>
  <c r="AD141" i="46"/>
  <c r="J142" i="46"/>
  <c r="K142" i="46"/>
  <c r="AC142" i="46" s="1"/>
  <c r="V142" i="46"/>
  <c r="AD142" i="46"/>
  <c r="K141" i="46"/>
  <c r="Y18" i="9"/>
  <c r="Z18" i="9"/>
  <c r="Z25" i="9" s="1"/>
  <c r="Y17" i="9"/>
  <c r="X25" i="9"/>
  <c r="X26" i="9" s="1"/>
  <c r="X15" i="9"/>
  <c r="Y8" i="9"/>
  <c r="Y6" i="9"/>
  <c r="Z6" i="9"/>
  <c r="Z14" i="9" s="1"/>
  <c r="Z15" i="9" s="1"/>
  <c r="R27" i="9"/>
  <c r="R35" i="9" s="1"/>
  <c r="R36" i="9" s="1"/>
  <c r="S27" i="9"/>
  <c r="S28" i="9"/>
  <c r="S35" i="9" s="1"/>
  <c r="S36" i="9" s="1"/>
  <c r="S18" i="9"/>
  <c r="Q25" i="9"/>
  <c r="Q26" i="9" s="1"/>
  <c r="S19" i="9"/>
  <c r="R19" i="9"/>
  <c r="R17" i="9"/>
  <c r="S17" i="9"/>
  <c r="S7" i="9"/>
  <c r="Q15" i="9"/>
  <c r="S6" i="9"/>
  <c r="S14" i="9" s="1"/>
  <c r="R6" i="9"/>
  <c r="AR139" i="57"/>
  <c r="BA139" i="57" s="1"/>
  <c r="AM139" i="57"/>
  <c r="AR138" i="57"/>
  <c r="BA138" i="57" s="1"/>
  <c r="AM138" i="57"/>
  <c r="AR137" i="57"/>
  <c r="BA137" i="57" s="1"/>
  <c r="AM137" i="57"/>
  <c r="AR136" i="57"/>
  <c r="BA136" i="57" s="1"/>
  <c r="AM136" i="57"/>
  <c r="AR134" i="57"/>
  <c r="BA134" i="57" s="1"/>
  <c r="AM134" i="57"/>
  <c r="AR133" i="57"/>
  <c r="BA133" i="57" s="1"/>
  <c r="AM133" i="57"/>
  <c r="AD133" i="57" s="1"/>
  <c r="S133" i="57"/>
  <c r="AR132" i="57"/>
  <c r="BA132" i="57" s="1"/>
  <c r="AM132" i="57"/>
  <c r="AD137" i="57" l="1"/>
  <c r="AD139" i="57"/>
  <c r="AD136" i="57"/>
  <c r="AD132" i="57"/>
  <c r="R14" i="9"/>
  <c r="R15" i="9" s="1"/>
  <c r="S15" i="9"/>
  <c r="AD138" i="57"/>
  <c r="S25" i="9"/>
  <c r="S26" i="9" s="1"/>
  <c r="AD134" i="57"/>
  <c r="R25" i="9"/>
  <c r="R26" i="9" s="1"/>
  <c r="N33" i="48"/>
  <c r="AC141" i="46"/>
  <c r="AB141" i="46" s="1"/>
  <c r="L33" i="48"/>
  <c r="X141" i="46"/>
  <c r="Z26" i="9"/>
  <c r="Y25" i="9"/>
  <c r="Y26" i="9" s="1"/>
  <c r="Y14" i="9"/>
  <c r="Y15" i="9" s="1"/>
  <c r="AP32" i="48"/>
  <c r="F59" i="47" l="1"/>
  <c r="E59" i="47"/>
  <c r="G59" i="47" s="1"/>
  <c r="H59" i="47" s="1"/>
  <c r="O136" i="57" s="1"/>
  <c r="C136" i="57" l="1"/>
  <c r="K136" i="57"/>
  <c r="U136" i="57"/>
  <c r="P136" i="57"/>
  <c r="V136" i="57"/>
  <c r="T136" i="57"/>
  <c r="O136" i="46"/>
  <c r="BA32" i="48"/>
  <c r="AE33" i="2"/>
  <c r="AA33" i="2"/>
  <c r="G33" i="2"/>
  <c r="AC136" i="57" l="1"/>
  <c r="M12" i="55"/>
  <c r="D12" i="55"/>
  <c r="T136" i="46" l="1"/>
  <c r="N136" i="46"/>
  <c r="H136" i="46"/>
  <c r="K136" i="46" s="1"/>
  <c r="L32" i="48" s="1"/>
  <c r="AR139" i="46"/>
  <c r="BA139" i="46" s="1"/>
  <c r="AM139" i="46"/>
  <c r="AR138" i="46"/>
  <c r="BA138" i="46" s="1"/>
  <c r="AM138" i="46"/>
  <c r="AD138" i="46" s="1"/>
  <c r="AR137" i="46"/>
  <c r="BA137" i="46" s="1"/>
  <c r="AM137" i="46"/>
  <c r="AR136" i="46"/>
  <c r="BA136" i="46" s="1"/>
  <c r="AM136" i="46"/>
  <c r="Z136" i="46"/>
  <c r="I38" i="10"/>
  <c r="I59" i="47" s="1"/>
  <c r="G42" i="10"/>
  <c r="I37" i="10" s="1"/>
  <c r="F42" i="10"/>
  <c r="X35" i="10"/>
  <c r="X36" i="10" s="1"/>
  <c r="N44" i="10"/>
  <c r="Q39" i="10"/>
  <c r="Z29" i="10"/>
  <c r="Y29" i="10"/>
  <c r="Y28" i="10"/>
  <c r="Z28" i="10"/>
  <c r="Z27" i="10"/>
  <c r="Z35" i="10" s="1"/>
  <c r="Y27" i="10"/>
  <c r="Q35" i="10"/>
  <c r="Q36" i="10" s="1"/>
  <c r="R28" i="10"/>
  <c r="P28" i="10"/>
  <c r="S28" i="10" s="1"/>
  <c r="R27" i="10"/>
  <c r="P27" i="10"/>
  <c r="S27" i="10" s="1"/>
  <c r="Q17" i="10"/>
  <c r="R17" i="10" s="1"/>
  <c r="Q18" i="10"/>
  <c r="R18" i="10" s="1"/>
  <c r="P18" i="10"/>
  <c r="P17" i="10"/>
  <c r="Q6" i="10"/>
  <c r="Q14" i="10" s="1"/>
  <c r="Q15" i="10" s="1"/>
  <c r="R7" i="10"/>
  <c r="P7" i="10"/>
  <c r="S7" i="10" s="1"/>
  <c r="P6" i="10"/>
  <c r="F19" i="10"/>
  <c r="Y35" i="10" l="1"/>
  <c r="S6" i="10"/>
  <c r="S14" i="10" s="1"/>
  <c r="S15" i="10" s="1"/>
  <c r="R6" i="10"/>
  <c r="R14" i="10" s="1"/>
  <c r="R15" i="10" s="1"/>
  <c r="S35" i="10"/>
  <c r="S36" i="10" s="1"/>
  <c r="R35" i="10"/>
  <c r="R36" i="10" s="1"/>
  <c r="U136" i="46"/>
  <c r="V136" i="46"/>
  <c r="C136" i="46"/>
  <c r="N32" i="48" s="1"/>
  <c r="AD139" i="46"/>
  <c r="AD137" i="46"/>
  <c r="J136" i="46"/>
  <c r="P136" i="46"/>
  <c r="AD136" i="46"/>
  <c r="AC137" i="46"/>
  <c r="Z36" i="10"/>
  <c r="Y36" i="10"/>
  <c r="S17" i="10"/>
  <c r="S18" i="10"/>
  <c r="R25" i="10"/>
  <c r="Q25" i="10"/>
  <c r="Q26" i="10" s="1"/>
  <c r="Q117" i="57"/>
  <c r="R117" i="57"/>
  <c r="Q112" i="57"/>
  <c r="R112" i="57"/>
  <c r="Q107" i="57"/>
  <c r="R107" i="57"/>
  <c r="Q6" i="57"/>
  <c r="Q12" i="57"/>
  <c r="Q18" i="57"/>
  <c r="Q24" i="57"/>
  <c r="Q30" i="57"/>
  <c r="Q36" i="57"/>
  <c r="Q42" i="57"/>
  <c r="Q48" i="57"/>
  <c r="Q54" i="57"/>
  <c r="Q60" i="57"/>
  <c r="Q66" i="57"/>
  <c r="Q72" i="57"/>
  <c r="Q78" i="57"/>
  <c r="Q84" i="57"/>
  <c r="Q90" i="57"/>
  <c r="Q96" i="57"/>
  <c r="R96" i="57"/>
  <c r="R90" i="57"/>
  <c r="R84" i="57"/>
  <c r="R78" i="57"/>
  <c r="R72" i="57"/>
  <c r="R66" i="57"/>
  <c r="R60" i="57"/>
  <c r="R54" i="57"/>
  <c r="R48" i="57"/>
  <c r="R42" i="57"/>
  <c r="R36" i="57"/>
  <c r="R30" i="57"/>
  <c r="R24" i="57"/>
  <c r="R18" i="57"/>
  <c r="R12" i="57"/>
  <c r="R6" i="57"/>
  <c r="AZ120" i="57"/>
  <c r="AZ115" i="57"/>
  <c r="AZ110" i="57"/>
  <c r="AZ100" i="57"/>
  <c r="AZ94" i="57"/>
  <c r="AZ88" i="57"/>
  <c r="AZ82" i="57"/>
  <c r="AZ76" i="57"/>
  <c r="AZ70" i="57"/>
  <c r="AZ64" i="57"/>
  <c r="AZ58" i="57"/>
  <c r="AZ52" i="57"/>
  <c r="AZ46" i="57"/>
  <c r="AZ40" i="57"/>
  <c r="AZ34" i="57"/>
  <c r="AZ28" i="57"/>
  <c r="AZ22" i="57"/>
  <c r="AZ16" i="57"/>
  <c r="AZ10" i="57"/>
  <c r="AR130" i="57"/>
  <c r="BA130" i="57" s="1"/>
  <c r="AM130" i="57"/>
  <c r="AD130" i="57" s="1"/>
  <c r="AR129" i="57"/>
  <c r="BA129" i="57" s="1"/>
  <c r="AM129" i="57"/>
  <c r="AR128" i="57"/>
  <c r="BA128" i="57" s="1"/>
  <c r="AM128" i="57"/>
  <c r="AD128" i="57" s="1"/>
  <c r="AR127" i="57"/>
  <c r="BA127" i="57" s="1"/>
  <c r="AM127" i="57"/>
  <c r="Q127" i="57"/>
  <c r="AR126" i="57"/>
  <c r="BA126" i="57" s="1"/>
  <c r="AM126" i="57"/>
  <c r="AR125" i="57"/>
  <c r="BA125" i="57" s="1"/>
  <c r="AM125" i="57"/>
  <c r="AR124" i="57"/>
  <c r="BA124" i="57" s="1"/>
  <c r="AM124" i="57"/>
  <c r="AD124" i="57" s="1"/>
  <c r="AR123" i="57"/>
  <c r="BA123" i="57" s="1"/>
  <c r="AM123" i="57"/>
  <c r="AR122" i="57"/>
  <c r="BA122" i="57" s="1"/>
  <c r="AM122" i="57"/>
  <c r="S122" i="57"/>
  <c r="AR120" i="57"/>
  <c r="BA120" i="57" s="1"/>
  <c r="AM120" i="57"/>
  <c r="AR119" i="57"/>
  <c r="BA119" i="57" s="1"/>
  <c r="AM119" i="57"/>
  <c r="AR118" i="57"/>
  <c r="BA118" i="57" s="1"/>
  <c r="AM118" i="57"/>
  <c r="AR117" i="57"/>
  <c r="BA117" i="57" s="1"/>
  <c r="AM117" i="57"/>
  <c r="AR115" i="57"/>
  <c r="BA115" i="57" s="1"/>
  <c r="AM115" i="57"/>
  <c r="AD115" i="57" s="1"/>
  <c r="AR114" i="57"/>
  <c r="BA114" i="57" s="1"/>
  <c r="AM114" i="57"/>
  <c r="AR113" i="57"/>
  <c r="BA113" i="57" s="1"/>
  <c r="AM113" i="57"/>
  <c r="AR112" i="57"/>
  <c r="BA112" i="57" s="1"/>
  <c r="AM112" i="57"/>
  <c r="AR110" i="57"/>
  <c r="BA110" i="57" s="1"/>
  <c r="AM110" i="57"/>
  <c r="AD110" i="57" s="1"/>
  <c r="AR109" i="57"/>
  <c r="BA109" i="57" s="1"/>
  <c r="AM109" i="57"/>
  <c r="AR108" i="57"/>
  <c r="BA108" i="57" s="1"/>
  <c r="AM108" i="57"/>
  <c r="U108" i="57"/>
  <c r="T108" i="57"/>
  <c r="AC108" i="57" s="1"/>
  <c r="P108" i="57"/>
  <c r="AR107" i="57"/>
  <c r="BA107" i="57" s="1"/>
  <c r="AM107" i="57"/>
  <c r="S107" i="57"/>
  <c r="AR105" i="57"/>
  <c r="BA105" i="57" s="1"/>
  <c r="AM105" i="57"/>
  <c r="AR104" i="57"/>
  <c r="BA104" i="57" s="1"/>
  <c r="AM104" i="57"/>
  <c r="AR103" i="57"/>
  <c r="BA103" i="57" s="1"/>
  <c r="AM103" i="57"/>
  <c r="AD103" i="57" s="1"/>
  <c r="AR102" i="57"/>
  <c r="BA102" i="57" s="1"/>
  <c r="AM102" i="57"/>
  <c r="AR100" i="57"/>
  <c r="AM100" i="57"/>
  <c r="AR99" i="57"/>
  <c r="BA99" i="57" s="1"/>
  <c r="AM99" i="57"/>
  <c r="AR98" i="57"/>
  <c r="BA98" i="57" s="1"/>
  <c r="AM98" i="57"/>
  <c r="AR97" i="57"/>
  <c r="BA97" i="57" s="1"/>
  <c r="AM97" i="57"/>
  <c r="AR96" i="57"/>
  <c r="BA96" i="57" s="1"/>
  <c r="AM96" i="57"/>
  <c r="AR94" i="57"/>
  <c r="AM94" i="57"/>
  <c r="AR93" i="57"/>
  <c r="BA93" i="57" s="1"/>
  <c r="AM93" i="57"/>
  <c r="AR92" i="57"/>
  <c r="BA92" i="57" s="1"/>
  <c r="AM92" i="57"/>
  <c r="AR91" i="57"/>
  <c r="BA91" i="57" s="1"/>
  <c r="AM91" i="57"/>
  <c r="AR90" i="57"/>
  <c r="BA90" i="57" s="1"/>
  <c r="AM90" i="57"/>
  <c r="AR88" i="57"/>
  <c r="BA88" i="57" s="1"/>
  <c r="AM88" i="57"/>
  <c r="AR87" i="57"/>
  <c r="BA87" i="57" s="1"/>
  <c r="AM87" i="57"/>
  <c r="AR86" i="57"/>
  <c r="BA86" i="57" s="1"/>
  <c r="AM86" i="57"/>
  <c r="AR85" i="57"/>
  <c r="BA85" i="57" s="1"/>
  <c r="AM85" i="57"/>
  <c r="AR84" i="57"/>
  <c r="BA84" i="57" s="1"/>
  <c r="AM84" i="57"/>
  <c r="AR82" i="57"/>
  <c r="BA82" i="57" s="1"/>
  <c r="AM82" i="57"/>
  <c r="AR81" i="57"/>
  <c r="BA81" i="57" s="1"/>
  <c r="AM81" i="57"/>
  <c r="AR80" i="57"/>
  <c r="BA80" i="57" s="1"/>
  <c r="AM80" i="57"/>
  <c r="AR79" i="57"/>
  <c r="BA79" i="57" s="1"/>
  <c r="AM79" i="57"/>
  <c r="AR78" i="57"/>
  <c r="BA78" i="57" s="1"/>
  <c r="AM78" i="57"/>
  <c r="AR76" i="57"/>
  <c r="BA76" i="57" s="1"/>
  <c r="AM76" i="57"/>
  <c r="AR75" i="57"/>
  <c r="BA75" i="57" s="1"/>
  <c r="AM75" i="57"/>
  <c r="AR74" i="57"/>
  <c r="BA74" i="57" s="1"/>
  <c r="AM74" i="57"/>
  <c r="AR73" i="57"/>
  <c r="BA73" i="57" s="1"/>
  <c r="AM73" i="57"/>
  <c r="AR72" i="57"/>
  <c r="BA72" i="57" s="1"/>
  <c r="AM72" i="57"/>
  <c r="AR70" i="57"/>
  <c r="BA70" i="57" s="1"/>
  <c r="AM70" i="57"/>
  <c r="AR69" i="57"/>
  <c r="BA69" i="57" s="1"/>
  <c r="AM69" i="57"/>
  <c r="AR68" i="57"/>
  <c r="BA68" i="57" s="1"/>
  <c r="AM68" i="57"/>
  <c r="AR67" i="57"/>
  <c r="BA67" i="57" s="1"/>
  <c r="AM67" i="57"/>
  <c r="AR66" i="57"/>
  <c r="BA66" i="57" s="1"/>
  <c r="AM66" i="57"/>
  <c r="AR64" i="57"/>
  <c r="BA64" i="57" s="1"/>
  <c r="AM64" i="57"/>
  <c r="AR63" i="57"/>
  <c r="BA63" i="57" s="1"/>
  <c r="AM63" i="57"/>
  <c r="AR62" i="57"/>
  <c r="BA62" i="57" s="1"/>
  <c r="AM62" i="57"/>
  <c r="AR61" i="57"/>
  <c r="BA61" i="57" s="1"/>
  <c r="AM61" i="57"/>
  <c r="AR60" i="57"/>
  <c r="BA60" i="57" s="1"/>
  <c r="AM60" i="57"/>
  <c r="AR58" i="57"/>
  <c r="BA58" i="57" s="1"/>
  <c r="AM58" i="57"/>
  <c r="AR57" i="57"/>
  <c r="BA57" i="57" s="1"/>
  <c r="AM57" i="57"/>
  <c r="AR56" i="57"/>
  <c r="BA56" i="57" s="1"/>
  <c r="AM56" i="57"/>
  <c r="AR55" i="57"/>
  <c r="BA55" i="57" s="1"/>
  <c r="AM55" i="57"/>
  <c r="AR54" i="57"/>
  <c r="BA54" i="57" s="1"/>
  <c r="AM54" i="57"/>
  <c r="AR52" i="57"/>
  <c r="BA52" i="57" s="1"/>
  <c r="AM52" i="57"/>
  <c r="AR51" i="57"/>
  <c r="BA51" i="57" s="1"/>
  <c r="AM51" i="57"/>
  <c r="AR50" i="57"/>
  <c r="BA50" i="57" s="1"/>
  <c r="AM50" i="57"/>
  <c r="AR49" i="57"/>
  <c r="BA49" i="57" s="1"/>
  <c r="AM49" i="57"/>
  <c r="AR48" i="57"/>
  <c r="BA48" i="57" s="1"/>
  <c r="AM48" i="57"/>
  <c r="AR46" i="57"/>
  <c r="AM46" i="57"/>
  <c r="BA45" i="57"/>
  <c r="AR45" i="57"/>
  <c r="AM45" i="57"/>
  <c r="AR44" i="57"/>
  <c r="BA44" i="57" s="1"/>
  <c r="AM44" i="57"/>
  <c r="AR43" i="57"/>
  <c r="BA43" i="57" s="1"/>
  <c r="AM43" i="57"/>
  <c r="AR42" i="57"/>
  <c r="BA42" i="57" s="1"/>
  <c r="AM42" i="57"/>
  <c r="AD42" i="57" s="1"/>
  <c r="AR40" i="57"/>
  <c r="BA40" i="57" s="1"/>
  <c r="AM40" i="57"/>
  <c r="AD40" i="57" s="1"/>
  <c r="AR39" i="57"/>
  <c r="BA39" i="57" s="1"/>
  <c r="AM39" i="57"/>
  <c r="AR38" i="57"/>
  <c r="BA38" i="57" s="1"/>
  <c r="AM38" i="57"/>
  <c r="AR37" i="57"/>
  <c r="BA37" i="57" s="1"/>
  <c r="AM37" i="57"/>
  <c r="AD37" i="57" s="1"/>
  <c r="AR36" i="57"/>
  <c r="BA36" i="57" s="1"/>
  <c r="AM36" i="57"/>
  <c r="AD36" i="57" s="1"/>
  <c r="AR34" i="57"/>
  <c r="BA34" i="57" s="1"/>
  <c r="AM34" i="57"/>
  <c r="AR33" i="57"/>
  <c r="BA33" i="57" s="1"/>
  <c r="AM33" i="57"/>
  <c r="AR32" i="57"/>
  <c r="BA32" i="57" s="1"/>
  <c r="AM32" i="57"/>
  <c r="AD32" i="57" s="1"/>
  <c r="AR31" i="57"/>
  <c r="BA31" i="57" s="1"/>
  <c r="AM31" i="57"/>
  <c r="AD31" i="57" s="1"/>
  <c r="AR30" i="57"/>
  <c r="BA30" i="57" s="1"/>
  <c r="AM30" i="57"/>
  <c r="AR28" i="57"/>
  <c r="BA28" i="57" s="1"/>
  <c r="AM28" i="57"/>
  <c r="AD28" i="57" s="1"/>
  <c r="AR27" i="57"/>
  <c r="BA27" i="57" s="1"/>
  <c r="AM27" i="57"/>
  <c r="AR26" i="57"/>
  <c r="BA26" i="57" s="1"/>
  <c r="AM26" i="57"/>
  <c r="AR25" i="57"/>
  <c r="BA25" i="57" s="1"/>
  <c r="AM25" i="57"/>
  <c r="AR24" i="57"/>
  <c r="BA24" i="57" s="1"/>
  <c r="AM24" i="57"/>
  <c r="AR22" i="57"/>
  <c r="BA22" i="57" s="1"/>
  <c r="AM22" i="57"/>
  <c r="AR21" i="57"/>
  <c r="BA21" i="57" s="1"/>
  <c r="AM21" i="57"/>
  <c r="AR20" i="57"/>
  <c r="BA20" i="57" s="1"/>
  <c r="AM20" i="57"/>
  <c r="AR19" i="57"/>
  <c r="BA19" i="57" s="1"/>
  <c r="AM19" i="57"/>
  <c r="AR18" i="57"/>
  <c r="BA18" i="57" s="1"/>
  <c r="AM18" i="57"/>
  <c r="AR16" i="57"/>
  <c r="BA16" i="57" s="1"/>
  <c r="AM16" i="57"/>
  <c r="AR15" i="57"/>
  <c r="BA15" i="57" s="1"/>
  <c r="AM15" i="57"/>
  <c r="AR14" i="57"/>
  <c r="BA14" i="57" s="1"/>
  <c r="AM14" i="57"/>
  <c r="AR13" i="57"/>
  <c r="BA13" i="57" s="1"/>
  <c r="AM13" i="57"/>
  <c r="AD13" i="57" s="1"/>
  <c r="AR12" i="57"/>
  <c r="BA12" i="57" s="1"/>
  <c r="AM12" i="57"/>
  <c r="AM11" i="57"/>
  <c r="AR10" i="57"/>
  <c r="BA10" i="57" s="1"/>
  <c r="AM10" i="57"/>
  <c r="AR9" i="57"/>
  <c r="BA9" i="57" s="1"/>
  <c r="AM9" i="57"/>
  <c r="AR8" i="57"/>
  <c r="BA8" i="57" s="1"/>
  <c r="AM8" i="57"/>
  <c r="AD8" i="57" s="1"/>
  <c r="AR7" i="57"/>
  <c r="BA7" i="57" s="1"/>
  <c r="AM7" i="57"/>
  <c r="AD7" i="57" s="1"/>
  <c r="AR6" i="57"/>
  <c r="BA6" i="57" s="1"/>
  <c r="AM6" i="57"/>
  <c r="AD58" i="57" l="1"/>
  <c r="AD63" i="57"/>
  <c r="AD68" i="57"/>
  <c r="AD73" i="57"/>
  <c r="AD82" i="57"/>
  <c r="AD87" i="57"/>
  <c r="AD92" i="57"/>
  <c r="AD97" i="57"/>
  <c r="AD123" i="57"/>
  <c r="AD16" i="57"/>
  <c r="AD56" i="57"/>
  <c r="AD61" i="57"/>
  <c r="AD66" i="57"/>
  <c r="AD70" i="57"/>
  <c r="AD90" i="57"/>
  <c r="AD112" i="57"/>
  <c r="AD125" i="57"/>
  <c r="S25" i="10"/>
  <c r="AD15" i="57"/>
  <c r="AD20" i="57"/>
  <c r="AD25" i="57"/>
  <c r="AD34" i="57"/>
  <c r="AD39" i="57"/>
  <c r="AD44" i="57"/>
  <c r="AD105" i="57"/>
  <c r="AD108" i="57"/>
  <c r="AD113" i="57"/>
  <c r="AD50" i="57"/>
  <c r="AD79" i="57"/>
  <c r="AD84" i="57"/>
  <c r="AD88" i="57"/>
  <c r="AD93" i="57"/>
  <c r="AD98" i="57"/>
  <c r="AD107" i="57"/>
  <c r="AD119" i="57"/>
  <c r="AD75" i="57"/>
  <c r="AD117" i="57"/>
  <c r="AD57" i="57"/>
  <c r="AD62" i="57"/>
  <c r="AD96" i="57"/>
  <c r="AD129" i="57"/>
  <c r="AD9" i="57"/>
  <c r="AD18" i="57"/>
  <c r="AD26" i="57"/>
  <c r="AD80" i="57"/>
  <c r="AD85" i="57"/>
  <c r="AD99" i="57"/>
  <c r="AD120" i="57"/>
  <c r="AD21" i="57"/>
  <c r="AD22" i="57"/>
  <c r="AD45" i="57"/>
  <c r="AD49" i="57"/>
  <c r="AD67" i="57"/>
  <c r="AD72" i="57"/>
  <c r="AD76" i="57"/>
  <c r="AD104" i="57"/>
  <c r="AD6" i="57"/>
  <c r="AD10" i="57"/>
  <c r="AD14" i="57"/>
  <c r="AD19" i="57"/>
  <c r="AD27" i="57"/>
  <c r="AD54" i="57"/>
  <c r="AD81" i="57"/>
  <c r="AD86" i="57"/>
  <c r="AD91" i="57"/>
  <c r="AD48" i="57"/>
  <c r="AD24" i="57"/>
  <c r="AD78" i="57"/>
  <c r="BA100" i="57"/>
  <c r="AD100" i="57" s="1"/>
  <c r="AD122" i="57"/>
  <c r="AD30" i="57"/>
  <c r="AD52" i="57"/>
  <c r="AD127" i="57"/>
  <c r="AD102" i="57"/>
  <c r="AD118" i="57"/>
  <c r="AD12" i="57"/>
  <c r="AD33" i="57"/>
  <c r="AD38" i="57"/>
  <c r="AD43" i="57"/>
  <c r="BA46" i="57"/>
  <c r="AD46" i="57" s="1"/>
  <c r="AD51" i="57"/>
  <c r="AD55" i="57"/>
  <c r="AD60" i="57"/>
  <c r="AD64" i="57"/>
  <c r="AD69" i="57"/>
  <c r="AD74" i="57"/>
  <c r="AD109" i="57"/>
  <c r="AD114" i="57"/>
  <c r="AC136" i="46"/>
  <c r="S26" i="10"/>
  <c r="R26" i="10"/>
  <c r="BA94" i="57"/>
  <c r="AD94" i="57" s="1"/>
  <c r="V108" i="57"/>
  <c r="AC138" i="46" l="1"/>
  <c r="Z133" i="46" l="1"/>
  <c r="Z132" i="46"/>
  <c r="K9" i="11"/>
  <c r="W133" i="57" s="1"/>
  <c r="K11" i="11"/>
  <c r="W134" i="57" s="1"/>
  <c r="C25" i="11"/>
  <c r="K8" i="11" s="1"/>
  <c r="E57" i="47"/>
  <c r="G57" i="47" s="1"/>
  <c r="H57" i="47" s="1"/>
  <c r="O134" i="57" s="1"/>
  <c r="E56" i="47"/>
  <c r="G56" i="47" s="1"/>
  <c r="H56" i="47" s="1"/>
  <c r="O133" i="57" s="1"/>
  <c r="F55" i="47"/>
  <c r="E55" i="47"/>
  <c r="C26" i="12"/>
  <c r="K8" i="12" s="1"/>
  <c r="C25" i="12"/>
  <c r="K10" i="12" s="1"/>
  <c r="F52" i="47"/>
  <c r="F51" i="47"/>
  <c r="E53" i="47"/>
  <c r="G53" i="47" s="1"/>
  <c r="H53" i="47" s="1"/>
  <c r="O128" i="57" s="1"/>
  <c r="E52" i="47"/>
  <c r="E51" i="47"/>
  <c r="AP31" i="48"/>
  <c r="AP30" i="48"/>
  <c r="W133" i="46" l="1"/>
  <c r="W134" i="46"/>
  <c r="W132" i="57"/>
  <c r="W132" i="46"/>
  <c r="W127" i="57"/>
  <c r="W127" i="46"/>
  <c r="W128" i="57"/>
  <c r="W128" i="46"/>
  <c r="C133" i="57"/>
  <c r="K133" i="57"/>
  <c r="C134" i="57"/>
  <c r="K134" i="57"/>
  <c r="C128" i="57"/>
  <c r="K128" i="57"/>
  <c r="G55" i="47"/>
  <c r="H55" i="47" s="1"/>
  <c r="O132" i="57" s="1"/>
  <c r="O128" i="46"/>
  <c r="O134" i="46"/>
  <c r="V133" i="57"/>
  <c r="P133" i="57"/>
  <c r="T133" i="57"/>
  <c r="U133" i="57"/>
  <c r="G52" i="47"/>
  <c r="V134" i="57"/>
  <c r="U134" i="57"/>
  <c r="P134" i="57"/>
  <c r="T134" i="57"/>
  <c r="O133" i="46"/>
  <c r="G51" i="47"/>
  <c r="AE32" i="2"/>
  <c r="AE31" i="2"/>
  <c r="AA32" i="2"/>
  <c r="AA31" i="2"/>
  <c r="G32" i="2"/>
  <c r="G31" i="2"/>
  <c r="O132" i="46" l="1"/>
  <c r="H51" i="47"/>
  <c r="O127" i="57" s="1"/>
  <c r="AC134" i="57"/>
  <c r="C132" i="57"/>
  <c r="K132" i="57"/>
  <c r="C127" i="57"/>
  <c r="K127" i="57"/>
  <c r="AC133" i="57"/>
  <c r="T128" i="57"/>
  <c r="AC128" i="57" s="1"/>
  <c r="V128" i="57"/>
  <c r="P128" i="57"/>
  <c r="U128" i="57"/>
  <c r="O127" i="46"/>
  <c r="P132" i="57"/>
  <c r="V132" i="57"/>
  <c r="U132" i="57"/>
  <c r="AA132" i="57" s="1"/>
  <c r="T132" i="57"/>
  <c r="S133" i="46"/>
  <c r="Q127" i="46"/>
  <c r="N134" i="46"/>
  <c r="H134" i="46" s="1"/>
  <c r="P134" i="46"/>
  <c r="U132" i="46"/>
  <c r="N132" i="46"/>
  <c r="H132" i="46" s="1"/>
  <c r="AR134" i="46"/>
  <c r="BA134" i="46" s="1"/>
  <c r="AM134" i="46"/>
  <c r="AR133" i="46"/>
  <c r="BA133" i="46" s="1"/>
  <c r="AM133" i="46"/>
  <c r="T133" i="46"/>
  <c r="N133" i="46"/>
  <c r="H133" i="46"/>
  <c r="J133" i="46" s="1"/>
  <c r="AR132" i="46"/>
  <c r="BA132" i="46" s="1"/>
  <c r="AM132" i="46"/>
  <c r="U128" i="46"/>
  <c r="N128" i="46"/>
  <c r="H128" i="46" s="1"/>
  <c r="N127" i="46"/>
  <c r="AR130" i="46"/>
  <c r="BA130" i="46" s="1"/>
  <c r="AM130" i="46"/>
  <c r="AR129" i="46"/>
  <c r="BA129" i="46" s="1"/>
  <c r="AM129" i="46"/>
  <c r="AR128" i="46"/>
  <c r="BA128" i="46" s="1"/>
  <c r="AM128" i="46"/>
  <c r="AR127" i="46"/>
  <c r="BA127" i="46" s="1"/>
  <c r="AM127" i="46"/>
  <c r="F17" i="11"/>
  <c r="F9" i="11"/>
  <c r="I38" i="11"/>
  <c r="I55" i="47" s="1"/>
  <c r="Q42" i="11"/>
  <c r="X26" i="11"/>
  <c r="X27" i="11" s="1"/>
  <c r="Z19" i="11"/>
  <c r="Y19" i="11"/>
  <c r="Y18" i="11"/>
  <c r="Z18" i="11"/>
  <c r="Z26" i="11" s="1"/>
  <c r="X14" i="11"/>
  <c r="X15" i="11" s="1"/>
  <c r="Z8" i="11"/>
  <c r="Y8" i="11"/>
  <c r="Y14" i="11" s="1"/>
  <c r="Y7" i="11"/>
  <c r="Z7" i="11"/>
  <c r="Y6" i="11"/>
  <c r="W6" i="11"/>
  <c r="Z6" i="11" s="1"/>
  <c r="G42" i="11"/>
  <c r="I37" i="11" s="1"/>
  <c r="F42" i="11"/>
  <c r="Q31" i="11"/>
  <c r="Q36" i="11" s="1"/>
  <c r="P31" i="11"/>
  <c r="S31" i="11" s="1"/>
  <c r="Q30" i="11"/>
  <c r="R30" i="11" s="1"/>
  <c r="P30" i="11"/>
  <c r="S30" i="11" s="1"/>
  <c r="Q29" i="11"/>
  <c r="Q28" i="11"/>
  <c r="R29" i="11"/>
  <c r="P29" i="11"/>
  <c r="S29" i="11" s="1"/>
  <c r="P28" i="11"/>
  <c r="Q26" i="11"/>
  <c r="Q27" i="11" s="1"/>
  <c r="R19" i="11"/>
  <c r="P19" i="11"/>
  <c r="S19" i="11" s="1"/>
  <c r="R18" i="11"/>
  <c r="P18" i="11"/>
  <c r="S18" i="11" s="1"/>
  <c r="Q14" i="11"/>
  <c r="Q15" i="11" s="1"/>
  <c r="S7" i="11"/>
  <c r="R7" i="11"/>
  <c r="P7" i="11"/>
  <c r="R6" i="11"/>
  <c r="P6" i="11"/>
  <c r="S6" i="11" s="1"/>
  <c r="F17" i="12"/>
  <c r="I38" i="12"/>
  <c r="I51" i="47" s="1"/>
  <c r="I37" i="12"/>
  <c r="R40" i="12"/>
  <c r="W27" i="12"/>
  <c r="X26" i="12"/>
  <c r="X27" i="12" s="1"/>
  <c r="Z19" i="12"/>
  <c r="Y19" i="12"/>
  <c r="Z18" i="12"/>
  <c r="Z26" i="12" s="1"/>
  <c r="Z27" i="12" s="1"/>
  <c r="Y18" i="12"/>
  <c r="W15" i="12"/>
  <c r="X14" i="12"/>
  <c r="X15" i="12" s="1"/>
  <c r="Z7" i="12"/>
  <c r="Y7" i="12"/>
  <c r="Y6" i="12"/>
  <c r="Y14" i="12" s="1"/>
  <c r="W6" i="12"/>
  <c r="Z6" i="12" s="1"/>
  <c r="G42" i="12"/>
  <c r="F42" i="12"/>
  <c r="M41" i="12"/>
  <c r="Q35" i="12"/>
  <c r="Q36" i="12" s="1"/>
  <c r="R28" i="12"/>
  <c r="P28" i="12"/>
  <c r="S28" i="12" s="1"/>
  <c r="R27" i="12"/>
  <c r="P27" i="12"/>
  <c r="S27" i="12" s="1"/>
  <c r="P15" i="12"/>
  <c r="Q18" i="12"/>
  <c r="Q17" i="12" s="1"/>
  <c r="R17" i="12" s="1"/>
  <c r="P17" i="12"/>
  <c r="P26" i="12"/>
  <c r="P18" i="12"/>
  <c r="P6" i="12"/>
  <c r="S6" i="12" s="1"/>
  <c r="Q14" i="12"/>
  <c r="Q15" i="12" s="1"/>
  <c r="R7" i="12"/>
  <c r="P7" i="12"/>
  <c r="R6" i="12"/>
  <c r="AD129" i="46" l="1"/>
  <c r="S28" i="11"/>
  <c r="S36" i="11" s="1"/>
  <c r="S37" i="11" s="1"/>
  <c r="Z14" i="11"/>
  <c r="Z27" i="11"/>
  <c r="AD130" i="46"/>
  <c r="Z14" i="12"/>
  <c r="Z15" i="12" s="1"/>
  <c r="R35" i="12"/>
  <c r="R36" i="12" s="1"/>
  <c r="R14" i="12"/>
  <c r="R15" i="12" s="1"/>
  <c r="S26" i="11"/>
  <c r="S27" i="11" s="1"/>
  <c r="R31" i="11"/>
  <c r="AD134" i="46"/>
  <c r="Z15" i="11"/>
  <c r="S35" i="12"/>
  <c r="S36" i="12" s="1"/>
  <c r="S14" i="11"/>
  <c r="S15" i="11" s="1"/>
  <c r="R26" i="11"/>
  <c r="R27" i="11" s="1"/>
  <c r="Y26" i="11"/>
  <c r="Y27" i="11" s="1"/>
  <c r="Y15" i="12"/>
  <c r="AD133" i="46"/>
  <c r="AC132" i="57"/>
  <c r="AB132" i="57" s="1"/>
  <c r="X132" i="57"/>
  <c r="V127" i="57"/>
  <c r="P127" i="57"/>
  <c r="T127" i="57"/>
  <c r="U127" i="57"/>
  <c r="BA31" i="48"/>
  <c r="V133" i="46"/>
  <c r="K133" i="46"/>
  <c r="AC133" i="46" s="1"/>
  <c r="P133" i="46"/>
  <c r="V132" i="46"/>
  <c r="V127" i="46"/>
  <c r="P128" i="46"/>
  <c r="AD128" i="46"/>
  <c r="AD127" i="46"/>
  <c r="AD132" i="46"/>
  <c r="U133" i="46"/>
  <c r="U127" i="46"/>
  <c r="V128" i="46"/>
  <c r="J134" i="46"/>
  <c r="K134" i="46"/>
  <c r="AC134" i="46" s="1"/>
  <c r="V134" i="46"/>
  <c r="U134" i="46"/>
  <c r="T134" i="46"/>
  <c r="C134" i="46"/>
  <c r="K132" i="46"/>
  <c r="J132" i="46"/>
  <c r="P132" i="46"/>
  <c r="C132" i="46"/>
  <c r="T132" i="46"/>
  <c r="C133" i="46"/>
  <c r="K128" i="46"/>
  <c r="J128" i="46"/>
  <c r="C128" i="46"/>
  <c r="T128" i="46"/>
  <c r="P127" i="46"/>
  <c r="T127" i="46"/>
  <c r="C127" i="46"/>
  <c r="H127" i="46"/>
  <c r="Y15" i="11"/>
  <c r="R28" i="11"/>
  <c r="R36" i="11" s="1"/>
  <c r="Q37" i="11"/>
  <c r="R14" i="11"/>
  <c r="R15" i="11" s="1"/>
  <c r="Y26" i="12"/>
  <c r="Y27" i="12" s="1"/>
  <c r="S17" i="12"/>
  <c r="Q25" i="12"/>
  <c r="Q26" i="12" s="1"/>
  <c r="S18" i="12"/>
  <c r="R18" i="12"/>
  <c r="R25" i="12" s="1"/>
  <c r="S7" i="12"/>
  <c r="S14" i="12" s="1"/>
  <c r="S15" i="12" s="1"/>
  <c r="Q4" i="54"/>
  <c r="Q3" i="54"/>
  <c r="R4" i="54"/>
  <c r="R3" i="54"/>
  <c r="S4" i="54"/>
  <c r="U4" i="54"/>
  <c r="U3" i="54"/>
  <c r="V4" i="54"/>
  <c r="V3" i="54"/>
  <c r="AC127" i="57" l="1"/>
  <c r="X127" i="57"/>
  <c r="BA30" i="48"/>
  <c r="N31" i="48"/>
  <c r="AA132" i="46"/>
  <c r="X132" i="46"/>
  <c r="L31" i="48"/>
  <c r="N30" i="48"/>
  <c r="AC132" i="46"/>
  <c r="J127" i="46"/>
  <c r="K127" i="46"/>
  <c r="L30" i="48" s="1"/>
  <c r="AC128" i="46"/>
  <c r="R37" i="11"/>
  <c r="S25" i="12"/>
  <c r="S26" i="12" s="1"/>
  <c r="R26" i="12"/>
  <c r="AB132" i="46" l="1"/>
  <c r="AC127" i="46"/>
  <c r="X127" i="46"/>
  <c r="S122" i="46" l="1"/>
  <c r="AL36" i="13"/>
  <c r="AM34" i="13"/>
  <c r="AI34" i="13"/>
  <c r="AL34" i="13" s="1"/>
  <c r="AN34" i="13" l="1"/>
  <c r="AP29" i="48"/>
  <c r="Z123" i="46" l="1"/>
  <c r="Z122" i="46"/>
  <c r="K9" i="13"/>
  <c r="W123" i="57" s="1"/>
  <c r="C26" i="13"/>
  <c r="K10" i="13" s="1"/>
  <c r="W124" i="57" s="1"/>
  <c r="C7" i="13"/>
  <c r="K8" i="13" s="1"/>
  <c r="W122" i="57" s="1"/>
  <c r="F48" i="47"/>
  <c r="E49" i="47"/>
  <c r="G49" i="47" s="1"/>
  <c r="H49" i="47" s="1"/>
  <c r="O124" i="57" s="1"/>
  <c r="E48" i="47"/>
  <c r="E47" i="47"/>
  <c r="C124" i="57" l="1"/>
  <c r="K124" i="57"/>
  <c r="W124" i="46"/>
  <c r="W123" i="46"/>
  <c r="W122" i="46"/>
  <c r="U124" i="57"/>
  <c r="V124" i="57"/>
  <c r="P124" i="57"/>
  <c r="T124" i="57"/>
  <c r="G48" i="47"/>
  <c r="H48" i="47" s="1"/>
  <c r="O123" i="57" s="1"/>
  <c r="O124" i="46"/>
  <c r="G47" i="47"/>
  <c r="H47" i="47" s="1"/>
  <c r="O122" i="57" s="1"/>
  <c r="AE30" i="2"/>
  <c r="AA30" i="2"/>
  <c r="G30" i="2"/>
  <c r="C122" i="57" l="1"/>
  <c r="K122" i="57"/>
  <c r="C123" i="57"/>
  <c r="K123" i="57"/>
  <c r="AC124" i="57"/>
  <c r="T123" i="57"/>
  <c r="V123" i="57"/>
  <c r="U123" i="57"/>
  <c r="P123" i="57"/>
  <c r="T122" i="57"/>
  <c r="U122" i="57"/>
  <c r="P122" i="57"/>
  <c r="V122" i="57"/>
  <c r="O123" i="46"/>
  <c r="O122" i="46"/>
  <c r="AR126" i="46"/>
  <c r="BA126" i="46" s="1"/>
  <c r="AM126" i="46"/>
  <c r="AR125" i="46"/>
  <c r="BA125" i="46" s="1"/>
  <c r="AM125" i="46"/>
  <c r="F26" i="13"/>
  <c r="F17" i="13"/>
  <c r="F9" i="13"/>
  <c r="AH26" i="13"/>
  <c r="Z42" i="13"/>
  <c r="AG27" i="13"/>
  <c r="AJ21" i="13"/>
  <c r="AI21" i="13"/>
  <c r="AI20" i="13"/>
  <c r="AJ20" i="13"/>
  <c r="AJ19" i="13"/>
  <c r="AI18" i="13"/>
  <c r="AJ18" i="13"/>
  <c r="AJ26" i="13" s="1"/>
  <c r="AG15" i="13"/>
  <c r="AJ9" i="13"/>
  <c r="AH8" i="13"/>
  <c r="AI8" i="13" s="1"/>
  <c r="AG8" i="13"/>
  <c r="AJ8" i="13" s="1"/>
  <c r="AH7" i="13"/>
  <c r="AG7" i="13"/>
  <c r="AI6" i="13"/>
  <c r="AG6" i="13"/>
  <c r="AJ6" i="13" s="1"/>
  <c r="I38" i="13"/>
  <c r="I47" i="47" s="1"/>
  <c r="G42" i="13"/>
  <c r="I37" i="13" s="1"/>
  <c r="F42" i="13"/>
  <c r="AD125" i="46" l="1"/>
  <c r="AC123" i="57"/>
  <c r="AA122" i="57"/>
  <c r="AJ7" i="13"/>
  <c r="AJ14" i="13" s="1"/>
  <c r="AC122" i="57"/>
  <c r="AB122" i="57" s="1"/>
  <c r="X122" i="57"/>
  <c r="BA29" i="48"/>
  <c r="AI19" i="13"/>
  <c r="AI26" i="13" s="1"/>
  <c r="AH27" i="13"/>
  <c r="AI7" i="13"/>
  <c r="AH14" i="13"/>
  <c r="AH15" i="13" s="1"/>
  <c r="AI9" i="13"/>
  <c r="N124" i="46"/>
  <c r="H124" i="46" s="1"/>
  <c r="C124" i="46"/>
  <c r="AR124" i="46"/>
  <c r="BA124" i="46" s="1"/>
  <c r="AM124" i="46"/>
  <c r="AR123" i="46"/>
  <c r="BA123" i="46" s="1"/>
  <c r="AM123" i="46"/>
  <c r="C123" i="46"/>
  <c r="N123" i="46"/>
  <c r="V123" i="46" s="1"/>
  <c r="AR122" i="46"/>
  <c r="BA122" i="46" s="1"/>
  <c r="AM122" i="46"/>
  <c r="P122" i="46"/>
  <c r="N122" i="46"/>
  <c r="Z27" i="13"/>
  <c r="AC27" i="13" s="1"/>
  <c r="Z36" i="13"/>
  <c r="AA28" i="13"/>
  <c r="AB28" i="13" s="1"/>
  <c r="Z28" i="13"/>
  <c r="AB27" i="13"/>
  <c r="AA18" i="13"/>
  <c r="Z26" i="13"/>
  <c r="Z18" i="13"/>
  <c r="AB17" i="13"/>
  <c r="Z17" i="13"/>
  <c r="AC17" i="13" s="1"/>
  <c r="AA9" i="13"/>
  <c r="AB9" i="13" s="1"/>
  <c r="AA8" i="13"/>
  <c r="AB8" i="13" s="1"/>
  <c r="AA7" i="13"/>
  <c r="AB7" i="13" s="1"/>
  <c r="Z9" i="13"/>
  <c r="AC9" i="13" s="1"/>
  <c r="Z8" i="13"/>
  <c r="Z7" i="13"/>
  <c r="Z6" i="13"/>
  <c r="Z15" i="13"/>
  <c r="AB6" i="13"/>
  <c r="AC6" i="13"/>
  <c r="AC18" i="13" l="1"/>
  <c r="AC25" i="13"/>
  <c r="AC26" i="13" s="1"/>
  <c r="AC8" i="13"/>
  <c r="AB18" i="13"/>
  <c r="AB25" i="13" s="1"/>
  <c r="AA25" i="13"/>
  <c r="AA26" i="13" s="1"/>
  <c r="AD123" i="46"/>
  <c r="AJ15" i="13"/>
  <c r="AD122" i="46"/>
  <c r="AC7" i="13"/>
  <c r="AD124" i="46"/>
  <c r="U122" i="46"/>
  <c r="C122" i="46"/>
  <c r="N29" i="48" s="1"/>
  <c r="T122" i="46"/>
  <c r="V122" i="46"/>
  <c r="H122" i="46"/>
  <c r="K122" i="46" s="1"/>
  <c r="AI27" i="13"/>
  <c r="AJ27" i="13"/>
  <c r="AI14" i="13"/>
  <c r="AI15" i="13" s="1"/>
  <c r="J124" i="46"/>
  <c r="K124" i="46"/>
  <c r="T124" i="46"/>
  <c r="V124" i="46"/>
  <c r="P124" i="46"/>
  <c r="U124" i="46"/>
  <c r="P123" i="46"/>
  <c r="T123" i="46"/>
  <c r="U123" i="46"/>
  <c r="H123" i="46"/>
  <c r="AB35" i="13"/>
  <c r="AC28" i="13"/>
  <c r="AC35" i="13" s="1"/>
  <c r="AA35" i="13"/>
  <c r="AA36" i="13" s="1"/>
  <c r="AB14" i="13"/>
  <c r="AA14" i="13"/>
  <c r="AA15" i="13" s="1"/>
  <c r="Z117" i="46"/>
  <c r="K9" i="14"/>
  <c r="W118" i="57" s="1"/>
  <c r="C25" i="14"/>
  <c r="K8" i="14" s="1"/>
  <c r="E45" i="47"/>
  <c r="G45" i="47" s="1"/>
  <c r="H45" i="47" s="1"/>
  <c r="O118" i="57" s="1"/>
  <c r="E44" i="47"/>
  <c r="AB26" i="13" l="1"/>
  <c r="J122" i="46"/>
  <c r="AC14" i="13"/>
  <c r="W117" i="57"/>
  <c r="W117" i="46"/>
  <c r="AC36" i="13"/>
  <c r="W118" i="46"/>
  <c r="C118" i="57"/>
  <c r="K118" i="57"/>
  <c r="O118" i="46"/>
  <c r="V118" i="57"/>
  <c r="P118" i="57"/>
  <c r="U118" i="57"/>
  <c r="T118" i="57"/>
  <c r="AC122" i="46"/>
  <c r="AC124" i="46"/>
  <c r="AA122" i="46"/>
  <c r="J123" i="46"/>
  <c r="K123" i="46"/>
  <c r="X122" i="46" s="1"/>
  <c r="AB36" i="13"/>
  <c r="AB15" i="13"/>
  <c r="AC15" i="13"/>
  <c r="G44" i="47"/>
  <c r="H44" i="47" s="1"/>
  <c r="O117" i="57" s="1"/>
  <c r="C117" i="57" l="1"/>
  <c r="K117" i="57"/>
  <c r="AC118" i="57"/>
  <c r="T117" i="57"/>
  <c r="P117" i="57"/>
  <c r="U117" i="57"/>
  <c r="AA117" i="57" s="1"/>
  <c r="V117" i="57"/>
  <c r="O117" i="46"/>
  <c r="AC123" i="46"/>
  <c r="AB122" i="46" s="1"/>
  <c r="L29" i="48"/>
  <c r="AC117" i="57" l="1"/>
  <c r="X117" i="57"/>
  <c r="AB117" i="57"/>
  <c r="BA28" i="48"/>
  <c r="AP28" i="48"/>
  <c r="AE29" i="2" l="1"/>
  <c r="AA29" i="2"/>
  <c r="G29" i="2"/>
  <c r="Q117" i="46" l="1"/>
  <c r="N118" i="46"/>
  <c r="H118" i="46" s="1"/>
  <c r="C118" i="46"/>
  <c r="T118" i="46"/>
  <c r="AR120" i="46"/>
  <c r="BA120" i="46" s="1"/>
  <c r="AM120" i="46"/>
  <c r="AR119" i="46"/>
  <c r="BA119" i="46" s="1"/>
  <c r="AM119" i="46"/>
  <c r="AR118" i="46"/>
  <c r="BA118" i="46" s="1"/>
  <c r="AM118" i="46"/>
  <c r="AR117" i="46"/>
  <c r="BA117" i="46" s="1"/>
  <c r="AM117" i="46"/>
  <c r="U117" i="46"/>
  <c r="T117" i="46"/>
  <c r="N117" i="46"/>
  <c r="H117" i="46" s="1"/>
  <c r="F14" i="14"/>
  <c r="G34" i="14"/>
  <c r="F26" i="14"/>
  <c r="I38" i="14"/>
  <c r="I44" i="47" s="1"/>
  <c r="Z19" i="14"/>
  <c r="Y19" i="14"/>
  <c r="R51" i="14"/>
  <c r="AD30" i="14"/>
  <c r="AF19" i="14"/>
  <c r="AG19" i="14"/>
  <c r="AG18" i="14"/>
  <c r="AF18" i="14"/>
  <c r="AG17" i="14"/>
  <c r="AF17" i="14"/>
  <c r="AF16" i="14"/>
  <c r="AF29" i="14" s="1"/>
  <c r="AG16" i="14"/>
  <c r="W30" i="14"/>
  <c r="Y18" i="14"/>
  <c r="Z18" i="14"/>
  <c r="Z17" i="14"/>
  <c r="Y17" i="14"/>
  <c r="Y16" i="14"/>
  <c r="Z16" i="14"/>
  <c r="G42" i="14"/>
  <c r="I37" i="14" s="1"/>
  <c r="F42" i="14"/>
  <c r="M51" i="14"/>
  <c r="P33" i="14"/>
  <c r="S33" i="14" s="1"/>
  <c r="S46" i="14" s="1"/>
  <c r="R33" i="14"/>
  <c r="Q21" i="14"/>
  <c r="R21" i="14" s="1"/>
  <c r="Q20" i="14"/>
  <c r="R20" i="14" s="1"/>
  <c r="Q19" i="14"/>
  <c r="R19" i="14" s="1"/>
  <c r="Q18" i="14"/>
  <c r="R18" i="14" s="1"/>
  <c r="Q17" i="14"/>
  <c r="R17" i="14" s="1"/>
  <c r="R22" i="14"/>
  <c r="P30" i="14"/>
  <c r="P22" i="14"/>
  <c r="P21" i="14"/>
  <c r="P20" i="14"/>
  <c r="S20" i="14" s="1"/>
  <c r="P19" i="14"/>
  <c r="P18" i="14"/>
  <c r="P17" i="14"/>
  <c r="P16" i="14"/>
  <c r="S18" i="14" l="1"/>
  <c r="S19" i="14"/>
  <c r="Q29" i="14"/>
  <c r="V117" i="46"/>
  <c r="AD120" i="46"/>
  <c r="C117" i="46"/>
  <c r="N28" i="48" s="1"/>
  <c r="K117" i="46"/>
  <c r="AD119" i="46"/>
  <c r="AD118" i="46"/>
  <c r="AD117" i="46"/>
  <c r="K118" i="46"/>
  <c r="J118" i="46"/>
  <c r="V118" i="46"/>
  <c r="P118" i="46"/>
  <c r="U118" i="46"/>
  <c r="AA117" i="46" s="1"/>
  <c r="J117" i="46"/>
  <c r="P117" i="46"/>
  <c r="AG29" i="14"/>
  <c r="AE29" i="14"/>
  <c r="AE30" i="14" s="1"/>
  <c r="Z29" i="14"/>
  <c r="Y29" i="14"/>
  <c r="X29" i="14"/>
  <c r="X30" i="14" s="1"/>
  <c r="Q46" i="14"/>
  <c r="Q47" i="14" s="1"/>
  <c r="R46" i="14"/>
  <c r="R47" i="14" s="1"/>
  <c r="S21" i="14"/>
  <c r="S17" i="14"/>
  <c r="S22" i="14"/>
  <c r="Q30" i="14"/>
  <c r="R16" i="14"/>
  <c r="R29" i="14" s="1"/>
  <c r="S16" i="14"/>
  <c r="E42" i="47"/>
  <c r="G42" i="47" s="1"/>
  <c r="E41" i="47"/>
  <c r="G41" i="47" s="1"/>
  <c r="X117" i="46" l="1"/>
  <c r="AC118" i="46"/>
  <c r="AC117" i="46"/>
  <c r="L28" i="48"/>
  <c r="AB117" i="46"/>
  <c r="AG30" i="14"/>
  <c r="AF30" i="14"/>
  <c r="Y30" i="14"/>
  <c r="Z30" i="14"/>
  <c r="S47" i="14"/>
  <c r="S29" i="14"/>
  <c r="S30" i="14" s="1"/>
  <c r="R30" i="14"/>
  <c r="H41" i="47"/>
  <c r="O112" i="57" s="1"/>
  <c r="C112" i="57" l="1"/>
  <c r="K112" i="57"/>
  <c r="T112" i="57"/>
  <c r="V112" i="57"/>
  <c r="U112" i="57"/>
  <c r="P112" i="57"/>
  <c r="O112" i="46"/>
  <c r="AC112" i="57" l="1"/>
  <c r="BA27" i="48"/>
  <c r="AA28" i="2"/>
  <c r="AE28" i="2"/>
  <c r="G28" i="2"/>
  <c r="AP27" i="48"/>
  <c r="AR115" i="46" l="1"/>
  <c r="BA115" i="46" s="1"/>
  <c r="AM115" i="46"/>
  <c r="AR114" i="46"/>
  <c r="BA114" i="46" s="1"/>
  <c r="AM114" i="46"/>
  <c r="AR113" i="46"/>
  <c r="BA113" i="46" s="1"/>
  <c r="AM113" i="46"/>
  <c r="AR112" i="46"/>
  <c r="BA112" i="46" s="1"/>
  <c r="AM112" i="46"/>
  <c r="U112" i="46"/>
  <c r="N112" i="46"/>
  <c r="F17" i="15"/>
  <c r="I38" i="15"/>
  <c r="I41" i="47" s="1"/>
  <c r="G42" i="15"/>
  <c r="I37" i="15" s="1"/>
  <c r="F42" i="15"/>
  <c r="O41" i="15"/>
  <c r="Q22" i="15"/>
  <c r="R22" i="15" s="1"/>
  <c r="R35" i="15" s="1"/>
  <c r="P22" i="15"/>
  <c r="P6" i="15"/>
  <c r="S6" i="15" s="1"/>
  <c r="S19" i="15" s="1"/>
  <c r="Q19" i="15"/>
  <c r="Q20" i="15" s="1"/>
  <c r="R6" i="15"/>
  <c r="R19" i="15" s="1"/>
  <c r="R20" i="15" s="1"/>
  <c r="AD113" i="46" l="1"/>
  <c r="S20" i="15"/>
  <c r="V112" i="46"/>
  <c r="AD114" i="46"/>
  <c r="AD112" i="46"/>
  <c r="AD115" i="46"/>
  <c r="C112" i="46"/>
  <c r="N27" i="48" s="1"/>
  <c r="H112" i="46"/>
  <c r="T112" i="46"/>
  <c r="P112" i="46"/>
  <c r="Q35" i="15"/>
  <c r="Q36" i="15" s="1"/>
  <c r="S22" i="15"/>
  <c r="S35" i="15" s="1"/>
  <c r="S36" i="15" s="1"/>
  <c r="AP26" i="48"/>
  <c r="K112" i="46" l="1"/>
  <c r="L27" i="48" s="1"/>
  <c r="J112" i="46"/>
  <c r="R36" i="15"/>
  <c r="AE27" i="2"/>
  <c r="AA27" i="2"/>
  <c r="G27" i="2"/>
  <c r="F38" i="47"/>
  <c r="E39" i="47"/>
  <c r="G39" i="47" s="1"/>
  <c r="E38" i="47"/>
  <c r="G38" i="47" l="1"/>
  <c r="H38" i="47" s="1"/>
  <c r="O107" i="57" s="1"/>
  <c r="AC112" i="46"/>
  <c r="O107" i="46" l="1"/>
  <c r="K107" i="57"/>
  <c r="C107" i="57"/>
  <c r="T107" i="57"/>
  <c r="V107" i="57"/>
  <c r="U107" i="57"/>
  <c r="P107" i="57"/>
  <c r="S107" i="46"/>
  <c r="Q107" i="46"/>
  <c r="N108" i="46"/>
  <c r="H108" i="46" s="1"/>
  <c r="C108" i="46"/>
  <c r="W108" i="46"/>
  <c r="AR110" i="46"/>
  <c r="BA110" i="46" s="1"/>
  <c r="AM110" i="46"/>
  <c r="AR109" i="46"/>
  <c r="BA109" i="46" s="1"/>
  <c r="AM109" i="46"/>
  <c r="AR108" i="46"/>
  <c r="BA108" i="46" s="1"/>
  <c r="AM108" i="46"/>
  <c r="AR107" i="46"/>
  <c r="BA107" i="46" s="1"/>
  <c r="AM107" i="46"/>
  <c r="T107" i="46"/>
  <c r="N107" i="46"/>
  <c r="H107" i="46" s="1"/>
  <c r="J107" i="46" s="1"/>
  <c r="F17" i="16"/>
  <c r="F9" i="16"/>
  <c r="I38" i="16"/>
  <c r="I38" i="47" s="1"/>
  <c r="G42" i="16"/>
  <c r="I37" i="16" s="1"/>
  <c r="F42" i="16"/>
  <c r="P54" i="16"/>
  <c r="AF8" i="16"/>
  <c r="AG8" i="16"/>
  <c r="AG7" i="16"/>
  <c r="AG6" i="16"/>
  <c r="Y18" i="16"/>
  <c r="Z18" i="16"/>
  <c r="Y19" i="16"/>
  <c r="Z19" i="16"/>
  <c r="W20" i="16"/>
  <c r="Y17" i="16"/>
  <c r="Z17" i="16"/>
  <c r="X16" i="16"/>
  <c r="W16" i="16"/>
  <c r="X15" i="16"/>
  <c r="Y15" i="16" s="1"/>
  <c r="W15" i="16"/>
  <c r="X14" i="16"/>
  <c r="W14" i="16"/>
  <c r="X13" i="16"/>
  <c r="Y13" i="16" s="1"/>
  <c r="W13" i="16"/>
  <c r="X12" i="16"/>
  <c r="W12" i="16"/>
  <c r="X11" i="16"/>
  <c r="Y11" i="16" s="1"/>
  <c r="W11" i="16"/>
  <c r="X10" i="16"/>
  <c r="Y10" i="16" s="1"/>
  <c r="W10" i="16"/>
  <c r="X9" i="16"/>
  <c r="Y9" i="16" s="1"/>
  <c r="W9" i="16"/>
  <c r="X8" i="16"/>
  <c r="Y8" i="16" s="1"/>
  <c r="W8" i="16"/>
  <c r="Z8" i="16" s="1"/>
  <c r="X7" i="16"/>
  <c r="W7" i="16"/>
  <c r="Y6" i="16"/>
  <c r="W6" i="16"/>
  <c r="Z6" i="16" s="1"/>
  <c r="M60" i="16"/>
  <c r="P37" i="16"/>
  <c r="S37" i="16" s="1"/>
  <c r="Q50" i="16"/>
  <c r="Q51" i="16" s="1"/>
  <c r="R37" i="16"/>
  <c r="Q25" i="16"/>
  <c r="R25" i="16" s="1"/>
  <c r="Q24" i="16"/>
  <c r="R24" i="16" s="1"/>
  <c r="P25" i="16"/>
  <c r="S25" i="16" s="1"/>
  <c r="Q23" i="16"/>
  <c r="P24" i="16"/>
  <c r="P23" i="16"/>
  <c r="R22" i="16"/>
  <c r="P22" i="16"/>
  <c r="S22" i="16" s="1"/>
  <c r="Q16" i="16"/>
  <c r="Q15" i="16"/>
  <c r="R15" i="16" s="1"/>
  <c r="Q14" i="16"/>
  <c r="R14" i="16" s="1"/>
  <c r="Q13" i="16"/>
  <c r="R13" i="16" s="1"/>
  <c r="Q12" i="16"/>
  <c r="P20" i="16"/>
  <c r="Q17" i="16"/>
  <c r="R17" i="16" s="1"/>
  <c r="P12" i="16"/>
  <c r="R16" i="16"/>
  <c r="Q11" i="16"/>
  <c r="R11" i="16" s="1"/>
  <c r="Q10" i="16"/>
  <c r="R10" i="16" s="1"/>
  <c r="Q9" i="16"/>
  <c r="R9" i="16" s="1"/>
  <c r="Q8" i="16"/>
  <c r="R8" i="16" s="1"/>
  <c r="Q7" i="16"/>
  <c r="P17" i="16"/>
  <c r="P16" i="16"/>
  <c r="P15" i="16"/>
  <c r="P14" i="16"/>
  <c r="P13" i="16"/>
  <c r="P7" i="16"/>
  <c r="P8" i="16"/>
  <c r="S8" i="16" s="1"/>
  <c r="P9" i="16"/>
  <c r="P10" i="16"/>
  <c r="P11" i="16"/>
  <c r="R6" i="16"/>
  <c r="P6" i="16"/>
  <c r="S6" i="16" s="1"/>
  <c r="S7" i="16" l="1"/>
  <c r="S10" i="16"/>
  <c r="AD107" i="46"/>
  <c r="Z11" i="16"/>
  <c r="Z15" i="16"/>
  <c r="X23" i="16"/>
  <c r="X24" i="16" s="1"/>
  <c r="S24" i="16"/>
  <c r="S35" i="16" s="1"/>
  <c r="Z9" i="16"/>
  <c r="Z13" i="16"/>
  <c r="AC107" i="57"/>
  <c r="BA26" i="48"/>
  <c r="Z7" i="16"/>
  <c r="Z14" i="16"/>
  <c r="AD108" i="46"/>
  <c r="S13" i="16"/>
  <c r="S9" i="16"/>
  <c r="Z16" i="16"/>
  <c r="S11" i="16"/>
  <c r="Z10" i="16"/>
  <c r="V107" i="46"/>
  <c r="P108" i="46"/>
  <c r="U107" i="46"/>
  <c r="T108" i="46"/>
  <c r="C107" i="46"/>
  <c r="N26" i="48" s="1"/>
  <c r="AD110" i="46"/>
  <c r="AD109" i="46"/>
  <c r="J108" i="46"/>
  <c r="K108" i="46"/>
  <c r="V108" i="46"/>
  <c r="U108" i="46"/>
  <c r="K107" i="46"/>
  <c r="P107" i="46"/>
  <c r="AG19" i="16"/>
  <c r="AF7" i="16"/>
  <c r="AF19" i="16" s="1"/>
  <c r="AE19" i="16"/>
  <c r="AE20" i="16" s="1"/>
  <c r="Y14" i="16"/>
  <c r="Y16" i="16"/>
  <c r="Y7" i="16"/>
  <c r="Y23" i="16" s="1"/>
  <c r="S50" i="16"/>
  <c r="S51" i="16" s="1"/>
  <c r="R50" i="16"/>
  <c r="R51" i="16" s="1"/>
  <c r="S23" i="16"/>
  <c r="R23" i="16"/>
  <c r="Q35" i="16"/>
  <c r="Q36" i="16" s="1"/>
  <c r="S15" i="16"/>
  <c r="S14" i="16"/>
  <c r="S17" i="16"/>
  <c r="S16" i="16"/>
  <c r="Q19" i="16"/>
  <c r="Q20" i="16" s="1"/>
  <c r="R7" i="16"/>
  <c r="R19" i="16"/>
  <c r="K26" i="2"/>
  <c r="AE26" i="2"/>
  <c r="Z23" i="16" l="1"/>
  <c r="Z24" i="16" s="1"/>
  <c r="AC108" i="46"/>
  <c r="AC107" i="46"/>
  <c r="L26" i="48"/>
  <c r="AG20" i="16"/>
  <c r="AF20" i="16"/>
  <c r="Y24" i="16"/>
  <c r="S36" i="16"/>
  <c r="R35" i="16"/>
  <c r="R36" i="16" s="1"/>
  <c r="S19" i="16"/>
  <c r="S20" i="16" s="1"/>
  <c r="R20" i="16"/>
  <c r="AA26" i="2"/>
  <c r="W26" i="2"/>
  <c r="G26" i="2"/>
  <c r="S26" i="2" s="1"/>
  <c r="Y26" i="2" l="1"/>
  <c r="AM26" i="2"/>
  <c r="E36" i="47"/>
  <c r="AP25" i="48"/>
  <c r="G36" i="47" l="1"/>
  <c r="H36" i="47" s="1"/>
  <c r="O102" i="57" s="1"/>
  <c r="C102" i="57" l="1"/>
  <c r="K102" i="57"/>
  <c r="U102" i="57"/>
  <c r="V102" i="57"/>
  <c r="T102" i="57"/>
  <c r="P102" i="57"/>
  <c r="O102" i="46"/>
  <c r="T102" i="46" s="1"/>
  <c r="AR105" i="46"/>
  <c r="BA105" i="46" s="1"/>
  <c r="AM105" i="46"/>
  <c r="AR104" i="46"/>
  <c r="BA104" i="46" s="1"/>
  <c r="AM104" i="46"/>
  <c r="AR103" i="46"/>
  <c r="BA103" i="46" s="1"/>
  <c r="AM103" i="46"/>
  <c r="AD103" i="46" s="1"/>
  <c r="AR102" i="46"/>
  <c r="BA102" i="46" s="1"/>
  <c r="AM102" i="46"/>
  <c r="U102" i="46"/>
  <c r="N102" i="46"/>
  <c r="I38" i="17"/>
  <c r="I36" i="47" s="1"/>
  <c r="Q31" i="17"/>
  <c r="R31" i="17" s="1"/>
  <c r="P32" i="17"/>
  <c r="R33" i="17"/>
  <c r="P33" i="17"/>
  <c r="S33" i="17" s="1"/>
  <c r="P31" i="17"/>
  <c r="S22" i="17"/>
  <c r="Q22" i="17"/>
  <c r="R22" i="17" s="1"/>
  <c r="Q21" i="17"/>
  <c r="Q20" i="17"/>
  <c r="R20" i="17" s="1"/>
  <c r="Q19" i="17"/>
  <c r="Q18" i="17"/>
  <c r="R18" i="17" s="1"/>
  <c r="P19" i="17"/>
  <c r="P20" i="17"/>
  <c r="P21" i="17"/>
  <c r="S21" i="17" s="1"/>
  <c r="P22" i="17"/>
  <c r="P18" i="17"/>
  <c r="R8" i="17"/>
  <c r="P8" i="17"/>
  <c r="S8" i="17" s="1"/>
  <c r="R7" i="17"/>
  <c r="P7" i="17"/>
  <c r="S7" i="17" s="1"/>
  <c r="Q16" i="17"/>
  <c r="Q17" i="17" s="1"/>
  <c r="P6" i="17"/>
  <c r="S6" i="17" s="1"/>
  <c r="S19" i="17" l="1"/>
  <c r="AC102" i="57"/>
  <c r="V102" i="46"/>
  <c r="P102" i="46"/>
  <c r="BA25" i="48"/>
  <c r="C102" i="46"/>
  <c r="N25" i="48" s="1"/>
  <c r="R19" i="17"/>
  <c r="Q28" i="17"/>
  <c r="Q29" i="17" s="1"/>
  <c r="S20" i="17"/>
  <c r="Q32" i="17"/>
  <c r="R32" i="17" s="1"/>
  <c r="R41" i="17" s="1"/>
  <c r="R21" i="17"/>
  <c r="AD104" i="46"/>
  <c r="AD102" i="46"/>
  <c r="H102" i="46"/>
  <c r="J102" i="46" s="1"/>
  <c r="AD105" i="46"/>
  <c r="S31" i="17"/>
  <c r="S18" i="17"/>
  <c r="S28" i="17" s="1"/>
  <c r="S16" i="17"/>
  <c r="S17" i="17" s="1"/>
  <c r="R6" i="17"/>
  <c r="R16" i="17" s="1"/>
  <c r="R17" i="17" s="1"/>
  <c r="AA24" i="2"/>
  <c r="AA25" i="2"/>
  <c r="W25" i="2"/>
  <c r="W24" i="2"/>
  <c r="G25" i="2"/>
  <c r="G24" i="2"/>
  <c r="R28" i="17" l="1"/>
  <c r="R29" i="17" s="1"/>
  <c r="S29" i="17"/>
  <c r="Y24" i="2"/>
  <c r="Y25" i="2"/>
  <c r="S32" i="17"/>
  <c r="S41" i="17" s="1"/>
  <c r="Q41" i="17"/>
  <c r="Q42" i="17" s="1"/>
  <c r="K102" i="46"/>
  <c r="L25" i="48" s="1"/>
  <c r="R42" i="17"/>
  <c r="AP24" i="48"/>
  <c r="AP23" i="48"/>
  <c r="E34" i="47"/>
  <c r="AC102" i="46" l="1"/>
  <c r="S42" i="17"/>
  <c r="G34" i="47"/>
  <c r="H34" i="47" s="1"/>
  <c r="O96" i="57" s="1"/>
  <c r="C96" i="57" l="1"/>
  <c r="K96" i="57"/>
  <c r="V96" i="57"/>
  <c r="T96" i="57"/>
  <c r="U96" i="57"/>
  <c r="P96" i="57"/>
  <c r="O96" i="46"/>
  <c r="AC96" i="57" l="1"/>
  <c r="BA24" i="48"/>
  <c r="I32" i="47"/>
  <c r="E32" i="47"/>
  <c r="H32" i="47" s="1"/>
  <c r="O90" i="57" s="1"/>
  <c r="C90" i="57" l="1"/>
  <c r="K90" i="57"/>
  <c r="U90" i="57"/>
  <c r="AA90" i="57" s="1"/>
  <c r="P90" i="57"/>
  <c r="T90" i="57"/>
  <c r="V90" i="57"/>
  <c r="O90" i="46"/>
  <c r="G32" i="47"/>
  <c r="AC90" i="57" l="1"/>
  <c r="X90" i="57"/>
  <c r="AB90" i="57"/>
  <c r="BA23" i="48"/>
  <c r="AR100" i="46"/>
  <c r="BA100" i="46" s="1"/>
  <c r="AM100" i="46"/>
  <c r="AR99" i="46"/>
  <c r="BA99" i="46" s="1"/>
  <c r="AM99" i="46"/>
  <c r="AR98" i="46"/>
  <c r="BA98" i="46" s="1"/>
  <c r="AM98" i="46"/>
  <c r="AR97" i="46"/>
  <c r="BA97" i="46" s="1"/>
  <c r="AM97" i="46"/>
  <c r="AR96" i="46"/>
  <c r="BA96" i="46" s="1"/>
  <c r="AM96" i="46"/>
  <c r="U96" i="46"/>
  <c r="N96" i="46"/>
  <c r="V96" i="46" s="1"/>
  <c r="AR94" i="46"/>
  <c r="BA94" i="46" s="1"/>
  <c r="AM94" i="46"/>
  <c r="AR93" i="46"/>
  <c r="BA93" i="46" s="1"/>
  <c r="AM93" i="46"/>
  <c r="AR92" i="46"/>
  <c r="BA92" i="46" s="1"/>
  <c r="AM92" i="46"/>
  <c r="AR91" i="46"/>
  <c r="BA91" i="46" s="1"/>
  <c r="AM91" i="46"/>
  <c r="AD91" i="46" s="1"/>
  <c r="AR90" i="46"/>
  <c r="BA90" i="46" s="1"/>
  <c r="AM90" i="46"/>
  <c r="U90" i="46"/>
  <c r="AA90" i="46" s="1"/>
  <c r="N90" i="46"/>
  <c r="F26" i="18"/>
  <c r="I38" i="18"/>
  <c r="I34" i="47" s="1"/>
  <c r="G42" i="18"/>
  <c r="I37" i="18" s="1"/>
  <c r="F42" i="18"/>
  <c r="N44" i="18"/>
  <c r="Q41" i="18"/>
  <c r="Q42" i="18" s="1"/>
  <c r="R33" i="18"/>
  <c r="P33" i="18"/>
  <c r="S33" i="18" s="1"/>
  <c r="R32" i="18"/>
  <c r="P32" i="18"/>
  <c r="S32" i="18" s="1"/>
  <c r="R31" i="18"/>
  <c r="P31" i="18"/>
  <c r="S31" i="18" s="1"/>
  <c r="R20" i="18"/>
  <c r="P20" i="18"/>
  <c r="S20" i="18" s="1"/>
  <c r="R19" i="18"/>
  <c r="P19" i="18"/>
  <c r="S19" i="18" s="1"/>
  <c r="R18" i="18"/>
  <c r="Q28" i="18"/>
  <c r="Q29" i="18" s="1"/>
  <c r="P18" i="18"/>
  <c r="S18" i="18" s="1"/>
  <c r="Q6" i="18"/>
  <c r="Q16" i="18" s="1"/>
  <c r="Q17" i="18" s="1"/>
  <c r="P8" i="18"/>
  <c r="S8" i="18" s="1"/>
  <c r="R7" i="18"/>
  <c r="P7" i="18"/>
  <c r="S7" i="18" s="1"/>
  <c r="P6" i="18"/>
  <c r="R6" i="18" l="1"/>
  <c r="S6" i="18"/>
  <c r="S16" i="18" s="1"/>
  <c r="S17" i="18" s="1"/>
  <c r="AD94" i="46"/>
  <c r="S41" i="18"/>
  <c r="S42" i="18" s="1"/>
  <c r="R41" i="18"/>
  <c r="R42" i="18" s="1"/>
  <c r="AD93" i="46"/>
  <c r="R28" i="18"/>
  <c r="R29" i="18" s="1"/>
  <c r="AD92" i="46"/>
  <c r="AD100" i="46"/>
  <c r="S28" i="18"/>
  <c r="S29" i="18" s="1"/>
  <c r="AD90" i="46"/>
  <c r="AD99" i="46"/>
  <c r="V90" i="46"/>
  <c r="AD98" i="46"/>
  <c r="AD97" i="46"/>
  <c r="AD96" i="46"/>
  <c r="P96" i="46"/>
  <c r="T96" i="46"/>
  <c r="C96" i="46"/>
  <c r="N24" i="48" s="1"/>
  <c r="H96" i="46"/>
  <c r="P90" i="46"/>
  <c r="T90" i="46"/>
  <c r="C90" i="46"/>
  <c r="N23" i="48" s="1"/>
  <c r="H90" i="46"/>
  <c r="R8" i="18"/>
  <c r="R16" i="18" s="1"/>
  <c r="R17" i="18" s="1"/>
  <c r="K96" i="46" l="1"/>
  <c r="L24" i="48" s="1"/>
  <c r="J96" i="46"/>
  <c r="J90" i="46"/>
  <c r="K90" i="46"/>
  <c r="L23" i="48" s="1"/>
  <c r="F23" i="19"/>
  <c r="F14" i="19"/>
  <c r="AC96" i="46" l="1"/>
  <c r="AC90" i="46"/>
  <c r="X90" i="46"/>
  <c r="AB90" i="46"/>
  <c r="AP22" i="48"/>
  <c r="I30" i="47" l="1"/>
  <c r="E30" i="47"/>
  <c r="H30" i="47" s="1"/>
  <c r="O84" i="57" s="1"/>
  <c r="AR88" i="46"/>
  <c r="BA88" i="46" s="1"/>
  <c r="AM88" i="46"/>
  <c r="AR87" i="46"/>
  <c r="BA87" i="46" s="1"/>
  <c r="AM87" i="46"/>
  <c r="AR86" i="46"/>
  <c r="BA86" i="46" s="1"/>
  <c r="AM86" i="46"/>
  <c r="AR85" i="46"/>
  <c r="BA85" i="46" s="1"/>
  <c r="AM85" i="46"/>
  <c r="AR84" i="46"/>
  <c r="BA84" i="46" s="1"/>
  <c r="AM84" i="46"/>
  <c r="N84" i="46"/>
  <c r="A9" i="1"/>
  <c r="C84" i="57" l="1"/>
  <c r="K84" i="57"/>
  <c r="T84" i="57"/>
  <c r="P84" i="57"/>
  <c r="U84" i="57"/>
  <c r="AA84" i="57" s="1"/>
  <c r="V84" i="57"/>
  <c r="AD85" i="46"/>
  <c r="AD86" i="46"/>
  <c r="AD87" i="46"/>
  <c r="AD88" i="46"/>
  <c r="AD84" i="46"/>
  <c r="O84" i="46"/>
  <c r="V84" i="46" s="1"/>
  <c r="G30" i="47"/>
  <c r="H84" i="46"/>
  <c r="AP21" i="48"/>
  <c r="AC84" i="57" l="1"/>
  <c r="X84" i="57"/>
  <c r="AB84" i="57"/>
  <c r="BA22" i="48"/>
  <c r="P84" i="46"/>
  <c r="T84" i="46"/>
  <c r="C84" i="46"/>
  <c r="N22" i="48" s="1"/>
  <c r="U84" i="46"/>
  <c r="AA84" i="46" s="1"/>
  <c r="K84" i="46"/>
  <c r="L22" i="48" s="1"/>
  <c r="J84" i="46"/>
  <c r="I28" i="47"/>
  <c r="E28" i="47"/>
  <c r="H28" i="47" s="1"/>
  <c r="O78" i="57" s="1"/>
  <c r="AR82" i="46"/>
  <c r="BA82" i="46" s="1"/>
  <c r="AM82" i="46"/>
  <c r="AR81" i="46"/>
  <c r="BA81" i="46" s="1"/>
  <c r="AM81" i="46"/>
  <c r="AR80" i="46"/>
  <c r="BA80" i="46" s="1"/>
  <c r="AM80" i="46"/>
  <c r="AR79" i="46"/>
  <c r="BA79" i="46" s="1"/>
  <c r="AM79" i="46"/>
  <c r="AR78" i="46"/>
  <c r="BA78" i="46" s="1"/>
  <c r="AM78" i="46"/>
  <c r="N78" i="46"/>
  <c r="C78" i="57" l="1"/>
  <c r="K78" i="57"/>
  <c r="P78" i="57"/>
  <c r="T78" i="57"/>
  <c r="U78" i="57"/>
  <c r="AA78" i="57" s="1"/>
  <c r="V78" i="57"/>
  <c r="AD78" i="46"/>
  <c r="AD82" i="46"/>
  <c r="AD79" i="46"/>
  <c r="AD80" i="46"/>
  <c r="AC84" i="46"/>
  <c r="AB84" i="46" s="1"/>
  <c r="X84" i="46"/>
  <c r="O78" i="46"/>
  <c r="C78" i="46" s="1"/>
  <c r="N21" i="48" s="1"/>
  <c r="AD81" i="46"/>
  <c r="G28" i="47"/>
  <c r="H78" i="46"/>
  <c r="AP20" i="48"/>
  <c r="AC78" i="57" l="1"/>
  <c r="AB78" i="57" s="1"/>
  <c r="X78" i="57"/>
  <c r="BA21" i="48"/>
  <c r="V78" i="46"/>
  <c r="P78" i="46"/>
  <c r="T78" i="46"/>
  <c r="U78" i="46"/>
  <c r="AA78" i="46" s="1"/>
  <c r="K78" i="46"/>
  <c r="L21" i="48" s="1"/>
  <c r="J78" i="46"/>
  <c r="I26" i="47"/>
  <c r="E26" i="47"/>
  <c r="H26" i="47" s="1"/>
  <c r="O72" i="57" s="1"/>
  <c r="AR76" i="46"/>
  <c r="BA76" i="46" s="1"/>
  <c r="AM76" i="46"/>
  <c r="AR75" i="46"/>
  <c r="BA75" i="46" s="1"/>
  <c r="AM75" i="46"/>
  <c r="AR74" i="46"/>
  <c r="BA74" i="46" s="1"/>
  <c r="AM74" i="46"/>
  <c r="AR73" i="46"/>
  <c r="BA73" i="46" s="1"/>
  <c r="AM73" i="46"/>
  <c r="AR72" i="46"/>
  <c r="BA72" i="46" s="1"/>
  <c r="AM72" i="46"/>
  <c r="N72" i="46"/>
  <c r="H72" i="46" s="1"/>
  <c r="C72" i="57" l="1"/>
  <c r="K72" i="57"/>
  <c r="U72" i="57"/>
  <c r="AA72" i="57" s="1"/>
  <c r="T72" i="57"/>
  <c r="P72" i="57"/>
  <c r="V72" i="57"/>
  <c r="AD73" i="46"/>
  <c r="AD74" i="46"/>
  <c r="O72" i="46"/>
  <c r="U72" i="46" s="1"/>
  <c r="AA72" i="46" s="1"/>
  <c r="AD75" i="46"/>
  <c r="AD72" i="46"/>
  <c r="AD76" i="46"/>
  <c r="X78" i="46"/>
  <c r="AC78" i="46"/>
  <c r="AB78" i="46" s="1"/>
  <c r="G26" i="47"/>
  <c r="J72" i="46"/>
  <c r="P72" i="46"/>
  <c r="AC72" i="57" l="1"/>
  <c r="X72" i="57"/>
  <c r="AB72" i="57"/>
  <c r="BA20" i="48"/>
  <c r="V72" i="46"/>
  <c r="T72" i="46"/>
  <c r="K72" i="46"/>
  <c r="C72" i="46"/>
  <c r="N20" i="48" s="1"/>
  <c r="AP19" i="48"/>
  <c r="L20" i="48" l="1"/>
  <c r="X72" i="46"/>
  <c r="AC72" i="46"/>
  <c r="AB72" i="46" s="1"/>
  <c r="I22" i="47"/>
  <c r="I24" i="47"/>
  <c r="E24" i="47"/>
  <c r="H24" i="47" s="1"/>
  <c r="O66" i="57" s="1"/>
  <c r="AR70" i="46"/>
  <c r="BA70" i="46" s="1"/>
  <c r="AM70" i="46"/>
  <c r="AR69" i="46"/>
  <c r="BA69" i="46" s="1"/>
  <c r="AM69" i="46"/>
  <c r="AR68" i="46"/>
  <c r="BA68" i="46" s="1"/>
  <c r="AM68" i="46"/>
  <c r="AR67" i="46"/>
  <c r="BA67" i="46" s="1"/>
  <c r="AM67" i="46"/>
  <c r="AR66" i="46"/>
  <c r="BA66" i="46" s="1"/>
  <c r="AM66" i="46"/>
  <c r="N66" i="46"/>
  <c r="H66" i="46" s="1"/>
  <c r="AD70" i="46" l="1"/>
  <c r="AD66" i="46"/>
  <c r="C66" i="57"/>
  <c r="K66" i="57"/>
  <c r="U66" i="57"/>
  <c r="AA66" i="57" s="1"/>
  <c r="P66" i="57"/>
  <c r="V66" i="57"/>
  <c r="T66" i="57"/>
  <c r="AD69" i="46"/>
  <c r="O66" i="46"/>
  <c r="AD67" i="46"/>
  <c r="G24" i="47"/>
  <c r="AD68" i="46"/>
  <c r="J66" i="46"/>
  <c r="AP18" i="48"/>
  <c r="AC66" i="57" l="1"/>
  <c r="X66" i="57"/>
  <c r="AB66" i="57"/>
  <c r="BA19" i="48"/>
  <c r="C66" i="46"/>
  <c r="N19" i="48" s="1"/>
  <c r="U66" i="46"/>
  <c r="AA66" i="46" s="1"/>
  <c r="T66" i="46"/>
  <c r="P66" i="46"/>
  <c r="K66" i="46"/>
  <c r="V66" i="46"/>
  <c r="E22" i="47"/>
  <c r="H22" i="47" s="1"/>
  <c r="O60" i="57" s="1"/>
  <c r="AR64" i="46"/>
  <c r="BA64" i="46" s="1"/>
  <c r="AM64" i="46"/>
  <c r="AR63" i="46"/>
  <c r="BA63" i="46" s="1"/>
  <c r="AM63" i="46"/>
  <c r="AR62" i="46"/>
  <c r="BA62" i="46" s="1"/>
  <c r="AM62" i="46"/>
  <c r="AR61" i="46"/>
  <c r="BA61" i="46" s="1"/>
  <c r="AM61" i="46"/>
  <c r="AR60" i="46"/>
  <c r="BA60" i="46" s="1"/>
  <c r="AM60" i="46"/>
  <c r="N60" i="46"/>
  <c r="C60" i="57" l="1"/>
  <c r="K60" i="57"/>
  <c r="T60" i="57"/>
  <c r="U60" i="57"/>
  <c r="AA60" i="57" s="1"/>
  <c r="V60" i="57"/>
  <c r="P60" i="57"/>
  <c r="AD61" i="46"/>
  <c r="L19" i="48"/>
  <c r="X66" i="46"/>
  <c r="AC66" i="46"/>
  <c r="AB66" i="46" s="1"/>
  <c r="AD63" i="46"/>
  <c r="AD60" i="46"/>
  <c r="AD64" i="46"/>
  <c r="AD62" i="46"/>
  <c r="O60" i="46"/>
  <c r="C60" i="46" s="1"/>
  <c r="N18" i="48" s="1"/>
  <c r="G22" i="47"/>
  <c r="H60" i="46"/>
  <c r="I20" i="47"/>
  <c r="I18" i="47"/>
  <c r="E20" i="47"/>
  <c r="H20" i="47" s="1"/>
  <c r="O54" i="57" s="1"/>
  <c r="E18" i="47"/>
  <c r="H18" i="47" s="1"/>
  <c r="O48" i="57" s="1"/>
  <c r="C48" i="57" l="1"/>
  <c r="K48" i="57"/>
  <c r="C54" i="57"/>
  <c r="K54" i="57"/>
  <c r="AC60" i="57"/>
  <c r="AB60" i="57" s="1"/>
  <c r="X60" i="57"/>
  <c r="V54" i="57"/>
  <c r="P54" i="57"/>
  <c r="T54" i="57"/>
  <c r="U54" i="57"/>
  <c r="AA54" i="57" s="1"/>
  <c r="T48" i="57"/>
  <c r="V48" i="57"/>
  <c r="P48" i="57"/>
  <c r="U48" i="57"/>
  <c r="AA48" i="57" s="1"/>
  <c r="BA18" i="48"/>
  <c r="U60" i="46"/>
  <c r="AA60" i="46" s="1"/>
  <c r="O48" i="46"/>
  <c r="T60" i="46"/>
  <c r="V60" i="46"/>
  <c r="P60" i="46"/>
  <c r="O54" i="46"/>
  <c r="K60" i="46"/>
  <c r="L18" i="48" s="1"/>
  <c r="J60" i="46"/>
  <c r="G20" i="47"/>
  <c r="G18" i="47"/>
  <c r="AC48" i="57" l="1"/>
  <c r="AB48" i="57" s="1"/>
  <c r="X48" i="57"/>
  <c r="AC54" i="57"/>
  <c r="AB54" i="57" s="1"/>
  <c r="X54" i="57"/>
  <c r="BA17" i="48"/>
  <c r="BA16" i="48"/>
  <c r="AC60" i="46"/>
  <c r="AB60" i="46" s="1"/>
  <c r="X60" i="46"/>
  <c r="AP17" i="48"/>
  <c r="AP16" i="48"/>
  <c r="AR58" i="46"/>
  <c r="BA58" i="46" s="1"/>
  <c r="AM58" i="46"/>
  <c r="AR57" i="46"/>
  <c r="BA57" i="46" s="1"/>
  <c r="AM57" i="46"/>
  <c r="AR56" i="46"/>
  <c r="BA56" i="46" s="1"/>
  <c r="AM56" i="46"/>
  <c r="AR55" i="46"/>
  <c r="BA55" i="46" s="1"/>
  <c r="AM55" i="46"/>
  <c r="AR54" i="46"/>
  <c r="BA54" i="46" s="1"/>
  <c r="AM54" i="46"/>
  <c r="C54" i="46"/>
  <c r="N17" i="48" s="1"/>
  <c r="N54" i="46"/>
  <c r="V54" i="46" s="1"/>
  <c r="AR52" i="46"/>
  <c r="BA52" i="46" s="1"/>
  <c r="AM52" i="46"/>
  <c r="AR51" i="46"/>
  <c r="BA51" i="46" s="1"/>
  <c r="AM51" i="46"/>
  <c r="AR50" i="46"/>
  <c r="BA50" i="46" s="1"/>
  <c r="AM50" i="46"/>
  <c r="AR49" i="46"/>
  <c r="BA49" i="46" s="1"/>
  <c r="AM49" i="46"/>
  <c r="AR48" i="46"/>
  <c r="BA48" i="46" s="1"/>
  <c r="AM48" i="46"/>
  <c r="P48" i="46"/>
  <c r="N48" i="46"/>
  <c r="V48" i="46" s="1"/>
  <c r="AD50" i="46" l="1"/>
  <c r="AD48" i="46"/>
  <c r="AD52" i="46"/>
  <c r="AD55" i="46"/>
  <c r="AD51" i="46"/>
  <c r="AD56" i="46"/>
  <c r="AD49" i="46"/>
  <c r="AD57" i="46"/>
  <c r="AD54" i="46"/>
  <c r="AD58" i="46"/>
  <c r="P54" i="46"/>
  <c r="T54" i="46"/>
  <c r="U54" i="46"/>
  <c r="AA54" i="46" s="1"/>
  <c r="H54" i="46"/>
  <c r="T48" i="46"/>
  <c r="C48" i="46"/>
  <c r="N16" i="48" s="1"/>
  <c r="U48" i="46"/>
  <c r="AA48" i="46" s="1"/>
  <c r="H48" i="46"/>
  <c r="K54" i="46" l="1"/>
  <c r="L17" i="48" s="1"/>
  <c r="J54" i="46"/>
  <c r="K48" i="46"/>
  <c r="L16" i="48" s="1"/>
  <c r="J48" i="46"/>
  <c r="AC54" i="46" l="1"/>
  <c r="AB54" i="46" s="1"/>
  <c r="X54" i="46"/>
  <c r="AC48" i="46"/>
  <c r="AB48" i="46" s="1"/>
  <c r="X48" i="46"/>
  <c r="AP15" i="48" l="1"/>
  <c r="E16" i="47" l="1"/>
  <c r="H16" i="47" s="1"/>
  <c r="O42" i="57" s="1"/>
  <c r="AR46" i="46"/>
  <c r="BA46" i="46" s="1"/>
  <c r="AM46" i="46"/>
  <c r="AR45" i="46"/>
  <c r="BA45" i="46" s="1"/>
  <c r="AM45" i="46"/>
  <c r="AR44" i="46"/>
  <c r="BA44" i="46" s="1"/>
  <c r="AM44" i="46"/>
  <c r="AR43" i="46"/>
  <c r="BA43" i="46" s="1"/>
  <c r="AM43" i="46"/>
  <c r="AR42" i="46"/>
  <c r="BA42" i="46" s="1"/>
  <c r="AM42" i="46"/>
  <c r="N42" i="46"/>
  <c r="H42" i="46" s="1"/>
  <c r="J42" i="46" s="1"/>
  <c r="C42" i="57" l="1"/>
  <c r="K42" i="57"/>
  <c r="T42" i="57"/>
  <c r="P42" i="57"/>
  <c r="V42" i="57"/>
  <c r="U42" i="57"/>
  <c r="AA42" i="57" s="1"/>
  <c r="AD45" i="46"/>
  <c r="O42" i="46"/>
  <c r="U42" i="46" s="1"/>
  <c r="AA42" i="46" s="1"/>
  <c r="AD46" i="46"/>
  <c r="AD44" i="46"/>
  <c r="AD43" i="46"/>
  <c r="AD42" i="46"/>
  <c r="G16" i="47"/>
  <c r="AC42" i="57" l="1"/>
  <c r="X42" i="57"/>
  <c r="AB42" i="57"/>
  <c r="C42" i="46"/>
  <c r="N15" i="48" s="1"/>
  <c r="BA15" i="48"/>
  <c r="T42" i="46"/>
  <c r="P42" i="46"/>
  <c r="K42" i="46"/>
  <c r="L15" i="48" s="1"/>
  <c r="V42" i="46"/>
  <c r="AP14" i="48"/>
  <c r="AC42" i="46" l="1"/>
  <c r="AB42" i="46" s="1"/>
  <c r="X42" i="46"/>
  <c r="I14" i="47"/>
  <c r="E14" i="47"/>
  <c r="G14" i="47" s="1"/>
  <c r="AR40" i="46"/>
  <c r="BA40" i="46" s="1"/>
  <c r="AM40" i="46"/>
  <c r="AR39" i="46"/>
  <c r="BA39" i="46" s="1"/>
  <c r="AM39" i="46"/>
  <c r="AR38" i="46"/>
  <c r="BA38" i="46" s="1"/>
  <c r="AM38" i="46"/>
  <c r="AR37" i="46"/>
  <c r="BA37" i="46" s="1"/>
  <c r="AM37" i="46"/>
  <c r="AR36" i="46"/>
  <c r="BA36" i="46" s="1"/>
  <c r="AM36" i="46"/>
  <c r="N36" i="46"/>
  <c r="AD36" i="46" l="1"/>
  <c r="AD39" i="46"/>
  <c r="AD40" i="46"/>
  <c r="AD37" i="46"/>
  <c r="AD38" i="46"/>
  <c r="H14" i="47"/>
  <c r="O36" i="57" s="1"/>
  <c r="H36" i="46"/>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C36" i="57" l="1"/>
  <c r="K36" i="57"/>
  <c r="U36" i="57"/>
  <c r="AA36" i="57" s="1"/>
  <c r="V36" i="57"/>
  <c r="T36" i="57"/>
  <c r="P36" i="57"/>
  <c r="O36" i="46"/>
  <c r="K36" i="46" s="1"/>
  <c r="L14" i="48" s="1"/>
  <c r="J36" i="46"/>
  <c r="AP10" i="48"/>
  <c r="AP11" i="48"/>
  <c r="AP12" i="48"/>
  <c r="AP13" i="48"/>
  <c r="AP9" i="48"/>
  <c r="AC36" i="57" l="1"/>
  <c r="X36" i="57"/>
  <c r="AB36" i="57"/>
  <c r="BA14" i="48"/>
  <c r="U36" i="46"/>
  <c r="AA36" i="46" s="1"/>
  <c r="P36" i="46"/>
  <c r="V36" i="46"/>
  <c r="C36" i="46"/>
  <c r="N14" i="48" s="1"/>
  <c r="T36" i="46"/>
  <c r="X36" i="46"/>
  <c r="AC36" i="46"/>
  <c r="I12" i="47"/>
  <c r="E12" i="47"/>
  <c r="G12" i="47" s="1"/>
  <c r="AB36" i="46" l="1"/>
  <c r="H12" i="47"/>
  <c r="O30" i="57" s="1"/>
  <c r="AR34" i="46"/>
  <c r="BA34" i="46" s="1"/>
  <c r="AM34" i="46"/>
  <c r="AR33" i="46"/>
  <c r="BA33" i="46" s="1"/>
  <c r="AM33" i="46"/>
  <c r="AR32" i="46"/>
  <c r="BA32" i="46" s="1"/>
  <c r="AM32" i="46"/>
  <c r="AR31" i="46"/>
  <c r="BA31" i="46" s="1"/>
  <c r="AM31" i="46"/>
  <c r="AR30" i="46"/>
  <c r="BA30" i="46" s="1"/>
  <c r="AM30" i="46"/>
  <c r="N30" i="46"/>
  <c r="C30" i="57" l="1"/>
  <c r="K30" i="57"/>
  <c r="P30" i="57"/>
  <c r="T30" i="57"/>
  <c r="V30" i="57"/>
  <c r="U30" i="57"/>
  <c r="AA30" i="57" s="1"/>
  <c r="AD33" i="46"/>
  <c r="AD31" i="46"/>
  <c r="O30" i="46"/>
  <c r="U30" i="46" s="1"/>
  <c r="AA30" i="46" s="1"/>
  <c r="AD34" i="46"/>
  <c r="AD30" i="46"/>
  <c r="AD32" i="46"/>
  <c r="H30" i="46"/>
  <c r="AC30" i="57" l="1"/>
  <c r="AB30" i="57" s="1"/>
  <c r="X30" i="57"/>
  <c r="BA13" i="48"/>
  <c r="P30" i="46"/>
  <c r="V30" i="46"/>
  <c r="T30" i="46"/>
  <c r="C30" i="46"/>
  <c r="N13" i="48" s="1"/>
  <c r="K30" i="46"/>
  <c r="L13" i="48" s="1"/>
  <c r="J30" i="46"/>
  <c r="X30" i="46" l="1"/>
  <c r="AC30" i="46"/>
  <c r="AB30" i="46"/>
  <c r="I10" i="47" l="1"/>
  <c r="E10" i="47"/>
  <c r="G10" i="47" s="1"/>
  <c r="AR28" i="46"/>
  <c r="BA28" i="46" s="1"/>
  <c r="AM28" i="46"/>
  <c r="AR27" i="46"/>
  <c r="BA27" i="46" s="1"/>
  <c r="AM27" i="46"/>
  <c r="AR26" i="46"/>
  <c r="BA26" i="46" s="1"/>
  <c r="AM26" i="46"/>
  <c r="AR25" i="46"/>
  <c r="BA25" i="46" s="1"/>
  <c r="AM25" i="46"/>
  <c r="AR24" i="46"/>
  <c r="BA24" i="46" s="1"/>
  <c r="AM24" i="46"/>
  <c r="N24" i="46"/>
  <c r="AD24" i="46" l="1"/>
  <c r="AD27" i="46"/>
  <c r="AD25" i="46"/>
  <c r="AD26" i="46"/>
  <c r="AD28" i="46"/>
  <c r="H10" i="47"/>
  <c r="O24" i="57" s="1"/>
  <c r="H24" i="46"/>
  <c r="C24" i="57" l="1"/>
  <c r="K24" i="57"/>
  <c r="P24" i="57"/>
  <c r="U24" i="57"/>
  <c r="AA24" i="57" s="1"/>
  <c r="V24" i="57"/>
  <c r="T24" i="57"/>
  <c r="O24" i="46"/>
  <c r="K24" i="46" s="1"/>
  <c r="L12" i="48" s="1"/>
  <c r="J24" i="46"/>
  <c r="AC24" i="57" l="1"/>
  <c r="X24" i="57"/>
  <c r="AB24" i="57"/>
  <c r="BA12" i="48"/>
  <c r="U24" i="46"/>
  <c r="AA24" i="46" s="1"/>
  <c r="T24" i="46"/>
  <c r="AC24" i="46" s="1"/>
  <c r="P24" i="46"/>
  <c r="V24" i="46"/>
  <c r="C24" i="46"/>
  <c r="N12" i="48" s="1"/>
  <c r="X24" i="46"/>
  <c r="AB24" i="46" l="1"/>
  <c r="I8" i="47"/>
  <c r="E8" i="47"/>
  <c r="H8" i="47" s="1"/>
  <c r="O18" i="57" s="1"/>
  <c r="AR22" i="46"/>
  <c r="BA22" i="46" s="1"/>
  <c r="AM22" i="46"/>
  <c r="AR21" i="46"/>
  <c r="BA21" i="46" s="1"/>
  <c r="AM21" i="46"/>
  <c r="AR20" i="46"/>
  <c r="BA20" i="46" s="1"/>
  <c r="AM20" i="46"/>
  <c r="AR19" i="46"/>
  <c r="BA19" i="46" s="1"/>
  <c r="AM19" i="46"/>
  <c r="AR18" i="46"/>
  <c r="BA18" i="46" s="1"/>
  <c r="AM18" i="46"/>
  <c r="N18" i="46"/>
  <c r="H18" i="46" s="1"/>
  <c r="C18" i="57" l="1"/>
  <c r="K18" i="57"/>
  <c r="AD20" i="46"/>
  <c r="V18" i="57"/>
  <c r="P18" i="57"/>
  <c r="U18" i="57"/>
  <c r="T18" i="57"/>
  <c r="O18" i="46"/>
  <c r="T18" i="46" s="1"/>
  <c r="AD19" i="46"/>
  <c r="G8" i="47"/>
  <c r="J18" i="46"/>
  <c r="AD21" i="46"/>
  <c r="AD18" i="46"/>
  <c r="AD22" i="46"/>
  <c r="AC18" i="57" l="1"/>
  <c r="U18" i="46"/>
  <c r="C18" i="46"/>
  <c r="N11" i="48" s="1"/>
  <c r="BA11" i="48"/>
  <c r="V18" i="46"/>
  <c r="K18" i="46"/>
  <c r="L11" i="48" s="1"/>
  <c r="P18" i="46"/>
  <c r="A10" i="2"/>
  <c r="I6" i="47"/>
  <c r="E6" i="47"/>
  <c r="G6" i="47" s="1"/>
  <c r="I4" i="47"/>
  <c r="AC18" i="46" l="1"/>
  <c r="H6" i="47"/>
  <c r="O12" i="57" s="1"/>
  <c r="AR16" i="46"/>
  <c r="BA16" i="46" s="1"/>
  <c r="AM16" i="46"/>
  <c r="AR15" i="46"/>
  <c r="BA15" i="46" s="1"/>
  <c r="AM15" i="46"/>
  <c r="AR14" i="46"/>
  <c r="BA14" i="46" s="1"/>
  <c r="AM14" i="46"/>
  <c r="AR13" i="46"/>
  <c r="BA13" i="46" s="1"/>
  <c r="AM13" i="46"/>
  <c r="AD13" i="46" s="1"/>
  <c r="AR12" i="46"/>
  <c r="BA12" i="46" s="1"/>
  <c r="AM12" i="46"/>
  <c r="Z12" i="46"/>
  <c r="N12" i="46"/>
  <c r="C12" i="57" l="1"/>
  <c r="K12" i="57"/>
  <c r="T12" i="57"/>
  <c r="V12" i="57"/>
  <c r="P12" i="57"/>
  <c r="U12" i="57"/>
  <c r="AD16" i="46"/>
  <c r="AD12" i="46"/>
  <c r="H12" i="46"/>
  <c r="J12" i="46" s="1"/>
  <c r="AD14" i="46"/>
  <c r="AD15" i="46"/>
  <c r="O12" i="46"/>
  <c r="U12" i="46" s="1"/>
  <c r="AC12" i="57" l="1"/>
  <c r="BA10" i="48"/>
  <c r="C12" i="46"/>
  <c r="N10" i="48" s="1"/>
  <c r="T12" i="46"/>
  <c r="V12" i="46"/>
  <c r="P12" i="46"/>
  <c r="K12" i="46"/>
  <c r="L10" i="48" s="1"/>
  <c r="AC12" i="46" l="1"/>
  <c r="BF168" i="46"/>
  <c r="BE168" i="46"/>
  <c r="BD168" i="46"/>
  <c r="BC168" i="46"/>
  <c r="BB168" i="46"/>
  <c r="BF168" i="57"/>
  <c r="BE168" i="57"/>
  <c r="BD168" i="57"/>
  <c r="A6" i="46" l="1"/>
  <c r="B1" i="47"/>
  <c r="A8" i="45"/>
  <c r="F42" i="29" l="1"/>
  <c r="G42" i="29"/>
  <c r="F32" i="27"/>
  <c r="E32" i="27"/>
  <c r="D32" i="27"/>
  <c r="C32" i="27"/>
  <c r="F23" i="27"/>
  <c r="E23" i="27"/>
  <c r="D23" i="27"/>
  <c r="C23" i="27"/>
  <c r="F14" i="27"/>
  <c r="E14" i="27"/>
  <c r="D14" i="27"/>
  <c r="C14" i="27"/>
  <c r="F32" i="29"/>
  <c r="E32" i="29"/>
  <c r="E33" i="29" s="1"/>
  <c r="D32" i="29"/>
  <c r="C32" i="29"/>
  <c r="F23" i="29"/>
  <c r="E23" i="29"/>
  <c r="D23" i="29"/>
  <c r="C23" i="29"/>
  <c r="F14" i="29"/>
  <c r="E14" i="29"/>
  <c r="E34" i="29" s="1"/>
  <c r="D14" i="29"/>
  <c r="C14" i="29"/>
  <c r="F32" i="30"/>
  <c r="E32" i="30"/>
  <c r="D32" i="30"/>
  <c r="C32" i="30"/>
  <c r="F23" i="30"/>
  <c r="E23" i="30"/>
  <c r="D23" i="30"/>
  <c r="C23" i="30"/>
  <c r="F14" i="30"/>
  <c r="E14" i="30"/>
  <c r="D14" i="30"/>
  <c r="C14" i="30"/>
  <c r="C34" i="30" s="1"/>
  <c r="F32" i="31"/>
  <c r="E32" i="31"/>
  <c r="D32" i="31"/>
  <c r="C32" i="31"/>
  <c r="F23" i="31"/>
  <c r="E23" i="31"/>
  <c r="D23" i="31"/>
  <c r="C23" i="31"/>
  <c r="F14" i="31"/>
  <c r="E14" i="31"/>
  <c r="E34" i="31" s="1"/>
  <c r="D14" i="31"/>
  <c r="C14" i="31"/>
  <c r="E33" i="27" l="1"/>
  <c r="D34" i="27"/>
  <c r="C34" i="27"/>
  <c r="D33" i="30"/>
  <c r="C34" i="31"/>
  <c r="D33" i="31"/>
  <c r="D24" i="30"/>
  <c r="D34" i="29"/>
  <c r="F34" i="27"/>
  <c r="F34" i="31"/>
  <c r="C24" i="31"/>
  <c r="C33" i="30"/>
  <c r="D33" i="27"/>
  <c r="E34" i="27"/>
  <c r="D34" i="31"/>
  <c r="C34" i="29"/>
  <c r="C33" i="29"/>
  <c r="D24" i="27"/>
  <c r="D33" i="29"/>
  <c r="E24" i="30"/>
  <c r="E33" i="31"/>
  <c r="D24" i="31"/>
  <c r="D34" i="30"/>
  <c r="F34" i="29"/>
  <c r="C33" i="27"/>
  <c r="E24" i="31"/>
  <c r="E34" i="30"/>
  <c r="E33" i="30"/>
  <c r="F34" i="30"/>
  <c r="E24" i="27"/>
  <c r="C33" i="31"/>
  <c r="C24" i="29"/>
  <c r="C24" i="27"/>
  <c r="C15" i="27"/>
  <c r="D15" i="27"/>
  <c r="E15" i="27"/>
  <c r="D24" i="29"/>
  <c r="D15" i="29"/>
  <c r="E24" i="29"/>
  <c r="C15" i="29"/>
  <c r="E15" i="29"/>
  <c r="C24" i="30"/>
  <c r="C15" i="30"/>
  <c r="D15" i="30"/>
  <c r="E15" i="30"/>
  <c r="C15" i="31"/>
  <c r="D15" i="31"/>
  <c r="E15" i="31"/>
  <c r="P13" i="45"/>
  <c r="K9" i="29" l="1"/>
  <c r="K8" i="29"/>
  <c r="I37" i="29" l="1"/>
  <c r="O7" i="29"/>
  <c r="O8" i="29"/>
  <c r="R8" i="29" s="1"/>
  <c r="Q12" i="29"/>
  <c r="O12" i="29"/>
  <c r="R12" i="29" s="1"/>
  <c r="Q11" i="29"/>
  <c r="O11" i="29"/>
  <c r="R11" i="29" s="1"/>
  <c r="Q9" i="29"/>
  <c r="P12" i="45" l="1"/>
  <c r="R7" i="29"/>
  <c r="O10" i="29"/>
  <c r="Q8" i="29"/>
  <c r="O9" i="29"/>
  <c r="R9" i="29" s="1"/>
  <c r="Q7" i="29"/>
  <c r="R10" i="29" l="1"/>
  <c r="R15" i="29" s="1"/>
  <c r="Q10" i="29"/>
  <c r="Q15" i="29" s="1"/>
  <c r="P15" i="29"/>
  <c r="R16" i="29" l="1"/>
  <c r="Q16" i="29"/>
  <c r="K9" i="31" l="1"/>
  <c r="K8" i="31"/>
  <c r="K7" i="31"/>
  <c r="P11" i="45" l="1"/>
  <c r="P10" i="45"/>
  <c r="G42" i="30" l="1"/>
  <c r="I37" i="30" s="1"/>
  <c r="F42" i="30"/>
  <c r="Q33" i="31"/>
  <c r="Q32" i="31"/>
  <c r="R9" i="31"/>
  <c r="P19" i="31"/>
  <c r="Q12" i="31"/>
  <c r="O12" i="31"/>
  <c r="R12" i="31" s="1"/>
  <c r="O11" i="31"/>
  <c r="Q9" i="31"/>
  <c r="Q11" i="31"/>
  <c r="Q7" i="31"/>
  <c r="R7" i="31" l="1"/>
  <c r="R11" i="31"/>
  <c r="R10" i="31"/>
  <c r="R8" i="31"/>
  <c r="P15" i="31"/>
  <c r="Q8" i="31"/>
  <c r="Q10" i="31"/>
  <c r="R15" i="31" l="1"/>
  <c r="R16" i="31" s="1"/>
  <c r="Q15" i="31"/>
  <c r="Q16" i="31" s="1"/>
  <c r="A14" i="45" l="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P9" i="45" l="1"/>
  <c r="G42" i="32"/>
  <c r="I37" i="32" s="1"/>
  <c r="F42" i="32"/>
  <c r="AM40" i="2" l="1"/>
  <c r="AM39" i="2"/>
  <c r="AM38" i="2"/>
  <c r="AM37" i="2"/>
  <c r="AM36" i="2"/>
  <c r="AM35" i="2"/>
  <c r="AM34" i="2"/>
  <c r="AM33" i="2"/>
  <c r="AM32" i="2"/>
  <c r="AM31" i="2"/>
  <c r="AM30" i="2"/>
  <c r="AM29" i="2"/>
  <c r="AM28" i="2"/>
  <c r="AM27" i="2"/>
  <c r="AM25" i="2"/>
  <c r="AM24" i="2"/>
  <c r="AM23" i="2"/>
  <c r="AM22" i="2"/>
  <c r="AM21" i="2"/>
  <c r="AM20" i="2"/>
  <c r="AM19" i="2"/>
  <c r="AM18" i="2"/>
  <c r="AM17" i="2"/>
  <c r="AM16" i="2"/>
  <c r="AM15" i="2"/>
  <c r="AM14" i="2"/>
  <c r="AM13" i="2"/>
  <c r="AM12" i="2"/>
  <c r="AM11" i="2"/>
  <c r="AM10" i="2"/>
  <c r="AR10" i="46" l="1"/>
  <c r="BA10" i="46" s="1"/>
  <c r="G42" i="33"/>
  <c r="I37" i="33" s="1"/>
  <c r="F42" i="33"/>
  <c r="C39" i="1" l="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A10" i="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KQ41" i="1"/>
  <c r="KN41" i="1"/>
  <c r="KK41" i="1"/>
  <c r="KH41" i="1"/>
  <c r="KE41" i="1"/>
  <c r="KB41" i="1"/>
  <c r="JY41" i="1"/>
  <c r="JV41" i="1"/>
  <c r="JS41" i="1"/>
  <c r="JP41" i="1"/>
  <c r="JM41" i="1"/>
  <c r="JJ41" i="1"/>
  <c r="JG41" i="1"/>
  <c r="JD41" i="1"/>
  <c r="JA41" i="1"/>
  <c r="IX41" i="1"/>
  <c r="IU41" i="1"/>
  <c r="IR41" i="1"/>
  <c r="IO41" i="1"/>
  <c r="IL41" i="1"/>
  <c r="II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Q41" i="1"/>
  <c r="EN41" i="1"/>
  <c r="EK41" i="1"/>
  <c r="EH41" i="1"/>
  <c r="EE41" i="1"/>
  <c r="EB41" i="1"/>
  <c r="DY41" i="1"/>
  <c r="DV41" i="1"/>
  <c r="DS41" i="1"/>
  <c r="DP41" i="1"/>
  <c r="DM41" i="1"/>
  <c r="DJ41" i="1"/>
  <c r="DG41" i="1"/>
  <c r="DD41" i="1"/>
  <c r="DA41" i="1"/>
  <c r="CX41" i="1"/>
  <c r="CU41" i="1"/>
  <c r="CR41" i="1"/>
  <c r="CO41" i="1"/>
  <c r="CL41" i="1"/>
  <c r="CI41" i="1"/>
  <c r="CF41" i="1"/>
  <c r="CC41" i="1"/>
  <c r="BZ41" i="1"/>
  <c r="BW41" i="1"/>
  <c r="BT41" i="1"/>
  <c r="BQ41" i="1"/>
  <c r="BN41" i="1"/>
  <c r="BK41" i="1"/>
  <c r="BH41" i="1"/>
  <c r="BE41" i="1"/>
  <c r="BB41" i="1"/>
  <c r="AY41" i="1"/>
  <c r="AV41" i="1"/>
  <c r="AS41" i="1"/>
  <c r="AP41" i="1"/>
  <c r="AM41" i="1"/>
  <c r="AJ41" i="1"/>
  <c r="AG41" i="1"/>
  <c r="AD41" i="1"/>
  <c r="AA41" i="1"/>
  <c r="X41" i="1"/>
  <c r="U41" i="1"/>
  <c r="W41" i="1" s="1"/>
  <c r="R41" i="1"/>
  <c r="O41" i="1"/>
  <c r="Q41" i="1" s="1"/>
  <c r="L41" i="1"/>
  <c r="I41" i="1"/>
  <c r="F41" i="1"/>
  <c r="KV39"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V38"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V37"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V36"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V35"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V34"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V33"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V32"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V31"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V30"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V29"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V28"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V27"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V26"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V25"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V24"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V23"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V22"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V21"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V20"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V19"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V18"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V17"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V16"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V15"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V14"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V13"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V12" i="1"/>
  <c r="KR12" i="1"/>
  <c r="KO12" i="1"/>
  <c r="KL12" i="1"/>
  <c r="KI12" i="1"/>
  <c r="KF12" i="1"/>
  <c r="KC12" i="1"/>
  <c r="JZ12" i="1"/>
  <c r="JX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V11" i="1"/>
  <c r="KR11" i="1"/>
  <c r="KO11" i="1"/>
  <c r="KL11" i="1"/>
  <c r="KI11" i="1"/>
  <c r="KF11" i="1"/>
  <c r="KC11" i="1"/>
  <c r="KA11" i="1"/>
  <c r="JZ11" i="1"/>
  <c r="JW11" i="1"/>
  <c r="JT11" i="1"/>
  <c r="JQ11" i="1"/>
  <c r="JO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V10" i="1"/>
  <c r="KR10" i="1"/>
  <c r="KO10" i="1"/>
  <c r="KL10" i="1"/>
  <c r="KI10" i="1"/>
  <c r="KF10" i="1"/>
  <c r="KD10" i="1"/>
  <c r="KC10" i="1"/>
  <c r="KA10" i="1"/>
  <c r="JZ10" i="1"/>
  <c r="JW10" i="1"/>
  <c r="JT10" i="1"/>
  <c r="JQ10" i="1"/>
  <c r="JO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V9" i="1"/>
  <c r="KR9" i="1"/>
  <c r="KO9" i="1"/>
  <c r="KM9" i="1"/>
  <c r="KL9" i="1"/>
  <c r="KJ9" i="1"/>
  <c r="KI9" i="1"/>
  <c r="KF9" i="1"/>
  <c r="KC9" i="1"/>
  <c r="KA9" i="1"/>
  <c r="JZ9" i="1"/>
  <c r="JX9" i="1"/>
  <c r="JW9" i="1"/>
  <c r="JT9" i="1"/>
  <c r="JQ9" i="1"/>
  <c r="JO9" i="1"/>
  <c r="JN9" i="1"/>
  <c r="JL9" i="1"/>
  <c r="JK9" i="1"/>
  <c r="JI9" i="1"/>
  <c r="JF9" i="1"/>
  <c r="JC9" i="1"/>
  <c r="IZ9" i="1"/>
  <c r="IW9" i="1"/>
  <c r="IT9" i="1"/>
  <c r="IQ9" i="1"/>
  <c r="IN9" i="1"/>
  <c r="IK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M11" i="1"/>
  <c r="KJ12" i="1"/>
  <c r="KD12" i="1"/>
  <c r="JR9" i="1"/>
  <c r="JO12" i="1"/>
  <c r="JL11" i="1"/>
  <c r="M40" i="55"/>
  <c r="D40" i="55"/>
  <c r="M39" i="55"/>
  <c r="D39" i="55"/>
  <c r="M38" i="55"/>
  <c r="D38" i="55"/>
  <c r="M37" i="55"/>
  <c r="D37" i="55"/>
  <c r="M36" i="55"/>
  <c r="D36" i="55"/>
  <c r="M35" i="55"/>
  <c r="D35" i="55"/>
  <c r="M34" i="55"/>
  <c r="D34" i="55"/>
  <c r="M33" i="55"/>
  <c r="D33" i="55"/>
  <c r="M32" i="55"/>
  <c r="D32" i="55"/>
  <c r="M31" i="55"/>
  <c r="D31" i="55"/>
  <c r="M30" i="55"/>
  <c r="D30" i="55"/>
  <c r="M29" i="55"/>
  <c r="D29" i="55"/>
  <c r="M28" i="55"/>
  <c r="D28" i="55"/>
  <c r="M27" i="55"/>
  <c r="D27" i="55"/>
  <c r="M26" i="55"/>
  <c r="D26" i="55"/>
  <c r="M25" i="55"/>
  <c r="D25" i="55"/>
  <c r="M24" i="55"/>
  <c r="D24" i="55"/>
  <c r="M23" i="55"/>
  <c r="D23" i="55"/>
  <c r="M22" i="55"/>
  <c r="D22" i="55"/>
  <c r="M21" i="55"/>
  <c r="D21" i="55"/>
  <c r="M20" i="55"/>
  <c r="D20" i="55"/>
  <c r="M19" i="55"/>
  <c r="D19" i="55"/>
  <c r="M18" i="55"/>
  <c r="D18" i="55"/>
  <c r="M17" i="55"/>
  <c r="D17" i="55"/>
  <c r="M11" i="55"/>
  <c r="D11" i="55"/>
  <c r="M10" i="55"/>
  <c r="D10" i="55"/>
  <c r="M9" i="55"/>
  <c r="D9" i="55"/>
  <c r="M8" i="55"/>
  <c r="D8" i="55"/>
  <c r="M7" i="55"/>
  <c r="D7" i="55"/>
  <c r="M6" i="55"/>
  <c r="D6" i="55"/>
  <c r="M5" i="55"/>
  <c r="D5" i="55"/>
  <c r="M4" i="55"/>
  <c r="D4" i="55"/>
  <c r="E3" i="55"/>
  <c r="F3" i="55" s="1"/>
  <c r="G3" i="55" s="1"/>
  <c r="H3" i="55" s="1"/>
  <c r="M3" i="55" s="1"/>
  <c r="N3" i="55" s="1"/>
  <c r="O3" i="55" s="1"/>
  <c r="P3" i="55" s="1"/>
  <c r="Q3" i="55" s="1"/>
  <c r="KF41" i="1" l="1"/>
  <c r="T41" i="1"/>
  <c r="K41" i="1"/>
  <c r="P41" i="1"/>
  <c r="DH41" i="1"/>
  <c r="EG41" i="1"/>
  <c r="FE41" i="1"/>
  <c r="GC41" i="1"/>
  <c r="HA41" i="1"/>
  <c r="HY41" i="1"/>
  <c r="IW41" i="1"/>
  <c r="M41" i="1"/>
  <c r="KT38" i="1"/>
  <c r="KT13" i="1"/>
  <c r="N41" i="1"/>
  <c r="AI41" i="1"/>
  <c r="BG41" i="1"/>
  <c r="CE41" i="1"/>
  <c r="DC41" i="1"/>
  <c r="EA41" i="1"/>
  <c r="EY41" i="1"/>
  <c r="FW41" i="1"/>
  <c r="GU41" i="1"/>
  <c r="HS41" i="1"/>
  <c r="IQ41" i="1"/>
  <c r="KT17" i="1"/>
  <c r="KT10" i="1"/>
  <c r="KT14" i="1"/>
  <c r="KT9" i="1"/>
  <c r="KT16" i="1"/>
  <c r="KT11" i="1"/>
  <c r="KT22" i="1"/>
  <c r="KT12" i="1"/>
  <c r="KT19" i="1"/>
  <c r="KT27" i="1"/>
  <c r="KT18" i="1"/>
  <c r="KT15" i="1"/>
  <c r="KT20" i="1"/>
  <c r="KT24" i="1"/>
  <c r="KT28" i="1"/>
  <c r="KV41" i="1"/>
  <c r="KT21" i="1"/>
  <c r="KT26" i="1"/>
  <c r="KT25" i="1"/>
  <c r="KT23" i="1"/>
  <c r="AL41" i="1"/>
  <c r="BJ41" i="1"/>
  <c r="CH41" i="1"/>
  <c r="DF41" i="1"/>
  <c r="ED41" i="1"/>
  <c r="FB41" i="1"/>
  <c r="FZ41" i="1"/>
  <c r="GX41" i="1"/>
  <c r="HV41" i="1"/>
  <c r="IT41" i="1"/>
  <c r="CM41" i="1"/>
  <c r="DK41" i="1"/>
  <c r="EI41" i="1"/>
  <c r="V41" i="1"/>
  <c r="AU41" i="1"/>
  <c r="BS41" i="1"/>
  <c r="CQ41" i="1"/>
  <c r="DO41" i="1"/>
  <c r="EM41" i="1"/>
  <c r="FK41" i="1"/>
  <c r="ID41" i="1"/>
  <c r="JB41" i="1"/>
  <c r="JZ41" i="1"/>
  <c r="KT39" i="1"/>
  <c r="Z41" i="1"/>
  <c r="AX41" i="1"/>
  <c r="BV41" i="1"/>
  <c r="CT41" i="1"/>
  <c r="DR41" i="1"/>
  <c r="EP41" i="1"/>
  <c r="FN41" i="1"/>
  <c r="GL41" i="1"/>
  <c r="HJ41" i="1"/>
  <c r="IH41" i="1"/>
  <c r="JF41" i="1"/>
  <c r="KT36" i="1"/>
  <c r="AB41" i="1"/>
  <c r="AZ41" i="1"/>
  <c r="BY41" i="1"/>
  <c r="CW41" i="1"/>
  <c r="DU41" i="1"/>
  <c r="ES41" i="1"/>
  <c r="FP41" i="1"/>
  <c r="GO41" i="1"/>
  <c r="HM41" i="1"/>
  <c r="AF41" i="1"/>
  <c r="BD41" i="1"/>
  <c r="CB41" i="1"/>
  <c r="CZ41" i="1"/>
  <c r="DX41" i="1"/>
  <c r="EV41" i="1"/>
  <c r="FT41" i="1"/>
  <c r="GR41" i="1"/>
  <c r="HP41" i="1"/>
  <c r="IN41" i="1"/>
  <c r="KP39" i="1"/>
  <c r="KP38" i="1"/>
  <c r="KP37" i="1"/>
  <c r="KP36" i="1"/>
  <c r="KP32" i="1"/>
  <c r="KP34" i="1"/>
  <c r="KP33" i="1"/>
  <c r="KP30" i="1"/>
  <c r="KP28" i="1"/>
  <c r="KP27" i="1"/>
  <c r="KP26" i="1"/>
  <c r="KP35" i="1"/>
  <c r="KP31" i="1"/>
  <c r="KP25" i="1"/>
  <c r="KP24" i="1"/>
  <c r="KP23" i="1"/>
  <c r="KP22" i="1"/>
  <c r="KP21" i="1"/>
  <c r="KP20" i="1"/>
  <c r="KP19" i="1"/>
  <c r="KP18" i="1"/>
  <c r="KP17" i="1"/>
  <c r="KP16" i="1"/>
  <c r="KP15" i="1"/>
  <c r="KP14" i="1"/>
  <c r="KP13" i="1"/>
  <c r="KP29" i="1"/>
  <c r="JR11" i="1"/>
  <c r="KP10" i="1"/>
  <c r="JL12" i="1"/>
  <c r="KP12" i="1"/>
  <c r="KS39" i="1"/>
  <c r="KS38" i="1"/>
  <c r="KS37" i="1"/>
  <c r="KS36" i="1"/>
  <c r="KS35" i="1"/>
  <c r="KS34" i="1"/>
  <c r="KS33" i="1"/>
  <c r="KS32" i="1"/>
  <c r="KS30" i="1"/>
  <c r="KS31" i="1"/>
  <c r="KS29" i="1"/>
  <c r="KS25" i="1"/>
  <c r="KS24" i="1"/>
  <c r="KS23" i="1"/>
  <c r="KS22" i="1"/>
  <c r="KS21" i="1"/>
  <c r="KS20" i="1"/>
  <c r="KS19" i="1"/>
  <c r="KS18" i="1"/>
  <c r="KS17" i="1"/>
  <c r="KS16" i="1"/>
  <c r="KS15" i="1"/>
  <c r="KS14" i="1"/>
  <c r="KS13" i="1"/>
  <c r="KS12" i="1"/>
  <c r="KS11" i="1"/>
  <c r="KS10" i="1"/>
  <c r="KS9" i="1"/>
  <c r="KS28" i="1"/>
  <c r="KS26" i="1"/>
  <c r="KS27" i="1"/>
  <c r="JU39" i="1"/>
  <c r="JU38" i="1"/>
  <c r="JU37" i="1"/>
  <c r="JU35" i="1"/>
  <c r="JU34" i="1"/>
  <c r="JU33" i="1"/>
  <c r="JU32" i="1"/>
  <c r="JU36" i="1"/>
  <c r="JU30" i="1"/>
  <c r="JU29" i="1"/>
  <c r="JU31" i="1"/>
  <c r="JU26" i="1"/>
  <c r="JU25" i="1"/>
  <c r="JU24" i="1"/>
  <c r="JU23" i="1"/>
  <c r="JU22" i="1"/>
  <c r="JU21" i="1"/>
  <c r="JU20" i="1"/>
  <c r="JU19" i="1"/>
  <c r="JU18" i="1"/>
  <c r="JU17" i="1"/>
  <c r="JU16" i="1"/>
  <c r="JU15" i="1"/>
  <c r="JU14" i="1"/>
  <c r="JU13" i="1"/>
  <c r="JU12" i="1"/>
  <c r="JU11" i="1"/>
  <c r="JU10" i="1"/>
  <c r="JU27" i="1"/>
  <c r="JU28" i="1"/>
  <c r="JX41" i="1"/>
  <c r="JX39" i="1"/>
  <c r="JX38" i="1"/>
  <c r="JX37" i="1"/>
  <c r="JX36" i="1"/>
  <c r="JX35" i="1"/>
  <c r="JX34" i="1"/>
  <c r="JX33" i="1"/>
  <c r="JX32" i="1"/>
  <c r="JX31" i="1"/>
  <c r="JX28" i="1"/>
  <c r="JX27" i="1"/>
  <c r="JX26" i="1"/>
  <c r="JX30" i="1"/>
  <c r="JX29" i="1"/>
  <c r="JX25" i="1"/>
  <c r="JX24" i="1"/>
  <c r="JX23" i="1"/>
  <c r="JX22" i="1"/>
  <c r="JX21" i="1"/>
  <c r="JX20" i="1"/>
  <c r="JX19" i="1"/>
  <c r="JX18" i="1"/>
  <c r="JX17" i="1"/>
  <c r="JX16" i="1"/>
  <c r="JX15" i="1"/>
  <c r="JX14" i="1"/>
  <c r="JX13" i="1"/>
  <c r="KJ11" i="1"/>
  <c r="KA41" i="1"/>
  <c r="KA39" i="1"/>
  <c r="KA38" i="1"/>
  <c r="KA37" i="1"/>
  <c r="KA36" i="1"/>
  <c r="KA35" i="1"/>
  <c r="KA34" i="1"/>
  <c r="KA33" i="1"/>
  <c r="KA32" i="1"/>
  <c r="KA31" i="1"/>
  <c r="KA30" i="1"/>
  <c r="KA29" i="1"/>
  <c r="KA28" i="1"/>
  <c r="KA25" i="1"/>
  <c r="KA24" i="1"/>
  <c r="KA23" i="1"/>
  <c r="KA22" i="1"/>
  <c r="KA21" i="1"/>
  <c r="KA20" i="1"/>
  <c r="KA19" i="1"/>
  <c r="KA18" i="1"/>
  <c r="KA17" i="1"/>
  <c r="KA16" i="1"/>
  <c r="KA15" i="1"/>
  <c r="KA14" i="1"/>
  <c r="KA13" i="1"/>
  <c r="KA12" i="1"/>
  <c r="KA26" i="1"/>
  <c r="KA27" i="1"/>
  <c r="JR10" i="1"/>
  <c r="JX11" i="1"/>
  <c r="KD39" i="1"/>
  <c r="KD38" i="1"/>
  <c r="KD37" i="1"/>
  <c r="KD36" i="1"/>
  <c r="KD35" i="1"/>
  <c r="KD33" i="1"/>
  <c r="KD31" i="1"/>
  <c r="KD28" i="1"/>
  <c r="KD27" i="1"/>
  <c r="KD26" i="1"/>
  <c r="KD32" i="1"/>
  <c r="KD34" i="1"/>
  <c r="KD29" i="1"/>
  <c r="KD25" i="1"/>
  <c r="KD24" i="1"/>
  <c r="KD23" i="1"/>
  <c r="KD22" i="1"/>
  <c r="KD21" i="1"/>
  <c r="KD20" i="1"/>
  <c r="KD19" i="1"/>
  <c r="KD18" i="1"/>
  <c r="KD17" i="1"/>
  <c r="KD16" i="1"/>
  <c r="KD15" i="1"/>
  <c r="KD14" i="1"/>
  <c r="KD13" i="1"/>
  <c r="KD30" i="1"/>
  <c r="KD9" i="1"/>
  <c r="KP9" i="1"/>
  <c r="JR39" i="1"/>
  <c r="JR38" i="1"/>
  <c r="JR37" i="1"/>
  <c r="JR36" i="1"/>
  <c r="JR35" i="1"/>
  <c r="JR31" i="1"/>
  <c r="JR34" i="1"/>
  <c r="JR30" i="1"/>
  <c r="JR33" i="1"/>
  <c r="JR32" i="1"/>
  <c r="JR28" i="1"/>
  <c r="JR27" i="1"/>
  <c r="JR26" i="1"/>
  <c r="JR29" i="1"/>
  <c r="JR25" i="1"/>
  <c r="JR24" i="1"/>
  <c r="JR23" i="1"/>
  <c r="JR22" i="1"/>
  <c r="JR21" i="1"/>
  <c r="JR20" i="1"/>
  <c r="JR19" i="1"/>
  <c r="JR18" i="1"/>
  <c r="JR17" i="1"/>
  <c r="JR16" i="1"/>
  <c r="JR15" i="1"/>
  <c r="JR14" i="1"/>
  <c r="JR13" i="1"/>
  <c r="KJ10" i="1"/>
  <c r="JR12" i="1"/>
  <c r="KG39" i="1"/>
  <c r="KG38" i="1"/>
  <c r="KG37" i="1"/>
  <c r="KG41" i="1"/>
  <c r="KG35" i="1"/>
  <c r="KG34" i="1"/>
  <c r="KG33" i="1"/>
  <c r="KG32" i="1"/>
  <c r="KG36" i="1"/>
  <c r="KG30" i="1"/>
  <c r="KG29" i="1"/>
  <c r="KG25" i="1"/>
  <c r="KG24" i="1"/>
  <c r="KG23" i="1"/>
  <c r="KG22" i="1"/>
  <c r="KG21" i="1"/>
  <c r="KG20" i="1"/>
  <c r="KG19" i="1"/>
  <c r="KG18" i="1"/>
  <c r="KG17" i="1"/>
  <c r="KG16" i="1"/>
  <c r="KG15" i="1"/>
  <c r="KG14" i="1"/>
  <c r="KG13" i="1"/>
  <c r="KG12" i="1"/>
  <c r="KG11" i="1"/>
  <c r="KG10" i="1"/>
  <c r="KG26" i="1"/>
  <c r="KG27" i="1"/>
  <c r="KG31" i="1"/>
  <c r="KG28" i="1"/>
  <c r="JL39" i="1"/>
  <c r="JL38" i="1"/>
  <c r="JL37" i="1"/>
  <c r="JL36" i="1"/>
  <c r="JL35" i="1"/>
  <c r="JL34" i="1"/>
  <c r="JL33" i="1"/>
  <c r="JL32" i="1"/>
  <c r="JL28" i="1"/>
  <c r="JL27" i="1"/>
  <c r="JL26" i="1"/>
  <c r="JL30" i="1"/>
  <c r="JL31" i="1"/>
  <c r="JL29" i="1"/>
  <c r="JL25" i="1"/>
  <c r="JL24" i="1"/>
  <c r="JL23" i="1"/>
  <c r="JL22" i="1"/>
  <c r="JL21" i="1"/>
  <c r="JL20" i="1"/>
  <c r="JL19" i="1"/>
  <c r="JL18" i="1"/>
  <c r="JL17" i="1"/>
  <c r="JL16" i="1"/>
  <c r="JL15" i="1"/>
  <c r="JL14" i="1"/>
  <c r="JL13" i="1"/>
  <c r="JU9" i="1"/>
  <c r="KP11" i="1"/>
  <c r="KJ39" i="1"/>
  <c r="KJ38" i="1"/>
  <c r="KJ37" i="1"/>
  <c r="KJ36" i="1"/>
  <c r="KJ35" i="1"/>
  <c r="KJ34" i="1"/>
  <c r="KJ33" i="1"/>
  <c r="KJ32" i="1"/>
  <c r="KJ31" i="1"/>
  <c r="KJ28" i="1"/>
  <c r="KJ27" i="1"/>
  <c r="KJ26" i="1"/>
  <c r="KJ30" i="1"/>
  <c r="KJ25" i="1"/>
  <c r="KJ24" i="1"/>
  <c r="KJ23" i="1"/>
  <c r="KJ22" i="1"/>
  <c r="KJ21" i="1"/>
  <c r="KJ20" i="1"/>
  <c r="KJ19" i="1"/>
  <c r="KJ18" i="1"/>
  <c r="KJ17" i="1"/>
  <c r="KJ16" i="1"/>
  <c r="KJ15" i="1"/>
  <c r="KJ14" i="1"/>
  <c r="KJ13" i="1"/>
  <c r="KJ29" i="1"/>
  <c r="KG9" i="1"/>
  <c r="JX10" i="1"/>
  <c r="JO39" i="1"/>
  <c r="JO38" i="1"/>
  <c r="JO37" i="1"/>
  <c r="JO36" i="1"/>
  <c r="JO35" i="1"/>
  <c r="JO34" i="1"/>
  <c r="JO33" i="1"/>
  <c r="JO32" i="1"/>
  <c r="JO31" i="1"/>
  <c r="JO30" i="1"/>
  <c r="JO29" i="1"/>
  <c r="JO28" i="1"/>
  <c r="JO26" i="1"/>
  <c r="JO25" i="1"/>
  <c r="JO24" i="1"/>
  <c r="JO23" i="1"/>
  <c r="JO22" i="1"/>
  <c r="JO21" i="1"/>
  <c r="JO20" i="1"/>
  <c r="JO19" i="1"/>
  <c r="JO18" i="1"/>
  <c r="JO17" i="1"/>
  <c r="JO16" i="1"/>
  <c r="JO15" i="1"/>
  <c r="JO14" i="1"/>
  <c r="JO13" i="1"/>
  <c r="JO27" i="1"/>
  <c r="KM39" i="1"/>
  <c r="KM38" i="1"/>
  <c r="KM37" i="1"/>
  <c r="KM36" i="1"/>
  <c r="KM35" i="1"/>
  <c r="KM34" i="1"/>
  <c r="KM33" i="1"/>
  <c r="KM32" i="1"/>
  <c r="KM31" i="1"/>
  <c r="KM30" i="1"/>
  <c r="KM29" i="1"/>
  <c r="KM27" i="1"/>
  <c r="KM28" i="1"/>
  <c r="KM25" i="1"/>
  <c r="KM24" i="1"/>
  <c r="KM23" i="1"/>
  <c r="KM22" i="1"/>
  <c r="KM21" i="1"/>
  <c r="KM20" i="1"/>
  <c r="KM19" i="1"/>
  <c r="KM18" i="1"/>
  <c r="KM17" i="1"/>
  <c r="KM16" i="1"/>
  <c r="KM15" i="1"/>
  <c r="KM14" i="1"/>
  <c r="KM13" i="1"/>
  <c r="KM12" i="1"/>
  <c r="KM26" i="1"/>
  <c r="JL10" i="1"/>
  <c r="KM10" i="1"/>
  <c r="KD11" i="1"/>
  <c r="KT32" i="1"/>
  <c r="KT31" i="1"/>
  <c r="KT29" i="1"/>
  <c r="KT30" i="1"/>
  <c r="KT35" i="1"/>
  <c r="KT33" i="1"/>
  <c r="KT34" i="1"/>
  <c r="KD41" i="1"/>
  <c r="JL41" i="1"/>
  <c r="KJ41" i="1"/>
  <c r="JO41" i="1"/>
  <c r="KM41" i="1"/>
  <c r="KT37" i="1"/>
  <c r="JR41" i="1"/>
  <c r="KP41" i="1"/>
  <c r="JU41" i="1"/>
  <c r="KS41" i="1"/>
  <c r="AC41" i="1"/>
  <c r="AK41" i="1"/>
  <c r="BA41" i="1"/>
  <c r="BI41" i="1"/>
  <c r="CG41" i="1"/>
  <c r="DE41" i="1"/>
  <c r="EC41" i="1"/>
  <c r="FA41" i="1"/>
  <c r="FQ41" i="1"/>
  <c r="FY41" i="1"/>
  <c r="GW41" i="1"/>
  <c r="HU41" i="1"/>
  <c r="IK41" i="1"/>
  <c r="IS41" i="1"/>
  <c r="JI41" i="1"/>
  <c r="JQ41" i="1"/>
  <c r="KO41" i="1"/>
  <c r="AT41" i="1"/>
  <c r="BR41" i="1"/>
  <c r="CP41" i="1"/>
  <c r="DN41" i="1"/>
  <c r="EL41" i="1"/>
  <c r="FJ41" i="1"/>
  <c r="GH41" i="1"/>
  <c r="HF41" i="1"/>
  <c r="G41" i="1"/>
  <c r="AE41" i="1"/>
  <c r="BC41" i="1"/>
  <c r="CA41" i="1"/>
  <c r="CY41" i="1"/>
  <c r="DW41" i="1"/>
  <c r="EU41" i="1"/>
  <c r="FS41" i="1"/>
  <c r="GI41" i="1"/>
  <c r="GQ41" i="1"/>
  <c r="HG41" i="1"/>
  <c r="HO41" i="1"/>
  <c r="IE41" i="1"/>
  <c r="IM41" i="1"/>
  <c r="JC41" i="1"/>
  <c r="JK41" i="1"/>
  <c r="KI41" i="1"/>
  <c r="H41" i="1"/>
  <c r="AN41" i="1"/>
  <c r="BL41" i="1"/>
  <c r="CJ41" i="1"/>
  <c r="EF41" i="1"/>
  <c r="FD41" i="1"/>
  <c r="GB41" i="1"/>
  <c r="GZ41" i="1"/>
  <c r="HX41" i="1"/>
  <c r="IV41" i="1"/>
  <c r="JT41" i="1"/>
  <c r="KR41" i="1"/>
  <c r="Y41" i="1"/>
  <c r="AO41" i="1"/>
  <c r="AW41" i="1"/>
  <c r="BM41" i="1"/>
  <c r="BU41" i="1"/>
  <c r="CK41" i="1"/>
  <c r="CS41" i="1"/>
  <c r="DI41" i="1"/>
  <c r="DQ41" i="1"/>
  <c r="EO41" i="1"/>
  <c r="FM41" i="1"/>
  <c r="GK41" i="1"/>
  <c r="HI41" i="1"/>
  <c r="IG41" i="1"/>
  <c r="JE41" i="1"/>
  <c r="KC41" i="1"/>
  <c r="J41" i="1"/>
  <c r="AH41" i="1"/>
  <c r="BF41" i="1"/>
  <c r="CD41" i="1"/>
  <c r="DB41" i="1"/>
  <c r="DZ41" i="1"/>
  <c r="EX41" i="1"/>
  <c r="FV41" i="1"/>
  <c r="GT41" i="1"/>
  <c r="HR41" i="1"/>
  <c r="IP41" i="1"/>
  <c r="JN41" i="1"/>
  <c r="KL41" i="1"/>
  <c r="S41" i="1"/>
  <c r="AQ41" i="1"/>
  <c r="BO41" i="1"/>
  <c r="FG41" i="1"/>
  <c r="GE41" i="1"/>
  <c r="HC41" i="1"/>
  <c r="IA41" i="1"/>
  <c r="IY41" i="1"/>
  <c r="JW41" i="1"/>
  <c r="AR41" i="1"/>
  <c r="BP41" i="1"/>
  <c r="BX41" i="1"/>
  <c r="CN41" i="1"/>
  <c r="CV41" i="1"/>
  <c r="DL41" i="1"/>
  <c r="DT41" i="1"/>
  <c r="EJ41" i="1"/>
  <c r="ER41" i="1"/>
  <c r="FH41" i="1"/>
  <c r="GF41" i="1"/>
  <c r="GN41" i="1"/>
  <c r="HD41" i="1"/>
  <c r="HL41" i="1"/>
  <c r="IB41" i="1"/>
  <c r="IJ41" i="1"/>
  <c r="IZ41" i="1"/>
  <c r="JH41" i="1"/>
  <c r="M41" i="55"/>
  <c r="D41" i="55"/>
  <c r="KU36" i="1" l="1"/>
  <c r="KU15" i="1"/>
  <c r="KU35" i="1"/>
  <c r="KU14" i="1"/>
  <c r="KU31" i="1"/>
  <c r="KU39" i="1"/>
  <c r="KU13" i="1"/>
  <c r="KU21" i="1"/>
  <c r="KU26" i="1"/>
  <c r="KU37" i="1"/>
  <c r="KU38" i="1"/>
  <c r="KU10" i="1"/>
  <c r="KU27" i="1"/>
  <c r="KU33" i="1"/>
  <c r="KU32" i="1"/>
  <c r="KU16" i="1"/>
  <c r="KU34" i="1"/>
  <c r="KU28" i="1"/>
  <c r="KU23" i="1"/>
  <c r="KU22" i="1"/>
  <c r="KU24" i="1"/>
  <c r="KU30" i="1"/>
  <c r="KU17" i="1"/>
  <c r="KU25" i="1"/>
  <c r="KU18" i="1"/>
  <c r="KU12" i="1"/>
  <c r="KU19" i="1"/>
  <c r="KU9" i="1"/>
  <c r="KU20" i="1"/>
  <c r="KU29" i="1"/>
  <c r="KU11" i="1"/>
  <c r="KU41" i="1"/>
  <c r="KT41" i="1"/>
  <c r="F32" i="37" l="1"/>
  <c r="E32" i="37"/>
  <c r="D32" i="37"/>
  <c r="C32" i="37"/>
  <c r="F23" i="37"/>
  <c r="E23" i="37"/>
  <c r="D23" i="37"/>
  <c r="C23" i="37"/>
  <c r="F14" i="37"/>
  <c r="E14" i="37"/>
  <c r="D14" i="37"/>
  <c r="C14" i="37"/>
  <c r="F32" i="6"/>
  <c r="E32" i="6"/>
  <c r="D32" i="6"/>
  <c r="C32" i="6"/>
  <c r="F23" i="6"/>
  <c r="E23" i="6"/>
  <c r="D23" i="6"/>
  <c r="C23" i="6"/>
  <c r="F14" i="6"/>
  <c r="E14" i="6"/>
  <c r="D14" i="6"/>
  <c r="C14" i="6"/>
  <c r="F32" i="7"/>
  <c r="E32" i="7"/>
  <c r="D32" i="7"/>
  <c r="C32" i="7"/>
  <c r="F23" i="7"/>
  <c r="E23" i="7"/>
  <c r="D23" i="7"/>
  <c r="C23" i="7"/>
  <c r="F14" i="7"/>
  <c r="E14" i="7"/>
  <c r="D14" i="7"/>
  <c r="C14" i="7"/>
  <c r="F32" i="8"/>
  <c r="E32" i="8"/>
  <c r="D32" i="8"/>
  <c r="C32" i="8"/>
  <c r="F23" i="8"/>
  <c r="E23" i="8"/>
  <c r="D23" i="8"/>
  <c r="C23" i="8"/>
  <c r="F14" i="8"/>
  <c r="E14" i="8"/>
  <c r="D14" i="8"/>
  <c r="D34" i="8" s="1"/>
  <c r="C14" i="8"/>
  <c r="F32" i="9"/>
  <c r="E32" i="9"/>
  <c r="D32" i="9"/>
  <c r="C32" i="9"/>
  <c r="F23" i="9"/>
  <c r="E23" i="9"/>
  <c r="D23" i="9"/>
  <c r="C23" i="9"/>
  <c r="F14" i="9"/>
  <c r="E14" i="9"/>
  <c r="D14" i="9"/>
  <c r="C14" i="9"/>
  <c r="F32" i="10"/>
  <c r="E32" i="10"/>
  <c r="D32" i="10"/>
  <c r="C32" i="10"/>
  <c r="F23" i="10"/>
  <c r="E23" i="10"/>
  <c r="D23" i="10"/>
  <c r="C23" i="10"/>
  <c r="F14" i="10"/>
  <c r="E14" i="10"/>
  <c r="E34" i="10" s="1"/>
  <c r="D14" i="10"/>
  <c r="D34" i="10" s="1"/>
  <c r="C14" i="10"/>
  <c r="F32" i="11"/>
  <c r="E32" i="11"/>
  <c r="D32" i="11"/>
  <c r="C32" i="11"/>
  <c r="F23" i="11"/>
  <c r="E23" i="11"/>
  <c r="D23" i="11"/>
  <c r="C23" i="11"/>
  <c r="F14" i="11"/>
  <c r="E14" i="11"/>
  <c r="D14" i="11"/>
  <c r="C14" i="11"/>
  <c r="F32" i="12"/>
  <c r="E32" i="12"/>
  <c r="D32" i="12"/>
  <c r="C32" i="12"/>
  <c r="F23" i="12"/>
  <c r="E23" i="12"/>
  <c r="D23" i="12"/>
  <c r="C23" i="12"/>
  <c r="F14" i="12"/>
  <c r="E14" i="12"/>
  <c r="D14" i="12"/>
  <c r="D34" i="12" s="1"/>
  <c r="C14" i="12"/>
  <c r="F32" i="13"/>
  <c r="E32" i="13"/>
  <c r="D32" i="13"/>
  <c r="C32" i="13"/>
  <c r="F23" i="13"/>
  <c r="E23" i="13"/>
  <c r="D23" i="13"/>
  <c r="C23" i="13"/>
  <c r="F14" i="13"/>
  <c r="E14" i="13"/>
  <c r="D14" i="13"/>
  <c r="C14" i="13"/>
  <c r="F32" i="14"/>
  <c r="E32" i="14"/>
  <c r="D32" i="14"/>
  <c r="C32" i="14"/>
  <c r="F23" i="14"/>
  <c r="E23" i="14"/>
  <c r="D23" i="14"/>
  <c r="C23" i="14"/>
  <c r="E14" i="14"/>
  <c r="D14" i="14"/>
  <c r="C14" i="14"/>
  <c r="F32" i="15"/>
  <c r="E32" i="15"/>
  <c r="D32" i="15"/>
  <c r="C32" i="15"/>
  <c r="F23" i="15"/>
  <c r="E23" i="15"/>
  <c r="D23" i="15"/>
  <c r="C23" i="15"/>
  <c r="F14" i="15"/>
  <c r="E14" i="15"/>
  <c r="D14" i="15"/>
  <c r="C14" i="15"/>
  <c r="F32" i="16"/>
  <c r="E32" i="16"/>
  <c r="D32" i="16"/>
  <c r="C32" i="16"/>
  <c r="F23" i="16"/>
  <c r="E23" i="16"/>
  <c r="D23" i="16"/>
  <c r="C23" i="16"/>
  <c r="F14" i="16"/>
  <c r="E14" i="16"/>
  <c r="D14" i="16"/>
  <c r="C14" i="16"/>
  <c r="F32" i="17"/>
  <c r="E32" i="17"/>
  <c r="D32" i="17"/>
  <c r="C32" i="17"/>
  <c r="F23" i="17"/>
  <c r="E23" i="17"/>
  <c r="D23" i="17"/>
  <c r="C23" i="17"/>
  <c r="F14" i="17"/>
  <c r="E14" i="17"/>
  <c r="D14" i="17"/>
  <c r="C14" i="17"/>
  <c r="F32" i="18"/>
  <c r="E32" i="18"/>
  <c r="D32" i="18"/>
  <c r="C32" i="18"/>
  <c r="F23" i="18"/>
  <c r="E23" i="18"/>
  <c r="D23" i="18"/>
  <c r="C23" i="18"/>
  <c r="F14" i="18"/>
  <c r="E14" i="18"/>
  <c r="E34" i="18" s="1"/>
  <c r="D14" i="18"/>
  <c r="C14" i="18"/>
  <c r="F32" i="19"/>
  <c r="E32" i="19"/>
  <c r="D32" i="19"/>
  <c r="C32" i="19"/>
  <c r="E23" i="19"/>
  <c r="D23" i="19"/>
  <c r="C23" i="19"/>
  <c r="E14" i="19"/>
  <c r="D14" i="19"/>
  <c r="C14" i="19"/>
  <c r="F32" i="20"/>
  <c r="E32" i="20"/>
  <c r="D32" i="20"/>
  <c r="C32" i="20"/>
  <c r="F23" i="20"/>
  <c r="E23" i="20"/>
  <c r="D23" i="20"/>
  <c r="C23" i="20"/>
  <c r="F14" i="20"/>
  <c r="E14" i="20"/>
  <c r="D14" i="20"/>
  <c r="C14" i="20"/>
  <c r="F32" i="22"/>
  <c r="E32" i="22"/>
  <c r="D32" i="22"/>
  <c r="C32" i="22"/>
  <c r="F23" i="22"/>
  <c r="E23" i="22"/>
  <c r="D23" i="22"/>
  <c r="C23" i="22"/>
  <c r="F14" i="22"/>
  <c r="E14" i="22"/>
  <c r="D14" i="22"/>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F32" i="32"/>
  <c r="E32" i="32"/>
  <c r="D32" i="32"/>
  <c r="C32" i="32"/>
  <c r="F23" i="32"/>
  <c r="E23" i="32"/>
  <c r="D23" i="32"/>
  <c r="C23" i="32"/>
  <c r="F14" i="32"/>
  <c r="E14" i="32"/>
  <c r="D14" i="32"/>
  <c r="C14" i="32"/>
  <c r="S40" i="2"/>
  <c r="S39" i="2"/>
  <c r="S38" i="2"/>
  <c r="S37" i="2"/>
  <c r="S36" i="2"/>
  <c r="S35" i="2"/>
  <c r="S34" i="2"/>
  <c r="S33" i="2"/>
  <c r="S32" i="2"/>
  <c r="S31" i="2"/>
  <c r="S30" i="2"/>
  <c r="S29" i="2"/>
  <c r="S28" i="2"/>
  <c r="S27" i="2"/>
  <c r="S25" i="2"/>
  <c r="S24" i="2"/>
  <c r="S23" i="2"/>
  <c r="S22" i="2"/>
  <c r="S21" i="2"/>
  <c r="S20" i="2"/>
  <c r="S19" i="2"/>
  <c r="S18" i="2"/>
  <c r="S17" i="2"/>
  <c r="S16" i="2"/>
  <c r="S15" i="2"/>
  <c r="S14" i="2"/>
  <c r="S13" i="2"/>
  <c r="S12" i="2"/>
  <c r="S11" i="2"/>
  <c r="S10" i="2"/>
  <c r="D24" i="11" l="1"/>
  <c r="D34" i="24"/>
  <c r="D34" i="21"/>
  <c r="D34" i="20"/>
  <c r="Z146" i="57"/>
  <c r="Z146" i="46"/>
  <c r="C34" i="8"/>
  <c r="K12" i="8" s="1"/>
  <c r="F34" i="8"/>
  <c r="F34" i="12"/>
  <c r="D34" i="14"/>
  <c r="F34" i="14"/>
  <c r="E34" i="14"/>
  <c r="C33" i="23"/>
  <c r="C33" i="22"/>
  <c r="C24" i="20"/>
  <c r="C33" i="17"/>
  <c r="C33" i="15"/>
  <c r="C24" i="14"/>
  <c r="C33" i="11"/>
  <c r="D33" i="9"/>
  <c r="F34" i="10"/>
  <c r="D15" i="16"/>
  <c r="D33" i="17"/>
  <c r="D33" i="15"/>
  <c r="D24" i="14"/>
  <c r="E24" i="16"/>
  <c r="C34" i="18"/>
  <c r="C15" i="16"/>
  <c r="C34" i="14"/>
  <c r="C33" i="6"/>
  <c r="D34" i="25"/>
  <c r="D34" i="23"/>
  <c r="D34" i="22"/>
  <c r="F34" i="28"/>
  <c r="F34" i="11"/>
  <c r="E15" i="12"/>
  <c r="C15" i="23"/>
  <c r="C34" i="22"/>
  <c r="F34" i="18"/>
  <c r="C15" i="11"/>
  <c r="E34" i="28"/>
  <c r="E15" i="25"/>
  <c r="E15" i="23"/>
  <c r="E34" i="22"/>
  <c r="D34" i="19"/>
  <c r="D24" i="18"/>
  <c r="D24" i="12"/>
  <c r="E33" i="13"/>
  <c r="D33" i="7"/>
  <c r="C24" i="28"/>
  <c r="E33" i="26"/>
  <c r="C24" i="25"/>
  <c r="E33" i="24"/>
  <c r="C24" i="23"/>
  <c r="C33" i="21"/>
  <c r="C24" i="22"/>
  <c r="E33" i="20"/>
  <c r="D33" i="26"/>
  <c r="D33" i="24"/>
  <c r="D24" i="23"/>
  <c r="D33" i="20"/>
  <c r="C15" i="12"/>
  <c r="K9" i="30"/>
  <c r="C15" i="19"/>
  <c r="C33" i="19"/>
  <c r="C24" i="12"/>
  <c r="E33" i="25"/>
  <c r="D34" i="11"/>
  <c r="F34" i="25"/>
  <c r="F34" i="23"/>
  <c r="F34" i="22"/>
  <c r="E24" i="18"/>
  <c r="E24" i="12"/>
  <c r="E34" i="11"/>
  <c r="C33" i="9"/>
  <c r="C34" i="6"/>
  <c r="C34" i="37"/>
  <c r="D33" i="28"/>
  <c r="C34" i="24"/>
  <c r="F34" i="17"/>
  <c r="F34" i="13"/>
  <c r="D34" i="9"/>
  <c r="C33" i="16"/>
  <c r="C33" i="12"/>
  <c r="E33" i="9"/>
  <c r="D24" i="19"/>
  <c r="D34" i="18"/>
  <c r="C24" i="11"/>
  <c r="D33" i="10"/>
  <c r="F34" i="9"/>
  <c r="F34" i="7"/>
  <c r="C34" i="32"/>
  <c r="E33" i="32"/>
  <c r="D24" i="20"/>
  <c r="D33" i="16"/>
  <c r="D33" i="14"/>
  <c r="D24" i="13"/>
  <c r="D15" i="11"/>
  <c r="E24" i="21"/>
  <c r="E15" i="15"/>
  <c r="E33" i="11"/>
  <c r="E24" i="37"/>
  <c r="E34" i="19"/>
  <c r="E34" i="9"/>
  <c r="C34" i="21"/>
  <c r="C15" i="20"/>
  <c r="C34" i="15"/>
  <c r="K7" i="15" s="1"/>
  <c r="C34" i="11"/>
  <c r="C33" i="37"/>
  <c r="C24" i="26"/>
  <c r="C33" i="26"/>
  <c r="D33" i="21"/>
  <c r="D15" i="20"/>
  <c r="D34" i="16"/>
  <c r="E15" i="9"/>
  <c r="E24" i="8"/>
  <c r="C24" i="19"/>
  <c r="E24" i="14"/>
  <c r="C24" i="9"/>
  <c r="D35" i="30"/>
  <c r="C24" i="17"/>
  <c r="E24" i="11"/>
  <c r="C33" i="8"/>
  <c r="E33" i="6"/>
  <c r="E34" i="32"/>
  <c r="F34" i="32"/>
  <c r="E24" i="26"/>
  <c r="E24" i="28"/>
  <c r="E34" i="25"/>
  <c r="E34" i="21"/>
  <c r="E24" i="17"/>
  <c r="E24" i="32"/>
  <c r="D24" i="25"/>
  <c r="D33" i="23"/>
  <c r="F34" i="21"/>
  <c r="D33" i="19"/>
  <c r="E34" i="16"/>
  <c r="D24" i="16"/>
  <c r="D34" i="15"/>
  <c r="C15" i="13"/>
  <c r="E15" i="11"/>
  <c r="D33" i="11"/>
  <c r="D24" i="9"/>
  <c r="E24" i="6"/>
  <c r="D15" i="37"/>
  <c r="E33" i="18"/>
  <c r="E24" i="13"/>
  <c r="D33" i="12"/>
  <c r="D34" i="7"/>
  <c r="E33" i="12"/>
  <c r="C15" i="28"/>
  <c r="C33" i="28"/>
  <c r="E34" i="26"/>
  <c r="D24" i="26"/>
  <c r="E24" i="25"/>
  <c r="D15" i="24"/>
  <c r="E34" i="23"/>
  <c r="D15" i="21"/>
  <c r="E15" i="20"/>
  <c r="E15" i="19"/>
  <c r="E34" i="15"/>
  <c r="E33" i="15"/>
  <c r="D34" i="13"/>
  <c r="C34" i="12"/>
  <c r="C34" i="10"/>
  <c r="E24" i="9"/>
  <c r="C24" i="7"/>
  <c r="C34" i="7"/>
  <c r="E34" i="37"/>
  <c r="D33" i="37"/>
  <c r="C34" i="26"/>
  <c r="D34" i="28"/>
  <c r="F34" i="26"/>
  <c r="E34" i="24"/>
  <c r="E15" i="21"/>
  <c r="F34" i="20"/>
  <c r="D34" i="17"/>
  <c r="F34" i="15"/>
  <c r="E34" i="13"/>
  <c r="C34" i="9"/>
  <c r="E34" i="8"/>
  <c r="E33" i="8"/>
  <c r="F34" i="37"/>
  <c r="E33" i="37"/>
  <c r="D24" i="28"/>
  <c r="E33" i="14"/>
  <c r="D34" i="26"/>
  <c r="D34" i="32"/>
  <c r="E15" i="28"/>
  <c r="E33" i="28"/>
  <c r="C15" i="26"/>
  <c r="C34" i="25"/>
  <c r="C33" i="25"/>
  <c r="F34" i="24"/>
  <c r="E33" i="23"/>
  <c r="C24" i="21"/>
  <c r="E34" i="17"/>
  <c r="D24" i="15"/>
  <c r="C24" i="10"/>
  <c r="D15" i="9"/>
  <c r="E34" i="7"/>
  <c r="D34" i="6"/>
  <c r="E15" i="37"/>
  <c r="E24" i="24"/>
  <c r="D33" i="22"/>
  <c r="F34" i="19"/>
  <c r="F34" i="16"/>
  <c r="E15" i="32"/>
  <c r="D15" i="26"/>
  <c r="D33" i="25"/>
  <c r="D24" i="24"/>
  <c r="C33" i="24"/>
  <c r="C34" i="23"/>
  <c r="C34" i="19"/>
  <c r="C24" i="16"/>
  <c r="C33" i="14"/>
  <c r="C24" i="13"/>
  <c r="E34" i="6"/>
  <c r="C24" i="37"/>
  <c r="D34" i="37"/>
  <c r="E15" i="8"/>
  <c r="C33" i="7"/>
  <c r="F34" i="6"/>
  <c r="D24" i="37"/>
  <c r="C15" i="37"/>
  <c r="D24" i="6"/>
  <c r="C24" i="6"/>
  <c r="D33" i="6"/>
  <c r="C15" i="6"/>
  <c r="D15" i="6"/>
  <c r="E15" i="6"/>
  <c r="C15" i="7"/>
  <c r="D24" i="7"/>
  <c r="E33" i="7"/>
  <c r="D15" i="7"/>
  <c r="E24" i="7"/>
  <c r="E15" i="7"/>
  <c r="C15" i="8"/>
  <c r="D24" i="8"/>
  <c r="C24" i="8"/>
  <c r="D33" i="8"/>
  <c r="D15" i="8"/>
  <c r="C15" i="9"/>
  <c r="C15" i="10"/>
  <c r="D24" i="10"/>
  <c r="E33" i="10"/>
  <c r="D15" i="10"/>
  <c r="E24" i="10"/>
  <c r="E15" i="10"/>
  <c r="C33" i="10"/>
  <c r="D15" i="12"/>
  <c r="E34" i="12"/>
  <c r="C33" i="13"/>
  <c r="D33" i="13"/>
  <c r="D15" i="13"/>
  <c r="C34" i="13"/>
  <c r="E15" i="13"/>
  <c r="C15" i="14"/>
  <c r="D15" i="14"/>
  <c r="E15" i="14"/>
  <c r="C15" i="15"/>
  <c r="C24" i="15"/>
  <c r="D15" i="15"/>
  <c r="E24" i="15"/>
  <c r="E33" i="16"/>
  <c r="C34" i="16"/>
  <c r="K7" i="16" s="1"/>
  <c r="E15" i="16"/>
  <c r="C15" i="17"/>
  <c r="D24" i="17"/>
  <c r="E33" i="17"/>
  <c r="D15" i="17"/>
  <c r="C34" i="17"/>
  <c r="K7" i="17" s="1"/>
  <c r="E15" i="17"/>
  <c r="C33" i="18"/>
  <c r="C24" i="18"/>
  <c r="D33" i="18"/>
  <c r="C15" i="18"/>
  <c r="D15" i="18"/>
  <c r="E15" i="18"/>
  <c r="E33" i="19"/>
  <c r="D15" i="19"/>
  <c r="E24" i="19"/>
  <c r="C33" i="20"/>
  <c r="E24" i="20"/>
  <c r="C34" i="20"/>
  <c r="E34" i="20"/>
  <c r="C15" i="22"/>
  <c r="D24" i="22"/>
  <c r="E33" i="22"/>
  <c r="D15" i="22"/>
  <c r="E24" i="22"/>
  <c r="E15" i="22"/>
  <c r="C15" i="21"/>
  <c r="D24" i="21"/>
  <c r="E33" i="21"/>
  <c r="D15" i="23"/>
  <c r="E24" i="23"/>
  <c r="C24" i="24"/>
  <c r="C15" i="24"/>
  <c r="E15" i="24"/>
  <c r="C15" i="25"/>
  <c r="D15" i="25"/>
  <c r="E15" i="26"/>
  <c r="D15" i="28"/>
  <c r="C34" i="28"/>
  <c r="E35" i="30"/>
  <c r="C35" i="30"/>
  <c r="C33" i="32"/>
  <c r="C24" i="32"/>
  <c r="D33" i="32"/>
  <c r="C15" i="32"/>
  <c r="D24" i="32"/>
  <c r="D15" i="32"/>
  <c r="E35" i="24" l="1"/>
  <c r="W146" i="57"/>
  <c r="W146" i="46"/>
  <c r="C35" i="8"/>
  <c r="C35" i="24"/>
  <c r="E35" i="8"/>
  <c r="D35" i="10"/>
  <c r="K11" i="10"/>
  <c r="D35" i="14"/>
  <c r="W112" i="46"/>
  <c r="W112" i="57"/>
  <c r="W107" i="46"/>
  <c r="W107" i="57"/>
  <c r="W102" i="46"/>
  <c r="X102" i="46" s="1"/>
  <c r="W102" i="57"/>
  <c r="Z102" i="46"/>
  <c r="AA102" i="46" s="1"/>
  <c r="AB102" i="46" s="1"/>
  <c r="Z102" i="57"/>
  <c r="D35" i="7"/>
  <c r="X112" i="46"/>
  <c r="X107" i="46"/>
  <c r="E35" i="18"/>
  <c r="K7" i="18"/>
  <c r="E35" i="21"/>
  <c r="D35" i="24"/>
  <c r="E35" i="22"/>
  <c r="C35" i="22"/>
  <c r="D35" i="22"/>
  <c r="C35" i="14"/>
  <c r="E35" i="15"/>
  <c r="E35" i="14"/>
  <c r="C35" i="18"/>
  <c r="C35" i="27"/>
  <c r="K8" i="27"/>
  <c r="E35" i="27"/>
  <c r="D35" i="18"/>
  <c r="C35" i="19"/>
  <c r="D35" i="27"/>
  <c r="C35" i="6"/>
  <c r="D35" i="11"/>
  <c r="E35" i="23"/>
  <c r="D35" i="21"/>
  <c r="E35" i="11"/>
  <c r="D35" i="8"/>
  <c r="E35" i="31"/>
  <c r="C35" i="21"/>
  <c r="C35" i="16"/>
  <c r="D35" i="23"/>
  <c r="C35" i="23"/>
  <c r="C35" i="11"/>
  <c r="C35" i="10"/>
  <c r="D35" i="26"/>
  <c r="C35" i="9"/>
  <c r="D35" i="15"/>
  <c r="E35" i="10"/>
  <c r="C35" i="15"/>
  <c r="D35" i="9"/>
  <c r="C35" i="26"/>
  <c r="E35" i="9"/>
  <c r="C35" i="31"/>
  <c r="C35" i="12"/>
  <c r="E35" i="7"/>
  <c r="D35" i="31"/>
  <c r="E35" i="6"/>
  <c r="E35" i="20"/>
  <c r="E35" i="19"/>
  <c r="D35" i="6"/>
  <c r="C35" i="17"/>
  <c r="E35" i="12"/>
  <c r="E35" i="26"/>
  <c r="D35" i="19"/>
  <c r="C35" i="7"/>
  <c r="D35" i="12"/>
  <c r="D35" i="16"/>
  <c r="E35" i="16"/>
  <c r="D35" i="17"/>
  <c r="E35" i="17"/>
  <c r="C35" i="20"/>
  <c r="D35" i="20"/>
  <c r="W136" i="57" l="1"/>
  <c r="W136" i="46"/>
  <c r="AA102" i="57"/>
  <c r="AB102" i="57" s="1"/>
  <c r="X102" i="57"/>
  <c r="W96" i="46"/>
  <c r="AA96" i="46" s="1"/>
  <c r="AB96" i="46" s="1"/>
  <c r="W96" i="57"/>
  <c r="Z127" i="57"/>
  <c r="AA127" i="57" s="1"/>
  <c r="AB127" i="57" s="1"/>
  <c r="Z127" i="46"/>
  <c r="AA127" i="46" s="1"/>
  <c r="AB127" i="46" s="1"/>
  <c r="X107" i="57"/>
  <c r="X112" i="57"/>
  <c r="AA146" i="46"/>
  <c r="AB146" i="46" s="1"/>
  <c r="X146" i="46"/>
  <c r="X146" i="57"/>
  <c r="AA146" i="57"/>
  <c r="AB146" i="57" s="1"/>
  <c r="P36" i="45"/>
  <c r="AE39" i="54"/>
  <c r="AF39" i="54"/>
  <c r="AD39" i="54"/>
  <c r="AA96" i="57" l="1"/>
  <c r="AB96" i="57" s="1"/>
  <c r="X96" i="57"/>
  <c r="X136" i="46"/>
  <c r="X96" i="46"/>
  <c r="X136" i="57"/>
  <c r="G42" i="37"/>
  <c r="I37" i="37" s="1"/>
  <c r="F42" i="37"/>
  <c r="P35" i="45" l="1"/>
  <c r="BC168" i="57" l="1"/>
  <c r="BB168" i="57"/>
  <c r="C35" i="2" l="1"/>
  <c r="P33" i="45" l="1"/>
  <c r="P32" i="45"/>
  <c r="P31" i="45" l="1"/>
  <c r="P29" i="45" l="1"/>
  <c r="P30" i="45"/>
  <c r="P28" i="45" l="1"/>
  <c r="P27" i="45" l="1"/>
  <c r="P25" i="45" l="1"/>
  <c r="P26" i="45"/>
  <c r="P24" i="45" l="1"/>
  <c r="P23" i="45" l="1"/>
  <c r="P22" i="45" l="1"/>
  <c r="P21" i="45" l="1"/>
  <c r="W78" i="20" l="1"/>
  <c r="I37" i="20"/>
  <c r="P20" i="45" l="1"/>
  <c r="I37" i="22" l="1"/>
  <c r="AY172" i="57" l="1"/>
  <c r="AY174" i="57" l="1"/>
  <c r="P19" i="45" l="1"/>
  <c r="P18" i="45"/>
  <c r="I37" i="21" l="1"/>
  <c r="I37" i="23"/>
  <c r="P17" i="45" l="1"/>
  <c r="C38" i="24" l="1"/>
  <c r="C39" i="24"/>
  <c r="I37" i="24"/>
  <c r="P16" i="45" l="1"/>
  <c r="P15" i="45"/>
  <c r="P14" i="45"/>
  <c r="C43" i="26"/>
  <c r="G42" i="25"/>
  <c r="I37" i="25" s="1"/>
  <c r="F42" i="25"/>
  <c r="G42" i="26"/>
  <c r="I37" i="26" s="1"/>
  <c r="F42" i="26"/>
  <c r="I37" i="28" l="1"/>
  <c r="R7" i="43" l="1"/>
  <c r="U7" i="43" s="1"/>
  <c r="R8" i="43"/>
  <c r="S8" i="43"/>
  <c r="U8" i="43" l="1"/>
  <c r="AR9" i="46" l="1"/>
  <c r="BA9" i="46" s="1"/>
  <c r="AM9" i="46"/>
  <c r="AD9" i="46" l="1"/>
  <c r="Z6" i="46" l="1"/>
  <c r="E4" i="47" l="1"/>
  <c r="H4" i="47" s="1"/>
  <c r="O6" i="57" s="1"/>
  <c r="C6" i="57" l="1"/>
  <c r="K6" i="57"/>
  <c r="K168" i="57" s="1"/>
  <c r="U6" i="57"/>
  <c r="P6" i="57"/>
  <c r="T6" i="57"/>
  <c r="V6" i="57"/>
  <c r="O6" i="46"/>
  <c r="AM11" i="46"/>
  <c r="AM10" i="46"/>
  <c r="AD10" i="46" s="1"/>
  <c r="AZ168" i="57"/>
  <c r="AY168" i="57"/>
  <c r="AX168" i="57"/>
  <c r="AW168" i="57"/>
  <c r="AV168" i="57"/>
  <c r="AU168" i="57"/>
  <c r="AT168" i="57"/>
  <c r="AS168" i="57"/>
  <c r="AQ168" i="57"/>
  <c r="AP168" i="57"/>
  <c r="AO168" i="57"/>
  <c r="AN168" i="57"/>
  <c r="AL168" i="57"/>
  <c r="AK168" i="57"/>
  <c r="AJ168" i="57"/>
  <c r="AI168" i="57"/>
  <c r="AH168" i="57"/>
  <c r="AG168" i="57"/>
  <c r="AF168" i="57"/>
  <c r="S168" i="57"/>
  <c r="R168" i="57"/>
  <c r="Q168" i="57"/>
  <c r="Q169" i="57" s="1"/>
  <c r="AR167" i="57"/>
  <c r="AM167" i="57"/>
  <c r="AC167" i="57"/>
  <c r="AA167" i="57"/>
  <c r="AC6" i="57" l="1"/>
  <c r="BA9" i="48"/>
  <c r="BE170" i="57"/>
  <c r="BD170" i="57"/>
  <c r="BF170" i="57"/>
  <c r="BB170" i="57"/>
  <c r="BC170" i="57"/>
  <c r="R169" i="57"/>
  <c r="S169" i="57"/>
  <c r="AR168" i="57"/>
  <c r="BA168" i="57"/>
  <c r="R170" i="57" s="1"/>
  <c r="AM168" i="57"/>
  <c r="S170" i="57"/>
  <c r="AZ168" i="46"/>
  <c r="AY168" i="46"/>
  <c r="AX168" i="46"/>
  <c r="AW168" i="46"/>
  <c r="AV168" i="46"/>
  <c r="AU168" i="46"/>
  <c r="AT168" i="46"/>
  <c r="AS168" i="46"/>
  <c r="AQ168" i="46"/>
  <c r="AP168" i="46"/>
  <c r="AO168" i="46"/>
  <c r="AN168" i="46"/>
  <c r="AL168" i="46"/>
  <c r="AK168" i="46"/>
  <c r="AJ168" i="46"/>
  <c r="AI168" i="46"/>
  <c r="AH168" i="46"/>
  <c r="AG168" i="46"/>
  <c r="AF168" i="46"/>
  <c r="AR167" i="46"/>
  <c r="AM167" i="46"/>
  <c r="AR8" i="46"/>
  <c r="BA8" i="46" s="1"/>
  <c r="AM8" i="46"/>
  <c r="AR7" i="46"/>
  <c r="BA7" i="46" s="1"/>
  <c r="AM7" i="46"/>
  <c r="AR6" i="46"/>
  <c r="AM6" i="46"/>
  <c r="AD7" i="46" l="1"/>
  <c r="AD8" i="46"/>
  <c r="AM168" i="46"/>
  <c r="AR168" i="46"/>
  <c r="AD168" i="57"/>
  <c r="T9" i="56" s="1"/>
  <c r="BA6" i="46"/>
  <c r="AD6" i="46" s="1"/>
  <c r="AD168" i="46" s="1"/>
  <c r="BA168" i="46" l="1"/>
  <c r="E40" i="45"/>
  <c r="I40" i="45"/>
  <c r="M40" i="45"/>
  <c r="I46" i="16" l="1"/>
  <c r="I46" i="18"/>
  <c r="I46" i="20"/>
  <c r="I46" i="21"/>
  <c r="I46" i="24"/>
  <c r="I46" i="26"/>
  <c r="I46" i="27"/>
  <c r="I46" i="30"/>
  <c r="I46" i="32"/>
  <c r="L8" i="45"/>
  <c r="L9" i="45" s="1"/>
  <c r="L10" i="45" s="1"/>
  <c r="L11" i="45" s="1"/>
  <c r="L12" i="45" s="1"/>
  <c r="L13" i="45" s="1"/>
  <c r="H8" i="45"/>
  <c r="H9" i="45" s="1"/>
  <c r="H10" i="45" s="1"/>
  <c r="H11" i="45" s="1"/>
  <c r="H12" i="45" s="1"/>
  <c r="H13" i="45" s="1"/>
  <c r="P8" i="45"/>
  <c r="I46" i="33" s="1"/>
  <c r="D8" i="45"/>
  <c r="D9" i="45" s="1"/>
  <c r="D10" i="45" s="1"/>
  <c r="D11" i="45" s="1"/>
  <c r="D12" i="45" s="1"/>
  <c r="D13" i="45" s="1"/>
  <c r="A7" i="45" l="1"/>
  <c r="I46" i="28"/>
  <c r="I46" i="22"/>
  <c r="I46" i="17"/>
  <c r="I46" i="14"/>
  <c r="I46" i="13"/>
  <c r="I46" i="12"/>
  <c r="I46" i="11"/>
  <c r="I46" i="10"/>
  <c r="I46" i="9"/>
  <c r="I46" i="8"/>
  <c r="P34" i="45"/>
  <c r="I46" i="7" s="1"/>
  <c r="I46" i="6"/>
  <c r="I46" i="37"/>
  <c r="P37" i="45"/>
  <c r="P38" i="45"/>
  <c r="P40" i="45"/>
  <c r="I46" i="43" l="1"/>
  <c r="I46" i="4"/>
  <c r="I46" i="15"/>
  <c r="I46" i="19"/>
  <c r="I46" i="23"/>
  <c r="I46" i="25"/>
  <c r="I46" i="29"/>
  <c r="I46" i="31"/>
  <c r="S168" i="46" l="1"/>
  <c r="R168" i="46"/>
  <c r="Q168" i="46"/>
  <c r="Q169" i="46" s="1"/>
  <c r="AC167" i="46"/>
  <c r="AA167" i="46"/>
  <c r="N6" i="46"/>
  <c r="H6" i="46" s="1"/>
  <c r="BB170" i="46" l="1"/>
  <c r="BC170" i="46"/>
  <c r="BE170" i="46"/>
  <c r="BD170" i="46"/>
  <c r="BF170" i="46"/>
  <c r="J6" i="46"/>
  <c r="S170" i="46"/>
  <c r="R169" i="46"/>
  <c r="S169" i="46"/>
  <c r="H14" i="45" l="1"/>
  <c r="H15" i="45" s="1"/>
  <c r="H16" i="45" s="1"/>
  <c r="L14" i="45"/>
  <c r="L15" i="45" s="1"/>
  <c r="L16" i="45" s="1"/>
  <c r="D14" i="45"/>
  <c r="D15" i="45" s="1"/>
  <c r="D16" i="45" s="1"/>
  <c r="I9" i="56"/>
  <c r="R170" i="46"/>
  <c r="D17" i="45" l="1"/>
  <c r="L17" i="45"/>
  <c r="H17" i="45"/>
  <c r="H18" i="45" l="1"/>
  <c r="H19" i="45" s="1"/>
  <c r="L18" i="45"/>
  <c r="L19" i="45" s="1"/>
  <c r="D18" i="45"/>
  <c r="D19" i="45" s="1"/>
  <c r="L20" i="45" l="1"/>
  <c r="D20" i="45"/>
  <c r="D21" i="45" s="1"/>
  <c r="D22" i="45" s="1"/>
  <c r="D23" i="45" s="1"/>
  <c r="D24" i="45" s="1"/>
  <c r="D25" i="45" s="1"/>
  <c r="D26" i="45" s="1"/>
  <c r="D27" i="45" s="1"/>
  <c r="D28" i="45" s="1"/>
  <c r="D29" i="45" s="1"/>
  <c r="D30" i="45" s="1"/>
  <c r="D31" i="45" s="1"/>
  <c r="D32" i="45" s="1"/>
  <c r="D33" i="45" s="1"/>
  <c r="H20" i="45"/>
  <c r="H21" i="45" l="1"/>
  <c r="L21" i="45"/>
  <c r="D34" i="45"/>
  <c r="G4" i="47"/>
  <c r="AO13" i="48"/>
  <c r="AO14" i="48"/>
  <c r="AO15" i="48"/>
  <c r="AO16" i="48"/>
  <c r="AO17" i="48"/>
  <c r="AO18" i="48"/>
  <c r="AO19" i="48"/>
  <c r="AO20" i="48"/>
  <c r="AO21" i="48"/>
  <c r="AO22" i="48"/>
  <c r="AO23" i="48"/>
  <c r="AO24" i="48"/>
  <c r="AO25" i="48"/>
  <c r="AO26" i="48"/>
  <c r="AO27" i="48"/>
  <c r="AO28" i="48"/>
  <c r="AO29" i="48"/>
  <c r="AO30" i="48"/>
  <c r="AR30" i="48" s="1"/>
  <c r="AO31" i="48"/>
  <c r="AR31" i="48" s="1"/>
  <c r="AO32" i="48"/>
  <c r="AO33" i="48"/>
  <c r="AO34" i="48"/>
  <c r="AO35" i="48"/>
  <c r="AO36" i="48"/>
  <c r="AO37" i="48"/>
  <c r="AO38" i="48"/>
  <c r="AO39" i="48"/>
  <c r="AO12" i="48"/>
  <c r="AO10" i="48"/>
  <c r="AO11" i="48"/>
  <c r="AO9" i="48"/>
  <c r="K6" i="46" l="1"/>
  <c r="L9" i="48" s="1"/>
  <c r="D35" i="45"/>
  <c r="L22" i="45"/>
  <c r="H22" i="45"/>
  <c r="AS39" i="48"/>
  <c r="AR39" i="48"/>
  <c r="AR38" i="48"/>
  <c r="AS38" i="48"/>
  <c r="T168" i="57" l="1"/>
  <c r="P168" i="57"/>
  <c r="O168" i="57" s="1"/>
  <c r="U168" i="57"/>
  <c r="V168" i="57"/>
  <c r="T10" i="56" s="1"/>
  <c r="N12" i="55" s="1"/>
  <c r="D36" i="45"/>
  <c r="D37" i="45" s="1"/>
  <c r="D38" i="45" s="1"/>
  <c r="H23" i="45"/>
  <c r="L23" i="45"/>
  <c r="C168" i="57"/>
  <c r="AT38" i="48"/>
  <c r="AT39" i="48"/>
  <c r="P6" i="46"/>
  <c r="P168" i="46" s="1"/>
  <c r="O168" i="46" s="1"/>
  <c r="V6" i="46"/>
  <c r="V168" i="46" s="1"/>
  <c r="I10" i="56" s="1"/>
  <c r="E12" i="55" s="1"/>
  <c r="T6" i="46"/>
  <c r="T168" i="46" s="1"/>
  <c r="U6" i="46"/>
  <c r="U168" i="46" s="1"/>
  <c r="C6" i="46"/>
  <c r="N9" i="48" s="1"/>
  <c r="K168" i="46"/>
  <c r="C46" i="30"/>
  <c r="AC168" i="57" l="1"/>
  <c r="AC169" i="57" s="1"/>
  <c r="X178" i="57" s="1"/>
  <c r="E9" i="55"/>
  <c r="E8" i="55"/>
  <c r="E21" i="55"/>
  <c r="E19" i="55"/>
  <c r="E28" i="55"/>
  <c r="E7" i="55"/>
  <c r="E5" i="55"/>
  <c r="E36" i="55"/>
  <c r="E35" i="55"/>
  <c r="E33" i="55"/>
  <c r="E24" i="55"/>
  <c r="E32" i="55"/>
  <c r="E40" i="55"/>
  <c r="E17" i="55"/>
  <c r="E34" i="55"/>
  <c r="E37" i="55"/>
  <c r="E27" i="55"/>
  <c r="E30" i="55"/>
  <c r="E11" i="55"/>
  <c r="E6" i="55"/>
  <c r="E39" i="55"/>
  <c r="E25" i="55"/>
  <c r="E10" i="55"/>
  <c r="E18" i="55"/>
  <c r="E22" i="55"/>
  <c r="E38" i="55"/>
  <c r="E31" i="55"/>
  <c r="E26" i="55"/>
  <c r="E4" i="55"/>
  <c r="E20" i="55"/>
  <c r="E29" i="55"/>
  <c r="E23" i="55"/>
  <c r="N29" i="55"/>
  <c r="N21" i="55"/>
  <c r="N24" i="55"/>
  <c r="N6" i="55"/>
  <c r="N17" i="55"/>
  <c r="N27" i="55"/>
  <c r="N10" i="55"/>
  <c r="N40" i="55"/>
  <c r="N26" i="55"/>
  <c r="N28" i="55"/>
  <c r="N23" i="55"/>
  <c r="N32" i="55"/>
  <c r="N7" i="55"/>
  <c r="N18" i="55"/>
  <c r="N11" i="55"/>
  <c r="N19" i="55"/>
  <c r="N8" i="55"/>
  <c r="N35" i="55"/>
  <c r="N38" i="55"/>
  <c r="N5" i="55"/>
  <c r="N20" i="55"/>
  <c r="N31" i="55"/>
  <c r="N34" i="55"/>
  <c r="N39" i="55"/>
  <c r="N4" i="55"/>
  <c r="N37" i="55"/>
  <c r="N30" i="55"/>
  <c r="N33" i="55"/>
  <c r="N25" i="55"/>
  <c r="N36" i="55"/>
  <c r="N9" i="55"/>
  <c r="N22" i="55"/>
  <c r="L24" i="45"/>
  <c r="H24" i="45"/>
  <c r="V169" i="57"/>
  <c r="AM169" i="57" s="1"/>
  <c r="I8" i="56"/>
  <c r="AH4" i="54"/>
  <c r="AH3" i="54"/>
  <c r="T8" i="56"/>
  <c r="BA41" i="48"/>
  <c r="BB9" i="48"/>
  <c r="BB10" i="48" s="1"/>
  <c r="BB11" i="48" s="1"/>
  <c r="BB12" i="48" s="1"/>
  <c r="BB13" i="48" s="1"/>
  <c r="BB14" i="48" s="1"/>
  <c r="BB15" i="48" s="1"/>
  <c r="BB16" i="48" s="1"/>
  <c r="BB17" i="48" s="1"/>
  <c r="BB18" i="48" s="1"/>
  <c r="BB19" i="48" s="1"/>
  <c r="BB20" i="48" s="1"/>
  <c r="BB21" i="48" s="1"/>
  <c r="BB22" i="48" s="1"/>
  <c r="BB23" i="48" s="1"/>
  <c r="BB24" i="48" s="1"/>
  <c r="BB25" i="48" s="1"/>
  <c r="BB26" i="48" s="1"/>
  <c r="BB27" i="48" s="1"/>
  <c r="BB28" i="48" s="1"/>
  <c r="BB29" i="48" s="1"/>
  <c r="BB30" i="48" s="1"/>
  <c r="BB31" i="48" s="1"/>
  <c r="BB32" i="48" s="1"/>
  <c r="BB33" i="48" s="1"/>
  <c r="BB34" i="48" s="1"/>
  <c r="BB35" i="48" s="1"/>
  <c r="BB36" i="48" s="1"/>
  <c r="BB37" i="48" s="1"/>
  <c r="BB38" i="48" s="1"/>
  <c r="BB39" i="48" s="1"/>
  <c r="AC6" i="46"/>
  <c r="AC168" i="46" s="1"/>
  <c r="C168" i="46"/>
  <c r="V169" i="46"/>
  <c r="AW169" i="57" l="1"/>
  <c r="X195" i="57" s="1"/>
  <c r="BA169" i="57"/>
  <c r="AJ169" i="57"/>
  <c r="X185" i="57" s="1"/>
  <c r="AG169" i="57"/>
  <c r="X182" i="57" s="1"/>
  <c r="AH169" i="57"/>
  <c r="X183" i="57" s="1"/>
  <c r="AR169" i="57"/>
  <c r="AX169" i="57"/>
  <c r="AQ169" i="57"/>
  <c r="X191" i="57" s="1"/>
  <c r="AF169" i="57"/>
  <c r="X181" i="57" s="1"/>
  <c r="AN169" i="57"/>
  <c r="X188" i="57" s="1"/>
  <c r="AV169" i="57"/>
  <c r="X196" i="57" s="1"/>
  <c r="AY169" i="57"/>
  <c r="AZ169" i="57"/>
  <c r="X198" i="57" s="1"/>
  <c r="H25" i="45"/>
  <c r="H26" i="45" s="1"/>
  <c r="L25" i="45"/>
  <c r="L26" i="45" s="1"/>
  <c r="AS169" i="57"/>
  <c r="X192" i="57" s="1"/>
  <c r="AI169" i="57"/>
  <c r="X184" i="57" s="1"/>
  <c r="AT169" i="57"/>
  <c r="X193" i="57" s="1"/>
  <c r="AO169" i="57"/>
  <c r="X189" i="57" s="1"/>
  <c r="AL169" i="57"/>
  <c r="X187" i="57" s="1"/>
  <c r="AK169" i="57"/>
  <c r="X186" i="57" s="1"/>
  <c r="AU169" i="57"/>
  <c r="X194" i="57" s="1"/>
  <c r="AP169" i="57"/>
  <c r="X190" i="57" s="1"/>
  <c r="T5" i="56"/>
  <c r="N16" i="55" s="1"/>
  <c r="T11" i="56"/>
  <c r="O12" i="55" s="1"/>
  <c r="P12" i="55" s="1"/>
  <c r="AJ169" i="46"/>
  <c r="X185" i="46" s="1"/>
  <c r="AX169" i="46"/>
  <c r="AI169" i="46"/>
  <c r="X184" i="46" s="1"/>
  <c r="AL169" i="46"/>
  <c r="X187" i="46" s="1"/>
  <c r="AR169" i="46"/>
  <c r="AK169" i="46"/>
  <c r="X186" i="46" s="1"/>
  <c r="AO169" i="46"/>
  <c r="X189" i="46" s="1"/>
  <c r="AG169" i="46"/>
  <c r="X182" i="46" s="1"/>
  <c r="AM169" i="46"/>
  <c r="AQ169" i="46"/>
  <c r="X191" i="46" s="1"/>
  <c r="AT169" i="46"/>
  <c r="X193" i="46" s="1"/>
  <c r="AF169" i="46"/>
  <c r="X181" i="46" s="1"/>
  <c r="AP169" i="46"/>
  <c r="X190" i="46" s="1"/>
  <c r="AZ169" i="46"/>
  <c r="X198" i="46" s="1"/>
  <c r="AW169" i="46"/>
  <c r="X195" i="46" s="1"/>
  <c r="AY169" i="46"/>
  <c r="AN169" i="46"/>
  <c r="X188" i="46" s="1"/>
  <c r="AV169" i="46"/>
  <c r="X196" i="46" s="1"/>
  <c r="AH169" i="46"/>
  <c r="X183" i="46" s="1"/>
  <c r="AU169" i="46"/>
  <c r="X194" i="46" s="1"/>
  <c r="AS169" i="46"/>
  <c r="X192" i="46" s="1"/>
  <c r="BA169" i="46"/>
  <c r="AC169" i="46"/>
  <c r="X178" i="46" s="1"/>
  <c r="I5" i="56"/>
  <c r="E16" i="55" s="1"/>
  <c r="F16" i="55" s="1"/>
  <c r="G16" i="55" s="1"/>
  <c r="X197" i="57" l="1"/>
  <c r="O11" i="55"/>
  <c r="P11" i="55" s="1"/>
  <c r="O31" i="55"/>
  <c r="O25" i="55"/>
  <c r="O8" i="55"/>
  <c r="P8" i="55" s="1"/>
  <c r="O32" i="55"/>
  <c r="O27" i="55"/>
  <c r="O29" i="55"/>
  <c r="O21" i="55"/>
  <c r="O39" i="55"/>
  <c r="O20" i="55"/>
  <c r="O18" i="55"/>
  <c r="O23" i="55"/>
  <c r="O40" i="55"/>
  <c r="O7" i="55"/>
  <c r="P7" i="55" s="1"/>
  <c r="O34" i="55"/>
  <c r="O22" i="55"/>
  <c r="O19" i="55"/>
  <c r="P19" i="55" s="1"/>
  <c r="O38" i="55"/>
  <c r="O24" i="55"/>
  <c r="O5" i="55"/>
  <c r="P5" i="55" s="1"/>
  <c r="O36" i="55"/>
  <c r="O33" i="55"/>
  <c r="O9" i="55"/>
  <c r="P9" i="55" s="1"/>
  <c r="O26" i="55"/>
  <c r="O6" i="55"/>
  <c r="P6" i="55" s="1"/>
  <c r="O10" i="55"/>
  <c r="P10" i="55" s="1"/>
  <c r="O37" i="55"/>
  <c r="O4" i="55"/>
  <c r="O28" i="55"/>
  <c r="O35" i="55"/>
  <c r="O30" i="55"/>
  <c r="O17" i="55"/>
  <c r="L27" i="45"/>
  <c r="H27" i="45"/>
  <c r="U5" i="56"/>
  <c r="O16" i="55" s="1"/>
  <c r="P16" i="55" s="1"/>
  <c r="X197" i="46"/>
  <c r="AC39" i="54"/>
  <c r="AB39" i="54"/>
  <c r="AA39" i="54"/>
  <c r="Z39" i="54"/>
  <c r="Y39" i="54"/>
  <c r="X39" i="54"/>
  <c r="W39" i="54"/>
  <c r="V39" i="54"/>
  <c r="U39" i="54"/>
  <c r="T39" i="54"/>
  <c r="S39" i="54"/>
  <c r="R39" i="54"/>
  <c r="Q39" i="54"/>
  <c r="P39" i="54"/>
  <c r="O39" i="54"/>
  <c r="N39" i="54"/>
  <c r="M39" i="54"/>
  <c r="L39" i="54"/>
  <c r="K39" i="54"/>
  <c r="J39" i="54"/>
  <c r="I39" i="54"/>
  <c r="H39" i="54"/>
  <c r="G39" i="54"/>
  <c r="F39" i="54"/>
  <c r="E39" i="54"/>
  <c r="D39" i="54"/>
  <c r="C39" i="54"/>
  <c r="B39" i="54"/>
  <c r="AG37" i="54"/>
  <c r="AG36" i="54"/>
  <c r="AG35" i="54"/>
  <c r="AG34" i="54"/>
  <c r="AG33" i="54"/>
  <c r="AG32" i="54"/>
  <c r="AG31" i="54"/>
  <c r="AG30" i="54"/>
  <c r="AG29" i="54"/>
  <c r="AG28" i="54"/>
  <c r="AG27" i="54"/>
  <c r="AG26" i="54"/>
  <c r="AG25" i="54"/>
  <c r="AG24" i="54"/>
  <c r="AG23" i="54"/>
  <c r="AG22" i="54"/>
  <c r="AG21" i="54"/>
  <c r="AG20" i="54"/>
  <c r="AG19" i="54"/>
  <c r="AG18" i="54"/>
  <c r="AG17" i="54"/>
  <c r="AG16" i="54"/>
  <c r="AG15" i="54"/>
  <c r="AG14" i="54"/>
  <c r="AG13" i="54"/>
  <c r="AG12" i="54"/>
  <c r="AG11" i="54"/>
  <c r="AG10" i="54"/>
  <c r="AG9" i="54"/>
  <c r="AG8" i="54"/>
  <c r="AG7" i="54"/>
  <c r="AG6" i="54"/>
  <c r="AA154" i="57" l="1"/>
  <c r="AB154" i="57" s="1"/>
  <c r="AA154" i="46"/>
  <c r="AB154" i="46" s="1"/>
  <c r="AA150" i="57"/>
  <c r="AB150" i="57" s="1"/>
  <c r="AA150" i="46"/>
  <c r="AB150" i="46" s="1"/>
  <c r="P37" i="55"/>
  <c r="P17" i="55"/>
  <c r="P34" i="55"/>
  <c r="P32" i="55"/>
  <c r="P4" i="55"/>
  <c r="Q4" i="55" s="1"/>
  <c r="P25" i="55"/>
  <c r="P20" i="55"/>
  <c r="P39" i="55"/>
  <c r="Q39" i="55" s="1"/>
  <c r="Y168" i="57"/>
  <c r="H28" i="45"/>
  <c r="L28" i="45"/>
  <c r="Y168" i="46"/>
  <c r="AI3" i="54"/>
  <c r="AG39" i="54"/>
  <c r="Q25" i="55" l="1"/>
  <c r="L29" i="45"/>
  <c r="L30" i="45" s="1"/>
  <c r="H29" i="45"/>
  <c r="H30" i="45" s="1"/>
  <c r="Y170" i="57"/>
  <c r="Y169" i="57"/>
  <c r="X176" i="57" s="1"/>
  <c r="Y170" i="46"/>
  <c r="Y169" i="46"/>
  <c r="X176" i="46" s="1"/>
  <c r="AH7" i="54"/>
  <c r="AH38" i="54"/>
  <c r="AH37" i="54"/>
  <c r="AH20" i="54"/>
  <c r="AH36" i="54"/>
  <c r="AH12" i="54"/>
  <c r="AH14" i="54"/>
  <c r="AH9" i="54"/>
  <c r="AH13" i="54"/>
  <c r="AH17" i="54"/>
  <c r="AH28" i="54"/>
  <c r="AH27" i="54"/>
  <c r="AH34" i="54"/>
  <c r="AH11" i="54"/>
  <c r="AH18" i="54"/>
  <c r="AH6" i="54"/>
  <c r="AH10" i="54"/>
  <c r="AH30" i="54"/>
  <c r="AH29" i="54"/>
  <c r="AH16" i="54"/>
  <c r="AH15" i="54"/>
  <c r="AH35" i="54"/>
  <c r="AH32" i="54"/>
  <c r="AH24" i="54"/>
  <c r="AH8" i="54"/>
  <c r="AH26" i="54"/>
  <c r="AH21" i="54"/>
  <c r="AH31" i="54"/>
  <c r="AH25" i="54"/>
  <c r="AH23" i="54"/>
  <c r="AH22" i="54"/>
  <c r="AH33" i="54"/>
  <c r="AH19" i="54"/>
  <c r="H31" i="45" l="1"/>
  <c r="L31" i="45"/>
  <c r="AH39" i="54"/>
  <c r="AP41" i="48"/>
  <c r="AQ39" i="48"/>
  <c r="AQ38" i="48"/>
  <c r="AQ37" i="48"/>
  <c r="AR37" i="48"/>
  <c r="AQ36" i="48"/>
  <c r="AR36" i="48"/>
  <c r="AQ35" i="48"/>
  <c r="AS35" i="48"/>
  <c r="AQ34" i="48"/>
  <c r="AS34" i="48"/>
  <c r="AQ33" i="48"/>
  <c r="AR33" i="48"/>
  <c r="AQ32" i="48"/>
  <c r="AS32" i="48"/>
  <c r="AQ31" i="48"/>
  <c r="AS31" i="48"/>
  <c r="AS25" i="48"/>
  <c r="AR24" i="48"/>
  <c r="AS23" i="48"/>
  <c r="AS22" i="48"/>
  <c r="AS21" i="48"/>
  <c r="AS20" i="48"/>
  <c r="AS19" i="48"/>
  <c r="AS18" i="48"/>
  <c r="AS17" i="48"/>
  <c r="AQ16" i="48"/>
  <c r="AS15" i="48"/>
  <c r="AR13" i="48"/>
  <c r="AQ13" i="48"/>
  <c r="AS13" i="48"/>
  <c r="AS12" i="48"/>
  <c r="AR12" i="48"/>
  <c r="AQ12" i="48"/>
  <c r="AS11" i="48"/>
  <c r="AR11" i="48"/>
  <c r="AQ11" i="48"/>
  <c r="AS10" i="48"/>
  <c r="AR10" i="48"/>
  <c r="AQ10" i="48"/>
  <c r="AS9" i="48"/>
  <c r="AR9" i="48"/>
  <c r="AQ9" i="48"/>
  <c r="L32" i="45" l="1"/>
  <c r="L33" i="45" s="1"/>
  <c r="L34" i="45" s="1"/>
  <c r="H32" i="45"/>
  <c r="H33" i="45" s="1"/>
  <c r="H34" i="45" s="1"/>
  <c r="AV38" i="48"/>
  <c r="AY38" i="48" s="1"/>
  <c r="AU38" i="48"/>
  <c r="AX38" i="48" s="1"/>
  <c r="AW38" i="48"/>
  <c r="AZ38" i="48" s="1"/>
  <c r="AV39" i="48"/>
  <c r="AY39" i="48" s="1"/>
  <c r="AU39" i="48"/>
  <c r="AX39" i="48" s="1"/>
  <c r="AW39" i="48"/>
  <c r="AZ39" i="48" s="1"/>
  <c r="AV32" i="48"/>
  <c r="AY32" i="48" s="1"/>
  <c r="AV13" i="48"/>
  <c r="AY13" i="48" s="1"/>
  <c r="AV12" i="48"/>
  <c r="AY12" i="48" s="1"/>
  <c r="AV9" i="48"/>
  <c r="AY9" i="48" s="1"/>
  <c r="AV34" i="48"/>
  <c r="AY34" i="48" s="1"/>
  <c r="AT11" i="48"/>
  <c r="AW11" i="48" s="1"/>
  <c r="AV31" i="48"/>
  <c r="AY31" i="48" s="1"/>
  <c r="AT13" i="48"/>
  <c r="AW13" i="48" s="1"/>
  <c r="AV35" i="48"/>
  <c r="AY35" i="48" s="1"/>
  <c r="AV10" i="48"/>
  <c r="AY10" i="48" s="1"/>
  <c r="AU10" i="48"/>
  <c r="AX10" i="48" s="1"/>
  <c r="AV11" i="48"/>
  <c r="AY11" i="48" s="1"/>
  <c r="AS14" i="48"/>
  <c r="AR14" i="48"/>
  <c r="AS28" i="48"/>
  <c r="AR28" i="48"/>
  <c r="AQ28" i="48"/>
  <c r="AU36" i="48"/>
  <c r="AX36" i="48" s="1"/>
  <c r="AT10" i="48"/>
  <c r="AW10" i="48" s="1"/>
  <c r="AU12" i="48"/>
  <c r="AX12" i="48" s="1"/>
  <c r="AT12" i="48"/>
  <c r="AW12" i="48" s="1"/>
  <c r="AQ14" i="48"/>
  <c r="AU37" i="48"/>
  <c r="AX37" i="48" s="1"/>
  <c r="AU9" i="48"/>
  <c r="AX9" i="48" s="1"/>
  <c r="AR18" i="48"/>
  <c r="AQ18" i="48"/>
  <c r="AV18" i="48" s="1"/>
  <c r="AY18" i="48" s="1"/>
  <c r="AR22" i="48"/>
  <c r="AQ22" i="48"/>
  <c r="AV22" i="48" s="1"/>
  <c r="AY22" i="48" s="1"/>
  <c r="AQ25" i="48"/>
  <c r="AV25" i="48" s="1"/>
  <c r="AY25" i="48" s="1"/>
  <c r="AR25" i="48"/>
  <c r="AU13" i="48"/>
  <c r="AX13" i="48" s="1"/>
  <c r="AR17" i="48"/>
  <c r="AQ17" i="48"/>
  <c r="AV17" i="48" s="1"/>
  <c r="AY17" i="48" s="1"/>
  <c r="AQ21" i="48"/>
  <c r="AV21" i="48" s="1"/>
  <c r="AY21" i="48" s="1"/>
  <c r="AR21" i="48"/>
  <c r="AS24" i="48"/>
  <c r="AT24" i="48" s="1"/>
  <c r="AQ24" i="48"/>
  <c r="AU24" i="48" s="1"/>
  <c r="AX24" i="48" s="1"/>
  <c r="AQ15" i="48"/>
  <c r="AV15" i="48" s="1"/>
  <c r="AY15" i="48" s="1"/>
  <c r="AR15" i="48"/>
  <c r="AT9" i="48"/>
  <c r="AW9" i="48" s="1"/>
  <c r="AZ9" i="48" s="1"/>
  <c r="AU11" i="48"/>
  <c r="AX11" i="48" s="1"/>
  <c r="AR16" i="48"/>
  <c r="AS16" i="48"/>
  <c r="AV16" i="48" s="1"/>
  <c r="AY16" i="48" s="1"/>
  <c r="AR19" i="48"/>
  <c r="AQ19" i="48"/>
  <c r="AV19" i="48" s="1"/>
  <c r="AY19" i="48" s="1"/>
  <c r="AR23" i="48"/>
  <c r="AQ23" i="48"/>
  <c r="AV23" i="48" s="1"/>
  <c r="AY23" i="48" s="1"/>
  <c r="AS30" i="48"/>
  <c r="AQ30" i="48"/>
  <c r="AU33" i="48"/>
  <c r="AX33" i="48" s="1"/>
  <c r="AS26" i="48"/>
  <c r="AR26" i="48"/>
  <c r="AQ26" i="48"/>
  <c r="AS27" i="48"/>
  <c r="AR27" i="48"/>
  <c r="AQ27" i="48"/>
  <c r="AS29" i="48"/>
  <c r="AR29" i="48"/>
  <c r="AQ29" i="48"/>
  <c r="AR20" i="48"/>
  <c r="AQ20" i="48"/>
  <c r="AV20" i="48" s="1"/>
  <c r="AY20" i="48" s="1"/>
  <c r="AR32" i="48"/>
  <c r="AR34" i="48"/>
  <c r="AR35" i="48"/>
  <c r="AS33" i="48"/>
  <c r="AV33" i="48" s="1"/>
  <c r="AY33" i="48" s="1"/>
  <c r="AS36" i="48"/>
  <c r="AV36" i="48" s="1"/>
  <c r="AY36" i="48" s="1"/>
  <c r="AS37" i="48"/>
  <c r="AV37" i="48" s="1"/>
  <c r="AY37" i="48" s="1"/>
  <c r="T38" i="48" l="1"/>
  <c r="T37" i="48"/>
  <c r="T36" i="48"/>
  <c r="T33" i="48"/>
  <c r="T24" i="48"/>
  <c r="T13" i="48"/>
  <c r="T12" i="48"/>
  <c r="T11" i="48"/>
  <c r="T10" i="48"/>
  <c r="T9" i="48"/>
  <c r="H35" i="45"/>
  <c r="L35" i="45"/>
  <c r="AZ12" i="48"/>
  <c r="AW24" i="48"/>
  <c r="AZ13" i="48"/>
  <c r="AZ11" i="48"/>
  <c r="AZ10" i="48"/>
  <c r="AV30" i="48"/>
  <c r="AY30" i="48" s="1"/>
  <c r="AV14" i="48"/>
  <c r="AY14" i="48" s="1"/>
  <c r="AV24" i="48"/>
  <c r="AY24" i="48" s="1"/>
  <c r="AV27" i="48"/>
  <c r="AY27" i="48" s="1"/>
  <c r="AT30" i="48"/>
  <c r="AW30" i="48" s="1"/>
  <c r="AU30" i="48"/>
  <c r="AT18" i="48"/>
  <c r="AW18" i="48" s="1"/>
  <c r="AU18" i="48"/>
  <c r="AT36" i="48"/>
  <c r="AW36" i="48" s="1"/>
  <c r="AU16" i="48"/>
  <c r="AX16" i="48" s="1"/>
  <c r="AT16" i="48"/>
  <c r="AW16" i="48" s="1"/>
  <c r="AT26" i="48"/>
  <c r="AW26" i="48" s="1"/>
  <c r="AU26" i="48"/>
  <c r="AX26" i="48" s="1"/>
  <c r="AV26" i="48"/>
  <c r="AY26" i="48" s="1"/>
  <c r="AT15" i="48"/>
  <c r="AW15" i="48" s="1"/>
  <c r="AU15" i="48"/>
  <c r="AX15" i="48" s="1"/>
  <c r="AT37" i="48"/>
  <c r="AW37" i="48" s="1"/>
  <c r="AU32" i="48"/>
  <c r="AX32" i="48" s="1"/>
  <c r="AT32" i="48"/>
  <c r="AW32" i="48" s="1"/>
  <c r="AT21" i="48"/>
  <c r="AW21" i="48" s="1"/>
  <c r="AU21" i="48"/>
  <c r="AX21" i="48" s="1"/>
  <c r="AU31" i="48"/>
  <c r="AX31" i="48" s="1"/>
  <c r="AT31" i="48"/>
  <c r="AW31" i="48" s="1"/>
  <c r="AT20" i="48"/>
  <c r="AW20" i="48" s="1"/>
  <c r="AU20" i="48"/>
  <c r="AX20" i="48" s="1"/>
  <c r="AT19" i="48"/>
  <c r="AW19" i="48" s="1"/>
  <c r="AU19" i="48"/>
  <c r="AX19" i="48" s="1"/>
  <c r="AT25" i="48"/>
  <c r="AW25" i="48" s="1"/>
  <c r="AU25" i="48"/>
  <c r="AX25" i="48" s="1"/>
  <c r="AU28" i="48"/>
  <c r="AX28" i="48" s="1"/>
  <c r="AT28" i="48"/>
  <c r="AW28" i="48" s="1"/>
  <c r="AU35" i="48"/>
  <c r="AX35" i="48" s="1"/>
  <c r="AT35" i="48"/>
  <c r="AW35" i="48" s="1"/>
  <c r="AV29" i="48"/>
  <c r="AY29" i="48" s="1"/>
  <c r="AV28" i="48"/>
  <c r="AY28" i="48" s="1"/>
  <c r="AT27" i="48"/>
  <c r="AW27" i="48" s="1"/>
  <c r="AU27" i="48"/>
  <c r="AX27" i="48" s="1"/>
  <c r="AT22" i="48"/>
  <c r="AW22" i="48" s="1"/>
  <c r="AU22" i="48"/>
  <c r="AX22" i="48" s="1"/>
  <c r="AT23" i="48"/>
  <c r="AW23" i="48" s="1"/>
  <c r="AU23" i="48"/>
  <c r="AX23" i="48" s="1"/>
  <c r="AT17" i="48"/>
  <c r="AW17" i="48" s="1"/>
  <c r="AU17" i="48"/>
  <c r="AX17" i="48" s="1"/>
  <c r="AT29" i="48"/>
  <c r="AW29" i="48" s="1"/>
  <c r="AU29" i="48"/>
  <c r="AX29" i="48" s="1"/>
  <c r="AT33" i="48"/>
  <c r="AW33" i="48" s="1"/>
  <c r="AU34" i="48"/>
  <c r="AX34" i="48" s="1"/>
  <c r="AT34" i="48"/>
  <c r="AW34" i="48" s="1"/>
  <c r="AU14" i="48"/>
  <c r="AX14" i="48" s="1"/>
  <c r="AT14" i="48"/>
  <c r="AW14" i="48" s="1"/>
  <c r="T34" i="48" l="1"/>
  <c r="T35" i="48"/>
  <c r="T32" i="48"/>
  <c r="T31" i="48"/>
  <c r="T29" i="48"/>
  <c r="T28" i="48"/>
  <c r="T27" i="48"/>
  <c r="T26" i="48"/>
  <c r="T23" i="48"/>
  <c r="T25" i="48"/>
  <c r="T22" i="48"/>
  <c r="T21" i="48"/>
  <c r="T19" i="48"/>
  <c r="T20" i="48"/>
  <c r="T17" i="48"/>
  <c r="T16" i="48"/>
  <c r="T15" i="48"/>
  <c r="T14" i="48"/>
  <c r="L36" i="45"/>
  <c r="L37" i="45" s="1"/>
  <c r="L38" i="45" s="1"/>
  <c r="H36" i="45"/>
  <c r="H37" i="45" s="1"/>
  <c r="H38" i="45" s="1"/>
  <c r="AX18" i="48"/>
  <c r="AX30" i="48"/>
  <c r="AZ29" i="48"/>
  <c r="AZ23" i="48"/>
  <c r="AZ27" i="48"/>
  <c r="AZ25" i="48"/>
  <c r="AZ20" i="48"/>
  <c r="AZ21" i="48"/>
  <c r="AZ26" i="48"/>
  <c r="AZ30" i="48"/>
  <c r="AZ28" i="48"/>
  <c r="AZ31" i="48"/>
  <c r="AZ32" i="48"/>
  <c r="AZ15" i="48"/>
  <c r="AZ16" i="48"/>
  <c r="AZ18" i="48"/>
  <c r="AZ24" i="48"/>
  <c r="AZ34" i="48"/>
  <c r="AZ33" i="48"/>
  <c r="AZ17" i="48"/>
  <c r="AZ22" i="48"/>
  <c r="AZ19" i="48"/>
  <c r="AZ14" i="48"/>
  <c r="AZ35" i="48"/>
  <c r="AZ37" i="48"/>
  <c r="AZ36" i="48"/>
  <c r="T30" i="48" l="1"/>
  <c r="T18" i="48"/>
  <c r="AZ41" i="48"/>
  <c r="AX41" i="48"/>
  <c r="AY41" i="48"/>
  <c r="AY43" i="48" l="1"/>
  <c r="I43" i="33" l="1"/>
  <c r="I43" i="31"/>
  <c r="C36" i="2"/>
  <c r="BG42" i="2" l="1"/>
  <c r="AY42" i="2"/>
  <c r="AQ42" i="2"/>
  <c r="W42" i="2"/>
  <c r="K42" i="2"/>
  <c r="BC40" i="2"/>
  <c r="BC39" i="2"/>
  <c r="BC38" i="2"/>
  <c r="BC37" i="2"/>
  <c r="BC36" i="2"/>
  <c r="BC35" i="2"/>
  <c r="BC34" i="2"/>
  <c r="BC33" i="2"/>
  <c r="BC32" i="2"/>
  <c r="BC31" i="2"/>
  <c r="BC30" i="2"/>
  <c r="BC29" i="2"/>
  <c r="BC28" i="2"/>
  <c r="BC27" i="2"/>
  <c r="BC26" i="2"/>
  <c r="BC25" i="2"/>
  <c r="BC24" i="2"/>
  <c r="BC23" i="2"/>
  <c r="BC22" i="2"/>
  <c r="BC21" i="2"/>
  <c r="BC20" i="2"/>
  <c r="BC19" i="2"/>
  <c r="BC18" i="2"/>
  <c r="AE42" i="2"/>
  <c r="BC17" i="2"/>
  <c r="BC16" i="2"/>
  <c r="BC15" i="2"/>
  <c r="BC14" i="2"/>
  <c r="BC13" i="2"/>
  <c r="BC12" i="2"/>
  <c r="BC11" i="2"/>
  <c r="BI10" i="2"/>
  <c r="BI11" i="2" s="1"/>
  <c r="BA10" i="2"/>
  <c r="BA11" i="2" s="1"/>
  <c r="BA12" i="2" s="1"/>
  <c r="AU10" i="2"/>
  <c r="AU42" i="2" s="1"/>
  <c r="AS10" i="2"/>
  <c r="AS11" i="2" s="1"/>
  <c r="AI42" i="2"/>
  <c r="AG10" i="2"/>
  <c r="AG11" i="2" s="1"/>
  <c r="Y10" i="2"/>
  <c r="Q10" i="2"/>
  <c r="Q11" i="2" s="1"/>
  <c r="M10" i="2"/>
  <c r="M11" i="2" s="1"/>
  <c r="G42" i="2"/>
  <c r="X42" i="2" l="1"/>
  <c r="BK38" i="2"/>
  <c r="BK39" i="2"/>
  <c r="BK22" i="2"/>
  <c r="BK36" i="2"/>
  <c r="X36" i="2" s="1"/>
  <c r="BK12" i="2"/>
  <c r="X12" i="2" s="1"/>
  <c r="BK15" i="2"/>
  <c r="BK17" i="2"/>
  <c r="X17" i="2" s="1"/>
  <c r="M12" i="2"/>
  <c r="AS12" i="2"/>
  <c r="Q12" i="2"/>
  <c r="AG12" i="2"/>
  <c r="BI12" i="2"/>
  <c r="BA13" i="2"/>
  <c r="I10" i="2"/>
  <c r="I11" i="2" s="1"/>
  <c r="AW10" i="2"/>
  <c r="AA42" i="2"/>
  <c r="AC10" i="2"/>
  <c r="BC10" i="2"/>
  <c r="BK20" i="2"/>
  <c r="AK10" i="2"/>
  <c r="BK14" i="2"/>
  <c r="BK24" i="2"/>
  <c r="BK27" i="2"/>
  <c r="X27" i="2" s="1"/>
  <c r="BK28" i="2"/>
  <c r="X28" i="2" s="1"/>
  <c r="BK23" i="2"/>
  <c r="X23" i="2" s="1"/>
  <c r="BK26" i="2"/>
  <c r="X26" i="2" s="1"/>
  <c r="BK31" i="2"/>
  <c r="X31" i="2" s="1"/>
  <c r="BK32" i="2"/>
  <c r="BK33" i="2"/>
  <c r="X33" i="2" s="1"/>
  <c r="BK34" i="2"/>
  <c r="X34" i="2" s="1"/>
  <c r="BK29" i="2"/>
  <c r="X29" i="2" s="1"/>
  <c r="BK35" i="2"/>
  <c r="X35" i="2" s="1"/>
  <c r="BK37" i="2"/>
  <c r="X37" i="2" s="1"/>
  <c r="T38" i="2"/>
  <c r="BK40" i="2"/>
  <c r="X40" i="2" s="1"/>
  <c r="AN24" i="2" l="1"/>
  <c r="X24" i="2"/>
  <c r="AF15" i="2"/>
  <c r="X15" i="2"/>
  <c r="AF14" i="2"/>
  <c r="X14" i="2"/>
  <c r="AF32" i="2"/>
  <c r="X32" i="2"/>
  <c r="AN20" i="2"/>
  <c r="X20" i="2"/>
  <c r="T22" i="2"/>
  <c r="X22" i="2"/>
  <c r="AR39" i="2"/>
  <c r="X39" i="2"/>
  <c r="AZ38" i="2"/>
  <c r="X38" i="2"/>
  <c r="P17" i="2"/>
  <c r="AF17" i="2"/>
  <c r="AJ12" i="2"/>
  <c r="AF12" i="2"/>
  <c r="AZ36" i="2"/>
  <c r="AB36" i="2"/>
  <c r="T36" i="2"/>
  <c r="BD39" i="2"/>
  <c r="L22" i="2"/>
  <c r="AR22" i="2"/>
  <c r="AF22" i="2"/>
  <c r="BD22" i="2"/>
  <c r="AV38" i="2"/>
  <c r="BH38" i="2"/>
  <c r="AF39" i="2"/>
  <c r="AV39" i="2"/>
  <c r="BD38" i="2"/>
  <c r="BH39" i="2"/>
  <c r="AR38" i="2"/>
  <c r="AN39" i="2"/>
  <c r="AJ39" i="2"/>
  <c r="H38" i="2"/>
  <c r="AN38" i="2"/>
  <c r="AJ38" i="2"/>
  <c r="L38" i="2"/>
  <c r="T39" i="2"/>
  <c r="P38" i="2"/>
  <c r="AF38" i="2"/>
  <c r="AB38" i="2"/>
  <c r="AB22" i="2"/>
  <c r="AV22" i="2"/>
  <c r="H22" i="2"/>
  <c r="AV36" i="2"/>
  <c r="AJ36" i="2"/>
  <c r="AR36" i="2"/>
  <c r="BD36" i="2"/>
  <c r="BH36" i="2"/>
  <c r="AN36" i="2"/>
  <c r="AF36" i="2"/>
  <c r="L12" i="2"/>
  <c r="AN12" i="2"/>
  <c r="AR12" i="2"/>
  <c r="AV12" i="2"/>
  <c r="AZ12" i="2"/>
  <c r="BD12" i="2"/>
  <c r="H12" i="2"/>
  <c r="P12" i="2"/>
  <c r="AN17" i="2"/>
  <c r="BH17" i="2"/>
  <c r="T17" i="2"/>
  <c r="AJ17" i="2"/>
  <c r="BH12" i="2"/>
  <c r="AZ17" i="2"/>
  <c r="T12" i="2"/>
  <c r="AB12" i="2"/>
  <c r="AN33" i="2"/>
  <c r="T28" i="2"/>
  <c r="AN34" i="2"/>
  <c r="T32" i="2"/>
  <c r="T20" i="2"/>
  <c r="L36" i="2"/>
  <c r="T37" i="2"/>
  <c r="BD31" i="2"/>
  <c r="T24" i="2"/>
  <c r="AN22" i="2"/>
  <c r="T23" i="2"/>
  <c r="T26" i="2"/>
  <c r="H15" i="2"/>
  <c r="AB15" i="2"/>
  <c r="AJ15" i="2"/>
  <c r="AN29" i="2"/>
  <c r="BD28" i="2"/>
  <c r="T33" i="2"/>
  <c r="BD26" i="2"/>
  <c r="P39" i="2"/>
  <c r="H39" i="2"/>
  <c r="L39" i="2"/>
  <c r="AB39" i="2"/>
  <c r="AZ39" i="2"/>
  <c r="BD37" i="2"/>
  <c r="BD33" i="2"/>
  <c r="AV15" i="2"/>
  <c r="BD15" i="2"/>
  <c r="P15" i="2"/>
  <c r="AZ15" i="2"/>
  <c r="AN28" i="2"/>
  <c r="BH15" i="2"/>
  <c r="AR15" i="2"/>
  <c r="T15" i="2"/>
  <c r="L15" i="2"/>
  <c r="AN15" i="2"/>
  <c r="AN31" i="2"/>
  <c r="AN26" i="2"/>
  <c r="AF20" i="2"/>
  <c r="BH22" i="2"/>
  <c r="P22" i="2"/>
  <c r="AJ22" i="2"/>
  <c r="AZ22" i="2"/>
  <c r="L17" i="2"/>
  <c r="AV17" i="2"/>
  <c r="AB17" i="2"/>
  <c r="AR17" i="2"/>
  <c r="BD17" i="2"/>
  <c r="H17" i="2"/>
  <c r="H36" i="2"/>
  <c r="P36" i="2"/>
  <c r="BD23" i="2"/>
  <c r="AF27" i="2"/>
  <c r="AN27" i="2"/>
  <c r="T27" i="2"/>
  <c r="AZ14" i="2"/>
  <c r="AR14" i="2"/>
  <c r="AJ14" i="2"/>
  <c r="P14" i="2"/>
  <c r="AV14" i="2"/>
  <c r="T14" i="2"/>
  <c r="H14" i="2"/>
  <c r="BH14" i="2"/>
  <c r="L14" i="2"/>
  <c r="BD14" i="2"/>
  <c r="AB14" i="2"/>
  <c r="I12" i="2"/>
  <c r="AZ40" i="2"/>
  <c r="AR40" i="2"/>
  <c r="AJ40" i="2"/>
  <c r="AB40" i="2"/>
  <c r="L40" i="2"/>
  <c r="BH40" i="2"/>
  <c r="AN40" i="2"/>
  <c r="AF40" i="2"/>
  <c r="P40" i="2"/>
  <c r="AV40" i="2"/>
  <c r="H40" i="2"/>
  <c r="BH35" i="2"/>
  <c r="AV35" i="2"/>
  <c r="AN35" i="2"/>
  <c r="AF35" i="2"/>
  <c r="P35" i="2"/>
  <c r="H35" i="2"/>
  <c r="AZ35" i="2"/>
  <c r="AR35" i="2"/>
  <c r="AJ35" i="2"/>
  <c r="AB35" i="2"/>
  <c r="L35" i="2"/>
  <c r="BD34" i="2"/>
  <c r="AZ34" i="2"/>
  <c r="AR34" i="2"/>
  <c r="AJ34" i="2"/>
  <c r="L34" i="2"/>
  <c r="BH34" i="2"/>
  <c r="AV34" i="2"/>
  <c r="AB34" i="2"/>
  <c r="P34" i="2"/>
  <c r="H34" i="2"/>
  <c r="BD32" i="2"/>
  <c r="AZ32" i="2"/>
  <c r="AR32" i="2"/>
  <c r="AJ32" i="2"/>
  <c r="BH32" i="2"/>
  <c r="AV32" i="2"/>
  <c r="AB32" i="2"/>
  <c r="P32" i="2"/>
  <c r="H32" i="2"/>
  <c r="L32" i="2"/>
  <c r="BD29" i="2"/>
  <c r="T40" i="2"/>
  <c r="AZ37" i="2"/>
  <c r="AR37" i="2"/>
  <c r="AJ37" i="2"/>
  <c r="AB37" i="2"/>
  <c r="L37" i="2"/>
  <c r="AV37" i="2"/>
  <c r="H37" i="2"/>
  <c r="BH37" i="2"/>
  <c r="AN37" i="2"/>
  <c r="AF37" i="2"/>
  <c r="P37" i="2"/>
  <c r="BD35" i="2"/>
  <c r="AF34" i="2"/>
  <c r="AN32" i="2"/>
  <c r="BK30" i="2"/>
  <c r="X30" i="2" s="1"/>
  <c r="BH33" i="2"/>
  <c r="AV33" i="2"/>
  <c r="AF33" i="2"/>
  <c r="AB33" i="2"/>
  <c r="P33" i="2"/>
  <c r="H33" i="2"/>
  <c r="AZ33" i="2"/>
  <c r="AR33" i="2"/>
  <c r="AJ33" i="2"/>
  <c r="L33" i="2"/>
  <c r="BH26" i="2"/>
  <c r="AV26" i="2"/>
  <c r="AF26" i="2"/>
  <c r="AB26" i="2"/>
  <c r="AZ26" i="2"/>
  <c r="AR26" i="2"/>
  <c r="AJ26" i="2"/>
  <c r="L26" i="2"/>
  <c r="P26" i="2"/>
  <c r="H26" i="2"/>
  <c r="BK25" i="2"/>
  <c r="X25" i="2" s="1"/>
  <c r="AZ23" i="2"/>
  <c r="AR23" i="2"/>
  <c r="AJ23" i="2"/>
  <c r="AV23" i="2"/>
  <c r="AF23" i="2"/>
  <c r="L23" i="2"/>
  <c r="BH23" i="2"/>
  <c r="AB23" i="2"/>
  <c r="P23" i="2"/>
  <c r="BH28" i="2"/>
  <c r="AV28" i="2"/>
  <c r="AF28" i="2"/>
  <c r="AB28" i="2"/>
  <c r="P28" i="2"/>
  <c r="H28" i="2"/>
  <c r="AZ28" i="2"/>
  <c r="AR28" i="2"/>
  <c r="AJ28" i="2"/>
  <c r="L28" i="2"/>
  <c r="BH24" i="2"/>
  <c r="AV24" i="2"/>
  <c r="AB24" i="2"/>
  <c r="L24" i="2"/>
  <c r="BD24" i="2"/>
  <c r="AR24" i="2"/>
  <c r="H24" i="2"/>
  <c r="AZ24" i="2"/>
  <c r="AJ24" i="2"/>
  <c r="P24" i="2"/>
  <c r="AF24" i="2"/>
  <c r="AN23" i="2"/>
  <c r="H23" i="2"/>
  <c r="BK16" i="2"/>
  <c r="BK13" i="2"/>
  <c r="BK11" i="2"/>
  <c r="X11" i="2" s="1"/>
  <c r="AM42" i="2"/>
  <c r="AO10" i="2"/>
  <c r="S42" i="2"/>
  <c r="U10" i="2"/>
  <c r="U11" i="2" s="1"/>
  <c r="BK10" i="2"/>
  <c r="AN10" i="2" s="1"/>
  <c r="AW11" i="2"/>
  <c r="BI13" i="2"/>
  <c r="AG13" i="2"/>
  <c r="AS13" i="2"/>
  <c r="BD40" i="2"/>
  <c r="T35" i="2"/>
  <c r="AZ29" i="2"/>
  <c r="AR29" i="2"/>
  <c r="AJ29" i="2"/>
  <c r="AV29" i="2"/>
  <c r="AF29" i="2"/>
  <c r="L29" i="2"/>
  <c r="BH29" i="2"/>
  <c r="AB29" i="2"/>
  <c r="P29" i="2"/>
  <c r="H29" i="2"/>
  <c r="T34" i="2"/>
  <c r="AZ31" i="2"/>
  <c r="AR31" i="2"/>
  <c r="AJ31" i="2"/>
  <c r="L31" i="2"/>
  <c r="BH31" i="2"/>
  <c r="AB31" i="2"/>
  <c r="T31" i="2"/>
  <c r="P31" i="2"/>
  <c r="AV31" i="2"/>
  <c r="AF31" i="2"/>
  <c r="H31" i="2"/>
  <c r="T29" i="2"/>
  <c r="BD27" i="2"/>
  <c r="AZ27" i="2"/>
  <c r="AR27" i="2"/>
  <c r="AJ27" i="2"/>
  <c r="L27" i="2"/>
  <c r="BH27" i="2"/>
  <c r="AV27" i="2"/>
  <c r="AB27" i="2"/>
  <c r="P27" i="2"/>
  <c r="H27" i="2"/>
  <c r="BK21" i="2"/>
  <c r="X21" i="2" s="1"/>
  <c r="BK19" i="2"/>
  <c r="X19" i="2" s="1"/>
  <c r="BK18" i="2"/>
  <c r="AN14" i="2"/>
  <c r="AK11" i="2"/>
  <c r="BD20" i="2"/>
  <c r="AZ20" i="2"/>
  <c r="AR20" i="2"/>
  <c r="AJ20" i="2"/>
  <c r="P20" i="2"/>
  <c r="H20" i="2"/>
  <c r="BH20" i="2"/>
  <c r="AV20" i="2"/>
  <c r="AB20" i="2"/>
  <c r="L20" i="2"/>
  <c r="BC42" i="2"/>
  <c r="BE10" i="2"/>
  <c r="BA14" i="2"/>
  <c r="Q13" i="2"/>
  <c r="AC11" i="2"/>
  <c r="M13" i="2"/>
  <c r="AF16" i="2" l="1"/>
  <c r="X16" i="2"/>
  <c r="AF13" i="2"/>
  <c r="X13" i="2"/>
  <c r="T18" i="2"/>
  <c r="X18" i="2"/>
  <c r="T11" i="2"/>
  <c r="AF11" i="2"/>
  <c r="T25" i="2"/>
  <c r="AN13" i="2"/>
  <c r="AN16" i="2"/>
  <c r="T30" i="2"/>
  <c r="T19" i="2"/>
  <c r="BD10" i="2"/>
  <c r="T13" i="2"/>
  <c r="T16" i="2"/>
  <c r="Q14" i="2"/>
  <c r="AK12" i="2"/>
  <c r="BH21" i="2"/>
  <c r="AV21" i="2"/>
  <c r="AF21" i="2"/>
  <c r="AB21" i="2"/>
  <c r="L21" i="2"/>
  <c r="AZ21" i="2"/>
  <c r="AR21" i="2"/>
  <c r="AJ21" i="2"/>
  <c r="P21" i="2"/>
  <c r="AN21" i="2"/>
  <c r="BD21" i="2"/>
  <c r="H21" i="2"/>
  <c r="M14" i="2"/>
  <c r="BE11" i="2"/>
  <c r="BD18" i="2"/>
  <c r="AZ18" i="2"/>
  <c r="AR18" i="2"/>
  <c r="AJ18" i="2"/>
  <c r="L18" i="2"/>
  <c r="BH18" i="2"/>
  <c r="AV18" i="2"/>
  <c r="P18" i="2"/>
  <c r="AN18" i="2"/>
  <c r="AF18" i="2"/>
  <c r="H18" i="2"/>
  <c r="AB18" i="2"/>
  <c r="BH19" i="2"/>
  <c r="AV19" i="2"/>
  <c r="AF19" i="2"/>
  <c r="AB19" i="2"/>
  <c r="L19" i="2"/>
  <c r="AZ19" i="2"/>
  <c r="AR19" i="2"/>
  <c r="AJ19" i="2"/>
  <c r="P19" i="2"/>
  <c r="AN19" i="2"/>
  <c r="BD19" i="2"/>
  <c r="H19" i="2"/>
  <c r="T21" i="2"/>
  <c r="T10" i="2"/>
  <c r="AZ11" i="2"/>
  <c r="AR11" i="2"/>
  <c r="AJ11" i="2"/>
  <c r="P11" i="2"/>
  <c r="BH11" i="2"/>
  <c r="AV11" i="2"/>
  <c r="L11" i="2"/>
  <c r="H11" i="2"/>
  <c r="AB11" i="2"/>
  <c r="BD11" i="2"/>
  <c r="AN11" i="2"/>
  <c r="BH13" i="2"/>
  <c r="AV13" i="2"/>
  <c r="L13" i="2"/>
  <c r="AZ13" i="2"/>
  <c r="AR13" i="2"/>
  <c r="AJ13" i="2"/>
  <c r="P13" i="2"/>
  <c r="H13" i="2"/>
  <c r="AB13" i="2"/>
  <c r="BD13" i="2"/>
  <c r="AZ16" i="2"/>
  <c r="AR16" i="2"/>
  <c r="AJ16" i="2"/>
  <c r="P16" i="2"/>
  <c r="BH16" i="2"/>
  <c r="AV16" i="2"/>
  <c r="L16" i="2"/>
  <c r="H16" i="2"/>
  <c r="AB16" i="2"/>
  <c r="BD16" i="2"/>
  <c r="AZ25" i="2"/>
  <c r="AR25" i="2"/>
  <c r="AJ25" i="2"/>
  <c r="P25" i="2"/>
  <c r="BH25" i="2"/>
  <c r="AB25" i="2"/>
  <c r="L25" i="2"/>
  <c r="AV25" i="2"/>
  <c r="AF25" i="2"/>
  <c r="H25" i="2"/>
  <c r="AN25" i="2"/>
  <c r="BD25" i="2"/>
  <c r="AC12" i="2"/>
  <c r="BA15" i="2"/>
  <c r="AS14" i="2"/>
  <c r="AG14" i="2"/>
  <c r="BI14" i="2"/>
  <c r="AW12" i="2"/>
  <c r="BK42" i="2"/>
  <c r="T42" i="2" s="1"/>
  <c r="AZ10" i="2"/>
  <c r="AB10" i="2"/>
  <c r="BL10" i="2"/>
  <c r="V10" i="2" s="1"/>
  <c r="BH10" i="2"/>
  <c r="AR10" i="2"/>
  <c r="AF10" i="2"/>
  <c r="X10" i="2"/>
  <c r="P10" i="2"/>
  <c r="L10" i="2"/>
  <c r="H10" i="2"/>
  <c r="AJ10" i="2"/>
  <c r="AV10" i="2"/>
  <c r="U12" i="2"/>
  <c r="AO11" i="2"/>
  <c r="BH30" i="2"/>
  <c r="AV30" i="2"/>
  <c r="AB30" i="2"/>
  <c r="P30" i="2"/>
  <c r="H30" i="2"/>
  <c r="AZ30" i="2"/>
  <c r="AJ30" i="2"/>
  <c r="L30" i="2"/>
  <c r="BD30" i="2"/>
  <c r="AR30" i="2"/>
  <c r="AN30" i="2"/>
  <c r="AF30" i="2"/>
  <c r="I13" i="2"/>
  <c r="AN42" i="2" l="1"/>
  <c r="AP10" i="2"/>
  <c r="AC13" i="2"/>
  <c r="I14" i="2"/>
  <c r="U13" i="2"/>
  <c r="N10" i="2"/>
  <c r="BB10" i="2"/>
  <c r="Z10" i="2"/>
  <c r="AT10" i="2"/>
  <c r="R10" i="2"/>
  <c r="AH10" i="2"/>
  <c r="BJ10" i="2"/>
  <c r="AD10" i="2"/>
  <c r="AX10" i="2"/>
  <c r="AL10" i="2"/>
  <c r="J10" i="2"/>
  <c r="BL42" i="2"/>
  <c r="AV42" i="2"/>
  <c r="AZ42" i="2"/>
  <c r="AR42" i="2"/>
  <c r="AJ42" i="2"/>
  <c r="H42" i="2"/>
  <c r="AF42" i="2"/>
  <c r="BH42" i="2"/>
  <c r="AB42" i="2"/>
  <c r="AW13" i="2"/>
  <c r="BI15" i="2"/>
  <c r="AG15" i="2"/>
  <c r="AS15" i="2"/>
  <c r="BA16" i="2"/>
  <c r="BL11" i="2"/>
  <c r="BD42" i="2"/>
  <c r="BF10" i="2"/>
  <c r="M15" i="2"/>
  <c r="AO12" i="2"/>
  <c r="BE12" i="2"/>
  <c r="AK13" i="2"/>
  <c r="Q15" i="2"/>
  <c r="BF11" i="2" l="1"/>
  <c r="Z11" i="2"/>
  <c r="AP11" i="2"/>
  <c r="Q16" i="2"/>
  <c r="AK14" i="2"/>
  <c r="M16" i="2"/>
  <c r="BI16" i="2"/>
  <c r="BE13" i="2"/>
  <c r="AO13" i="2"/>
  <c r="AT11" i="2"/>
  <c r="AH11" i="2"/>
  <c r="BJ11" i="2"/>
  <c r="BL12" i="2"/>
  <c r="Z12" i="2" s="1"/>
  <c r="BB11" i="2"/>
  <c r="N11" i="2"/>
  <c r="R11" i="2"/>
  <c r="J11" i="2"/>
  <c r="V11" i="2"/>
  <c r="AL11" i="2"/>
  <c r="AD11" i="2"/>
  <c r="AX11" i="2"/>
  <c r="BA17" i="2"/>
  <c r="AS16" i="2"/>
  <c r="AG16" i="2"/>
  <c r="AW14" i="2"/>
  <c r="U14" i="2"/>
  <c r="I15" i="2"/>
  <c r="AC14" i="2"/>
  <c r="AC15" i="2" l="1"/>
  <c r="I16" i="2"/>
  <c r="U15" i="2"/>
  <c r="AO14" i="2"/>
  <c r="BE14" i="2"/>
  <c r="Q17" i="2"/>
  <c r="AW15" i="2"/>
  <c r="AG17" i="2"/>
  <c r="AS17" i="2"/>
  <c r="BA18" i="2"/>
  <c r="BB12" i="2"/>
  <c r="N12" i="2"/>
  <c r="BJ12" i="2"/>
  <c r="AH12" i="2"/>
  <c r="AT12" i="2"/>
  <c r="R12" i="2"/>
  <c r="BL13" i="2"/>
  <c r="Z13" i="2" s="1"/>
  <c r="J12" i="2"/>
  <c r="AL12" i="2"/>
  <c r="AD12" i="2"/>
  <c r="V12" i="2"/>
  <c r="AX12" i="2"/>
  <c r="AP12" i="2"/>
  <c r="BF12" i="2"/>
  <c r="BI17" i="2"/>
  <c r="M17" i="2"/>
  <c r="AK15" i="2"/>
  <c r="AK16" i="2" l="1"/>
  <c r="BI18" i="2"/>
  <c r="M18" i="2"/>
  <c r="BL14" i="2"/>
  <c r="BB13" i="2"/>
  <c r="N13" i="2"/>
  <c r="R13" i="2"/>
  <c r="AT13" i="2"/>
  <c r="AH13" i="2"/>
  <c r="BJ13" i="2"/>
  <c r="J13" i="2"/>
  <c r="AL13" i="2"/>
  <c r="AX13" i="2"/>
  <c r="V13" i="2"/>
  <c r="AD13" i="2"/>
  <c r="BA19" i="2"/>
  <c r="BF13" i="2"/>
  <c r="AO15" i="2"/>
  <c r="AC16" i="2"/>
  <c r="AS18" i="2"/>
  <c r="AG18" i="2"/>
  <c r="AW16" i="2"/>
  <c r="Q18" i="2"/>
  <c r="BE15" i="2"/>
  <c r="AP13" i="2"/>
  <c r="U16" i="2"/>
  <c r="I17" i="2"/>
  <c r="AP14" i="2" l="1"/>
  <c r="Z14" i="2"/>
  <c r="BF14" i="2"/>
  <c r="I18" i="2"/>
  <c r="U17" i="2"/>
  <c r="Q19" i="2"/>
  <c r="AW17" i="2"/>
  <c r="AC17" i="2"/>
  <c r="AO16" i="2"/>
  <c r="BL15" i="2"/>
  <c r="BB14" i="2"/>
  <c r="BJ14" i="2"/>
  <c r="N14" i="2"/>
  <c r="R14" i="2"/>
  <c r="AH14" i="2"/>
  <c r="AT14" i="2"/>
  <c r="J14" i="2"/>
  <c r="AD14" i="2"/>
  <c r="V14" i="2"/>
  <c r="AX14" i="2"/>
  <c r="AL14" i="2"/>
  <c r="BE16" i="2"/>
  <c r="AG19" i="2"/>
  <c r="AS19" i="2"/>
  <c r="BA20" i="2"/>
  <c r="M19" i="2"/>
  <c r="BI19" i="2"/>
  <c r="AK17" i="2"/>
  <c r="AP15" i="2" l="1"/>
  <c r="Z15" i="2"/>
  <c r="BF15" i="2"/>
  <c r="AK18" i="2"/>
  <c r="AS20" i="2"/>
  <c r="M20" i="2"/>
  <c r="AG20" i="2"/>
  <c r="BE17" i="2"/>
  <c r="BL16" i="2"/>
  <c r="BB15" i="2"/>
  <c r="R15" i="2"/>
  <c r="N15" i="2"/>
  <c r="BJ15" i="2"/>
  <c r="AT15" i="2"/>
  <c r="AH15" i="2"/>
  <c r="J15" i="2"/>
  <c r="AD15" i="2"/>
  <c r="AX15" i="2"/>
  <c r="V15" i="2"/>
  <c r="AL15" i="2"/>
  <c r="AO17" i="2"/>
  <c r="AC18" i="2"/>
  <c r="U18" i="2"/>
  <c r="I19" i="2"/>
  <c r="BI20" i="2"/>
  <c r="BA21" i="2"/>
  <c r="AW18" i="2"/>
  <c r="Q20" i="2"/>
  <c r="BF16" i="2" l="1"/>
  <c r="Z16" i="2"/>
  <c r="AP16" i="2"/>
  <c r="Q21" i="2"/>
  <c r="BA22" i="2"/>
  <c r="BI21" i="2"/>
  <c r="I20" i="2"/>
  <c r="U19" i="2"/>
  <c r="AC19" i="2"/>
  <c r="AO18" i="2"/>
  <c r="BL17" i="2"/>
  <c r="BB16" i="2"/>
  <c r="R16" i="2"/>
  <c r="AH16" i="2"/>
  <c r="AT16" i="2"/>
  <c r="BJ16" i="2"/>
  <c r="N16" i="2"/>
  <c r="J16" i="2"/>
  <c r="V16" i="2"/>
  <c r="AD16" i="2"/>
  <c r="AX16" i="2"/>
  <c r="AL16" i="2"/>
  <c r="BE18" i="2"/>
  <c r="AG21" i="2"/>
  <c r="AK19" i="2"/>
  <c r="AW19" i="2"/>
  <c r="M21" i="2"/>
  <c r="AS21" i="2"/>
  <c r="AP17" i="2" l="1"/>
  <c r="Z17" i="2"/>
  <c r="BF17" i="2"/>
  <c r="AS22" i="2"/>
  <c r="AG22" i="2"/>
  <c r="BE19" i="2"/>
  <c r="BL18" i="2"/>
  <c r="BB17" i="2"/>
  <c r="BJ17" i="2"/>
  <c r="N17" i="2"/>
  <c r="AT17" i="2"/>
  <c r="AH17" i="2"/>
  <c r="R17" i="2"/>
  <c r="J17" i="2"/>
  <c r="AL17" i="2"/>
  <c r="AD17" i="2"/>
  <c r="V17" i="2"/>
  <c r="AX17" i="2"/>
  <c r="AO19" i="2"/>
  <c r="U20" i="2"/>
  <c r="I21" i="2"/>
  <c r="M22" i="2"/>
  <c r="AW20" i="2"/>
  <c r="AK20" i="2"/>
  <c r="AC20" i="2"/>
  <c r="BI22" i="2"/>
  <c r="BA23" i="2"/>
  <c r="Q22" i="2"/>
  <c r="BF18" i="2" l="1"/>
  <c r="Z18" i="2"/>
  <c r="AP18" i="2"/>
  <c r="Q23" i="2"/>
  <c r="BA24" i="2"/>
  <c r="AC21" i="2"/>
  <c r="AW21" i="2"/>
  <c r="M23" i="2"/>
  <c r="I22" i="2"/>
  <c r="U21" i="2"/>
  <c r="AO20" i="2"/>
  <c r="BL19" i="2"/>
  <c r="BB18" i="2"/>
  <c r="R18" i="2"/>
  <c r="AT18" i="2"/>
  <c r="BJ18" i="2"/>
  <c r="AH18" i="2"/>
  <c r="N18" i="2"/>
  <c r="J18" i="2"/>
  <c r="V18" i="2"/>
  <c r="AD18" i="2"/>
  <c r="AL18" i="2"/>
  <c r="AX18" i="2"/>
  <c r="BE20" i="2"/>
  <c r="AG23" i="2"/>
  <c r="BI23" i="2"/>
  <c r="AK21" i="2"/>
  <c r="AS23" i="2"/>
  <c r="BF19" i="2" l="1"/>
  <c r="Z19" i="2"/>
  <c r="AP19" i="2"/>
  <c r="AK22" i="2"/>
  <c r="AS24" i="2"/>
  <c r="AG24" i="2"/>
  <c r="BE21" i="2"/>
  <c r="BL20" i="2"/>
  <c r="BB19" i="2"/>
  <c r="AH19" i="2"/>
  <c r="AT19" i="2"/>
  <c r="N19" i="2"/>
  <c r="BJ19" i="2"/>
  <c r="R19" i="2"/>
  <c r="J19" i="2"/>
  <c r="V19" i="2"/>
  <c r="AX19" i="2"/>
  <c r="AL19" i="2"/>
  <c r="AD19" i="2"/>
  <c r="AO21" i="2"/>
  <c r="U22" i="2"/>
  <c r="I23" i="2"/>
  <c r="BI24" i="2"/>
  <c r="M24" i="2"/>
  <c r="AW22" i="2"/>
  <c r="AC22" i="2"/>
  <c r="BA25" i="2"/>
  <c r="Q24" i="2"/>
  <c r="BF20" i="2" l="1"/>
  <c r="Z20" i="2"/>
  <c r="AP20" i="2"/>
  <c r="AC23" i="2"/>
  <c r="AW23" i="2"/>
  <c r="M25" i="2"/>
  <c r="BA26" i="2"/>
  <c r="I24" i="2"/>
  <c r="U23" i="2"/>
  <c r="AO22" i="2"/>
  <c r="BL21" i="2"/>
  <c r="BB20" i="2"/>
  <c r="AH20" i="2"/>
  <c r="R20" i="2"/>
  <c r="BJ20" i="2"/>
  <c r="N20" i="2"/>
  <c r="AT20" i="2"/>
  <c r="J20" i="2"/>
  <c r="V20" i="2"/>
  <c r="AD20" i="2"/>
  <c r="AX20" i="2"/>
  <c r="AL20" i="2"/>
  <c r="BE22" i="2"/>
  <c r="Q25" i="2"/>
  <c r="BI25" i="2"/>
  <c r="AG25" i="2"/>
  <c r="AS25" i="2"/>
  <c r="AK23" i="2"/>
  <c r="AP21" i="2" l="1"/>
  <c r="Z21" i="2"/>
  <c r="BF21" i="2"/>
  <c r="BI26" i="2"/>
  <c r="AG26" i="2"/>
  <c r="BE23" i="2"/>
  <c r="BL22" i="2"/>
  <c r="BB21" i="2"/>
  <c r="AH21" i="2"/>
  <c r="AT21" i="2"/>
  <c r="N21" i="2"/>
  <c r="BJ21" i="2"/>
  <c r="R21" i="2"/>
  <c r="J21" i="2"/>
  <c r="V21" i="2"/>
  <c r="AL21" i="2"/>
  <c r="AX21" i="2"/>
  <c r="AD21" i="2"/>
  <c r="AO23" i="2"/>
  <c r="U24" i="2"/>
  <c r="I25" i="2"/>
  <c r="AK24" i="2"/>
  <c r="AS26" i="2"/>
  <c r="Q26" i="2"/>
  <c r="BA27" i="2"/>
  <c r="M26" i="2"/>
  <c r="AW24" i="2"/>
  <c r="AC24" i="2"/>
  <c r="AP22" i="2" l="1"/>
  <c r="Z22" i="2"/>
  <c r="I26" i="2"/>
  <c r="AO24" i="2"/>
  <c r="BL23" i="2"/>
  <c r="BB22" i="2"/>
  <c r="AH22" i="2"/>
  <c r="R22" i="2"/>
  <c r="N22" i="2"/>
  <c r="BJ22" i="2"/>
  <c r="AT22" i="2"/>
  <c r="J22" i="2"/>
  <c r="V22" i="2"/>
  <c r="AD22" i="2"/>
  <c r="AX22" i="2"/>
  <c r="AL22" i="2"/>
  <c r="BF22" i="2"/>
  <c r="AG27" i="2"/>
  <c r="AC25" i="2"/>
  <c r="AW25" i="2"/>
  <c r="M27" i="2"/>
  <c r="BA28" i="2"/>
  <c r="Q27" i="2"/>
  <c r="AS27" i="2"/>
  <c r="AK25" i="2"/>
  <c r="U25" i="2"/>
  <c r="BE24" i="2"/>
  <c r="BI27" i="2"/>
  <c r="BF23" i="2" l="1"/>
  <c r="Z23" i="2"/>
  <c r="BI28" i="2"/>
  <c r="AS28" i="2"/>
  <c r="Q28" i="2"/>
  <c r="BA29" i="2"/>
  <c r="M28" i="2"/>
  <c r="AW26" i="2"/>
  <c r="AC26" i="2"/>
  <c r="BL24" i="2"/>
  <c r="BB23" i="2"/>
  <c r="AT23" i="2"/>
  <c r="AH23" i="2"/>
  <c r="BJ23" i="2"/>
  <c r="N23" i="2"/>
  <c r="R23" i="2"/>
  <c r="J23" i="2"/>
  <c r="V23" i="2"/>
  <c r="AL23" i="2"/>
  <c r="AX23" i="2"/>
  <c r="AD23" i="2"/>
  <c r="AO25" i="2"/>
  <c r="I27" i="2"/>
  <c r="BE25" i="2"/>
  <c r="U26" i="2"/>
  <c r="AK26" i="2"/>
  <c r="AG28" i="2"/>
  <c r="AP23" i="2"/>
  <c r="AP24" i="2" l="1"/>
  <c r="Z24" i="2"/>
  <c r="BF24" i="2"/>
  <c r="AK27" i="2"/>
  <c r="I28" i="2"/>
  <c r="AG29" i="2"/>
  <c r="U27" i="2"/>
  <c r="BE26" i="2"/>
  <c r="AO26" i="2"/>
  <c r="BL25" i="2"/>
  <c r="Z25" i="2" s="1"/>
  <c r="BB24" i="2"/>
  <c r="N24" i="2"/>
  <c r="R24" i="2"/>
  <c r="BJ24" i="2"/>
  <c r="AT24" i="2"/>
  <c r="AH24" i="2"/>
  <c r="J24" i="2"/>
  <c r="AD24" i="2"/>
  <c r="AX24" i="2"/>
  <c r="AL24" i="2"/>
  <c r="V24" i="2"/>
  <c r="AC27" i="2"/>
  <c r="AW27" i="2"/>
  <c r="M29" i="2"/>
  <c r="BA30" i="2"/>
  <c r="Q29" i="2"/>
  <c r="AS29" i="2"/>
  <c r="BI29" i="2"/>
  <c r="BI30" i="2" l="1"/>
  <c r="BL26" i="2"/>
  <c r="BB25" i="2"/>
  <c r="AH25" i="2"/>
  <c r="BJ25" i="2"/>
  <c r="AT25" i="2"/>
  <c r="R25" i="2"/>
  <c r="N25" i="2"/>
  <c r="J25" i="2"/>
  <c r="V25" i="2"/>
  <c r="AX25" i="2"/>
  <c r="AD25" i="2"/>
  <c r="AL25" i="2"/>
  <c r="AO27" i="2"/>
  <c r="BE27" i="2"/>
  <c r="U28" i="2"/>
  <c r="AG30" i="2"/>
  <c r="AS30" i="2"/>
  <c r="Q30" i="2"/>
  <c r="BA31" i="2"/>
  <c r="M30" i="2"/>
  <c r="AW28" i="2"/>
  <c r="AC28" i="2"/>
  <c r="AP25" i="2"/>
  <c r="BF25" i="2"/>
  <c r="I29" i="2"/>
  <c r="AK28" i="2"/>
  <c r="AP26" i="2" l="1"/>
  <c r="Z26" i="2"/>
  <c r="BF26" i="2"/>
  <c r="AK29" i="2"/>
  <c r="AG31" i="2"/>
  <c r="U29" i="2"/>
  <c r="BE28" i="2"/>
  <c r="AO28" i="2"/>
  <c r="BL27" i="2"/>
  <c r="Z27" i="2" s="1"/>
  <c r="BB26" i="2"/>
  <c r="N26" i="2"/>
  <c r="R26" i="2"/>
  <c r="AT26" i="2"/>
  <c r="BJ26" i="2"/>
  <c r="AH26" i="2"/>
  <c r="J26" i="2"/>
  <c r="V26" i="2"/>
  <c r="AL26" i="2"/>
  <c r="AD26" i="2"/>
  <c r="AX26" i="2"/>
  <c r="BI31" i="2"/>
  <c r="I30" i="2"/>
  <c r="AC29" i="2"/>
  <c r="AW29" i="2"/>
  <c r="M31" i="2"/>
  <c r="BA32" i="2"/>
  <c r="Q31" i="2"/>
  <c r="AS31" i="2"/>
  <c r="BL28" i="2" l="1"/>
  <c r="BB27" i="2"/>
  <c r="BJ27" i="2"/>
  <c r="AT27" i="2"/>
  <c r="R27" i="2"/>
  <c r="N27" i="2"/>
  <c r="AH27" i="2"/>
  <c r="J27" i="2"/>
  <c r="V27" i="2"/>
  <c r="AX27" i="2"/>
  <c r="AD27" i="2"/>
  <c r="AL27" i="2"/>
  <c r="AO29" i="2"/>
  <c r="BE29" i="2"/>
  <c r="U30" i="2"/>
  <c r="AG32" i="2"/>
  <c r="AS32" i="2"/>
  <c r="Q32" i="2"/>
  <c r="BA33" i="2"/>
  <c r="M32" i="2"/>
  <c r="AW30" i="2"/>
  <c r="AC30" i="2"/>
  <c r="I31" i="2"/>
  <c r="BI32" i="2"/>
  <c r="AP27" i="2"/>
  <c r="BF27" i="2"/>
  <c r="AK30" i="2"/>
  <c r="AP28" i="2" l="1"/>
  <c r="Z28" i="2"/>
  <c r="BF28" i="2"/>
  <c r="AK31" i="2"/>
  <c r="I32" i="2"/>
  <c r="M33" i="2"/>
  <c r="AC31" i="2"/>
  <c r="AG33" i="2"/>
  <c r="U31" i="2"/>
  <c r="AO30" i="2"/>
  <c r="BL29" i="2"/>
  <c r="BB28" i="2"/>
  <c r="AH28" i="2"/>
  <c r="N28" i="2"/>
  <c r="R28" i="2"/>
  <c r="AT28" i="2"/>
  <c r="BJ28" i="2"/>
  <c r="J28" i="2"/>
  <c r="V28" i="2"/>
  <c r="AL28" i="2"/>
  <c r="AD28" i="2"/>
  <c r="AX28" i="2"/>
  <c r="BI33" i="2"/>
  <c r="AW31" i="2"/>
  <c r="BA34" i="2"/>
  <c r="Q33" i="2"/>
  <c r="AS33" i="2"/>
  <c r="BE30" i="2"/>
  <c r="BF29" i="2" l="1"/>
  <c r="Z29" i="2"/>
  <c r="BE31" i="2"/>
  <c r="BL30" i="2"/>
  <c r="BB29" i="2"/>
  <c r="BJ29" i="2"/>
  <c r="AH29" i="2"/>
  <c r="AT29" i="2"/>
  <c r="R29" i="2"/>
  <c r="N29" i="2"/>
  <c r="J29" i="2"/>
  <c r="V29" i="2"/>
  <c r="AX29" i="2"/>
  <c r="AL29" i="2"/>
  <c r="AD29" i="2"/>
  <c r="AO31" i="2"/>
  <c r="U32" i="2"/>
  <c r="AG34" i="2"/>
  <c r="AS34" i="2"/>
  <c r="Q34" i="2"/>
  <c r="BA35" i="2"/>
  <c r="AW32" i="2"/>
  <c r="BI34" i="2"/>
  <c r="AP29" i="2"/>
  <c r="AC32" i="2"/>
  <c r="M34" i="2"/>
  <c r="I33" i="2"/>
  <c r="AK32" i="2"/>
  <c r="AP30" i="2" l="1"/>
  <c r="Z30" i="2"/>
  <c r="AK33" i="2"/>
  <c r="I34" i="2"/>
  <c r="M35" i="2"/>
  <c r="AC33" i="2"/>
  <c r="AG35" i="2"/>
  <c r="U33" i="2"/>
  <c r="AO32" i="2"/>
  <c r="BL31" i="2"/>
  <c r="BB30" i="2"/>
  <c r="AH30" i="2"/>
  <c r="BJ30" i="2"/>
  <c r="N30" i="2"/>
  <c r="R30" i="2"/>
  <c r="AT30" i="2"/>
  <c r="J30" i="2"/>
  <c r="V30" i="2"/>
  <c r="AL30" i="2"/>
  <c r="AD30" i="2"/>
  <c r="AX30" i="2"/>
  <c r="BE32" i="2"/>
  <c r="BI35" i="2"/>
  <c r="AW33" i="2"/>
  <c r="BA36" i="2"/>
  <c r="Q35" i="2"/>
  <c r="AS35" i="2"/>
  <c r="BF30" i="2"/>
  <c r="AP31" i="2" l="1"/>
  <c r="Z31" i="2"/>
  <c r="BF31" i="2"/>
  <c r="BE33" i="2"/>
  <c r="BL32" i="2"/>
  <c r="BB31" i="2"/>
  <c r="AH31" i="2"/>
  <c r="AT31" i="2"/>
  <c r="R31" i="2"/>
  <c r="N31" i="2"/>
  <c r="BJ31" i="2"/>
  <c r="J31" i="2"/>
  <c r="V31" i="2"/>
  <c r="AX31" i="2"/>
  <c r="AD31" i="2"/>
  <c r="AL31" i="2"/>
  <c r="AO33" i="2"/>
  <c r="U34" i="2"/>
  <c r="AS36" i="2"/>
  <c r="Q36" i="2"/>
  <c r="BA37" i="2"/>
  <c r="AW34" i="2"/>
  <c r="BI36" i="2"/>
  <c r="AG36" i="2"/>
  <c r="AC34" i="2"/>
  <c r="M36" i="2"/>
  <c r="I35" i="2"/>
  <c r="AK34" i="2"/>
  <c r="AP32" i="2" l="1"/>
  <c r="Z32" i="2"/>
  <c r="I36" i="2"/>
  <c r="AC35" i="2"/>
  <c r="U35" i="2"/>
  <c r="AO34" i="2"/>
  <c r="BL33" i="2"/>
  <c r="Z33" i="2" s="1"/>
  <c r="BB32" i="2"/>
  <c r="AH32" i="2"/>
  <c r="N32" i="2"/>
  <c r="BJ32" i="2"/>
  <c r="R32" i="2"/>
  <c r="AT32" i="2"/>
  <c r="J32" i="2"/>
  <c r="V32" i="2"/>
  <c r="AL32" i="2"/>
  <c r="AD32" i="2"/>
  <c r="AX32" i="2"/>
  <c r="BE34" i="2"/>
  <c r="AK35" i="2"/>
  <c r="M37" i="2"/>
  <c r="AG37" i="2"/>
  <c r="BI37" i="2"/>
  <c r="AW35" i="2"/>
  <c r="BA38" i="2"/>
  <c r="Q37" i="2"/>
  <c r="AS37" i="2"/>
  <c r="BF32" i="2"/>
  <c r="AS38" i="2" l="1"/>
  <c r="BE35" i="2"/>
  <c r="BL34" i="2"/>
  <c r="Z34" i="2" s="1"/>
  <c r="BB33" i="2"/>
  <c r="AH33" i="2"/>
  <c r="AT33" i="2"/>
  <c r="R33" i="2"/>
  <c r="BJ33" i="2"/>
  <c r="N33" i="2"/>
  <c r="J33" i="2"/>
  <c r="V33" i="2"/>
  <c r="AX33" i="2"/>
  <c r="AD33" i="2"/>
  <c r="AL33" i="2"/>
  <c r="AO35" i="2"/>
  <c r="U36" i="2"/>
  <c r="Q38" i="2"/>
  <c r="BA39" i="2"/>
  <c r="AW36" i="2"/>
  <c r="BI38" i="2"/>
  <c r="AG38" i="2"/>
  <c r="M38" i="2"/>
  <c r="AK36" i="2"/>
  <c r="BF33" i="2"/>
  <c r="AP33" i="2"/>
  <c r="AC36" i="2"/>
  <c r="I37" i="2"/>
  <c r="AG39" i="2" l="1"/>
  <c r="BI39" i="2"/>
  <c r="U37" i="2"/>
  <c r="AO36" i="2"/>
  <c r="BL35" i="2"/>
  <c r="Z35" i="2" s="1"/>
  <c r="BB34" i="2"/>
  <c r="N34" i="2"/>
  <c r="AH34" i="2"/>
  <c r="BJ34" i="2"/>
  <c r="R34" i="2"/>
  <c r="AT34" i="2"/>
  <c r="J34" i="2"/>
  <c r="V34" i="2"/>
  <c r="AD34" i="2"/>
  <c r="AL34" i="2"/>
  <c r="AX34" i="2"/>
  <c r="BE36" i="2"/>
  <c r="I38" i="2"/>
  <c r="AC37" i="2"/>
  <c r="AK37" i="2"/>
  <c r="M39" i="2"/>
  <c r="AW37" i="2"/>
  <c r="BA40" i="2"/>
  <c r="Q39" i="2"/>
  <c r="AP34" i="2"/>
  <c r="BF34" i="2"/>
  <c r="AS39" i="2"/>
  <c r="AK38" i="2" l="1"/>
  <c r="BE37" i="2"/>
  <c r="BL36" i="2"/>
  <c r="Z36" i="2" s="1"/>
  <c r="BB35" i="2"/>
  <c r="AT35" i="2"/>
  <c r="R35" i="2"/>
  <c r="BJ35" i="2"/>
  <c r="AH35" i="2"/>
  <c r="N35" i="2"/>
  <c r="J35" i="2"/>
  <c r="V35" i="2"/>
  <c r="AX35" i="2"/>
  <c r="AL35" i="2"/>
  <c r="AD35" i="2"/>
  <c r="AO37" i="2"/>
  <c r="AS40" i="2"/>
  <c r="Q40" i="2"/>
  <c r="AW38" i="2"/>
  <c r="M40" i="2"/>
  <c r="AC38" i="2"/>
  <c r="I39" i="2"/>
  <c r="BF35" i="2"/>
  <c r="AP35" i="2"/>
  <c r="U38" i="2"/>
  <c r="BI40" i="2"/>
  <c r="AG40" i="2"/>
  <c r="I40" i="2" l="1"/>
  <c r="AC39" i="2"/>
  <c r="AO38" i="2"/>
  <c r="BL37" i="2"/>
  <c r="BB36" i="2"/>
  <c r="AT36" i="2"/>
  <c r="N36" i="2"/>
  <c r="AH36" i="2"/>
  <c r="BJ36" i="2"/>
  <c r="R36" i="2"/>
  <c r="J36" i="2"/>
  <c r="AL36" i="2"/>
  <c r="V36" i="2"/>
  <c r="AD36" i="2"/>
  <c r="AX36" i="2"/>
  <c r="BF36" i="2"/>
  <c r="U39" i="2"/>
  <c r="AW39" i="2"/>
  <c r="AP36" i="2"/>
  <c r="BE38" i="2"/>
  <c r="AK39" i="2"/>
  <c r="BF37" i="2" l="1"/>
  <c r="Z37" i="2"/>
  <c r="BE39" i="2"/>
  <c r="U40" i="2"/>
  <c r="AO39" i="2"/>
  <c r="AK40" i="2"/>
  <c r="AW40" i="2"/>
  <c r="BL38" i="2"/>
  <c r="Z38" i="2" s="1"/>
  <c r="BB37" i="2"/>
  <c r="BJ37" i="2"/>
  <c r="AH37" i="2"/>
  <c r="AT37" i="2"/>
  <c r="R37" i="2"/>
  <c r="N37" i="2"/>
  <c r="J37" i="2"/>
  <c r="AD37" i="2"/>
  <c r="AL37" i="2"/>
  <c r="AX37" i="2"/>
  <c r="V37" i="2"/>
  <c r="AP37" i="2"/>
  <c r="AC40" i="2"/>
  <c r="BL39" i="2" l="1"/>
  <c r="BB38" i="2"/>
  <c r="AH38" i="2"/>
  <c r="BJ38" i="2"/>
  <c r="N38" i="2"/>
  <c r="R38" i="2"/>
  <c r="AT38" i="2"/>
  <c r="J38" i="2"/>
  <c r="V38" i="2"/>
  <c r="AD38" i="2"/>
  <c r="AX38" i="2"/>
  <c r="AL38" i="2"/>
  <c r="AO40" i="2"/>
  <c r="BE40" i="2"/>
  <c r="AP38" i="2"/>
  <c r="BF38" i="2"/>
  <c r="AP39" i="2" l="1"/>
  <c r="Z39" i="2"/>
  <c r="BF39" i="2"/>
  <c r="BL40" i="2"/>
  <c r="BB39" i="2"/>
  <c r="R39" i="2"/>
  <c r="N39" i="2"/>
  <c r="BJ39" i="2"/>
  <c r="AH39" i="2"/>
  <c r="AT39" i="2"/>
  <c r="J39" i="2"/>
  <c r="AD39" i="2"/>
  <c r="V39" i="2"/>
  <c r="AL39" i="2"/>
  <c r="AX39" i="2"/>
  <c r="BF40" i="2" l="1"/>
  <c r="Z40" i="2"/>
  <c r="BB40" i="2"/>
  <c r="AH40" i="2"/>
  <c r="N40" i="2"/>
  <c r="AT40" i="2"/>
  <c r="BJ40" i="2"/>
  <c r="R40" i="2"/>
  <c r="J40" i="2"/>
  <c r="AD40" i="2"/>
  <c r="AL40" i="2"/>
  <c r="V40" i="2"/>
  <c r="AX40" i="2"/>
  <c r="AP40" i="2"/>
  <c r="C43" i="16" l="1"/>
  <c r="G42" i="17" l="1"/>
  <c r="I37" i="17" s="1"/>
  <c r="F42" i="17"/>
  <c r="C43" i="18" l="1"/>
  <c r="C43" i="19" l="1"/>
  <c r="C40" i="24" l="1"/>
  <c r="C43" i="27" l="1"/>
  <c r="C43" i="29" l="1"/>
  <c r="C43" i="30" l="1"/>
  <c r="G42" i="31" l="1"/>
  <c r="I37" i="31" s="1"/>
  <c r="F42" i="31"/>
  <c r="I49" i="4" l="1"/>
  <c r="I49" i="6"/>
  <c r="I49" i="43" l="1"/>
  <c r="I49" i="37"/>
  <c r="C43" i="33" l="1"/>
  <c r="F23" i="33" l="1"/>
  <c r="C38" i="43"/>
  <c r="R24" i="43"/>
  <c r="U24" i="43" s="1"/>
  <c r="R15" i="43"/>
  <c r="U15" i="43" s="1"/>
  <c r="R24" i="4"/>
  <c r="U24" i="4" s="1"/>
  <c r="R15" i="4"/>
  <c r="U15" i="4" s="1"/>
  <c r="S8" i="4"/>
  <c r="R8" i="4"/>
  <c r="R7" i="4"/>
  <c r="U7" i="4" s="1"/>
  <c r="R24" i="37"/>
  <c r="U24" i="37" s="1"/>
  <c r="R15" i="37"/>
  <c r="U15" i="37" s="1"/>
  <c r="S8" i="37"/>
  <c r="R8" i="37"/>
  <c r="R7" i="37"/>
  <c r="U7" i="37" s="1"/>
  <c r="R24" i="6"/>
  <c r="U24" i="6" s="1"/>
  <c r="R15" i="6"/>
  <c r="U15" i="6" s="1"/>
  <c r="S8" i="6"/>
  <c r="R8" i="6"/>
  <c r="R7" i="6"/>
  <c r="U7" i="6" s="1"/>
  <c r="R24" i="13"/>
  <c r="U24" i="13" s="1"/>
  <c r="R15" i="13"/>
  <c r="U15" i="13" s="1"/>
  <c r="S8" i="13"/>
  <c r="R8" i="13"/>
  <c r="R7" i="13"/>
  <c r="U7" i="13" s="1"/>
  <c r="I43" i="30"/>
  <c r="C38" i="30"/>
  <c r="C38" i="31"/>
  <c r="C38" i="32"/>
  <c r="C38" i="33"/>
  <c r="U8" i="6" l="1"/>
  <c r="U8" i="37"/>
  <c r="U8" i="4"/>
  <c r="U8" i="13"/>
  <c r="D39" i="48" l="1"/>
  <c r="G42" i="43"/>
  <c r="I37" i="43" s="1"/>
  <c r="G42" i="4"/>
  <c r="I37" i="4" s="1"/>
  <c r="F42" i="4"/>
  <c r="D38" i="48" s="1"/>
  <c r="E35" i="48"/>
  <c r="D35" i="48"/>
  <c r="D37" i="48"/>
  <c r="D36" i="48"/>
  <c r="D34" i="48"/>
  <c r="D33" i="48"/>
  <c r="E32" i="48"/>
  <c r="D32" i="48"/>
  <c r="D31" i="48"/>
  <c r="D30" i="48"/>
  <c r="E29" i="48"/>
  <c r="D29" i="48"/>
  <c r="D12" i="48"/>
  <c r="E12" i="48"/>
  <c r="D13" i="48"/>
  <c r="D17" i="48"/>
  <c r="E17" i="48"/>
  <c r="D25" i="48"/>
  <c r="E25" i="48"/>
  <c r="D28" i="48"/>
  <c r="D27" i="48"/>
  <c r="D26" i="48"/>
  <c r="D24" i="48"/>
  <c r="G42" i="19"/>
  <c r="I37" i="19" s="1"/>
  <c r="F42" i="19"/>
  <c r="D23" i="48" s="1"/>
  <c r="D22" i="48"/>
  <c r="D21" i="48"/>
  <c r="D20" i="48"/>
  <c r="I43" i="43"/>
  <c r="I44" i="43" s="1"/>
  <c r="I43" i="4"/>
  <c r="I43" i="37"/>
  <c r="I44" i="37" s="1"/>
  <c r="I43" i="6"/>
  <c r="I44" i="6" s="1"/>
  <c r="I43" i="7"/>
  <c r="I44" i="7" s="1"/>
  <c r="I43" i="8"/>
  <c r="I44" i="8" s="1"/>
  <c r="I43" i="9"/>
  <c r="I44" i="9" s="1"/>
  <c r="I43" i="10"/>
  <c r="I44" i="10" s="1"/>
  <c r="I43" i="11"/>
  <c r="I43" i="12"/>
  <c r="I44" i="12" s="1"/>
  <c r="I43" i="13"/>
  <c r="I44" i="13" s="1"/>
  <c r="I43" i="14"/>
  <c r="I44" i="14" s="1"/>
  <c r="I43" i="15"/>
  <c r="I44" i="15" s="1"/>
  <c r="I43" i="16"/>
  <c r="I44" i="16" s="1"/>
  <c r="I43" i="17"/>
  <c r="I44" i="17" s="1"/>
  <c r="I43" i="18"/>
  <c r="I43" i="19"/>
  <c r="I43" i="20"/>
  <c r="I44" i="20" s="1"/>
  <c r="I43" i="22"/>
  <c r="I44" i="22" s="1"/>
  <c r="I43" i="21"/>
  <c r="I44" i="21" s="1"/>
  <c r="I43" i="23"/>
  <c r="I43" i="24"/>
  <c r="I44" i="24" s="1"/>
  <c r="I43" i="25"/>
  <c r="I44" i="25" s="1"/>
  <c r="I43" i="26"/>
  <c r="I44" i="26" s="1"/>
  <c r="I43" i="28"/>
  <c r="I44" i="28" s="1"/>
  <c r="I43" i="27"/>
  <c r="I44" i="27" s="1"/>
  <c r="I43" i="29"/>
  <c r="I44" i="29" s="1"/>
  <c r="I44" i="30"/>
  <c r="I43" i="32"/>
  <c r="I44" i="32" s="1"/>
  <c r="J43" i="33"/>
  <c r="C11" i="2" s="1"/>
  <c r="C12" i="2" s="1"/>
  <c r="C13" i="2" s="1"/>
  <c r="C14" i="2" s="1"/>
  <c r="C15" i="2" s="1"/>
  <c r="C16" i="2" s="1"/>
  <c r="C17" i="2" s="1"/>
  <c r="C18" i="2" s="1"/>
  <c r="C19" i="2" s="1"/>
  <c r="C20" i="2" s="1"/>
  <c r="C21" i="2" s="1"/>
  <c r="C22" i="2" s="1"/>
  <c r="C23" i="2" s="1"/>
  <c r="C24" i="2" s="1"/>
  <c r="C25" i="2" s="1"/>
  <c r="C26" i="2" s="1"/>
  <c r="C27" i="2" s="1"/>
  <c r="C28" i="2" s="1"/>
  <c r="C29" i="2" s="1"/>
  <c r="C30" i="2" s="1"/>
  <c r="C31" i="2" s="1"/>
  <c r="C32" i="2" s="1"/>
  <c r="C33" i="2" s="1"/>
  <c r="C34" i="2" s="1"/>
  <c r="C37" i="2" s="1"/>
  <c r="C38" i="2" s="1"/>
  <c r="C39" i="2" s="1"/>
  <c r="C40" i="2" s="1"/>
  <c r="C10" i="2" s="1"/>
  <c r="B11" i="2" s="1"/>
  <c r="B12" i="2" s="1"/>
  <c r="B13" i="2" s="1"/>
  <c r="B15" i="2" s="1"/>
  <c r="B16" i="2" s="1"/>
  <c r="B17" i="2" s="1"/>
  <c r="B18" i="2" s="1"/>
  <c r="B19" i="2" s="1"/>
  <c r="B20" i="2" s="1"/>
  <c r="B21" i="2" s="1"/>
  <c r="B22" i="2" s="1"/>
  <c r="B23" i="2" s="1"/>
  <c r="B24" i="2" s="1"/>
  <c r="B26" i="2" s="1"/>
  <c r="B30" i="2" s="1"/>
  <c r="B31" i="2" s="1"/>
  <c r="B32" i="2" s="1"/>
  <c r="B33" i="2" s="1"/>
  <c r="B34" i="2" s="1"/>
  <c r="B35" i="2" s="1"/>
  <c r="B36" i="2" s="1"/>
  <c r="B37" i="2" s="1"/>
  <c r="B38" i="2" s="1"/>
  <c r="B39" i="2" s="1"/>
  <c r="B40" i="2" s="1"/>
  <c r="B10" i="2" s="1"/>
  <c r="P39" i="48"/>
  <c r="D39" i="1" s="1"/>
  <c r="P38" i="48"/>
  <c r="D38" i="1" s="1"/>
  <c r="P37" i="48"/>
  <c r="P36" i="48"/>
  <c r="P35" i="48"/>
  <c r="P34" i="48"/>
  <c r="P33" i="48"/>
  <c r="P32" i="48"/>
  <c r="G32" i="48" s="1"/>
  <c r="P31" i="48"/>
  <c r="AB31" i="48" s="1"/>
  <c r="P30" i="48"/>
  <c r="AB30" i="48" s="1"/>
  <c r="P29" i="48"/>
  <c r="P28" i="48"/>
  <c r="P27" i="48"/>
  <c r="P26" i="48"/>
  <c r="P25" i="48"/>
  <c r="P24" i="48"/>
  <c r="P23" i="48"/>
  <c r="AB23" i="48" s="1"/>
  <c r="P22" i="48"/>
  <c r="P21" i="48"/>
  <c r="P20" i="48"/>
  <c r="P19" i="48"/>
  <c r="H19" i="48" s="1"/>
  <c r="P18" i="48"/>
  <c r="P17" i="48"/>
  <c r="P16" i="48"/>
  <c r="P15" i="48"/>
  <c r="G15" i="48" s="1"/>
  <c r="P14" i="48"/>
  <c r="B13" i="45" s="1"/>
  <c r="P13" i="48"/>
  <c r="B12" i="45" s="1"/>
  <c r="P12" i="48"/>
  <c r="B11" i="45" s="1"/>
  <c r="P11" i="48"/>
  <c r="B10" i="45" s="1"/>
  <c r="P10" i="48"/>
  <c r="B9" i="45" s="1"/>
  <c r="AA9" i="48"/>
  <c r="AA10" i="48" s="1"/>
  <c r="AA11" i="48" s="1"/>
  <c r="AA12" i="48" s="1"/>
  <c r="AA13" i="48" s="1"/>
  <c r="AA14" i="48" s="1"/>
  <c r="AA15" i="48" s="1"/>
  <c r="AA16" i="48" s="1"/>
  <c r="AA17" i="48" s="1"/>
  <c r="AA18" i="48" s="1"/>
  <c r="AA19" i="48" s="1"/>
  <c r="AA20" i="48" s="1"/>
  <c r="AA21" i="48" s="1"/>
  <c r="AA22" i="48" s="1"/>
  <c r="AA23" i="48" s="1"/>
  <c r="AA24" i="48" s="1"/>
  <c r="AA25" i="48" s="1"/>
  <c r="AA26" i="48" s="1"/>
  <c r="AA27" i="48" s="1"/>
  <c r="AA28" i="48" s="1"/>
  <c r="AA29" i="48" s="1"/>
  <c r="AA30" i="48" s="1"/>
  <c r="AA31" i="48" s="1"/>
  <c r="AA32" i="48" s="1"/>
  <c r="AA33" i="48" s="1"/>
  <c r="AA34" i="48" s="1"/>
  <c r="AA35" i="48" s="1"/>
  <c r="AA36" i="48" s="1"/>
  <c r="AA37" i="48" s="1"/>
  <c r="AA38" i="48" s="1"/>
  <c r="AA39" i="48" s="1"/>
  <c r="A10" i="48"/>
  <c r="D19" i="48"/>
  <c r="D18" i="48"/>
  <c r="D16" i="48"/>
  <c r="D15" i="48"/>
  <c r="G42" i="27"/>
  <c r="I37" i="27" s="1"/>
  <c r="F42" i="27"/>
  <c r="D14" i="48" s="1"/>
  <c r="E13" i="48"/>
  <c r="D11" i="48"/>
  <c r="P9" i="48"/>
  <c r="Q9" i="48" s="1"/>
  <c r="D38" i="33"/>
  <c r="L34" i="26"/>
  <c r="D10" i="48"/>
  <c r="D9" i="48"/>
  <c r="I47" i="29"/>
  <c r="H4" i="43"/>
  <c r="C14" i="43"/>
  <c r="V7" i="43" s="1"/>
  <c r="W7" i="43" s="1"/>
  <c r="D14" i="43"/>
  <c r="E14" i="43"/>
  <c r="F14" i="43"/>
  <c r="C23" i="43"/>
  <c r="V15" i="43" s="1"/>
  <c r="W15" i="43" s="1"/>
  <c r="D23" i="43"/>
  <c r="E23" i="43"/>
  <c r="F23" i="43"/>
  <c r="F34" i="43" s="1"/>
  <c r="C32" i="43"/>
  <c r="V24" i="43" s="1"/>
  <c r="W24" i="43" s="1"/>
  <c r="D32" i="43"/>
  <c r="E32" i="43"/>
  <c r="F32" i="43"/>
  <c r="K34" i="43"/>
  <c r="L34" i="43"/>
  <c r="C39" i="43"/>
  <c r="C40" i="43"/>
  <c r="C41" i="43"/>
  <c r="C42" i="43"/>
  <c r="C43" i="43"/>
  <c r="C44" i="43"/>
  <c r="C45" i="43"/>
  <c r="C46" i="43"/>
  <c r="C47" i="43"/>
  <c r="C48" i="43"/>
  <c r="C49" i="43"/>
  <c r="C50" i="43"/>
  <c r="C51" i="43"/>
  <c r="H4" i="4"/>
  <c r="C14" i="4"/>
  <c r="V7" i="4" s="1"/>
  <c r="W7" i="4" s="1"/>
  <c r="D14" i="4"/>
  <c r="E14" i="4"/>
  <c r="F14" i="4"/>
  <c r="C23" i="4"/>
  <c r="D23" i="4"/>
  <c r="E23" i="4"/>
  <c r="F23" i="4"/>
  <c r="C32" i="4"/>
  <c r="V24" i="4" s="1"/>
  <c r="W24" i="4" s="1"/>
  <c r="D32" i="4"/>
  <c r="E32" i="4"/>
  <c r="F32" i="4"/>
  <c r="L34" i="4"/>
  <c r="C38" i="4"/>
  <c r="C39" i="4"/>
  <c r="C40" i="4"/>
  <c r="C41" i="4"/>
  <c r="C42" i="4"/>
  <c r="C43" i="4"/>
  <c r="C44" i="4"/>
  <c r="C45" i="4"/>
  <c r="C46" i="4"/>
  <c r="C47" i="4"/>
  <c r="C48" i="4"/>
  <c r="C49" i="4"/>
  <c r="C50" i="4"/>
  <c r="I50" i="4"/>
  <c r="C51" i="4"/>
  <c r="H4" i="37"/>
  <c r="V24" i="37"/>
  <c r="W24" i="37" s="1"/>
  <c r="L34" i="37"/>
  <c r="C38" i="37"/>
  <c r="C39" i="37"/>
  <c r="C40" i="37"/>
  <c r="C41" i="37"/>
  <c r="C42" i="37"/>
  <c r="C43" i="37"/>
  <c r="C44" i="37"/>
  <c r="C45" i="37"/>
  <c r="C46" i="37"/>
  <c r="C47" i="37"/>
  <c r="C48" i="37"/>
  <c r="C49" i="37"/>
  <c r="C50" i="37"/>
  <c r="C51" i="37"/>
  <c r="H4" i="6"/>
  <c r="V7" i="6"/>
  <c r="W7" i="6" s="1"/>
  <c r="V15" i="6"/>
  <c r="W15" i="6" s="1"/>
  <c r="V24" i="6"/>
  <c r="W24" i="6" s="1"/>
  <c r="L34" i="6"/>
  <c r="C38" i="6"/>
  <c r="C39" i="6"/>
  <c r="C40" i="6"/>
  <c r="C41" i="6"/>
  <c r="C42" i="6"/>
  <c r="C43" i="6"/>
  <c r="C44" i="6"/>
  <c r="C45" i="6"/>
  <c r="C46" i="6"/>
  <c r="C47" i="6"/>
  <c r="C48" i="6"/>
  <c r="C49" i="6"/>
  <c r="C50" i="6"/>
  <c r="I50" i="6"/>
  <c r="C51" i="6"/>
  <c r="H4" i="7"/>
  <c r="L34" i="7"/>
  <c r="C38" i="7"/>
  <c r="C39" i="7"/>
  <c r="C40" i="7"/>
  <c r="C41" i="7"/>
  <c r="C42" i="7"/>
  <c r="C43" i="7"/>
  <c r="C44" i="7"/>
  <c r="C45" i="7"/>
  <c r="C46" i="7"/>
  <c r="C47" i="7"/>
  <c r="C48" i="7"/>
  <c r="C49" i="7"/>
  <c r="C50" i="7"/>
  <c r="C51" i="7"/>
  <c r="H4" i="8"/>
  <c r="L34" i="8"/>
  <c r="C38" i="8"/>
  <c r="C39" i="8"/>
  <c r="C40" i="8"/>
  <c r="C41" i="8"/>
  <c r="C42" i="8"/>
  <c r="C43" i="8"/>
  <c r="C44" i="8"/>
  <c r="C45" i="8"/>
  <c r="C46" i="8"/>
  <c r="C47" i="8"/>
  <c r="C48" i="8"/>
  <c r="C49" i="8"/>
  <c r="C50" i="8"/>
  <c r="C51" i="8"/>
  <c r="H4" i="9"/>
  <c r="L34" i="9"/>
  <c r="C38" i="9"/>
  <c r="C39" i="9"/>
  <c r="C40" i="9"/>
  <c r="C41" i="9"/>
  <c r="C42" i="9"/>
  <c r="C43" i="9"/>
  <c r="C44" i="9"/>
  <c r="C45" i="9"/>
  <c r="C46" i="9"/>
  <c r="C47" i="9"/>
  <c r="C48" i="9"/>
  <c r="C49" i="9"/>
  <c r="C50" i="9"/>
  <c r="C51" i="9"/>
  <c r="V44" i="9" s="1"/>
  <c r="W44" i="9" s="1"/>
  <c r="H4" i="10"/>
  <c r="K34" i="10"/>
  <c r="L34" i="10"/>
  <c r="C38" i="10"/>
  <c r="C39" i="10"/>
  <c r="C40" i="10"/>
  <c r="C41" i="10"/>
  <c r="C42" i="10"/>
  <c r="C43" i="10"/>
  <c r="C44" i="10"/>
  <c r="C45" i="10"/>
  <c r="C46" i="10"/>
  <c r="C47" i="10"/>
  <c r="C48" i="10"/>
  <c r="C49" i="10"/>
  <c r="C50" i="10"/>
  <c r="C51" i="10"/>
  <c r="H4" i="11"/>
  <c r="L34" i="11"/>
  <c r="C38" i="11"/>
  <c r="C39" i="11"/>
  <c r="C40" i="11"/>
  <c r="C41" i="11"/>
  <c r="C42" i="11"/>
  <c r="C43" i="11"/>
  <c r="C44" i="11"/>
  <c r="I44" i="11"/>
  <c r="C45" i="11"/>
  <c r="C46" i="11"/>
  <c r="C47" i="11"/>
  <c r="C48" i="11"/>
  <c r="C49" i="11"/>
  <c r="C50" i="11"/>
  <c r="C51" i="11"/>
  <c r="H4" i="12"/>
  <c r="L34" i="12"/>
  <c r="C38" i="12"/>
  <c r="C39" i="12"/>
  <c r="C40" i="12"/>
  <c r="C41" i="12"/>
  <c r="C42" i="12"/>
  <c r="C43" i="12"/>
  <c r="C44" i="12"/>
  <c r="C45" i="12"/>
  <c r="C46" i="12"/>
  <c r="C47" i="12"/>
  <c r="C48" i="12"/>
  <c r="C49" i="12"/>
  <c r="C50" i="12"/>
  <c r="C51" i="12"/>
  <c r="H4" i="13"/>
  <c r="V7" i="13"/>
  <c r="W7" i="13" s="1"/>
  <c r="V15" i="13"/>
  <c r="W15" i="13" s="1"/>
  <c r="V24" i="13"/>
  <c r="W24" i="13" s="1"/>
  <c r="L34" i="13"/>
  <c r="C38" i="13"/>
  <c r="C39" i="13"/>
  <c r="C40" i="13"/>
  <c r="C41" i="13"/>
  <c r="C42" i="13"/>
  <c r="C43" i="13"/>
  <c r="C44" i="13"/>
  <c r="C45" i="13"/>
  <c r="C46" i="13"/>
  <c r="C47" i="13"/>
  <c r="C48" i="13"/>
  <c r="C49" i="13"/>
  <c r="C50" i="13"/>
  <c r="C51" i="13"/>
  <c r="H4" i="14"/>
  <c r="L34" i="14"/>
  <c r="C38" i="14"/>
  <c r="C39" i="14"/>
  <c r="C40" i="14"/>
  <c r="C41" i="14"/>
  <c r="C42" i="14"/>
  <c r="C43" i="14"/>
  <c r="C44" i="14"/>
  <c r="C45" i="14"/>
  <c r="C46" i="14"/>
  <c r="C47" i="14"/>
  <c r="C48" i="14"/>
  <c r="C49" i="14"/>
  <c r="C50" i="14"/>
  <c r="C51" i="14"/>
  <c r="H4" i="15"/>
  <c r="L34" i="15"/>
  <c r="C38" i="15"/>
  <c r="C39" i="15"/>
  <c r="C40" i="15"/>
  <c r="C41" i="15"/>
  <c r="C42" i="15"/>
  <c r="C43" i="15"/>
  <c r="C44" i="15"/>
  <c r="C45" i="15"/>
  <c r="C46" i="15"/>
  <c r="C47" i="15"/>
  <c r="C48" i="15"/>
  <c r="C49" i="15"/>
  <c r="C50" i="15"/>
  <c r="C51" i="15"/>
  <c r="H4" i="16"/>
  <c r="L34" i="16"/>
  <c r="C38" i="16"/>
  <c r="C39" i="16"/>
  <c r="C40" i="16"/>
  <c r="C41" i="16"/>
  <c r="C42" i="16"/>
  <c r="C44" i="16"/>
  <c r="C45" i="16"/>
  <c r="C46" i="16"/>
  <c r="C47" i="16"/>
  <c r="C48" i="16"/>
  <c r="C49" i="16"/>
  <c r="C50" i="16"/>
  <c r="C51" i="16"/>
  <c r="H4" i="17"/>
  <c r="L34" i="17"/>
  <c r="C38" i="17"/>
  <c r="C39" i="17"/>
  <c r="C40" i="17"/>
  <c r="C41" i="17"/>
  <c r="C42" i="17"/>
  <c r="C43" i="17"/>
  <c r="C44" i="17"/>
  <c r="C45" i="17"/>
  <c r="C46" i="17"/>
  <c r="C47" i="17"/>
  <c r="C48" i="17"/>
  <c r="C49" i="17"/>
  <c r="C50" i="17"/>
  <c r="C51" i="17"/>
  <c r="H4" i="18"/>
  <c r="K34" i="18"/>
  <c r="L34" i="18"/>
  <c r="C38" i="18"/>
  <c r="C39" i="18"/>
  <c r="C40" i="18"/>
  <c r="C41" i="18"/>
  <c r="C42" i="18"/>
  <c r="C44" i="18"/>
  <c r="C45" i="18"/>
  <c r="C46" i="18"/>
  <c r="C47" i="18"/>
  <c r="C48" i="18"/>
  <c r="C49" i="18"/>
  <c r="C50" i="18"/>
  <c r="C51" i="18"/>
  <c r="H4" i="19"/>
  <c r="L34" i="19"/>
  <c r="C38" i="19"/>
  <c r="C39" i="19"/>
  <c r="C40" i="19"/>
  <c r="C41" i="19"/>
  <c r="C42" i="19"/>
  <c r="C44" i="19"/>
  <c r="I44" i="19"/>
  <c r="C45" i="19"/>
  <c r="C46" i="19"/>
  <c r="C47" i="19"/>
  <c r="C48" i="19"/>
  <c r="C49" i="19"/>
  <c r="C50" i="19"/>
  <c r="C51" i="19"/>
  <c r="H4" i="20"/>
  <c r="K34" i="20"/>
  <c r="L34" i="20"/>
  <c r="C38" i="20"/>
  <c r="C39" i="20"/>
  <c r="C40" i="20"/>
  <c r="C41" i="20"/>
  <c r="C42" i="20"/>
  <c r="C43" i="20"/>
  <c r="C44" i="20"/>
  <c r="C45" i="20"/>
  <c r="C46" i="20"/>
  <c r="C47" i="20"/>
  <c r="C48" i="20"/>
  <c r="C49" i="20"/>
  <c r="C50" i="20"/>
  <c r="C51" i="20"/>
  <c r="H4" i="22"/>
  <c r="K34" i="22"/>
  <c r="L34" i="22"/>
  <c r="C38" i="22"/>
  <c r="C39" i="22"/>
  <c r="C40" i="22"/>
  <c r="C41" i="22"/>
  <c r="C42" i="22"/>
  <c r="C43" i="22"/>
  <c r="C44" i="22"/>
  <c r="C45" i="22"/>
  <c r="C46" i="22"/>
  <c r="C47" i="22"/>
  <c r="C48" i="22"/>
  <c r="C49" i="22"/>
  <c r="C50" i="22"/>
  <c r="C51"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L34" i="21"/>
  <c r="C38" i="21"/>
  <c r="C39" i="21"/>
  <c r="C40" i="21"/>
  <c r="C41" i="21"/>
  <c r="C42" i="21"/>
  <c r="C43" i="21"/>
  <c r="C44" i="21"/>
  <c r="C45" i="21"/>
  <c r="C46" i="21"/>
  <c r="C47" i="21"/>
  <c r="C48" i="21"/>
  <c r="C49" i="21"/>
  <c r="C50" i="21"/>
  <c r="C51" i="21"/>
  <c r="H4" i="23"/>
  <c r="L34" i="23"/>
  <c r="C38" i="23"/>
  <c r="C39" i="23"/>
  <c r="C40" i="23"/>
  <c r="C41" i="23"/>
  <c r="C42" i="23"/>
  <c r="C43" i="23"/>
  <c r="C44" i="23"/>
  <c r="I44" i="23"/>
  <c r="C45" i="23"/>
  <c r="C46" i="23"/>
  <c r="C47" i="23"/>
  <c r="C48" i="23"/>
  <c r="C49" i="23"/>
  <c r="C50" i="23"/>
  <c r="C51" i="23"/>
  <c r="H4" i="24"/>
  <c r="L34" i="24"/>
  <c r="C41" i="24"/>
  <c r="C42" i="24"/>
  <c r="C43" i="24"/>
  <c r="C44" i="24"/>
  <c r="C45" i="24"/>
  <c r="C46" i="24"/>
  <c r="C47" i="24"/>
  <c r="C48" i="24"/>
  <c r="C49" i="24"/>
  <c r="C50" i="24"/>
  <c r="C51" i="24"/>
  <c r="H4" i="25"/>
  <c r="L34" i="25"/>
  <c r="C38" i="25"/>
  <c r="C39" i="25"/>
  <c r="C40" i="25"/>
  <c r="C41" i="25"/>
  <c r="C42" i="25"/>
  <c r="C43" i="25"/>
  <c r="C44" i="25"/>
  <c r="C45" i="25"/>
  <c r="C46" i="25"/>
  <c r="C47" i="25"/>
  <c r="C48" i="25"/>
  <c r="C49" i="25"/>
  <c r="C50" i="25"/>
  <c r="C51" i="25"/>
  <c r="H4" i="26"/>
  <c r="C38" i="26"/>
  <c r="C39" i="26"/>
  <c r="C40" i="26"/>
  <c r="C41" i="26"/>
  <c r="C42" i="26"/>
  <c r="C44" i="26"/>
  <c r="C45" i="26"/>
  <c r="C46" i="26"/>
  <c r="C47" i="26"/>
  <c r="C48" i="26"/>
  <c r="C49" i="26"/>
  <c r="C50" i="26"/>
  <c r="C51" i="26"/>
  <c r="H4" i="28"/>
  <c r="L34" i="28"/>
  <c r="C38" i="28"/>
  <c r="C39" i="28"/>
  <c r="C40" i="28"/>
  <c r="C41" i="28"/>
  <c r="C42" i="28"/>
  <c r="C43" i="28"/>
  <c r="C44" i="28"/>
  <c r="C45" i="28"/>
  <c r="C46" i="28"/>
  <c r="C47" i="28"/>
  <c r="C48" i="28"/>
  <c r="C49" i="28"/>
  <c r="C50" i="28"/>
  <c r="C51" i="28"/>
  <c r="H4" i="27"/>
  <c r="L34" i="27"/>
  <c r="C38" i="27"/>
  <c r="C39" i="27"/>
  <c r="C40" i="27"/>
  <c r="C41" i="27"/>
  <c r="C42" i="27"/>
  <c r="C44" i="27"/>
  <c r="C45" i="27"/>
  <c r="C46" i="27"/>
  <c r="C47" i="27"/>
  <c r="C48" i="27"/>
  <c r="C49" i="27"/>
  <c r="C50" i="27"/>
  <c r="C51" i="27"/>
  <c r="H4" i="29"/>
  <c r="L34" i="29"/>
  <c r="C38" i="29"/>
  <c r="C39" i="29"/>
  <c r="C40" i="29"/>
  <c r="C41" i="29"/>
  <c r="C42" i="29"/>
  <c r="C44" i="29"/>
  <c r="C45" i="29"/>
  <c r="C46" i="29"/>
  <c r="C47" i="29"/>
  <c r="C48" i="29"/>
  <c r="C49" i="29"/>
  <c r="C50" i="29"/>
  <c r="C51" i="29"/>
  <c r="H4" i="30"/>
  <c r="L34" i="30"/>
  <c r="C39" i="30"/>
  <c r="C40" i="30"/>
  <c r="C41" i="30"/>
  <c r="C42" i="30"/>
  <c r="C44" i="30"/>
  <c r="C45" i="30"/>
  <c r="C47" i="30"/>
  <c r="C48" i="30"/>
  <c r="C49" i="30"/>
  <c r="C50" i="30"/>
  <c r="C51" i="30"/>
  <c r="H4" i="31"/>
  <c r="L34" i="31"/>
  <c r="C39" i="31"/>
  <c r="C40" i="31"/>
  <c r="C41" i="31"/>
  <c r="C42" i="31"/>
  <c r="C43" i="31"/>
  <c r="C44" i="31"/>
  <c r="I44" i="31"/>
  <c r="C45" i="31"/>
  <c r="C46" i="31"/>
  <c r="C47" i="31"/>
  <c r="C48" i="31"/>
  <c r="C49" i="31"/>
  <c r="C50" i="31"/>
  <c r="C51" i="31"/>
  <c r="H4" i="32"/>
  <c r="J7" i="32"/>
  <c r="J7" i="31" s="1"/>
  <c r="J8" i="32"/>
  <c r="J8" i="31" s="1"/>
  <c r="J9" i="32"/>
  <c r="J9" i="31" s="1"/>
  <c r="J10" i="32"/>
  <c r="J10" i="31" s="1"/>
  <c r="J11" i="32"/>
  <c r="J11" i="31" s="1"/>
  <c r="J12" i="32"/>
  <c r="J12" i="31" s="1"/>
  <c r="J13" i="32"/>
  <c r="J13" i="31" s="1"/>
  <c r="J14" i="32"/>
  <c r="J14" i="31" s="1"/>
  <c r="J15" i="32"/>
  <c r="J15" i="31" s="1"/>
  <c r="J16" i="32"/>
  <c r="J16" i="31" s="1"/>
  <c r="J17" i="32"/>
  <c r="J17" i="31" s="1"/>
  <c r="J18" i="32"/>
  <c r="J18" i="31" s="1"/>
  <c r="J19" i="32"/>
  <c r="J19" i="31" s="1"/>
  <c r="J20" i="32"/>
  <c r="J20" i="31" s="1"/>
  <c r="J21" i="32"/>
  <c r="J21" i="31" s="1"/>
  <c r="J22" i="32"/>
  <c r="J22" i="31" s="1"/>
  <c r="J23" i="32"/>
  <c r="J23" i="31" s="1"/>
  <c r="J24" i="32"/>
  <c r="J25" i="32"/>
  <c r="J26" i="32"/>
  <c r="J27" i="32"/>
  <c r="J28" i="32"/>
  <c r="J29" i="32"/>
  <c r="J30" i="32"/>
  <c r="J31" i="32"/>
  <c r="J32" i="32"/>
  <c r="J32" i="31" s="1"/>
  <c r="J32" i="30" s="1"/>
  <c r="J32" i="29" s="1"/>
  <c r="J32" i="27" s="1"/>
  <c r="J32" i="28" s="1"/>
  <c r="J32" i="26" s="1"/>
  <c r="L34" i="32"/>
  <c r="C39" i="32"/>
  <c r="C40" i="32"/>
  <c r="C41" i="32"/>
  <c r="C42" i="32"/>
  <c r="C43" i="32"/>
  <c r="C44" i="32"/>
  <c r="C45" i="32"/>
  <c r="C46" i="32"/>
  <c r="C47" i="32"/>
  <c r="C48" i="32"/>
  <c r="C49" i="32"/>
  <c r="C50" i="32"/>
  <c r="C51" i="32"/>
  <c r="M8" i="33"/>
  <c r="M9" i="33"/>
  <c r="M9" i="32" s="1"/>
  <c r="M9" i="31" s="1"/>
  <c r="M9" i="30" s="1"/>
  <c r="M9" i="29" s="1"/>
  <c r="M9" i="27" s="1"/>
  <c r="M9" i="28" s="1"/>
  <c r="M10" i="33"/>
  <c r="M10" i="32" s="1"/>
  <c r="M10" i="31" s="1"/>
  <c r="M10" i="30" s="1"/>
  <c r="M10" i="29" s="1"/>
  <c r="M10" i="27" s="1"/>
  <c r="M10" i="28" s="1"/>
  <c r="M10" i="26" s="1"/>
  <c r="M10" i="25" s="1"/>
  <c r="M10" i="24" s="1"/>
  <c r="M10" i="23"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F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4" i="37" s="1"/>
  <c r="M14" i="4" s="1"/>
  <c r="M14" i="43"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7" i="33"/>
  <c r="M17" i="32" s="1"/>
  <c r="M17" i="31" s="1"/>
  <c r="M17" i="30"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8" i="33"/>
  <c r="M18" i="32" s="1"/>
  <c r="M18" i="31" s="1"/>
  <c r="M18" i="30" s="1"/>
  <c r="M18" i="29" s="1"/>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19" i="37" s="1"/>
  <c r="M19" i="4" s="1"/>
  <c r="M19" i="43"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1" i="33"/>
  <c r="M21" i="32" s="1"/>
  <c r="M21" i="31" s="1"/>
  <c r="M21" i="30"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M22" i="33"/>
  <c r="M22" i="32" s="1"/>
  <c r="M22" i="31" s="1"/>
  <c r="M22" i="30"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24" i="33"/>
  <c r="M24" i="32" s="1"/>
  <c r="M24" i="31" s="1"/>
  <c r="M24" i="30" s="1"/>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25" i="33"/>
  <c r="M25" i="32" s="1"/>
  <c r="M25" i="31" s="1"/>
  <c r="M25" i="30" s="1"/>
  <c r="M25" i="29" s="1"/>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6" i="33"/>
  <c r="M26" i="32" s="1"/>
  <c r="M26" i="31" s="1"/>
  <c r="M26" i="30" s="1"/>
  <c r="M26" i="29" s="1"/>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7" i="33"/>
  <c r="M27" i="32" s="1"/>
  <c r="M27" i="31" s="1"/>
  <c r="M27" i="30" s="1"/>
  <c r="M27" i="29" s="1"/>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8" i="33"/>
  <c r="M28" i="32" s="1"/>
  <c r="M28" i="31" s="1"/>
  <c r="M28" i="30" s="1"/>
  <c r="M28" i="29" s="1"/>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29" i="33"/>
  <c r="M29" i="32" s="1"/>
  <c r="M29" i="31" s="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W12" i="57" s="1"/>
  <c r="C41" i="33"/>
  <c r="D41" i="33" s="1"/>
  <c r="C42" i="33"/>
  <c r="D42" i="33" s="1"/>
  <c r="E42" i="33" s="1"/>
  <c r="D43" i="33"/>
  <c r="C44" i="33"/>
  <c r="D44" i="33" s="1"/>
  <c r="C45" i="33"/>
  <c r="D45" i="33" s="1"/>
  <c r="C46" i="33"/>
  <c r="W18" i="57" s="1"/>
  <c r="C47" i="33"/>
  <c r="D47" i="33" s="1"/>
  <c r="C48" i="33"/>
  <c r="D48" i="33" s="1"/>
  <c r="E48" i="33" s="1"/>
  <c r="C49" i="33"/>
  <c r="D49" i="33" s="1"/>
  <c r="C50" i="33"/>
  <c r="D50" i="33" s="1"/>
  <c r="C51" i="33"/>
  <c r="D51" i="33" s="1"/>
  <c r="A4" i="47"/>
  <c r="J46" i="33"/>
  <c r="I47" i="32"/>
  <c r="AF11" i="48"/>
  <c r="I47" i="27"/>
  <c r="AF15" i="48"/>
  <c r="AF16" i="48"/>
  <c r="AF17" i="48"/>
  <c r="AH17" i="48" s="1"/>
  <c r="AF19" i="48"/>
  <c r="I47" i="21"/>
  <c r="AF21" i="48"/>
  <c r="AH21" i="48" s="1"/>
  <c r="AF24" i="48"/>
  <c r="I47" i="17"/>
  <c r="I47" i="16"/>
  <c r="I47" i="15"/>
  <c r="AF29" i="48"/>
  <c r="AH29" i="48" s="1"/>
  <c r="AF30" i="48"/>
  <c r="AH30" i="48" s="1"/>
  <c r="AF33" i="48"/>
  <c r="AH33" i="48" s="1"/>
  <c r="I47" i="43"/>
  <c r="I50" i="37"/>
  <c r="I50" i="43"/>
  <c r="AF18" i="48"/>
  <c r="AB15" i="48"/>
  <c r="Z41" i="48"/>
  <c r="AB17" i="48"/>
  <c r="I44" i="33"/>
  <c r="AB21" i="48"/>
  <c r="H21" i="48"/>
  <c r="AB33" i="48"/>
  <c r="H29" i="48"/>
  <c r="G33" i="48"/>
  <c r="AB37" i="48"/>
  <c r="G37" i="48"/>
  <c r="G29" i="48"/>
  <c r="G17" i="48"/>
  <c r="H37" i="48"/>
  <c r="AB39" i="48"/>
  <c r="E28" i="48"/>
  <c r="G21" i="48"/>
  <c r="E18" i="48"/>
  <c r="E15" i="48"/>
  <c r="AF36" i="48"/>
  <c r="AF34" i="48"/>
  <c r="E30" i="48"/>
  <c r="F18" i="48" l="1"/>
  <c r="AB14" i="48"/>
  <c r="AA18" i="57"/>
  <c r="AB18" i="57" s="1"/>
  <c r="X18" i="57"/>
  <c r="F30" i="48"/>
  <c r="AH16" i="48"/>
  <c r="AA12" i="57"/>
  <c r="AB12" i="57" s="1"/>
  <c r="X12" i="57"/>
  <c r="AH24" i="48"/>
  <c r="H39" i="48"/>
  <c r="J24" i="31"/>
  <c r="J24" i="30" s="1"/>
  <c r="J24" i="29" s="1"/>
  <c r="J24" i="27" s="1"/>
  <c r="J24" i="28" s="1"/>
  <c r="J24" i="26" s="1"/>
  <c r="I40" i="10"/>
  <c r="C24" i="4"/>
  <c r="H15" i="48"/>
  <c r="J31" i="31"/>
  <c r="J31" i="30" s="1"/>
  <c r="J31" i="29" s="1"/>
  <c r="J31" i="27" s="1"/>
  <c r="J31" i="28" s="1"/>
  <c r="J31" i="26" s="1"/>
  <c r="G23" i="48"/>
  <c r="J30" i="31"/>
  <c r="J30" i="30" s="1"/>
  <c r="J30" i="29" s="1"/>
  <c r="J30" i="27" s="1"/>
  <c r="J30" i="28" s="1"/>
  <c r="J30" i="26" s="1"/>
  <c r="G31" i="48"/>
  <c r="J29" i="31"/>
  <c r="J29" i="30" s="1"/>
  <c r="J29" i="29" s="1"/>
  <c r="J29" i="27" s="1"/>
  <c r="J29" i="28" s="1"/>
  <c r="J29" i="26" s="1"/>
  <c r="J25" i="31"/>
  <c r="J25" i="30" s="1"/>
  <c r="J25" i="29" s="1"/>
  <c r="J25" i="27" s="1"/>
  <c r="J25" i="28" s="1"/>
  <c r="J25" i="26" s="1"/>
  <c r="AB9" i="48"/>
  <c r="J28" i="31"/>
  <c r="J28" i="30" s="1"/>
  <c r="J28" i="29" s="1"/>
  <c r="J28" i="27" s="1"/>
  <c r="J28" i="28" s="1"/>
  <c r="J28" i="26" s="1"/>
  <c r="J27" i="31"/>
  <c r="J27" i="30" s="1"/>
  <c r="J27" i="29" s="1"/>
  <c r="J27" i="27" s="1"/>
  <c r="J27" i="28" s="1"/>
  <c r="J27" i="26" s="1"/>
  <c r="J26" i="31"/>
  <c r="J26" i="30" s="1"/>
  <c r="J26" i="29" s="1"/>
  <c r="J26" i="27" s="1"/>
  <c r="J26" i="28" s="1"/>
  <c r="J26" i="26" s="1"/>
  <c r="A11" i="48"/>
  <c r="A11" i="2"/>
  <c r="D40" i="33"/>
  <c r="W12" i="46"/>
  <c r="D46" i="33"/>
  <c r="E46" i="33" s="1"/>
  <c r="W18" i="46"/>
  <c r="E36" i="48"/>
  <c r="F36" i="48" s="1"/>
  <c r="C34" i="4"/>
  <c r="K9" i="4" s="1"/>
  <c r="AB32" i="48"/>
  <c r="E33" i="43"/>
  <c r="N12" i="45"/>
  <c r="F12" i="45"/>
  <c r="J12" i="45"/>
  <c r="Q12" i="45"/>
  <c r="N13" i="45"/>
  <c r="J13" i="45"/>
  <c r="F13" i="45"/>
  <c r="Q13" i="45"/>
  <c r="F10" i="45"/>
  <c r="N10" i="45"/>
  <c r="J10" i="45"/>
  <c r="Q10" i="45"/>
  <c r="F11" i="45"/>
  <c r="J11" i="45"/>
  <c r="N11" i="45"/>
  <c r="Q11" i="45"/>
  <c r="F13" i="48"/>
  <c r="F9" i="45"/>
  <c r="J9" i="45"/>
  <c r="N9" i="45"/>
  <c r="Q9" i="45"/>
  <c r="F17" i="48"/>
  <c r="D11" i="1"/>
  <c r="B18" i="45"/>
  <c r="Q18" i="45" s="1"/>
  <c r="D19" i="1"/>
  <c r="B26" i="45"/>
  <c r="Q26" i="45" s="1"/>
  <c r="D27" i="1"/>
  <c r="B34" i="45"/>
  <c r="Q34" i="45" s="1"/>
  <c r="D35" i="1"/>
  <c r="D12" i="1"/>
  <c r="D13" i="2" s="1"/>
  <c r="B19" i="45"/>
  <c r="Q19" i="45" s="1"/>
  <c r="D20" i="1"/>
  <c r="B27" i="45"/>
  <c r="Q27" i="45" s="1"/>
  <c r="D28" i="1"/>
  <c r="B35" i="45"/>
  <c r="Q35" i="45" s="1"/>
  <c r="D36" i="1"/>
  <c r="B33" i="45"/>
  <c r="Q33" i="45" s="1"/>
  <c r="D34" i="1"/>
  <c r="D13" i="1"/>
  <c r="B20" i="45"/>
  <c r="Q20" i="45" s="1"/>
  <c r="D21" i="1"/>
  <c r="B28" i="45"/>
  <c r="Q28" i="45" s="1"/>
  <c r="D29" i="1"/>
  <c r="B36" i="45"/>
  <c r="Q36" i="45" s="1"/>
  <c r="D37" i="1"/>
  <c r="D10" i="1"/>
  <c r="B8" i="45"/>
  <c r="Q8" i="45" s="1"/>
  <c r="D9" i="1"/>
  <c r="D14" i="1"/>
  <c r="B21" i="45"/>
  <c r="Q21" i="45" s="1"/>
  <c r="D22" i="1"/>
  <c r="B29" i="45"/>
  <c r="Q29" i="45" s="1"/>
  <c r="D30" i="1"/>
  <c r="F12" i="48"/>
  <c r="B25" i="45"/>
  <c r="Q25" i="45" s="1"/>
  <c r="D26" i="1"/>
  <c r="D24" i="4"/>
  <c r="B14" i="45"/>
  <c r="Q14" i="45" s="1"/>
  <c r="D15" i="1"/>
  <c r="B22" i="45"/>
  <c r="Q22" i="45" s="1"/>
  <c r="D23" i="1"/>
  <c r="B30" i="45"/>
  <c r="Q30" i="45" s="1"/>
  <c r="D31" i="1"/>
  <c r="B15" i="45"/>
  <c r="Q15" i="45" s="1"/>
  <c r="D16" i="1"/>
  <c r="B23" i="45"/>
  <c r="Q23" i="45" s="1"/>
  <c r="D24" i="1"/>
  <c r="B31" i="45"/>
  <c r="Q31" i="45" s="1"/>
  <c r="D32" i="1"/>
  <c r="B17" i="45"/>
  <c r="Q17" i="45" s="1"/>
  <c r="D18" i="1"/>
  <c r="B16" i="45"/>
  <c r="Q16" i="45" s="1"/>
  <c r="D17" i="1"/>
  <c r="B24" i="45"/>
  <c r="Q24" i="45" s="1"/>
  <c r="D25" i="1"/>
  <c r="B32" i="45"/>
  <c r="Q32" i="45" s="1"/>
  <c r="D33" i="1"/>
  <c r="AB35" i="48"/>
  <c r="AB11" i="48"/>
  <c r="K34" i="6"/>
  <c r="I40" i="6" s="1"/>
  <c r="I48" i="6" s="1"/>
  <c r="G19" i="48"/>
  <c r="AB19" i="48"/>
  <c r="AH19" i="48"/>
  <c r="K34" i="8"/>
  <c r="H18" i="48"/>
  <c r="AH34" i="48"/>
  <c r="AB34" i="48"/>
  <c r="AB27" i="48"/>
  <c r="C52" i="37"/>
  <c r="C53" i="37" s="1"/>
  <c r="C33" i="4"/>
  <c r="D34" i="4"/>
  <c r="J26" i="45"/>
  <c r="F26" i="45"/>
  <c r="N26" i="45"/>
  <c r="H27" i="48"/>
  <c r="G27" i="48"/>
  <c r="G11" i="48"/>
  <c r="G35" i="48"/>
  <c r="K34" i="17"/>
  <c r="E33" i="4"/>
  <c r="AB28" i="48"/>
  <c r="AB24" i="48"/>
  <c r="E23" i="48"/>
  <c r="F23" i="48" s="1"/>
  <c r="J19" i="45"/>
  <c r="F19" i="45"/>
  <c r="F21" i="45"/>
  <c r="N21" i="45"/>
  <c r="I40" i="22"/>
  <c r="R21" i="48" s="1"/>
  <c r="E21" i="1" s="1"/>
  <c r="C33" i="43"/>
  <c r="J14" i="45"/>
  <c r="F14" i="45"/>
  <c r="M9" i="26"/>
  <c r="J22" i="30"/>
  <c r="J22" i="29" s="1"/>
  <c r="J22" i="27" s="1"/>
  <c r="J22" i="28" s="1"/>
  <c r="J22" i="26" s="1"/>
  <c r="J22" i="25" s="1"/>
  <c r="J22" i="24" s="1"/>
  <c r="J14" i="30"/>
  <c r="J14" i="29" s="1"/>
  <c r="J14" i="27" s="1"/>
  <c r="J14" i="28" s="1"/>
  <c r="J14" i="26" s="1"/>
  <c r="J14" i="25" s="1"/>
  <c r="J14" i="24" s="1"/>
  <c r="J9" i="30"/>
  <c r="J9" i="29" s="1"/>
  <c r="J9" i="27" s="1"/>
  <c r="J9" i="28" s="1"/>
  <c r="J9" i="26" s="1"/>
  <c r="J9" i="25" s="1"/>
  <c r="J9" i="24" s="1"/>
  <c r="J21" i="30"/>
  <c r="J21" i="29" s="1"/>
  <c r="J21" i="27" s="1"/>
  <c r="J21" i="28" s="1"/>
  <c r="J21" i="26" s="1"/>
  <c r="J21" i="25" s="1"/>
  <c r="J21" i="24" s="1"/>
  <c r="J8" i="30"/>
  <c r="J8" i="29" s="1"/>
  <c r="J8" i="27" s="1"/>
  <c r="J8" i="28" s="1"/>
  <c r="J8" i="26" s="1"/>
  <c r="J8" i="25" s="1"/>
  <c r="J8" i="24" s="1"/>
  <c r="J20" i="30"/>
  <c r="J20" i="29" s="1"/>
  <c r="J20" i="27" s="1"/>
  <c r="J20" i="28" s="1"/>
  <c r="J20" i="26" s="1"/>
  <c r="J20" i="25" s="1"/>
  <c r="J20" i="24" s="1"/>
  <c r="J7" i="30"/>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23" i="30"/>
  <c r="J23" i="29" s="1"/>
  <c r="J23" i="27" s="1"/>
  <c r="J23" i="28" s="1"/>
  <c r="J23" i="26" s="1"/>
  <c r="J23" i="25" s="1"/>
  <c r="J23" i="24" s="1"/>
  <c r="J19" i="30"/>
  <c r="J19" i="29" s="1"/>
  <c r="J19" i="27" s="1"/>
  <c r="J19" i="28" s="1"/>
  <c r="J19" i="26" s="1"/>
  <c r="J19" i="25" s="1"/>
  <c r="J19" i="24" s="1"/>
  <c r="J18" i="30"/>
  <c r="J18" i="29" s="1"/>
  <c r="J18" i="27" s="1"/>
  <c r="J18" i="28" s="1"/>
  <c r="J18" i="26" s="1"/>
  <c r="J18" i="25" s="1"/>
  <c r="J18" i="24" s="1"/>
  <c r="J13" i="30"/>
  <c r="J13" i="29" s="1"/>
  <c r="J13" i="27" s="1"/>
  <c r="J13" i="28" s="1"/>
  <c r="J13" i="26" s="1"/>
  <c r="J13" i="25" s="1"/>
  <c r="J13" i="24" s="1"/>
  <c r="J17" i="30"/>
  <c r="J17" i="29" s="1"/>
  <c r="J17" i="27" s="1"/>
  <c r="J17" i="28" s="1"/>
  <c r="J17" i="26" s="1"/>
  <c r="J17" i="25" s="1"/>
  <c r="J17" i="24" s="1"/>
  <c r="J12" i="30"/>
  <c r="J12" i="29" s="1"/>
  <c r="J12" i="27" s="1"/>
  <c r="J12" i="28" s="1"/>
  <c r="J12" i="26" s="1"/>
  <c r="J12" i="25" s="1"/>
  <c r="J12" i="24" s="1"/>
  <c r="J16" i="30"/>
  <c r="J16" i="29" s="1"/>
  <c r="J16" i="27" s="1"/>
  <c r="J16" i="28" s="1"/>
  <c r="J16" i="26" s="1"/>
  <c r="J11" i="30"/>
  <c r="J11" i="29" s="1"/>
  <c r="J11" i="27" s="1"/>
  <c r="J11" i="28" s="1"/>
  <c r="J11" i="26" s="1"/>
  <c r="J11" i="25" s="1"/>
  <c r="J11" i="24" s="1"/>
  <c r="J15" i="30"/>
  <c r="J15" i="29" s="1"/>
  <c r="J15" i="27" s="1"/>
  <c r="J15" i="28" s="1"/>
  <c r="J15" i="26" s="1"/>
  <c r="J10" i="30"/>
  <c r="J10" i="29" s="1"/>
  <c r="J10" i="27" s="1"/>
  <c r="J10" i="28" s="1"/>
  <c r="J10" i="26" s="1"/>
  <c r="J10" i="25" s="1"/>
  <c r="J10" i="24" s="1"/>
  <c r="AB13" i="48"/>
  <c r="H13" i="48"/>
  <c r="G13" i="48"/>
  <c r="D15" i="33"/>
  <c r="C52" i="6"/>
  <c r="C53" i="6" s="1"/>
  <c r="F34" i="4"/>
  <c r="F29" i="48"/>
  <c r="C52" i="13"/>
  <c r="C53" i="13" s="1"/>
  <c r="C52" i="9"/>
  <c r="C53" i="9" s="1"/>
  <c r="E24" i="33"/>
  <c r="C34" i="43"/>
  <c r="H28" i="48"/>
  <c r="E15" i="43"/>
  <c r="J57" i="23"/>
  <c r="G20" i="48"/>
  <c r="D24" i="43"/>
  <c r="E24" i="43"/>
  <c r="C24" i="43"/>
  <c r="D15" i="43"/>
  <c r="I40" i="43"/>
  <c r="E34" i="4"/>
  <c r="E15" i="33"/>
  <c r="D33" i="4"/>
  <c r="B37" i="45"/>
  <c r="B38" i="45"/>
  <c r="Q38" i="45" s="1"/>
  <c r="E34" i="33"/>
  <c r="J57" i="33" s="1"/>
  <c r="AB25" i="48"/>
  <c r="C24" i="33"/>
  <c r="D24" i="33"/>
  <c r="B27" i="2"/>
  <c r="B29" i="2"/>
  <c r="B25" i="2"/>
  <c r="AH36" i="48"/>
  <c r="V37" i="48"/>
  <c r="B28" i="2"/>
  <c r="B14" i="2"/>
  <c r="AB10" i="48"/>
  <c r="F32" i="48"/>
  <c r="C52" i="7"/>
  <c r="C53" i="7" s="1"/>
  <c r="H31" i="48"/>
  <c r="R32" i="48"/>
  <c r="E33" i="48"/>
  <c r="C52" i="10"/>
  <c r="C53" i="10" s="1"/>
  <c r="C52" i="11"/>
  <c r="C53" i="11" s="1"/>
  <c r="I47" i="18"/>
  <c r="G30" i="48"/>
  <c r="C52" i="14"/>
  <c r="C53" i="14" s="1"/>
  <c r="D29" i="2" s="1"/>
  <c r="E27" i="48"/>
  <c r="C52" i="15"/>
  <c r="C53" i="15" s="1"/>
  <c r="AB26" i="48"/>
  <c r="I47" i="24"/>
  <c r="I40" i="18"/>
  <c r="R24" i="48" s="1"/>
  <c r="F25" i="48"/>
  <c r="H25" i="48"/>
  <c r="G25" i="48"/>
  <c r="C52" i="17"/>
  <c r="C53" i="17" s="1"/>
  <c r="I47" i="26"/>
  <c r="C52" i="19"/>
  <c r="C53" i="19" s="1"/>
  <c r="C52" i="20"/>
  <c r="C53" i="20" s="1"/>
  <c r="H22" i="48"/>
  <c r="G22" i="48"/>
  <c r="I47" i="25"/>
  <c r="K34" i="21"/>
  <c r="C52" i="21"/>
  <c r="C53" i="21" s="1"/>
  <c r="D21" i="2" s="1"/>
  <c r="C52" i="23"/>
  <c r="C53" i="23" s="1"/>
  <c r="D20" i="2" s="1"/>
  <c r="I47" i="28"/>
  <c r="AH18" i="48"/>
  <c r="I47" i="33"/>
  <c r="G16" i="48"/>
  <c r="C52" i="26"/>
  <c r="C53" i="26" s="1"/>
  <c r="C52" i="28"/>
  <c r="C53" i="28" s="1"/>
  <c r="AF9" i="48"/>
  <c r="AG9" i="48" s="1"/>
  <c r="C52" i="27"/>
  <c r="C53" i="27" s="1"/>
  <c r="AF10" i="48"/>
  <c r="AH10" i="48" s="1"/>
  <c r="C34" i="33"/>
  <c r="W6" i="57" s="1"/>
  <c r="D12" i="2"/>
  <c r="G10" i="48"/>
  <c r="E33" i="33"/>
  <c r="C52" i="29"/>
  <c r="C53" i="29" s="1"/>
  <c r="AF13" i="48"/>
  <c r="AH13" i="48" s="1"/>
  <c r="C15" i="33"/>
  <c r="J38" i="31"/>
  <c r="J47" i="33"/>
  <c r="D51" i="32"/>
  <c r="D51" i="31" s="1"/>
  <c r="D49" i="32"/>
  <c r="D49" i="31" s="1"/>
  <c r="E49" i="31" s="1"/>
  <c r="D47" i="32"/>
  <c r="E47" i="32" s="1"/>
  <c r="D45" i="32"/>
  <c r="E49" i="33"/>
  <c r="H10" i="48"/>
  <c r="C52" i="31"/>
  <c r="C53" i="31" s="1"/>
  <c r="J46" i="32"/>
  <c r="J47" i="32" s="1"/>
  <c r="D44" i="32"/>
  <c r="E44" i="32" s="1"/>
  <c r="D40" i="32"/>
  <c r="D34" i="33"/>
  <c r="C33" i="33"/>
  <c r="C52" i="32"/>
  <c r="C53" i="32" s="1"/>
  <c r="F15" i="48"/>
  <c r="C52" i="22"/>
  <c r="C53" i="22" s="1"/>
  <c r="C52" i="18"/>
  <c r="C53" i="18" s="1"/>
  <c r="C52" i="16"/>
  <c r="C53" i="16" s="1"/>
  <c r="C52" i="12"/>
  <c r="C53" i="12" s="1"/>
  <c r="C52" i="8"/>
  <c r="C53" i="8" s="1"/>
  <c r="V15" i="37"/>
  <c r="W15" i="37" s="1"/>
  <c r="V7" i="37"/>
  <c r="W7" i="37" s="1"/>
  <c r="C52" i="4"/>
  <c r="C53" i="4" s="1"/>
  <c r="E24" i="4"/>
  <c r="E15" i="4"/>
  <c r="D15" i="4"/>
  <c r="C52" i="43"/>
  <c r="C53" i="43" s="1"/>
  <c r="E16" i="48"/>
  <c r="AB12" i="48"/>
  <c r="G12" i="48"/>
  <c r="G14" i="48"/>
  <c r="H14" i="48"/>
  <c r="AB18" i="48"/>
  <c r="G18" i="48"/>
  <c r="AB20" i="48"/>
  <c r="H20" i="48"/>
  <c r="AB22" i="48"/>
  <c r="G28" i="48"/>
  <c r="H30" i="48"/>
  <c r="H34" i="48"/>
  <c r="G34" i="48"/>
  <c r="V36" i="48"/>
  <c r="AB36" i="48"/>
  <c r="V38" i="48"/>
  <c r="AB38" i="48"/>
  <c r="G38" i="48"/>
  <c r="H38" i="48"/>
  <c r="J44" i="33"/>
  <c r="J43" i="32"/>
  <c r="I44" i="18"/>
  <c r="I45" i="10"/>
  <c r="I44" i="4"/>
  <c r="C52" i="25"/>
  <c r="C53" i="25" s="1"/>
  <c r="C52" i="30"/>
  <c r="C53" i="30" s="1"/>
  <c r="C52" i="24"/>
  <c r="C53" i="24" s="1"/>
  <c r="D43" i="32"/>
  <c r="D43" i="31" s="1"/>
  <c r="D41" i="32"/>
  <c r="E41" i="32" s="1"/>
  <c r="F34" i="33"/>
  <c r="D33" i="33"/>
  <c r="I40" i="20"/>
  <c r="I48" i="20" s="1"/>
  <c r="E34" i="43"/>
  <c r="C15" i="43"/>
  <c r="V39" i="48"/>
  <c r="G39" i="48"/>
  <c r="E21" i="48"/>
  <c r="E22" i="48"/>
  <c r="E24" i="48"/>
  <c r="E39" i="48"/>
  <c r="C15" i="4"/>
  <c r="V15" i="4"/>
  <c r="W15" i="4" s="1"/>
  <c r="D33" i="43"/>
  <c r="D34" i="43"/>
  <c r="E20" i="48"/>
  <c r="E9" i="48"/>
  <c r="J37" i="33"/>
  <c r="E38" i="33"/>
  <c r="D38" i="32"/>
  <c r="E38" i="32" s="1"/>
  <c r="P41" i="48"/>
  <c r="E41" i="33"/>
  <c r="E45" i="33"/>
  <c r="D39" i="32"/>
  <c r="E39" i="32" s="1"/>
  <c r="E43" i="33"/>
  <c r="E47" i="33"/>
  <c r="E44" i="33"/>
  <c r="C52" i="33"/>
  <c r="C53" i="33" s="1"/>
  <c r="E50" i="33"/>
  <c r="D50" i="32"/>
  <c r="E40" i="33"/>
  <c r="D48" i="32"/>
  <c r="E48" i="32" s="1"/>
  <c r="D52" i="33"/>
  <c r="D53" i="33" s="1"/>
  <c r="D42" i="32"/>
  <c r="D46" i="32"/>
  <c r="E51" i="33"/>
  <c r="M20" i="11"/>
  <c r="M20" i="10" s="1"/>
  <c r="M20" i="9" s="1"/>
  <c r="M20" i="8" s="1"/>
  <c r="M20" i="7" s="1"/>
  <c r="M20" i="6" s="1"/>
  <c r="M20" i="37" s="1"/>
  <c r="M20" i="4" s="1"/>
  <c r="M20" i="43" s="1"/>
  <c r="E10" i="48"/>
  <c r="E11" i="48"/>
  <c r="E14" i="48"/>
  <c r="E19" i="48"/>
  <c r="E26" i="48"/>
  <c r="E34" i="48"/>
  <c r="E37" i="48"/>
  <c r="E38" i="48"/>
  <c r="E31" i="48"/>
  <c r="F35" i="48"/>
  <c r="G36" i="48"/>
  <c r="AH15" i="48"/>
  <c r="AB29" i="48"/>
  <c r="J32" i="25"/>
  <c r="J32" i="24"/>
  <c r="J32" i="23" s="1"/>
  <c r="F28" i="48"/>
  <c r="H35" i="48"/>
  <c r="H33" i="48"/>
  <c r="H23" i="48"/>
  <c r="G26" i="48"/>
  <c r="H11" i="48"/>
  <c r="Q10" i="48"/>
  <c r="AC9" i="48"/>
  <c r="I47" i="4"/>
  <c r="AF38" i="48"/>
  <c r="I47" i="37"/>
  <c r="AF37" i="48"/>
  <c r="I47" i="6"/>
  <c r="AF35" i="48"/>
  <c r="I47" i="8"/>
  <c r="I47" i="9"/>
  <c r="AF32" i="48"/>
  <c r="I48" i="10"/>
  <c r="AF31" i="48"/>
  <c r="I47" i="12"/>
  <c r="I47" i="13"/>
  <c r="AF28" i="48"/>
  <c r="AF27" i="48"/>
  <c r="AF26" i="48"/>
  <c r="I47" i="19"/>
  <c r="AF23" i="48"/>
  <c r="AF22" i="48"/>
  <c r="I47" i="23"/>
  <c r="I47" i="30"/>
  <c r="AF12" i="48"/>
  <c r="AH12" i="48" s="1"/>
  <c r="H36" i="48"/>
  <c r="H32" i="48"/>
  <c r="H12" i="48"/>
  <c r="H17" i="48"/>
  <c r="G24" i="48"/>
  <c r="H24" i="48"/>
  <c r="I47" i="22"/>
  <c r="AF25" i="48"/>
  <c r="AF14" i="48"/>
  <c r="AF20" i="48"/>
  <c r="I47" i="20"/>
  <c r="I47" i="14"/>
  <c r="AF39" i="48"/>
  <c r="I47" i="10"/>
  <c r="I47" i="11"/>
  <c r="I47" i="7"/>
  <c r="AH11" i="48"/>
  <c r="I47" i="31"/>
  <c r="AB16" i="48"/>
  <c r="H16" i="48"/>
  <c r="H26" i="48"/>
  <c r="AA6" i="57" l="1"/>
  <c r="AB6" i="57" s="1"/>
  <c r="X6" i="57"/>
  <c r="W163" i="46"/>
  <c r="W163" i="57"/>
  <c r="K34" i="4"/>
  <c r="I40" i="4" s="1"/>
  <c r="I48" i="4" s="1"/>
  <c r="J28" i="45"/>
  <c r="J27" i="45"/>
  <c r="J30" i="25"/>
  <c r="J30" i="24"/>
  <c r="J26" i="25"/>
  <c r="J26" i="24"/>
  <c r="J27" i="25"/>
  <c r="J27" i="24"/>
  <c r="J31" i="25"/>
  <c r="J31" i="24"/>
  <c r="J31" i="23" s="1"/>
  <c r="J31" i="21" s="1"/>
  <c r="J31" i="22" s="1"/>
  <c r="J31" i="20" s="1"/>
  <c r="J28" i="25"/>
  <c r="J28" i="24"/>
  <c r="J25" i="25"/>
  <c r="J25" i="24"/>
  <c r="D14" i="2" s="1"/>
  <c r="J29" i="25"/>
  <c r="J29" i="24"/>
  <c r="J24" i="25"/>
  <c r="J24" i="24"/>
  <c r="J24" i="23" s="1"/>
  <c r="J24" i="21" s="1"/>
  <c r="J24" i="22" s="1"/>
  <c r="J24" i="20" s="1"/>
  <c r="N17" i="45"/>
  <c r="F17" i="45"/>
  <c r="J17" i="45"/>
  <c r="J30" i="45"/>
  <c r="F30" i="45"/>
  <c r="D11" i="2"/>
  <c r="N14" i="45"/>
  <c r="D27" i="2"/>
  <c r="F34" i="45"/>
  <c r="F36" i="45"/>
  <c r="J23" i="45"/>
  <c r="N36" i="45"/>
  <c r="F24" i="45"/>
  <c r="AA18" i="46"/>
  <c r="AB18" i="46" s="1"/>
  <c r="X18" i="46"/>
  <c r="X12" i="46"/>
  <c r="AA12" i="46"/>
  <c r="AB12" i="46" s="1"/>
  <c r="N16" i="45"/>
  <c r="F18" i="45"/>
  <c r="J21" i="45"/>
  <c r="D35" i="4"/>
  <c r="N15" i="45"/>
  <c r="J18" i="45"/>
  <c r="N20" i="45"/>
  <c r="J15" i="45"/>
  <c r="N18" i="45"/>
  <c r="N19" i="45"/>
  <c r="A12" i="48"/>
  <c r="A12" i="2"/>
  <c r="D28" i="2"/>
  <c r="D16" i="2"/>
  <c r="D26" i="2"/>
  <c r="D25" i="2" s="1"/>
  <c r="D23" i="2"/>
  <c r="D22" i="2" s="1"/>
  <c r="F33" i="45"/>
  <c r="N33" i="45"/>
  <c r="D24" i="2"/>
  <c r="D33" i="2"/>
  <c r="J33" i="45"/>
  <c r="N29" i="45"/>
  <c r="J36" i="45"/>
  <c r="D31" i="2"/>
  <c r="N23" i="45"/>
  <c r="N24" i="45"/>
  <c r="D32" i="2"/>
  <c r="J25" i="45"/>
  <c r="D38" i="2"/>
  <c r="J20" i="45"/>
  <c r="F22" i="45"/>
  <c r="F27" i="45"/>
  <c r="J29" i="45"/>
  <c r="J22" i="45"/>
  <c r="F31" i="45"/>
  <c r="D35" i="2"/>
  <c r="N22" i="45"/>
  <c r="J31" i="45"/>
  <c r="E45" i="32"/>
  <c r="F25" i="45"/>
  <c r="N31" i="45"/>
  <c r="D19" i="2"/>
  <c r="N25" i="45"/>
  <c r="F32" i="45"/>
  <c r="D10" i="2"/>
  <c r="F20" i="45"/>
  <c r="N27" i="45"/>
  <c r="J34" i="45"/>
  <c r="N28" i="45"/>
  <c r="J24" i="45"/>
  <c r="N35" i="45"/>
  <c r="F35" i="45"/>
  <c r="N34" i="45"/>
  <c r="F23" i="45"/>
  <c r="F28" i="45"/>
  <c r="K7" i="33"/>
  <c r="M7" i="33" s="1"/>
  <c r="M34" i="33" s="1"/>
  <c r="J40" i="33" s="1"/>
  <c r="J48" i="33" s="1"/>
  <c r="W6" i="46"/>
  <c r="X6" i="46" s="1"/>
  <c r="N8" i="45"/>
  <c r="F8" i="45"/>
  <c r="J8" i="45"/>
  <c r="D39" i="2" s="1"/>
  <c r="J15" i="25"/>
  <c r="J15" i="24" s="1"/>
  <c r="J15" i="23" s="1"/>
  <c r="J15" i="21" s="1"/>
  <c r="J15" i="22" s="1"/>
  <c r="J15" i="20" s="1"/>
  <c r="D17" i="2"/>
  <c r="D30" i="2"/>
  <c r="D36" i="2"/>
  <c r="D41" i="1"/>
  <c r="C23" i="45"/>
  <c r="K23" i="45" s="1"/>
  <c r="E24" i="1"/>
  <c r="D37" i="2"/>
  <c r="J16" i="25"/>
  <c r="J16" i="24" s="1"/>
  <c r="J16" i="23" s="1"/>
  <c r="J16" i="21" s="1"/>
  <c r="J16" i="22" s="1"/>
  <c r="J16" i="20" s="1"/>
  <c r="D18" i="2"/>
  <c r="F16" i="45"/>
  <c r="N30" i="45"/>
  <c r="J35" i="45"/>
  <c r="D15" i="2"/>
  <c r="D40" i="2"/>
  <c r="Q37" i="45"/>
  <c r="J16" i="45"/>
  <c r="JE21" i="1"/>
  <c r="IS21" i="1"/>
  <c r="IG21" i="1"/>
  <c r="HU21" i="1"/>
  <c r="HI21" i="1"/>
  <c r="GW21" i="1"/>
  <c r="GK21" i="1"/>
  <c r="FY21" i="1"/>
  <c r="FM21" i="1"/>
  <c r="FA21" i="1"/>
  <c r="EO21" i="1"/>
  <c r="EC21" i="1"/>
  <c r="DQ21" i="1"/>
  <c r="DE21" i="1"/>
  <c r="CS21" i="1"/>
  <c r="CG21" i="1"/>
  <c r="BU21" i="1"/>
  <c r="BI21" i="1"/>
  <c r="AW21" i="1"/>
  <c r="AK21" i="1"/>
  <c r="Y21" i="1"/>
  <c r="M21" i="1"/>
  <c r="JB21" i="1"/>
  <c r="IA21" i="1"/>
  <c r="GZ21" i="1"/>
  <c r="FJ21" i="1"/>
  <c r="EI21" i="1"/>
  <c r="DH21" i="1"/>
  <c r="BR21" i="1"/>
  <c r="AQ21" i="1"/>
  <c r="P21" i="1"/>
  <c r="IM21" i="1"/>
  <c r="HL21" i="1"/>
  <c r="FV21" i="1"/>
  <c r="EU21" i="1"/>
  <c r="DT21" i="1"/>
  <c r="CD21" i="1"/>
  <c r="BC21" i="1"/>
  <c r="AB21" i="1"/>
  <c r="IY21" i="1"/>
  <c r="HX21" i="1"/>
  <c r="GH21" i="1"/>
  <c r="FG21" i="1"/>
  <c r="EF21" i="1"/>
  <c r="CP21" i="1"/>
  <c r="BO21" i="1"/>
  <c r="AN21" i="1"/>
  <c r="IJ21" i="1"/>
  <c r="GT21" i="1"/>
  <c r="FS21" i="1"/>
  <c r="ER21" i="1"/>
  <c r="DB21" i="1"/>
  <c r="CA21" i="1"/>
  <c r="AZ21" i="1"/>
  <c r="J21" i="1"/>
  <c r="IV21" i="1"/>
  <c r="HF21" i="1"/>
  <c r="GE21" i="1"/>
  <c r="FD21" i="1"/>
  <c r="DN21" i="1"/>
  <c r="CM21" i="1"/>
  <c r="BL21" i="1"/>
  <c r="V21" i="1"/>
  <c r="ID21" i="1"/>
  <c r="HC21" i="1"/>
  <c r="GB21" i="1"/>
  <c r="EL21" i="1"/>
  <c r="DK21" i="1"/>
  <c r="CJ21" i="1"/>
  <c r="AT21" i="1"/>
  <c r="S21" i="1"/>
  <c r="FP21" i="1"/>
  <c r="DZ21" i="1"/>
  <c r="AE21" i="1"/>
  <c r="IP21" i="1"/>
  <c r="G21" i="1"/>
  <c r="JH21" i="1"/>
  <c r="HR21" i="1"/>
  <c r="DW21" i="1"/>
  <c r="CY21" i="1"/>
  <c r="HO21" i="1"/>
  <c r="BX21" i="1"/>
  <c r="AH21" i="1"/>
  <c r="GQ21" i="1"/>
  <c r="EX21" i="1"/>
  <c r="GN21" i="1"/>
  <c r="BF21" i="1"/>
  <c r="CV21" i="1"/>
  <c r="F29" i="45"/>
  <c r="J32" i="45"/>
  <c r="C31" i="45"/>
  <c r="D34" i="2" s="1"/>
  <c r="E32" i="1"/>
  <c r="F15" i="45"/>
  <c r="N32" i="45"/>
  <c r="K34" i="37"/>
  <c r="I40" i="37" s="1"/>
  <c r="I48" i="37" s="1"/>
  <c r="J57" i="21"/>
  <c r="J57" i="22" s="1"/>
  <c r="J57" i="20" s="1"/>
  <c r="J57" i="19" s="1"/>
  <c r="J57" i="18" s="1"/>
  <c r="I40" i="8"/>
  <c r="K34" i="7"/>
  <c r="K34" i="9"/>
  <c r="I45" i="22"/>
  <c r="K34" i="12"/>
  <c r="K34" i="11"/>
  <c r="J57" i="32"/>
  <c r="J57" i="31" s="1"/>
  <c r="C35" i="13"/>
  <c r="I48" i="22"/>
  <c r="K34" i="16"/>
  <c r="K34" i="13"/>
  <c r="K34" i="14"/>
  <c r="I40" i="17"/>
  <c r="I48" i="17" s="1"/>
  <c r="K34" i="15"/>
  <c r="K34" i="19"/>
  <c r="C35" i="4"/>
  <c r="J21" i="23"/>
  <c r="J21" i="21" s="1"/>
  <c r="J21" i="22" s="1"/>
  <c r="J21" i="20" s="1"/>
  <c r="J9" i="23"/>
  <c r="J9" i="21" s="1"/>
  <c r="J9" i="22" s="1"/>
  <c r="J9" i="20" s="1"/>
  <c r="J28" i="23"/>
  <c r="J28" i="21" s="1"/>
  <c r="J28" i="22" s="1"/>
  <c r="J28" i="20" s="1"/>
  <c r="J30" i="23"/>
  <c r="J30" i="21" s="1"/>
  <c r="J30" i="22" s="1"/>
  <c r="J30" i="20" s="1"/>
  <c r="J25" i="23"/>
  <c r="J25" i="21" s="1"/>
  <c r="J25" i="22" s="1"/>
  <c r="J25" i="20" s="1"/>
  <c r="J11" i="23"/>
  <c r="J11" i="21" s="1"/>
  <c r="J11" i="22" s="1"/>
  <c r="J11" i="20" s="1"/>
  <c r="J19" i="23"/>
  <c r="J19" i="21" s="1"/>
  <c r="J19" i="22" s="1"/>
  <c r="J19" i="20" s="1"/>
  <c r="J20" i="23"/>
  <c r="J20" i="21" s="1"/>
  <c r="J20" i="22" s="1"/>
  <c r="J20" i="20" s="1"/>
  <c r="J14" i="23"/>
  <c r="J14" i="21" s="1"/>
  <c r="J14" i="22" s="1"/>
  <c r="J14" i="20" s="1"/>
  <c r="J23" i="23"/>
  <c r="J23" i="21" s="1"/>
  <c r="J23" i="22" s="1"/>
  <c r="J23" i="20" s="1"/>
  <c r="J22" i="23"/>
  <c r="J22" i="21" s="1"/>
  <c r="J22" i="22" s="1"/>
  <c r="J22" i="20" s="1"/>
  <c r="M9" i="25"/>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J26" i="23"/>
  <c r="J26" i="21" s="1"/>
  <c r="J26" i="22" s="1"/>
  <c r="J26" i="20" s="1"/>
  <c r="J27" i="23"/>
  <c r="J27" i="21" s="1"/>
  <c r="J27" i="22" s="1"/>
  <c r="J27" i="20" s="1"/>
  <c r="J12" i="23"/>
  <c r="J12" i="21" s="1"/>
  <c r="J12" i="22" s="1"/>
  <c r="J12" i="20" s="1"/>
  <c r="J29" i="23"/>
  <c r="J29" i="21" s="1"/>
  <c r="J29" i="22" s="1"/>
  <c r="J29" i="20" s="1"/>
  <c r="J10" i="23"/>
  <c r="J10" i="21" s="1"/>
  <c r="J10" i="22" s="1"/>
  <c r="J10" i="20" s="1"/>
  <c r="J17" i="23"/>
  <c r="J17" i="21" s="1"/>
  <c r="J17" i="22" s="1"/>
  <c r="J17" i="20" s="1"/>
  <c r="I40" i="21"/>
  <c r="R20" i="48" s="1"/>
  <c r="E20" i="1" s="1"/>
  <c r="J13" i="23"/>
  <c r="J13" i="21" s="1"/>
  <c r="J13" i="22" s="1"/>
  <c r="J13" i="20" s="1"/>
  <c r="K34" i="23"/>
  <c r="J18" i="23"/>
  <c r="J18" i="21" s="1"/>
  <c r="J18" i="22" s="1"/>
  <c r="J18" i="20" s="1"/>
  <c r="J8" i="23"/>
  <c r="J8" i="21" s="1"/>
  <c r="J8" i="22" s="1"/>
  <c r="J8" i="20" s="1"/>
  <c r="BC21" i="48"/>
  <c r="C20" i="45"/>
  <c r="K34" i="24"/>
  <c r="E35" i="4"/>
  <c r="K34" i="25"/>
  <c r="K34" i="26"/>
  <c r="C35" i="25"/>
  <c r="K34" i="28"/>
  <c r="D40" i="31"/>
  <c r="D40" i="30" s="1"/>
  <c r="K34" i="29"/>
  <c r="K34" i="30"/>
  <c r="E35" i="37"/>
  <c r="BC24" i="48"/>
  <c r="BC32" i="48"/>
  <c r="C35" i="37"/>
  <c r="D35" i="37"/>
  <c r="I51" i="43"/>
  <c r="R39" i="48"/>
  <c r="I45" i="43"/>
  <c r="I48" i="43"/>
  <c r="I32" i="48"/>
  <c r="K7" i="32"/>
  <c r="I51" i="6"/>
  <c r="I45" i="6"/>
  <c r="R36" i="48"/>
  <c r="E36" i="1" s="1"/>
  <c r="F38" i="45"/>
  <c r="J38" i="45"/>
  <c r="N38" i="45"/>
  <c r="J37" i="45"/>
  <c r="N37" i="45"/>
  <c r="F37" i="45"/>
  <c r="B40" i="45"/>
  <c r="J32" i="48"/>
  <c r="AD32" i="48"/>
  <c r="AG10" i="48"/>
  <c r="AG11" i="48" s="1"/>
  <c r="AG12" i="48" s="1"/>
  <c r="AG13" i="48" s="1"/>
  <c r="AG14" i="48" s="1"/>
  <c r="AG15" i="48" s="1"/>
  <c r="AG16" i="48" s="1"/>
  <c r="AG17" i="48" s="1"/>
  <c r="AG18" i="48" s="1"/>
  <c r="AG19" i="48" s="1"/>
  <c r="AG20" i="48" s="1"/>
  <c r="AG21" i="48" s="1"/>
  <c r="AG22" i="48" s="1"/>
  <c r="AG23" i="48" s="1"/>
  <c r="AG24" i="48" s="1"/>
  <c r="AG25" i="48" s="1"/>
  <c r="AG26" i="48" s="1"/>
  <c r="AG27" i="48" s="1"/>
  <c r="AG28" i="48" s="1"/>
  <c r="AG29" i="48" s="1"/>
  <c r="AG30" i="48" s="1"/>
  <c r="AG31" i="48" s="1"/>
  <c r="AG32" i="48" s="1"/>
  <c r="AG33" i="48" s="1"/>
  <c r="AG34" i="48" s="1"/>
  <c r="AG35" i="48" s="1"/>
  <c r="AG36" i="48" s="1"/>
  <c r="AG37" i="48" s="1"/>
  <c r="AG38" i="48" s="1"/>
  <c r="AG39" i="48" s="1"/>
  <c r="J56" i="33"/>
  <c r="J56" i="32" s="1"/>
  <c r="J56" i="31" s="1"/>
  <c r="E35" i="33"/>
  <c r="D35" i="13"/>
  <c r="C35" i="32"/>
  <c r="E35" i="28"/>
  <c r="M10" i="21"/>
  <c r="M10" i="22" s="1"/>
  <c r="M10" i="20" s="1"/>
  <c r="M10" i="19" s="1"/>
  <c r="M10" i="18" s="1"/>
  <c r="M10" i="17" s="1"/>
  <c r="M10" i="16" s="1"/>
  <c r="M10" i="15" s="1"/>
  <c r="M10" i="14" s="1"/>
  <c r="M10" i="13" s="1"/>
  <c r="M10" i="12" s="1"/>
  <c r="M10" i="11" s="1"/>
  <c r="M10" i="10" s="1"/>
  <c r="M10" i="9" s="1"/>
  <c r="M10" i="8" s="1"/>
  <c r="M10" i="7" s="1"/>
  <c r="M10" i="6" s="1"/>
  <c r="M10" i="37" s="1"/>
  <c r="M10" i="4" s="1"/>
  <c r="M10" i="43" s="1"/>
  <c r="J24" i="48"/>
  <c r="F33" i="48"/>
  <c r="F27" i="48"/>
  <c r="AJ24" i="48"/>
  <c r="I45" i="18"/>
  <c r="I48" i="18"/>
  <c r="AD24" i="48"/>
  <c r="I24" i="48"/>
  <c r="AD21" i="48"/>
  <c r="D35" i="25"/>
  <c r="E35" i="25"/>
  <c r="J46" i="31"/>
  <c r="J47" i="31" s="1"/>
  <c r="E35" i="32"/>
  <c r="J38" i="30"/>
  <c r="J38" i="29" s="1"/>
  <c r="J38" i="27" s="1"/>
  <c r="J38" i="28" s="1"/>
  <c r="J38" i="26" s="1"/>
  <c r="J38" i="25" s="1"/>
  <c r="J38" i="24" s="1"/>
  <c r="J38" i="23" s="1"/>
  <c r="J38" i="21" s="1"/>
  <c r="J38" i="22" s="1"/>
  <c r="J38" i="20" s="1"/>
  <c r="J38" i="19" s="1"/>
  <c r="J38" i="18" s="1"/>
  <c r="J38" i="17" s="1"/>
  <c r="J38" i="16" s="1"/>
  <c r="J38" i="15" s="1"/>
  <c r="J38" i="14" s="1"/>
  <c r="J38" i="13" s="1"/>
  <c r="J38" i="12" s="1"/>
  <c r="J38" i="11" s="1"/>
  <c r="J38" i="10" s="1"/>
  <c r="J38" i="9" s="1"/>
  <c r="J38" i="8" s="1"/>
  <c r="J38" i="7" s="1"/>
  <c r="J38" i="6" s="1"/>
  <c r="J38" i="37" s="1"/>
  <c r="J38" i="4" s="1"/>
  <c r="J38" i="43" s="1"/>
  <c r="D47" i="31"/>
  <c r="D47" i="30" s="1"/>
  <c r="D47" i="29" s="1"/>
  <c r="D45" i="31"/>
  <c r="D45" i="30" s="1"/>
  <c r="E45" i="30" s="1"/>
  <c r="E49" i="32"/>
  <c r="D35" i="32"/>
  <c r="M8" i="32"/>
  <c r="C35" i="33"/>
  <c r="E51" i="32"/>
  <c r="D39" i="31"/>
  <c r="D39" i="30" s="1"/>
  <c r="E39" i="30" s="1"/>
  <c r="E40" i="32"/>
  <c r="D41" i="31"/>
  <c r="E41" i="31" s="1"/>
  <c r="D44" i="31"/>
  <c r="D44" i="30" s="1"/>
  <c r="D44" i="29" s="1"/>
  <c r="D49" i="30"/>
  <c r="D49" i="29" s="1"/>
  <c r="AB41" i="48"/>
  <c r="E43" i="32"/>
  <c r="D35" i="33"/>
  <c r="E43" i="31"/>
  <c r="D43" i="30"/>
  <c r="D43" i="29" s="1"/>
  <c r="E43" i="29" s="1"/>
  <c r="F24" i="48"/>
  <c r="F22" i="48"/>
  <c r="F21" i="48"/>
  <c r="R22" i="48"/>
  <c r="E22" i="1" s="1"/>
  <c r="D35" i="28"/>
  <c r="C35" i="29"/>
  <c r="D35" i="29"/>
  <c r="I45" i="20"/>
  <c r="F39" i="48"/>
  <c r="C35" i="28"/>
  <c r="I21" i="48"/>
  <c r="AJ21" i="48"/>
  <c r="J21" i="48"/>
  <c r="E35" i="29"/>
  <c r="F20" i="48"/>
  <c r="D35" i="43"/>
  <c r="C35" i="43"/>
  <c r="I51" i="4"/>
  <c r="R38" i="48"/>
  <c r="E38" i="1" s="1"/>
  <c r="E35" i="43"/>
  <c r="E35" i="13"/>
  <c r="I45" i="4"/>
  <c r="J44" i="32"/>
  <c r="J43" i="31"/>
  <c r="F16" i="48"/>
  <c r="D48" i="31"/>
  <c r="E48" i="31" s="1"/>
  <c r="D52" i="32"/>
  <c r="D38" i="31"/>
  <c r="D38" i="30" s="1"/>
  <c r="E50" i="32"/>
  <c r="D50" i="31"/>
  <c r="E52" i="33"/>
  <c r="E53" i="33" s="1"/>
  <c r="D42" i="31"/>
  <c r="E42" i="32"/>
  <c r="D46" i="31"/>
  <c r="E46" i="32"/>
  <c r="E51" i="31"/>
  <c r="D51" i="30"/>
  <c r="F38" i="48"/>
  <c r="F34" i="48"/>
  <c r="F19" i="48"/>
  <c r="F14" i="48"/>
  <c r="F10" i="48"/>
  <c r="J39" i="33"/>
  <c r="J37" i="32"/>
  <c r="F31" i="48"/>
  <c r="F37" i="48"/>
  <c r="F26" i="48"/>
  <c r="F11" i="48"/>
  <c r="F9" i="48"/>
  <c r="AH39" i="48"/>
  <c r="AH14" i="48"/>
  <c r="AF41" i="48"/>
  <c r="AH26" i="48"/>
  <c r="AJ32" i="48"/>
  <c r="AH32" i="48"/>
  <c r="AH35" i="48"/>
  <c r="Q11" i="48"/>
  <c r="AC10" i="48"/>
  <c r="AH20" i="48"/>
  <c r="AH25" i="48"/>
  <c r="AH22" i="48"/>
  <c r="AH27" i="48"/>
  <c r="AH28" i="48"/>
  <c r="AH31" i="48"/>
  <c r="AH37" i="48"/>
  <c r="AH23" i="48"/>
  <c r="AH38" i="48"/>
  <c r="X163" i="57" l="1"/>
  <c r="X163" i="46"/>
  <c r="K31" i="45"/>
  <c r="A13" i="48"/>
  <c r="A13" i="2"/>
  <c r="G23" i="45"/>
  <c r="K34" i="33"/>
  <c r="I40" i="33" s="1"/>
  <c r="R9" i="48" s="1"/>
  <c r="AD9" i="48" s="1"/>
  <c r="R23" i="45"/>
  <c r="O23" i="45"/>
  <c r="D42" i="2"/>
  <c r="O31" i="45"/>
  <c r="I45" i="37"/>
  <c r="R37" i="48"/>
  <c r="E37" i="1" s="1"/>
  <c r="HX32" i="1"/>
  <c r="DN32" i="1"/>
  <c r="CV32" i="1"/>
  <c r="CD32" i="1"/>
  <c r="ID32" i="1"/>
  <c r="HL32" i="1"/>
  <c r="GT32" i="1"/>
  <c r="AT32" i="1"/>
  <c r="AB32" i="1"/>
  <c r="J32" i="1"/>
  <c r="FJ32" i="1"/>
  <c r="ER32" i="1"/>
  <c r="DZ32" i="1"/>
  <c r="IP32" i="1"/>
  <c r="CP32" i="1"/>
  <c r="BX32" i="1"/>
  <c r="BF32" i="1"/>
  <c r="IS32" i="1"/>
  <c r="HF32" i="1"/>
  <c r="GN32" i="1"/>
  <c r="FV32" i="1"/>
  <c r="V32" i="1"/>
  <c r="JB32" i="1"/>
  <c r="IJ32" i="1"/>
  <c r="HR32" i="1"/>
  <c r="BR32" i="1"/>
  <c r="AZ32" i="1"/>
  <c r="AH32" i="1"/>
  <c r="DT32" i="1"/>
  <c r="EL32" i="1"/>
  <c r="EX32" i="1"/>
  <c r="FP32" i="1"/>
  <c r="DB32" i="1"/>
  <c r="GH32" i="1"/>
  <c r="DH32" i="1"/>
  <c r="FD32" i="1"/>
  <c r="GZ32" i="1"/>
  <c r="AW32" i="1"/>
  <c r="EO32" i="1"/>
  <c r="IG32" i="1"/>
  <c r="BC32" i="1"/>
  <c r="EU32" i="1"/>
  <c r="IM32" i="1"/>
  <c r="IV32" i="1"/>
  <c r="AN32" i="1"/>
  <c r="CJ32" i="1"/>
  <c r="P32" i="1"/>
  <c r="GB32" i="1"/>
  <c r="BU32" i="1"/>
  <c r="FY32" i="1"/>
  <c r="JE32" i="1"/>
  <c r="AQ32" i="1"/>
  <c r="FG32" i="1"/>
  <c r="CG32" i="1"/>
  <c r="GK32" i="1"/>
  <c r="BO32" i="1"/>
  <c r="FS32" i="1"/>
  <c r="CS32" i="1"/>
  <c r="GW32" i="1"/>
  <c r="CA32" i="1"/>
  <c r="GE32" i="1"/>
  <c r="DE32" i="1"/>
  <c r="HI32" i="1"/>
  <c r="CM32" i="1"/>
  <c r="GQ32" i="1"/>
  <c r="EF32" i="1"/>
  <c r="M32" i="1"/>
  <c r="DQ32" i="1"/>
  <c r="HU32" i="1"/>
  <c r="CY32" i="1"/>
  <c r="HC32" i="1"/>
  <c r="BI32" i="1"/>
  <c r="S32" i="1"/>
  <c r="EC32" i="1"/>
  <c r="AE32" i="1"/>
  <c r="FA32" i="1"/>
  <c r="DK32" i="1"/>
  <c r="FM32" i="1"/>
  <c r="DW32" i="1"/>
  <c r="EI32" i="1"/>
  <c r="BL32" i="1"/>
  <c r="Y32" i="1"/>
  <c r="JH32" i="1"/>
  <c r="IA32" i="1"/>
  <c r="AK32" i="1"/>
  <c r="G32" i="1"/>
  <c r="IY32" i="1"/>
  <c r="HO32" i="1"/>
  <c r="HU24" i="1"/>
  <c r="GT24" i="1"/>
  <c r="FS24" i="1"/>
  <c r="EC24" i="1"/>
  <c r="DB24" i="1"/>
  <c r="CA24" i="1"/>
  <c r="IG24" i="1"/>
  <c r="HF24" i="1"/>
  <c r="GE24" i="1"/>
  <c r="EO24" i="1"/>
  <c r="DN24" i="1"/>
  <c r="CM24" i="1"/>
  <c r="AW24" i="1"/>
  <c r="AK24" i="1"/>
  <c r="Y24" i="1"/>
  <c r="M24" i="1"/>
  <c r="IS24" i="1"/>
  <c r="HR24" i="1"/>
  <c r="GQ24" i="1"/>
  <c r="FA24" i="1"/>
  <c r="DZ24" i="1"/>
  <c r="CY24" i="1"/>
  <c r="BI24" i="1"/>
  <c r="JE24" i="1"/>
  <c r="ID24" i="1"/>
  <c r="HC24" i="1"/>
  <c r="FM24" i="1"/>
  <c r="EL24" i="1"/>
  <c r="DK24" i="1"/>
  <c r="BU24" i="1"/>
  <c r="AT24" i="1"/>
  <c r="AH24" i="1"/>
  <c r="V24" i="1"/>
  <c r="J24" i="1"/>
  <c r="IP24" i="1"/>
  <c r="HO24" i="1"/>
  <c r="FY24" i="1"/>
  <c r="EX24" i="1"/>
  <c r="DW24" i="1"/>
  <c r="CG24" i="1"/>
  <c r="BF24" i="1"/>
  <c r="JB24" i="1"/>
  <c r="IA24" i="1"/>
  <c r="GK24" i="1"/>
  <c r="FJ24" i="1"/>
  <c r="EI24" i="1"/>
  <c r="CS24" i="1"/>
  <c r="BR24" i="1"/>
  <c r="AQ24" i="1"/>
  <c r="AE24" i="1"/>
  <c r="S24" i="1"/>
  <c r="G24" i="1"/>
  <c r="BO24" i="1"/>
  <c r="AB24" i="1"/>
  <c r="IM24" i="1"/>
  <c r="GW24" i="1"/>
  <c r="JH24" i="1"/>
  <c r="FG24" i="1"/>
  <c r="DQ24" i="1"/>
  <c r="CD24" i="1"/>
  <c r="AN24" i="1"/>
  <c r="IY24" i="1"/>
  <c r="HI24" i="1"/>
  <c r="FV24" i="1"/>
  <c r="EU24" i="1"/>
  <c r="P24" i="1"/>
  <c r="GH24" i="1"/>
  <c r="BC24" i="1"/>
  <c r="DE24" i="1"/>
  <c r="CP24" i="1"/>
  <c r="AZ24" i="1"/>
  <c r="ER24" i="1"/>
  <c r="IJ24" i="1"/>
  <c r="BL24" i="1"/>
  <c r="FD24" i="1"/>
  <c r="IV24" i="1"/>
  <c r="CJ24" i="1"/>
  <c r="GB24" i="1"/>
  <c r="CV24" i="1"/>
  <c r="HX24" i="1"/>
  <c r="DH24" i="1"/>
  <c r="DT24" i="1"/>
  <c r="EF24" i="1"/>
  <c r="FP24" i="1"/>
  <c r="GZ24" i="1"/>
  <c r="BX24" i="1"/>
  <c r="HL24" i="1"/>
  <c r="GN24" i="1"/>
  <c r="I51" i="37"/>
  <c r="G38" i="1"/>
  <c r="JB38" i="1"/>
  <c r="AW38" i="1"/>
  <c r="EO38" i="1"/>
  <c r="IG38" i="1"/>
  <c r="CJ38" i="1"/>
  <c r="GB38" i="1"/>
  <c r="CM38" i="1"/>
  <c r="GE38" i="1"/>
  <c r="BR38" i="1"/>
  <c r="FJ38" i="1"/>
  <c r="BU38" i="1"/>
  <c r="FM38" i="1"/>
  <c r="JE38" i="1"/>
  <c r="CG38" i="1"/>
  <c r="FY38" i="1"/>
  <c r="AB38" i="1"/>
  <c r="DT38" i="1"/>
  <c r="HL38" i="1"/>
  <c r="AK38" i="1"/>
  <c r="GW38" i="1"/>
  <c r="CV38" i="1"/>
  <c r="HX38" i="1"/>
  <c r="DK38" i="1"/>
  <c r="HO38" i="1"/>
  <c r="AT38" i="1"/>
  <c r="EX38" i="1"/>
  <c r="BI38" i="1"/>
  <c r="HI38" i="1"/>
  <c r="DH38" i="1"/>
  <c r="IJ38" i="1"/>
  <c r="S38" i="1"/>
  <c r="DW38" i="1"/>
  <c r="IA38" i="1"/>
  <c r="BF38" i="1"/>
  <c r="FV38" i="1"/>
  <c r="GH38" i="1"/>
  <c r="CS38" i="1"/>
  <c r="HU38" i="1"/>
  <c r="EF38" i="1"/>
  <c r="IV38" i="1"/>
  <c r="AE38" i="1"/>
  <c r="EI38" i="1"/>
  <c r="IM38" i="1"/>
  <c r="CD38" i="1"/>
  <c r="DE38" i="1"/>
  <c r="IS38" i="1"/>
  <c r="P38" i="1"/>
  <c r="ER38" i="1"/>
  <c r="EU38" i="1"/>
  <c r="CP38" i="1"/>
  <c r="GT38" i="1"/>
  <c r="JH38" i="1"/>
  <c r="AQ38" i="1"/>
  <c r="IY38" i="1"/>
  <c r="DQ38" i="1"/>
  <c r="AN38" i="1"/>
  <c r="FD38" i="1"/>
  <c r="BC38" i="1"/>
  <c r="FG38" i="1"/>
  <c r="DB38" i="1"/>
  <c r="HF38" i="1"/>
  <c r="M38" i="1"/>
  <c r="FA38" i="1"/>
  <c r="BL38" i="1"/>
  <c r="GN38" i="1"/>
  <c r="CA38" i="1"/>
  <c r="GQ38" i="1"/>
  <c r="V38" i="1"/>
  <c r="DZ38" i="1"/>
  <c r="ID38" i="1"/>
  <c r="Y38" i="1"/>
  <c r="GK38" i="1"/>
  <c r="BX38" i="1"/>
  <c r="GZ38" i="1"/>
  <c r="CY38" i="1"/>
  <c r="HC38" i="1"/>
  <c r="FP38" i="1"/>
  <c r="FS38" i="1"/>
  <c r="HR38" i="1"/>
  <c r="IP38" i="1"/>
  <c r="EC38" i="1"/>
  <c r="BO38" i="1"/>
  <c r="AZ38" i="1"/>
  <c r="J38" i="1"/>
  <c r="AH38" i="1"/>
  <c r="EL38" i="1"/>
  <c r="DN38" i="1"/>
  <c r="JH22" i="1"/>
  <c r="IV22" i="1"/>
  <c r="IJ22" i="1"/>
  <c r="HX22" i="1"/>
  <c r="HL22" i="1"/>
  <c r="GZ22" i="1"/>
  <c r="GN22" i="1"/>
  <c r="GB22" i="1"/>
  <c r="FP22" i="1"/>
  <c r="FD22" i="1"/>
  <c r="ER22" i="1"/>
  <c r="EF22" i="1"/>
  <c r="DT22" i="1"/>
  <c r="DH22" i="1"/>
  <c r="CV22" i="1"/>
  <c r="CJ22" i="1"/>
  <c r="BX22" i="1"/>
  <c r="BL22" i="1"/>
  <c r="AZ22" i="1"/>
  <c r="AN22" i="1"/>
  <c r="AB22" i="1"/>
  <c r="P22"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V22" i="1"/>
  <c r="J22" i="1"/>
  <c r="FS22" i="1"/>
  <c r="CA22" i="1"/>
  <c r="HC22" i="1"/>
  <c r="DK22" i="1"/>
  <c r="S22" i="1"/>
  <c r="IM22" i="1"/>
  <c r="EU22" i="1"/>
  <c r="BC22" i="1"/>
  <c r="GE22" i="1"/>
  <c r="CM22" i="1"/>
  <c r="HO22" i="1"/>
  <c r="DW22" i="1"/>
  <c r="AE22" i="1"/>
  <c r="GQ22" i="1"/>
  <c r="CY22" i="1"/>
  <c r="G22" i="1"/>
  <c r="IY22" i="1"/>
  <c r="IA22" i="1"/>
  <c r="FG22" i="1"/>
  <c r="BO22" i="1"/>
  <c r="EI22" i="1"/>
  <c r="AQ22" i="1"/>
  <c r="IY20" i="1"/>
  <c r="IM20" i="1"/>
  <c r="IA20" i="1"/>
  <c r="HO20" i="1"/>
  <c r="HC20" i="1"/>
  <c r="GQ20" i="1"/>
  <c r="GE20" i="1"/>
  <c r="FS20" i="1"/>
  <c r="FG20" i="1"/>
  <c r="EU20" i="1"/>
  <c r="EI20" i="1"/>
  <c r="DW20" i="1"/>
  <c r="DK20" i="1"/>
  <c r="CY20" i="1"/>
  <c r="CM20" i="1"/>
  <c r="CA20" i="1"/>
  <c r="BO20" i="1"/>
  <c r="BC20" i="1"/>
  <c r="AQ20" i="1"/>
  <c r="AE20" i="1"/>
  <c r="S20" i="1"/>
  <c r="G20" i="1"/>
  <c r="JH20" i="1"/>
  <c r="IV20" i="1"/>
  <c r="IJ20" i="1"/>
  <c r="HX20" i="1"/>
  <c r="HL20" i="1"/>
  <c r="GZ20" i="1"/>
  <c r="GN20" i="1"/>
  <c r="GB20" i="1"/>
  <c r="FP20" i="1"/>
  <c r="FD20" i="1"/>
  <c r="ER20" i="1"/>
  <c r="EF20" i="1"/>
  <c r="DT20" i="1"/>
  <c r="DH20" i="1"/>
  <c r="JE20" i="1"/>
  <c r="IS20" i="1"/>
  <c r="IG20" i="1"/>
  <c r="HU20" i="1"/>
  <c r="HI20" i="1"/>
  <c r="GW20" i="1"/>
  <c r="GK20" i="1"/>
  <c r="FY20" i="1"/>
  <c r="FM20" i="1"/>
  <c r="FA20" i="1"/>
  <c r="EO20" i="1"/>
  <c r="EC20" i="1"/>
  <c r="DQ20" i="1"/>
  <c r="DE20" i="1"/>
  <c r="ID20" i="1"/>
  <c r="EL20" i="1"/>
  <c r="BX20" i="1"/>
  <c r="AW20" i="1"/>
  <c r="V20" i="1"/>
  <c r="FV20" i="1"/>
  <c r="CJ20" i="1"/>
  <c r="BI20" i="1"/>
  <c r="AH20" i="1"/>
  <c r="HF20" i="1"/>
  <c r="DN20" i="1"/>
  <c r="CV20" i="1"/>
  <c r="BU20" i="1"/>
  <c r="AT20" i="1"/>
  <c r="IP20" i="1"/>
  <c r="EX20" i="1"/>
  <c r="CG20" i="1"/>
  <c r="BF20" i="1"/>
  <c r="P20" i="1"/>
  <c r="GH20" i="1"/>
  <c r="CS20" i="1"/>
  <c r="BR20" i="1"/>
  <c r="AB20" i="1"/>
  <c r="JB20" i="1"/>
  <c r="FJ20" i="1"/>
  <c r="CP20" i="1"/>
  <c r="AZ20" i="1"/>
  <c r="Y20" i="1"/>
  <c r="DZ20" i="1"/>
  <c r="DB20" i="1"/>
  <c r="BL20" i="1"/>
  <c r="CD20" i="1"/>
  <c r="AN20" i="1"/>
  <c r="AK20" i="1"/>
  <c r="HR20" i="1"/>
  <c r="GT20" i="1"/>
  <c r="M20" i="1"/>
  <c r="J20" i="1"/>
  <c r="R31" i="45"/>
  <c r="GT36" i="1"/>
  <c r="AT36" i="1"/>
  <c r="AE36" i="1"/>
  <c r="HR36" i="1"/>
  <c r="FJ36" i="1"/>
  <c r="EL36" i="1"/>
  <c r="CD36" i="1"/>
  <c r="AQ36" i="1"/>
  <c r="JB36" i="1"/>
  <c r="Y36" i="1"/>
  <c r="J36" i="1"/>
  <c r="ID36" i="1"/>
  <c r="FV36" i="1"/>
  <c r="DN36" i="1"/>
  <c r="HF36" i="1"/>
  <c r="CP36" i="1"/>
  <c r="BR36" i="1"/>
  <c r="IY36" i="1"/>
  <c r="DZ36" i="1"/>
  <c r="V36" i="1"/>
  <c r="GH36" i="1"/>
  <c r="AK36" i="1"/>
  <c r="S36" i="1"/>
  <c r="BF36" i="1"/>
  <c r="G36" i="1"/>
  <c r="EX36" i="1"/>
  <c r="AH36" i="1"/>
  <c r="IP36" i="1"/>
  <c r="DB36" i="1"/>
  <c r="DE36" i="1"/>
  <c r="GW36" i="1"/>
  <c r="CV36" i="1"/>
  <c r="GN36" i="1"/>
  <c r="M36" i="1"/>
  <c r="DQ36" i="1"/>
  <c r="HI36" i="1"/>
  <c r="P36" i="1"/>
  <c r="DH36" i="1"/>
  <c r="GZ36" i="1"/>
  <c r="BO36" i="1"/>
  <c r="FG36" i="1"/>
  <c r="EC36" i="1"/>
  <c r="HU36" i="1"/>
  <c r="DT36" i="1"/>
  <c r="HL36" i="1"/>
  <c r="AW36" i="1"/>
  <c r="EO36" i="1"/>
  <c r="IG36" i="1"/>
  <c r="AN36" i="1"/>
  <c r="EF36" i="1"/>
  <c r="HX36" i="1"/>
  <c r="CM36" i="1"/>
  <c r="GE36" i="1"/>
  <c r="BI36" i="1"/>
  <c r="FA36" i="1"/>
  <c r="IS36" i="1"/>
  <c r="AZ36" i="1"/>
  <c r="ER36" i="1"/>
  <c r="IJ36" i="1"/>
  <c r="CY36" i="1"/>
  <c r="GQ36" i="1"/>
  <c r="BU36" i="1"/>
  <c r="IV36" i="1"/>
  <c r="FS36" i="1"/>
  <c r="CG36" i="1"/>
  <c r="AB36" i="1"/>
  <c r="JH36" i="1"/>
  <c r="HC36" i="1"/>
  <c r="CS36" i="1"/>
  <c r="BL36" i="1"/>
  <c r="BC36" i="1"/>
  <c r="HO36" i="1"/>
  <c r="FM36" i="1"/>
  <c r="BX36" i="1"/>
  <c r="CA36" i="1"/>
  <c r="IA36" i="1"/>
  <c r="FY36" i="1"/>
  <c r="CJ36" i="1"/>
  <c r="DK36" i="1"/>
  <c r="IM36" i="1"/>
  <c r="JE36" i="1"/>
  <c r="FP36" i="1"/>
  <c r="EI36" i="1"/>
  <c r="GB36" i="1"/>
  <c r="EU36" i="1"/>
  <c r="FD36" i="1"/>
  <c r="GK36" i="1"/>
  <c r="DW36" i="1"/>
  <c r="BC39" i="48"/>
  <c r="E39" i="1"/>
  <c r="BC9" i="48"/>
  <c r="E9" i="1"/>
  <c r="G31" i="45"/>
  <c r="BC37" i="48"/>
  <c r="I40" i="9"/>
  <c r="I48" i="9" s="1"/>
  <c r="R34" i="48"/>
  <c r="E34" i="1" s="1"/>
  <c r="I45" i="8"/>
  <c r="I48" i="8"/>
  <c r="I40" i="7"/>
  <c r="BC36" i="48"/>
  <c r="C35" i="45"/>
  <c r="E40" i="31"/>
  <c r="I45" i="17"/>
  <c r="I48" i="21"/>
  <c r="R25" i="48"/>
  <c r="AD25" i="48" s="1"/>
  <c r="I45" i="21"/>
  <c r="I40" i="13"/>
  <c r="I40" i="12"/>
  <c r="AJ39" i="48"/>
  <c r="I40" i="11"/>
  <c r="I40" i="19"/>
  <c r="I40" i="16"/>
  <c r="I40" i="15"/>
  <c r="I40" i="14"/>
  <c r="J15" i="19"/>
  <c r="J17" i="19"/>
  <c r="J29" i="19"/>
  <c r="J30" i="19"/>
  <c r="J18" i="19"/>
  <c r="J14" i="19"/>
  <c r="J28" i="19"/>
  <c r="J27" i="19"/>
  <c r="J20" i="19"/>
  <c r="J9" i="19"/>
  <c r="J26" i="19"/>
  <c r="J19" i="19"/>
  <c r="J21" i="19"/>
  <c r="J23" i="19"/>
  <c r="J10" i="19"/>
  <c r="J11" i="19"/>
  <c r="J16" i="19"/>
  <c r="K57" i="33"/>
  <c r="J45" i="33"/>
  <c r="J13" i="19"/>
  <c r="J24" i="19"/>
  <c r="J25" i="19"/>
  <c r="J8" i="19"/>
  <c r="J31" i="19"/>
  <c r="J12" i="19"/>
  <c r="J41" i="33"/>
  <c r="J22" i="19"/>
  <c r="I40" i="24"/>
  <c r="R18" i="48" s="1"/>
  <c r="C17" i="45" s="1"/>
  <c r="I40" i="23"/>
  <c r="I40" i="25"/>
  <c r="K56" i="33"/>
  <c r="BC20" i="48"/>
  <c r="C19" i="45"/>
  <c r="BC22" i="48"/>
  <c r="C21" i="45"/>
  <c r="K20" i="45"/>
  <c r="O20" i="45"/>
  <c r="G20" i="45"/>
  <c r="R20" i="45"/>
  <c r="AD20" i="48"/>
  <c r="I40" i="26"/>
  <c r="K34" i="27"/>
  <c r="I40" i="28"/>
  <c r="I40" i="29"/>
  <c r="I40" i="30"/>
  <c r="W168" i="57"/>
  <c r="K34" i="31"/>
  <c r="AA6" i="46"/>
  <c r="AB6" i="46" s="1"/>
  <c r="E25" i="2"/>
  <c r="BM25" i="2" s="1"/>
  <c r="AJ9" i="48"/>
  <c r="E33" i="2"/>
  <c r="BM33" i="2" s="1"/>
  <c r="AJ38" i="48"/>
  <c r="BC38" i="48"/>
  <c r="I39" i="48"/>
  <c r="AD39" i="48"/>
  <c r="C38" i="45"/>
  <c r="X39" i="48"/>
  <c r="J39" i="48"/>
  <c r="C8" i="45"/>
  <c r="O8" i="45" s="1"/>
  <c r="I9" i="48"/>
  <c r="I45" i="33"/>
  <c r="S9" i="48"/>
  <c r="BD9" i="48" s="1"/>
  <c r="I48" i="33"/>
  <c r="M7" i="32"/>
  <c r="M7" i="31" s="1"/>
  <c r="M7" i="30" s="1"/>
  <c r="M7" i="29" s="1"/>
  <c r="M7" i="27" s="1"/>
  <c r="D53" i="32"/>
  <c r="J46" i="30"/>
  <c r="J46" i="29" s="1"/>
  <c r="K34" i="32"/>
  <c r="J40" i="45"/>
  <c r="N40" i="45"/>
  <c r="F40" i="45"/>
  <c r="Q40" i="45"/>
  <c r="AJ20" i="48"/>
  <c r="I36" i="48"/>
  <c r="AD36" i="48"/>
  <c r="AJ36" i="48"/>
  <c r="J36" i="48"/>
  <c r="X36" i="48"/>
  <c r="C37" i="45"/>
  <c r="E22" i="2"/>
  <c r="BM22" i="2" s="1"/>
  <c r="AJ22" i="48"/>
  <c r="I49" i="33"/>
  <c r="J20" i="48"/>
  <c r="I20" i="48"/>
  <c r="E45" i="31"/>
  <c r="D45" i="29"/>
  <c r="D45" i="27" s="1"/>
  <c r="E45" i="27" s="1"/>
  <c r="E47" i="31"/>
  <c r="E47" i="30"/>
  <c r="D39" i="29"/>
  <c r="D39" i="27" s="1"/>
  <c r="E39" i="27" s="1"/>
  <c r="M8" i="31"/>
  <c r="E39" i="31"/>
  <c r="E44" i="31"/>
  <c r="D43" i="27"/>
  <c r="E43" i="27" s="1"/>
  <c r="E43" i="30"/>
  <c r="D41" i="30"/>
  <c r="E41" i="30" s="1"/>
  <c r="E44" i="30"/>
  <c r="E49" i="30"/>
  <c r="D48" i="30"/>
  <c r="E48" i="30" s="1"/>
  <c r="J56" i="30"/>
  <c r="I38" i="48"/>
  <c r="J38" i="48"/>
  <c r="X38" i="48"/>
  <c r="AD38" i="48"/>
  <c r="J43" i="30"/>
  <c r="J44" i="31"/>
  <c r="I22" i="48"/>
  <c r="J22" i="48"/>
  <c r="AD22" i="48"/>
  <c r="L41" i="48"/>
  <c r="H41" i="48" s="1"/>
  <c r="E38" i="31"/>
  <c r="E38" i="30"/>
  <c r="D38" i="29"/>
  <c r="E50" i="31"/>
  <c r="D50" i="30"/>
  <c r="D47" i="27"/>
  <c r="E47" i="29"/>
  <c r="D42" i="30"/>
  <c r="E42" i="31"/>
  <c r="D52" i="31"/>
  <c r="D53" i="31" s="1"/>
  <c r="E46" i="31"/>
  <c r="D46" i="30"/>
  <c r="E52" i="32"/>
  <c r="E53" i="32" s="1"/>
  <c r="D44" i="27"/>
  <c r="E44" i="29"/>
  <c r="D40" i="29"/>
  <c r="E40" i="30"/>
  <c r="D51" i="29"/>
  <c r="E51" i="30"/>
  <c r="J57" i="30"/>
  <c r="J37" i="31"/>
  <c r="J39" i="32"/>
  <c r="D49" i="27"/>
  <c r="E49" i="29"/>
  <c r="AH41" i="48"/>
  <c r="J57" i="17"/>
  <c r="AC11" i="48"/>
  <c r="Q12" i="48"/>
  <c r="J9" i="18" l="1"/>
  <c r="J9" i="17" s="1"/>
  <c r="J9" i="16" s="1"/>
  <c r="J9" i="15" s="1"/>
  <c r="J9" i="13" s="1"/>
  <c r="J9" i="12" s="1"/>
  <c r="J9" i="11" s="1"/>
  <c r="J9" i="10" s="1"/>
  <c r="J17" i="18"/>
  <c r="J17" i="17" s="1"/>
  <c r="J17" i="16" s="1"/>
  <c r="J17" i="15" s="1"/>
  <c r="J17" i="14" s="1"/>
  <c r="J17" i="13" s="1"/>
  <c r="J17" i="12" s="1"/>
  <c r="J12" i="18"/>
  <c r="J12" i="17" s="1"/>
  <c r="J12" i="16" s="1"/>
  <c r="J12" i="15" s="1"/>
  <c r="J12" i="14" s="1"/>
  <c r="J12" i="13" s="1"/>
  <c r="J12" i="12" s="1"/>
  <c r="J16" i="18"/>
  <c r="J16" i="17" s="1"/>
  <c r="J16" i="16" s="1"/>
  <c r="J16" i="15" s="1"/>
  <c r="J16" i="14" s="1"/>
  <c r="J16" i="13" s="1"/>
  <c r="J16" i="12" s="1"/>
  <c r="J20" i="18"/>
  <c r="J20" i="17" s="1"/>
  <c r="J20" i="16" s="1"/>
  <c r="J20" i="15" s="1"/>
  <c r="J20" i="14" s="1"/>
  <c r="J20" i="13" s="1"/>
  <c r="J20" i="12" s="1"/>
  <c r="J20" i="11" s="1"/>
  <c r="J20" i="10" s="1"/>
  <c r="J15" i="18"/>
  <c r="J15" i="17" s="1"/>
  <c r="J15" i="16" s="1"/>
  <c r="J15" i="15" s="1"/>
  <c r="J15" i="14" s="1"/>
  <c r="J15" i="13" s="1"/>
  <c r="J15" i="12" s="1"/>
  <c r="J31" i="18"/>
  <c r="J31" i="17" s="1"/>
  <c r="J31" i="16" s="1"/>
  <c r="J31" i="15" s="1"/>
  <c r="J31" i="14" s="1"/>
  <c r="J31" i="13" s="1"/>
  <c r="J31" i="12" s="1"/>
  <c r="J31" i="11" s="1"/>
  <c r="J31" i="10" s="1"/>
  <c r="J31" i="9" s="1"/>
  <c r="J31" i="8" s="1"/>
  <c r="J31" i="7" s="1"/>
  <c r="J31" i="6" s="1"/>
  <c r="J31" i="37" s="1"/>
  <c r="J31" i="4" s="1"/>
  <c r="J31" i="43" s="1"/>
  <c r="J11" i="17"/>
  <c r="J11" i="16" s="1"/>
  <c r="J11" i="15" s="1"/>
  <c r="J11" i="14" s="1"/>
  <c r="J11" i="13" s="1"/>
  <c r="J11" i="12" s="1"/>
  <c r="J11" i="18"/>
  <c r="J27" i="18"/>
  <c r="J27" i="17" s="1"/>
  <c r="J27" i="16" s="1"/>
  <c r="J27" i="15" s="1"/>
  <c r="J27" i="14" s="1"/>
  <c r="J27" i="13" s="1"/>
  <c r="J27" i="12" s="1"/>
  <c r="J27" i="11" s="1"/>
  <c r="J27" i="10" s="1"/>
  <c r="J27" i="9" s="1"/>
  <c r="J27" i="8" s="1"/>
  <c r="J27" i="7" s="1"/>
  <c r="J27" i="6" s="1"/>
  <c r="J27" i="37" s="1"/>
  <c r="J27" i="4" s="1"/>
  <c r="J27" i="43" s="1"/>
  <c r="J8" i="18"/>
  <c r="J8" i="17" s="1"/>
  <c r="J8" i="16" s="1"/>
  <c r="J8" i="15" s="1"/>
  <c r="J8" i="13" s="1"/>
  <c r="J8" i="12" s="1"/>
  <c r="J8" i="11" s="1"/>
  <c r="J8" i="10" s="1"/>
  <c r="J10" i="18"/>
  <c r="J10" i="17" s="1"/>
  <c r="J10" i="16" s="1"/>
  <c r="J10" i="15" s="1"/>
  <c r="J10" i="14" s="1"/>
  <c r="J10" i="12" s="1"/>
  <c r="J28" i="18"/>
  <c r="J28" i="17" s="1"/>
  <c r="J28" i="16" s="1"/>
  <c r="J28" i="15" s="1"/>
  <c r="J28" i="14" s="1"/>
  <c r="J28" i="13" s="1"/>
  <c r="J28" i="12" s="1"/>
  <c r="J28" i="11" s="1"/>
  <c r="J28" i="10" s="1"/>
  <c r="J28" i="9" s="1"/>
  <c r="J28" i="8" s="1"/>
  <c r="J28" i="7" s="1"/>
  <c r="J28" i="6" s="1"/>
  <c r="J28" i="37" s="1"/>
  <c r="J28" i="4" s="1"/>
  <c r="J28" i="43" s="1"/>
  <c r="J25" i="18"/>
  <c r="J25" i="17" s="1"/>
  <c r="J25" i="16" s="1"/>
  <c r="J25" i="15" s="1"/>
  <c r="J25" i="14" s="1"/>
  <c r="J25" i="13" s="1"/>
  <c r="J25" i="12" s="1"/>
  <c r="J25" i="11" s="1"/>
  <c r="J25" i="10" s="1"/>
  <c r="J23" i="18"/>
  <c r="J23" i="17" s="1"/>
  <c r="J23" i="16" s="1"/>
  <c r="J23" i="15" s="1"/>
  <c r="J23" i="14" s="1"/>
  <c r="J23" i="13" s="1"/>
  <c r="J23" i="12" s="1"/>
  <c r="J23" i="11" s="1"/>
  <c r="J23" i="10" s="1"/>
  <c r="J14" i="18"/>
  <c r="J14" i="17" s="1"/>
  <c r="J14" i="16" s="1"/>
  <c r="J14" i="15" s="1"/>
  <c r="J14" i="14" s="1"/>
  <c r="J14" i="13" s="1"/>
  <c r="J14" i="12" s="1"/>
  <c r="J24" i="18"/>
  <c r="J24" i="17" s="1"/>
  <c r="J24" i="16" s="1"/>
  <c r="J24" i="15" s="1"/>
  <c r="J24" i="14" s="1"/>
  <c r="J24" i="13" s="1"/>
  <c r="J24" i="12" s="1"/>
  <c r="J24" i="11" s="1"/>
  <c r="J24" i="10" s="1"/>
  <c r="J21" i="18"/>
  <c r="J21" i="17" s="1"/>
  <c r="J21" i="16" s="1"/>
  <c r="J21" i="15" s="1"/>
  <c r="J21" i="14" s="1"/>
  <c r="J21" i="13" s="1"/>
  <c r="J21" i="12" s="1"/>
  <c r="J21" i="11" s="1"/>
  <c r="J21" i="10" s="1"/>
  <c r="J18" i="18"/>
  <c r="J18" i="17" s="1"/>
  <c r="J18" i="16" s="1"/>
  <c r="J18" i="15" s="1"/>
  <c r="J18" i="14" s="1"/>
  <c r="J18" i="13" s="1"/>
  <c r="J18" i="12" s="1"/>
  <c r="J13" i="18"/>
  <c r="J13" i="17" s="1"/>
  <c r="J13" i="16" s="1"/>
  <c r="J13" i="15" s="1"/>
  <c r="J13" i="14" s="1"/>
  <c r="J13" i="13" s="1"/>
  <c r="J13" i="12" s="1"/>
  <c r="J19" i="18"/>
  <c r="J19" i="17" s="1"/>
  <c r="J19" i="16" s="1"/>
  <c r="J19" i="15" s="1"/>
  <c r="J19" i="14" s="1"/>
  <c r="J19" i="13" s="1"/>
  <c r="J19" i="12" s="1"/>
  <c r="J30" i="18"/>
  <c r="J30" i="17" s="1"/>
  <c r="J30" i="16" s="1"/>
  <c r="J30" i="15" s="1"/>
  <c r="J30" i="14" s="1"/>
  <c r="J30" i="13" s="1"/>
  <c r="J30" i="12" s="1"/>
  <c r="J30" i="11" s="1"/>
  <c r="J30" i="10" s="1"/>
  <c r="J30" i="9" s="1"/>
  <c r="J30" i="8" s="1"/>
  <c r="J30" i="7" s="1"/>
  <c r="J30" i="6" s="1"/>
  <c r="J30" i="37" s="1"/>
  <c r="J30" i="4" s="1"/>
  <c r="J30" i="43" s="1"/>
  <c r="J22" i="18"/>
  <c r="J22" i="17" s="1"/>
  <c r="J22" i="16" s="1"/>
  <c r="J22" i="15" s="1"/>
  <c r="J22" i="14" s="1"/>
  <c r="J22" i="13" s="1"/>
  <c r="J22" i="12" s="1"/>
  <c r="J22" i="11" s="1"/>
  <c r="J22" i="10" s="1"/>
  <c r="J26" i="18"/>
  <c r="J26" i="17" s="1"/>
  <c r="J26" i="16" s="1"/>
  <c r="J26" i="15" s="1"/>
  <c r="J26" i="14" s="1"/>
  <c r="J26" i="13" s="1"/>
  <c r="J26" i="12" s="1"/>
  <c r="J26" i="11" s="1"/>
  <c r="J26" i="10" s="1"/>
  <c r="J26" i="9" s="1"/>
  <c r="J26" i="8" s="1"/>
  <c r="J26" i="7" s="1"/>
  <c r="J26" i="6" s="1"/>
  <c r="J26" i="37" s="1"/>
  <c r="J26" i="4" s="1"/>
  <c r="J26" i="43" s="1"/>
  <c r="J29" i="18"/>
  <c r="J29" i="17" s="1"/>
  <c r="J29" i="16" s="1"/>
  <c r="J29" i="15" s="1"/>
  <c r="J29" i="14" s="1"/>
  <c r="J29" i="13" s="1"/>
  <c r="J29" i="12" s="1"/>
  <c r="J29" i="11" s="1"/>
  <c r="J29" i="10" s="1"/>
  <c r="J29" i="9" s="1"/>
  <c r="J29" i="8" s="1"/>
  <c r="J29" i="7" s="1"/>
  <c r="J29" i="6" s="1"/>
  <c r="J29" i="37" s="1"/>
  <c r="J29" i="4" s="1"/>
  <c r="J29" i="43" s="1"/>
  <c r="A14" i="48"/>
  <c r="A14" i="2"/>
  <c r="J37" i="48"/>
  <c r="AJ37" i="48"/>
  <c r="X37" i="48"/>
  <c r="AD37" i="48"/>
  <c r="I37" i="48"/>
  <c r="I45" i="9"/>
  <c r="C36" i="45"/>
  <c r="AJ25" i="48"/>
  <c r="J25" i="48"/>
  <c r="I25" i="48"/>
  <c r="R33" i="48"/>
  <c r="E33" i="1" s="1"/>
  <c r="CP33" i="1" s="1"/>
  <c r="C24" i="45"/>
  <c r="O24" i="45" s="1"/>
  <c r="E25" i="1"/>
  <c r="E26" i="2" s="1"/>
  <c r="BM26" i="2" s="1"/>
  <c r="JB9" i="1"/>
  <c r="HF9" i="1"/>
  <c r="FJ9" i="1"/>
  <c r="DN9" i="1"/>
  <c r="CV9" i="1"/>
  <c r="AZ9" i="1"/>
  <c r="IJ9" i="1"/>
  <c r="FV9" i="1"/>
  <c r="FD9" i="1"/>
  <c r="BF9" i="1"/>
  <c r="AN9" i="1"/>
  <c r="HR9" i="1"/>
  <c r="GZ9" i="1"/>
  <c r="EL9" i="1"/>
  <c r="DB9" i="1"/>
  <c r="CJ9" i="1"/>
  <c r="V9" i="1"/>
  <c r="IY9" i="1"/>
  <c r="IP9" i="1"/>
  <c r="GB9" i="1"/>
  <c r="GN9" i="1"/>
  <c r="IV9" i="1"/>
  <c r="GH9" i="1"/>
  <c r="DT9" i="1"/>
  <c r="BR9" i="1"/>
  <c r="ID9" i="1"/>
  <c r="FP9" i="1"/>
  <c r="EX9" i="1"/>
  <c r="AH9" i="1"/>
  <c r="BL9" i="1"/>
  <c r="DZ9" i="1"/>
  <c r="BX9" i="1"/>
  <c r="J9" i="1"/>
  <c r="HL9" i="1"/>
  <c r="GT9" i="1"/>
  <c r="EF9" i="1"/>
  <c r="CD9" i="1"/>
  <c r="P9" i="1"/>
  <c r="JH9" i="1"/>
  <c r="AT9" i="1"/>
  <c r="HX9" i="1"/>
  <c r="ER9" i="1"/>
  <c r="DH9" i="1"/>
  <c r="CP9" i="1"/>
  <c r="AB9" i="1"/>
  <c r="BU9" i="1"/>
  <c r="FM9" i="1"/>
  <c r="JE9" i="1"/>
  <c r="AE9" i="1"/>
  <c r="DW9" i="1"/>
  <c r="HO9" i="1"/>
  <c r="CG9" i="1"/>
  <c r="FY9" i="1"/>
  <c r="AQ9" i="1"/>
  <c r="EI9" i="1"/>
  <c r="IA9" i="1"/>
  <c r="CS9" i="1"/>
  <c r="GK9" i="1"/>
  <c r="BC9" i="1"/>
  <c r="EU9" i="1"/>
  <c r="IM9" i="1"/>
  <c r="M9" i="1"/>
  <c r="DE9" i="1"/>
  <c r="GW9" i="1"/>
  <c r="BO9" i="1"/>
  <c r="FG9" i="1"/>
  <c r="Y9" i="1"/>
  <c r="DQ9" i="1"/>
  <c r="HI9" i="1"/>
  <c r="CA9" i="1"/>
  <c r="FS9" i="1"/>
  <c r="AW9" i="1"/>
  <c r="EO9" i="1"/>
  <c r="IG9" i="1"/>
  <c r="G9" i="1"/>
  <c r="CY9" i="1"/>
  <c r="GQ9" i="1"/>
  <c r="HU9" i="1"/>
  <c r="DK9" i="1"/>
  <c r="IS9" i="1"/>
  <c r="GE9" i="1"/>
  <c r="HC9" i="1"/>
  <c r="AK9" i="1"/>
  <c r="EC9" i="1"/>
  <c r="S9" i="1"/>
  <c r="CM9" i="1"/>
  <c r="BI9" i="1"/>
  <c r="FA9" i="1"/>
  <c r="BC18" i="48"/>
  <c r="E18" i="1"/>
  <c r="JB39" i="1"/>
  <c r="BU39" i="1"/>
  <c r="FM39" i="1"/>
  <c r="JE39" i="1"/>
  <c r="P39" i="1"/>
  <c r="DH39" i="1"/>
  <c r="GZ39" i="1"/>
  <c r="S39" i="1"/>
  <c r="DK39" i="1"/>
  <c r="HC39" i="1"/>
  <c r="J39" i="1"/>
  <c r="DB39" i="1"/>
  <c r="GT39" i="1"/>
  <c r="CS39" i="1"/>
  <c r="GK39" i="1"/>
  <c r="M39" i="1"/>
  <c r="DE39" i="1"/>
  <c r="GW39" i="1"/>
  <c r="AZ39" i="1"/>
  <c r="ER39" i="1"/>
  <c r="CG39" i="1"/>
  <c r="IG39" i="1"/>
  <c r="CJ39" i="1"/>
  <c r="HL39" i="1"/>
  <c r="BO39" i="1"/>
  <c r="FS39" i="1"/>
  <c r="V39" i="1"/>
  <c r="DZ39" i="1"/>
  <c r="ID39" i="1"/>
  <c r="DQ39" i="1"/>
  <c r="IS39" i="1"/>
  <c r="CV39" i="1"/>
  <c r="HX39" i="1"/>
  <c r="CA39" i="1"/>
  <c r="GE39" i="1"/>
  <c r="AH39" i="1"/>
  <c r="EL39" i="1"/>
  <c r="IP39" i="1"/>
  <c r="CY39" i="1"/>
  <c r="EC39" i="1"/>
  <c r="DT39" i="1"/>
  <c r="IJ39" i="1"/>
  <c r="CM39" i="1"/>
  <c r="GQ39" i="1"/>
  <c r="AT39" i="1"/>
  <c r="EX39" i="1"/>
  <c r="EF39" i="1"/>
  <c r="IV39" i="1"/>
  <c r="HO39" i="1"/>
  <c r="FJ39" i="1"/>
  <c r="EO39" i="1"/>
  <c r="BF39" i="1"/>
  <c r="Y39" i="1"/>
  <c r="FA39" i="1"/>
  <c r="AB39" i="1"/>
  <c r="FD39" i="1"/>
  <c r="JH39" i="1"/>
  <c r="G39" i="1"/>
  <c r="DW39" i="1"/>
  <c r="IA39" i="1"/>
  <c r="BR39" i="1"/>
  <c r="FV39" i="1"/>
  <c r="AW39" i="1"/>
  <c r="HI39" i="1"/>
  <c r="BL39" i="1"/>
  <c r="GB39" i="1"/>
  <c r="AQ39" i="1"/>
  <c r="EU39" i="1"/>
  <c r="IY39" i="1"/>
  <c r="CP39" i="1"/>
  <c r="HF39" i="1"/>
  <c r="BI39" i="1"/>
  <c r="HU39" i="1"/>
  <c r="BX39" i="1"/>
  <c r="GN39" i="1"/>
  <c r="AN39" i="1"/>
  <c r="AE39" i="1"/>
  <c r="BC39" i="1"/>
  <c r="CD39" i="1"/>
  <c r="IM39" i="1"/>
  <c r="FP39" i="1"/>
  <c r="EI39" i="1"/>
  <c r="DN39" i="1"/>
  <c r="FY39" i="1"/>
  <c r="HR39" i="1"/>
  <c r="AK39" i="1"/>
  <c r="FG39" i="1"/>
  <c r="GH39" i="1"/>
  <c r="IP34" i="1"/>
  <c r="HR34" i="1"/>
  <c r="GE34" i="1"/>
  <c r="EX34" i="1"/>
  <c r="EI34" i="1"/>
  <c r="DB34" i="1"/>
  <c r="CM34" i="1"/>
  <c r="BF34" i="1"/>
  <c r="AQ34" i="1"/>
  <c r="J34" i="1"/>
  <c r="JB34" i="1"/>
  <c r="FJ34" i="1"/>
  <c r="EU34" i="1"/>
  <c r="DN34" i="1"/>
  <c r="CY34" i="1"/>
  <c r="BR34" i="1"/>
  <c r="BC34" i="1"/>
  <c r="V34" i="1"/>
  <c r="G34" i="1"/>
  <c r="ID34" i="1"/>
  <c r="IY34" i="1"/>
  <c r="HF34" i="1"/>
  <c r="DW34" i="1"/>
  <c r="AE34" i="1"/>
  <c r="FG34" i="1"/>
  <c r="EL34" i="1"/>
  <c r="BO34" i="1"/>
  <c r="AT34" i="1"/>
  <c r="FV34" i="1"/>
  <c r="CD34" i="1"/>
  <c r="FS34" i="1"/>
  <c r="CA34" i="1"/>
  <c r="GH34" i="1"/>
  <c r="DK34" i="1"/>
  <c r="CP34" i="1"/>
  <c r="S34" i="1"/>
  <c r="DZ34" i="1"/>
  <c r="AH34" i="1"/>
  <c r="GT34" i="1"/>
  <c r="CS34" i="1"/>
  <c r="GK34" i="1"/>
  <c r="AZ34" i="1"/>
  <c r="ER34" i="1"/>
  <c r="IJ34" i="1"/>
  <c r="M34" i="1"/>
  <c r="DE34" i="1"/>
  <c r="GW34" i="1"/>
  <c r="BL34" i="1"/>
  <c r="FD34" i="1"/>
  <c r="IV34" i="1"/>
  <c r="GQ34" i="1"/>
  <c r="Y34" i="1"/>
  <c r="DQ34" i="1"/>
  <c r="HI34" i="1"/>
  <c r="BX34" i="1"/>
  <c r="FP34" i="1"/>
  <c r="JH34" i="1"/>
  <c r="AK34" i="1"/>
  <c r="EC34" i="1"/>
  <c r="HU34" i="1"/>
  <c r="CJ34" i="1"/>
  <c r="GB34" i="1"/>
  <c r="HO34" i="1"/>
  <c r="AW34" i="1"/>
  <c r="EO34" i="1"/>
  <c r="IG34" i="1"/>
  <c r="CV34" i="1"/>
  <c r="GN34" i="1"/>
  <c r="IA34" i="1"/>
  <c r="JE34" i="1"/>
  <c r="AB34" i="1"/>
  <c r="BI34" i="1"/>
  <c r="AN34" i="1"/>
  <c r="HC34" i="1"/>
  <c r="BU34" i="1"/>
  <c r="DH34" i="1"/>
  <c r="IM34" i="1"/>
  <c r="DT34" i="1"/>
  <c r="CG34" i="1"/>
  <c r="FA34" i="1"/>
  <c r="EF34" i="1"/>
  <c r="FY34" i="1"/>
  <c r="HL34" i="1"/>
  <c r="IS34" i="1"/>
  <c r="P34" i="1"/>
  <c r="HX34" i="1"/>
  <c r="FM34" i="1"/>
  <c r="GZ34" i="1"/>
  <c r="FJ37" i="1"/>
  <c r="DB37" i="1"/>
  <c r="AT37" i="1"/>
  <c r="HF37" i="1"/>
  <c r="BI37" i="1"/>
  <c r="V37" i="1"/>
  <c r="EI37" i="1"/>
  <c r="BX37" i="1"/>
  <c r="EX37" i="1"/>
  <c r="CM37" i="1"/>
  <c r="AK37" i="1"/>
  <c r="M37" i="1"/>
  <c r="BR37" i="1"/>
  <c r="J37" i="1"/>
  <c r="AH37" i="1"/>
  <c r="Y37" i="1"/>
  <c r="AW37" i="1"/>
  <c r="CY37" i="1"/>
  <c r="AB37" i="1"/>
  <c r="IY37" i="1"/>
  <c r="FG37" i="1"/>
  <c r="GB37" i="1"/>
  <c r="CJ37" i="1"/>
  <c r="FY37" i="1"/>
  <c r="CG37" i="1"/>
  <c r="DN37" i="1"/>
  <c r="AN37" i="1"/>
  <c r="IM37" i="1"/>
  <c r="JH37" i="1"/>
  <c r="FP37" i="1"/>
  <c r="JE37" i="1"/>
  <c r="FM37" i="1"/>
  <c r="BU37" i="1"/>
  <c r="G37" i="1"/>
  <c r="BF37" i="1"/>
  <c r="EU37" i="1"/>
  <c r="AZ37" i="1"/>
  <c r="IA37" i="1"/>
  <c r="IV37" i="1"/>
  <c r="FD37" i="1"/>
  <c r="IS37" i="1"/>
  <c r="FA37" i="1"/>
  <c r="CA37" i="1"/>
  <c r="BL37" i="1"/>
  <c r="HO37" i="1"/>
  <c r="IJ37" i="1"/>
  <c r="ER37" i="1"/>
  <c r="IG37" i="1"/>
  <c r="EO37" i="1"/>
  <c r="CP37" i="1"/>
  <c r="AE37" i="1"/>
  <c r="JB37" i="1"/>
  <c r="HC37" i="1"/>
  <c r="HX37" i="1"/>
  <c r="EF37" i="1"/>
  <c r="HU37" i="1"/>
  <c r="EC37" i="1"/>
  <c r="DW37" i="1"/>
  <c r="AQ37" i="1"/>
  <c r="CD37" i="1"/>
  <c r="FS37" i="1"/>
  <c r="GW37" i="1"/>
  <c r="IP37" i="1"/>
  <c r="HL37" i="1"/>
  <c r="GK37" i="1"/>
  <c r="P37" i="1"/>
  <c r="GZ37" i="1"/>
  <c r="DQ37" i="1"/>
  <c r="GN37" i="1"/>
  <c r="DE37" i="1"/>
  <c r="ID37" i="1"/>
  <c r="DT37" i="1"/>
  <c r="CS37" i="1"/>
  <c r="GQ37" i="1"/>
  <c r="CV37" i="1"/>
  <c r="FV37" i="1"/>
  <c r="BC37" i="1"/>
  <c r="DZ37" i="1"/>
  <c r="GH37" i="1"/>
  <c r="GE37" i="1"/>
  <c r="HI37" i="1"/>
  <c r="BO37" i="1"/>
  <c r="GT37" i="1"/>
  <c r="S37" i="1"/>
  <c r="HR37" i="1"/>
  <c r="DH37" i="1"/>
  <c r="EL37" i="1"/>
  <c r="DK37" i="1"/>
  <c r="BC25" i="48"/>
  <c r="R24" i="45"/>
  <c r="G24" i="45"/>
  <c r="K24" i="45"/>
  <c r="G36" i="45"/>
  <c r="O36" i="45"/>
  <c r="K36" i="45"/>
  <c r="R36" i="45"/>
  <c r="C33" i="45"/>
  <c r="I34" i="48"/>
  <c r="J34" i="48"/>
  <c r="BC34" i="48"/>
  <c r="AD34" i="48"/>
  <c r="AJ34" i="48"/>
  <c r="O35" i="45"/>
  <c r="G35" i="45"/>
  <c r="K35" i="45"/>
  <c r="R35" i="45"/>
  <c r="R35" i="48"/>
  <c r="E35" i="1" s="1"/>
  <c r="I48" i="7"/>
  <c r="I45" i="7"/>
  <c r="I48" i="24"/>
  <c r="I48" i="11"/>
  <c r="I45" i="11"/>
  <c r="R31" i="48"/>
  <c r="E31" i="1" s="1"/>
  <c r="I45" i="13"/>
  <c r="R29" i="48"/>
  <c r="E29" i="1" s="1"/>
  <c r="I48" i="13"/>
  <c r="I48" i="12"/>
  <c r="I45" i="12"/>
  <c r="R30" i="48"/>
  <c r="E30" i="1" s="1"/>
  <c r="W168" i="46"/>
  <c r="X168" i="46" s="1"/>
  <c r="F42" i="55" s="1"/>
  <c r="G42" i="55" s="1"/>
  <c r="H42" i="55" s="1"/>
  <c r="I45" i="16"/>
  <c r="I48" i="16"/>
  <c r="R26" i="48"/>
  <c r="E26" i="1" s="1"/>
  <c r="I48" i="19"/>
  <c r="R23" i="48"/>
  <c r="E23" i="1" s="1"/>
  <c r="I45" i="19"/>
  <c r="I45" i="15"/>
  <c r="R27" i="48"/>
  <c r="E27" i="1" s="1"/>
  <c r="I48" i="15"/>
  <c r="I48" i="14"/>
  <c r="R28" i="48"/>
  <c r="E28" i="1" s="1"/>
  <c r="I45" i="14"/>
  <c r="I45" i="24"/>
  <c r="R17" i="48"/>
  <c r="E17" i="1" s="1"/>
  <c r="I45" i="25"/>
  <c r="I48" i="25"/>
  <c r="G19" i="45"/>
  <c r="O19" i="45"/>
  <c r="K19" i="45"/>
  <c r="R19" i="45"/>
  <c r="AD18" i="48"/>
  <c r="J18" i="48"/>
  <c r="I18" i="48"/>
  <c r="AJ18" i="48"/>
  <c r="R19" i="48"/>
  <c r="E19" i="1" s="1"/>
  <c r="I45" i="23"/>
  <c r="I48" i="23"/>
  <c r="E21" i="2"/>
  <c r="BM21" i="2" s="1"/>
  <c r="O21" i="45"/>
  <c r="G21" i="45"/>
  <c r="K21" i="45"/>
  <c r="R21" i="45"/>
  <c r="O17" i="45"/>
  <c r="K17" i="45"/>
  <c r="G17" i="45"/>
  <c r="R17" i="45"/>
  <c r="I48" i="26"/>
  <c r="R16" i="48"/>
  <c r="E16" i="1" s="1"/>
  <c r="I45" i="26"/>
  <c r="R15" i="48"/>
  <c r="I45" i="28"/>
  <c r="I48" i="28"/>
  <c r="I40" i="27"/>
  <c r="I16" i="47" s="1"/>
  <c r="I40" i="32"/>
  <c r="I45" i="32" s="1"/>
  <c r="I40" i="31"/>
  <c r="R11" i="48" s="1"/>
  <c r="I45" i="29"/>
  <c r="R13" i="48"/>
  <c r="I48" i="29"/>
  <c r="I48" i="30"/>
  <c r="R12" i="48"/>
  <c r="I45" i="30"/>
  <c r="M34" i="32"/>
  <c r="AK9" i="48"/>
  <c r="X173" i="57"/>
  <c r="X171" i="57"/>
  <c r="X168" i="57"/>
  <c r="O42" i="55" s="1"/>
  <c r="P42" i="55" s="1"/>
  <c r="Q42" i="55" s="1"/>
  <c r="AE9" i="48"/>
  <c r="J47" i="30"/>
  <c r="E10" i="2"/>
  <c r="F10" i="2" s="1"/>
  <c r="BN10" i="2" s="1"/>
  <c r="E23" i="2"/>
  <c r="BM23" i="2" s="1"/>
  <c r="E40" i="2"/>
  <c r="BM40" i="2" s="1"/>
  <c r="E39" i="2"/>
  <c r="BM39" i="2" s="1"/>
  <c r="R38" i="45"/>
  <c r="G38" i="45"/>
  <c r="O38" i="45"/>
  <c r="K38" i="45"/>
  <c r="G8" i="45"/>
  <c r="R8" i="45"/>
  <c r="K8" i="45"/>
  <c r="E37" i="2"/>
  <c r="BM37" i="2" s="1"/>
  <c r="E38" i="2"/>
  <c r="BM38" i="2" s="1"/>
  <c r="G37" i="45"/>
  <c r="O37" i="45"/>
  <c r="K37" i="45"/>
  <c r="R37" i="45"/>
  <c r="H9" i="48"/>
  <c r="I50" i="33"/>
  <c r="J49" i="33"/>
  <c r="I51" i="33"/>
  <c r="U9" i="48"/>
  <c r="V9" i="48"/>
  <c r="X9" i="48"/>
  <c r="I49" i="31"/>
  <c r="E45" i="29"/>
  <c r="M9" i="48"/>
  <c r="K9" i="48" s="1"/>
  <c r="J9" i="48"/>
  <c r="AH9" i="48"/>
  <c r="J5" i="56"/>
  <c r="I49" i="8"/>
  <c r="I49" i="17"/>
  <c r="I49" i="18"/>
  <c r="I49" i="28"/>
  <c r="I49" i="29"/>
  <c r="D45" i="28"/>
  <c r="D45" i="26" s="1"/>
  <c r="I49" i="30"/>
  <c r="E39" i="29"/>
  <c r="D39" i="28"/>
  <c r="E39" i="28" s="1"/>
  <c r="D43" i="28"/>
  <c r="E43" i="28" s="1"/>
  <c r="M8" i="30"/>
  <c r="M34" i="31"/>
  <c r="D48" i="29"/>
  <c r="E48" i="29" s="1"/>
  <c r="D41" i="29"/>
  <c r="J43" i="29"/>
  <c r="J44" i="30"/>
  <c r="J56" i="29"/>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G9" i="48"/>
  <c r="N41" i="48"/>
  <c r="G41" i="48" s="1"/>
  <c r="E52" i="31"/>
  <c r="E53" i="31" s="1"/>
  <c r="D38" i="27"/>
  <c r="E38" i="29"/>
  <c r="D50" i="29"/>
  <c r="E50" i="30"/>
  <c r="D42" i="29"/>
  <c r="E42" i="30"/>
  <c r="D47" i="28"/>
  <c r="E47" i="27"/>
  <c r="D52" i="30"/>
  <c r="D53" i="30" s="1"/>
  <c r="D46" i="29"/>
  <c r="E46" i="30"/>
  <c r="D51" i="27"/>
  <c r="E51" i="29"/>
  <c r="D40" i="27"/>
  <c r="E40" i="29"/>
  <c r="E44" i="27"/>
  <c r="D44" i="28"/>
  <c r="J39" i="31"/>
  <c r="J37" i="30"/>
  <c r="J57" i="29"/>
  <c r="D49" i="28"/>
  <c r="E49" i="27"/>
  <c r="J57" i="16"/>
  <c r="M7" i="28"/>
  <c r="AC12" i="48"/>
  <c r="Q13" i="48"/>
  <c r="J47" i="29"/>
  <c r="J46" i="27"/>
  <c r="CG33" i="1" l="1"/>
  <c r="DN33" i="1"/>
  <c r="BO33" i="1"/>
  <c r="HR33" i="1"/>
  <c r="GN33" i="1"/>
  <c r="GE33" i="1"/>
  <c r="AW33" i="1"/>
  <c r="FS33" i="1"/>
  <c r="DQ33" i="1"/>
  <c r="EF33" i="1"/>
  <c r="J33" i="48"/>
  <c r="HU33" i="1"/>
  <c r="CV33" i="1"/>
  <c r="M33" i="1"/>
  <c r="AN33" i="1"/>
  <c r="GZ33" i="1"/>
  <c r="HF33" i="1"/>
  <c r="FG33" i="1"/>
  <c r="IM33" i="1"/>
  <c r="GT33" i="1"/>
  <c r="GH33" i="1"/>
  <c r="I33" i="48"/>
  <c r="FP33" i="1"/>
  <c r="IS33" i="1"/>
  <c r="IJ33" i="1"/>
  <c r="GK33" i="1"/>
  <c r="DH33" i="1"/>
  <c r="V33" i="1"/>
  <c r="IY33" i="1"/>
  <c r="HC33" i="1"/>
  <c r="IA33" i="1"/>
  <c r="HO33" i="1"/>
  <c r="AD33" i="48"/>
  <c r="EO33" i="1"/>
  <c r="Y33" i="1"/>
  <c r="ER33" i="1"/>
  <c r="CS33" i="1"/>
  <c r="P33" i="1"/>
  <c r="G33" i="1"/>
  <c r="BR33" i="1"/>
  <c r="J33" i="1"/>
  <c r="IP33" i="1"/>
  <c r="ID33" i="1"/>
  <c r="AJ33" i="48"/>
  <c r="EC33" i="1"/>
  <c r="IV33" i="1"/>
  <c r="AZ33" i="1"/>
  <c r="HL33" i="1"/>
  <c r="JE33" i="1"/>
  <c r="CD33" i="1"/>
  <c r="AH33" i="1"/>
  <c r="AQ33" i="1"/>
  <c r="AE33" i="1"/>
  <c r="C32" i="45"/>
  <c r="GB33" i="1"/>
  <c r="CJ33" i="1"/>
  <c r="FD33" i="1"/>
  <c r="GW33" i="1"/>
  <c r="DT33" i="1"/>
  <c r="FM33" i="1"/>
  <c r="CY33" i="1"/>
  <c r="BC33" i="1"/>
  <c r="BF33" i="1"/>
  <c r="AT33" i="1"/>
  <c r="BC33" i="48"/>
  <c r="FA33" i="1"/>
  <c r="BI33" i="1"/>
  <c r="BL33" i="1"/>
  <c r="DE33" i="1"/>
  <c r="AB33" i="1"/>
  <c r="BU33" i="1"/>
  <c r="FV33" i="1"/>
  <c r="DZ33" i="1"/>
  <c r="CM33" i="1"/>
  <c r="DW33" i="1"/>
  <c r="IG33" i="1"/>
  <c r="BX33" i="1"/>
  <c r="HI33" i="1"/>
  <c r="HX33" i="1"/>
  <c r="FY33" i="1"/>
  <c r="AK33" i="1"/>
  <c r="GQ33" i="1"/>
  <c r="EU33" i="1"/>
  <c r="DB33" i="1"/>
  <c r="EL33" i="1"/>
  <c r="FJ33" i="1"/>
  <c r="S33" i="1"/>
  <c r="EI33" i="1"/>
  <c r="CA33" i="1"/>
  <c r="JH33" i="1"/>
  <c r="JB33" i="1"/>
  <c r="DK33" i="1"/>
  <c r="EX33" i="1"/>
  <c r="A15" i="48"/>
  <c r="A15" i="2"/>
  <c r="E13" i="1"/>
  <c r="IV13" i="1" s="1"/>
  <c r="C12" i="45"/>
  <c r="E12" i="1"/>
  <c r="CP12" i="1" s="1"/>
  <c r="C11" i="45"/>
  <c r="E11" i="1"/>
  <c r="CY11" i="1" s="1"/>
  <c r="C10" i="45"/>
  <c r="JE16" i="1"/>
  <c r="IS16" i="1"/>
  <c r="IG16" i="1"/>
  <c r="HU16" i="1"/>
  <c r="HI16" i="1"/>
  <c r="GW16" i="1"/>
  <c r="GK16" i="1"/>
  <c r="FY16" i="1"/>
  <c r="FM16" i="1"/>
  <c r="FA16" i="1"/>
  <c r="EO16" i="1"/>
  <c r="EC16" i="1"/>
  <c r="DQ16" i="1"/>
  <c r="DE16" i="1"/>
  <c r="CS16" i="1"/>
  <c r="CG16" i="1"/>
  <c r="BU16" i="1"/>
  <c r="BI16" i="1"/>
  <c r="AW16" i="1"/>
  <c r="AK16" i="1"/>
  <c r="Y16" i="1"/>
  <c r="M16" i="1"/>
  <c r="JB16" i="1"/>
  <c r="IP16" i="1"/>
  <c r="ID16" i="1"/>
  <c r="HR16" i="1"/>
  <c r="HF16" i="1"/>
  <c r="GT16" i="1"/>
  <c r="GH16" i="1"/>
  <c r="FV16" i="1"/>
  <c r="FJ16" i="1"/>
  <c r="EX16" i="1"/>
  <c r="EL16" i="1"/>
  <c r="DZ16" i="1"/>
  <c r="DN16" i="1"/>
  <c r="DB16" i="1"/>
  <c r="CP16" i="1"/>
  <c r="CD16" i="1"/>
  <c r="BR16" i="1"/>
  <c r="BF16" i="1"/>
  <c r="AT16" i="1"/>
  <c r="AH16" i="1"/>
  <c r="V16" i="1"/>
  <c r="J16" i="1"/>
  <c r="IY16" i="1"/>
  <c r="IM16" i="1"/>
  <c r="IA16" i="1"/>
  <c r="HO16" i="1"/>
  <c r="HC16" i="1"/>
  <c r="GQ16" i="1"/>
  <c r="GE16" i="1"/>
  <c r="FS16" i="1"/>
  <c r="FG16" i="1"/>
  <c r="EU16" i="1"/>
  <c r="EI16" i="1"/>
  <c r="DW16" i="1"/>
  <c r="DK16" i="1"/>
  <c r="CY16" i="1"/>
  <c r="CM16" i="1"/>
  <c r="CA16" i="1"/>
  <c r="BO16" i="1"/>
  <c r="BC16" i="1"/>
  <c r="AQ16" i="1"/>
  <c r="AE16" i="1"/>
  <c r="S16" i="1"/>
  <c r="G16" i="1"/>
  <c r="GN16" i="1"/>
  <c r="CV16" i="1"/>
  <c r="HX16" i="1"/>
  <c r="EF16" i="1"/>
  <c r="AN16" i="1"/>
  <c r="JH16" i="1"/>
  <c r="FP16" i="1"/>
  <c r="BX16" i="1"/>
  <c r="GZ16" i="1"/>
  <c r="DH16" i="1"/>
  <c r="P16" i="1"/>
  <c r="IJ16" i="1"/>
  <c r="ER16" i="1"/>
  <c r="AZ16" i="1"/>
  <c r="HL16" i="1"/>
  <c r="DT16" i="1"/>
  <c r="AB16" i="1"/>
  <c r="GB16" i="1"/>
  <c r="FD16" i="1"/>
  <c r="CJ16" i="1"/>
  <c r="BL16" i="1"/>
  <c r="IV16" i="1"/>
  <c r="JB23" i="1"/>
  <c r="IA23" i="1"/>
  <c r="GK23" i="1"/>
  <c r="FJ23" i="1"/>
  <c r="IM23" i="1"/>
  <c r="GW23" i="1"/>
  <c r="FV23" i="1"/>
  <c r="EU23" i="1"/>
  <c r="EI23" i="1"/>
  <c r="DW23" i="1"/>
  <c r="DK23" i="1"/>
  <c r="CY23" i="1"/>
  <c r="CM23" i="1"/>
  <c r="CA23" i="1"/>
  <c r="BO23" i="1"/>
  <c r="BC23" i="1"/>
  <c r="AQ23" i="1"/>
  <c r="AE23" i="1"/>
  <c r="S23" i="1"/>
  <c r="G23" i="1"/>
  <c r="IY23" i="1"/>
  <c r="HI23" i="1"/>
  <c r="GH23" i="1"/>
  <c r="FG23" i="1"/>
  <c r="HU23" i="1"/>
  <c r="GT23" i="1"/>
  <c r="FS23" i="1"/>
  <c r="ER23" i="1"/>
  <c r="EF23" i="1"/>
  <c r="DT23" i="1"/>
  <c r="DH23" i="1"/>
  <c r="CV23" i="1"/>
  <c r="CJ23" i="1"/>
  <c r="BX23" i="1"/>
  <c r="BL23" i="1"/>
  <c r="AZ23" i="1"/>
  <c r="AN23" i="1"/>
  <c r="AB23" i="1"/>
  <c r="P23" i="1"/>
  <c r="IG23" i="1"/>
  <c r="HF23" i="1"/>
  <c r="GE23" i="1"/>
  <c r="IS23" i="1"/>
  <c r="HR23" i="1"/>
  <c r="GQ23" i="1"/>
  <c r="FA23" i="1"/>
  <c r="EO23" i="1"/>
  <c r="EC23" i="1"/>
  <c r="DQ23" i="1"/>
  <c r="DE23" i="1"/>
  <c r="CS23" i="1"/>
  <c r="CG23" i="1"/>
  <c r="BU23" i="1"/>
  <c r="BI23" i="1"/>
  <c r="AW23" i="1"/>
  <c r="AK23" i="1"/>
  <c r="Y23" i="1"/>
  <c r="M23" i="1"/>
  <c r="BR23" i="1"/>
  <c r="JE23" i="1"/>
  <c r="DB23" i="1"/>
  <c r="J23" i="1"/>
  <c r="HO23" i="1"/>
  <c r="FY23" i="1"/>
  <c r="EL23" i="1"/>
  <c r="AT23" i="1"/>
  <c r="CD23" i="1"/>
  <c r="JH23" i="1"/>
  <c r="ID23" i="1"/>
  <c r="DN23" i="1"/>
  <c r="V23" i="1"/>
  <c r="CP23" i="1"/>
  <c r="IP23" i="1"/>
  <c r="EX23" i="1"/>
  <c r="FM23" i="1"/>
  <c r="BF23" i="1"/>
  <c r="DZ23" i="1"/>
  <c r="AH23" i="1"/>
  <c r="HC23" i="1"/>
  <c r="FD23" i="1"/>
  <c r="IV23" i="1"/>
  <c r="FP23" i="1"/>
  <c r="GB23" i="1"/>
  <c r="GZ23" i="1"/>
  <c r="GN23" i="1"/>
  <c r="HL23" i="1"/>
  <c r="IJ23" i="1"/>
  <c r="HX23" i="1"/>
  <c r="JB30" i="1"/>
  <c r="DN30" i="1"/>
  <c r="HL30" i="1"/>
  <c r="AB30" i="1"/>
  <c r="BR30" i="1"/>
  <c r="GN30" i="1"/>
  <c r="HF30" i="1"/>
  <c r="V30" i="1"/>
  <c r="FJ30" i="1"/>
  <c r="DT30" i="1"/>
  <c r="CV30" i="1"/>
  <c r="GW30" i="1"/>
  <c r="DE30" i="1"/>
  <c r="M30" i="1"/>
  <c r="FS30" i="1"/>
  <c r="CA30" i="1"/>
  <c r="GB30" i="1"/>
  <c r="AH30" i="1"/>
  <c r="GT30" i="1"/>
  <c r="GK30" i="1"/>
  <c r="CS30" i="1"/>
  <c r="IY30" i="1"/>
  <c r="FG30" i="1"/>
  <c r="BO30" i="1"/>
  <c r="EF30" i="1"/>
  <c r="IV30" i="1"/>
  <c r="EX30" i="1"/>
  <c r="FY30" i="1"/>
  <c r="CG30" i="1"/>
  <c r="IM30" i="1"/>
  <c r="EU30" i="1"/>
  <c r="BC30" i="1"/>
  <c r="CJ30" i="1"/>
  <c r="GZ30" i="1"/>
  <c r="DB30" i="1"/>
  <c r="FP30" i="1"/>
  <c r="IS30" i="1"/>
  <c r="FA30" i="1"/>
  <c r="BI30" i="1"/>
  <c r="HO30" i="1"/>
  <c r="DW30" i="1"/>
  <c r="AE30" i="1"/>
  <c r="HR30" i="1"/>
  <c r="DH30" i="1"/>
  <c r="J30" i="1"/>
  <c r="AZ30" i="1"/>
  <c r="HU30" i="1"/>
  <c r="EC30" i="1"/>
  <c r="AK30" i="1"/>
  <c r="GQ30" i="1"/>
  <c r="CY30" i="1"/>
  <c r="G30" i="1"/>
  <c r="DZ30" i="1"/>
  <c r="P30" i="1"/>
  <c r="EL30" i="1"/>
  <c r="IG30" i="1"/>
  <c r="IA30" i="1"/>
  <c r="HX30" i="1"/>
  <c r="AT30" i="1"/>
  <c r="ER30" i="1"/>
  <c r="HI30" i="1"/>
  <c r="HC30" i="1"/>
  <c r="AN30" i="1"/>
  <c r="ID30" i="1"/>
  <c r="IJ30" i="1"/>
  <c r="FM30" i="1"/>
  <c r="GE30" i="1"/>
  <c r="FV30" i="1"/>
  <c r="BX30" i="1"/>
  <c r="EO30" i="1"/>
  <c r="EI30" i="1"/>
  <c r="CD30" i="1"/>
  <c r="JH30" i="1"/>
  <c r="DQ30" i="1"/>
  <c r="DK30" i="1"/>
  <c r="FD30" i="1"/>
  <c r="AW30" i="1"/>
  <c r="AQ30" i="1"/>
  <c r="IP30" i="1"/>
  <c r="GH30" i="1"/>
  <c r="JE30" i="1"/>
  <c r="BU30" i="1"/>
  <c r="Y30" i="1"/>
  <c r="CM30" i="1"/>
  <c r="S30" i="1"/>
  <c r="BF30" i="1"/>
  <c r="CP30" i="1"/>
  <c r="BL30" i="1"/>
  <c r="CA11" i="1"/>
  <c r="BO11" i="1"/>
  <c r="BC11" i="1"/>
  <c r="AQ11" i="1"/>
  <c r="AE11" i="1"/>
  <c r="S11" i="1"/>
  <c r="G11" i="1"/>
  <c r="IY11" i="1"/>
  <c r="IM11" i="1"/>
  <c r="IA11" i="1"/>
  <c r="HO11" i="1"/>
  <c r="HC11" i="1"/>
  <c r="GQ11" i="1"/>
  <c r="GE11" i="1"/>
  <c r="FS11" i="1"/>
  <c r="FG11" i="1"/>
  <c r="EU11" i="1"/>
  <c r="EI11" i="1"/>
  <c r="DW11" i="1"/>
  <c r="DK11" i="1"/>
  <c r="DH11" i="1"/>
  <c r="CV11" i="1"/>
  <c r="CJ11" i="1"/>
  <c r="BX11" i="1"/>
  <c r="BL11" i="1"/>
  <c r="AZ11" i="1"/>
  <c r="AN11" i="1"/>
  <c r="AB11" i="1"/>
  <c r="JH11" i="1"/>
  <c r="IV11" i="1"/>
  <c r="IJ11" i="1"/>
  <c r="HX11" i="1"/>
  <c r="HL11" i="1"/>
  <c r="GZ11" i="1"/>
  <c r="GN11" i="1"/>
  <c r="GB11" i="1"/>
  <c r="FP11" i="1"/>
  <c r="FD11" i="1"/>
  <c r="ER11" i="1"/>
  <c r="EF11" i="1"/>
  <c r="DT11" i="1"/>
  <c r="DE11" i="1"/>
  <c r="CS11" i="1"/>
  <c r="CG11" i="1"/>
  <c r="BU11" i="1"/>
  <c r="BI11" i="1"/>
  <c r="AW11" i="1"/>
  <c r="AK11" i="1"/>
  <c r="Y11" i="1"/>
  <c r="M11" i="1"/>
  <c r="AT11" i="1"/>
  <c r="J11" i="1"/>
  <c r="JE11" i="1"/>
  <c r="IP11" i="1"/>
  <c r="HI11" i="1"/>
  <c r="GT11" i="1"/>
  <c r="FM11" i="1"/>
  <c r="EX11" i="1"/>
  <c r="DQ11" i="1"/>
  <c r="CD11" i="1"/>
  <c r="FV11" i="1"/>
  <c r="V11" i="1"/>
  <c r="IG11" i="1"/>
  <c r="EO11" i="1"/>
  <c r="P11" i="1"/>
  <c r="ID11" i="1"/>
  <c r="JB11" i="1"/>
  <c r="HU11" i="1"/>
  <c r="HF11" i="1"/>
  <c r="FY11" i="1"/>
  <c r="FJ11" i="1"/>
  <c r="EC11" i="1"/>
  <c r="DN11" i="1"/>
  <c r="BF11" i="1"/>
  <c r="HR11" i="1"/>
  <c r="DZ11" i="1"/>
  <c r="AH11" i="1"/>
  <c r="IS11" i="1"/>
  <c r="GW11" i="1"/>
  <c r="FA11" i="1"/>
  <c r="CP11" i="1"/>
  <c r="GK11" i="1"/>
  <c r="EL11" i="1"/>
  <c r="BR11" i="1"/>
  <c r="GH11" i="1"/>
  <c r="DB11" i="1"/>
  <c r="JH17" i="1"/>
  <c r="IV17" i="1"/>
  <c r="IJ17" i="1"/>
  <c r="HX17" i="1"/>
  <c r="HL17" i="1"/>
  <c r="GZ17" i="1"/>
  <c r="GN17" i="1"/>
  <c r="GB17" i="1"/>
  <c r="FP17" i="1"/>
  <c r="FD17" i="1"/>
  <c r="ER17" i="1"/>
  <c r="EF17" i="1"/>
  <c r="DT17" i="1"/>
  <c r="DH17" i="1"/>
  <c r="CV17" i="1"/>
  <c r="CJ17" i="1"/>
  <c r="BX17" i="1"/>
  <c r="BL17" i="1"/>
  <c r="AZ17" i="1"/>
  <c r="AN17" i="1"/>
  <c r="AB17" i="1"/>
  <c r="P17" i="1"/>
  <c r="IY17" i="1"/>
  <c r="HI17" i="1"/>
  <c r="GH17" i="1"/>
  <c r="FG17" i="1"/>
  <c r="DQ17" i="1"/>
  <c r="CP17" i="1"/>
  <c r="BO17" i="1"/>
  <c r="Y17" i="1"/>
  <c r="HU17" i="1"/>
  <c r="GT17" i="1"/>
  <c r="FS17" i="1"/>
  <c r="EC17" i="1"/>
  <c r="DB17" i="1"/>
  <c r="CA17" i="1"/>
  <c r="AK17" i="1"/>
  <c r="J17" i="1"/>
  <c r="IG17" i="1"/>
  <c r="HF17" i="1"/>
  <c r="GE17" i="1"/>
  <c r="EO17" i="1"/>
  <c r="DN17" i="1"/>
  <c r="CM17" i="1"/>
  <c r="AW17" i="1"/>
  <c r="V17" i="1"/>
  <c r="IS17" i="1"/>
  <c r="HR17" i="1"/>
  <c r="GQ17" i="1"/>
  <c r="FA17" i="1"/>
  <c r="DZ17" i="1"/>
  <c r="CY17" i="1"/>
  <c r="BI17" i="1"/>
  <c r="AH17" i="1"/>
  <c r="G17" i="1"/>
  <c r="JE17" i="1"/>
  <c r="ID17" i="1"/>
  <c r="HC17" i="1"/>
  <c r="FM17" i="1"/>
  <c r="EL17" i="1"/>
  <c r="DK17" i="1"/>
  <c r="BU17" i="1"/>
  <c r="AT17" i="1"/>
  <c r="S17" i="1"/>
  <c r="JB17" i="1"/>
  <c r="IA17" i="1"/>
  <c r="GK17" i="1"/>
  <c r="FJ17" i="1"/>
  <c r="EI17" i="1"/>
  <c r="CS17" i="1"/>
  <c r="BR17" i="1"/>
  <c r="AQ17" i="1"/>
  <c r="BF17" i="1"/>
  <c r="FV17" i="1"/>
  <c r="EX17" i="1"/>
  <c r="BC17" i="1"/>
  <c r="M17" i="1"/>
  <c r="DW17" i="1"/>
  <c r="AE17" i="1"/>
  <c r="IP17" i="1"/>
  <c r="EU17" i="1"/>
  <c r="DE17" i="1"/>
  <c r="CG17" i="1"/>
  <c r="IM17" i="1"/>
  <c r="GW17" i="1"/>
  <c r="HO17" i="1"/>
  <c r="FY17" i="1"/>
  <c r="CD17" i="1"/>
  <c r="C14" i="45"/>
  <c r="E15" i="1"/>
  <c r="CM27" i="1"/>
  <c r="V27" i="1"/>
  <c r="IG27" i="1"/>
  <c r="HO27" i="1"/>
  <c r="EO27" i="1"/>
  <c r="DW27" i="1"/>
  <c r="BR27" i="1"/>
  <c r="GQ27" i="1"/>
  <c r="FY27" i="1"/>
  <c r="CY27" i="1"/>
  <c r="AH27" i="1"/>
  <c r="CG27" i="1"/>
  <c r="AW27" i="1"/>
  <c r="HU27" i="1"/>
  <c r="EU27" i="1"/>
  <c r="EC27" i="1"/>
  <c r="AQ27" i="1"/>
  <c r="G27" i="1"/>
  <c r="AE27" i="1"/>
  <c r="FS27" i="1"/>
  <c r="BI27" i="1"/>
  <c r="GK27" i="1"/>
  <c r="BF27" i="1"/>
  <c r="CS27" i="1"/>
  <c r="IV27" i="1"/>
  <c r="FD27" i="1"/>
  <c r="BL27" i="1"/>
  <c r="HR27" i="1"/>
  <c r="DZ27" i="1"/>
  <c r="IY27" i="1"/>
  <c r="J27" i="1"/>
  <c r="IJ27" i="1"/>
  <c r="ER27" i="1"/>
  <c r="AZ27" i="1"/>
  <c r="HF27" i="1"/>
  <c r="DN27" i="1"/>
  <c r="AK27" i="1"/>
  <c r="HX27" i="1"/>
  <c r="EF27" i="1"/>
  <c r="AN27" i="1"/>
  <c r="GT27" i="1"/>
  <c r="S27" i="1"/>
  <c r="CA27" i="1"/>
  <c r="EI27" i="1"/>
  <c r="DE27" i="1"/>
  <c r="GZ27" i="1"/>
  <c r="DH27" i="1"/>
  <c r="P27" i="1"/>
  <c r="FV27" i="1"/>
  <c r="BU27" i="1"/>
  <c r="DQ27" i="1"/>
  <c r="GB27" i="1"/>
  <c r="CJ27" i="1"/>
  <c r="IP27" i="1"/>
  <c r="EX27" i="1"/>
  <c r="FG27" i="1"/>
  <c r="IM27" i="1"/>
  <c r="HI27" i="1"/>
  <c r="DT27" i="1"/>
  <c r="EL27" i="1"/>
  <c r="DB27" i="1"/>
  <c r="Y27" i="1"/>
  <c r="IS27" i="1"/>
  <c r="CV27" i="1"/>
  <c r="AT27" i="1"/>
  <c r="FM27" i="1"/>
  <c r="BO27" i="1"/>
  <c r="BX27" i="1"/>
  <c r="DK27" i="1"/>
  <c r="JE27" i="1"/>
  <c r="CP27" i="1"/>
  <c r="M27" i="1"/>
  <c r="AB27" i="1"/>
  <c r="HC27" i="1"/>
  <c r="GE27" i="1"/>
  <c r="BC27" i="1"/>
  <c r="JH27" i="1"/>
  <c r="JB27" i="1"/>
  <c r="IA27" i="1"/>
  <c r="CD27" i="1"/>
  <c r="GN27" i="1"/>
  <c r="GH27" i="1"/>
  <c r="GW27" i="1"/>
  <c r="HL27" i="1"/>
  <c r="FP27" i="1"/>
  <c r="FJ27" i="1"/>
  <c r="FA27" i="1"/>
  <c r="ID27" i="1"/>
  <c r="JB18" i="1"/>
  <c r="IP18" i="1"/>
  <c r="ID18" i="1"/>
  <c r="HR18" i="1"/>
  <c r="HF18" i="1"/>
  <c r="GT18" i="1"/>
  <c r="GH18" i="1"/>
  <c r="FV18" i="1"/>
  <c r="FJ18" i="1"/>
  <c r="EX18" i="1"/>
  <c r="EL18" i="1"/>
  <c r="DZ18" i="1"/>
  <c r="DN18" i="1"/>
  <c r="DB18" i="1"/>
  <c r="CP18" i="1"/>
  <c r="CD18" i="1"/>
  <c r="BR18" i="1"/>
  <c r="BF18" i="1"/>
  <c r="AT18" i="1"/>
  <c r="AH18" i="1"/>
  <c r="V18" i="1"/>
  <c r="J18" i="1"/>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DZ12" i="1"/>
  <c r="P12" i="1"/>
  <c r="JH13" i="1"/>
  <c r="FS13" i="1"/>
  <c r="JH31" i="1"/>
  <c r="GT31" i="1"/>
  <c r="GB31" i="1"/>
  <c r="FJ31" i="1"/>
  <c r="J31" i="1"/>
  <c r="DZ31" i="1"/>
  <c r="DH31" i="1"/>
  <c r="CP31" i="1"/>
  <c r="IP31" i="1"/>
  <c r="HX31" i="1"/>
  <c r="HF31" i="1"/>
  <c r="BF31" i="1"/>
  <c r="AN31" i="1"/>
  <c r="V31" i="1"/>
  <c r="JE31" i="1"/>
  <c r="FV31" i="1"/>
  <c r="FD31" i="1"/>
  <c r="EL31" i="1"/>
  <c r="JB31" i="1"/>
  <c r="DB31" i="1"/>
  <c r="CJ31" i="1"/>
  <c r="BR31" i="1"/>
  <c r="EX31" i="1"/>
  <c r="EF31" i="1"/>
  <c r="DN31" i="1"/>
  <c r="AT31" i="1"/>
  <c r="BL31" i="1"/>
  <c r="ID31" i="1"/>
  <c r="CD31" i="1"/>
  <c r="IV31" i="1"/>
  <c r="P31" i="1"/>
  <c r="GH31" i="1"/>
  <c r="AH31" i="1"/>
  <c r="GZ31" i="1"/>
  <c r="HR31" i="1"/>
  <c r="DT31" i="1"/>
  <c r="AZ31" i="1"/>
  <c r="FP31" i="1"/>
  <c r="CV31" i="1"/>
  <c r="HL31" i="1"/>
  <c r="S31" i="1"/>
  <c r="DK31" i="1"/>
  <c r="HC31" i="1"/>
  <c r="Y31" i="1"/>
  <c r="DQ31" i="1"/>
  <c r="HI31" i="1"/>
  <c r="ER31" i="1"/>
  <c r="GN31" i="1"/>
  <c r="AB31" i="1"/>
  <c r="CY31" i="1"/>
  <c r="HO31" i="1"/>
  <c r="CG31" i="1"/>
  <c r="GK31" i="1"/>
  <c r="G31" i="1"/>
  <c r="DW31" i="1"/>
  <c r="IA31" i="1"/>
  <c r="CS31" i="1"/>
  <c r="GW31" i="1"/>
  <c r="AE31" i="1"/>
  <c r="EI31" i="1"/>
  <c r="IM31" i="1"/>
  <c r="DE31" i="1"/>
  <c r="HU31" i="1"/>
  <c r="BX31" i="1"/>
  <c r="AQ31" i="1"/>
  <c r="EU31" i="1"/>
  <c r="IY31" i="1"/>
  <c r="M31" i="1"/>
  <c r="EC31" i="1"/>
  <c r="IG31" i="1"/>
  <c r="BC31" i="1"/>
  <c r="FG31" i="1"/>
  <c r="AK31" i="1"/>
  <c r="EO31" i="1"/>
  <c r="IS31" i="1"/>
  <c r="IJ31" i="1"/>
  <c r="BO31" i="1"/>
  <c r="BU31" i="1"/>
  <c r="CA31" i="1"/>
  <c r="AW31" i="1"/>
  <c r="CM31" i="1"/>
  <c r="BI31" i="1"/>
  <c r="FS31" i="1"/>
  <c r="GE31" i="1"/>
  <c r="FA31" i="1"/>
  <c r="FY31" i="1"/>
  <c r="FM31" i="1"/>
  <c r="GQ31" i="1"/>
  <c r="EI28" i="1"/>
  <c r="IM28" i="1"/>
  <c r="G28" i="1"/>
  <c r="GQ28" i="1"/>
  <c r="CM28" i="1"/>
  <c r="EU28" i="1"/>
  <c r="AQ28" i="1"/>
  <c r="CY28" i="1"/>
  <c r="BC28" i="1"/>
  <c r="IV28" i="1"/>
  <c r="FD28" i="1"/>
  <c r="BL28" i="1"/>
  <c r="HR28" i="1"/>
  <c r="DZ28" i="1"/>
  <c r="AH28" i="1"/>
  <c r="GE28" i="1"/>
  <c r="BI28" i="1"/>
  <c r="AE28" i="1"/>
  <c r="IJ28" i="1"/>
  <c r="ER28" i="1"/>
  <c r="AZ28" i="1"/>
  <c r="HF28" i="1"/>
  <c r="DN28" i="1"/>
  <c r="V28" i="1"/>
  <c r="Y28" i="1"/>
  <c r="IA28" i="1"/>
  <c r="DE28" i="1"/>
  <c r="CA28" i="1"/>
  <c r="HX28" i="1"/>
  <c r="EF28" i="1"/>
  <c r="AN28" i="1"/>
  <c r="GT28" i="1"/>
  <c r="DB28" i="1"/>
  <c r="J28" i="1"/>
  <c r="BU28" i="1"/>
  <c r="FA28" i="1"/>
  <c r="DW28" i="1"/>
  <c r="FG28" i="1"/>
  <c r="HL28" i="1"/>
  <c r="DT28" i="1"/>
  <c r="AB28" i="1"/>
  <c r="GH28" i="1"/>
  <c r="CP28" i="1"/>
  <c r="AK28" i="1"/>
  <c r="GZ28" i="1"/>
  <c r="DH28" i="1"/>
  <c r="P28" i="1"/>
  <c r="FV28" i="1"/>
  <c r="CD28" i="1"/>
  <c r="CG28" i="1"/>
  <c r="FM28" i="1"/>
  <c r="IS28" i="1"/>
  <c r="HO28" i="1"/>
  <c r="GB28" i="1"/>
  <c r="CJ28" i="1"/>
  <c r="IP28" i="1"/>
  <c r="EX28" i="1"/>
  <c r="BF28" i="1"/>
  <c r="FY28" i="1"/>
  <c r="JE28" i="1"/>
  <c r="FP28" i="1"/>
  <c r="AT28" i="1"/>
  <c r="GK28" i="1"/>
  <c r="CV28" i="1"/>
  <c r="EC28" i="1"/>
  <c r="IG28" i="1"/>
  <c r="S28" i="1"/>
  <c r="BX28" i="1"/>
  <c r="HU28" i="1"/>
  <c r="BO28" i="1"/>
  <c r="JB28" i="1"/>
  <c r="FS28" i="1"/>
  <c r="DK28" i="1"/>
  <c r="ID28" i="1"/>
  <c r="DQ28" i="1"/>
  <c r="M28" i="1"/>
  <c r="HC28" i="1"/>
  <c r="JH28" i="1"/>
  <c r="EL28" i="1"/>
  <c r="CS28" i="1"/>
  <c r="GN28" i="1"/>
  <c r="FJ28" i="1"/>
  <c r="IY28" i="1"/>
  <c r="BR28" i="1"/>
  <c r="EO28" i="1"/>
  <c r="HI28" i="1"/>
  <c r="GW28" i="1"/>
  <c r="AW28" i="1"/>
  <c r="IY26" i="1"/>
  <c r="IG26" i="1"/>
  <c r="DN26" i="1"/>
  <c r="AK26" i="1"/>
  <c r="V26" i="1"/>
  <c r="G26" i="1"/>
  <c r="GE26" i="1"/>
  <c r="FJ26" i="1"/>
  <c r="BO26" i="1"/>
  <c r="IP26" i="1"/>
  <c r="HI26" i="1"/>
  <c r="GQ26" i="1"/>
  <c r="DZ26" i="1"/>
  <c r="CS26" i="1"/>
  <c r="CD26" i="1"/>
  <c r="AW26" i="1"/>
  <c r="AH26" i="1"/>
  <c r="DQ26" i="1"/>
  <c r="CY26" i="1"/>
  <c r="J26" i="1"/>
  <c r="FA26" i="1"/>
  <c r="EI26" i="1"/>
  <c r="Y26" i="1"/>
  <c r="HF26" i="1"/>
  <c r="GK26" i="1"/>
  <c r="BI26" i="1"/>
  <c r="AQ26" i="1"/>
  <c r="IS26" i="1"/>
  <c r="GH26" i="1"/>
  <c r="CP26" i="1"/>
  <c r="BC26" i="1"/>
  <c r="HR26" i="1"/>
  <c r="CM26" i="1"/>
  <c r="BR26" i="1"/>
  <c r="DE26" i="1"/>
  <c r="EO26" i="1"/>
  <c r="FG26" i="1"/>
  <c r="M26" i="1"/>
  <c r="CA26" i="1"/>
  <c r="DB26" i="1"/>
  <c r="EC26" i="1"/>
  <c r="EU26" i="1"/>
  <c r="CG26" i="1"/>
  <c r="IJ26" i="1"/>
  <c r="ER26" i="1"/>
  <c r="AZ26" i="1"/>
  <c r="EL26" i="1"/>
  <c r="FS26" i="1"/>
  <c r="GW26" i="1"/>
  <c r="HU26" i="1"/>
  <c r="IA26" i="1"/>
  <c r="IV26" i="1"/>
  <c r="EF26" i="1"/>
  <c r="AB26" i="1"/>
  <c r="ID26" i="1"/>
  <c r="HX26" i="1"/>
  <c r="DT26" i="1"/>
  <c r="P26" i="1"/>
  <c r="JE26" i="1"/>
  <c r="FV26" i="1"/>
  <c r="AE26" i="1"/>
  <c r="HL26" i="1"/>
  <c r="DH26" i="1"/>
  <c r="S26" i="1"/>
  <c r="GT26" i="1"/>
  <c r="IM26" i="1"/>
  <c r="BF26" i="1"/>
  <c r="GZ26" i="1"/>
  <c r="CV26" i="1"/>
  <c r="AT26" i="1"/>
  <c r="DW26" i="1"/>
  <c r="GN26" i="1"/>
  <c r="CJ26" i="1"/>
  <c r="BU26" i="1"/>
  <c r="FY26" i="1"/>
  <c r="FP26" i="1"/>
  <c r="BL26" i="1"/>
  <c r="FM26" i="1"/>
  <c r="JH26" i="1"/>
  <c r="JB26" i="1"/>
  <c r="GB26" i="1"/>
  <c r="FD26" i="1"/>
  <c r="EX26" i="1"/>
  <c r="BX26" i="1"/>
  <c r="HO26" i="1"/>
  <c r="AN26" i="1"/>
  <c r="HC26" i="1"/>
  <c r="DK26" i="1"/>
  <c r="JH29" i="1"/>
  <c r="M29" i="1"/>
  <c r="BO29" i="1"/>
  <c r="AW29" i="1"/>
  <c r="GN29" i="1"/>
  <c r="DZ29" i="1"/>
  <c r="FP29" i="1"/>
  <c r="FV29" i="1"/>
  <c r="BI29" i="1"/>
  <c r="AQ29" i="1"/>
  <c r="S29" i="1"/>
  <c r="HR29" i="1"/>
  <c r="CV29" i="1"/>
  <c r="CA29" i="1"/>
  <c r="HU29" i="1"/>
  <c r="EC29" i="1"/>
  <c r="HC29" i="1"/>
  <c r="DK29" i="1"/>
  <c r="GB29" i="1"/>
  <c r="P29" i="1"/>
  <c r="DH29" i="1"/>
  <c r="AK29" i="1"/>
  <c r="EX29" i="1"/>
  <c r="HI29" i="1"/>
  <c r="DQ29" i="1"/>
  <c r="GQ29" i="1"/>
  <c r="CY29" i="1"/>
  <c r="EF29" i="1"/>
  <c r="JB29" i="1"/>
  <c r="CD29" i="1"/>
  <c r="CG29" i="1"/>
  <c r="IP29" i="1"/>
  <c r="GW29" i="1"/>
  <c r="DE29" i="1"/>
  <c r="GE29" i="1"/>
  <c r="CM29" i="1"/>
  <c r="CJ29" i="1"/>
  <c r="HF29" i="1"/>
  <c r="BR29" i="1"/>
  <c r="DT29" i="1"/>
  <c r="G29" i="1"/>
  <c r="FY29" i="1"/>
  <c r="IY29" i="1"/>
  <c r="FG29" i="1"/>
  <c r="GH29" i="1"/>
  <c r="BL29" i="1"/>
  <c r="DN29" i="1"/>
  <c r="AT29" i="1"/>
  <c r="IS29" i="1"/>
  <c r="FA29" i="1"/>
  <c r="IA29" i="1"/>
  <c r="EI29" i="1"/>
  <c r="EO29" i="1"/>
  <c r="EL29" i="1"/>
  <c r="IV29" i="1"/>
  <c r="ER29" i="1"/>
  <c r="CS29" i="1"/>
  <c r="CP29" i="1"/>
  <c r="GZ29" i="1"/>
  <c r="IJ29" i="1"/>
  <c r="IM29" i="1"/>
  <c r="HX29" i="1"/>
  <c r="FD29" i="1"/>
  <c r="BC29" i="1"/>
  <c r="HO29" i="1"/>
  <c r="BX29" i="1"/>
  <c r="BF29" i="1"/>
  <c r="DB29" i="1"/>
  <c r="JE29" i="1"/>
  <c r="FS29" i="1"/>
  <c r="AZ29" i="1"/>
  <c r="AH29" i="1"/>
  <c r="GT29" i="1"/>
  <c r="AE29" i="1"/>
  <c r="GK29" i="1"/>
  <c r="DW29" i="1"/>
  <c r="AB29" i="1"/>
  <c r="J29" i="1"/>
  <c r="V29" i="1"/>
  <c r="HL29" i="1"/>
  <c r="IG29" i="1"/>
  <c r="Y29" i="1"/>
  <c r="FM29" i="1"/>
  <c r="BU29" i="1"/>
  <c r="EU29" i="1"/>
  <c r="AN29" i="1"/>
  <c r="FJ29" i="1"/>
  <c r="ID29" i="1"/>
  <c r="IS25" i="1"/>
  <c r="HR25" i="1"/>
  <c r="GQ25" i="1"/>
  <c r="FA25" i="1"/>
  <c r="DZ25" i="1"/>
  <c r="CY25" i="1"/>
  <c r="JE25" i="1"/>
  <c r="ID25" i="1"/>
  <c r="HC25" i="1"/>
  <c r="FM25" i="1"/>
  <c r="EL25" i="1"/>
  <c r="DK25" i="1"/>
  <c r="BU25" i="1"/>
  <c r="AT25" i="1"/>
  <c r="S25" i="1"/>
  <c r="GW25" i="1"/>
  <c r="GH25" i="1"/>
  <c r="EO25" i="1"/>
  <c r="CS25" i="1"/>
  <c r="BC25" i="1"/>
  <c r="Y25" i="1"/>
  <c r="J25" i="1"/>
  <c r="IP25" i="1"/>
  <c r="IA25" i="1"/>
  <c r="FS25" i="1"/>
  <c r="DW25" i="1"/>
  <c r="CD25" i="1"/>
  <c r="BO25" i="1"/>
  <c r="AK25" i="1"/>
  <c r="HI25" i="1"/>
  <c r="GT25" i="1"/>
  <c r="GE25" i="1"/>
  <c r="DE25" i="1"/>
  <c r="CP25" i="1"/>
  <c r="V25" i="1"/>
  <c r="G25" i="1"/>
  <c r="JB25" i="1"/>
  <c r="IM25" i="1"/>
  <c r="EX25" i="1"/>
  <c r="EI25" i="1"/>
  <c r="CA25" i="1"/>
  <c r="AW25" i="1"/>
  <c r="AH25" i="1"/>
  <c r="JH25" i="1"/>
  <c r="HU25" i="1"/>
  <c r="HF25" i="1"/>
  <c r="DQ25" i="1"/>
  <c r="DB25" i="1"/>
  <c r="CM25" i="1"/>
  <c r="BI25" i="1"/>
  <c r="IY25" i="1"/>
  <c r="FY25" i="1"/>
  <c r="FJ25" i="1"/>
  <c r="EU25" i="1"/>
  <c r="AE25" i="1"/>
  <c r="HO25" i="1"/>
  <c r="DN25" i="1"/>
  <c r="M25" i="1"/>
  <c r="IG25" i="1"/>
  <c r="FV25" i="1"/>
  <c r="EC25" i="1"/>
  <c r="BR25" i="1"/>
  <c r="GK25" i="1"/>
  <c r="CG25" i="1"/>
  <c r="FG25" i="1"/>
  <c r="AQ25" i="1"/>
  <c r="BF25" i="1"/>
  <c r="CJ25" i="1"/>
  <c r="CV25" i="1"/>
  <c r="GN25" i="1"/>
  <c r="AB25" i="1"/>
  <c r="EF25" i="1"/>
  <c r="IJ25" i="1"/>
  <c r="P25" i="1"/>
  <c r="ER25" i="1"/>
  <c r="IV25" i="1"/>
  <c r="AN25" i="1"/>
  <c r="FD25" i="1"/>
  <c r="AZ25" i="1"/>
  <c r="FP25" i="1"/>
  <c r="BL25" i="1"/>
  <c r="GB25" i="1"/>
  <c r="DH25" i="1"/>
  <c r="HL25" i="1"/>
  <c r="DT25" i="1"/>
  <c r="GZ25" i="1"/>
  <c r="HX25" i="1"/>
  <c r="BX25" i="1"/>
  <c r="JE19" i="1"/>
  <c r="IS19" i="1"/>
  <c r="IG19" i="1"/>
  <c r="HU19" i="1"/>
  <c r="HI19" i="1"/>
  <c r="GW19" i="1"/>
  <c r="GK19" i="1"/>
  <c r="FY19" i="1"/>
  <c r="FM19" i="1"/>
  <c r="FA19" i="1"/>
  <c r="EO19" i="1"/>
  <c r="EC19" i="1"/>
  <c r="DQ19" i="1"/>
  <c r="DE19" i="1"/>
  <c r="CS19" i="1"/>
  <c r="CG19" i="1"/>
  <c r="BU19" i="1"/>
  <c r="BI19" i="1"/>
  <c r="AW19" i="1"/>
  <c r="AK19" i="1"/>
  <c r="Y19" i="1"/>
  <c r="M19" i="1"/>
  <c r="ID19" i="1"/>
  <c r="HC19" i="1"/>
  <c r="GB19" i="1"/>
  <c r="EL19" i="1"/>
  <c r="DK19" i="1"/>
  <c r="CJ19" i="1"/>
  <c r="AT19" i="1"/>
  <c r="S19" i="1"/>
  <c r="IP19" i="1"/>
  <c r="HO19" i="1"/>
  <c r="GN19" i="1"/>
  <c r="EX19" i="1"/>
  <c r="DW19" i="1"/>
  <c r="CV19" i="1"/>
  <c r="BF19" i="1"/>
  <c r="AE19" i="1"/>
  <c r="JB19" i="1"/>
  <c r="IA19" i="1"/>
  <c r="GZ19" i="1"/>
  <c r="FJ19" i="1"/>
  <c r="EI19" i="1"/>
  <c r="DH19" i="1"/>
  <c r="BR19" i="1"/>
  <c r="AQ19" i="1"/>
  <c r="P19" i="1"/>
  <c r="IM19" i="1"/>
  <c r="HL19" i="1"/>
  <c r="FV19" i="1"/>
  <c r="EU19" i="1"/>
  <c r="DT19" i="1"/>
  <c r="CD19" i="1"/>
  <c r="BC19" i="1"/>
  <c r="AB19" i="1"/>
  <c r="IY19" i="1"/>
  <c r="HX19" i="1"/>
  <c r="GH19" i="1"/>
  <c r="FG19" i="1"/>
  <c r="EF19" i="1"/>
  <c r="CP19" i="1"/>
  <c r="BO19" i="1"/>
  <c r="AN19" i="1"/>
  <c r="IV19" i="1"/>
  <c r="HF19" i="1"/>
  <c r="GE19" i="1"/>
  <c r="FD19" i="1"/>
  <c r="DN19" i="1"/>
  <c r="CM19" i="1"/>
  <c r="BL19" i="1"/>
  <c r="V19" i="1"/>
  <c r="AZ19" i="1"/>
  <c r="J19" i="1"/>
  <c r="FP19" i="1"/>
  <c r="DZ19" i="1"/>
  <c r="ER19" i="1"/>
  <c r="DB19" i="1"/>
  <c r="G19" i="1"/>
  <c r="JH19" i="1"/>
  <c r="HR19" i="1"/>
  <c r="IJ19" i="1"/>
  <c r="GT19" i="1"/>
  <c r="CY19" i="1"/>
  <c r="CA19" i="1"/>
  <c r="GQ19" i="1"/>
  <c r="FS19" i="1"/>
  <c r="BX19" i="1"/>
  <c r="AH19" i="1"/>
  <c r="GH35" i="1"/>
  <c r="DN35" i="1"/>
  <c r="CY35" i="1"/>
  <c r="BR35" i="1"/>
  <c r="BC35" i="1"/>
  <c r="HF35" i="1"/>
  <c r="EX35" i="1"/>
  <c r="G35" i="1"/>
  <c r="DZ35" i="1"/>
  <c r="DK35" i="1"/>
  <c r="CD35" i="1"/>
  <c r="BO35" i="1"/>
  <c r="AH35" i="1"/>
  <c r="S35" i="1"/>
  <c r="IY35" i="1"/>
  <c r="IP35" i="1"/>
  <c r="HR35" i="1"/>
  <c r="FJ35" i="1"/>
  <c r="DW35" i="1"/>
  <c r="CP35" i="1"/>
  <c r="CA35" i="1"/>
  <c r="AT35" i="1"/>
  <c r="AE35" i="1"/>
  <c r="JB35" i="1"/>
  <c r="GT35" i="1"/>
  <c r="DB35" i="1"/>
  <c r="CM35" i="1"/>
  <c r="BF35" i="1"/>
  <c r="AQ35" i="1"/>
  <c r="FV35" i="1"/>
  <c r="M35" i="1"/>
  <c r="J35" i="1"/>
  <c r="Y35" i="1"/>
  <c r="ID35" i="1"/>
  <c r="EL35" i="1"/>
  <c r="AW35" i="1"/>
  <c r="EO35" i="1"/>
  <c r="IG35" i="1"/>
  <c r="BX35" i="1"/>
  <c r="FP35" i="1"/>
  <c r="JH35" i="1"/>
  <c r="BI35" i="1"/>
  <c r="FA35" i="1"/>
  <c r="IS35" i="1"/>
  <c r="CJ35" i="1"/>
  <c r="GB35" i="1"/>
  <c r="FS35" i="1"/>
  <c r="BU35" i="1"/>
  <c r="FM35" i="1"/>
  <c r="JE35" i="1"/>
  <c r="CV35" i="1"/>
  <c r="GN35" i="1"/>
  <c r="CG35" i="1"/>
  <c r="FY35" i="1"/>
  <c r="P35" i="1"/>
  <c r="DH35" i="1"/>
  <c r="GZ35" i="1"/>
  <c r="GQ35" i="1"/>
  <c r="CS35" i="1"/>
  <c r="GK35" i="1"/>
  <c r="AB35" i="1"/>
  <c r="DT35" i="1"/>
  <c r="HL35" i="1"/>
  <c r="HC35" i="1"/>
  <c r="AN35" i="1"/>
  <c r="IV35" i="1"/>
  <c r="IA35" i="1"/>
  <c r="EI35" i="1"/>
  <c r="AK35" i="1"/>
  <c r="AZ35" i="1"/>
  <c r="IM35" i="1"/>
  <c r="DE35" i="1"/>
  <c r="BL35" i="1"/>
  <c r="DQ35" i="1"/>
  <c r="EF35" i="1"/>
  <c r="EC35" i="1"/>
  <c r="ER35" i="1"/>
  <c r="EU35" i="1"/>
  <c r="HI35" i="1"/>
  <c r="HX35" i="1"/>
  <c r="GE35" i="1"/>
  <c r="V35" i="1"/>
  <c r="HU35" i="1"/>
  <c r="IJ35" i="1"/>
  <c r="HO35" i="1"/>
  <c r="FG35" i="1"/>
  <c r="GW35" i="1"/>
  <c r="FD35" i="1"/>
  <c r="BC35" i="48"/>
  <c r="I35" i="48"/>
  <c r="AJ35" i="48"/>
  <c r="AD35" i="48"/>
  <c r="C34" i="45"/>
  <c r="J35" i="48"/>
  <c r="E35" i="2"/>
  <c r="BM35" i="2" s="1"/>
  <c r="K33" i="45"/>
  <c r="O33" i="45"/>
  <c r="R33" i="45"/>
  <c r="G33" i="45"/>
  <c r="X173" i="46"/>
  <c r="K32" i="45"/>
  <c r="O32" i="45"/>
  <c r="G32" i="45"/>
  <c r="R32" i="45"/>
  <c r="E34" i="2"/>
  <c r="BM34" i="2" s="1"/>
  <c r="J20" i="9"/>
  <c r="J20" i="8" s="1"/>
  <c r="J9" i="9"/>
  <c r="J9" i="8" s="1"/>
  <c r="J23" i="9"/>
  <c r="J23" i="8" s="1"/>
  <c r="J23" i="7" s="1"/>
  <c r="J23" i="6" s="1"/>
  <c r="J23" i="37" s="1"/>
  <c r="J23" i="4" s="1"/>
  <c r="J23" i="43" s="1"/>
  <c r="R10" i="48"/>
  <c r="C9" i="45" s="1"/>
  <c r="J8" i="9"/>
  <c r="J8" i="8" s="1"/>
  <c r="J22" i="9"/>
  <c r="J22" i="8" s="1"/>
  <c r="J22" i="7" s="1"/>
  <c r="J22" i="6" s="1"/>
  <c r="J22" i="37" s="1"/>
  <c r="J22" i="4" s="1"/>
  <c r="J22" i="43" s="1"/>
  <c r="J25" i="9"/>
  <c r="J25" i="8" s="1"/>
  <c r="J25" i="7" s="1"/>
  <c r="J25" i="6" s="1"/>
  <c r="J25" i="37" s="1"/>
  <c r="J25" i="4" s="1"/>
  <c r="J25" i="43" s="1"/>
  <c r="J40" i="32"/>
  <c r="K57" i="32" s="1"/>
  <c r="I48" i="32"/>
  <c r="J21" i="9"/>
  <c r="J21" i="8" s="1"/>
  <c r="J24" i="9"/>
  <c r="J24" i="8" s="1"/>
  <c r="J24" i="7" s="1"/>
  <c r="J24" i="6" s="1"/>
  <c r="J24" i="37" s="1"/>
  <c r="J24" i="4" s="1"/>
  <c r="J24" i="43" s="1"/>
  <c r="X171" i="46"/>
  <c r="AJ29" i="48"/>
  <c r="I29" i="48"/>
  <c r="BC29" i="48"/>
  <c r="AD29" i="48"/>
  <c r="C28" i="45"/>
  <c r="J29" i="48"/>
  <c r="AJ30" i="48"/>
  <c r="J30" i="48"/>
  <c r="I30" i="48"/>
  <c r="AD30" i="48"/>
  <c r="BC30" i="48"/>
  <c r="C29" i="45"/>
  <c r="AJ31" i="48"/>
  <c r="I31" i="48"/>
  <c r="AD31" i="48"/>
  <c r="J31" i="48"/>
  <c r="C30" i="45"/>
  <c r="BC31" i="48"/>
  <c r="J19" i="11"/>
  <c r="J19" i="10" s="1"/>
  <c r="J18" i="11"/>
  <c r="J18" i="10" s="1"/>
  <c r="J15" i="11"/>
  <c r="J15" i="10" s="1"/>
  <c r="J17" i="11"/>
  <c r="J17" i="10" s="1"/>
  <c r="J14" i="11"/>
  <c r="J14" i="10" s="1"/>
  <c r="J11" i="10"/>
  <c r="J12" i="11"/>
  <c r="J12" i="10" s="1"/>
  <c r="J16" i="11"/>
  <c r="J16" i="10" s="1"/>
  <c r="J10" i="11"/>
  <c r="J10" i="10" s="1"/>
  <c r="AJ27" i="48"/>
  <c r="I27" i="48"/>
  <c r="C26" i="45"/>
  <c r="BC27" i="48"/>
  <c r="J27" i="48"/>
  <c r="AD27" i="48"/>
  <c r="C22" i="45"/>
  <c r="AD23" i="48"/>
  <c r="BC23" i="48"/>
  <c r="AJ23" i="48"/>
  <c r="I23" i="48"/>
  <c r="J23" i="48"/>
  <c r="C25" i="45"/>
  <c r="J26" i="48"/>
  <c r="I26" i="48"/>
  <c r="AJ26" i="48"/>
  <c r="BC26" i="48"/>
  <c r="AD26" i="48"/>
  <c r="J13" i="11"/>
  <c r="J13" i="10" s="1"/>
  <c r="BC28" i="48"/>
  <c r="C27" i="45"/>
  <c r="J28" i="48"/>
  <c r="AJ28" i="48"/>
  <c r="I28" i="48"/>
  <c r="AD28" i="48"/>
  <c r="E19" i="2"/>
  <c r="BM19" i="2" s="1"/>
  <c r="C18" i="45"/>
  <c r="I19" i="48"/>
  <c r="AD19" i="48"/>
  <c r="AJ19" i="48"/>
  <c r="J19" i="48"/>
  <c r="BC19" i="48"/>
  <c r="C16" i="45"/>
  <c r="BC17" i="48"/>
  <c r="AD17" i="48"/>
  <c r="J17" i="48"/>
  <c r="I17" i="48"/>
  <c r="AJ17" i="48"/>
  <c r="K14" i="45"/>
  <c r="O14" i="45"/>
  <c r="G14" i="45"/>
  <c r="R14" i="45"/>
  <c r="BC16" i="48"/>
  <c r="C15" i="45"/>
  <c r="AJ16" i="48"/>
  <c r="I16" i="48"/>
  <c r="AD16" i="48"/>
  <c r="J16" i="48"/>
  <c r="I45" i="31"/>
  <c r="I48" i="31"/>
  <c r="I48" i="27"/>
  <c r="I45" i="27"/>
  <c r="R14" i="48"/>
  <c r="C13" i="45" s="1"/>
  <c r="BC15" i="48"/>
  <c r="AJ15" i="48"/>
  <c r="I15" i="48"/>
  <c r="J15" i="48"/>
  <c r="AD15" i="48"/>
  <c r="BC13" i="48"/>
  <c r="J13" i="48"/>
  <c r="I13" i="48"/>
  <c r="AD13" i="48"/>
  <c r="AJ13" i="48"/>
  <c r="I12" i="48"/>
  <c r="AJ12" i="48"/>
  <c r="J12" i="48"/>
  <c r="BC12" i="48"/>
  <c r="AD12" i="48"/>
  <c r="BC11" i="48"/>
  <c r="AD11" i="48"/>
  <c r="I11" i="48"/>
  <c r="AJ11" i="48"/>
  <c r="J11" i="48"/>
  <c r="BM10" i="2"/>
  <c r="AI9" i="48"/>
  <c r="M10" i="48"/>
  <c r="I50" i="18"/>
  <c r="I51" i="18"/>
  <c r="I50" i="28"/>
  <c r="I51" i="28"/>
  <c r="I50" i="17"/>
  <c r="I51" i="17"/>
  <c r="I50" i="8"/>
  <c r="I51" i="8"/>
  <c r="I50" i="29"/>
  <c r="I51" i="29"/>
  <c r="I50" i="30"/>
  <c r="I51" i="30"/>
  <c r="J50" i="33"/>
  <c r="J51" i="33"/>
  <c r="I50" i="31"/>
  <c r="I51" i="31"/>
  <c r="W9" i="48"/>
  <c r="Y9" i="48"/>
  <c r="I49" i="32"/>
  <c r="I51" i="32" s="1"/>
  <c r="V11" i="48"/>
  <c r="X11" i="48"/>
  <c r="I49" i="7"/>
  <c r="I11" i="56"/>
  <c r="F12" i="55" s="1"/>
  <c r="G12" i="55" s="1"/>
  <c r="V34" i="48"/>
  <c r="X34" i="48"/>
  <c r="V25" i="48"/>
  <c r="X25" i="48"/>
  <c r="X24" i="48"/>
  <c r="V24" i="48"/>
  <c r="I49" i="22"/>
  <c r="X15" i="48"/>
  <c r="V15" i="48"/>
  <c r="V13" i="48"/>
  <c r="X13" i="48"/>
  <c r="D43" i="26"/>
  <c r="D43" i="25" s="1"/>
  <c r="E45" i="28"/>
  <c r="V12" i="48"/>
  <c r="X12" i="48"/>
  <c r="D39" i="26"/>
  <c r="D39" i="25" s="1"/>
  <c r="D48" i="27"/>
  <c r="E48" i="27" s="1"/>
  <c r="M8" i="29"/>
  <c r="M34" i="30"/>
  <c r="E41" i="29"/>
  <c r="D41" i="27"/>
  <c r="J43" i="27"/>
  <c r="J44" i="29"/>
  <c r="J56" i="27"/>
  <c r="D38" i="28"/>
  <c r="E38" i="27"/>
  <c r="D52" i="29"/>
  <c r="D53" i="29" s="1"/>
  <c r="E50" i="29"/>
  <c r="D50" i="27"/>
  <c r="E52" i="30"/>
  <c r="E53" i="30" s="1"/>
  <c r="E46" i="29"/>
  <c r="D46" i="27"/>
  <c r="D47" i="26"/>
  <c r="E47" i="28"/>
  <c r="E42" i="29"/>
  <c r="D42" i="27"/>
  <c r="E45" i="26"/>
  <c r="D45" i="25"/>
  <c r="D51" i="28"/>
  <c r="E51" i="27"/>
  <c r="E44" i="28"/>
  <c r="D44" i="26"/>
  <c r="E40" i="27"/>
  <c r="D40" i="28"/>
  <c r="E49" i="28"/>
  <c r="D49" i="26"/>
  <c r="J57" i="27"/>
  <c r="J37" i="29"/>
  <c r="J39" i="30"/>
  <c r="J47" i="27"/>
  <c r="J46" i="28"/>
  <c r="AC13" i="48"/>
  <c r="Q14" i="48"/>
  <c r="M7" i="26"/>
  <c r="J57" i="15"/>
  <c r="DN13" i="1" l="1"/>
  <c r="HF13" i="1"/>
  <c r="AT13" i="1"/>
  <c r="EO13" i="1"/>
  <c r="IG13" i="1"/>
  <c r="CA13" i="1"/>
  <c r="BU13" i="1"/>
  <c r="BC13" i="1"/>
  <c r="FP13" i="1"/>
  <c r="CJ13" i="1"/>
  <c r="FA13" i="1"/>
  <c r="CY13" i="1"/>
  <c r="GQ13" i="1"/>
  <c r="EL13" i="1"/>
  <c r="ID13" i="1"/>
  <c r="BR13" i="1"/>
  <c r="FM13" i="1"/>
  <c r="JE13" i="1"/>
  <c r="CS13" i="1"/>
  <c r="GN13" i="1"/>
  <c r="BX13" i="1"/>
  <c r="AZ13" i="1"/>
  <c r="DK13" i="1"/>
  <c r="HC13" i="1"/>
  <c r="EX13" i="1"/>
  <c r="IP13" i="1"/>
  <c r="CD13" i="1"/>
  <c r="FY13" i="1"/>
  <c r="M13" i="1"/>
  <c r="DE13" i="1"/>
  <c r="GZ13" i="1"/>
  <c r="AB13" i="1"/>
  <c r="DZ13" i="1"/>
  <c r="CG13" i="1"/>
  <c r="AQ13" i="1"/>
  <c r="CM13" i="1"/>
  <c r="BO13" i="1"/>
  <c r="DW13" i="1"/>
  <c r="HO13" i="1"/>
  <c r="FJ13" i="1"/>
  <c r="JB13" i="1"/>
  <c r="CP13" i="1"/>
  <c r="GK13" i="1"/>
  <c r="Y13" i="1"/>
  <c r="DT13" i="1"/>
  <c r="HL13" i="1"/>
  <c r="DH13" i="1"/>
  <c r="HR13" i="1"/>
  <c r="GB13" i="1"/>
  <c r="S13" i="1"/>
  <c r="P13" i="1"/>
  <c r="CV13" i="1"/>
  <c r="EI13" i="1"/>
  <c r="IA13" i="1"/>
  <c r="FV13" i="1"/>
  <c r="J13" i="1"/>
  <c r="DB13" i="1"/>
  <c r="GW13" i="1"/>
  <c r="AK13" i="1"/>
  <c r="EF13" i="1"/>
  <c r="HX13" i="1"/>
  <c r="IS13" i="1"/>
  <c r="AE13" i="1"/>
  <c r="G13" i="1"/>
  <c r="EU13" i="1"/>
  <c r="IM13" i="1"/>
  <c r="GH13" i="1"/>
  <c r="V13" i="1"/>
  <c r="DQ13" i="1"/>
  <c r="HI13" i="1"/>
  <c r="AW13" i="1"/>
  <c r="ER13" i="1"/>
  <c r="IJ13" i="1"/>
  <c r="GE13" i="1"/>
  <c r="BF13" i="1"/>
  <c r="BL13" i="1"/>
  <c r="AN13" i="1"/>
  <c r="FG13" i="1"/>
  <c r="IY13" i="1"/>
  <c r="GT13" i="1"/>
  <c r="AH13" i="1"/>
  <c r="EC13" i="1"/>
  <c r="HU13" i="1"/>
  <c r="BI13" i="1"/>
  <c r="FD13" i="1"/>
  <c r="GZ12" i="1"/>
  <c r="AB12" i="1"/>
  <c r="HF12" i="1"/>
  <c r="HU12" i="1"/>
  <c r="CV12" i="1"/>
  <c r="HR12" i="1"/>
  <c r="IJ12" i="1"/>
  <c r="FG12" i="1"/>
  <c r="V12" i="1"/>
  <c r="HI12" i="1"/>
  <c r="GE12" i="1"/>
  <c r="DB12" i="1"/>
  <c r="HL12" i="1"/>
  <c r="IM12" i="1"/>
  <c r="IS12" i="1"/>
  <c r="AQ12" i="1"/>
  <c r="AK12" i="1"/>
  <c r="CA12" i="1"/>
  <c r="A16" i="48"/>
  <c r="A16" i="2"/>
  <c r="CM11" i="1"/>
  <c r="O13" i="45"/>
  <c r="R13" i="45"/>
  <c r="K13" i="45"/>
  <c r="G13" i="45"/>
  <c r="O12" i="45"/>
  <c r="G12" i="45"/>
  <c r="K12" i="45"/>
  <c r="R12" i="45"/>
  <c r="EO12" i="1"/>
  <c r="DQ12" i="1"/>
  <c r="M12" i="1"/>
  <c r="BL12" i="1"/>
  <c r="GQ12" i="1"/>
  <c r="CM12" i="1"/>
  <c r="ID12" i="1"/>
  <c r="GK12" i="1"/>
  <c r="GB12" i="1"/>
  <c r="Y12" i="1"/>
  <c r="BX12" i="1"/>
  <c r="HC12" i="1"/>
  <c r="DN12" i="1"/>
  <c r="J12" i="1"/>
  <c r="IG12" i="1"/>
  <c r="JE12" i="1"/>
  <c r="BU12" i="1"/>
  <c r="DH12" i="1"/>
  <c r="IY12" i="1"/>
  <c r="EL12" i="1"/>
  <c r="AT12" i="1"/>
  <c r="ER12" i="1"/>
  <c r="DT12" i="1"/>
  <c r="CG12" i="1"/>
  <c r="DK12" i="1"/>
  <c r="S12" i="1"/>
  <c r="FV12" i="1"/>
  <c r="BF12" i="1"/>
  <c r="FY12" i="1"/>
  <c r="FA12" i="1"/>
  <c r="DE12" i="1"/>
  <c r="EU12" i="1"/>
  <c r="AE12" i="1"/>
  <c r="GH12" i="1"/>
  <c r="BR12" i="1"/>
  <c r="FD12" i="1"/>
  <c r="GN12" i="1"/>
  <c r="HX12" i="1"/>
  <c r="JH12" i="1"/>
  <c r="CS12" i="1"/>
  <c r="CJ12" i="1"/>
  <c r="FS12" i="1"/>
  <c r="G12" i="1"/>
  <c r="CY12" i="1"/>
  <c r="GT12" i="1"/>
  <c r="AH12" i="1"/>
  <c r="IV12" i="1"/>
  <c r="EF12" i="1"/>
  <c r="FP12" i="1"/>
  <c r="AW12" i="1"/>
  <c r="AN12" i="1"/>
  <c r="DW12" i="1"/>
  <c r="HO12" i="1"/>
  <c r="BC12" i="1"/>
  <c r="EX12" i="1"/>
  <c r="IP12" i="1"/>
  <c r="CD12" i="1"/>
  <c r="EC12" i="1"/>
  <c r="FM12" i="1"/>
  <c r="GW12" i="1"/>
  <c r="BI12" i="1"/>
  <c r="AZ12" i="1"/>
  <c r="EI12" i="1"/>
  <c r="IA12" i="1"/>
  <c r="BO12" i="1"/>
  <c r="FJ12" i="1"/>
  <c r="JB12" i="1"/>
  <c r="O11" i="45"/>
  <c r="G11" i="45"/>
  <c r="K11" i="45"/>
  <c r="R11" i="45"/>
  <c r="O10" i="45"/>
  <c r="G10" i="45"/>
  <c r="K10" i="45"/>
  <c r="R10" i="45"/>
  <c r="K9" i="45"/>
  <c r="O9" i="45"/>
  <c r="G9" i="45"/>
  <c r="R9" i="45"/>
  <c r="R41" i="48"/>
  <c r="BC41" i="48" s="1"/>
  <c r="E14" i="1"/>
  <c r="F5" i="55"/>
  <c r="G5" i="55" s="1"/>
  <c r="F4" i="55"/>
  <c r="F33" i="55"/>
  <c r="F19" i="55"/>
  <c r="G19" i="55" s="1"/>
  <c r="F28" i="55"/>
  <c r="F30" i="55"/>
  <c r="F7" i="55"/>
  <c r="G7" i="55" s="1"/>
  <c r="F24" i="55"/>
  <c r="F17" i="55"/>
  <c r="F40" i="55"/>
  <c r="F25" i="55"/>
  <c r="F37" i="55"/>
  <c r="F21" i="55"/>
  <c r="F39" i="55"/>
  <c r="F9" i="55"/>
  <c r="G9" i="55" s="1"/>
  <c r="F29" i="55"/>
  <c r="F22" i="55"/>
  <c r="F10" i="55"/>
  <c r="G10" i="55" s="1"/>
  <c r="F18" i="55"/>
  <c r="F6" i="55"/>
  <c r="G6" i="55" s="1"/>
  <c r="F26" i="55"/>
  <c r="F20" i="55"/>
  <c r="F32" i="55"/>
  <c r="F31" i="55"/>
  <c r="F36" i="55"/>
  <c r="F35" i="55"/>
  <c r="F38" i="55"/>
  <c r="F8" i="55"/>
  <c r="G8" i="55" s="1"/>
  <c r="F11" i="55"/>
  <c r="G11" i="55" s="1"/>
  <c r="F27" i="55"/>
  <c r="F34" i="55"/>
  <c r="F23" i="55"/>
  <c r="IY15" i="1"/>
  <c r="IM15" i="1"/>
  <c r="IA15" i="1"/>
  <c r="HO15" i="1"/>
  <c r="HC15" i="1"/>
  <c r="GQ15" i="1"/>
  <c r="GE15" i="1"/>
  <c r="FS15" i="1"/>
  <c r="FG15" i="1"/>
  <c r="EU15" i="1"/>
  <c r="EI15" i="1"/>
  <c r="DW15" i="1"/>
  <c r="DK15" i="1"/>
  <c r="CY15" i="1"/>
  <c r="IP15" i="1"/>
  <c r="GZ15" i="1"/>
  <c r="FY15" i="1"/>
  <c r="EX15" i="1"/>
  <c r="DH15" i="1"/>
  <c r="JB15" i="1"/>
  <c r="HL15" i="1"/>
  <c r="GK15" i="1"/>
  <c r="FJ15" i="1"/>
  <c r="DT15" i="1"/>
  <c r="CS15" i="1"/>
  <c r="CG15" i="1"/>
  <c r="BU15" i="1"/>
  <c r="BI15" i="1"/>
  <c r="AW15" i="1"/>
  <c r="AK15" i="1"/>
  <c r="Y15" i="1"/>
  <c r="M15" i="1"/>
  <c r="HX15" i="1"/>
  <c r="GW15" i="1"/>
  <c r="FV15" i="1"/>
  <c r="EF15" i="1"/>
  <c r="DE15" i="1"/>
  <c r="IJ15" i="1"/>
  <c r="HI15" i="1"/>
  <c r="GH15" i="1"/>
  <c r="ER15" i="1"/>
  <c r="DQ15" i="1"/>
  <c r="CP15" i="1"/>
  <c r="CD15" i="1"/>
  <c r="BR15" i="1"/>
  <c r="BF15" i="1"/>
  <c r="AT15" i="1"/>
  <c r="AH15" i="1"/>
  <c r="V15" i="1"/>
  <c r="J15" i="1"/>
  <c r="IV15" i="1"/>
  <c r="HU15" i="1"/>
  <c r="GT15" i="1"/>
  <c r="FD15" i="1"/>
  <c r="EC15" i="1"/>
  <c r="DB15" i="1"/>
  <c r="IS15" i="1"/>
  <c r="HR15" i="1"/>
  <c r="GB15" i="1"/>
  <c r="FA15" i="1"/>
  <c r="DZ15" i="1"/>
  <c r="IG15" i="1"/>
  <c r="EL15" i="1"/>
  <c r="CV15" i="1"/>
  <c r="BO15" i="1"/>
  <c r="AZ15" i="1"/>
  <c r="S15" i="1"/>
  <c r="DN15" i="1"/>
  <c r="FM15" i="1"/>
  <c r="JE15" i="1"/>
  <c r="ID15" i="1"/>
  <c r="GN15" i="1"/>
  <c r="CA15" i="1"/>
  <c r="BL15" i="1"/>
  <c r="AE15" i="1"/>
  <c r="P15" i="1"/>
  <c r="JH15" i="1"/>
  <c r="HF15" i="1"/>
  <c r="FP15" i="1"/>
  <c r="CM15" i="1"/>
  <c r="BX15" i="1"/>
  <c r="AQ15" i="1"/>
  <c r="AB15" i="1"/>
  <c r="EO15" i="1"/>
  <c r="CJ15" i="1"/>
  <c r="BC15" i="1"/>
  <c r="AN15" i="1"/>
  <c r="G15" i="1"/>
  <c r="I10" i="48"/>
  <c r="E10" i="1"/>
  <c r="E11" i="2" s="1"/>
  <c r="BM11" i="2" s="1"/>
  <c r="G34" i="45"/>
  <c r="K34" i="45"/>
  <c r="R34" i="45"/>
  <c r="O34" i="45"/>
  <c r="E36" i="2"/>
  <c r="BM36" i="2" s="1"/>
  <c r="J20" i="7"/>
  <c r="J20" i="6" s="1"/>
  <c r="J20" i="37" s="1"/>
  <c r="J20" i="4" s="1"/>
  <c r="J20" i="43" s="1"/>
  <c r="K56" i="32"/>
  <c r="J8" i="7"/>
  <c r="J8" i="6" s="1"/>
  <c r="J8" i="37" s="1"/>
  <c r="J8" i="4" s="1"/>
  <c r="J8" i="43" s="1"/>
  <c r="J41" i="32"/>
  <c r="J21" i="7"/>
  <c r="J21" i="6" s="1"/>
  <c r="J21" i="37" s="1"/>
  <c r="J21" i="4" s="1"/>
  <c r="J21" i="43" s="1"/>
  <c r="J9" i="7"/>
  <c r="J9" i="6" s="1"/>
  <c r="J9" i="37" s="1"/>
  <c r="J9" i="4" s="1"/>
  <c r="J9" i="43" s="1"/>
  <c r="J18" i="9"/>
  <c r="J18" i="8" s="1"/>
  <c r="J18" i="7" s="1"/>
  <c r="J18" i="6" s="1"/>
  <c r="J18" i="37" s="1"/>
  <c r="J18" i="4" s="1"/>
  <c r="J18" i="43" s="1"/>
  <c r="J16" i="9"/>
  <c r="J16" i="8" s="1"/>
  <c r="J16" i="7" s="1"/>
  <c r="J16" i="6" s="1"/>
  <c r="J16" i="37" s="1"/>
  <c r="J16" i="4" s="1"/>
  <c r="J16" i="43" s="1"/>
  <c r="J12" i="8"/>
  <c r="J12" i="7" s="1"/>
  <c r="J12" i="6" s="1"/>
  <c r="J12" i="37" s="1"/>
  <c r="J12" i="4" s="1"/>
  <c r="J12" i="43" s="1"/>
  <c r="J40" i="31"/>
  <c r="J40" i="30" s="1"/>
  <c r="J45" i="30" s="1"/>
  <c r="AJ10" i="48"/>
  <c r="BC10" i="48"/>
  <c r="J11" i="9"/>
  <c r="J11" i="8" s="1"/>
  <c r="J11" i="7" s="1"/>
  <c r="J11" i="6" s="1"/>
  <c r="J11" i="37" s="1"/>
  <c r="J11" i="4" s="1"/>
  <c r="J11" i="43" s="1"/>
  <c r="J19" i="9"/>
  <c r="J19" i="8" s="1"/>
  <c r="J19" i="7" s="1"/>
  <c r="J19" i="6" s="1"/>
  <c r="J19" i="37" s="1"/>
  <c r="J19" i="4" s="1"/>
  <c r="J19" i="43" s="1"/>
  <c r="AD10" i="48"/>
  <c r="J48" i="32"/>
  <c r="J14" i="9"/>
  <c r="J14" i="8" s="1"/>
  <c r="J17" i="9"/>
  <c r="J17" i="8" s="1"/>
  <c r="J17" i="7" s="1"/>
  <c r="J17" i="6" s="1"/>
  <c r="J17" i="37" s="1"/>
  <c r="J17" i="4" s="1"/>
  <c r="J17" i="43" s="1"/>
  <c r="S10" i="48"/>
  <c r="BD10" i="48" s="1"/>
  <c r="J15" i="9"/>
  <c r="J15" i="8" s="1"/>
  <c r="J15" i="7" s="1"/>
  <c r="J15" i="6" s="1"/>
  <c r="J15" i="37" s="1"/>
  <c r="J15" i="4" s="1"/>
  <c r="J15" i="43" s="1"/>
  <c r="J45" i="32"/>
  <c r="J10" i="48"/>
  <c r="J13" i="9"/>
  <c r="J13" i="8" s="1"/>
  <c r="J13" i="7" s="1"/>
  <c r="J13" i="6" s="1"/>
  <c r="J13" i="37" s="1"/>
  <c r="J13" i="4" s="1"/>
  <c r="J13" i="43" s="1"/>
  <c r="J10" i="9"/>
  <c r="J10" i="8" s="1"/>
  <c r="J10" i="7" s="1"/>
  <c r="J10" i="6" s="1"/>
  <c r="J10" i="37" s="1"/>
  <c r="J10" i="4" s="1"/>
  <c r="J10" i="43" s="1"/>
  <c r="E30" i="2"/>
  <c r="BM30" i="2" s="1"/>
  <c r="G28" i="45"/>
  <c r="K28" i="45"/>
  <c r="R28" i="45"/>
  <c r="O28" i="45"/>
  <c r="G30" i="45"/>
  <c r="O30" i="45"/>
  <c r="K30" i="45"/>
  <c r="R30" i="45"/>
  <c r="E32" i="2"/>
  <c r="BM32" i="2" s="1"/>
  <c r="E31" i="2"/>
  <c r="BM31" i="2" s="1"/>
  <c r="R29" i="45"/>
  <c r="G29" i="45"/>
  <c r="O29" i="45"/>
  <c r="K29" i="45"/>
  <c r="K26" i="45"/>
  <c r="R26" i="45"/>
  <c r="O26" i="45"/>
  <c r="G26" i="45"/>
  <c r="O25" i="45"/>
  <c r="G25" i="45"/>
  <c r="K25" i="45"/>
  <c r="R25" i="45"/>
  <c r="R22" i="45"/>
  <c r="O22" i="45"/>
  <c r="G22" i="45"/>
  <c r="K22" i="45"/>
  <c r="E24" i="2"/>
  <c r="BM24" i="2" s="1"/>
  <c r="E28" i="2"/>
  <c r="BM28" i="2" s="1"/>
  <c r="E27" i="2"/>
  <c r="BM27" i="2" s="1"/>
  <c r="G27" i="45"/>
  <c r="K27" i="45"/>
  <c r="O27" i="45"/>
  <c r="R27" i="45"/>
  <c r="E29" i="2"/>
  <c r="BM29" i="2" s="1"/>
  <c r="G16" i="45"/>
  <c r="K16" i="45"/>
  <c r="O16" i="45"/>
  <c r="R16" i="45"/>
  <c r="K18" i="45"/>
  <c r="G18" i="45"/>
  <c r="O18" i="45"/>
  <c r="R18" i="45"/>
  <c r="E20" i="2"/>
  <c r="BM20" i="2" s="1"/>
  <c r="E18" i="2"/>
  <c r="BM18" i="2" s="1"/>
  <c r="E17" i="2"/>
  <c r="BM17" i="2" s="1"/>
  <c r="K15" i="45"/>
  <c r="G15" i="45"/>
  <c r="O15" i="45"/>
  <c r="R15" i="45"/>
  <c r="E16" i="2"/>
  <c r="BM16" i="2" s="1"/>
  <c r="C40" i="45"/>
  <c r="G40" i="45" s="1"/>
  <c r="BC14" i="48"/>
  <c r="J14" i="48"/>
  <c r="AJ14" i="48"/>
  <c r="AD14" i="48"/>
  <c r="I14" i="48"/>
  <c r="E14" i="2"/>
  <c r="BM14" i="2" s="1"/>
  <c r="E13" i="2"/>
  <c r="BM13" i="2" s="1"/>
  <c r="E12" i="2"/>
  <c r="BM12" i="2" s="1"/>
  <c r="AI10" i="48"/>
  <c r="M11" i="48"/>
  <c r="M12" i="48" s="1"/>
  <c r="J49" i="32"/>
  <c r="J50" i="32" s="1"/>
  <c r="I50" i="22"/>
  <c r="I51" i="22"/>
  <c r="I50" i="7"/>
  <c r="I51" i="7"/>
  <c r="U10" i="48"/>
  <c r="W10" i="48" s="1"/>
  <c r="V10" i="48"/>
  <c r="X10" i="48"/>
  <c r="V35" i="48"/>
  <c r="X35" i="48"/>
  <c r="V21" i="48"/>
  <c r="X21" i="48"/>
  <c r="E43" i="26"/>
  <c r="E39" i="26"/>
  <c r="D48" i="28"/>
  <c r="E48" i="28" s="1"/>
  <c r="M8" i="27"/>
  <c r="M8" i="28" s="1"/>
  <c r="M34" i="29"/>
  <c r="D41" i="28"/>
  <c r="E41" i="28" s="1"/>
  <c r="E41" i="27"/>
  <c r="J56" i="28"/>
  <c r="J56" i="26" s="1"/>
  <c r="J43" i="28"/>
  <c r="J44" i="28" s="1"/>
  <c r="J44" i="27"/>
  <c r="D38" i="26"/>
  <c r="D38" i="25" s="1"/>
  <c r="E38" i="28"/>
  <c r="E52" i="29"/>
  <c r="E53" i="29" s="1"/>
  <c r="E50" i="27"/>
  <c r="D50" i="28"/>
  <c r="E50" i="28" s="1"/>
  <c r="D43" i="24"/>
  <c r="E43" i="24" s="1"/>
  <c r="E43" i="25"/>
  <c r="E42" i="27"/>
  <c r="D42" i="28"/>
  <c r="D42" i="26" s="1"/>
  <c r="D52" i="27"/>
  <c r="D53" i="27" s="1"/>
  <c r="D47" i="25"/>
  <c r="D47" i="24" s="1"/>
  <c r="E47" i="26"/>
  <c r="E46" i="27"/>
  <c r="D46" i="28"/>
  <c r="E46" i="28" s="1"/>
  <c r="D51" i="26"/>
  <c r="E51" i="26" s="1"/>
  <c r="E51" i="28"/>
  <c r="D40" i="26"/>
  <c r="D40" i="25" s="1"/>
  <c r="E40" i="28"/>
  <c r="D44" i="25"/>
  <c r="E44" i="25" s="1"/>
  <c r="E44" i="26"/>
  <c r="D45" i="24"/>
  <c r="D45" i="23" s="1"/>
  <c r="E45" i="25"/>
  <c r="J37" i="27"/>
  <c r="J39" i="27" s="1"/>
  <c r="J39" i="29"/>
  <c r="J57" i="28"/>
  <c r="J57" i="26" s="1"/>
  <c r="D49" i="25"/>
  <c r="E49" i="25" s="1"/>
  <c r="E49" i="26"/>
  <c r="D39" i="24"/>
  <c r="E39" i="24" s="1"/>
  <c r="E39" i="25"/>
  <c r="M7" i="25"/>
  <c r="M7" i="24" s="1"/>
  <c r="J47" i="28"/>
  <c r="J46" i="26"/>
  <c r="J47" i="26" s="1"/>
  <c r="J57" i="14"/>
  <c r="J57" i="13" s="1"/>
  <c r="AC14" i="48"/>
  <c r="Q15" i="48"/>
  <c r="AC15" i="48" s="1"/>
  <c r="J14" i="7"/>
  <c r="J14" i="6" s="1"/>
  <c r="J14" i="37" s="1"/>
  <c r="J14" i="4" s="1"/>
  <c r="J14" i="43" s="1"/>
  <c r="J41" i="31"/>
  <c r="E15" i="2"/>
  <c r="BM15" i="2" s="1"/>
  <c r="A17" i="48" l="1"/>
  <c r="A17" i="2"/>
  <c r="AI11" i="48"/>
  <c r="J43" i="26"/>
  <c r="J44" i="26" s="1"/>
  <c r="D48" i="26"/>
  <c r="D48" i="25" s="1"/>
  <c r="E48" i="25" s="1"/>
  <c r="J37" i="28"/>
  <c r="J37" i="26" s="1"/>
  <c r="J37" i="25" s="1"/>
  <c r="AE10" i="48"/>
  <c r="AJ41" i="48"/>
  <c r="I41" i="48"/>
  <c r="AD41" i="48"/>
  <c r="J41" i="48"/>
  <c r="J48" i="30"/>
  <c r="J41" i="30"/>
  <c r="K56" i="31"/>
  <c r="J45" i="31"/>
  <c r="K57" i="30"/>
  <c r="D43" i="23"/>
  <c r="E43" i="23" s="1"/>
  <c r="J40" i="29"/>
  <c r="J41" i="29" s="1"/>
  <c r="K57" i="31"/>
  <c r="K56" i="30"/>
  <c r="J48" i="31"/>
  <c r="D46" i="26"/>
  <c r="E46" i="26" s="1"/>
  <c r="D51" i="25"/>
  <c r="E51" i="25" s="1"/>
  <c r="AK10" i="48"/>
  <c r="S11" i="48"/>
  <c r="K11" i="48" s="1"/>
  <c r="K10" i="48"/>
  <c r="J46" i="25"/>
  <c r="J46" i="24" s="1"/>
  <c r="J47" i="24" s="1"/>
  <c r="Y10" i="48"/>
  <c r="G34" i="55"/>
  <c r="G39" i="55"/>
  <c r="H39" i="55" s="1"/>
  <c r="G37" i="55"/>
  <c r="G32" i="55"/>
  <c r="U11" i="48"/>
  <c r="W11" i="48" s="1"/>
  <c r="E47" i="25"/>
  <c r="E38" i="26"/>
  <c r="D49" i="24"/>
  <c r="E49" i="24" s="1"/>
  <c r="R40" i="45"/>
  <c r="G20" i="55"/>
  <c r="D44" i="24"/>
  <c r="G25" i="55"/>
  <c r="J49" i="31"/>
  <c r="J51" i="31" s="1"/>
  <c r="IY10" i="1"/>
  <c r="IM10" i="1"/>
  <c r="IA10" i="1"/>
  <c r="HO10" i="1"/>
  <c r="HC10" i="1"/>
  <c r="GQ10" i="1"/>
  <c r="GE10" i="1"/>
  <c r="FS10" i="1"/>
  <c r="FG10" i="1"/>
  <c r="EU10" i="1"/>
  <c r="EI10" i="1"/>
  <c r="DW10" i="1"/>
  <c r="DK10" i="1"/>
  <c r="DE10" i="1"/>
  <c r="CS10" i="1"/>
  <c r="CG10" i="1"/>
  <c r="BU10" i="1"/>
  <c r="BI10" i="1"/>
  <c r="AW10" i="1"/>
  <c r="AK10" i="1"/>
  <c r="Y10" i="1"/>
  <c r="JE10" i="1"/>
  <c r="IS10" i="1"/>
  <c r="IG10" i="1"/>
  <c r="HU10" i="1"/>
  <c r="HR10" i="1"/>
  <c r="GB10" i="1"/>
  <c r="FA10" i="1"/>
  <c r="DZ10" i="1"/>
  <c r="CV10" i="1"/>
  <c r="BF10" i="1"/>
  <c r="AE10" i="1"/>
  <c r="DN10" i="1"/>
  <c r="AT10" i="1"/>
  <c r="G10" i="1"/>
  <c r="IV10" i="1"/>
  <c r="GN10" i="1"/>
  <c r="FM10" i="1"/>
  <c r="EL10" i="1"/>
  <c r="DH10" i="1"/>
  <c r="BR10" i="1"/>
  <c r="AQ10" i="1"/>
  <c r="P10" i="1"/>
  <c r="HX10" i="1"/>
  <c r="J10" i="1"/>
  <c r="FP10" i="1"/>
  <c r="ID10" i="1"/>
  <c r="GZ10" i="1"/>
  <c r="FY10" i="1"/>
  <c r="EX10" i="1"/>
  <c r="CD10" i="1"/>
  <c r="BC10" i="1"/>
  <c r="AB10" i="1"/>
  <c r="HI10" i="1"/>
  <c r="ER10" i="1"/>
  <c r="CM10" i="1"/>
  <c r="V10" i="1"/>
  <c r="JH10" i="1"/>
  <c r="HL10" i="1"/>
  <c r="GK10" i="1"/>
  <c r="FJ10" i="1"/>
  <c r="DT10" i="1"/>
  <c r="CP10" i="1"/>
  <c r="BO10" i="1"/>
  <c r="AN10" i="1"/>
  <c r="M10" i="1"/>
  <c r="BL10" i="1"/>
  <c r="IP10" i="1"/>
  <c r="GW10" i="1"/>
  <c r="FV10" i="1"/>
  <c r="EF10" i="1"/>
  <c r="DB10" i="1"/>
  <c r="CA10" i="1"/>
  <c r="AZ10" i="1"/>
  <c r="GH10" i="1"/>
  <c r="DQ10" i="1"/>
  <c r="IJ10" i="1"/>
  <c r="HF10" i="1"/>
  <c r="CJ10" i="1"/>
  <c r="S10" i="1"/>
  <c r="JB10" i="1"/>
  <c r="GT10" i="1"/>
  <c r="FD10" i="1"/>
  <c r="EC10" i="1"/>
  <c r="CY10" i="1"/>
  <c r="BX10" i="1"/>
  <c r="AH10" i="1"/>
  <c r="EO10" i="1"/>
  <c r="G4" i="55"/>
  <c r="H4" i="55" s="1"/>
  <c r="O40" i="45"/>
  <c r="K40" i="45"/>
  <c r="Q16" i="48"/>
  <c r="Q17" i="48" s="1"/>
  <c r="E45" i="24"/>
  <c r="D41" i="26"/>
  <c r="D41" i="25" s="1"/>
  <c r="J51" i="32"/>
  <c r="E52" i="27"/>
  <c r="E53" i="27" s="1"/>
  <c r="G17" i="55"/>
  <c r="D39" i="23"/>
  <c r="D39" i="21" s="1"/>
  <c r="E39" i="21" s="1"/>
  <c r="D50" i="26"/>
  <c r="D50" i="25" s="1"/>
  <c r="E50" i="25" s="1"/>
  <c r="M34" i="27"/>
  <c r="JH14" i="1"/>
  <c r="IV14" i="1"/>
  <c r="IJ14" i="1"/>
  <c r="HX14" i="1"/>
  <c r="HL14" i="1"/>
  <c r="GZ14" i="1"/>
  <c r="GN14" i="1"/>
  <c r="GB14" i="1"/>
  <c r="FP14" i="1"/>
  <c r="FD14" i="1"/>
  <c r="ER14" i="1"/>
  <c r="EF14" i="1"/>
  <c r="DT14" i="1"/>
  <c r="JB14" i="1"/>
  <c r="IP14" i="1"/>
  <c r="ID14" i="1"/>
  <c r="HR14" i="1"/>
  <c r="HF14" i="1"/>
  <c r="GT14" i="1"/>
  <c r="GH14" i="1"/>
  <c r="FV14" i="1"/>
  <c r="FJ14" i="1"/>
  <c r="EX14" i="1"/>
  <c r="EL14" i="1"/>
  <c r="DZ14" i="1"/>
  <c r="DN14" i="1"/>
  <c r="IY14" i="1"/>
  <c r="HC14" i="1"/>
  <c r="FG14" i="1"/>
  <c r="DK14" i="1"/>
  <c r="CY14" i="1"/>
  <c r="CM14" i="1"/>
  <c r="CA14" i="1"/>
  <c r="BO14" i="1"/>
  <c r="BC14" i="1"/>
  <c r="AQ14" i="1"/>
  <c r="AE14" i="1"/>
  <c r="S14" i="1"/>
  <c r="G14" i="1"/>
  <c r="IG14" i="1"/>
  <c r="GK14" i="1"/>
  <c r="EO14" i="1"/>
  <c r="HO14" i="1"/>
  <c r="FS14" i="1"/>
  <c r="DW14" i="1"/>
  <c r="DH14" i="1"/>
  <c r="CV14" i="1"/>
  <c r="CJ14" i="1"/>
  <c r="BX14" i="1"/>
  <c r="BL14" i="1"/>
  <c r="AZ14" i="1"/>
  <c r="AN14" i="1"/>
  <c r="AB14" i="1"/>
  <c r="P14" i="1"/>
  <c r="IS14" i="1"/>
  <c r="GW14" i="1"/>
  <c r="FA14" i="1"/>
  <c r="IA14" i="1"/>
  <c r="GE14" i="1"/>
  <c r="EI14" i="1"/>
  <c r="DE14" i="1"/>
  <c r="CS14" i="1"/>
  <c r="CG14" i="1"/>
  <c r="BU14" i="1"/>
  <c r="BI14" i="1"/>
  <c r="AW14" i="1"/>
  <c r="AK14" i="1"/>
  <c r="Y14" i="1"/>
  <c r="M14" i="1"/>
  <c r="IM14" i="1"/>
  <c r="GQ14" i="1"/>
  <c r="EU14" i="1"/>
  <c r="DB14" i="1"/>
  <c r="CP14" i="1"/>
  <c r="CD14" i="1"/>
  <c r="BR14" i="1"/>
  <c r="BF14" i="1"/>
  <c r="AT14" i="1"/>
  <c r="AH14" i="1"/>
  <c r="V14" i="1"/>
  <c r="J14" i="1"/>
  <c r="HI14" i="1"/>
  <c r="FY14" i="1"/>
  <c r="FM14" i="1"/>
  <c r="HU14" i="1"/>
  <c r="EC14" i="1"/>
  <c r="DQ14" i="1"/>
  <c r="JE14" i="1"/>
  <c r="E40" i="26"/>
  <c r="E42" i="28"/>
  <c r="E52" i="28" s="1"/>
  <c r="E53" i="28" s="1"/>
  <c r="D52" i="28"/>
  <c r="D53" i="28" s="1"/>
  <c r="F11" i="2"/>
  <c r="BN11" i="2" s="1"/>
  <c r="E42" i="2"/>
  <c r="BM42" i="2" s="1"/>
  <c r="AI12" i="48"/>
  <c r="M13" i="48"/>
  <c r="AI13" i="48" s="1"/>
  <c r="E48" i="26"/>
  <c r="M8" i="26"/>
  <c r="M8" i="25" s="1"/>
  <c r="M34" i="28"/>
  <c r="J56" i="25"/>
  <c r="J56" i="24" s="1"/>
  <c r="D38" i="24"/>
  <c r="E38" i="24" s="1"/>
  <c r="E38" i="25"/>
  <c r="E42" i="26"/>
  <c r="D42" i="25"/>
  <c r="D42" i="24" s="1"/>
  <c r="D48" i="24"/>
  <c r="D48" i="23" s="1"/>
  <c r="D47" i="23"/>
  <c r="E47" i="23" s="1"/>
  <c r="E47" i="24"/>
  <c r="D40" i="24"/>
  <c r="E40" i="24" s="1"/>
  <c r="E40" i="25"/>
  <c r="E45" i="23"/>
  <c r="D45" i="21"/>
  <c r="J57" i="25"/>
  <c r="M7" i="23"/>
  <c r="M7" i="21" s="1"/>
  <c r="J57" i="12"/>
  <c r="J57" i="11" s="1"/>
  <c r="J43" i="25" l="1"/>
  <c r="J43" i="24" s="1"/>
  <c r="A18" i="48"/>
  <c r="A18" i="2"/>
  <c r="J39" i="28"/>
  <c r="D44" i="23"/>
  <c r="D44" i="21" s="1"/>
  <c r="D44" i="22" s="1"/>
  <c r="E44" i="24"/>
  <c r="D51" i="24"/>
  <c r="E51" i="24" s="1"/>
  <c r="D43" i="21"/>
  <c r="D43" i="22" s="1"/>
  <c r="E43" i="22" s="1"/>
  <c r="K56" i="29"/>
  <c r="K57" i="29"/>
  <c r="J40" i="27"/>
  <c r="J45" i="27" s="1"/>
  <c r="J48" i="29"/>
  <c r="J45" i="29"/>
  <c r="M34" i="26"/>
  <c r="D46" i="25"/>
  <c r="E46" i="25" s="1"/>
  <c r="J47" i="25"/>
  <c r="BD11" i="48"/>
  <c r="AK11" i="48"/>
  <c r="S12" i="48"/>
  <c r="AE11" i="48"/>
  <c r="Y11" i="48"/>
  <c r="E39" i="23"/>
  <c r="D49" i="23"/>
  <c r="E49" i="23" s="1"/>
  <c r="J46" i="23"/>
  <c r="J47" i="23" s="1"/>
  <c r="F12" i="2"/>
  <c r="BN12" i="2" s="1"/>
  <c r="J49" i="30"/>
  <c r="J51" i="30" s="1"/>
  <c r="U12" i="48"/>
  <c r="J50" i="31"/>
  <c r="J44" i="25"/>
  <c r="H25" i="55"/>
  <c r="D45" i="22"/>
  <c r="E45" i="22" s="1"/>
  <c r="E48" i="24"/>
  <c r="E41" i="26"/>
  <c r="D47" i="21"/>
  <c r="D47" i="22" s="1"/>
  <c r="E42" i="25"/>
  <c r="Q18" i="48"/>
  <c r="AC18" i="48" s="1"/>
  <c r="AC17" i="48"/>
  <c r="AC16" i="48"/>
  <c r="G145" i="56" s="1"/>
  <c r="J39" i="26"/>
  <c r="D52" i="26"/>
  <c r="D53" i="26" s="1"/>
  <c r="E50" i="26"/>
  <c r="E41" i="25"/>
  <c r="D41" i="24"/>
  <c r="D41" i="23" s="1"/>
  <c r="D50" i="24"/>
  <c r="E50" i="24" s="1"/>
  <c r="D38" i="23"/>
  <c r="E38" i="23" s="1"/>
  <c r="M14" i="48"/>
  <c r="M15" i="48" s="1"/>
  <c r="E45" i="21"/>
  <c r="D40" i="23"/>
  <c r="D40" i="21" s="1"/>
  <c r="D39" i="22"/>
  <c r="D39" i="20" s="1"/>
  <c r="M8" i="24"/>
  <c r="M34" i="25"/>
  <c r="J56" i="23"/>
  <c r="J44" i="24"/>
  <c r="J43" i="23"/>
  <c r="E42" i="24"/>
  <c r="D42" i="23"/>
  <c r="E48" i="23"/>
  <c r="D48" i="21"/>
  <c r="J37" i="24"/>
  <c r="J39" i="25"/>
  <c r="M7" i="22"/>
  <c r="J57" i="10"/>
  <c r="A19" i="48" l="1"/>
  <c r="A19" i="2"/>
  <c r="E44" i="21"/>
  <c r="E44" i="23"/>
  <c r="D51" i="23"/>
  <c r="E51" i="23" s="1"/>
  <c r="Q19" i="48"/>
  <c r="AC19" i="48" s="1"/>
  <c r="J48" i="27"/>
  <c r="D43" i="20"/>
  <c r="D43" i="19" s="1"/>
  <c r="E43" i="21"/>
  <c r="D52" i="25"/>
  <c r="D53" i="25" s="1"/>
  <c r="D49" i="21"/>
  <c r="D49" i="22" s="1"/>
  <c r="E49" i="22" s="1"/>
  <c r="D46" i="24"/>
  <c r="D46" i="23" s="1"/>
  <c r="E46" i="23" s="1"/>
  <c r="Y12" i="48"/>
  <c r="K56" i="27"/>
  <c r="J41" i="27"/>
  <c r="J40" i="28"/>
  <c r="J45" i="28" s="1"/>
  <c r="K57" i="27"/>
  <c r="E52" i="25"/>
  <c r="E53" i="25" s="1"/>
  <c r="F13" i="2"/>
  <c r="F14" i="2" s="1"/>
  <c r="BN14" i="2" s="1"/>
  <c r="BD12" i="48"/>
  <c r="AE12" i="48"/>
  <c r="AK12" i="48"/>
  <c r="S13" i="48"/>
  <c r="K12" i="48"/>
  <c r="D50" i="23"/>
  <c r="D45" i="20"/>
  <c r="E45" i="20" s="1"/>
  <c r="E52" i="26"/>
  <c r="E53" i="26" s="1"/>
  <c r="E47" i="21"/>
  <c r="D38" i="21"/>
  <c r="D38" i="22" s="1"/>
  <c r="J49" i="29"/>
  <c r="J51" i="29" s="1"/>
  <c r="J50" i="30"/>
  <c r="J46" i="21"/>
  <c r="J47" i="21" s="1"/>
  <c r="U13" i="48"/>
  <c r="W12" i="48"/>
  <c r="AI14" i="48"/>
  <c r="E39" i="22"/>
  <c r="D51" i="21"/>
  <c r="D51" i="22" s="1"/>
  <c r="E41" i="24"/>
  <c r="E40" i="23"/>
  <c r="AI15" i="48"/>
  <c r="M16" i="48"/>
  <c r="M8" i="23"/>
  <c r="M34" i="24"/>
  <c r="E41" i="23"/>
  <c r="D41" i="21"/>
  <c r="J44" i="23"/>
  <c r="J43" i="21"/>
  <c r="J56" i="21"/>
  <c r="D47" i="20"/>
  <c r="E47" i="22"/>
  <c r="E48" i="21"/>
  <c r="D48" i="22"/>
  <c r="D42" i="21"/>
  <c r="E42" i="23"/>
  <c r="D44" i="20"/>
  <c r="E44" i="22"/>
  <c r="D40" i="22"/>
  <c r="E40" i="21"/>
  <c r="J39" i="24"/>
  <c r="J37" i="23"/>
  <c r="E39" i="20"/>
  <c r="D39" i="19"/>
  <c r="Q20" i="48"/>
  <c r="J57" i="9"/>
  <c r="M7" i="20"/>
  <c r="A20" i="48" l="1"/>
  <c r="A20" i="2"/>
  <c r="E43" i="20"/>
  <c r="D49" i="20"/>
  <c r="E49" i="20" s="1"/>
  <c r="E49" i="21"/>
  <c r="D46" i="21"/>
  <c r="D46" i="22" s="1"/>
  <c r="D52" i="24"/>
  <c r="D53" i="24" s="1"/>
  <c r="E46" i="24"/>
  <c r="E52" i="24" s="1"/>
  <c r="E53" i="24" s="1"/>
  <c r="D52" i="23"/>
  <c r="D53" i="23" s="1"/>
  <c r="K56" i="28"/>
  <c r="J48" i="28"/>
  <c r="J41" i="28"/>
  <c r="J40" i="26"/>
  <c r="J40" i="25" s="1"/>
  <c r="K57" i="28"/>
  <c r="F15" i="2"/>
  <c r="F16" i="2" s="1"/>
  <c r="BN13" i="2"/>
  <c r="Y13" i="48"/>
  <c r="E50" i="23"/>
  <c r="E52" i="23" s="1"/>
  <c r="E53" i="23" s="1"/>
  <c r="D50" i="21"/>
  <c r="D50" i="22" s="1"/>
  <c r="D45" i="19"/>
  <c r="E45" i="19" s="1"/>
  <c r="W13" i="48"/>
  <c r="BD13" i="48"/>
  <c r="AE13" i="48"/>
  <c r="S14" i="48"/>
  <c r="K13" i="48"/>
  <c r="AK13" i="48"/>
  <c r="J50" i="29"/>
  <c r="E38" i="21"/>
  <c r="E51" i="21"/>
  <c r="J46" i="22"/>
  <c r="J47" i="22" s="1"/>
  <c r="AI16" i="48"/>
  <c r="M17" i="48"/>
  <c r="M18" i="48" s="1"/>
  <c r="M19" i="48" s="1"/>
  <c r="M8" i="21"/>
  <c r="M34" i="23"/>
  <c r="D41" i="22"/>
  <c r="E41" i="21"/>
  <c r="J56" i="22"/>
  <c r="J43" i="22"/>
  <c r="J44" i="21"/>
  <c r="E38" i="22"/>
  <c r="D38" i="20"/>
  <c r="E43" i="19"/>
  <c r="D43" i="18"/>
  <c r="E48" i="22"/>
  <c r="D48" i="20"/>
  <c r="D47" i="19"/>
  <c r="E47" i="20"/>
  <c r="E42" i="21"/>
  <c r="D42" i="22"/>
  <c r="E40" i="22"/>
  <c r="D40" i="20"/>
  <c r="D44" i="19"/>
  <c r="E44" i="20"/>
  <c r="D51" i="20"/>
  <c r="E51" i="22"/>
  <c r="J37" i="21"/>
  <c r="J39" i="23"/>
  <c r="M7" i="19"/>
  <c r="J57" i="8"/>
  <c r="Q21" i="48"/>
  <c r="AC20" i="48"/>
  <c r="D39" i="18"/>
  <c r="E39" i="19"/>
  <c r="A21" i="48" l="1"/>
  <c r="A21" i="2"/>
  <c r="D49" i="19"/>
  <c r="D49" i="18" s="1"/>
  <c r="E50" i="21"/>
  <c r="E46" i="21"/>
  <c r="E52" i="21" s="1"/>
  <c r="E53" i="21" s="1"/>
  <c r="BN15" i="2"/>
  <c r="J48" i="26"/>
  <c r="D45" i="18"/>
  <c r="E45" i="18" s="1"/>
  <c r="K57" i="26"/>
  <c r="J45" i="26"/>
  <c r="J48" i="25"/>
  <c r="K57" i="25"/>
  <c r="J41" i="25"/>
  <c r="J45" i="25"/>
  <c r="J40" i="24"/>
  <c r="J41" i="24" s="1"/>
  <c r="K56" i="25"/>
  <c r="K56" i="26"/>
  <c r="J41" i="26"/>
  <c r="D52" i="21"/>
  <c r="D53" i="21" s="1"/>
  <c r="BD14" i="48"/>
  <c r="AK14" i="48"/>
  <c r="S15" i="48"/>
  <c r="AE14" i="48"/>
  <c r="K14" i="48"/>
  <c r="J46" i="20"/>
  <c r="J47" i="20" s="1"/>
  <c r="AI18" i="48"/>
  <c r="AI17" i="48"/>
  <c r="BN16" i="2"/>
  <c r="F17" i="2"/>
  <c r="M8" i="22"/>
  <c r="M34" i="21"/>
  <c r="E41" i="22"/>
  <c r="D41" i="20"/>
  <c r="J43" i="20"/>
  <c r="J44" i="22"/>
  <c r="J56" i="20"/>
  <c r="E38" i="20"/>
  <c r="D38" i="19"/>
  <c r="E50" i="22"/>
  <c r="D50" i="20"/>
  <c r="D43" i="17"/>
  <c r="E43" i="18"/>
  <c r="E42" i="22"/>
  <c r="D42" i="20"/>
  <c r="E46" i="22"/>
  <c r="D46" i="20"/>
  <c r="E47" i="19"/>
  <c r="D47" i="18"/>
  <c r="D52" i="22"/>
  <c r="D53" i="22" s="1"/>
  <c r="D48" i="19"/>
  <c r="E48" i="20"/>
  <c r="D44" i="18"/>
  <c r="E44" i="19"/>
  <c r="D40" i="19"/>
  <c r="E40" i="20"/>
  <c r="E51" i="20"/>
  <c r="D51" i="19"/>
  <c r="J39" i="21"/>
  <c r="J37" i="22"/>
  <c r="D39" i="17"/>
  <c r="E39" i="18"/>
  <c r="Q22" i="48"/>
  <c r="AC21" i="48"/>
  <c r="M20" i="48"/>
  <c r="AI19" i="48"/>
  <c r="M7" i="18"/>
  <c r="J57" i="7"/>
  <c r="Z107" i="46" l="1"/>
  <c r="Z107" i="57"/>
  <c r="AA107" i="57" s="1"/>
  <c r="AB107" i="57" s="1"/>
  <c r="AA107" i="46"/>
  <c r="E49" i="19"/>
  <c r="A22" i="48"/>
  <c r="A22" i="2"/>
  <c r="K56" i="24"/>
  <c r="K57" i="24"/>
  <c r="J48" i="24"/>
  <c r="J45" i="24"/>
  <c r="J40" i="23"/>
  <c r="J45" i="23" s="1"/>
  <c r="D45" i="17"/>
  <c r="J46" i="19"/>
  <c r="J47" i="19" s="1"/>
  <c r="AK15" i="48"/>
  <c r="K15" i="48"/>
  <c r="BD15" i="48"/>
  <c r="S16" i="48"/>
  <c r="AE15" i="48"/>
  <c r="BN17" i="2"/>
  <c r="F18" i="2"/>
  <c r="D52" i="20"/>
  <c r="D53" i="20" s="1"/>
  <c r="M8" i="20"/>
  <c r="M34" i="22"/>
  <c r="D41" i="19"/>
  <c r="E41" i="20"/>
  <c r="J56" i="19"/>
  <c r="J43" i="19"/>
  <c r="J44" i="20"/>
  <c r="E38" i="19"/>
  <c r="D38" i="18"/>
  <c r="E52" i="22"/>
  <c r="E53" i="22" s="1"/>
  <c r="E50" i="20"/>
  <c r="D50" i="19"/>
  <c r="D43" i="16"/>
  <c r="E43" i="17"/>
  <c r="D48" i="18"/>
  <c r="E48" i="19"/>
  <c r="D47" i="17"/>
  <c r="E47" i="18"/>
  <c r="D46" i="19"/>
  <c r="E46" i="20"/>
  <c r="D42" i="19"/>
  <c r="E42" i="20"/>
  <c r="D51" i="18"/>
  <c r="E51" i="19"/>
  <c r="D40" i="18"/>
  <c r="E40" i="19"/>
  <c r="D44" i="17"/>
  <c r="E44" i="18"/>
  <c r="J39" i="22"/>
  <c r="J37" i="20"/>
  <c r="D49" i="17"/>
  <c r="E49" i="18"/>
  <c r="Q23" i="48"/>
  <c r="AC22" i="48"/>
  <c r="J57" i="6"/>
  <c r="M7" i="17"/>
  <c r="M21" i="48"/>
  <c r="AI20" i="48"/>
  <c r="D39" i="16"/>
  <c r="E39" i="17"/>
  <c r="Z112" i="46" l="1"/>
  <c r="AA112" i="46" s="1"/>
  <c r="AB112" i="46" s="1"/>
  <c r="Z112" i="57"/>
  <c r="AA112" i="57" s="1"/>
  <c r="AB112" i="57" s="1"/>
  <c r="AB107" i="46"/>
  <c r="A23" i="48"/>
  <c r="A23" i="2"/>
  <c r="J40" i="21"/>
  <c r="J48" i="21" s="1"/>
  <c r="K56" i="23"/>
  <c r="K57" i="23"/>
  <c r="J48" i="23"/>
  <c r="D45" i="16"/>
  <c r="D45" i="15" s="1"/>
  <c r="J41" i="23"/>
  <c r="E45" i="17"/>
  <c r="J46" i="18"/>
  <c r="J47" i="18" s="1"/>
  <c r="BD16" i="48"/>
  <c r="AK16" i="48"/>
  <c r="K16" i="48"/>
  <c r="S17" i="48"/>
  <c r="AE16" i="48"/>
  <c r="F19" i="2"/>
  <c r="BN18" i="2"/>
  <c r="M8" i="19"/>
  <c r="M34" i="20"/>
  <c r="D41" i="18"/>
  <c r="E41" i="19"/>
  <c r="J44" i="19"/>
  <c r="J43" i="18"/>
  <c r="J56" i="18"/>
  <c r="E38" i="18"/>
  <c r="D38" i="17"/>
  <c r="D52" i="19"/>
  <c r="D53" i="19" s="1"/>
  <c r="E52" i="20"/>
  <c r="E53" i="20" s="1"/>
  <c r="D50" i="18"/>
  <c r="E50" i="19"/>
  <c r="E43" i="16"/>
  <c r="D43" i="15"/>
  <c r="E42" i="19"/>
  <c r="D42" i="18"/>
  <c r="D46" i="18"/>
  <c r="E46" i="19"/>
  <c r="D47" i="16"/>
  <c r="E47" i="17"/>
  <c r="D48" i="17"/>
  <c r="E48" i="18"/>
  <c r="D40" i="17"/>
  <c r="E40" i="18"/>
  <c r="D51" i="17"/>
  <c r="E51" i="18"/>
  <c r="D44" i="16"/>
  <c r="E44" i="17"/>
  <c r="J37" i="19"/>
  <c r="J39" i="20"/>
  <c r="E49" i="17"/>
  <c r="D49" i="16"/>
  <c r="J57" i="37"/>
  <c r="D39" i="15"/>
  <c r="E39" i="16"/>
  <c r="AI21" i="48"/>
  <c r="M22" i="48"/>
  <c r="M7" i="16"/>
  <c r="Q24" i="48"/>
  <c r="AC23" i="48"/>
  <c r="K56" i="21" l="1"/>
  <c r="J41" i="21"/>
  <c r="K57" i="21"/>
  <c r="J40" i="22"/>
  <c r="J41" i="22" s="1"/>
  <c r="J45" i="21"/>
  <c r="A24" i="48"/>
  <c r="A24" i="2"/>
  <c r="E45" i="16"/>
  <c r="J46" i="17"/>
  <c r="J47" i="17" s="1"/>
  <c r="AK17" i="48"/>
  <c r="K17" i="48"/>
  <c r="BD17" i="48"/>
  <c r="S18" i="48"/>
  <c r="AE17" i="48"/>
  <c r="J48" i="22"/>
  <c r="J45" i="22"/>
  <c r="J40" i="20"/>
  <c r="BN19" i="2"/>
  <c r="F20" i="2"/>
  <c r="M8" i="18"/>
  <c r="M34" i="19"/>
  <c r="D41" i="17"/>
  <c r="E41" i="18"/>
  <c r="J56" i="17"/>
  <c r="J43" i="17"/>
  <c r="J44" i="18"/>
  <c r="E52" i="19"/>
  <c r="E53" i="19" s="1"/>
  <c r="E38" i="17"/>
  <c r="D38" i="16"/>
  <c r="E50" i="18"/>
  <c r="D50" i="17"/>
  <c r="D43" i="14"/>
  <c r="E43" i="15"/>
  <c r="D48" i="16"/>
  <c r="E48" i="17"/>
  <c r="E47" i="16"/>
  <c r="D47" i="15"/>
  <c r="E46" i="18"/>
  <c r="D46" i="17"/>
  <c r="D52" i="18"/>
  <c r="D53" i="18" s="1"/>
  <c r="E42" i="18"/>
  <c r="D42" i="17"/>
  <c r="D45" i="14"/>
  <c r="E45" i="15"/>
  <c r="E40" i="17"/>
  <c r="D40" i="16"/>
  <c r="E44" i="16"/>
  <c r="D44" i="15"/>
  <c r="D51" i="16"/>
  <c r="E51" i="17"/>
  <c r="D49" i="15"/>
  <c r="E49" i="16"/>
  <c r="J37" i="18"/>
  <c r="J39" i="19"/>
  <c r="Q25" i="48"/>
  <c r="AC24" i="48"/>
  <c r="M7" i="15"/>
  <c r="E39" i="15"/>
  <c r="D39" i="14"/>
  <c r="J57" i="4"/>
  <c r="AI22" i="48"/>
  <c r="M23" i="48"/>
  <c r="K56" i="22" l="1"/>
  <c r="K57" i="22"/>
  <c r="J46" i="16"/>
  <c r="J46" i="15" s="1"/>
  <c r="A25" i="48"/>
  <c r="A25" i="2"/>
  <c r="S19" i="48"/>
  <c r="BD18" i="48"/>
  <c r="AK18" i="48"/>
  <c r="AE18" i="48"/>
  <c r="K18" i="48"/>
  <c r="J48" i="20"/>
  <c r="J45" i="20"/>
  <c r="K57" i="20"/>
  <c r="K56" i="20"/>
  <c r="J40" i="19"/>
  <c r="J41" i="20"/>
  <c r="F21" i="2"/>
  <c r="BN20" i="2"/>
  <c r="M8" i="17"/>
  <c r="M34" i="18"/>
  <c r="E41" i="17"/>
  <c r="D41" i="16"/>
  <c r="J43" i="16"/>
  <c r="J44" i="17"/>
  <c r="J56" i="16"/>
  <c r="D38" i="15"/>
  <c r="E38" i="16"/>
  <c r="E50" i="17"/>
  <c r="D50" i="16"/>
  <c r="E52" i="18"/>
  <c r="E53" i="18" s="1"/>
  <c r="E43" i="14"/>
  <c r="D43" i="13"/>
  <c r="E42" i="17"/>
  <c r="D42" i="16"/>
  <c r="D48" i="15"/>
  <c r="E48" i="16"/>
  <c r="D52" i="17"/>
  <c r="D53" i="17" s="1"/>
  <c r="E46" i="17"/>
  <c r="D46" i="16"/>
  <c r="E47" i="15"/>
  <c r="D47" i="14"/>
  <c r="E44" i="15"/>
  <c r="D44" i="14"/>
  <c r="D45" i="13"/>
  <c r="E45" i="14"/>
  <c r="E51" i="16"/>
  <c r="D51" i="15"/>
  <c r="D40" i="15"/>
  <c r="E40" i="16"/>
  <c r="J37" i="17"/>
  <c r="J39" i="18"/>
  <c r="D49" i="14"/>
  <c r="E49" i="15"/>
  <c r="J57" i="43"/>
  <c r="E39" i="14"/>
  <c r="D39" i="13"/>
  <c r="Q26" i="48"/>
  <c r="AC25" i="48"/>
  <c r="AI23" i="48"/>
  <c r="M24" i="48"/>
  <c r="M7" i="14"/>
  <c r="Z137" i="57" l="1"/>
  <c r="Z137" i="46"/>
  <c r="J47" i="16"/>
  <c r="A26" i="48"/>
  <c r="A26" i="2"/>
  <c r="AK19" i="48"/>
  <c r="K19" i="48"/>
  <c r="S20" i="48"/>
  <c r="BD19" i="48"/>
  <c r="AE19" i="48"/>
  <c r="BN21" i="2"/>
  <c r="F22" i="2"/>
  <c r="J48" i="19"/>
  <c r="K56" i="19"/>
  <c r="J41" i="19"/>
  <c r="J40" i="18"/>
  <c r="K57" i="19"/>
  <c r="J45" i="19"/>
  <c r="M8" i="16"/>
  <c r="M34" i="17"/>
  <c r="D41" i="15"/>
  <c r="E41" i="16"/>
  <c r="J56" i="15"/>
  <c r="J43" i="15"/>
  <c r="J44" i="16"/>
  <c r="E38" i="15"/>
  <c r="D38" i="14"/>
  <c r="D52" i="16"/>
  <c r="D53" i="16" s="1"/>
  <c r="E52" i="17"/>
  <c r="E53" i="17" s="1"/>
  <c r="D50" i="15"/>
  <c r="E50" i="16"/>
  <c r="D43" i="12"/>
  <c r="E43" i="13"/>
  <c r="E47" i="14"/>
  <c r="D47" i="13"/>
  <c r="D46" i="15"/>
  <c r="E46" i="16"/>
  <c r="E48" i="15"/>
  <c r="D48" i="14"/>
  <c r="E42" i="16"/>
  <c r="D42" i="15"/>
  <c r="E51" i="15"/>
  <c r="D51" i="14"/>
  <c r="E40" i="15"/>
  <c r="D40" i="14"/>
  <c r="D45" i="12"/>
  <c r="E45" i="13"/>
  <c r="E44" i="14"/>
  <c r="D44" i="13"/>
  <c r="J39" i="17"/>
  <c r="J37" i="16"/>
  <c r="E49" i="14"/>
  <c r="D49" i="13"/>
  <c r="M7" i="13"/>
  <c r="M25" i="48"/>
  <c r="AI24" i="48"/>
  <c r="D39" i="12"/>
  <c r="E39" i="13"/>
  <c r="AC26" i="48"/>
  <c r="Q27" i="48"/>
  <c r="J47" i="15"/>
  <c r="J46" i="14"/>
  <c r="AA136" i="46" l="1"/>
  <c r="AA136" i="57"/>
  <c r="A27" i="48"/>
  <c r="A27" i="2"/>
  <c r="BD20" i="48"/>
  <c r="AK20" i="48"/>
  <c r="AE20" i="48"/>
  <c r="K20" i="48"/>
  <c r="S21" i="48"/>
  <c r="J48" i="18"/>
  <c r="J41" i="18"/>
  <c r="K56" i="18"/>
  <c r="J45" i="18"/>
  <c r="K57" i="18"/>
  <c r="J40" i="17"/>
  <c r="F23" i="2"/>
  <c r="BN22" i="2"/>
  <c r="M8" i="15"/>
  <c r="M34" i="16"/>
  <c r="D41" i="14"/>
  <c r="E41" i="15"/>
  <c r="J43" i="14"/>
  <c r="J44" i="15"/>
  <c r="J56" i="14"/>
  <c r="J59" i="14" s="1"/>
  <c r="D52" i="15"/>
  <c r="D53" i="15" s="1"/>
  <c r="E38" i="14"/>
  <c r="D38" i="13"/>
  <c r="E52" i="16"/>
  <c r="E53" i="16" s="1"/>
  <c r="D50" i="14"/>
  <c r="E50" i="15"/>
  <c r="E43" i="12"/>
  <c r="D43" i="11"/>
  <c r="E42" i="15"/>
  <c r="D42" i="14"/>
  <c r="E46" i="15"/>
  <c r="D46" i="14"/>
  <c r="E48" i="14"/>
  <c r="D48" i="13"/>
  <c r="D47" i="12"/>
  <c r="E47" i="13"/>
  <c r="D45" i="11"/>
  <c r="E45" i="12"/>
  <c r="D40" i="13"/>
  <c r="E40" i="14"/>
  <c r="D51" i="13"/>
  <c r="E51" i="14"/>
  <c r="E44" i="13"/>
  <c r="D44" i="12"/>
  <c r="D49" i="12"/>
  <c r="E49" i="13"/>
  <c r="J37" i="15"/>
  <c r="J39" i="16"/>
  <c r="J47" i="14"/>
  <c r="J46" i="13"/>
  <c r="D39" i="11"/>
  <c r="E39" i="12"/>
  <c r="M26" i="48"/>
  <c r="AI25" i="48"/>
  <c r="AC27" i="48"/>
  <c r="Q28" i="48"/>
  <c r="M7" i="12"/>
  <c r="AB136" i="57" l="1"/>
  <c r="AB136" i="46"/>
  <c r="A28" i="48"/>
  <c r="A28" i="2"/>
  <c r="AK21" i="48"/>
  <c r="BD21" i="48"/>
  <c r="K21" i="48"/>
  <c r="AE21" i="48"/>
  <c r="S22" i="48"/>
  <c r="J48" i="17"/>
  <c r="J45" i="17"/>
  <c r="J41" i="17"/>
  <c r="K57" i="17"/>
  <c r="J40" i="16"/>
  <c r="K56" i="17"/>
  <c r="BN23" i="2"/>
  <c r="F24" i="2"/>
  <c r="M8" i="14"/>
  <c r="M34" i="15"/>
  <c r="D41" i="13"/>
  <c r="E41" i="14"/>
  <c r="J56" i="13"/>
  <c r="J43" i="13"/>
  <c r="J44" i="14"/>
  <c r="E38" i="13"/>
  <c r="D38" i="12"/>
  <c r="E52" i="15"/>
  <c r="E53" i="15" s="1"/>
  <c r="E50" i="14"/>
  <c r="D50" i="13"/>
  <c r="D43" i="10"/>
  <c r="E43" i="11"/>
  <c r="E48" i="13"/>
  <c r="D48" i="12"/>
  <c r="E46" i="14"/>
  <c r="D46" i="13"/>
  <c r="D42" i="13"/>
  <c r="E42" i="14"/>
  <c r="D52" i="14"/>
  <c r="D53" i="14" s="1"/>
  <c r="D47" i="11"/>
  <c r="E47" i="12"/>
  <c r="E51" i="13"/>
  <c r="D51" i="12"/>
  <c r="E44" i="12"/>
  <c r="D44" i="11"/>
  <c r="D40" i="12"/>
  <c r="E40" i="13"/>
  <c r="D45" i="10"/>
  <c r="E45" i="11"/>
  <c r="J39" i="15"/>
  <c r="J37" i="14"/>
  <c r="D49" i="11"/>
  <c r="E49" i="12"/>
  <c r="M7" i="11"/>
  <c r="AC28" i="48"/>
  <c r="Q29" i="48"/>
  <c r="M27" i="48"/>
  <c r="AI26" i="48"/>
  <c r="E39" i="11"/>
  <c r="D39" i="10"/>
  <c r="J47" i="13"/>
  <c r="J46" i="12"/>
  <c r="A29" i="48" l="1"/>
  <c r="A29" i="2"/>
  <c r="S23" i="48"/>
  <c r="K22" i="48"/>
  <c r="AK22" i="48"/>
  <c r="BD22" i="48"/>
  <c r="AE22" i="48"/>
  <c r="BN24" i="2"/>
  <c r="F25" i="2"/>
  <c r="J48" i="16"/>
  <c r="K56" i="16"/>
  <c r="K57" i="16"/>
  <c r="J45" i="16"/>
  <c r="J41" i="16"/>
  <c r="J40" i="15"/>
  <c r="M8" i="13"/>
  <c r="M34" i="14"/>
  <c r="E41" i="13"/>
  <c r="D41" i="12"/>
  <c r="J56" i="12"/>
  <c r="J44" i="13"/>
  <c r="J43" i="12"/>
  <c r="E38" i="12"/>
  <c r="D38" i="11"/>
  <c r="E50" i="13"/>
  <c r="D50" i="12"/>
  <c r="D52" i="13"/>
  <c r="D53" i="13" s="1"/>
  <c r="E43" i="10"/>
  <c r="D43" i="9"/>
  <c r="E52" i="14"/>
  <c r="E53" i="14" s="1"/>
  <c r="D47" i="10"/>
  <c r="E47" i="11"/>
  <c r="D46" i="12"/>
  <c r="E46" i="13"/>
  <c r="E48" i="12"/>
  <c r="D48" i="11"/>
  <c r="E42" i="13"/>
  <c r="D42" i="12"/>
  <c r="E45" i="10"/>
  <c r="D45" i="9"/>
  <c r="E44" i="11"/>
  <c r="D44" i="10"/>
  <c r="D51" i="11"/>
  <c r="E51" i="12"/>
  <c r="D40" i="11"/>
  <c r="E40" i="12"/>
  <c r="D49" i="10"/>
  <c r="E49" i="11"/>
  <c r="J37" i="13"/>
  <c r="J39" i="14"/>
  <c r="J47" i="12"/>
  <c r="J46" i="11"/>
  <c r="M28" i="48"/>
  <c r="AI27" i="48"/>
  <c r="D39" i="9"/>
  <c r="E39" i="10"/>
  <c r="AC29" i="48"/>
  <c r="Q30" i="48"/>
  <c r="M7" i="10"/>
  <c r="A30" i="48" l="1"/>
  <c r="A30" i="2"/>
  <c r="BD23" i="48"/>
  <c r="S24" i="48"/>
  <c r="AE23" i="48"/>
  <c r="K23" i="48"/>
  <c r="AK23" i="48"/>
  <c r="BN25" i="2"/>
  <c r="F26" i="2"/>
  <c r="J48" i="15"/>
  <c r="J45" i="15"/>
  <c r="J40" i="14"/>
  <c r="J41" i="15"/>
  <c r="K57" i="15"/>
  <c r="K56" i="15"/>
  <c r="M8" i="12"/>
  <c r="M34" i="13"/>
  <c r="E41" i="12"/>
  <c r="D41" i="11"/>
  <c r="J44" i="12"/>
  <c r="J43" i="11"/>
  <c r="J56" i="11"/>
  <c r="D38" i="10"/>
  <c r="E38" i="11"/>
  <c r="E52" i="13"/>
  <c r="E53" i="13" s="1"/>
  <c r="E50" i="12"/>
  <c r="D50" i="11"/>
  <c r="D43" i="8"/>
  <c r="E43" i="9"/>
  <c r="E42" i="12"/>
  <c r="D42" i="11"/>
  <c r="E46" i="12"/>
  <c r="D46" i="11"/>
  <c r="D47" i="9"/>
  <c r="E47" i="10"/>
  <c r="D52" i="12"/>
  <c r="D53" i="12" s="1"/>
  <c r="E48" i="11"/>
  <c r="D48" i="10"/>
  <c r="D44" i="9"/>
  <c r="E44" i="10"/>
  <c r="E45" i="9"/>
  <c r="D45" i="8"/>
  <c r="D40" i="10"/>
  <c r="E40" i="11"/>
  <c r="D51" i="10"/>
  <c r="E51" i="11"/>
  <c r="J39" i="13"/>
  <c r="J37" i="12"/>
  <c r="E49" i="10"/>
  <c r="D49" i="9"/>
  <c r="Q31" i="48"/>
  <c r="AC30" i="48"/>
  <c r="D39" i="8"/>
  <c r="E39" i="9"/>
  <c r="M29" i="48"/>
  <c r="AI28" i="48"/>
  <c r="M7" i="9"/>
  <c r="J47" i="11"/>
  <c r="J46" i="10"/>
  <c r="A31" i="48" l="1"/>
  <c r="A31" i="2"/>
  <c r="AK24" i="48"/>
  <c r="S25" i="48"/>
  <c r="K24" i="48"/>
  <c r="BD24" i="48"/>
  <c r="AE24" i="48"/>
  <c r="F27" i="2"/>
  <c r="BN26" i="2"/>
  <c r="J48" i="14"/>
  <c r="J41" i="14"/>
  <c r="K56" i="14"/>
  <c r="J45" i="14"/>
  <c r="K57" i="14"/>
  <c r="J40" i="13"/>
  <c r="M8" i="11"/>
  <c r="M34" i="12"/>
  <c r="D41" i="10"/>
  <c r="E41" i="11"/>
  <c r="J44" i="11"/>
  <c r="J43" i="10"/>
  <c r="J56" i="10"/>
  <c r="D38" i="9"/>
  <c r="E38" i="10"/>
  <c r="E52" i="12"/>
  <c r="E53" i="12" s="1"/>
  <c r="D52" i="11"/>
  <c r="D53" i="11" s="1"/>
  <c r="E50" i="11"/>
  <c r="D50" i="10"/>
  <c r="E43" i="8"/>
  <c r="D43" i="7"/>
  <c r="E46" i="11"/>
  <c r="D46" i="10"/>
  <c r="D42" i="10"/>
  <c r="E42" i="11"/>
  <c r="E48" i="10"/>
  <c r="D48" i="9"/>
  <c r="D47" i="8"/>
  <c r="E47" i="9"/>
  <c r="D40" i="9"/>
  <c r="E40" i="10"/>
  <c r="D44" i="8"/>
  <c r="E44" i="9"/>
  <c r="E51" i="10"/>
  <c r="D51" i="9"/>
  <c r="D45" i="7"/>
  <c r="E45" i="8"/>
  <c r="D49" i="8"/>
  <c r="E49" i="9"/>
  <c r="J37" i="11"/>
  <c r="J39" i="12"/>
  <c r="J47" i="10"/>
  <c r="J46" i="9"/>
  <c r="M30" i="48"/>
  <c r="AI29" i="48"/>
  <c r="M7" i="8"/>
  <c r="D39" i="7"/>
  <c r="E39" i="8"/>
  <c r="Q32" i="48"/>
  <c r="AC31" i="48"/>
  <c r="Z159" i="57" l="1"/>
  <c r="Z159" i="46"/>
  <c r="A32" i="48"/>
  <c r="A32" i="2"/>
  <c r="AE25" i="48"/>
  <c r="AK25" i="48"/>
  <c r="S26" i="48"/>
  <c r="K25" i="48"/>
  <c r="BD25" i="48"/>
  <c r="BN27" i="2"/>
  <c r="F28" i="2"/>
  <c r="J48" i="13"/>
  <c r="K56" i="13"/>
  <c r="K57" i="13"/>
  <c r="J40" i="12"/>
  <c r="J41" i="13"/>
  <c r="J45" i="13"/>
  <c r="M8" i="10"/>
  <c r="M34" i="11"/>
  <c r="E41" i="10"/>
  <c r="D41" i="9"/>
  <c r="J56" i="9"/>
  <c r="J43" i="9"/>
  <c r="J44" i="10"/>
  <c r="E38" i="9"/>
  <c r="D38" i="8"/>
  <c r="D52" i="10"/>
  <c r="D53" i="10" s="1"/>
  <c r="E50" i="10"/>
  <c r="D50" i="9"/>
  <c r="D43" i="6"/>
  <c r="E43" i="7"/>
  <c r="E52" i="11"/>
  <c r="E53" i="11" s="1"/>
  <c r="E47" i="8"/>
  <c r="D47" i="7"/>
  <c r="E42" i="10"/>
  <c r="D42" i="9"/>
  <c r="D48" i="8"/>
  <c r="E48" i="9"/>
  <c r="D46" i="9"/>
  <c r="E46" i="10"/>
  <c r="D45" i="6"/>
  <c r="E45" i="7"/>
  <c r="E51" i="9"/>
  <c r="D51" i="8"/>
  <c r="D40" i="8"/>
  <c r="E40" i="9"/>
  <c r="D44" i="7"/>
  <c r="E44" i="8"/>
  <c r="J39" i="11"/>
  <c r="J37" i="10"/>
  <c r="E49" i="8"/>
  <c r="D49" i="7"/>
  <c r="D39" i="6"/>
  <c r="E39" i="7"/>
  <c r="M7" i="7"/>
  <c r="J47" i="9"/>
  <c r="J46" i="8"/>
  <c r="Q33" i="48"/>
  <c r="AC32" i="48"/>
  <c r="M31" i="48"/>
  <c r="AI30" i="48"/>
  <c r="Z163" i="57" l="1"/>
  <c r="AA163" i="57" s="1"/>
  <c r="AB163" i="57" s="1"/>
  <c r="Z163" i="46"/>
  <c r="AA163" i="46" s="1"/>
  <c r="AB163" i="46" s="1"/>
  <c r="AA159" i="46"/>
  <c r="Z168" i="46"/>
  <c r="AA159" i="57"/>
  <c r="Z168" i="57"/>
  <c r="A33" i="48"/>
  <c r="A33" i="2"/>
  <c r="AK26" i="48"/>
  <c r="BD26" i="48"/>
  <c r="S27" i="48"/>
  <c r="K26" i="48"/>
  <c r="AE26" i="48"/>
  <c r="F29" i="2"/>
  <c r="BN28" i="2"/>
  <c r="J48" i="12"/>
  <c r="J41" i="12"/>
  <c r="J40" i="11"/>
  <c r="K56" i="12"/>
  <c r="J45" i="12"/>
  <c r="K57" i="12"/>
  <c r="M8" i="9"/>
  <c r="M34" i="10"/>
  <c r="D41" i="8"/>
  <c r="E41" i="9"/>
  <c r="J56" i="8"/>
  <c r="J43" i="8"/>
  <c r="J44" i="9"/>
  <c r="D52" i="9"/>
  <c r="D53" i="9" s="1"/>
  <c r="D38" i="7"/>
  <c r="E38" i="8"/>
  <c r="E52" i="10"/>
  <c r="E53" i="10" s="1"/>
  <c r="E50" i="9"/>
  <c r="D50" i="8"/>
  <c r="D43" i="37"/>
  <c r="E43" i="6"/>
  <c r="D46" i="8"/>
  <c r="E46" i="9"/>
  <c r="D48" i="7"/>
  <c r="E48" i="8"/>
  <c r="E42" i="9"/>
  <c r="D42" i="8"/>
  <c r="E47" i="7"/>
  <c r="D47" i="6"/>
  <c r="D40" i="7"/>
  <c r="E40" i="8"/>
  <c r="E45" i="6"/>
  <c r="D45" i="37"/>
  <c r="E44" i="7"/>
  <c r="D44" i="6"/>
  <c r="E51" i="8"/>
  <c r="D51" i="7"/>
  <c r="D49" i="6"/>
  <c r="E49" i="7"/>
  <c r="J37" i="9"/>
  <c r="J39" i="10"/>
  <c r="M32" i="48"/>
  <c r="AI31" i="48"/>
  <c r="Q34" i="48"/>
  <c r="AC33" i="48"/>
  <c r="J47" i="8"/>
  <c r="J46" i="7"/>
  <c r="D39" i="37"/>
  <c r="E39" i="6"/>
  <c r="M7" i="6"/>
  <c r="AB159" i="57" l="1"/>
  <c r="AB168" i="57" s="1"/>
  <c r="AA168" i="57"/>
  <c r="I2" i="56"/>
  <c r="Z169" i="46"/>
  <c r="X177" i="46" s="1"/>
  <c r="Z169" i="57"/>
  <c r="X177" i="57" s="1"/>
  <c r="T2" i="56"/>
  <c r="AB159" i="46"/>
  <c r="AB168" i="46" s="1"/>
  <c r="AA168" i="46"/>
  <c r="A34" i="48"/>
  <c r="A34" i="2"/>
  <c r="S28" i="48"/>
  <c r="K27" i="48"/>
  <c r="BD27" i="48"/>
  <c r="AE27" i="48"/>
  <c r="AK27" i="48"/>
  <c r="BN29" i="2"/>
  <c r="F30" i="2"/>
  <c r="J48" i="11"/>
  <c r="K56" i="11"/>
  <c r="J40" i="10"/>
  <c r="K57" i="11"/>
  <c r="J41" i="11"/>
  <c r="J45" i="11"/>
  <c r="M8" i="8"/>
  <c r="M34" i="9"/>
  <c r="D41" i="7"/>
  <c r="E41" i="8"/>
  <c r="J56" i="7"/>
  <c r="J43" i="7"/>
  <c r="J44" i="8"/>
  <c r="D52" i="8"/>
  <c r="D53" i="8" s="1"/>
  <c r="D38" i="6"/>
  <c r="E38" i="7"/>
  <c r="E52" i="9"/>
  <c r="E53" i="9" s="1"/>
  <c r="D50" i="7"/>
  <c r="E50" i="8"/>
  <c r="D43" i="4"/>
  <c r="E43" i="37"/>
  <c r="D48" i="6"/>
  <c r="E48" i="7"/>
  <c r="D46" i="7"/>
  <c r="E46" i="8"/>
  <c r="E47" i="6"/>
  <c r="D47" i="37"/>
  <c r="E42" i="8"/>
  <c r="D42" i="7"/>
  <c r="D51" i="6"/>
  <c r="E51" i="7"/>
  <c r="D44" i="37"/>
  <c r="E44" i="6"/>
  <c r="D45" i="4"/>
  <c r="E45" i="37"/>
  <c r="D40" i="6"/>
  <c r="E40" i="7"/>
  <c r="J39" i="9"/>
  <c r="J37" i="8"/>
  <c r="D49" i="37"/>
  <c r="E49" i="6"/>
  <c r="J47" i="7"/>
  <c r="J46" i="6"/>
  <c r="AC34" i="48"/>
  <c r="Q35" i="48"/>
  <c r="M7" i="37"/>
  <c r="E39" i="37"/>
  <c r="D39" i="4"/>
  <c r="M33" i="48"/>
  <c r="AI32" i="48"/>
  <c r="I4" i="56" l="1"/>
  <c r="AB169" i="46"/>
  <c r="X180" i="46" s="1"/>
  <c r="AA169" i="46"/>
  <c r="X179" i="46" s="1"/>
  <c r="I3" i="56"/>
  <c r="X199" i="46"/>
  <c r="X202" i="46" s="1"/>
  <c r="J2" i="56"/>
  <c r="E13" i="55"/>
  <c r="AA169" i="57"/>
  <c r="X179" i="57" s="1"/>
  <c r="T3" i="56"/>
  <c r="N13" i="55"/>
  <c r="U2" i="56"/>
  <c r="O13" i="55" s="1"/>
  <c r="T4" i="56"/>
  <c r="AB169" i="57"/>
  <c r="X180" i="57" s="1"/>
  <c r="A35" i="48"/>
  <c r="A35" i="2"/>
  <c r="AE28" i="48"/>
  <c r="AK28" i="48"/>
  <c r="S29" i="48"/>
  <c r="K28" i="48"/>
  <c r="BD28" i="48"/>
  <c r="BN30" i="2"/>
  <c r="F31" i="2"/>
  <c r="J48" i="10"/>
  <c r="J40" i="9"/>
  <c r="K57" i="10"/>
  <c r="J41" i="10"/>
  <c r="J45" i="10"/>
  <c r="K56" i="10"/>
  <c r="M8" i="7"/>
  <c r="M34" i="8"/>
  <c r="E41" i="7"/>
  <c r="D41" i="6"/>
  <c r="J56" i="6"/>
  <c r="J60" i="6" s="1"/>
  <c r="J43" i="6"/>
  <c r="J44" i="7"/>
  <c r="D38" i="37"/>
  <c r="E38" i="6"/>
  <c r="E52" i="8"/>
  <c r="E53" i="8" s="1"/>
  <c r="E50" i="7"/>
  <c r="D50" i="6"/>
  <c r="E43" i="4"/>
  <c r="D43" i="43"/>
  <c r="E43" i="43" s="1"/>
  <c r="E42" i="7"/>
  <c r="D42" i="6"/>
  <c r="E47" i="37"/>
  <c r="D47" i="4"/>
  <c r="E46" i="7"/>
  <c r="D46" i="6"/>
  <c r="D48" i="37"/>
  <c r="E48" i="6"/>
  <c r="D52" i="7"/>
  <c r="D53" i="7" s="1"/>
  <c r="E51" i="6"/>
  <c r="D51" i="37"/>
  <c r="D40" i="37"/>
  <c r="E40" i="6"/>
  <c r="E45" i="4"/>
  <c r="D45" i="43"/>
  <c r="E45" i="43" s="1"/>
  <c r="D44" i="4"/>
  <c r="E44" i="37"/>
  <c r="E49" i="37"/>
  <c r="D49" i="4"/>
  <c r="J39" i="8"/>
  <c r="J37" i="7"/>
  <c r="M34" i="48"/>
  <c r="AI33" i="48"/>
  <c r="J47" i="6"/>
  <c r="J46" i="37"/>
  <c r="D39" i="43"/>
  <c r="E39" i="43" s="1"/>
  <c r="E39" i="4"/>
  <c r="M7" i="4"/>
  <c r="Q36" i="48"/>
  <c r="AC35" i="48"/>
  <c r="X199" i="57" l="1"/>
  <c r="X202" i="57" s="1"/>
  <c r="U4" i="56"/>
  <c r="O15" i="55" s="1"/>
  <c r="P15" i="55" s="1"/>
  <c r="Q15" i="55" s="1"/>
  <c r="N15" i="55"/>
  <c r="E14" i="55"/>
  <c r="F14" i="55" s="1"/>
  <c r="G14" i="55" s="1"/>
  <c r="J3" i="56"/>
  <c r="R144" i="56" s="1"/>
  <c r="P13" i="55"/>
  <c r="U3" i="56"/>
  <c r="O14" i="55" s="1"/>
  <c r="P14" i="55" s="1"/>
  <c r="N14" i="55"/>
  <c r="N41" i="55" s="1"/>
  <c r="F13" i="55"/>
  <c r="E15" i="55"/>
  <c r="F15" i="55" s="1"/>
  <c r="G15" i="55" s="1"/>
  <c r="H15" i="55" s="1"/>
  <c r="J4" i="56"/>
  <c r="A36" i="48"/>
  <c r="A36" i="2"/>
  <c r="AE29" i="48"/>
  <c r="AK29" i="48"/>
  <c r="BD29" i="48"/>
  <c r="K29" i="48"/>
  <c r="S30" i="48"/>
  <c r="BN31" i="2"/>
  <c r="F32" i="2"/>
  <c r="J48" i="9"/>
  <c r="K57" i="9"/>
  <c r="J45" i="9"/>
  <c r="J40" i="8"/>
  <c r="K56" i="9"/>
  <c r="J41" i="9"/>
  <c r="D52" i="6"/>
  <c r="D53" i="6" s="1"/>
  <c r="M8" i="6"/>
  <c r="M34" i="7"/>
  <c r="D41" i="37"/>
  <c r="E41" i="6"/>
  <c r="J44" i="6"/>
  <c r="J43" i="37"/>
  <c r="J56" i="37"/>
  <c r="E38" i="37"/>
  <c r="D38" i="4"/>
  <c r="D50" i="37"/>
  <c r="E50" i="6"/>
  <c r="E52" i="7"/>
  <c r="E53" i="7" s="1"/>
  <c r="D46" i="37"/>
  <c r="E46" i="6"/>
  <c r="E47" i="4"/>
  <c r="D47" i="43"/>
  <c r="E47" i="43" s="1"/>
  <c r="E42" i="6"/>
  <c r="D42" i="37"/>
  <c r="E48" i="37"/>
  <c r="D48" i="4"/>
  <c r="D40" i="4"/>
  <c r="E40" i="37"/>
  <c r="D44" i="43"/>
  <c r="E44" i="43" s="1"/>
  <c r="E44" i="4"/>
  <c r="E51" i="37"/>
  <c r="D51" i="4"/>
  <c r="J39" i="7"/>
  <c r="J37" i="6"/>
  <c r="D49" i="43"/>
  <c r="E49" i="43" s="1"/>
  <c r="E49" i="4"/>
  <c r="M7" i="43"/>
  <c r="M35" i="48"/>
  <c r="AI34" i="48"/>
  <c r="AC36" i="48"/>
  <c r="Q37" i="48"/>
  <c r="J47" i="37"/>
  <c r="J46" i="4"/>
  <c r="O41" i="55" l="1"/>
  <c r="O43" i="55" s="1"/>
  <c r="P41" i="55"/>
  <c r="P43" i="55" s="1"/>
  <c r="Q13" i="55"/>
  <c r="Q41" i="55" s="1"/>
  <c r="Q43" i="55" s="1"/>
  <c r="R15" i="56" s="1"/>
  <c r="E41" i="55"/>
  <c r="G13" i="55"/>
  <c r="F41" i="55"/>
  <c r="F43" i="55" s="1"/>
  <c r="A37" i="48"/>
  <c r="A37" i="2"/>
  <c r="AK30" i="48"/>
  <c r="BD30" i="48"/>
  <c r="K30" i="48"/>
  <c r="S31" i="48"/>
  <c r="AE30" i="48"/>
  <c r="J48" i="8"/>
  <c r="K57" i="8"/>
  <c r="J41" i="8"/>
  <c r="J40" i="7"/>
  <c r="K56" i="8"/>
  <c r="J45" i="8"/>
  <c r="BN32" i="2"/>
  <c r="F33" i="2"/>
  <c r="M8" i="37"/>
  <c r="M34" i="6"/>
  <c r="E41" i="37"/>
  <c r="D41" i="4"/>
  <c r="J43" i="4"/>
  <c r="J44" i="37"/>
  <c r="J56" i="4"/>
  <c r="E38" i="4"/>
  <c r="D38" i="43"/>
  <c r="E38" i="43" s="1"/>
  <c r="D52" i="37"/>
  <c r="D53" i="37" s="1"/>
  <c r="E50" i="37"/>
  <c r="D50" i="4"/>
  <c r="E52" i="6"/>
  <c r="E53" i="6" s="1"/>
  <c r="D46" i="4"/>
  <c r="E46" i="37"/>
  <c r="D48" i="43"/>
  <c r="E48" i="43" s="1"/>
  <c r="E48" i="4"/>
  <c r="E42" i="37"/>
  <c r="D42" i="4"/>
  <c r="E40" i="4"/>
  <c r="D40" i="43"/>
  <c r="D51" i="43"/>
  <c r="E51" i="43" s="1"/>
  <c r="E51" i="4"/>
  <c r="J39" i="6"/>
  <c r="J37" i="37"/>
  <c r="M36" i="48"/>
  <c r="AI35" i="48"/>
  <c r="J47" i="4"/>
  <c r="J46" i="43"/>
  <c r="AC37" i="48"/>
  <c r="Q38" i="48"/>
  <c r="H13" i="55" l="1"/>
  <c r="H41" i="55" s="1"/>
  <c r="H43" i="55" s="1"/>
  <c r="G15" i="56" s="1"/>
  <c r="G41" i="55"/>
  <c r="G43" i="55" s="1"/>
  <c r="A38" i="48"/>
  <c r="A38" i="2"/>
  <c r="AK31" i="48"/>
  <c r="AE31" i="48"/>
  <c r="K31" i="48"/>
  <c r="S32" i="48"/>
  <c r="BD31" i="48"/>
  <c r="J48" i="7"/>
  <c r="K56" i="7"/>
  <c r="J41" i="7"/>
  <c r="J40" i="6"/>
  <c r="J45" i="7"/>
  <c r="K57" i="7"/>
  <c r="BN33" i="2"/>
  <c r="F34" i="2"/>
  <c r="M8" i="4"/>
  <c r="M34" i="37"/>
  <c r="D41" i="43"/>
  <c r="E41" i="43" s="1"/>
  <c r="E41" i="4"/>
  <c r="J56" i="43"/>
  <c r="J43" i="43"/>
  <c r="J44" i="4"/>
  <c r="D52" i="4"/>
  <c r="D53" i="4" s="1"/>
  <c r="E52" i="37"/>
  <c r="E53" i="37" s="1"/>
  <c r="E50" i="4"/>
  <c r="D50" i="43"/>
  <c r="E50" i="43" s="1"/>
  <c r="D46" i="43"/>
  <c r="E46" i="43" s="1"/>
  <c r="E46" i="4"/>
  <c r="D42" i="43"/>
  <c r="E42" i="43" s="1"/>
  <c r="E42" i="4"/>
  <c r="E40" i="43"/>
  <c r="J37" i="4"/>
  <c r="J39" i="37"/>
  <c r="Q39" i="48"/>
  <c r="AC38" i="48"/>
  <c r="J47" i="43"/>
  <c r="M37" i="48"/>
  <c r="AI36" i="48"/>
  <c r="A39" i="48" l="1"/>
  <c r="A40" i="2" s="1"/>
  <c r="A39" i="2"/>
  <c r="AK32" i="48"/>
  <c r="K32" i="48"/>
  <c r="S33" i="48"/>
  <c r="BD32" i="48"/>
  <c r="AE32" i="48"/>
  <c r="J48" i="6"/>
  <c r="J41" i="6"/>
  <c r="K57" i="6"/>
  <c r="K56" i="6"/>
  <c r="J45" i="6"/>
  <c r="J40" i="37"/>
  <c r="BN34" i="2"/>
  <c r="F35" i="2"/>
  <c r="M8" i="43"/>
  <c r="M34" i="43" s="1"/>
  <c r="M34" i="4"/>
  <c r="J44" i="43"/>
  <c r="E52" i="43"/>
  <c r="E53" i="43" s="1"/>
  <c r="E52" i="4"/>
  <c r="E53" i="4" s="1"/>
  <c r="D52" i="43"/>
  <c r="J37" i="43"/>
  <c r="J39" i="43" s="1"/>
  <c r="J39" i="4"/>
  <c r="M38" i="48"/>
  <c r="AI37" i="48"/>
  <c r="AC39" i="48"/>
  <c r="AK33" i="48" l="1"/>
  <c r="K33" i="48"/>
  <c r="BD33" i="48"/>
  <c r="S34" i="48"/>
  <c r="AE33" i="48"/>
  <c r="D53" i="43"/>
  <c r="F36" i="2"/>
  <c r="BN35" i="2"/>
  <c r="J48" i="37"/>
  <c r="K57" i="37"/>
  <c r="J40" i="4"/>
  <c r="K56" i="37"/>
  <c r="J41" i="37"/>
  <c r="J45" i="37"/>
  <c r="M39" i="48"/>
  <c r="AI38" i="48"/>
  <c r="BD34" i="48" l="1"/>
  <c r="AE34" i="48"/>
  <c r="S35" i="48"/>
  <c r="AK34" i="48"/>
  <c r="K34" i="48"/>
  <c r="J48" i="4"/>
  <c r="K57" i="4"/>
  <c r="J41" i="4"/>
  <c r="J40" i="43"/>
  <c r="K56" i="4"/>
  <c r="J45" i="4"/>
  <c r="BN36" i="2"/>
  <c r="F37" i="2"/>
  <c r="AI39" i="48"/>
  <c r="AE35" i="48" l="1"/>
  <c r="S36" i="48"/>
  <c r="K35" i="48"/>
  <c r="AK35" i="48"/>
  <c r="BD35" i="48"/>
  <c r="BN37" i="2"/>
  <c r="F38" i="2"/>
  <c r="J48" i="43"/>
  <c r="J45" i="43"/>
  <c r="J41" i="43"/>
  <c r="K56" i="43"/>
  <c r="K57" i="43"/>
  <c r="I49" i="27"/>
  <c r="AK36" i="48" l="1"/>
  <c r="S37" i="48"/>
  <c r="K36" i="48"/>
  <c r="BD36" i="48"/>
  <c r="AE36" i="48"/>
  <c r="BN38" i="2"/>
  <c r="F39" i="2"/>
  <c r="I50" i="27"/>
  <c r="I51" i="27"/>
  <c r="J49" i="27"/>
  <c r="X14" i="48"/>
  <c r="V14" i="48"/>
  <c r="U14" i="48"/>
  <c r="AK37" i="48" l="1"/>
  <c r="S38" i="48"/>
  <c r="K37" i="48"/>
  <c r="BD37" i="48"/>
  <c r="AE37" i="48"/>
  <c r="BN39" i="2"/>
  <c r="F40" i="2"/>
  <c r="BN40" i="2" s="1"/>
  <c r="J50" i="27"/>
  <c r="J49" i="28"/>
  <c r="J51" i="27"/>
  <c r="Y14" i="48"/>
  <c r="W14" i="48"/>
  <c r="U15" i="48"/>
  <c r="K38" i="48" l="1"/>
  <c r="AE38" i="48"/>
  <c r="AK38" i="48"/>
  <c r="BD38" i="48"/>
  <c r="S39" i="48"/>
  <c r="J50" i="28"/>
  <c r="J51" i="28"/>
  <c r="Y15" i="48"/>
  <c r="W15" i="48"/>
  <c r="AK39" i="48" l="1"/>
  <c r="K39" i="48"/>
  <c r="AE39" i="48"/>
  <c r="BD39" i="48"/>
  <c r="I49" i="26"/>
  <c r="I50" i="26" l="1"/>
  <c r="I51" i="26"/>
  <c r="J49" i="26"/>
  <c r="X16" i="48"/>
  <c r="V16" i="48"/>
  <c r="U16" i="48"/>
  <c r="J50" i="26" l="1"/>
  <c r="J51" i="26"/>
  <c r="Y16" i="48"/>
  <c r="W16" i="48"/>
  <c r="I49" i="24" l="1"/>
  <c r="I49" i="25"/>
  <c r="I50" i="25" l="1"/>
  <c r="I51" i="25"/>
  <c r="J49" i="25"/>
  <c r="J49" i="24" s="1"/>
  <c r="I50" i="24"/>
  <c r="I51" i="24"/>
  <c r="X18" i="48"/>
  <c r="V18" i="48"/>
  <c r="X17" i="48"/>
  <c r="V17" i="48"/>
  <c r="U17" i="48"/>
  <c r="J50" i="25" l="1"/>
  <c r="J51" i="25"/>
  <c r="J50" i="24"/>
  <c r="J51" i="24"/>
  <c r="W17" i="48"/>
  <c r="U18" i="48"/>
  <c r="Y17" i="48"/>
  <c r="W18" i="48" l="1"/>
  <c r="Y18" i="48"/>
  <c r="I49" i="23" l="1"/>
  <c r="I50" i="23" l="1"/>
  <c r="I51" i="23"/>
  <c r="J49" i="23"/>
  <c r="X19" i="48"/>
  <c r="V19" i="48"/>
  <c r="U19" i="48"/>
  <c r="J50" i="23" l="1"/>
  <c r="J51" i="23"/>
  <c r="W19" i="48"/>
  <c r="Y19" i="48"/>
  <c r="I49" i="21" l="1"/>
  <c r="I50" i="21" l="1"/>
  <c r="I51" i="21"/>
  <c r="J49" i="21"/>
  <c r="X20" i="48"/>
  <c r="V20" i="48"/>
  <c r="U20" i="48"/>
  <c r="J49" i="22" l="1"/>
  <c r="J50" i="21"/>
  <c r="J51" i="21"/>
  <c r="W20" i="48"/>
  <c r="Y20" i="48"/>
  <c r="U21" i="48"/>
  <c r="J50" i="22" l="1"/>
  <c r="J51" i="22"/>
  <c r="W21" i="48"/>
  <c r="Y21" i="48"/>
  <c r="I49" i="20" l="1"/>
  <c r="I50" i="20" l="1"/>
  <c r="I51" i="20"/>
  <c r="J49" i="20"/>
  <c r="X22" i="48"/>
  <c r="V22" i="48"/>
  <c r="U22" i="48"/>
  <c r="J50" i="20" l="1"/>
  <c r="J51" i="20"/>
  <c r="W22" i="48"/>
  <c r="Y22" i="48"/>
  <c r="I49" i="19" l="1"/>
  <c r="I50" i="19" l="1"/>
  <c r="I51" i="19"/>
  <c r="J49" i="19"/>
  <c r="X23" i="48"/>
  <c r="V23" i="48"/>
  <c r="U23" i="48"/>
  <c r="J50" i="19" l="1"/>
  <c r="J49" i="18"/>
  <c r="J51" i="19"/>
  <c r="W23" i="48"/>
  <c r="Y23" i="48"/>
  <c r="U24" i="48"/>
  <c r="J49" i="17" l="1"/>
  <c r="J50" i="18"/>
  <c r="J51" i="18"/>
  <c r="U25" i="48"/>
  <c r="W24" i="48"/>
  <c r="Y24" i="48"/>
  <c r="J50" i="17" l="1"/>
  <c r="J51" i="17"/>
  <c r="W25" i="48"/>
  <c r="Y25" i="48"/>
  <c r="I49" i="16" l="1"/>
  <c r="I50" i="16" l="1"/>
  <c r="I51" i="16"/>
  <c r="J49" i="16"/>
  <c r="V26" i="48"/>
  <c r="X26" i="48"/>
  <c r="U26" i="48"/>
  <c r="J50" i="16" l="1"/>
  <c r="J51" i="16"/>
  <c r="W26" i="48"/>
  <c r="Y26" i="48"/>
  <c r="I49" i="15" l="1"/>
  <c r="I50" i="15" l="1"/>
  <c r="I51" i="15"/>
  <c r="J49" i="15"/>
  <c r="V27" i="48"/>
  <c r="X27" i="48"/>
  <c r="U27" i="48"/>
  <c r="J50" i="15" l="1"/>
  <c r="J51" i="15"/>
  <c r="W27" i="48"/>
  <c r="Y27" i="48"/>
  <c r="I49" i="14" l="1"/>
  <c r="I50" i="14" l="1"/>
  <c r="I51" i="14"/>
  <c r="J49" i="14"/>
  <c r="X28" i="48"/>
  <c r="V28" i="48"/>
  <c r="U28" i="48"/>
  <c r="J50" i="14" l="1"/>
  <c r="J51" i="14"/>
  <c r="Y28" i="48"/>
  <c r="W28" i="48"/>
  <c r="I49" i="13" l="1"/>
  <c r="I50" i="13" l="1"/>
  <c r="I51" i="13"/>
  <c r="J49" i="13"/>
  <c r="V29" i="48"/>
  <c r="X29" i="48"/>
  <c r="U29" i="48"/>
  <c r="J50" i="13" l="1"/>
  <c r="J51" i="13"/>
  <c r="W29" i="48"/>
  <c r="Y29" i="48"/>
  <c r="I49" i="12" l="1"/>
  <c r="I50" i="12" l="1"/>
  <c r="I51" i="12"/>
  <c r="J49" i="12"/>
  <c r="V30" i="48"/>
  <c r="X30" i="48"/>
  <c r="U30" i="48"/>
  <c r="J50" i="12" l="1"/>
  <c r="J51" i="12"/>
  <c r="W30" i="48"/>
  <c r="Y30" i="48"/>
  <c r="I49" i="10" l="1"/>
  <c r="I50" i="10" l="1"/>
  <c r="I51" i="10"/>
  <c r="V32" i="48"/>
  <c r="X32" i="48"/>
  <c r="I49" i="11"/>
  <c r="I50" i="11" l="1"/>
  <c r="I51" i="11"/>
  <c r="J49" i="11"/>
  <c r="X31" i="48"/>
  <c r="V31" i="48"/>
  <c r="U31" i="48"/>
  <c r="J50" i="11" l="1"/>
  <c r="J51" i="11"/>
  <c r="J49" i="10"/>
  <c r="W31" i="48"/>
  <c r="U32" i="48"/>
  <c r="Y31" i="48"/>
  <c r="J50" i="10" l="1"/>
  <c r="J51" i="10"/>
  <c r="W32" i="48"/>
  <c r="Y32" i="48"/>
  <c r="I49" i="9" l="1"/>
  <c r="I50" i="9" l="1"/>
  <c r="I51" i="9"/>
  <c r="J49" i="9"/>
  <c r="V33" i="48"/>
  <c r="X33" i="48"/>
  <c r="T41" i="48"/>
  <c r="U33" i="48"/>
  <c r="J49" i="8" l="1"/>
  <c r="J50" i="9"/>
  <c r="J51" i="9"/>
  <c r="U34" i="48"/>
  <c r="Y33" i="48"/>
  <c r="W33" i="48"/>
  <c r="X41" i="48"/>
  <c r="V41" i="48"/>
  <c r="J50" i="8" l="1"/>
  <c r="J49" i="7"/>
  <c r="J51" i="8"/>
  <c r="W34" i="48"/>
  <c r="Y34" i="48"/>
  <c r="U35" i="48"/>
  <c r="J50" i="7" l="1"/>
  <c r="J49" i="6"/>
  <c r="J51" i="7"/>
  <c r="Y35" i="48"/>
  <c r="U36" i="48"/>
  <c r="W35" i="48"/>
  <c r="J49" i="37" l="1"/>
  <c r="J50" i="6"/>
  <c r="J51" i="6"/>
  <c r="U37" i="48"/>
  <c r="Y36" i="48"/>
  <c r="W36" i="48"/>
  <c r="J49" i="4" l="1"/>
  <c r="J50" i="37"/>
  <c r="J51" i="37"/>
  <c r="U38" i="48"/>
  <c r="Y37" i="48"/>
  <c r="W37" i="48"/>
  <c r="J49" i="43" l="1"/>
  <c r="J50" i="4"/>
  <c r="J51" i="4"/>
  <c r="U39" i="48"/>
  <c r="Y38" i="48"/>
  <c r="W38" i="48"/>
  <c r="J50" i="43" l="1"/>
  <c r="J51" i="43"/>
  <c r="W39" i="48"/>
  <c r="Y39" i="48"/>
</calcChain>
</file>

<file path=xl/comments1.xml><?xml version="1.0" encoding="utf-8"?>
<comments xmlns="http://schemas.openxmlformats.org/spreadsheetml/2006/main">
  <authors>
    <author>win10</author>
  </authors>
  <commentList>
    <comment ref="H89" authorId="0" shapeId="0">
      <text>
        <r>
          <rPr>
            <b/>
            <sz val="9"/>
            <color indexed="81"/>
            <rFont val="Tahoma"/>
            <family val="2"/>
          </rPr>
          <t>win10:</t>
        </r>
        <r>
          <rPr>
            <sz val="9"/>
            <color indexed="81"/>
            <rFont val="Tahoma"/>
            <family val="2"/>
          </rPr>
          <t xml:space="preserve">
HB</t>
        </r>
      </text>
    </comment>
  </commentList>
</comments>
</file>

<file path=xl/comments2.xml><?xml version="1.0" encoding="utf-8"?>
<comments xmlns="http://schemas.openxmlformats.org/spreadsheetml/2006/main">
  <authors>
    <author>win10</author>
  </authors>
  <commentList>
    <comment ref="H89" authorId="0" shapeId="0">
      <text>
        <r>
          <rPr>
            <b/>
            <sz val="9"/>
            <color indexed="81"/>
            <rFont val="Tahoma"/>
            <family val="2"/>
          </rPr>
          <t>win10:</t>
        </r>
        <r>
          <rPr>
            <sz val="9"/>
            <color indexed="81"/>
            <rFont val="Tahoma"/>
            <family val="2"/>
          </rPr>
          <t xml:space="preserve">
HB</t>
        </r>
      </text>
    </comment>
  </commentList>
</comments>
</file>

<file path=xl/comments3.xml><?xml version="1.0" encoding="utf-8"?>
<comments xmlns="http://schemas.openxmlformats.org/spreadsheetml/2006/main">
  <authors>
    <author>win10</author>
  </authors>
  <commentList>
    <comment ref="J8" authorId="0" shapeId="0">
      <text>
        <r>
          <rPr>
            <b/>
            <sz val="9"/>
            <color indexed="81"/>
            <rFont val="Tahoma"/>
            <family val="2"/>
          </rPr>
          <t>win10:</t>
        </r>
        <r>
          <rPr>
            <sz val="9"/>
            <color indexed="81"/>
            <rFont val="Tahoma"/>
            <family val="2"/>
          </rPr>
          <t xml:space="preserve">
HB</t>
        </r>
      </text>
    </comment>
  </commentList>
</comments>
</file>

<file path=xl/sharedStrings.xml><?xml version="1.0" encoding="utf-8"?>
<sst xmlns="http://schemas.openxmlformats.org/spreadsheetml/2006/main" count="6057" uniqueCount="664">
  <si>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</si>
  <si>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</si>
  <si>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</si>
  <si>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</si>
  <si>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</si>
  <si>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</si>
  <si>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</si>
  <si>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</si>
  <si>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</si>
  <si>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</si>
  <si>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</si>
  <si>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</si>
  <si>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</si>
  <si>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</si>
  <si>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</si>
  <si>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</si>
  <si>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</si>
  <si>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</si>
  <si>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</si>
  <si>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</si>
  <si>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</si>
  <si>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</si>
  <si>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</si>
  <si>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</si>
  <si>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</si>
  <si>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</si>
  <si>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</si>
  <si>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</si>
  <si>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</si>
  <si>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</si>
  <si>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</si>
  <si>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</si>
  <si>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</si>
  <si>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</si>
  <si>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</si>
  <si>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</si>
  <si>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</si>
  <si>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</si>
  <si>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</si>
  <si>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</si>
  <si>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</si>
  <si>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Albacell</t>
  </si>
  <si>
    <t>TOTAL NBKP</t>
  </si>
  <si>
    <t>EBKP FIBRIA</t>
  </si>
  <si>
    <t>BROKE FROM OUTSIDE</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</si>
  <si>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</si>
  <si>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</si>
  <si>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</si>
  <si>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</si>
  <si>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</si>
  <si>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</si>
  <si>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</si>
  <si>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</si>
  <si>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</si>
  <si>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</si>
  <si>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</si>
  <si>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</si>
  <si>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</si>
  <si>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</si>
  <si>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</si>
  <si>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</si>
  <si>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</si>
  <si>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</si>
  <si>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</si>
  <si>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</si>
  <si>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</si>
  <si>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</si>
  <si>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</si>
  <si>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</si>
  <si>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</si>
  <si>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</si>
  <si>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</si>
  <si>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</si>
  <si>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</si>
  <si>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</si>
  <si>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</si>
  <si>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</si>
  <si>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</si>
  <si>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</si>
  <si>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</si>
  <si>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</si>
  <si>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</si>
  <si>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</si>
  <si>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</si>
  <si>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</si>
  <si>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</si>
  <si>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</si>
  <si>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</si>
  <si>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</si>
  <si>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EBKP</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</si>
  <si>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</si>
  <si>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</si>
  <si>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</si>
  <si>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</si>
  <si>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</si>
  <si>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</si>
  <si>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</si>
  <si>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</si>
  <si>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</si>
  <si>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</si>
  <si>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</si>
  <si>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</si>
  <si>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</si>
  <si>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</si>
  <si>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</si>
  <si>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</si>
  <si>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</si>
  <si>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</si>
  <si>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</si>
  <si>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</si>
  <si>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</si>
  <si>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</si>
  <si>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</si>
  <si>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</si>
  <si>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</si>
  <si>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</si>
  <si>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</si>
  <si>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</si>
  <si>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</si>
  <si>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</si>
  <si>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</si>
  <si>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</si>
  <si>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</si>
  <si>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</si>
  <si>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</si>
  <si>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</si>
  <si>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</si>
  <si>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</si>
  <si>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</si>
  <si>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</si>
  <si>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</si>
  <si>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</si>
  <si>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</si>
  <si>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</si>
  <si>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Selisih</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</si>
  <si>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</si>
  <si>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</si>
  <si>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</si>
  <si>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</si>
  <si>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</si>
  <si>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</si>
  <si>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</si>
  <si>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</si>
  <si>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</si>
  <si>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</si>
  <si>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EBKP DOUBLE A</t>
  </si>
  <si>
    <t>EBKP MONDE</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</si>
  <si>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</si>
  <si>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</si>
  <si>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</si>
  <si>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</si>
  <si>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</si>
  <si>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</si>
  <si>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</si>
  <si>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</si>
  <si>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</si>
  <si>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</si>
  <si>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</si>
  <si>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</si>
  <si>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</si>
  <si>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</si>
  <si>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</si>
  <si>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</si>
  <si>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</si>
  <si>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</si>
  <si>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</si>
  <si>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</si>
  <si>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</si>
  <si>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</si>
  <si>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</si>
  <si>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Off Reel</t>
  </si>
  <si>
    <t>Off Rewinder</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</si>
  <si>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</si>
  <si>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</si>
  <si>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</si>
  <si>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</si>
  <si>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</si>
  <si>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</si>
  <si>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</si>
  <si>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</si>
  <si>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</si>
  <si>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</si>
  <si>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TISSUE MACHINE 14</t>
  </si>
  <si>
    <t>PAPER MACHINE 14 DAILY REPORT 1</t>
  </si>
  <si>
    <t>Total PM14</t>
  </si>
  <si>
    <t>PM 14</t>
  </si>
  <si>
    <t xml:space="preserve">PM14 Efficiency Report </t>
  </si>
  <si>
    <t>trim</t>
  </si>
  <si>
    <t>Eff</t>
  </si>
  <si>
    <t>yankee</t>
  </si>
  <si>
    <t>reel</t>
  </si>
  <si>
    <t>creeping</t>
  </si>
  <si>
    <t>time</t>
  </si>
  <si>
    <t>Teori</t>
  </si>
  <si>
    <t>Accept</t>
  </si>
  <si>
    <t>Baklog</t>
  </si>
  <si>
    <t>Sisa spool popereel</t>
  </si>
  <si>
    <t xml:space="preserve">Sisa Spool seset </t>
  </si>
  <si>
    <t>Pending</t>
  </si>
  <si>
    <t>Ngelokor</t>
  </si>
  <si>
    <t>Keriput</t>
  </si>
  <si>
    <t>Start up</t>
  </si>
  <si>
    <t>Potongan jelek</t>
  </si>
  <si>
    <t>Hole</t>
  </si>
  <si>
    <t>Trim</t>
  </si>
  <si>
    <t>Kertas sobek pinggir</t>
  </si>
  <si>
    <t>Joint</t>
  </si>
  <si>
    <t>Formasi jelek</t>
  </si>
  <si>
    <t>Lembab</t>
  </si>
  <si>
    <t>Diameter &lt; std</t>
  </si>
  <si>
    <t>Gelembung</t>
  </si>
  <si>
    <t>soping</t>
  </si>
  <si>
    <t>Bw &lt; std</t>
  </si>
  <si>
    <t>crushing</t>
  </si>
  <si>
    <t>White spot</t>
  </si>
  <si>
    <t>Thickness &lt; std</t>
  </si>
  <si>
    <t>Bulky &lt; std</t>
  </si>
  <si>
    <t>Bw &gt; std</t>
  </si>
  <si>
    <t>Sisa Spool rewinder</t>
  </si>
  <si>
    <t>Change Grade</t>
  </si>
  <si>
    <t>Loss time sheet break</t>
  </si>
  <si>
    <t>Loss time change blade</t>
  </si>
  <si>
    <t>Loss time change grade</t>
  </si>
  <si>
    <t>NGR 900</t>
  </si>
  <si>
    <t>total</t>
  </si>
  <si>
    <t>-</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</si>
  <si>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</si>
  <si>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</si>
  <si>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</si>
  <si>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</si>
  <si>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</si>
  <si>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</si>
  <si>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</si>
  <si>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</si>
  <si>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</si>
  <si>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</si>
  <si>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</si>
  <si>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</si>
  <si>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</si>
  <si>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</si>
  <si>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</si>
  <si>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</si>
  <si>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</si>
  <si>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</si>
  <si>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Change Spool</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</si>
  <si>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</si>
  <si>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</si>
  <si>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</si>
  <si>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</si>
  <si>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</si>
  <si>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</si>
  <si>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</si>
  <si>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</si>
  <si>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</si>
  <si>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</si>
  <si>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</si>
  <si>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</si>
  <si>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</si>
  <si>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</si>
  <si>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</si>
  <si>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</si>
  <si>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</si>
  <si>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</si>
  <si>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</si>
  <si>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</si>
  <si>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PM 14 Summary</t>
  </si>
  <si>
    <t>Gas ConsumptionHood PM 14</t>
  </si>
  <si>
    <t>Gas ConsumptionHood PM14</t>
  </si>
  <si>
    <t>Gas based on report DCS</t>
  </si>
  <si>
    <t>Flowmeter</t>
  </si>
  <si>
    <t>% pengali</t>
  </si>
  <si>
    <t>Adjust</t>
  </si>
  <si>
    <t>PGN</t>
  </si>
  <si>
    <t>Total Prosentase</t>
  </si>
  <si>
    <t>creeping mark</t>
  </si>
  <si>
    <t>Warisan</t>
  </si>
  <si>
    <t>Dirt</t>
  </si>
  <si>
    <t>kertas lembab</t>
  </si>
  <si>
    <t>Seset Change Grade</t>
  </si>
  <si>
    <t>potongan lari lari</t>
  </si>
  <si>
    <t>Potongan serabut</t>
  </si>
  <si>
    <t>UNKNOWN</t>
  </si>
  <si>
    <t>- Change Blade (0x)</t>
  </si>
  <si>
    <t>Sinergy</t>
  </si>
  <si>
    <t>MDT rendah</t>
  </si>
  <si>
    <t>PEMAKAIAN GAS</t>
  </si>
  <si>
    <t>PULP AND BROKE DAILY REPORT PM 14</t>
  </si>
  <si>
    <t>CHEMICAL DAILY REPORT PM 14</t>
  </si>
  <si>
    <t>Marketing</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</si>
  <si>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</si>
  <si>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</si>
  <si>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</si>
  <si>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</si>
  <si>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</si>
  <si>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</si>
  <si>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</si>
  <si>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</si>
  <si>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</si>
  <si>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</si>
  <si>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</si>
  <si>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VP OW</t>
  </si>
  <si>
    <t>Trafo (2500 A)</t>
  </si>
  <si>
    <t>Trafo (2500 B)</t>
  </si>
  <si>
    <t>Kehilangan Effisiensi PM 14 terdiri dari:</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</si>
  <si>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</si>
  <si>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</si>
  <si>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</si>
  <si>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</si>
  <si>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</si>
  <si>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</si>
  <si>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</si>
  <si>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</si>
  <si>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</si>
  <si>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</si>
  <si>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</si>
  <si>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</si>
  <si>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</si>
  <si>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</si>
  <si>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</si>
  <si>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</si>
  <si>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</si>
  <si>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</si>
  <si>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</si>
  <si>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</si>
  <si>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</si>
  <si>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</si>
  <si>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</si>
  <si>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</si>
  <si>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</si>
  <si>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</si>
  <si>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</si>
  <si>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</si>
  <si>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</si>
  <si>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</si>
  <si>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</si>
  <si>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</si>
  <si>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</si>
  <si>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</si>
  <si>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</si>
  <si>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</si>
  <si>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</si>
  <si>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</si>
  <si>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</si>
  <si>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</si>
  <si>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</si>
  <si>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</si>
  <si>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</si>
  <si>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</si>
  <si>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</si>
  <si>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</si>
  <si>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</si>
  <si>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</si>
  <si>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</si>
  <si>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</si>
  <si>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ELTEXIN</t>
  </si>
  <si>
    <t>ELTEBRIGHT BL 1000</t>
  </si>
  <si>
    <t>SOLMIX  L40</t>
  </si>
  <si>
    <t>CHEMBRIGHT C LIQUID</t>
  </si>
  <si>
    <t>K-Bright Liquid</t>
  </si>
  <si>
    <t>NGR 200</t>
  </si>
  <si>
    <t>ANEDIR YELLOW BKL</t>
  </si>
  <si>
    <t>ANEDIR RED BKL</t>
  </si>
  <si>
    <t>ANEDIR BLACK L LIQ</t>
  </si>
  <si>
    <t>ANEDIR BROWN CC-04 LIQ</t>
  </si>
  <si>
    <t>Anedir Brown cc-03</t>
  </si>
  <si>
    <t>DEKAWET NA30</t>
  </si>
  <si>
    <t>Burstrong Fixing Agent</t>
  </si>
  <si>
    <t>DI N40</t>
  </si>
  <si>
    <t>CHROMACLEAR</t>
  </si>
  <si>
    <t>Price</t>
  </si>
  <si>
    <t>Running</t>
  </si>
  <si>
    <t>PM 14 Running Time</t>
  </si>
  <si>
    <t>Down Time PLN</t>
  </si>
  <si>
    <t xml:space="preserve">Kapasitas Running (ton) </t>
  </si>
  <si>
    <t>Eff FG vs Target  Running(%)</t>
  </si>
  <si>
    <t>266*1</t>
  </si>
  <si>
    <t>SCA</t>
  </si>
  <si>
    <t>- Cleaning</t>
  </si>
  <si>
    <t>Sample QC</t>
  </si>
  <si>
    <t>Change Grade/Cleaning</t>
  </si>
  <si>
    <t>TEL PELITA</t>
  </si>
  <si>
    <t>EPOSTRONG</t>
  </si>
  <si>
    <t>DFR 810S</t>
  </si>
  <si>
    <t>0</t>
  </si>
  <si>
    <t>- Sheet Breaks (0x)</t>
  </si>
  <si>
    <t>12</t>
  </si>
  <si>
    <t>F 12</t>
  </si>
  <si>
    <t>F 12 VP OW</t>
  </si>
  <si>
    <t>Hadi F</t>
  </si>
  <si>
    <t>Erwin R</t>
  </si>
  <si>
    <t>SUZANO</t>
  </si>
  <si>
    <t>SS</t>
  </si>
  <si>
    <t>PHP PM</t>
  </si>
  <si>
    <t xml:space="preserve">PM14 Efficiency Running Report </t>
  </si>
  <si>
    <t>Steam, &amp; gangguan sinergy (X)</t>
  </si>
  <si>
    <t>Freq, Trip PLN (X)</t>
  </si>
  <si>
    <t>Cleaning Holes (X)</t>
  </si>
  <si>
    <t>Per hari</t>
  </si>
  <si>
    <t>.11.25</t>
  </si>
  <si>
    <t>NOVEMBER</t>
  </si>
  <si>
    <t>awal shift pm stop 
-lanjut amplas frame pager om 14
-ganti scraper roll felt + wire 
-cleaning nozel hpp felt + wire serta sower 10 bar bagian felt
-cat pompa area fresh water
downtime 480 mnt</t>
  </si>
  <si>
    <t>Awal shift pm stop 
Tutup main hole ww tank dan isi air
Flushing dari pulper ke dump chest, air bersih 
Flushing dari dump chest ke machine chest, air bersih 
Flushing dari brooke dump ke dump chest, masih ada sisa buburan, drain dan cleaning dump chest 
Tutup main hole dump chest dan machine chest 
Isi air cw dan ww tank
Pasang Valve manual outlet machine chest to silo
Cat handling work way area stock</t>
  </si>
  <si>
    <t>- cleaning Rewinder.
- cleaning area depan popereel
- siram felt dan wire 1 jam sekali
- amplas pagar atas frame pm bagian Ts
- cleaning area Ds dan vaccum.</t>
  </si>
  <si>
    <t>-cleaning NBKP dump chest pm 15
-cleaning NBKP storage pm 15
-cleaning frame atas water tray 
-cleaning water tray
downtime 480 mnt</t>
  </si>
  <si>
    <t>- Drain dan cleaning utm
- Drain dan cleaning ww tank
- cleaning cw tank
- tutup maninhole Brooke dump
Bantu pm 15 
- drain dan cleaning couch pit
- drain dan cleaning reject tank
- karcer wire</t>
  </si>
  <si>
    <t>07:00 awal shift pm stop , grinding yankee
- cleaning area approach
- cleaning area potong core
- cleaning reject tank
- flushing jalur buburan machine pm 14 ke nbkp pm 15
- cleaning water Try dan silo tank</t>
  </si>
  <si>
    <t>STOP</t>
  </si>
  <si>
    <t>Agus K</t>
  </si>
  <si>
    <t>- Change Spool (0x)</t>
  </si>
  <si>
    <t>- Grinding Yankee</t>
  </si>
  <si>
    <t>Ariko P</t>
  </si>
  <si>
    <t>- cleaning area rewinder 
- cleaning pipa2 atas area coating realese
- cat doctor Blade &amp; hook crane</t>
  </si>
  <si>
    <t>- Buka dan cleaning cartridge filter, ganti cartridge filter baru
- flushing dari machine chest to silo
- cleaning silo dari sisa buburan setelah flushing
- packing outlet motor machine chest bocor, ganti paking baru</t>
  </si>
  <si>
    <t>- siram felt &amp; wire tiap 2 jam.
- lanjut cat pumpa area fresh water.
- cleaning area potong core.
- cleaning area hood.
- cleaning Rewinder.</t>
  </si>
  <si>
    <t>- Awal Shift PM Produksi STOP</t>
  </si>
  <si>
    <t>- MED lanjut pasang SPR {selesai}
- cleaning spool dr lem
- cleaning area atas hood, area bawah SPR, area belakang dan depan popereel, area utm dr gram sisa grinding yankee</t>
  </si>
  <si>
    <t>- cleaning area rewinder 
- clening frame bawah yanke sebelah DS 
- cleaning bawah scraper roll
- cleaning bak utm</t>
  </si>
  <si>
    <t>Awal shift pm stop
09 00 med bongkar spr lama
10.30 lanjut pasang spr spare
- lanjutkan cleaning dan pasang handling work way ds yankee
- cleaning gram bawah spr
- cat pompa dan motor area fresh water
- cleaning musholla dan ruang makan</t>
  </si>
  <si>
    <t>Pekerjaan pm + rewinder + stok prep
- cleaning area rewinder 
- clening uhlebox pm 15
- bantu pm 15</t>
  </si>
  <si>
    <t>- 07:00 awal shift PM 14 stop
- cleaning area pm dan Rewinder A
- siram felt dan wire 2 jam sekali
- cleaning water tray pm 15 
- bantu pasang felt pm 15</t>
  </si>
  <si>
    <t>- cleaning area rewinder 
- cat ulang bagian depan doktor Blade no 1.2
- lanjut amplas pagar frame pm14
- bantu pm 15</t>
  </si>
  <si>
    <t>- awal shift pm stop
-pasang manhole dump chest
-tutup spr dengan felt bekas
-siram felt wire 2 jam sekali 
18:00 meid selsai pasang doctor blade no 1
Bantu pm 15</t>
  </si>
  <si>
    <t>- drain dan buka manhole dump chest , MED cek dump chest ada kebocoran ( repair med)
- siram felt dan wire 2 jam sekali
10:39 MED bongkar alat grinding yankee
- cleaning spoll dari lem .
- cat area fresh water
13:28 MED lepas hood wet</t>
  </si>
  <si>
    <t>Pekerjaan pm + rewinder + stok prep
- cleaning area rewinder 
- flusing broke Dump ke jalur machine chest (jalur lama) 
- cleaning tray kabel area chest</t>
  </si>
  <si>
    <t>awal shift pm stop 
-cleaning area sower coating release dari serbuk besi
-tutup manhole CW
-heating yankee persiapan digrinding
18:10 proses grinding yankee dimulai
Bantu pm 15</t>
  </si>
  <si>
    <t>Awal shift pm stop 
Tutup holder doctors Blade no 1&amp;2 dengan felt 
Tutup lubang UTM dengan felt 
Modif sapot reel cover wire
Cleaning dump clear water, persiapan med las bagian yang bocor 
Cleaning HE
Cleaning mainhole hood wet
Flushing dan cek shower hpp wire</t>
  </si>
  <si>
    <t>23:00 awal shift pm 14 stop , metalizing yankee.
- siram felt&amp; wire 2 jam sekali
- cleaning area.
-  approach
- cleaning area Ds pm dan area turbo vacuum
- cleanin hood wet dan area wire
- cleaning area rwd</t>
  </si>
  <si>
    <t>awal shift pm stop 
-pasang terpal 
-bantu pm 15
-cleanning area pm</t>
  </si>
  <si>
    <t>- Bantu pm 15 
- Buang core bekas rusak, yang tidak terpakai di area pm
- siapkan terpal untuk tutup bagian atas yankee</t>
  </si>
  <si>
    <t>- cleaning area penopol
- cleaning area broke dump
- cleaning area Ds ww tank , cw tank , dan dump chest
- menata dan cleaning area drum cemical</t>
  </si>
  <si>
    <t>awal shift  pm metalizing yankee 
-bantu med pasang valve hpp wire
-bantu pm 15
- cleaning area bawah yankee dr debu</t>
  </si>
  <si>
    <t>- Cleaning area rewinder
- cleaning area potong core
- cleaning area refiner</t>
  </si>
  <si>
    <t>- cleaning area pm
- cat tangga timur pulper
- bantu pm 15</t>
  </si>
  <si>
    <t>- Cleaning area belakang bak coating release.
- bantu pm 15
- Cleaning area hdc , area pump ww tank dan cw tank
- Cleaning krofta
- Cleaning Rewinder A</t>
  </si>
  <si>
    <t>Pekerjaan PM - REWINDER - STOCK PRAPE
_ cleaning area rewind 
_ cleaning area hood pm 15
_ bersih2 dan cat ruangan dcs
_cleaning area pulper</t>
  </si>
  <si>
    <t>- cleaning area pm
- cleaning pipa bagian atas pulper, dan bagian atas pulper 
- drain dan cleaning pulper
- cleaning area bawah pulper 
- cleaning area aproach</t>
  </si>
  <si>
    <t>- Bantu pm 15 , sikat felt
- Cleaning gram bekas metalizing di area Spr
- Pasang felt di bagian blind roll
- Cleaning area Rewinder A</t>
  </si>
  <si>
    <t>Pekerjaan PM - REWINDER - STOCKPREP
_ cleaning area rewind  
_ orang shenten selesai bongkar mesin grinding
_ cleaning gram bawah yankee
_ cleaning penutup debu (akrilik)bawah yankke</t>
  </si>
  <si>
    <t>-flushing mulai pulper sampai solo
-drain dan cleaning mulai DC sampai solo setelah flushing 
-cleaning area approach
-cleaning frame wire 
-cleaning area hood lantai 2</t>
  </si>
  <si>
    <t>- drain dan cleaning utm
- flushing jalur coating release , cek dan ganti nozzle coating release
- cleaning area pm
- masak broke vp untuk isi dump chest dan machine chest.
- simulasi all motor ( hood ,stock,water)
- cek dan ganti nozzle sower felt dan hpp wire, floading wire
- MED setting sudut doktor blade 1,2 dan 3 , lanjut profile doktor blade
- buka jalur pipa steam
Nb: gagal flushing silo to headbox , motor fanpump tidak bisa on , masih repair EID</t>
  </si>
  <si>
    <t>-  cleaning area rewind
_ cleaning dan isi ww
_ isi cw dan crofta
_ pasang felt dan cuci pakai deterjen
_flusing pulper - machine chest - drain 
_ Flusing stock pump - silo
_ Flusing broke dump- machine chest - drain
_ cleaning area pm 
_ lap yankke pakai realese
_ heating up yankee bertahap sampai 4 bar</t>
  </si>
  <si>
    <t>awal shift pm stop
-cleaning seluruh area pm dari serbufk besi 
-pasang felt 
-buka penutup manhole ww tinggal dilepas saja bautnya</t>
  </si>
  <si>
    <t>- Awal Shift PM Produksi F12
Speed 900mpm/-23% felt baru</t>
  </si>
  <si>
    <t>#Awal Shift kertas masih tekontaminasi oba, ganti air
#Ganti blade kertas masih brosot dr doctor blade no 1,c ke ds
# setiap jumbo ganti blade
#4:25 Oba sudah minim</t>
  </si>
  <si>
    <t>- Awal Shift PM Produksi  F12 *
Speed aktual 850mpm/-%
Speed target 1230mpm/-%</t>
  </si>
  <si>
    <t>Felt baru naik speed bertahap, speed akhir 900 mpm
16.00 tissu indikasi berpendar 
-Drain cw 
-Drain broke Dump
-Drain crofta  
- akhir shift masih ada kontaminasi</t>
  </si>
  <si>
    <t>- tension felt - wire 
- basahi felt + wire 
08:34 pm blankrun
09:27 pm on reel</t>
  </si>
  <si>
    <t>12:28 pompa pulper trip 4x info EID 
13:24 pompa pulper ready</t>
  </si>
  <si>
    <t>- Awal shift pm stop 
- Cleaning area pm
- Pasang talang dan selang oli SPR 
- Pasang selang floading shower 
- Amplas pop reel dr karat
- Cuci felt dengan detergen
- Karcer wire
2:45 mulai Heating  yankee</t>
  </si>
  <si>
    <t>Pekerjaan PM - REWINDER - STOCK PREP
_ Kacer frame bagian DS( wire)
_ pasang felt sampai selesai</t>
  </si>
  <si>
    <t>- soda wire + kacer 
09:30 lap yankee dengan release 
10:55 spray yankee dengan MAP
11:29 pm persiapan jalan 
12:30 pm on reel speed 800 
- SU turun ada hole bagian TS dan DS 
- kacer wire 
12:46 tambor turun masih hole 
-pm stop cuci felt dengan solae 
NB : ternyata felt cacat terkena benda tajam ( ganti felt )</t>
  </si>
  <si>
    <t>900/693</t>
  </si>
  <si>
    <t>850/654,5</t>
  </si>
  <si>
    <t>800/616</t>
  </si>
  <si>
    <t>855,68/658,88</t>
  </si>
  <si>
    <t>- Change Blade (1x)</t>
  </si>
  <si>
    <t>- Change Spool (5x)</t>
  </si>
  <si>
    <t>- Change Blade (5x)</t>
  </si>
  <si>
    <t>- Change Spool (6x)</t>
  </si>
  <si>
    <t>- Change Spool (7x)</t>
  </si>
  <si>
    <t>- Sheet Breaks (3x)</t>
  </si>
  <si>
    <t>Facial</t>
  </si>
  <si>
    <t>- Change Blade (6x)</t>
  </si>
  <si>
    <t>- Change Spool (18x)</t>
  </si>
  <si>
    <t>122,5+140</t>
  </si>
  <si>
    <t>EBKP CAKRAWALA/GHN</t>
  </si>
  <si>
    <t>Detac DC779F</t>
  </si>
  <si>
    <t>- Awal Shift PM Produksi F12
Speed 1230mpm/-23% (actuall speed 1150/-24%)</t>
  </si>
  <si>
    <t>Jumbo turun awal shift pending ticknes rendah 
1:16 Valve outlet pulper macet, EID ganti coil selenoid Valve 
1:30 Valve outlet pulper oke 
Speed akhir 1180 mpm</t>
  </si>
  <si>
    <t>- Awal Shift PM Produksi F12
Speed aktual 1030mpm/-23%
Speed target 1230mpm/-23%
Lost Speed 200mpm(16,2%)</t>
  </si>
  <si>
    <t>15:12 jumbo roll turun kertas berpendar terkontaminasi OBA
- drain dan ganti air ww tank dan cw tank
- Buburan yang di broke dump dan utm di transfer ke broke dump pm 15
17:26 Speed up bertahap sampai 1090mpm
17:28 lenght 16ribu muncul hole blade bagian Ts
- speed down 1060mpm
- ganti blade no.2 dan 3
- setting temperatur hood
17:40 pump feed water pulper , sering trip berkali kali , cek EID
19:02 pump feed water pulper oke
19:05 kertas mulai membaik , speed up 1100mpm
19:35 jumbo roll turun kertas sudah tidak berpendar
20:30 Speed up 1150mpm</t>
  </si>
  <si>
    <t>- Awal Shift PM Produksi F 12
Speed target 1230/23%
Speed aktual 900 /23%</t>
  </si>
  <si>
    <t>tambor turun muncul hole + kertas trawang 
- amplas wire bagian kertas trawang + tension wire 
- ganti nozel hpp wire yang buntu
10:06 tambor turun hole hilang 
- speed up secara bertahap 
akhir shift speed 1030 mpm</t>
  </si>
  <si>
    <t>1170,63/901,38</t>
  </si>
  <si>
    <t>1086,21/836,38</t>
  </si>
  <si>
    <t>916,25/705,513</t>
  </si>
  <si>
    <t>1057,69/814,42</t>
  </si>
  <si>
    <t>- Change Spool (8x)</t>
  </si>
  <si>
    <t>- Change Blade (7x)</t>
  </si>
  <si>
    <t>- Change Spool (10x)</t>
  </si>
  <si>
    <t>- Sheet Breaks (5x)</t>
  </si>
  <si>
    <t>- Sheet Breaks (8x)</t>
  </si>
  <si>
    <t>- Change Spool (26x)</t>
  </si>
  <si>
    <t>EBKP Double A</t>
  </si>
  <si>
    <t>NBKP CROFTON</t>
  </si>
  <si>
    <t>- Awal Shift PM Produksi F12
Speed 1230mpm/-23% (actuall speed 1200/-24%)</t>
  </si>
  <si>
    <t>23:40 pm turun speed 20mpm Kertas lembab</t>
  </si>
  <si>
    <t>- Awal Shift PM Produksi F10,3
Speed aktual 1160mpm/-23%
Speed target 1230mpm/-23%
Lost Speed 70mpm(5,6%)</t>
  </si>
  <si>
    <t>15:16 Speed up sampai 1230mpm
15:21 Change grade F12
           Speed 1230mpm/-23%
15:23 Bacaan Dp control steam error, cek EID
19:10 Bacaan Dp control steam oke
19:28 Pump feed water pulper trip berkali kali , sementara control manual cek EID
20:27 Speed down 1220 mpm dan pressure steam yankee diturunkan   sampai 6,5bar
21:02 pump feed water pulper oke</t>
  </si>
  <si>
    <t>- Awal Shift PM Produksi F 12 Hb speed 1180</t>
  </si>
  <si>
    <t>07:49 speed up 1190
08:25 speed up 1200
08:53 speed up 1210
10:14 speed up 1220
10:54 speed up 1230
11:27 burner dry trip pm turun speed 1050 ( info  EID )
11:45 burner dry nyala 
- speed up secara bertahap 
11:48 speed up 1100
11:55 speed up 1180 
12:02 speed up 1220 
12:09 speed up 1230 
13:35 pm stop cek permukaan yankee
14:45 pm start up coba GSM 10,3</t>
  </si>
  <si>
    <t>F 10,3</t>
  </si>
  <si>
    <t>1192,04/913,66</t>
  </si>
  <si>
    <t>- Change Spool (11x)</t>
  </si>
  <si>
    <t>- Change Spool (9x)</t>
  </si>
  <si>
    <t>1200/912</t>
  </si>
  <si>
    <t>1224,48/942,85</t>
  </si>
  <si>
    <t>1144,73/884,44</t>
  </si>
  <si>
    <t>12/10,3</t>
  </si>
  <si>
    <t>- Sheet Breaks (9x)</t>
  </si>
  <si>
    <t>- Change Spool (27x)</t>
  </si>
  <si>
    <t>- 13:35 pm stop cek permukaan yankee</t>
  </si>
  <si>
    <t>180+77,5</t>
  </si>
  <si>
    <t>- Awal Shift PM Produksi F12
Speed 1230mpm/-24%</t>
  </si>
  <si>
    <t>20:07 pm stop , proses pendinginan yankee
- cleaning area pm
- Drain couchpit tank
- tutup hider steam
- Flushing jalur buburan.
- flushing jalur Mc. Chest to silo tank.
- jalankan sirkulasi fan dan exhaust fan 40%</t>
  </si>
  <si>
    <t>- Cleaning area pm
- Cleaning area motor yankee 
- 2:50 med buka main hole yankee
- bantu pm 15</t>
  </si>
  <si>
    <t>- Awal Shift PM Produksi  F12 (3 ply)
Speed :1230mpm/-23%</t>
  </si>
  <si>
    <t>1230/934,8</t>
  </si>
  <si>
    <t>1230/947,1</t>
  </si>
  <si>
    <t>1230/942,3</t>
  </si>
  <si>
    <t>- Change Blade (2x)</t>
  </si>
  <si>
    <t>- Change Spool (16x)</t>
  </si>
  <si>
    <t>- 20:07 pm stop , proses pendinginan yankee</t>
  </si>
  <si>
    <t>133*2</t>
  </si>
  <si>
    <t>23:40 Valve inlet pompa transfer pulper macet cek eid
23:47 Valve Ok 
6:00 mulai masak Nano 1bal
Rew :
Awal shift rewind stop med ganti baut kopling putus 
23:30 rewind jalan 
00:30 rewind ganti potongan (47,5 x 4 + 68 x 1)
01.10 mulai jalan, pot serabut, setting holder
01.35 mulai jalan</t>
  </si>
  <si>
    <t>- cleaning area ds sebelah vaccum 
- karcer wire
- sikat felt</t>
  </si>
  <si>
    <t>F 13</t>
  </si>
  <si>
    <t>F 14</t>
  </si>
  <si>
    <r>
      <t xml:space="preserve">15:00 Awal shift pm stop , MED tutup manhole yankee
15:28 proses heating yankee, buka hyder steam , cleaning couchpit tank
18:09 belum bisa start up , sensor Spr error , cek EID setting sensor Spr
18:50 Pm start up , sensor Spr oke
</t>
    </r>
    <r>
      <rPr>
        <b/>
        <sz val="10"/>
        <color rgb="FFFF0000"/>
        <rFont val="Arial"/>
        <family val="2"/>
      </rPr>
      <t>19:03 onreel produksi F13
Speed aktual 1000mpm/-24%</t>
    </r>
  </si>
  <si>
    <r>
      <rPr>
        <b/>
        <sz val="10"/>
        <color rgb="FFFF0000"/>
        <rFont val="Arial"/>
        <family val="2"/>
      </rPr>
      <t xml:space="preserve">19:14 </t>
    </r>
    <r>
      <rPr>
        <b/>
        <sz val="10"/>
        <color indexed="8"/>
        <rFont val="Arial"/>
        <family val="2"/>
      </rPr>
      <t xml:space="preserve">jumbo roll turun ada dirt merata , change grade F14 gulung pengalihan dirt
- drain kick krofta
- dump chest level buat minim ganti dengan buburan baru
- habis kan buburan broke dump
</t>
    </r>
    <r>
      <rPr>
        <b/>
        <sz val="10"/>
        <color rgb="FFFF0000"/>
        <rFont val="Arial"/>
        <family val="2"/>
      </rPr>
      <t xml:space="preserve">19:32 </t>
    </r>
    <r>
      <rPr>
        <b/>
        <sz val="10"/>
        <color indexed="8"/>
        <rFont val="Arial"/>
        <family val="2"/>
      </rPr>
      <t xml:space="preserve">speed up 1100mpm
</t>
    </r>
    <r>
      <rPr>
        <b/>
        <sz val="10"/>
        <color rgb="FFFF0000"/>
        <rFont val="Arial"/>
        <family val="2"/>
      </rPr>
      <t xml:space="preserve">20:45 </t>
    </r>
    <r>
      <rPr>
        <b/>
        <sz val="10"/>
        <color indexed="8"/>
        <rFont val="Arial"/>
        <family val="2"/>
      </rPr>
      <t xml:space="preserve">Burner hood dry trip , kertas bagian DS lembab , speed down sampai 900mpm
</t>
    </r>
    <r>
      <rPr>
        <b/>
        <sz val="10"/>
        <color rgb="FFFF0000"/>
        <rFont val="Arial"/>
        <family val="2"/>
      </rPr>
      <t>20:50</t>
    </r>
    <r>
      <rPr>
        <b/>
        <sz val="10"/>
        <color indexed="8"/>
        <rFont val="Arial"/>
        <family val="2"/>
      </rPr>
      <t xml:space="preserve"> Burner hood dry oke , speed up sampai 1020 mpm
</t>
    </r>
    <r>
      <rPr>
        <b/>
        <sz val="10"/>
        <color rgb="FFFF0000"/>
        <rFont val="Arial"/>
        <family val="2"/>
      </rPr>
      <t>21:21</t>
    </r>
    <r>
      <rPr>
        <b/>
        <sz val="10"/>
        <color indexed="8"/>
        <rFont val="Arial"/>
        <family val="2"/>
      </rPr>
      <t xml:space="preserve"> jumbo roll turun dirt hilang , change grade F13
Speed 1100mpm
</t>
    </r>
    <r>
      <rPr>
        <b/>
        <sz val="10"/>
        <color rgb="FFFF0000"/>
        <rFont val="Arial"/>
        <family val="2"/>
      </rPr>
      <t>22:30</t>
    </r>
    <r>
      <rPr>
        <b/>
        <sz val="10"/>
        <color indexed="8"/>
        <rFont val="Arial"/>
        <family val="2"/>
      </rPr>
      <t xml:space="preserve"> Speed up 1150mpm</t>
    </r>
  </si>
  <si>
    <t>- Awal Shift PM Produksi  F13
Speed 1230mpm/-23% (actuall speed 1150/-23%)</t>
  </si>
  <si>
    <t>1150/885,5</t>
  </si>
  <si>
    <t>1079,41/820,35</t>
  </si>
  <si>
    <t>1126,67/863,97</t>
  </si>
  <si>
    <t>- Sheet Breaks (2x)</t>
  </si>
  <si>
    <t>13/14</t>
  </si>
  <si>
    <t>- Awal shift pm stop , MED tutup manhole yankee</t>
  </si>
  <si>
    <t>- Change Spool (14x)</t>
  </si>
  <si>
    <t>47,5*4+68*1</t>
  </si>
  <si>
    <t>F 13 VP OW</t>
  </si>
  <si>
    <t>F 14 VP OW</t>
  </si>
  <si>
    <t xml:space="preserve">- Awal Shift PM Produksi  F13
Speed 1150 mpm / 23%  </t>
  </si>
  <si>
    <t>07.45 burner hood dry mati, speed turun 1050 mpm
08.00 burner hood dry oke, speed up bertahap 1150 mpm
09.02 change grade F14 speed 1100 mpm</t>
  </si>
  <si>
    <t xml:space="preserve">*Seset *: 990 kg (keriput burner mati) </t>
  </si>
  <si>
    <t>- Awal Shift PM Produksi  F14
Speed aktual 1100mpm/-23%
Speed target 1230mpm/-23%
lost speed 130mpm(10,5%)</t>
  </si>
  <si>
    <t>18:11 pump machine chest fault , pm stock off cek EID ( didcs on actual off)
18:16 pump machine chest oke , pm stock on
22:45 Change grade F11
           Speed 1200mpm/-23%</t>
  </si>
  <si>
    <t>- Awal shift change grade F 11 speed 1200/24%</t>
  </si>
  <si>
    <t>- Awal Shift PM Produksi F11
Speed target 1230/24%
Speed aktual 1200/24%</t>
  </si>
  <si>
    <t>F 11</t>
  </si>
  <si>
    <t>13/14/11</t>
  </si>
  <si>
    <t>1190,63/916,78</t>
  </si>
  <si>
    <t>1109,58/854,38</t>
  </si>
  <si>
    <t>1166,74/894,39</t>
  </si>
  <si>
    <t>- Change Blade (4x)</t>
  </si>
  <si>
    <t>- Change Spool (30x)</t>
  </si>
  <si>
    <t>- 07.45 burner hood dry mati, speed turun 1050 mpm</t>
  </si>
  <si>
    <t>128,5*2</t>
  </si>
  <si>
    <t>128+140</t>
  </si>
  <si>
    <t>F 11 VP OW</t>
  </si>
  <si>
    <t>speed real</t>
  </si>
  <si>
    <t>speed target</t>
  </si>
  <si>
    <t>- Awal Shift PM Produksi  F 13 , F14 ,T14
Speed 1140 /23%</t>
  </si>
  <si>
    <t>02:17 change grade F 14 speed 1080/23%
02:19 burner dry trip ( info eid ) 
- turun speed 980
03:22 burner hud dry nyala 
- speed up perlahan 
03:30 burner dry trip lagi 
- speed trun 
03:46 burner dry nyala 
- speed up perlahan 
04:12 change grade T 14 speed 1040/23%</t>
  </si>
  <si>
    <t>NB: awal shift ada kertas trawang bagian TS dari tepi 75,5 cm dan pindah dari tepi jadi 79 cm 
05:42 kertas trawang hilang 
- hpp wire bagus tidak  ada buntu ataupun pecah 
- amplas wire bagian trawang wire kasar 
- felt bagian trawang tembak hpp</t>
  </si>
  <si>
    <t>- Awal Shift PM Produksi F14
Speed 1230mpm/-23% (actuall speed 1140/-23%)</t>
  </si>
  <si>
    <t>- Awal Shift PM Produksi  F13
Speed :1230mpm/-23%
Actual speed :1180mpm/-23%</t>
  </si>
  <si>
    <t xml:space="preserve">12.15 pm hole terawang (karcer wire + ganti shower hhp yang pecah )
13.10 Jumbo turun hole terawang hilang </t>
  </si>
  <si>
    <t>- awal shift change grade F 13 speed 1150/23%</t>
  </si>
  <si>
    <t>- Awal Shift PM Produksi  F11
Speed aktual 1200mpm/-24%
Speed target 1230mpm/-24%
lost speed 30mpm(2,4%)</t>
  </si>
  <si>
    <t>22:28 Change grade F13
            Speed 1150mpm/-23%</t>
  </si>
  <si>
    <t>- Awal Shift PM Produksi F11 (4ply)
Speed :1230mpm/-23%
Actual speed :1200mpm/-23%</t>
  </si>
  <si>
    <t>Pm
09:51 hole satu putaran felt
10:45 pm stop cek felt (felt gundul )
11:26 pm persiapan jalan
11:45 pm onreel ( tissu SU ACC ,hole hilang )</t>
  </si>
  <si>
    <t>- Awal Shift PM Produksi  F13
Speed target 1230/23%
Speed aktual 1150/23%</t>
  </si>
  <si>
    <t>1196,67/910,23</t>
  </si>
  <si>
    <t>1200/924</t>
  </si>
  <si>
    <t>1181,45/905,82</t>
  </si>
  <si>
    <t>T 14</t>
  </si>
  <si>
    <t>1180/908,6</t>
  </si>
  <si>
    <t>1140/877,8</t>
  </si>
  <si>
    <t>1067,08/821,654</t>
  </si>
  <si>
    <t>1129,03/869,35</t>
  </si>
  <si>
    <t>11/13</t>
  </si>
  <si>
    <t>13/14/14</t>
  </si>
  <si>
    <t>Facial/Toilet</t>
  </si>
  <si>
    <t>Toilet</t>
  </si>
  <si>
    <t>- Sheet Breaks (6x)</t>
  </si>
  <si>
    <t>- Change Spool (28x)</t>
  </si>
  <si>
    <t>- 10:45 pm stop cek felt (felt gundul )</t>
  </si>
  <si>
    <t>129*2</t>
  </si>
  <si>
    <t>140+114</t>
  </si>
  <si>
    <t>T 14 VP OW</t>
  </si>
  <si>
    <t>- Awal Shift PM Produksi T14
Speed 1230mpm/-23% (actuall speed 1000/-23%)</t>
  </si>
  <si>
    <t xml:space="preserve"> Vacum trip cek eid
15:54 vacum on, pm persiapan jalan
16:15 pm on reel T14 speed 1000/-23%
Terkedala load spr&amp;hood dry off
20:30 pm naik speed 1060 mpm, kertas bag fs ada keriput</t>
  </si>
  <si>
    <t>14.50 pm stop motor vaccum trip</t>
  </si>
  <si>
    <t>1100/847</t>
  </si>
  <si>
    <t>1022,22/787,111</t>
  </si>
  <si>
    <t>1060/816,2</t>
  </si>
  <si>
    <t>1062,58/818,19</t>
  </si>
  <si>
    <t>- Awal Shift PM Produksi  T14
Speed target 1230/23%
Speed aktual 1060/23%</t>
  </si>
  <si>
    <t>- Awal Shift PM Produksi T14
Speed :1230mpm/-23%
Actual speed :1100mpm/-23%</t>
  </si>
  <si>
    <t>14</t>
  </si>
  <si>
    <t>- Change Blade (10x)</t>
  </si>
  <si>
    <t>- 14.50 pm stop motor vaccum trip</t>
  </si>
  <si>
    <t>Down Time Management</t>
  </si>
  <si>
    <t>Grinding Yankee</t>
  </si>
  <si>
    <t>Burner hood dry mati</t>
  </si>
  <si>
    <t>Cek felt</t>
  </si>
  <si>
    <t>Motor vacuum trip</t>
  </si>
  <si>
    <t>07:49 Burner hood dry trip , kertas lembab speed down sampai 850mpm, cek EID
08:05 Burner hood dry oke , speed up sampai 1040mpm
12:20 Speed up 1070mpm</t>
  </si>
  <si>
    <t>- Awal Shift PM Produksi  T 15
Speed target 1230 /23%
Speed aktual 1050/23%</t>
  </si>
  <si>
    <t>05:11 burner hud dry trip ( info EID )
- turun speed 930 mpm 
05:42 burner hud dry nyala 
-speed up secara perlahan 
06:08 burner hud trip lagi ( info EID ) 
- trun speed 930 mpm
06:16 burner hud nyala 
- speed up secara perlahan 
06:39 burner hud dry trip lagi  ( info EID )</t>
  </si>
  <si>
    <t># seset marking hole : 750 kg ( hud trip )</t>
  </si>
  <si>
    <t>- Awal Shift PM Produksi T14
Speed 1230mpm/-23% (actuall speed 1070/-23%)</t>
  </si>
  <si>
    <t>15:30 change grade T15 speed 1050/-23%</t>
  </si>
  <si>
    <t>- Seset lembab dan joint:289kg/2%(Burner hood dry mati)</t>
  </si>
  <si>
    <t>- Awal Shift PM Produksi  T14
Speed aktual 1060mpm/-23%
Speed target 1230mpm/-23%</t>
  </si>
  <si>
    <t>T 15</t>
  </si>
  <si>
    <t>1049,91/808,43</t>
  </si>
  <si>
    <t>1051,25/809,46</t>
  </si>
  <si>
    <t>1075,73/828,31</t>
  </si>
  <si>
    <t>14/15</t>
  </si>
  <si>
    <t>T 15 VP OW</t>
  </si>
  <si>
    <t>- Seset lembab dan joint:289+750kg (Burner hoo mati)</t>
  </si>
  <si>
    <t>- Awal Shift PM Produksi  T15
Speed aktual 1040mpm/-23%
Speed target 1230mpm/-23%
Lost Speed 190mpm(15,4%)</t>
  </si>
  <si>
    <t>- Awal Shift PM Produksi   T 15/3 ply
Speed 1050/23% (aktual)</t>
  </si>
  <si>
    <t>01:45 temperatur hud dry tiba2 melonjak 475° jauh dari set poin ( info EID )
01:56 temperatur hud dry mulai normal</t>
  </si>
  <si>
    <t>Speed motor sirkulasi hood dry max set 80%, biar hood ndak off, info eid</t>
  </si>
  <si>
    <t>- Awal Shift PM Produksi T15
Speed 1230mpm/-23% (actuall speed 1050/-23%)</t>
  </si>
  <si>
    <t>Awal shift speed 980 mpm ( Burner hood dry mati)
07:10  Speed up bertahap sampai  1050mpm</t>
  </si>
  <si>
    <t>1048,54/807,377</t>
  </si>
  <si>
    <t>1050/808,5</t>
  </si>
  <si>
    <t>1109,51/854,33</t>
  </si>
  <si>
    <t>- Sheet Breaks (4x)</t>
  </si>
  <si>
    <t>15</t>
  </si>
  <si>
    <t>- Sheet Breaks (10x)</t>
  </si>
  <si>
    <t>Marking</t>
  </si>
  <si>
    <t>126*2+16</t>
  </si>
  <si>
    <t>- Awal Shift PM Produksi  F12
Speed :1230mpm/-23%
Actual speed :1080mpm/-23%</t>
  </si>
  <si>
    <t>01.30 pompa wsr off inject manual + proses ganti pompa 
02.30 ganti pompa wsr oke 
01.08 motor combustion dry mati ,ganti motor combustion ,speed turun 1030 mpm 
05.06 motor combustion dry oke ,hood dry sudah menyala ,pm mulai naik speed bertahap</t>
  </si>
  <si>
    <t>09:50 Change grade F12
           Speed 1120mpm/-23%
10:55 Speed up 1150mpm
14:09 Speed up 1190 mpm</t>
  </si>
  <si>
    <t>- Awal Shift PM Produksi   F 12
Speed 1230mpm/-23% (actuall speed 1200/-23%)</t>
  </si>
  <si>
    <t>1114,77/858,374</t>
  </si>
  <si>
    <t>1043,33/803,367</t>
  </si>
  <si>
    <t>1119,37/861,91</t>
  </si>
  <si>
    <t>Toilet/Facial</t>
  </si>
  <si>
    <t>15/12</t>
  </si>
  <si>
    <t>140+122,5</t>
  </si>
  <si>
    <t>- Awal Shift PM Produksi  F13
Speed :1230mpm/-23%</t>
  </si>
  <si>
    <t>- Awal Shift PM Produksi  F12
Speed 1230mpm/-23%</t>
  </si>
  <si>
    <t>16:47 Change grade F13
           Speed 1210mpm/-23%
18:11 Speed up 1230mpm</t>
  </si>
  <si>
    <t>- Awal Shift PM Produksi   F12
Speed 1230mpm/-23% (actuall speed 1220/-23%)</t>
  </si>
  <si>
    <t>Pm naik speed perlahan 
9:55 pm speed 1230mpm
13:35 pm stop cek yankee 
14:05 pm start up
14:22 on reel Su F12 speed 1230 /- 23.5%</t>
  </si>
  <si>
    <t>- 05:06 pm 14 change grade F12</t>
  </si>
  <si>
    <t>1225,96/943,448</t>
  </si>
  <si>
    <t>1226,5/944,405</t>
  </si>
  <si>
    <t>1227,54/945,04</t>
  </si>
  <si>
    <t>12/13</t>
  </si>
  <si>
    <t>- Change Spool (31x)</t>
  </si>
  <si>
    <t>114+140</t>
  </si>
  <si>
    <t xml:space="preserve">- 13:35 pm stop cek yankee </t>
  </si>
  <si>
    <t>Cek yankee</t>
  </si>
  <si>
    <t>1173,54/898,424</t>
  </si>
  <si>
    <t>1120/851,2</t>
  </si>
  <si>
    <t>1137,85/866,94</t>
  </si>
  <si>
    <t>12/14</t>
  </si>
  <si>
    <t>- Awal Shift PM Produksi   F14
Speed :1230mpm/-23%
Speed actual : 1120 mpm</t>
  </si>
  <si>
    <t>- Awal Shift PM Produksi F 14
Speed 1120 /23% (aktual)</t>
  </si>
  <si>
    <t>- Awal Shift PM Produksi  F14
Speed aktual 1120mpm/-24%
Speed target 1230mpm/-24%
lost speed 110mpm(8,9%)</t>
  </si>
  <si>
    <t>- Awal Shift PM Produksi  F14
Speed :1230mpm/-23%
Speed actual : 1120 mpm</t>
  </si>
  <si>
    <t>- Awal Shift PM Produksi  F 14
Speed target 1230/23%
Speed aktual = 1120 /23%</t>
  </si>
  <si>
    <t>awal shift kertas sering nglokor di lenght 38-42 ribuan 
- seting temperatur hud 
- seting coating release + kalibrasi
19:14 pm lancar kertas jarang nglokor di lenght 36 rb</t>
  </si>
  <si>
    <t>07:46 amisoft on 500ml/menit transisi order F14 idm
- pump amisoft trobel , ganti pump amisoft lainnya
11:17 Change grade F14
           Speed 1120mpm/-24%
           Lost speed 110mpm(8,9%)</t>
  </si>
  <si>
    <t>130*2</t>
  </si>
  <si>
    <t>140+120</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</si>
</sst>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409]mmm\-yy;@"/>
    <numFmt numFmtId="180" formatCode="_(* #,##0.000_);_(* \(#,##0.000\);_(* &quot;-&quot;_);_(@_)"/>
    <numFmt numFmtId="181" formatCode="_(* #,##0.0_);_(* \(#,##0.0\);_(* &quot;-&quot;_);_(@_)"/>
  </numFmts>
  <fonts count="6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b/>
      <sz val="10"/>
      <color rgb="FFFF0000"/>
      <name val="Arial"/>
      <family val="2"/>
    </font>
  </fonts>
  <fills count="41">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rgb="FFBC3441"/>
        <bgColor indexed="64"/>
      </patternFill>
    </fill>
    <fill>
      <patternFill patternType="solid">
        <fgColor rgb="FFC41FD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8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style="medium">
        <color indexed="64"/>
      </left>
      <right style="medium">
        <color indexed="64"/>
      </right>
      <top/>
      <bottom/>
      <diagonal/>
    </border>
    <border>
      <left style="thin">
        <color indexed="64"/>
      </left>
      <right/>
      <top style="thin">
        <color indexed="64"/>
      </top>
      <bottom/>
      <diagonal/>
    </border>
  </borders>
  <cellStyleXfs count="61">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0" fillId="3" borderId="0" applyNumberFormat="0" applyBorder="0" applyAlignment="0" applyProtection="0"/>
    <xf numFmtId="0" fontId="13" fillId="20" borderId="1" applyNumberFormat="0" applyAlignment="0" applyProtection="0"/>
    <xf numFmtId="0" fontId="18" fillId="21" borderId="2" applyNumberFormat="0" applyAlignment="0" applyProtection="0"/>
    <xf numFmtId="165" fontId="46" fillId="0" borderId="0" applyFont="0" applyFill="0" applyBorder="0" applyAlignment="0" applyProtection="0"/>
    <xf numFmtId="164" fontId="46" fillId="0" borderId="0" applyFont="0" applyFill="0" applyBorder="0" applyAlignment="0" applyProtection="0"/>
    <xf numFmtId="165" fontId="6" fillId="0" borderId="0" applyFont="0" applyFill="0" applyBorder="0" applyAlignment="0" applyProtection="0">
      <alignment vertical="center"/>
    </xf>
    <xf numFmtId="165" fontId="6" fillId="0" borderId="0" applyFont="0" applyFill="0" applyBorder="0" applyAlignment="0" applyProtection="0">
      <alignment vertical="center"/>
    </xf>
    <xf numFmtId="0" fontId="12"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9" fillId="0" borderId="6" applyNumberFormat="0" applyFill="0" applyAlignment="0" applyProtection="0"/>
    <xf numFmtId="0" fontId="4" fillId="22" borderId="0" applyNumberFormat="0" applyBorder="0" applyAlignment="0" applyProtection="0"/>
    <xf numFmtId="0" fontId="49" fillId="0" borderId="0"/>
    <xf numFmtId="0" fontId="49" fillId="0" borderId="0"/>
    <xf numFmtId="0" fontId="46" fillId="0" borderId="0"/>
    <xf numFmtId="0" fontId="46" fillId="0" borderId="0"/>
    <xf numFmtId="0" fontId="46" fillId="0" borderId="0"/>
    <xf numFmtId="0" fontId="46" fillId="0" borderId="0"/>
    <xf numFmtId="0" fontId="46" fillId="0" borderId="0"/>
    <xf numFmtId="0" fontId="46" fillId="23" borderId="7" applyNumberFormat="0" applyFont="0" applyAlignment="0" applyProtection="0"/>
    <xf numFmtId="0" fontId="14" fillId="20" borderId="8" applyNumberFormat="0" applyAlignment="0" applyProtection="0"/>
    <xf numFmtId="9" fontId="46" fillId="0" borderId="0" applyFont="0" applyFill="0" applyBorder="0" applyAlignment="0" applyProtection="0"/>
    <xf numFmtId="9" fontId="50" fillId="0" borderId="0" applyFont="0" applyFill="0" applyBorder="0" applyAlignment="0" applyProtection="0">
      <alignment vertical="center"/>
    </xf>
    <xf numFmtId="0" fontId="7" fillId="0" borderId="0" applyNumberFormat="0" applyFill="0" applyBorder="0" applyAlignment="0" applyProtection="0"/>
    <xf numFmtId="0" fontId="5" fillId="0" borderId="9" applyNumberFormat="0" applyFill="0" applyAlignment="0" applyProtection="0"/>
    <xf numFmtId="0" fontId="8" fillId="0" borderId="0" applyNumberFormat="0" applyFill="0" applyBorder="0" applyAlignment="0" applyProtection="0"/>
    <xf numFmtId="0" fontId="46" fillId="0" borderId="0"/>
    <xf numFmtId="0" fontId="46" fillId="0" borderId="0"/>
    <xf numFmtId="0" fontId="3" fillId="0" borderId="0"/>
    <xf numFmtId="165" fontId="3" fillId="0" borderId="0" applyFont="0" applyFill="0" applyBorder="0" applyAlignment="0" applyProtection="0"/>
    <xf numFmtId="9" fontId="3" fillId="0" borderId="0" applyFont="0" applyFill="0" applyBorder="0" applyAlignment="0" applyProtection="0"/>
    <xf numFmtId="164" fontId="2" fillId="0" borderId="0" applyFont="0" applyFill="0" applyBorder="0" applyAlignment="0" applyProtection="0"/>
  </cellStyleXfs>
  <cellXfs count="789">
    <xf numFmtId="0" fontId="0" fillId="0" borderId="0" xfId="0"/>
    <xf numFmtId="0" fontId="0" fillId="0" borderId="0" xfId="0" applyAlignment="1">
      <alignment horizontal="center"/>
    </xf>
    <xf numFmtId="0" fontId="29"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9" fillId="0" borderId="16" xfId="0" applyFont="1" applyBorder="1" applyAlignment="1">
      <alignment horizontal="center" vertical="center" wrapText="1"/>
    </xf>
    <xf numFmtId="165" fontId="0" fillId="0" borderId="11" xfId="28" applyFont="1" applyBorder="1"/>
    <xf numFmtId="0" fontId="29" fillId="0" borderId="18" xfId="0" applyFont="1" applyBorder="1"/>
    <xf numFmtId="165" fontId="29"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9" fillId="0" borderId="11" xfId="0" applyNumberFormat="1" applyFont="1" applyBorder="1"/>
    <xf numFmtId="165" fontId="29" fillId="0" borderId="18" xfId="28" applyFont="1" applyFill="1" applyBorder="1"/>
    <xf numFmtId="0" fontId="29" fillId="0" borderId="0" xfId="0" applyFont="1"/>
    <xf numFmtId="0" fontId="29" fillId="0" borderId="18" xfId="28" applyNumberFormat="1" applyFont="1" applyBorder="1"/>
    <xf numFmtId="0" fontId="42" fillId="0" borderId="0" xfId="0" applyFont="1"/>
    <xf numFmtId="0" fontId="43" fillId="0" borderId="0" xfId="0" applyFont="1" applyAlignment="1">
      <alignment horizontal="center" vertical="center" wrapText="1"/>
    </xf>
    <xf numFmtId="164" fontId="43" fillId="0" borderId="0" xfId="29" applyFont="1" applyFill="1" applyBorder="1" applyAlignment="1">
      <alignment horizontal="center" vertical="center" wrapText="1"/>
    </xf>
    <xf numFmtId="177" fontId="43" fillId="0" borderId="0" xfId="0" applyNumberFormat="1" applyFont="1" applyAlignment="1">
      <alignment horizontal="center" vertical="center" wrapText="1"/>
    </xf>
    <xf numFmtId="178" fontId="43" fillId="0" borderId="0" xfId="29" applyNumberFormat="1" applyFont="1" applyFill="1" applyBorder="1" applyAlignment="1">
      <alignment horizontal="center" vertical="center" wrapText="1"/>
    </xf>
    <xf numFmtId="166" fontId="43" fillId="0" borderId="0" xfId="50" applyNumberFormat="1" applyFont="1" applyFill="1" applyBorder="1" applyAlignment="1">
      <alignment horizontal="center" vertical="center" wrapText="1"/>
    </xf>
    <xf numFmtId="0" fontId="44" fillId="0" borderId="0" xfId="0" applyFont="1"/>
    <xf numFmtId="178" fontId="43" fillId="0" borderId="11" xfId="29" applyNumberFormat="1" applyFont="1" applyFill="1" applyBorder="1" applyAlignment="1">
      <alignment horizontal="center"/>
    </xf>
    <xf numFmtId="0" fontId="43" fillId="0" borderId="0" xfId="0" applyFont="1"/>
    <xf numFmtId="0" fontId="44" fillId="25" borderId="14" xfId="0" applyFont="1" applyFill="1" applyBorder="1" applyAlignment="1">
      <alignment horizontal="center" vertical="center" wrapText="1"/>
    </xf>
    <xf numFmtId="177" fontId="44" fillId="0" borderId="14" xfId="0" applyNumberFormat="1" applyFont="1" applyBorder="1" applyAlignment="1">
      <alignment horizontal="center" vertical="center" wrapText="1"/>
    </xf>
    <xf numFmtId="0" fontId="44" fillId="0" borderId="0" xfId="0" applyFont="1" applyAlignment="1">
      <alignment horizontal="center" vertical="center" wrapText="1"/>
    </xf>
    <xf numFmtId="0" fontId="43" fillId="0" borderId="11" xfId="0" applyFont="1" applyBorder="1"/>
    <xf numFmtId="164" fontId="43" fillId="0" borderId="11" xfId="29" applyFont="1" applyFill="1" applyBorder="1" applyAlignment="1">
      <alignment vertical="center"/>
    </xf>
    <xf numFmtId="177" fontId="43" fillId="0" borderId="11" xfId="0" applyNumberFormat="1" applyFont="1" applyBorder="1"/>
    <xf numFmtId="164" fontId="43" fillId="0" borderId="11" xfId="29" applyFont="1" applyFill="1" applyBorder="1" applyAlignment="1">
      <alignment horizontal="center"/>
    </xf>
    <xf numFmtId="178" fontId="43" fillId="0" borderId="11" xfId="29" applyNumberFormat="1" applyFont="1" applyFill="1" applyBorder="1" applyAlignment="1">
      <alignment vertical="center"/>
    </xf>
    <xf numFmtId="166" fontId="43" fillId="0" borderId="11" xfId="50" applyNumberFormat="1" applyFont="1" applyFill="1" applyBorder="1" applyAlignment="1">
      <alignment vertical="center"/>
    </xf>
    <xf numFmtId="0" fontId="43" fillId="0" borderId="11" xfId="0" applyFont="1" applyBorder="1" applyAlignment="1">
      <alignment wrapText="1"/>
    </xf>
    <xf numFmtId="173" fontId="40" fillId="0" borderId="11" xfId="44" applyNumberFormat="1" applyFont="1" applyBorder="1" applyAlignment="1">
      <alignment horizontal="center"/>
    </xf>
    <xf numFmtId="0" fontId="40" fillId="0" borderId="11" xfId="44" applyFont="1" applyBorder="1" applyAlignment="1">
      <alignment horizontal="center"/>
    </xf>
    <xf numFmtId="0" fontId="40" fillId="0" borderId="11" xfId="31" applyNumberFormat="1" applyFont="1" applyFill="1" applyBorder="1" applyAlignment="1">
      <alignment horizontal="center"/>
    </xf>
    <xf numFmtId="0" fontId="43" fillId="0" borderId="11" xfId="0" applyFont="1" applyBorder="1" applyAlignment="1">
      <alignment horizontal="center" vertical="center" wrapText="1"/>
    </xf>
    <xf numFmtId="9" fontId="43" fillId="0" borderId="11" xfId="0" applyNumberFormat="1" applyFont="1" applyBorder="1" applyAlignment="1">
      <alignment horizontal="center" vertical="center" wrapText="1"/>
    </xf>
    <xf numFmtId="9" fontId="43" fillId="0" borderId="11" xfId="29" applyNumberFormat="1" applyFont="1" applyFill="1" applyBorder="1" applyAlignment="1">
      <alignment vertical="center"/>
    </xf>
    <xf numFmtId="9" fontId="43" fillId="0" borderId="11" xfId="50" applyFont="1" applyFill="1" applyBorder="1" applyAlignment="1">
      <alignment vertical="center"/>
    </xf>
    <xf numFmtId="164" fontId="40" fillId="0" borderId="11" xfId="29" applyFont="1" applyFill="1" applyBorder="1" applyAlignment="1">
      <alignment horizontal="center"/>
    </xf>
    <xf numFmtId="178" fontId="40" fillId="0" borderId="11" xfId="29" applyNumberFormat="1" applyFont="1" applyFill="1" applyBorder="1" applyAlignment="1">
      <alignment horizontal="center"/>
    </xf>
    <xf numFmtId="178" fontId="43" fillId="0" borderId="11" xfId="29" applyNumberFormat="1" applyFont="1" applyBorder="1" applyAlignment="1">
      <alignment vertical="center"/>
    </xf>
    <xf numFmtId="2" fontId="43" fillId="0" borderId="11" xfId="0" applyNumberFormat="1" applyFont="1" applyBorder="1"/>
    <xf numFmtId="2" fontId="40" fillId="0" borderId="11" xfId="46" applyNumberFormat="1" applyFont="1" applyBorder="1"/>
    <xf numFmtId="178" fontId="44" fillId="0" borderId="11" xfId="29" applyNumberFormat="1" applyFont="1" applyFill="1" applyBorder="1" applyAlignment="1">
      <alignment vertical="center"/>
    </xf>
    <xf numFmtId="178" fontId="43" fillId="0" borderId="0" xfId="29" applyNumberFormat="1" applyFont="1" applyFill="1" applyBorder="1" applyAlignment="1">
      <alignment vertical="center"/>
    </xf>
    <xf numFmtId="0" fontId="43" fillId="0" borderId="0" xfId="0" applyFont="1" applyAlignment="1">
      <alignment horizontal="center"/>
    </xf>
    <xf numFmtId="177" fontId="43" fillId="0" borderId="0" xfId="0" applyNumberFormat="1" applyFont="1"/>
    <xf numFmtId="173" fontId="40" fillId="0" borderId="11" xfId="43" applyNumberFormat="1" applyFont="1" applyBorder="1" applyAlignment="1">
      <alignment horizontal="center"/>
    </xf>
    <xf numFmtId="0" fontId="40" fillId="0" borderId="11" xfId="43" applyFont="1" applyBorder="1" applyAlignment="1">
      <alignment horizontal="center"/>
    </xf>
    <xf numFmtId="0" fontId="40" fillId="0" borderId="11" xfId="30" applyNumberFormat="1" applyFont="1" applyFill="1" applyBorder="1" applyAlignment="1">
      <alignment horizontal="center"/>
    </xf>
    <xf numFmtId="164" fontId="44" fillId="0" borderId="11" xfId="29" applyFont="1" applyFill="1" applyBorder="1" applyAlignment="1">
      <alignment vertical="center"/>
    </xf>
    <xf numFmtId="9" fontId="44" fillId="25" borderId="11" xfId="29" applyNumberFormat="1" applyFont="1" applyFill="1" applyBorder="1" applyAlignment="1">
      <alignment vertical="center"/>
    </xf>
    <xf numFmtId="178" fontId="44" fillId="25" borderId="11" xfId="29" applyNumberFormat="1" applyFont="1" applyFill="1" applyBorder="1" applyAlignment="1">
      <alignment vertical="center"/>
    </xf>
    <xf numFmtId="177" fontId="44" fillId="0" borderId="11" xfId="0" applyNumberFormat="1" applyFont="1" applyBorder="1"/>
    <xf numFmtId="0" fontId="44" fillId="0" borderId="11" xfId="0" applyFont="1" applyBorder="1"/>
    <xf numFmtId="164" fontId="44" fillId="25" borderId="11" xfId="29" applyFont="1" applyFill="1" applyBorder="1" applyAlignment="1">
      <alignment horizontal="center"/>
    </xf>
    <xf numFmtId="0" fontId="43" fillId="0" borderId="11" xfId="47" applyFont="1" applyBorder="1"/>
    <xf numFmtId="10" fontId="44" fillId="25" borderId="11" xfId="50" applyNumberFormat="1" applyFont="1" applyFill="1" applyBorder="1" applyAlignment="1">
      <alignment vertical="center"/>
    </xf>
    <xf numFmtId="166" fontId="44" fillId="25" borderId="11" xfId="50" applyNumberFormat="1" applyFont="1" applyFill="1" applyBorder="1" applyAlignment="1">
      <alignment vertical="center"/>
    </xf>
    <xf numFmtId="165" fontId="44" fillId="0" borderId="11" xfId="0" applyNumberFormat="1" applyFont="1" applyBorder="1" applyAlignment="1">
      <alignment horizontal="right"/>
    </xf>
    <xf numFmtId="173" fontId="40" fillId="0" borderId="0" xfId="43" applyNumberFormat="1" applyFont="1" applyAlignment="1">
      <alignment horizontal="center"/>
    </xf>
    <xf numFmtId="0" fontId="40" fillId="0" borderId="0" xfId="43" applyFont="1" applyAlignment="1">
      <alignment horizontal="center"/>
    </xf>
    <xf numFmtId="0" fontId="40" fillId="0" borderId="0" xfId="30" applyNumberFormat="1" applyFont="1" applyFill="1" applyBorder="1" applyAlignment="1">
      <alignment horizontal="center"/>
    </xf>
    <xf numFmtId="164" fontId="43" fillId="0" borderId="0" xfId="29" applyFont="1" applyFill="1" applyBorder="1" applyAlignment="1">
      <alignment vertical="center"/>
    </xf>
    <xf numFmtId="164" fontId="43" fillId="0" borderId="0" xfId="29" applyFont="1" applyFill="1" applyBorder="1" applyAlignment="1">
      <alignment horizontal="center"/>
    </xf>
    <xf numFmtId="178" fontId="43" fillId="0" borderId="0" xfId="29" applyNumberFormat="1" applyFont="1" applyFill="1" applyBorder="1" applyAlignment="1">
      <alignment horizontal="center"/>
    </xf>
    <xf numFmtId="165" fontId="44" fillId="0" borderId="0" xfId="0" applyNumberFormat="1" applyFont="1" applyAlignment="1">
      <alignment horizontal="right"/>
    </xf>
    <xf numFmtId="178" fontId="44" fillId="0" borderId="0" xfId="29" applyNumberFormat="1" applyFont="1" applyFill="1" applyBorder="1" applyAlignment="1">
      <alignment horizontal="right"/>
    </xf>
    <xf numFmtId="166" fontId="44" fillId="0" borderId="0" xfId="50" applyNumberFormat="1" applyFont="1" applyFill="1" applyBorder="1" applyAlignment="1">
      <alignment vertical="center"/>
    </xf>
    <xf numFmtId="0" fontId="43" fillId="0" borderId="0" xfId="0" applyFont="1" applyAlignment="1">
      <alignment wrapText="1"/>
    </xf>
    <xf numFmtId="0" fontId="44" fillId="0" borderId="0" xfId="50" applyNumberFormat="1" applyFont="1" applyFill="1" applyBorder="1" applyAlignment="1">
      <alignment vertical="center"/>
    </xf>
    <xf numFmtId="165" fontId="43" fillId="0" borderId="0" xfId="29" applyNumberFormat="1" applyFont="1" applyFill="1" applyBorder="1" applyAlignment="1">
      <alignment horizontal="center" vertical="center" wrapText="1"/>
    </xf>
    <xf numFmtId="165" fontId="44" fillId="0" borderId="14" xfId="0" applyNumberFormat="1" applyFont="1" applyBorder="1" applyAlignment="1">
      <alignment horizontal="center" vertical="center" wrapText="1"/>
    </xf>
    <xf numFmtId="165" fontId="43" fillId="0" borderId="11" xfId="29" applyNumberFormat="1" applyFont="1" applyFill="1" applyBorder="1" applyAlignment="1">
      <alignment vertical="center"/>
    </xf>
    <xf numFmtId="165" fontId="43" fillId="0" borderId="0" xfId="0" applyNumberFormat="1" applyFont="1"/>
    <xf numFmtId="165" fontId="44" fillId="25" borderId="11" xfId="29" applyNumberFormat="1" applyFont="1" applyFill="1" applyBorder="1" applyAlignment="1">
      <alignment vertical="center"/>
    </xf>
    <xf numFmtId="165" fontId="44" fillId="0" borderId="11" xfId="29" applyNumberFormat="1" applyFont="1" applyFill="1" applyBorder="1" applyAlignment="1">
      <alignment vertical="center"/>
    </xf>
    <xf numFmtId="165" fontId="43"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3" fillId="0" borderId="0" xfId="0" applyNumberFormat="1" applyFont="1"/>
    <xf numFmtId="15" fontId="44"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8" fillId="24" borderId="32" xfId="28" applyFont="1" applyFill="1" applyBorder="1" applyAlignment="1" applyProtection="1">
      <alignment horizontal="center" vertical="center"/>
    </xf>
    <xf numFmtId="165" fontId="28" fillId="24" borderId="33" xfId="28" applyFont="1" applyFill="1" applyBorder="1" applyAlignment="1" applyProtection="1">
      <alignment horizontal="center" vertical="center"/>
    </xf>
    <xf numFmtId="165" fontId="28" fillId="24" borderId="34" xfId="28" applyFont="1" applyFill="1" applyBorder="1" applyAlignment="1" applyProtection="1">
      <alignment horizontal="center" vertical="center"/>
    </xf>
    <xf numFmtId="165" fontId="28" fillId="24" borderId="35" xfId="28" applyFont="1" applyFill="1" applyBorder="1" applyAlignment="1" applyProtection="1">
      <alignment horizontal="center" vertical="center"/>
    </xf>
    <xf numFmtId="166" fontId="28" fillId="24" borderId="36" xfId="50" applyNumberFormat="1" applyFont="1" applyFill="1" applyBorder="1" applyAlignment="1" applyProtection="1">
      <alignment horizontal="center" vertical="center"/>
    </xf>
    <xf numFmtId="166" fontId="28" fillId="24" borderId="29" xfId="50" applyNumberFormat="1" applyFont="1" applyFill="1" applyBorder="1" applyAlignment="1" applyProtection="1">
      <alignment horizontal="center" vertical="center"/>
    </xf>
    <xf numFmtId="166" fontId="28" fillId="24" borderId="37" xfId="50" applyNumberFormat="1" applyFont="1" applyFill="1" applyBorder="1" applyAlignment="1" applyProtection="1">
      <alignment horizontal="center" vertical="center"/>
    </xf>
    <xf numFmtId="165" fontId="28" fillId="24" borderId="38" xfId="28" applyFont="1" applyFill="1" applyBorder="1" applyAlignment="1" applyProtection="1">
      <alignment horizontal="center" vertical="center"/>
    </xf>
    <xf numFmtId="165" fontId="28" fillId="24" borderId="38" xfId="28" applyFont="1" applyFill="1" applyBorder="1" applyAlignment="1" applyProtection="1">
      <alignment horizontal="center"/>
    </xf>
    <xf numFmtId="165" fontId="28" fillId="24" borderId="39" xfId="28" applyFont="1" applyFill="1" applyBorder="1" applyAlignment="1" applyProtection="1">
      <alignment horizontal="center"/>
    </xf>
    <xf numFmtId="166" fontId="28" fillId="24" borderId="40" xfId="50" applyNumberFormat="1" applyFont="1" applyFill="1" applyBorder="1" applyAlignment="1" applyProtection="1">
      <alignment horizontal="center" vertical="center"/>
    </xf>
    <xf numFmtId="165" fontId="24" fillId="24" borderId="0" xfId="28" applyFont="1" applyFill="1" applyProtection="1"/>
    <xf numFmtId="165" fontId="28" fillId="24" borderId="15" xfId="28" applyFont="1" applyFill="1" applyBorder="1" applyAlignment="1" applyProtection="1">
      <alignment horizontal="center" vertical="center"/>
    </xf>
    <xf numFmtId="165" fontId="28" fillId="24" borderId="41" xfId="28" applyFont="1" applyFill="1" applyBorder="1" applyAlignment="1" applyProtection="1">
      <alignment horizontal="center" vertical="center"/>
    </xf>
    <xf numFmtId="166" fontId="28" fillId="24" borderId="35" xfId="50" applyNumberFormat="1" applyFont="1" applyFill="1" applyBorder="1" applyAlignment="1" applyProtection="1">
      <alignment horizontal="center" vertical="center"/>
    </xf>
    <xf numFmtId="166" fontId="28" fillId="24" borderId="15" xfId="50" applyNumberFormat="1" applyFont="1" applyFill="1" applyBorder="1" applyAlignment="1" applyProtection="1">
      <alignment horizontal="center" vertical="center"/>
    </xf>
    <xf numFmtId="166" fontId="28" fillId="24" borderId="34" xfId="50" applyNumberFormat="1" applyFont="1" applyFill="1" applyBorder="1" applyAlignment="1" applyProtection="1">
      <alignment horizontal="center" vertical="center"/>
    </xf>
    <xf numFmtId="165" fontId="28" fillId="24" borderId="35" xfId="28" applyFont="1" applyFill="1" applyBorder="1" applyAlignment="1" applyProtection="1">
      <alignment horizontal="center"/>
    </xf>
    <xf numFmtId="165" fontId="28" fillId="24" borderId="42" xfId="28" applyFont="1" applyFill="1" applyBorder="1" applyAlignment="1" applyProtection="1">
      <alignment horizontal="center"/>
    </xf>
    <xf numFmtId="165" fontId="28" fillId="24" borderId="11" xfId="28" applyFont="1" applyFill="1" applyBorder="1" applyAlignment="1" applyProtection="1">
      <alignment horizontal="center"/>
    </xf>
    <xf numFmtId="165" fontId="28" fillId="24" borderId="43" xfId="28" applyFont="1" applyFill="1" applyBorder="1" applyAlignment="1" applyProtection="1">
      <alignment horizontal="center"/>
    </xf>
    <xf numFmtId="165" fontId="28" fillId="24" borderId="37" xfId="28" applyFont="1" applyFill="1" applyBorder="1" applyAlignment="1" applyProtection="1">
      <alignment horizontal="center"/>
    </xf>
    <xf numFmtId="0" fontId="28" fillId="24" borderId="44" xfId="0" applyFont="1" applyFill="1" applyBorder="1" applyAlignment="1">
      <alignment horizontal="left"/>
    </xf>
    <xf numFmtId="0" fontId="28" fillId="24" borderId="45" xfId="0" applyFont="1" applyFill="1" applyBorder="1" applyAlignment="1">
      <alignment horizontal="left"/>
    </xf>
    <xf numFmtId="0" fontId="28" fillId="24" borderId="46" xfId="0" applyFont="1" applyFill="1" applyBorder="1" applyAlignment="1">
      <alignment horizontal="left"/>
    </xf>
    <xf numFmtId="165" fontId="28" fillId="24" borderId="26" xfId="0" applyNumberFormat="1" applyFont="1" applyFill="1" applyBorder="1" applyAlignment="1">
      <alignment horizontal="left"/>
    </xf>
    <xf numFmtId="165" fontId="28" fillId="24" borderId="21" xfId="28" applyFont="1" applyFill="1" applyBorder="1" applyAlignment="1" applyProtection="1">
      <alignment horizontal="right" vertical="center"/>
    </xf>
    <xf numFmtId="0" fontId="28" fillId="24" borderId="47" xfId="0" applyFont="1" applyFill="1" applyBorder="1" applyAlignment="1">
      <alignment horizontal="center"/>
    </xf>
    <xf numFmtId="165" fontId="28" fillId="24" borderId="17" xfId="28" applyFont="1" applyFill="1" applyBorder="1" applyAlignment="1" applyProtection="1">
      <alignment horizontal="right" vertical="center"/>
    </xf>
    <xf numFmtId="0" fontId="28" fillId="24" borderId="48" xfId="0" applyFont="1" applyFill="1" applyBorder="1" applyAlignment="1">
      <alignment horizontal="center"/>
    </xf>
    <xf numFmtId="165" fontId="28" fillId="0" borderId="11" xfId="28" applyFont="1" applyFill="1" applyBorder="1" applyAlignment="1" applyProtection="1">
      <alignment horizontal="right"/>
    </xf>
    <xf numFmtId="0" fontId="28" fillId="24" borderId="49" xfId="0" applyFont="1" applyFill="1" applyBorder="1" applyAlignment="1">
      <alignment horizontal="center"/>
    </xf>
    <xf numFmtId="165" fontId="28" fillId="24" borderId="11" xfId="28" applyFont="1" applyFill="1" applyBorder="1" applyAlignment="1" applyProtection="1">
      <alignment horizontal="right" vertical="center"/>
    </xf>
    <xf numFmtId="165" fontId="24" fillId="20" borderId="11" xfId="28" applyFont="1" applyFill="1" applyBorder="1" applyAlignment="1" applyProtection="1">
      <alignment horizontal="right"/>
    </xf>
    <xf numFmtId="165" fontId="28" fillId="24" borderId="11" xfId="28" applyFont="1" applyFill="1" applyBorder="1" applyAlignment="1" applyProtection="1">
      <alignment horizontal="right"/>
    </xf>
    <xf numFmtId="175" fontId="28" fillId="24" borderId="11" xfId="28" applyNumberFormat="1" applyFont="1" applyFill="1" applyBorder="1" applyAlignment="1" applyProtection="1">
      <alignment horizontal="right"/>
    </xf>
    <xf numFmtId="39" fontId="28" fillId="24" borderId="11" xfId="28" applyNumberFormat="1" applyFont="1" applyFill="1" applyBorder="1" applyAlignment="1" applyProtection="1">
      <alignment horizontal="right"/>
    </xf>
    <xf numFmtId="165" fontId="28" fillId="24" borderId="14" xfId="28" applyFont="1" applyFill="1" applyBorder="1" applyAlignment="1" applyProtection="1">
      <alignment horizontal="right"/>
    </xf>
    <xf numFmtId="0" fontId="28" fillId="24" borderId="50" xfId="0" applyFont="1" applyFill="1" applyBorder="1" applyAlignment="1">
      <alignment horizontal="center"/>
    </xf>
    <xf numFmtId="165" fontId="28" fillId="24" borderId="23" xfId="0" applyNumberFormat="1" applyFont="1" applyFill="1" applyBorder="1" applyAlignment="1">
      <alignment horizontal="right"/>
    </xf>
    <xf numFmtId="0" fontId="28" fillId="24" borderId="24" xfId="0" applyFont="1" applyFill="1" applyBorder="1" applyAlignment="1">
      <alignment horizontal="center"/>
    </xf>
    <xf numFmtId="165" fontId="28" fillId="24" borderId="11" xfId="28" applyFont="1" applyFill="1" applyBorder="1" applyProtection="1"/>
    <xf numFmtId="165" fontId="28" fillId="24" borderId="14" xfId="28" applyFont="1" applyFill="1" applyBorder="1" applyProtection="1"/>
    <xf numFmtId="165" fontId="24" fillId="20" borderId="11" xfId="28" applyFont="1" applyFill="1" applyBorder="1" applyProtection="1"/>
    <xf numFmtId="165" fontId="28" fillId="24" borderId="49" xfId="28" applyFont="1" applyFill="1" applyBorder="1" applyAlignment="1" applyProtection="1">
      <alignment horizontal="center"/>
    </xf>
    <xf numFmtId="165" fontId="28" fillId="24" borderId="21" xfId="28" applyFont="1" applyFill="1" applyBorder="1" applyAlignment="1" applyProtection="1">
      <alignment horizontal="center"/>
    </xf>
    <xf numFmtId="165" fontId="28" fillId="24" borderId="47" xfId="28" applyFont="1" applyFill="1" applyBorder="1" applyAlignment="1" applyProtection="1">
      <alignment horizontal="center"/>
    </xf>
    <xf numFmtId="166" fontId="28" fillId="24" borderId="23" xfId="50" applyNumberFormat="1" applyFont="1" applyFill="1" applyBorder="1" applyProtection="1"/>
    <xf numFmtId="166" fontId="28" fillId="24" borderId="24" xfId="50" applyNumberFormat="1" applyFont="1" applyFill="1" applyBorder="1" applyProtection="1"/>
    <xf numFmtId="0" fontId="21" fillId="0" borderId="0" xfId="0" applyFont="1"/>
    <xf numFmtId="0" fontId="24" fillId="24" borderId="0" xfId="0" applyFont="1" applyFill="1"/>
    <xf numFmtId="0" fontId="22" fillId="0" borderId="0" xfId="0" applyFont="1"/>
    <xf numFmtId="0" fontId="23" fillId="0" borderId="0" xfId="0" applyFont="1"/>
    <xf numFmtId="0" fontId="25" fillId="24" borderId="0" xfId="0" applyFont="1" applyFill="1"/>
    <xf numFmtId="165" fontId="26" fillId="24" borderId="0" xfId="28" applyFont="1" applyFill="1" applyAlignment="1" applyProtection="1">
      <alignment horizontal="right"/>
    </xf>
    <xf numFmtId="0" fontId="27" fillId="24" borderId="0" xfId="0" applyFont="1" applyFill="1"/>
    <xf numFmtId="165" fontId="24" fillId="24" borderId="0" xfId="0" applyNumberFormat="1" applyFont="1" applyFill="1"/>
    <xf numFmtId="0" fontId="28" fillId="24" borderId="32" xfId="0" applyFont="1" applyFill="1" applyBorder="1" applyAlignment="1">
      <alignment horizontal="center" vertical="center"/>
    </xf>
    <xf numFmtId="0" fontId="28" fillId="24" borderId="15" xfId="0" applyFont="1" applyFill="1" applyBorder="1" applyAlignment="1">
      <alignment horizontal="center" vertical="center"/>
    </xf>
    <xf numFmtId="0" fontId="28" fillId="24" borderId="41" xfId="0" applyFont="1" applyFill="1" applyBorder="1" applyAlignment="1">
      <alignment horizontal="center" vertical="center"/>
    </xf>
    <xf numFmtId="0" fontId="28" fillId="24" borderId="51" xfId="0" applyFont="1" applyFill="1" applyBorder="1" applyAlignment="1">
      <alignment horizontal="center"/>
    </xf>
    <xf numFmtId="0" fontId="28" fillId="24" borderId="41" xfId="0" applyFont="1" applyFill="1" applyBorder="1" applyAlignment="1">
      <alignment horizontal="center" wrapText="1"/>
    </xf>
    <xf numFmtId="0" fontId="28" fillId="24" borderId="32" xfId="0" applyFont="1" applyFill="1" applyBorder="1" applyAlignment="1">
      <alignment horizontal="center"/>
    </xf>
    <xf numFmtId="0" fontId="28" fillId="24" borderId="15" xfId="0" applyFont="1" applyFill="1" applyBorder="1" applyAlignment="1">
      <alignment horizontal="center"/>
    </xf>
    <xf numFmtId="0" fontId="28" fillId="24" borderId="34" xfId="0" applyFont="1" applyFill="1" applyBorder="1" applyAlignment="1">
      <alignment horizontal="center"/>
    </xf>
    <xf numFmtId="165" fontId="28" fillId="24" borderId="11" xfId="0" applyNumberFormat="1" applyFont="1" applyFill="1" applyBorder="1" applyAlignment="1">
      <alignment horizontal="center"/>
    </xf>
    <xf numFmtId="0" fontId="28" fillId="24" borderId="52" xfId="0" applyFont="1" applyFill="1" applyBorder="1" applyAlignment="1">
      <alignment horizontal="left" vertical="center"/>
    </xf>
    <xf numFmtId="0" fontId="28" fillId="24" borderId="53" xfId="0" quotePrefix="1" applyFont="1" applyFill="1" applyBorder="1"/>
    <xf numFmtId="0" fontId="28" fillId="24" borderId="34" xfId="0" applyFont="1" applyFill="1" applyBorder="1" applyAlignment="1">
      <alignment vertical="center" wrapText="1"/>
    </xf>
    <xf numFmtId="0" fontId="28" fillId="24" borderId="29" xfId="0" applyFont="1" applyFill="1" applyBorder="1" applyAlignment="1">
      <alignment horizontal="left" vertical="center"/>
    </xf>
    <xf numFmtId="0" fontId="28" fillId="24" borderId="40" xfId="0" applyFont="1" applyFill="1" applyBorder="1" applyAlignment="1">
      <alignment vertical="center" wrapText="1"/>
    </xf>
    <xf numFmtId="0" fontId="28" fillId="24" borderId="54" xfId="0" applyFont="1" applyFill="1" applyBorder="1" applyAlignment="1">
      <alignment horizontal="left" vertical="center"/>
    </xf>
    <xf numFmtId="0" fontId="28" fillId="24" borderId="53" xfId="0" applyFont="1" applyFill="1" applyBorder="1" applyAlignment="1">
      <alignment horizontal="center"/>
    </xf>
    <xf numFmtId="0" fontId="28" fillId="24" borderId="53" xfId="0" applyFont="1" applyFill="1" applyBorder="1"/>
    <xf numFmtId="0" fontId="28" fillId="24" borderId="55" xfId="0" applyFont="1" applyFill="1" applyBorder="1" applyAlignment="1">
      <alignment horizontal="center" vertical="center"/>
    </xf>
    <xf numFmtId="0" fontId="28" fillId="24" borderId="45" xfId="0" applyFont="1" applyFill="1" applyBorder="1" applyAlignment="1">
      <alignment horizontal="left" vertical="center"/>
    </xf>
    <xf numFmtId="0" fontId="28" fillId="24" borderId="28" xfId="0" applyFont="1" applyFill="1" applyBorder="1" applyAlignment="1">
      <alignment horizontal="center"/>
    </xf>
    <xf numFmtId="0" fontId="28" fillId="24" borderId="0" xfId="0" applyFont="1" applyFill="1"/>
    <xf numFmtId="0" fontId="28" fillId="24" borderId="0" xfId="0" applyFont="1" applyFill="1" applyAlignment="1">
      <alignment horizontal="center" vertical="center" wrapText="1"/>
    </xf>
    <xf numFmtId="0" fontId="28" fillId="24" borderId="0" xfId="0" applyFont="1" applyFill="1" applyAlignment="1">
      <alignment horizontal="center"/>
    </xf>
    <xf numFmtId="0" fontId="28" fillId="24" borderId="36" xfId="0" applyFont="1" applyFill="1" applyBorder="1" applyAlignment="1">
      <alignment horizontal="center"/>
    </xf>
    <xf numFmtId="0" fontId="28" fillId="24" borderId="40" xfId="0" applyFont="1" applyFill="1" applyBorder="1" applyAlignment="1">
      <alignment horizontal="center"/>
    </xf>
    <xf numFmtId="0" fontId="24" fillId="24" borderId="32" xfId="0" applyFont="1" applyFill="1" applyBorder="1"/>
    <xf numFmtId="0" fontId="24" fillId="24" borderId="41" xfId="0" applyFont="1" applyFill="1" applyBorder="1"/>
    <xf numFmtId="0" fontId="28" fillId="24" borderId="15" xfId="0" applyFont="1" applyFill="1" applyBorder="1"/>
    <xf numFmtId="0" fontId="28" fillId="24" borderId="41" xfId="0" applyFont="1" applyFill="1" applyBorder="1" applyAlignment="1">
      <alignment horizontal="center"/>
    </xf>
    <xf numFmtId="165" fontId="24" fillId="24" borderId="0" xfId="28" applyFont="1" applyFill="1" applyBorder="1" applyProtection="1"/>
    <xf numFmtId="0" fontId="24" fillId="24" borderId="56" xfId="0" applyFont="1" applyFill="1" applyBorder="1" applyAlignment="1">
      <alignment horizontal="center"/>
    </xf>
    <xf numFmtId="0" fontId="24" fillId="24" borderId="10" xfId="0" applyFont="1" applyFill="1" applyBorder="1" applyAlignment="1">
      <alignment horizontal="center"/>
    </xf>
    <xf numFmtId="0" fontId="28" fillId="24" borderId="10" xfId="0" applyFont="1" applyFill="1" applyBorder="1" applyAlignment="1">
      <alignment horizontal="center"/>
    </xf>
    <xf numFmtId="165" fontId="28" fillId="24" borderId="0" xfId="28" applyFont="1" applyFill="1" applyBorder="1" applyProtection="1"/>
    <xf numFmtId="0" fontId="28" fillId="24" borderId="12" xfId="0" applyFont="1" applyFill="1" applyBorder="1" applyAlignment="1">
      <alignment horizontal="center"/>
    </xf>
    <xf numFmtId="0" fontId="28" fillId="24" borderId="57" xfId="0" applyFont="1" applyFill="1" applyBorder="1" applyAlignment="1">
      <alignment horizontal="center"/>
    </xf>
    <xf numFmtId="165" fontId="28" fillId="24" borderId="23" xfId="0" applyNumberFormat="1" applyFont="1" applyFill="1" applyBorder="1"/>
    <xf numFmtId="2" fontId="24" fillId="24" borderId="0" xfId="0" applyNumberFormat="1" applyFont="1" applyFill="1"/>
    <xf numFmtId="0" fontId="28" fillId="24" borderId="58" xfId="0" applyFont="1" applyFill="1" applyBorder="1"/>
    <xf numFmtId="0" fontId="28" fillId="24" borderId="59" xfId="0" applyFont="1" applyFill="1" applyBorder="1" applyAlignment="1">
      <alignment horizontal="left"/>
    </xf>
    <xf numFmtId="0" fontId="24" fillId="24" borderId="59" xfId="0" applyFont="1" applyFill="1" applyBorder="1"/>
    <xf numFmtId="165" fontId="24" fillId="24" borderId="59" xfId="28" applyFont="1" applyFill="1" applyBorder="1" applyProtection="1"/>
    <xf numFmtId="0" fontId="24" fillId="24" borderId="31" xfId="0" applyFont="1" applyFill="1" applyBorder="1"/>
    <xf numFmtId="0" fontId="24" fillId="24" borderId="11" xfId="0" applyFont="1" applyFill="1" applyBorder="1"/>
    <xf numFmtId="165" fontId="24" fillId="24" borderId="11" xfId="0" applyNumberFormat="1" applyFont="1" applyFill="1" applyBorder="1"/>
    <xf numFmtId="166" fontId="24" fillId="24" borderId="11" xfId="50" applyNumberFormat="1" applyFont="1" applyFill="1" applyBorder="1" applyProtection="1"/>
    <xf numFmtId="0" fontId="28" fillId="24" borderId="28" xfId="0" applyFont="1" applyFill="1" applyBorder="1"/>
    <xf numFmtId="0" fontId="28" fillId="24" borderId="0" xfId="0" applyFont="1" applyFill="1" applyAlignment="1">
      <alignment horizontal="left"/>
    </xf>
    <xf numFmtId="0" fontId="24" fillId="24" borderId="60" xfId="0" applyFont="1" applyFill="1" applyBorder="1"/>
    <xf numFmtId="0" fontId="24" fillId="24" borderId="28" xfId="0" applyFont="1" applyFill="1" applyBorder="1"/>
    <xf numFmtId="0" fontId="24" fillId="24" borderId="30" xfId="0" applyFont="1" applyFill="1" applyBorder="1"/>
    <xf numFmtId="0" fontId="28" fillId="24" borderId="61" xfId="0" applyFont="1" applyFill="1" applyBorder="1"/>
    <xf numFmtId="165" fontId="28" fillId="24" borderId="61" xfId="28" applyFont="1" applyFill="1" applyBorder="1" applyProtection="1"/>
    <xf numFmtId="0" fontId="24" fillId="24" borderId="16" xfId="0" applyFont="1" applyFill="1" applyBorder="1"/>
    <xf numFmtId="0" fontId="28" fillId="24" borderId="15" xfId="0" applyFont="1" applyFill="1" applyBorder="1" applyAlignment="1">
      <alignment horizontal="center" wrapText="1"/>
    </xf>
    <xf numFmtId="2" fontId="43" fillId="0" borderId="11" xfId="50" applyNumberFormat="1" applyFont="1" applyFill="1" applyBorder="1" applyAlignment="1">
      <alignment vertical="center"/>
    </xf>
    <xf numFmtId="165" fontId="28" fillId="24" borderId="17" xfId="0" applyNumberFormat="1" applyFont="1" applyFill="1" applyBorder="1" applyAlignment="1">
      <alignment horizontal="left"/>
    </xf>
    <xf numFmtId="0" fontId="28" fillId="24" borderId="14" xfId="0" applyFont="1" applyFill="1" applyBorder="1" applyAlignment="1">
      <alignment horizontal="left"/>
    </xf>
    <xf numFmtId="165" fontId="28" fillId="24" borderId="10" xfId="0" applyNumberFormat="1" applyFont="1" applyFill="1" applyBorder="1" applyAlignment="1">
      <alignment horizontal="left"/>
    </xf>
    <xf numFmtId="0" fontId="28" fillId="24" borderId="62" xfId="0" applyFont="1" applyFill="1" applyBorder="1" applyAlignment="1" applyProtection="1">
      <alignment horizontal="left" vertical="center"/>
      <protection locked="0"/>
    </xf>
    <xf numFmtId="165" fontId="28" fillId="24" borderId="60" xfId="28" applyFont="1" applyFill="1" applyBorder="1" applyAlignment="1" applyProtection="1">
      <alignment horizontal="center" vertical="center"/>
      <protection locked="0"/>
    </xf>
    <xf numFmtId="165" fontId="28" fillId="24" borderId="62" xfId="28" applyFont="1" applyFill="1" applyBorder="1" applyAlignment="1" applyProtection="1">
      <alignment horizontal="center" vertical="center"/>
      <protection locked="0"/>
    </xf>
    <xf numFmtId="165" fontId="28" fillId="24" borderId="42" xfId="28" applyFont="1" applyFill="1" applyBorder="1" applyAlignment="1" applyProtection="1">
      <alignment horizontal="center" vertical="center"/>
      <protection locked="0"/>
    </xf>
    <xf numFmtId="165" fontId="28" fillId="24" borderId="43" xfId="28" applyFont="1" applyFill="1" applyBorder="1" applyAlignment="1" applyProtection="1">
      <protection locked="0"/>
    </xf>
    <xf numFmtId="165" fontId="28" fillId="24" borderId="43" xfId="28" applyFont="1" applyFill="1" applyBorder="1" applyAlignment="1" applyProtection="1">
      <alignment horizontal="center"/>
      <protection locked="0"/>
    </xf>
    <xf numFmtId="165" fontId="28" fillId="24" borderId="55" xfId="50" applyNumberFormat="1" applyFont="1" applyFill="1" applyBorder="1" applyAlignment="1" applyProtection="1">
      <alignment horizontal="center" vertical="center"/>
      <protection locked="0"/>
    </xf>
    <xf numFmtId="165" fontId="28" fillId="24" borderId="54" xfId="50" applyNumberFormat="1" applyFont="1" applyFill="1" applyBorder="1" applyAlignment="1" applyProtection="1">
      <alignment horizontal="center" vertical="center"/>
      <protection locked="0"/>
    </xf>
    <xf numFmtId="165" fontId="28" fillId="24" borderId="64" xfId="50" applyNumberFormat="1" applyFont="1" applyFill="1" applyBorder="1" applyAlignment="1" applyProtection="1">
      <alignment horizontal="center" vertical="center"/>
      <protection locked="0"/>
    </xf>
    <xf numFmtId="165" fontId="28" fillId="24" borderId="43" xfId="28" applyFont="1" applyFill="1" applyBorder="1" applyAlignment="1" applyProtection="1">
      <alignment horizontal="center" vertical="center"/>
      <protection locked="0"/>
    </xf>
    <xf numFmtId="165" fontId="28" fillId="24" borderId="0" xfId="28" applyFont="1" applyFill="1" applyBorder="1" applyAlignment="1" applyProtection="1">
      <alignment horizontal="center" vertical="center"/>
      <protection locked="0"/>
    </xf>
    <xf numFmtId="165" fontId="24" fillId="24" borderId="43" xfId="28" applyFont="1" applyFill="1" applyBorder="1" applyProtection="1">
      <protection locked="0"/>
    </xf>
    <xf numFmtId="165" fontId="28" fillId="24" borderId="10" xfId="28" applyFont="1" applyFill="1" applyBorder="1" applyAlignment="1" applyProtection="1">
      <alignment horizontal="center"/>
      <protection locked="0"/>
    </xf>
    <xf numFmtId="165" fontId="28" fillId="24" borderId="11" xfId="0" applyNumberFormat="1" applyFont="1" applyFill="1" applyBorder="1" applyAlignment="1" applyProtection="1">
      <alignment horizontal="center"/>
      <protection locked="0"/>
    </xf>
    <xf numFmtId="0" fontId="28" fillId="24" borderId="11" xfId="0" quotePrefix="1" applyFont="1" applyFill="1" applyBorder="1" applyAlignment="1" applyProtection="1">
      <alignment wrapText="1"/>
      <protection locked="0"/>
    </xf>
    <xf numFmtId="165" fontId="28" fillId="24" borderId="27" xfId="28" applyFont="1" applyFill="1" applyBorder="1" applyAlignment="1" applyProtection="1">
      <alignment horizontal="center"/>
      <protection locked="0"/>
    </xf>
    <xf numFmtId="0" fontId="28" fillId="24" borderId="14" xfId="0" applyFont="1" applyFill="1" applyBorder="1" applyAlignment="1" applyProtection="1">
      <alignment horizontal="center"/>
      <protection locked="0"/>
    </xf>
    <xf numFmtId="0" fontId="28" fillId="24" borderId="13" xfId="0" quotePrefix="1" applyFont="1" applyFill="1" applyBorder="1" applyAlignment="1" applyProtection="1">
      <alignment wrapText="1"/>
      <protection locked="0"/>
    </xf>
    <xf numFmtId="0" fontId="47" fillId="24" borderId="14" xfId="0" quotePrefix="1" applyFont="1" applyFill="1" applyBorder="1" applyAlignment="1" applyProtection="1">
      <alignment wrapText="1"/>
      <protection locked="0"/>
    </xf>
    <xf numFmtId="2" fontId="28" fillId="24" borderId="0" xfId="0" applyNumberFormat="1" applyFont="1" applyFill="1" applyAlignment="1" applyProtection="1">
      <alignment horizontal="right"/>
      <protection locked="0"/>
    </xf>
    <xf numFmtId="165" fontId="28" fillId="24" borderId="12" xfId="28" applyFont="1" applyFill="1" applyBorder="1" applyAlignment="1" applyProtection="1">
      <alignment horizontal="center"/>
      <protection locked="0"/>
    </xf>
    <xf numFmtId="0" fontId="28" fillId="24" borderId="11" xfId="0" applyFont="1" applyFill="1" applyBorder="1" applyAlignment="1" applyProtection="1">
      <alignment horizontal="center"/>
      <protection locked="0"/>
    </xf>
    <xf numFmtId="165" fontId="28" fillId="24" borderId="21" xfId="0" applyNumberFormat="1" applyFont="1" applyFill="1" applyBorder="1" applyAlignment="1" applyProtection="1">
      <alignment horizontal="left"/>
      <protection locked="0"/>
    </xf>
    <xf numFmtId="165" fontId="28" fillId="24" borderId="11" xfId="0" applyNumberFormat="1" applyFont="1" applyFill="1" applyBorder="1" applyAlignment="1" applyProtection="1">
      <alignment horizontal="left"/>
      <protection locked="0"/>
    </xf>
    <xf numFmtId="165" fontId="28" fillId="24" borderId="11" xfId="0" applyNumberFormat="1" applyFont="1" applyFill="1" applyBorder="1" applyAlignment="1" applyProtection="1">
      <alignment horizontal="right"/>
      <protection locked="0"/>
    </xf>
    <xf numFmtId="165" fontId="28" fillId="24" borderId="23" xfId="0" applyNumberFormat="1" applyFont="1" applyFill="1" applyBorder="1" applyAlignment="1" applyProtection="1">
      <alignment horizontal="left"/>
      <protection locked="0"/>
    </xf>
    <xf numFmtId="165" fontId="28" fillId="24" borderId="63" xfId="0" applyNumberFormat="1" applyFont="1" applyFill="1" applyBorder="1" applyAlignment="1" applyProtection="1">
      <alignment horizontal="left"/>
      <protection locked="0"/>
    </xf>
    <xf numFmtId="165" fontId="28" fillId="24" borderId="14" xfId="0" applyNumberFormat="1" applyFont="1" applyFill="1" applyBorder="1" applyAlignment="1" applyProtection="1">
      <alignment horizontal="left"/>
      <protection locked="0"/>
    </xf>
    <xf numFmtId="165" fontId="28" fillId="24" borderId="54" xfId="28" applyFont="1" applyFill="1" applyBorder="1" applyAlignment="1" applyProtection="1">
      <alignment horizontal="center"/>
      <protection locked="0"/>
    </xf>
    <xf numFmtId="165" fontId="28" fillId="24" borderId="11" xfId="28" applyFont="1" applyFill="1" applyBorder="1" applyAlignment="1" applyProtection="1">
      <alignment horizontal="center"/>
      <protection locked="0"/>
    </xf>
    <xf numFmtId="49" fontId="28" fillId="0" borderId="11" xfId="28" applyNumberFormat="1" applyFont="1" applyFill="1" applyBorder="1" applyAlignment="1" applyProtection="1">
      <alignment horizontal="center"/>
      <protection locked="0"/>
    </xf>
    <xf numFmtId="178" fontId="43" fillId="0" borderId="17" xfId="29" applyNumberFormat="1" applyFont="1" applyBorder="1" applyAlignment="1">
      <alignment vertical="center"/>
    </xf>
    <xf numFmtId="178" fontId="43" fillId="0" borderId="17" xfId="29" applyNumberFormat="1" applyFont="1" applyFill="1" applyBorder="1" applyAlignment="1">
      <alignment vertical="center"/>
    </xf>
    <xf numFmtId="0" fontId="28" fillId="24" borderId="10" xfId="0" applyFont="1" applyFill="1" applyBorder="1" applyAlignment="1" applyProtection="1">
      <alignment horizontal="left"/>
      <protection locked="0"/>
    </xf>
    <xf numFmtId="0" fontId="28" fillId="24" borderId="25" xfId="0" applyFont="1" applyFill="1" applyBorder="1" applyAlignment="1" applyProtection="1">
      <alignment horizontal="left"/>
      <protection locked="0"/>
    </xf>
    <xf numFmtId="0" fontId="28" fillId="24" borderId="57" xfId="0" applyFont="1" applyFill="1" applyBorder="1" applyAlignment="1" applyProtection="1">
      <alignment horizontal="left"/>
      <protection locked="0"/>
    </xf>
    <xf numFmtId="165" fontId="35" fillId="0" borderId="0" xfId="28" applyFont="1" applyBorder="1" applyAlignment="1" applyProtection="1">
      <alignment horizontal="center"/>
    </xf>
    <xf numFmtId="0" fontId="30" fillId="0" borderId="0" xfId="0" applyFont="1"/>
    <xf numFmtId="0" fontId="0" fillId="0" borderId="65" xfId="0" applyBorder="1"/>
    <xf numFmtId="165" fontId="0" fillId="0" borderId="65" xfId="0" applyNumberFormat="1" applyBorder="1"/>
    <xf numFmtId="0" fontId="52" fillId="0" borderId="0" xfId="41" applyFont="1"/>
    <xf numFmtId="0" fontId="52" fillId="0" borderId="0" xfId="41" applyFont="1" applyAlignment="1">
      <alignment horizontal="center"/>
    </xf>
    <xf numFmtId="2" fontId="52" fillId="0" borderId="0" xfId="41" applyNumberFormat="1" applyFont="1" applyAlignment="1">
      <alignment horizontal="center"/>
    </xf>
    <xf numFmtId="0" fontId="49" fillId="0" borderId="0" xfId="41"/>
    <xf numFmtId="0" fontId="49" fillId="0" borderId="0" xfId="41" applyAlignment="1">
      <alignment horizontal="center"/>
    </xf>
    <xf numFmtId="2" fontId="49" fillId="0" borderId="0" xfId="41" applyNumberFormat="1" applyAlignment="1">
      <alignment horizontal="center"/>
    </xf>
    <xf numFmtId="2" fontId="49" fillId="0" borderId="0" xfId="41" applyNumberFormat="1"/>
    <xf numFmtId="16" fontId="49" fillId="0" borderId="10" xfId="41" applyNumberFormat="1" applyBorder="1"/>
    <xf numFmtId="0" fontId="49" fillId="0" borderId="11" xfId="41" applyBorder="1"/>
    <xf numFmtId="2" fontId="49" fillId="0" borderId="11" xfId="41" applyNumberFormat="1" applyBorder="1" applyAlignment="1">
      <alignment horizontal="center"/>
    </xf>
    <xf numFmtId="0" fontId="49" fillId="0" borderId="10" xfId="41" applyBorder="1"/>
    <xf numFmtId="0" fontId="49" fillId="0" borderId="11" xfId="41" applyBorder="1" applyAlignment="1">
      <alignment horizontal="left"/>
    </xf>
    <xf numFmtId="0" fontId="49" fillId="0" borderId="11" xfId="41" applyBorder="1" applyAlignment="1">
      <alignment horizontal="right"/>
    </xf>
    <xf numFmtId="0" fontId="49" fillId="0" borderId="0" xfId="42" applyAlignment="1">
      <alignment horizontal="center"/>
    </xf>
    <xf numFmtId="39" fontId="49" fillId="0" borderId="0" xfId="42" quotePrefix="1" applyNumberFormat="1" applyAlignment="1">
      <alignment horizontal="left"/>
    </xf>
    <xf numFmtId="0" fontId="49" fillId="0" borderId="0" xfId="41" quotePrefix="1"/>
    <xf numFmtId="39" fontId="49" fillId="0" borderId="0" xfId="42" applyNumberFormat="1"/>
    <xf numFmtId="39" fontId="49" fillId="0" borderId="0" xfId="42" quotePrefix="1" applyNumberFormat="1"/>
    <xf numFmtId="169" fontId="31" fillId="0" borderId="0" xfId="0" applyNumberFormat="1" applyFont="1"/>
    <xf numFmtId="0" fontId="32" fillId="0" borderId="0" xfId="0" applyFont="1" applyAlignment="1">
      <alignment horizontal="center"/>
    </xf>
    <xf numFmtId="0" fontId="32" fillId="0" borderId="0" xfId="0" applyFont="1"/>
    <xf numFmtId="171" fontId="32" fillId="0" borderId="0" xfId="0" applyNumberFormat="1" applyFont="1"/>
    <xf numFmtId="4" fontId="32" fillId="0" borderId="0" xfId="0" applyNumberFormat="1" applyFont="1"/>
    <xf numFmtId="168" fontId="32" fillId="0" borderId="0" xfId="0" applyNumberFormat="1" applyFont="1"/>
    <xf numFmtId="2" fontId="32" fillId="0" borderId="0" xfId="0" applyNumberFormat="1" applyFont="1"/>
    <xf numFmtId="171" fontId="32" fillId="0" borderId="11" xfId="0" applyNumberFormat="1" applyFont="1" applyBorder="1" applyAlignment="1">
      <alignment horizontal="center"/>
    </xf>
    <xf numFmtId="4" fontId="33" fillId="0" borderId="11" xfId="0" applyNumberFormat="1" applyFont="1" applyBorder="1" applyAlignment="1">
      <alignment horizontal="center"/>
    </xf>
    <xf numFmtId="0" fontId="33" fillId="0" borderId="11" xfId="0" applyFont="1" applyBorder="1" applyAlignment="1">
      <alignment horizontal="center"/>
    </xf>
    <xf numFmtId="168" fontId="32" fillId="0" borderId="11" xfId="0" applyNumberFormat="1" applyFont="1" applyBorder="1" applyAlignment="1">
      <alignment horizontal="center"/>
    </xf>
    <xf numFmtId="2" fontId="32" fillId="0" borderId="11" xfId="0" applyNumberFormat="1" applyFont="1" applyBorder="1" applyAlignment="1">
      <alignment horizontal="center"/>
    </xf>
    <xf numFmtId="4" fontId="32" fillId="0" borderId="11" xfId="0" applyNumberFormat="1" applyFont="1" applyBorder="1" applyAlignment="1">
      <alignment horizontal="center"/>
    </xf>
    <xf numFmtId="170" fontId="32" fillId="0" borderId="11" xfId="0" applyNumberFormat="1" applyFont="1" applyBorder="1" applyAlignment="1">
      <alignment horizontal="center"/>
    </xf>
    <xf numFmtId="2" fontId="33"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9" fillId="0" borderId="66" xfId="0" applyNumberFormat="1" applyFont="1" applyBorder="1"/>
    <xf numFmtId="4" fontId="29" fillId="0" borderId="66" xfId="0" applyNumberFormat="1" applyFont="1" applyBorder="1" applyAlignment="1">
      <alignment vertical="justify"/>
    </xf>
    <xf numFmtId="171" fontId="34" fillId="0" borderId="0" xfId="0" applyNumberFormat="1" applyFont="1" applyAlignment="1">
      <alignment horizontal="center"/>
    </xf>
    <xf numFmtId="168" fontId="34" fillId="0" borderId="0" xfId="0" applyNumberFormat="1" applyFont="1" applyAlignment="1">
      <alignment horizontal="center"/>
    </xf>
    <xf numFmtId="172" fontId="37" fillId="0" borderId="0" xfId="28" applyNumberFormat="1" applyFont="1" applyBorder="1" applyAlignment="1" applyProtection="1">
      <alignment horizontal="right"/>
    </xf>
    <xf numFmtId="0" fontId="32" fillId="0" borderId="11" xfId="0" applyFont="1" applyBorder="1" applyAlignment="1">
      <alignment horizontal="center"/>
    </xf>
    <xf numFmtId="169" fontId="36" fillId="0" borderId="0" xfId="0" applyNumberFormat="1" applyFont="1" applyAlignment="1">
      <alignment vertical="justify" wrapText="1"/>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9"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9" fillId="0" borderId="11" xfId="0" applyNumberFormat="1" applyFont="1" applyBorder="1" applyAlignment="1">
      <alignment horizontal="center"/>
    </xf>
    <xf numFmtId="2" fontId="29" fillId="0" borderId="17" xfId="0" applyNumberFormat="1" applyFont="1" applyBorder="1" applyAlignment="1">
      <alignment horizontal="center"/>
    </xf>
    <xf numFmtId="165" fontId="29" fillId="0" borderId="11" xfId="28" applyFont="1" applyBorder="1" applyProtection="1"/>
    <xf numFmtId="174" fontId="29" fillId="0" borderId="17" xfId="28" applyNumberFormat="1" applyFont="1" applyBorder="1" applyProtection="1"/>
    <xf numFmtId="0" fontId="29" fillId="0" borderId="11" xfId="0" applyFont="1" applyBorder="1"/>
    <xf numFmtId="172" fontId="29" fillId="0" borderId="11" xfId="28" applyNumberFormat="1" applyFont="1" applyBorder="1" applyProtection="1"/>
    <xf numFmtId="174" fontId="32" fillId="0" borderId="0" xfId="28" applyNumberFormat="1" applyFont="1" applyBorder="1" applyProtection="1"/>
    <xf numFmtId="174" fontId="0" fillId="0" borderId="0" xfId="0" applyNumberFormat="1"/>
    <xf numFmtId="165" fontId="24" fillId="24" borderId="0" xfId="28" applyFont="1" applyFill="1" applyBorder="1" applyProtection="1">
      <protection locked="0"/>
    </xf>
    <xf numFmtId="0" fontId="24" fillId="24" borderId="0" xfId="0" applyFont="1" applyFill="1" applyProtection="1">
      <protection locked="0"/>
    </xf>
    <xf numFmtId="165" fontId="24" fillId="24" borderId="0" xfId="0" applyNumberFormat="1" applyFont="1" applyFill="1" applyProtection="1">
      <protection locked="0"/>
    </xf>
    <xf numFmtId="0" fontId="28" fillId="24" borderId="0" xfId="0" applyFont="1" applyFill="1" applyProtection="1">
      <protection locked="0"/>
    </xf>
    <xf numFmtId="179" fontId="0" fillId="0" borderId="0" xfId="0" applyNumberFormat="1" applyAlignment="1">
      <alignment horizontal="right" vertical="center"/>
    </xf>
    <xf numFmtId="165" fontId="47" fillId="24" borderId="10" xfId="0" applyNumberFormat="1" applyFont="1" applyFill="1" applyBorder="1" applyAlignment="1">
      <alignment horizontal="left"/>
    </xf>
    <xf numFmtId="173" fontId="48" fillId="0" borderId="11" xfId="44" applyNumberFormat="1" applyFont="1" applyBorder="1" applyAlignment="1">
      <alignment horizontal="center"/>
    </xf>
    <xf numFmtId="16" fontId="24" fillId="24" borderId="0" xfId="28" applyNumberFormat="1" applyFont="1" applyFill="1" applyBorder="1" applyProtection="1">
      <protection locked="0"/>
    </xf>
    <xf numFmtId="173" fontId="49" fillId="0" borderId="67" xfId="0" applyNumberFormat="1" applyFont="1" applyBorder="1"/>
    <xf numFmtId="0" fontId="0" fillId="0" borderId="45" xfId="0" applyBorder="1"/>
    <xf numFmtId="164" fontId="43" fillId="0" borderId="0" xfId="29" applyFont="1" applyFill="1"/>
    <xf numFmtId="164" fontId="44" fillId="25" borderId="11" xfId="29" applyFont="1" applyFill="1" applyBorder="1" applyAlignment="1">
      <alignment vertical="center"/>
    </xf>
    <xf numFmtId="178" fontId="44" fillId="0" borderId="0" xfId="29" applyNumberFormat="1" applyFont="1" applyFill="1" applyBorder="1" applyAlignment="1">
      <alignment vertical="center"/>
    </xf>
    <xf numFmtId="178" fontId="28" fillId="24" borderId="21" xfId="29" applyNumberFormat="1" applyFont="1" applyFill="1" applyBorder="1" applyAlignment="1" applyProtection="1">
      <alignment horizontal="right" vertical="center"/>
    </xf>
    <xf numFmtId="178" fontId="28" fillId="24" borderId="17" xfId="29" applyNumberFormat="1" applyFont="1" applyFill="1" applyBorder="1" applyAlignment="1" applyProtection="1">
      <alignment horizontal="right" vertical="center"/>
    </xf>
    <xf numFmtId="178" fontId="28" fillId="0" borderId="11" xfId="29" applyNumberFormat="1" applyFont="1" applyFill="1" applyBorder="1" applyAlignment="1" applyProtection="1">
      <alignment horizontal="right"/>
    </xf>
    <xf numFmtId="178" fontId="28" fillId="24" borderId="11" xfId="29" applyNumberFormat="1" applyFont="1" applyFill="1" applyBorder="1" applyAlignment="1" applyProtection="1">
      <alignment horizontal="right" vertical="center"/>
    </xf>
    <xf numFmtId="178" fontId="24" fillId="20" borderId="11" xfId="29" applyNumberFormat="1" applyFont="1" applyFill="1" applyBorder="1" applyAlignment="1" applyProtection="1">
      <alignment horizontal="right"/>
    </xf>
    <xf numFmtId="178" fontId="28" fillId="24" borderId="11" xfId="29" applyNumberFormat="1" applyFont="1" applyFill="1" applyBorder="1" applyAlignment="1" applyProtection="1">
      <alignment horizontal="right"/>
    </xf>
    <xf numFmtId="178" fontId="28" fillId="24" borderId="14" xfId="29" applyNumberFormat="1" applyFont="1" applyFill="1" applyBorder="1" applyAlignment="1" applyProtection="1">
      <alignment horizontal="right"/>
    </xf>
    <xf numFmtId="178" fontId="28" fillId="24" borderId="23" xfId="29" applyNumberFormat="1" applyFont="1" applyFill="1" applyBorder="1" applyAlignment="1" applyProtection="1">
      <alignment horizontal="right"/>
    </xf>
    <xf numFmtId="10" fontId="43" fillId="0" borderId="0" xfId="50" applyNumberFormat="1" applyFont="1" applyFill="1" applyBorder="1"/>
    <xf numFmtId="10" fontId="44" fillId="0" borderId="11" xfId="50" applyNumberFormat="1" applyFont="1" applyFill="1" applyBorder="1"/>
    <xf numFmtId="10" fontId="43" fillId="0" borderId="0" xfId="50" applyNumberFormat="1" applyFont="1" applyFill="1" applyBorder="1" applyAlignment="1">
      <alignment vertical="center"/>
    </xf>
    <xf numFmtId="10" fontId="44" fillId="27" borderId="0" xfId="50" applyNumberFormat="1" applyFont="1" applyFill="1" applyBorder="1"/>
    <xf numFmtId="10" fontId="44" fillId="0" borderId="11" xfId="50" applyNumberFormat="1" applyFont="1" applyFill="1" applyBorder="1" applyAlignment="1">
      <alignment vertical="center"/>
    </xf>
    <xf numFmtId="0" fontId="43" fillId="28" borderId="0" xfId="0" applyFont="1" applyFill="1"/>
    <xf numFmtId="0" fontId="51" fillId="28" borderId="0" xfId="0" applyFont="1" applyFill="1"/>
    <xf numFmtId="178" fontId="43" fillId="28" borderId="0" xfId="29" applyNumberFormat="1" applyFont="1" applyFill="1" applyBorder="1" applyAlignment="1">
      <alignment vertical="center"/>
    </xf>
    <xf numFmtId="0" fontId="43" fillId="28" borderId="0" xfId="0" applyFont="1" applyFill="1" applyAlignment="1">
      <alignment horizontal="right"/>
    </xf>
    <xf numFmtId="166" fontId="43" fillId="28" borderId="0" xfId="0" applyNumberFormat="1" applyFont="1" applyFill="1" applyAlignment="1">
      <alignment horizontal="right"/>
    </xf>
    <xf numFmtId="166" fontId="43" fillId="28" borderId="0" xfId="0" applyNumberFormat="1" applyFont="1" applyFill="1"/>
    <xf numFmtId="10" fontId="43" fillId="28" borderId="0" xfId="0" applyNumberFormat="1" applyFont="1" applyFill="1"/>
    <xf numFmtId="165" fontId="44" fillId="28" borderId="0" xfId="0" applyNumberFormat="1" applyFont="1" applyFill="1" applyAlignment="1">
      <alignment horizontal="right"/>
    </xf>
    <xf numFmtId="166" fontId="44" fillId="28" borderId="0" xfId="50" applyNumberFormat="1" applyFont="1" applyFill="1" applyBorder="1" applyAlignment="1">
      <alignment vertical="center"/>
    </xf>
    <xf numFmtId="178" fontId="44" fillId="25" borderId="13" xfId="29" applyNumberFormat="1" applyFont="1" applyFill="1" applyBorder="1" applyAlignment="1">
      <alignment vertical="center"/>
    </xf>
    <xf numFmtId="178" fontId="44" fillId="25" borderId="19" xfId="29" applyNumberFormat="1" applyFont="1" applyFill="1" applyBorder="1" applyAlignment="1">
      <alignment vertical="center"/>
    </xf>
    <xf numFmtId="166" fontId="44" fillId="25" borderId="19" xfId="50" applyNumberFormat="1" applyFont="1" applyFill="1" applyBorder="1" applyAlignment="1">
      <alignment vertical="center"/>
    </xf>
    <xf numFmtId="165" fontId="44" fillId="0" borderId="17" xfId="0" applyNumberFormat="1" applyFont="1" applyBorder="1" applyAlignment="1">
      <alignment horizontal="right"/>
    </xf>
    <xf numFmtId="0" fontId="43" fillId="0" borderId="17" xfId="0" applyFont="1" applyBorder="1"/>
    <xf numFmtId="178" fontId="44" fillId="4" borderId="11" xfId="29" applyNumberFormat="1" applyFont="1" applyFill="1" applyBorder="1" applyAlignment="1">
      <alignment horizontal="center"/>
    </xf>
    <xf numFmtId="0" fontId="46" fillId="0" borderId="0" xfId="0" applyFont="1"/>
    <xf numFmtId="0" fontId="46"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1" fontId="49" fillId="0" borderId="67" xfId="0" applyNumberFormat="1" applyFont="1" applyBorder="1" applyAlignment="1">
      <alignment horizontal="center" vertical="center"/>
    </xf>
    <xf numFmtId="0" fontId="0" fillId="0" borderId="68" xfId="0" applyBorder="1"/>
    <xf numFmtId="0" fontId="0" fillId="0" borderId="26" xfId="0" applyBorder="1"/>
    <xf numFmtId="0" fontId="46" fillId="0" borderId="26" xfId="0" applyFont="1" applyBorder="1"/>
    <xf numFmtId="167" fontId="34" fillId="30" borderId="11" xfId="28" applyNumberFormat="1" applyFont="1" applyFill="1" applyBorder="1" applyAlignment="1" applyProtection="1">
      <alignment horizontal="center"/>
    </xf>
    <xf numFmtId="168" fontId="38" fillId="30" borderId="13" xfId="0" applyNumberFormat="1" applyFont="1" applyFill="1" applyBorder="1" applyAlignment="1">
      <alignment horizontal="center" vertical="center" wrapText="1"/>
    </xf>
    <xf numFmtId="167" fontId="34" fillId="31" borderId="11" xfId="28" applyNumberFormat="1" applyFont="1" applyFill="1" applyBorder="1" applyAlignment="1" applyProtection="1">
      <alignment horizontal="center"/>
    </xf>
    <xf numFmtId="168" fontId="38" fillId="31" borderId="13" xfId="0" applyNumberFormat="1" applyFont="1" applyFill="1" applyBorder="1" applyAlignment="1">
      <alignment horizontal="center" vertical="center" wrapText="1"/>
    </xf>
    <xf numFmtId="167" fontId="34" fillId="32" borderId="11" xfId="28" applyNumberFormat="1" applyFont="1" applyFill="1" applyBorder="1" applyAlignment="1" applyProtection="1">
      <alignment horizontal="center"/>
    </xf>
    <xf numFmtId="168" fontId="38" fillId="32" borderId="13" xfId="0" applyNumberFormat="1" applyFont="1" applyFill="1" applyBorder="1" applyAlignment="1">
      <alignment horizontal="center" vertical="center" wrapText="1"/>
    </xf>
    <xf numFmtId="167" fontId="34" fillId="27" borderId="17" xfId="28" applyNumberFormat="1" applyFont="1" applyFill="1" applyBorder="1" applyAlignment="1" applyProtection="1">
      <alignment horizontal="center"/>
    </xf>
    <xf numFmtId="0" fontId="29" fillId="27" borderId="11" xfId="0" applyFont="1" applyFill="1" applyBorder="1"/>
    <xf numFmtId="173" fontId="46" fillId="0" borderId="55" xfId="0" applyNumberFormat="1" applyFont="1" applyBorder="1" applyAlignment="1">
      <alignment horizontal="center" vertical="center"/>
    </xf>
    <xf numFmtId="0" fontId="29" fillId="0" borderId="11" xfId="28" applyNumberFormat="1" applyFont="1" applyBorder="1" applyProtection="1"/>
    <xf numFmtId="178" fontId="53" fillId="0" borderId="0" xfId="29" applyNumberFormat="1" applyFont="1" applyProtection="1"/>
    <xf numFmtId="0" fontId="46" fillId="0" borderId="55" xfId="0" applyFont="1" applyBorder="1"/>
    <xf numFmtId="0" fontId="46" fillId="0" borderId="36" xfId="0" applyFont="1" applyBorder="1"/>
    <xf numFmtId="2" fontId="0" fillId="0" borderId="64" xfId="0" applyNumberFormat="1" applyBorder="1" applyAlignment="1">
      <alignment vertical="center"/>
    </xf>
    <xf numFmtId="2" fontId="0" fillId="0" borderId="40" xfId="0" applyNumberFormat="1" applyBorder="1" applyAlignment="1">
      <alignment vertical="center"/>
    </xf>
    <xf numFmtId="0" fontId="0" fillId="0" borderId="11" xfId="0" applyBorder="1" applyAlignment="1" applyProtection="1">
      <alignment horizontal="center" vertical="center"/>
      <protection locked="0"/>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6"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9" fillId="0" borderId="66" xfId="0" applyNumberFormat="1" applyFont="1" applyBorder="1" applyAlignment="1">
      <alignment vertical="center"/>
    </xf>
    <xf numFmtId="0" fontId="29" fillId="0" borderId="66" xfId="0" applyFont="1" applyBorder="1" applyAlignment="1">
      <alignment horizontal="center" vertical="center"/>
    </xf>
    <xf numFmtId="4" fontId="29" fillId="0" borderId="66" xfId="0" applyNumberFormat="1" applyFont="1" applyBorder="1" applyAlignment="1">
      <alignment vertical="center"/>
    </xf>
    <xf numFmtId="171" fontId="29" fillId="0" borderId="66" xfId="0" applyNumberFormat="1" applyFont="1" applyBorder="1" applyAlignment="1">
      <alignment vertical="center"/>
    </xf>
    <xf numFmtId="168" fontId="29" fillId="0" borderId="66" xfId="0" applyNumberFormat="1" applyFont="1" applyBorder="1" applyAlignment="1">
      <alignment vertical="center"/>
    </xf>
    <xf numFmtId="2" fontId="29" fillId="0" borderId="66" xfId="0" applyNumberFormat="1" applyFont="1" applyBorder="1" applyAlignment="1">
      <alignment vertical="center" wrapText="1"/>
    </xf>
    <xf numFmtId="4" fontId="29"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9" fillId="0" borderId="66" xfId="50" applyFont="1" applyFill="1" applyBorder="1" applyAlignment="1" applyProtection="1">
      <alignment horizontal="center" vertical="center"/>
    </xf>
    <xf numFmtId="0" fontId="0" fillId="0" borderId="11" xfId="0" quotePrefix="1" applyBorder="1" applyAlignment="1" applyProtection="1">
      <alignment horizontal="center" vertical="center"/>
      <protection locked="0"/>
    </xf>
    <xf numFmtId="10" fontId="46" fillId="0" borderId="11" xfId="50" applyNumberFormat="1" applyFont="1" applyFill="1" applyBorder="1" applyAlignment="1" applyProtection="1">
      <alignment horizontal="center" vertical="center"/>
      <protection locked="0"/>
    </xf>
    <xf numFmtId="10" fontId="46" fillId="27" borderId="11" xfId="50" applyNumberFormat="1" applyFont="1" applyFill="1" applyBorder="1" applyAlignment="1" applyProtection="1">
      <alignment horizontal="center" vertical="center"/>
      <protection locked="0"/>
    </xf>
    <xf numFmtId="2" fontId="40" fillId="0" borderId="11" xfId="44" applyNumberFormat="1" applyFont="1" applyBorder="1" applyAlignment="1">
      <alignment horizontal="center"/>
    </xf>
    <xf numFmtId="165" fontId="44" fillId="31" borderId="11" xfId="29" applyNumberFormat="1" applyFont="1" applyFill="1" applyBorder="1" applyAlignment="1">
      <alignment vertical="center"/>
    </xf>
    <xf numFmtId="0" fontId="46" fillId="0" borderId="11" xfId="0" applyFont="1" applyBorder="1" applyAlignment="1" applyProtection="1">
      <alignment horizontal="center" vertical="center"/>
      <protection locked="0"/>
    </xf>
    <xf numFmtId="173" fontId="46" fillId="0" borderId="0" xfId="0" applyNumberFormat="1" applyFont="1" applyAlignment="1">
      <alignment vertical="center"/>
    </xf>
    <xf numFmtId="0" fontId="39" fillId="27" borderId="11" xfId="0" applyFont="1" applyFill="1" applyBorder="1" applyAlignment="1">
      <alignment horizontal="center" vertical="center" wrapText="1"/>
    </xf>
    <xf numFmtId="10" fontId="46" fillId="27" borderId="62" xfId="50" applyNumberFormat="1" applyFont="1" applyFill="1" applyBorder="1" applyAlignment="1" applyProtection="1">
      <alignment horizontal="center" vertical="center"/>
      <protection locked="0"/>
    </xf>
    <xf numFmtId="0" fontId="39" fillId="27" borderId="11" xfId="0" applyFont="1" applyFill="1" applyBorder="1" applyAlignment="1">
      <alignment vertical="center" wrapText="1"/>
    </xf>
    <xf numFmtId="0" fontId="54" fillId="0" borderId="0" xfId="0" applyFont="1"/>
    <xf numFmtId="0" fontId="24" fillId="24" borderId="15" xfId="0" applyFont="1" applyFill="1" applyBorder="1"/>
    <xf numFmtId="0" fontId="24" fillId="24" borderId="15" xfId="0" applyFont="1" applyFill="1" applyBorder="1" applyAlignment="1">
      <alignment horizontal="center" wrapText="1"/>
    </xf>
    <xf numFmtId="0" fontId="24" fillId="24" borderId="56" xfId="0" applyFont="1" applyFill="1" applyBorder="1"/>
    <xf numFmtId="9" fontId="24" fillId="0" borderId="21" xfId="50" applyFont="1" applyFill="1" applyBorder="1" applyAlignment="1">
      <alignment vertical="center"/>
    </xf>
    <xf numFmtId="0" fontId="24" fillId="24" borderId="21" xfId="0" applyFont="1" applyFill="1" applyBorder="1"/>
    <xf numFmtId="2" fontId="24" fillId="24" borderId="21" xfId="0" applyNumberFormat="1" applyFont="1" applyFill="1" applyBorder="1"/>
    <xf numFmtId="165" fontId="24" fillId="0" borderId="11" xfId="29" applyNumberFormat="1" applyFont="1" applyFill="1" applyBorder="1" applyAlignment="1">
      <alignment vertical="center"/>
    </xf>
    <xf numFmtId="165" fontId="24" fillId="24" borderId="21" xfId="0" applyNumberFormat="1" applyFont="1" applyFill="1" applyBorder="1"/>
    <xf numFmtId="10" fontId="43" fillId="0" borderId="13" xfId="50" applyNumberFormat="1" applyFont="1" applyFill="1" applyBorder="1" applyAlignment="1">
      <alignment vertical="center"/>
    </xf>
    <xf numFmtId="10" fontId="43" fillId="0" borderId="30" xfId="50" applyNumberFormat="1" applyFont="1" applyFill="1" applyBorder="1" applyAlignment="1">
      <alignment vertical="center"/>
    </xf>
    <xf numFmtId="0" fontId="24" fillId="24" borderId="69" xfId="0" applyFont="1" applyFill="1" applyBorder="1"/>
    <xf numFmtId="0" fontId="24" fillId="24" borderId="36" xfId="0" applyFont="1" applyFill="1" applyBorder="1"/>
    <xf numFmtId="0" fontId="24" fillId="24" borderId="26" xfId="0" applyFont="1" applyFill="1" applyBorder="1"/>
    <xf numFmtId="0" fontId="24" fillId="24" borderId="25" xfId="0" applyFont="1" applyFill="1" applyBorder="1"/>
    <xf numFmtId="0" fontId="24" fillId="24" borderId="17" xfId="0" applyFont="1" applyFill="1" applyBorder="1"/>
    <xf numFmtId="0" fontId="24" fillId="24" borderId="55" xfId="0" applyFont="1" applyFill="1" applyBorder="1"/>
    <xf numFmtId="0" fontId="24" fillId="24" borderId="45" xfId="0" applyFont="1" applyFill="1" applyBorder="1"/>
    <xf numFmtId="0" fontId="40" fillId="0" borderId="11" xfId="56" applyFont="1" applyBorder="1" applyAlignment="1">
      <alignment horizontal="left"/>
    </xf>
    <xf numFmtId="0" fontId="46" fillId="0" borderId="11" xfId="0" applyFont="1" applyBorder="1"/>
    <xf numFmtId="0" fontId="40" fillId="0" borderId="19" xfId="56" applyFont="1" applyBorder="1" applyAlignment="1">
      <alignment horizontal="left"/>
    </xf>
    <xf numFmtId="0" fontId="32" fillId="0" borderId="11" xfId="56" applyFont="1" applyBorder="1" applyAlignment="1">
      <alignment horizontal="left"/>
    </xf>
    <xf numFmtId="178" fontId="44" fillId="0" borderId="17" xfId="29" applyNumberFormat="1" applyFont="1" applyFill="1" applyBorder="1" applyAlignment="1">
      <alignment vertical="center" wrapText="1"/>
    </xf>
    <xf numFmtId="0" fontId="28" fillId="24" borderId="14" xfId="0" quotePrefix="1" applyFont="1" applyFill="1" applyBorder="1" applyAlignment="1" applyProtection="1">
      <alignment wrapText="1"/>
      <protection locked="0"/>
    </xf>
    <xf numFmtId="0" fontId="55" fillId="34" borderId="0" xfId="0" applyFont="1" applyFill="1"/>
    <xf numFmtId="180" fontId="44" fillId="25" borderId="11" xfId="29" applyNumberFormat="1" applyFont="1" applyFill="1" applyBorder="1" applyAlignment="1">
      <alignment vertical="center"/>
    </xf>
    <xf numFmtId="4" fontId="0" fillId="0" borderId="0" xfId="0" applyNumberFormat="1" applyAlignment="1">
      <alignment horizontal="center" vertical="center"/>
    </xf>
    <xf numFmtId="4" fontId="0" fillId="0" borderId="0" xfId="0" applyNumberFormat="1" applyAlignment="1">
      <alignment vertical="center"/>
    </xf>
    <xf numFmtId="0" fontId="0" fillId="27" borderId="0" xfId="0" applyFill="1"/>
    <xf numFmtId="0" fontId="0" fillId="27" borderId="0" xfId="0" applyFill="1" applyAlignment="1">
      <alignment vertical="center"/>
    </xf>
    <xf numFmtId="2" fontId="0" fillId="0" borderId="0" xfId="0" applyNumberFormat="1" applyAlignment="1">
      <alignment vertical="center"/>
    </xf>
    <xf numFmtId="0" fontId="0" fillId="0" borderId="0" xfId="0" applyAlignment="1">
      <alignment horizontal="right"/>
    </xf>
    <xf numFmtId="2" fontId="54" fillId="27" borderId="11" xfId="0" applyNumberFormat="1" applyFont="1" applyFill="1" applyBorder="1" applyAlignment="1">
      <alignment horizontal="center" vertical="center" wrapText="1"/>
    </xf>
    <xf numFmtId="0" fontId="54" fillId="27" borderId="11" xfId="0" applyFont="1" applyFill="1" applyBorder="1" applyAlignment="1">
      <alignment horizontal="center" vertical="center" wrapText="1"/>
    </xf>
    <xf numFmtId="9" fontId="54" fillId="27" borderId="11" xfId="50" applyFont="1" applyFill="1" applyBorder="1" applyAlignment="1">
      <alignment horizontal="center" vertical="center" wrapText="1"/>
    </xf>
    <xf numFmtId="10" fontId="0" fillId="0" borderId="11" xfId="50" applyNumberFormat="1" applyFont="1" applyBorder="1" applyAlignment="1">
      <alignment horizontal="center"/>
    </xf>
    <xf numFmtId="2" fontId="54" fillId="33" borderId="11" xfId="0" applyNumberFormat="1" applyFont="1" applyFill="1" applyBorder="1" applyAlignment="1">
      <alignment horizontal="center"/>
    </xf>
    <xf numFmtId="10" fontId="54" fillId="33" borderId="11" xfId="50" applyNumberFormat="1" applyFont="1" applyFill="1" applyBorder="1" applyAlignment="1">
      <alignment horizontal="center"/>
    </xf>
    <xf numFmtId="10" fontId="0" fillId="0" borderId="11" xfId="50" applyNumberFormat="1" applyFont="1" applyBorder="1"/>
    <xf numFmtId="10" fontId="29" fillId="0" borderId="11" xfId="0" applyNumberFormat="1" applyFont="1" applyBorder="1"/>
    <xf numFmtId="0" fontId="54" fillId="27" borderId="11" xfId="0" applyFont="1" applyFill="1" applyBorder="1" applyAlignment="1">
      <alignment horizontal="center" vertical="center"/>
    </xf>
    <xf numFmtId="14" fontId="54" fillId="27" borderId="0" xfId="0" applyNumberFormat="1" applyFont="1" applyFill="1" applyAlignment="1">
      <alignment horizontal="center" vertical="center"/>
    </xf>
    <xf numFmtId="2" fontId="54" fillId="27" borderId="0" xfId="0" applyNumberFormat="1" applyFont="1" applyFill="1" applyAlignment="1">
      <alignment horizontal="center" vertical="center" wrapText="1"/>
    </xf>
    <xf numFmtId="0" fontId="54" fillId="27" borderId="0" xfId="0" applyFont="1" applyFill="1" applyAlignment="1">
      <alignment horizontal="center" vertic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0" fontId="0" fillId="0" borderId="0" xfId="0" quotePrefix="1"/>
    <xf numFmtId="14" fontId="0" fillId="0" borderId="0" xfId="0" applyNumberFormat="1" applyAlignment="1">
      <alignment horizontal="center"/>
    </xf>
    <xf numFmtId="10" fontId="0" fillId="0" borderId="11" xfId="0" applyNumberFormat="1" applyBorder="1" applyAlignment="1">
      <alignment horizontal="right"/>
    </xf>
    <xf numFmtId="0" fontId="0" fillId="0" borderId="62" xfId="0" applyBorder="1"/>
    <xf numFmtId="10" fontId="0" fillId="0" borderId="11" xfId="0" applyNumberFormat="1" applyBorder="1" applyAlignment="1">
      <alignment horizontal="center"/>
    </xf>
    <xf numFmtId="0" fontId="0" fillId="35" borderId="0" xfId="0" applyFill="1"/>
    <xf numFmtId="0" fontId="46" fillId="27" borderId="0" xfId="0" applyFont="1" applyFill="1"/>
    <xf numFmtId="0" fontId="46" fillId="35" borderId="0" xfId="0" applyFont="1" applyFill="1"/>
    <xf numFmtId="0" fontId="46" fillId="27" borderId="0" xfId="0" applyFont="1" applyFill="1" applyAlignment="1">
      <alignment horizontal="center"/>
    </xf>
    <xf numFmtId="0" fontId="46" fillId="35" borderId="0" xfId="0" applyFont="1" applyFill="1" applyAlignment="1">
      <alignment horizontal="center"/>
    </xf>
    <xf numFmtId="4" fontId="0" fillId="34" borderId="0" xfId="0" applyNumberFormat="1" applyFill="1" applyAlignment="1">
      <alignment horizontal="center" vertical="center"/>
    </xf>
    <xf numFmtId="4" fontId="0" fillId="34" borderId="0" xfId="0" applyNumberFormat="1" applyFill="1" applyAlignment="1">
      <alignment vertical="center"/>
    </xf>
    <xf numFmtId="4" fontId="0" fillId="35" borderId="0" xfId="0" applyNumberFormat="1" applyFill="1" applyAlignment="1">
      <alignment vertical="center"/>
    </xf>
    <xf numFmtId="0" fontId="0" fillId="35" borderId="0" xfId="0" applyFill="1" applyAlignment="1">
      <alignment vertical="center"/>
    </xf>
    <xf numFmtId="4" fontId="46" fillId="0" borderId="0" xfId="0" applyNumberFormat="1" applyFont="1" applyAlignment="1">
      <alignment horizontal="center" vertical="center"/>
    </xf>
    <xf numFmtId="4" fontId="46" fillId="0" borderId="0" xfId="0" applyNumberFormat="1" applyFont="1" applyAlignment="1">
      <alignment vertical="center"/>
    </xf>
    <xf numFmtId="0" fontId="29" fillId="33" borderId="11" xfId="0" applyFont="1" applyFill="1" applyBorder="1"/>
    <xf numFmtId="0" fontId="40" fillId="38" borderId="11" xfId="56" applyFont="1" applyFill="1" applyBorder="1" applyAlignment="1">
      <alignment horizontal="left"/>
    </xf>
    <xf numFmtId="0" fontId="0" fillId="39" borderId="11" xfId="0" applyFill="1" applyBorder="1"/>
    <xf numFmtId="0" fontId="46" fillId="39" borderId="11" xfId="0" applyFont="1" applyFill="1" applyBorder="1"/>
    <xf numFmtId="10" fontId="0" fillId="38" borderId="17" xfId="50" applyNumberFormat="1" applyFont="1" applyFill="1" applyBorder="1"/>
    <xf numFmtId="10" fontId="0" fillId="0" borderId="17" xfId="50" applyNumberFormat="1" applyFont="1" applyBorder="1"/>
    <xf numFmtId="0" fontId="59" fillId="0" borderId="11" xfId="56" applyFont="1" applyBorder="1" applyAlignment="1">
      <alignment horizontal="left"/>
    </xf>
    <xf numFmtId="10" fontId="58" fillId="27" borderId="11" xfId="50" applyNumberFormat="1" applyFont="1" applyFill="1" applyBorder="1"/>
    <xf numFmtId="0" fontId="23" fillId="0" borderId="0" xfId="41" applyFont="1"/>
    <xf numFmtId="0" fontId="44" fillId="0" borderId="14" xfId="0" applyFont="1" applyBorder="1" applyAlignment="1">
      <alignment horizontal="center" vertical="center" wrapText="1"/>
    </xf>
    <xf numFmtId="164" fontId="44" fillId="0" borderId="14" xfId="29" applyFont="1" applyFill="1" applyBorder="1" applyAlignment="1">
      <alignment horizontal="center" vertical="center" wrapText="1"/>
    </xf>
    <xf numFmtId="10" fontId="44" fillId="29" borderId="11" xfId="50" applyNumberFormat="1" applyFont="1" applyFill="1" applyBorder="1" applyAlignment="1">
      <alignment vertical="center"/>
    </xf>
    <xf numFmtId="10" fontId="44" fillId="4" borderId="11" xfId="50" applyNumberFormat="1" applyFont="1" applyFill="1" applyBorder="1" applyAlignment="1">
      <alignment vertical="center"/>
    </xf>
    <xf numFmtId="10" fontId="44" fillId="25" borderId="11" xfId="50" applyNumberFormat="1" applyFont="1" applyFill="1" applyBorder="1"/>
    <xf numFmtId="166" fontId="44" fillId="0" borderId="0" xfId="51" applyNumberFormat="1" applyFont="1" applyFill="1" applyBorder="1" applyAlignment="1">
      <alignment vertical="center"/>
    </xf>
    <xf numFmtId="177" fontId="43" fillId="0" borderId="11" xfId="0" applyNumberFormat="1" applyFont="1" applyBorder="1" applyAlignment="1">
      <alignment horizontal="center" vertical="center" wrapText="1"/>
    </xf>
    <xf numFmtId="2" fontId="40" fillId="0" borderId="11" xfId="45" applyNumberFormat="1" applyFont="1" applyBorder="1" applyAlignment="1">
      <alignment horizontal="center"/>
    </xf>
    <xf numFmtId="10" fontId="43" fillId="0" borderId="11" xfId="50" applyNumberFormat="1" applyFont="1" applyFill="1" applyBorder="1" applyAlignment="1">
      <alignment vertical="center"/>
    </xf>
    <xf numFmtId="178" fontId="43" fillId="0" borderId="19" xfId="29" applyNumberFormat="1" applyFont="1" applyFill="1" applyBorder="1" applyAlignment="1">
      <alignment vertical="center"/>
    </xf>
    <xf numFmtId="2" fontId="37" fillId="0" borderId="11" xfId="46" applyNumberFormat="1" applyFont="1" applyBorder="1"/>
    <xf numFmtId="2" fontId="43" fillId="0" borderId="0" xfId="0" applyNumberFormat="1" applyFont="1"/>
    <xf numFmtId="181" fontId="44" fillId="0" borderId="11" xfId="29" applyNumberFormat="1" applyFont="1" applyFill="1" applyBorder="1" applyAlignment="1">
      <alignment vertical="center"/>
    </xf>
    <xf numFmtId="10" fontId="43" fillId="28" borderId="0" xfId="0" applyNumberFormat="1" applyFont="1" applyFill="1" applyAlignment="1">
      <alignment horizontal="right"/>
    </xf>
    <xf numFmtId="167" fontId="34" fillId="30" borderId="13" xfId="28" applyNumberFormat="1" applyFont="1" applyFill="1" applyBorder="1" applyAlignment="1" applyProtection="1">
      <alignment horizontal="center"/>
    </xf>
    <xf numFmtId="167" fontId="34" fillId="31" borderId="13" xfId="28" applyNumberFormat="1" applyFont="1" applyFill="1" applyBorder="1" applyAlignment="1" applyProtection="1">
      <alignment horizontal="center"/>
    </xf>
    <xf numFmtId="167" fontId="34" fillId="32" borderId="13" xfId="28" applyNumberFormat="1" applyFont="1" applyFill="1" applyBorder="1" applyAlignment="1" applyProtection="1">
      <alignment horizontal="center"/>
    </xf>
    <xf numFmtId="165" fontId="28" fillId="24" borderId="17" xfId="0" applyNumberFormat="1" applyFont="1" applyFill="1" applyBorder="1" applyAlignment="1" applyProtection="1">
      <alignment horizontal="left"/>
      <protection locked="0"/>
    </xf>
    <xf numFmtId="2" fontId="0" fillId="0" borderId="11" xfId="28" applyNumberFormat="1" applyFont="1" applyBorder="1" applyAlignment="1">
      <alignment horizontal="center"/>
    </xf>
    <xf numFmtId="10" fontId="0" fillId="0" borderId="0" xfId="0" applyNumberFormat="1"/>
    <xf numFmtId="178" fontId="44" fillId="40" borderId="11" xfId="60" applyNumberFormat="1" applyFont="1" applyFill="1" applyBorder="1" applyAlignment="1">
      <alignment horizontal="center" vertical="center" wrapText="1"/>
    </xf>
    <xf numFmtId="178" fontId="44" fillId="26" borderId="14" xfId="60" applyNumberFormat="1" applyFont="1" applyFill="1" applyBorder="1" applyAlignment="1">
      <alignment horizontal="center" vertical="center" wrapText="1"/>
    </xf>
    <xf numFmtId="178" fontId="44" fillId="26" borderId="11" xfId="60" applyNumberFormat="1" applyFont="1" applyFill="1" applyBorder="1" applyAlignment="1">
      <alignment horizontal="center" vertical="center" wrapText="1"/>
    </xf>
    <xf numFmtId="178" fontId="44" fillId="40" borderId="14" xfId="60" applyNumberFormat="1"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178" fontId="44" fillId="0" borderId="17" xfId="29" applyNumberFormat="1" applyFont="1" applyFill="1" applyBorder="1" applyAlignment="1">
      <alignment horizontal="center" vertical="center" wrapText="1"/>
    </xf>
    <xf numFmtId="10" fontId="44" fillId="28" borderId="0" xfId="0" applyNumberFormat="1" applyFont="1" applyFill="1"/>
    <xf numFmtId="2" fontId="0" fillId="0" borderId="0" xfId="28" applyNumberFormat="1" applyFont="1" applyAlignment="1"/>
    <xf numFmtId="2" fontId="29" fillId="0" borderId="20" xfId="28" applyNumberFormat="1" applyFont="1" applyFill="1" applyBorder="1" applyAlignment="1" applyProtection="1">
      <alignment horizontal="center" vertical="center"/>
    </xf>
    <xf numFmtId="2" fontId="29" fillId="0" borderId="11"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5" xfId="28" applyNumberFormat="1" applyFont="1" applyBorder="1" applyAlignment="1"/>
    <xf numFmtId="2" fontId="0" fillId="0" borderId="85" xfId="28" applyNumberFormat="1" applyFont="1" applyBorder="1" applyAlignment="1" applyProtection="1">
      <alignment horizontal="center" vertical="center"/>
      <protection hidden="1"/>
    </xf>
    <xf numFmtId="0" fontId="29" fillId="0" borderId="0" xfId="41" applyFont="1"/>
    <xf numFmtId="178" fontId="44" fillId="0" borderId="17" xfId="29" applyNumberFormat="1" applyFont="1" applyFill="1" applyBorder="1" applyAlignment="1">
      <alignment horizontal="center" vertical="center" wrapText="1"/>
    </xf>
    <xf numFmtId="0" fontId="44" fillId="0" borderId="14" xfId="0" applyFont="1" applyBorder="1" applyAlignment="1">
      <alignment horizontal="center" vertical="center" wrapText="1"/>
    </xf>
    <xf numFmtId="164" fontId="44" fillId="0" borderId="14" xfId="29"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0" fontId="54" fillId="27" borderId="11" xfId="0" applyFont="1" applyFill="1" applyBorder="1" applyAlignment="1">
      <alignment horizontal="center" vertical="center"/>
    </xf>
    <xf numFmtId="0" fontId="46" fillId="0" borderId="11" xfId="0" applyFont="1" applyBorder="1" applyAlignment="1">
      <alignment wrapText="1"/>
    </xf>
    <xf numFmtId="0" fontId="46" fillId="27" borderId="0" xfId="0" applyFont="1" applyFill="1" applyAlignment="1">
      <alignment horizontal="center"/>
    </xf>
    <xf numFmtId="1" fontId="44" fillId="0" borderId="0" xfId="50" applyNumberFormat="1" applyFont="1" applyFill="1" applyBorder="1" applyAlignment="1">
      <alignment vertical="center"/>
    </xf>
    <xf numFmtId="2" fontId="29" fillId="0" borderId="86" xfId="28" applyNumberFormat="1" applyFont="1" applyBorder="1" applyAlignment="1">
      <alignment horizontal="center" vertical="center"/>
    </xf>
    <xf numFmtId="2" fontId="29" fillId="0" borderId="86" xfId="28" applyNumberFormat="1" applyFont="1" applyFill="1" applyBorder="1" applyAlignment="1" applyProtection="1">
      <alignment horizontal="center" vertical="center"/>
    </xf>
    <xf numFmtId="0" fontId="29" fillId="0" borderId="79" xfId="0" applyFont="1" applyBorder="1" applyAlignment="1">
      <alignment horizontal="center" vertical="center" wrapText="1"/>
    </xf>
    <xf numFmtId="0" fontId="29" fillId="0" borderId="80" xfId="0" applyFont="1" applyBorder="1" applyAlignment="1">
      <alignment horizontal="center" vertical="center" wrapText="1"/>
    </xf>
    <xf numFmtId="0" fontId="29" fillId="0" borderId="81"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82" xfId="0" applyFont="1" applyBorder="1" applyAlignment="1">
      <alignment horizontal="center" vertical="center"/>
    </xf>
    <xf numFmtId="0" fontId="29" fillId="0" borderId="17" xfId="0" applyFont="1" applyBorder="1" applyAlignment="1">
      <alignment horizontal="center" vertical="center"/>
    </xf>
    <xf numFmtId="0" fontId="29" fillId="0" borderId="82"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83" xfId="0" applyFont="1" applyBorder="1" applyAlignment="1">
      <alignment horizontal="center" vertical="center" wrapText="1"/>
    </xf>
    <xf numFmtId="0" fontId="29" fillId="0" borderId="84" xfId="0" applyFont="1" applyBorder="1" applyAlignment="1">
      <alignment horizontal="center" vertical="center" wrapText="1"/>
    </xf>
    <xf numFmtId="0" fontId="0" fillId="0" borderId="11" xfId="0" applyBorder="1" applyAlignment="1">
      <alignment horizontal="center"/>
    </xf>
    <xf numFmtId="10" fontId="0" fillId="0" borderId="11" xfId="0" applyNumberFormat="1" applyBorder="1" applyAlignment="1">
      <alignment horizontal="center" vertical="center"/>
    </xf>
    <xf numFmtId="0" fontId="54" fillId="0" borderId="11" xfId="0" applyFont="1" applyBorder="1" applyAlignment="1">
      <alignment horizontal="left" vertical="center"/>
    </xf>
    <xf numFmtId="0" fontId="54"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6" fillId="0" borderId="11" xfId="0" applyFont="1" applyBorder="1" applyAlignment="1">
      <alignment vertical="top" wrapText="1"/>
    </xf>
    <xf numFmtId="0" fontId="54" fillId="0" borderId="60" xfId="0" applyFont="1" applyBorder="1" applyAlignment="1">
      <alignment vertical="center"/>
    </xf>
    <xf numFmtId="10" fontId="54" fillId="0" borderId="11" xfId="50" applyNumberFormat="1" applyFont="1" applyBorder="1" applyAlignment="1">
      <alignment horizontal="center"/>
    </xf>
    <xf numFmtId="0" fontId="21" fillId="0" borderId="0" xfId="41" applyFont="1"/>
    <xf numFmtId="0" fontId="22" fillId="0" borderId="0" xfId="41" applyFont="1"/>
    <xf numFmtId="165" fontId="46" fillId="11" borderId="11" xfId="28" applyFont="1" applyFill="1" applyBorder="1" applyAlignment="1" applyProtection="1">
      <alignment horizontal="center"/>
    </xf>
    <xf numFmtId="165" fontId="29" fillId="0" borderId="23" xfId="28" applyFont="1" applyBorder="1" applyProtection="1"/>
    <xf numFmtId="1" fontId="46" fillId="27" borderId="39" xfId="0" applyNumberFormat="1" applyFont="1" applyFill="1" applyBorder="1" applyAlignment="1">
      <alignment horizontal="center" vertical="center"/>
    </xf>
    <xf numFmtId="2" fontId="0" fillId="0" borderId="70" xfId="0" applyNumberFormat="1" applyBorder="1" applyAlignment="1">
      <alignment vertic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173" fontId="46" fillId="0" borderId="87" xfId="0" applyNumberFormat="1" applyFont="1" applyBorder="1"/>
    <xf numFmtId="0" fontId="46" fillId="0" borderId="69" xfId="0" applyFont="1" applyBorder="1"/>
    <xf numFmtId="0" fontId="0" fillId="0" borderId="0" xfId="0" applyFill="1" applyBorder="1"/>
    <xf numFmtId="0" fontId="46" fillId="0" borderId="0" xfId="0" applyFont="1" applyFill="1" applyBorder="1"/>
    <xf numFmtId="0" fontId="46" fillId="0" borderId="0" xfId="0" applyFont="1" applyBorder="1"/>
    <xf numFmtId="0" fontId="0" fillId="0" borderId="0" xfId="0" applyBorder="1"/>
    <xf numFmtId="165" fontId="0" fillId="0" borderId="70" xfId="0" applyNumberFormat="1" applyBorder="1" applyAlignment="1">
      <alignment vertic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28" fillId="24" borderId="86" xfId="0" applyFont="1" applyFill="1" applyBorder="1" applyAlignment="1" applyProtection="1">
      <alignment horizontal="center"/>
      <protection locked="0"/>
    </xf>
    <xf numFmtId="0" fontId="28" fillId="24" borderId="88" xfId="0" quotePrefix="1" applyFont="1" applyFill="1" applyBorder="1" applyAlignment="1" applyProtection="1">
      <alignment wrapText="1"/>
      <protection locked="0"/>
    </xf>
    <xf numFmtId="165" fontId="28" fillId="24" borderId="25" xfId="28" applyFont="1" applyFill="1" applyBorder="1" applyAlignment="1" applyProtection="1">
      <alignment horizontal="center"/>
      <protection locked="0"/>
    </xf>
    <xf numFmtId="165" fontId="28" fillId="24" borderId="17" xfId="0" applyNumberFormat="1" applyFont="1" applyFill="1" applyBorder="1" applyAlignment="1" applyProtection="1">
      <alignment horizontal="center"/>
      <protection locked="0"/>
    </xf>
    <xf numFmtId="0" fontId="28" fillId="24" borderId="17" xfId="0" quotePrefix="1" applyFont="1" applyFill="1" applyBorder="1" applyAlignment="1" applyProtection="1">
      <alignment wrapText="1"/>
      <protection locked="0"/>
    </xf>
    <xf numFmtId="0" fontId="28" fillId="24" borderId="15" xfId="0" applyFont="1" applyFill="1" applyBorder="1" applyAlignment="1" applyProtection="1">
      <alignment horizontal="center"/>
      <protection locked="0"/>
    </xf>
    <xf numFmtId="0" fontId="28" fillId="24" borderId="41" xfId="0" quotePrefix="1" applyFont="1" applyFill="1" applyBorder="1" applyAlignment="1" applyProtection="1">
      <alignment wrapText="1"/>
      <protection locked="0"/>
    </xf>
    <xf numFmtId="0" fontId="46" fillId="27" borderId="0" xfId="0" applyFont="1" applyFill="1" applyAlignment="1">
      <alignment horizontal="center"/>
    </xf>
    <xf numFmtId="0" fontId="46" fillId="27" borderId="0" xfId="0" applyFont="1" applyFill="1" applyAlignment="1">
      <alignment horizontal="center"/>
    </xf>
    <xf numFmtId="0" fontId="58" fillId="24" borderId="15" xfId="0" applyFont="1" applyFill="1" applyBorder="1"/>
    <xf numFmtId="0" fontId="58" fillId="24" borderId="21" xfId="0" applyFont="1" applyFill="1" applyBorder="1"/>
    <xf numFmtId="0" fontId="46" fillId="27" borderId="0" xfId="0" applyFont="1" applyFill="1" applyAlignment="1">
      <alignment horizontal="center"/>
    </xf>
    <xf numFmtId="0" fontId="54" fillId="0" borderId="17" xfId="0" applyFont="1" applyBorder="1" applyAlignment="1">
      <alignment horizontal="left" vertic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173" fontId="46" fillId="0" borderId="67" xfId="0" applyNumberFormat="1" applyFont="1" applyBorder="1"/>
    <xf numFmtId="0" fontId="0" fillId="0" borderId="45" xfId="0" applyFill="1" applyBorder="1"/>
    <xf numFmtId="0" fontId="46" fillId="0" borderId="45" xfId="0" applyFont="1" applyFill="1" applyBorder="1"/>
    <xf numFmtId="165" fontId="0" fillId="0" borderId="45" xfId="0" applyNumberFormat="1" applyBorder="1" applyAlignment="1">
      <alignment vertical="center"/>
    </xf>
    <xf numFmtId="2" fontId="0" fillId="0" borderId="67" xfId="0" applyNumberFormat="1" applyBorder="1" applyAlignment="1">
      <alignment vertical="center"/>
    </xf>
    <xf numFmtId="0" fontId="46" fillId="32" borderId="0" xfId="0" applyFont="1" applyFill="1" applyAlignment="1">
      <alignment horizontal="center"/>
    </xf>
    <xf numFmtId="0" fontId="0" fillId="32" borderId="0" xfId="0" applyFill="1" applyAlignment="1">
      <alignment horizontal="center"/>
    </xf>
    <xf numFmtId="0" fontId="0" fillId="0" borderId="0" xfId="0" applyAlignment="1">
      <alignment horizontal="center" vertical="center"/>
    </xf>
    <xf numFmtId="0" fontId="39" fillId="0" borderId="11" xfId="0" applyFont="1" applyBorder="1" applyAlignment="1">
      <alignment horizontal="center" vertical="center" wrapText="1"/>
    </xf>
    <xf numFmtId="171" fontId="39" fillId="0" borderId="11" xfId="0" applyNumberFormat="1" applyFont="1" applyBorder="1" applyAlignment="1">
      <alignment horizontal="center" vertical="center" wrapText="1"/>
    </xf>
    <xf numFmtId="0" fontId="39" fillId="27" borderId="58" xfId="0" applyFont="1" applyFill="1" applyBorder="1" applyAlignment="1">
      <alignment horizontal="center" vertical="center" wrapText="1"/>
    </xf>
    <xf numFmtId="0" fontId="39" fillId="27" borderId="31" xfId="0" applyFont="1" applyFill="1" applyBorder="1" applyAlignment="1">
      <alignment horizontal="center" vertical="center" wrapText="1"/>
    </xf>
    <xf numFmtId="0" fontId="39" fillId="27" borderId="28" xfId="0" applyFont="1" applyFill="1" applyBorder="1" applyAlignment="1">
      <alignment horizontal="center" vertical="center" wrapText="1"/>
    </xf>
    <xf numFmtId="0" fontId="39" fillId="27" borderId="60" xfId="0" applyFont="1" applyFill="1" applyBorder="1" applyAlignment="1">
      <alignment horizontal="center" vertical="center" wrapText="1"/>
    </xf>
    <xf numFmtId="168" fontId="39" fillId="0" borderId="11" xfId="0" applyNumberFormat="1" applyFont="1" applyBorder="1" applyAlignment="1">
      <alignment horizontal="center" vertical="center" wrapText="1"/>
    </xf>
    <xf numFmtId="2" fontId="39" fillId="0" borderId="11" xfId="0" applyNumberFormat="1" applyFont="1" applyBorder="1" applyAlignment="1">
      <alignment horizontal="center" vertical="center" wrapText="1"/>
    </xf>
    <xf numFmtId="4" fontId="39" fillId="0" borderId="11" xfId="0" applyNumberFormat="1" applyFont="1" applyBorder="1" applyAlignment="1">
      <alignment horizontal="center" vertical="center" wrapText="1"/>
    </xf>
    <xf numFmtId="0" fontId="46" fillId="36" borderId="0" xfId="0" applyFont="1" applyFill="1" applyAlignment="1">
      <alignment horizontal="center"/>
    </xf>
    <xf numFmtId="0" fontId="0" fillId="36" borderId="0" xfId="0" applyFill="1" applyAlignment="1">
      <alignment horizontal="center"/>
    </xf>
    <xf numFmtId="0" fontId="46" fillId="37" borderId="0" xfId="0" applyFont="1" applyFill="1" applyAlignment="1">
      <alignment horizontal="center"/>
    </xf>
    <xf numFmtId="0" fontId="0" fillId="37" borderId="0" xfId="0" applyFill="1" applyAlignment="1">
      <alignment horizontal="center"/>
    </xf>
    <xf numFmtId="0" fontId="46" fillId="27" borderId="0" xfId="0" applyFont="1" applyFill="1" applyAlignment="1">
      <alignment horizontal="center"/>
    </xf>
    <xf numFmtId="169" fontId="36" fillId="0" borderId="0" xfId="0" applyNumberFormat="1" applyFont="1" applyAlignment="1">
      <alignment horizontal="center" vertical="center"/>
    </xf>
    <xf numFmtId="0" fontId="39" fillId="0" borderId="71" xfId="0" applyFont="1" applyBorder="1" applyAlignment="1">
      <alignment horizontal="center" vertical="center" wrapText="1"/>
    </xf>
    <xf numFmtId="0" fontId="39" fillId="0" borderId="72" xfId="0" applyFont="1" applyBorder="1" applyAlignment="1">
      <alignment horizontal="center" vertical="center" wrapText="1"/>
    </xf>
    <xf numFmtId="0" fontId="39" fillId="0" borderId="73" xfId="0" applyFont="1" applyBorder="1" applyAlignment="1">
      <alignment horizontal="center" vertical="center" wrapText="1"/>
    </xf>
    <xf numFmtId="169" fontId="36" fillId="0" borderId="0" xfId="0" applyNumberFormat="1" applyFont="1" applyAlignment="1">
      <alignment horizontal="center" vertical="justify" wrapText="1"/>
    </xf>
    <xf numFmtId="167" fontId="34" fillId="0" borderId="20" xfId="28" applyNumberFormat="1" applyFont="1" applyFill="1" applyBorder="1" applyAlignment="1" applyProtection="1">
      <alignment horizontal="center"/>
    </xf>
    <xf numFmtId="167" fontId="34" fillId="27" borderId="58" xfId="28" applyNumberFormat="1" applyFont="1" applyFill="1" applyBorder="1" applyAlignment="1" applyProtection="1">
      <alignment horizontal="center"/>
    </xf>
    <xf numFmtId="167" fontId="34" fillId="27" borderId="59" xfId="28" applyNumberFormat="1" applyFont="1" applyFill="1" applyBorder="1" applyAlignment="1" applyProtection="1">
      <alignment horizontal="center"/>
    </xf>
    <xf numFmtId="167" fontId="34" fillId="27" borderId="31" xfId="28" applyNumberFormat="1" applyFont="1" applyFill="1" applyBorder="1" applyAlignment="1" applyProtection="1">
      <alignment horizontal="center"/>
    </xf>
    <xf numFmtId="167" fontId="34" fillId="27" borderId="30" xfId="28" applyNumberFormat="1" applyFont="1" applyFill="1" applyBorder="1" applyAlignment="1" applyProtection="1">
      <alignment horizontal="center"/>
    </xf>
    <xf numFmtId="167" fontId="34" fillId="27" borderId="61" xfId="28" applyNumberFormat="1" applyFont="1" applyFill="1" applyBorder="1" applyAlignment="1" applyProtection="1">
      <alignment horizontal="center"/>
    </xf>
    <xf numFmtId="167" fontId="34" fillId="27" borderId="16" xfId="28" applyNumberFormat="1" applyFont="1" applyFill="1" applyBorder="1" applyAlignment="1" applyProtection="1">
      <alignment horizontal="center"/>
    </xf>
    <xf numFmtId="0" fontId="41" fillId="4" borderId="14" xfId="0" applyFont="1" applyFill="1" applyBorder="1" applyAlignment="1">
      <alignment horizontal="center" vertical="center"/>
    </xf>
    <xf numFmtId="0" fontId="41" fillId="4" borderId="62" xfId="0" applyFont="1" applyFill="1" applyBorder="1" applyAlignment="1">
      <alignment horizontal="center" vertical="center"/>
    </xf>
    <xf numFmtId="0" fontId="41" fillId="4" borderId="17" xfId="0" applyFont="1" applyFill="1" applyBorder="1" applyAlignment="1">
      <alignment horizontal="center" vertical="center"/>
    </xf>
    <xf numFmtId="0" fontId="34" fillId="4" borderId="14" xfId="0" applyFont="1" applyFill="1" applyBorder="1" applyAlignment="1">
      <alignment horizontal="center" vertical="center" wrapText="1"/>
    </xf>
    <xf numFmtId="0" fontId="34" fillId="4" borderId="62" xfId="0" applyFont="1" applyFill="1" applyBorder="1" applyAlignment="1">
      <alignment horizontal="center" vertical="center" wrapText="1"/>
    </xf>
    <xf numFmtId="0" fontId="34" fillId="4" borderId="17" xfId="0" applyFont="1" applyFill="1" applyBorder="1" applyAlignment="1">
      <alignment horizontal="center" vertical="center" wrapText="1"/>
    </xf>
    <xf numFmtId="167" fontId="34" fillId="30" borderId="13" xfId="28" applyNumberFormat="1" applyFont="1" applyFill="1" applyBorder="1" applyAlignment="1" applyProtection="1">
      <alignment horizontal="center"/>
    </xf>
    <xf numFmtId="167" fontId="34" fillId="30" borderId="20" xfId="28" applyNumberFormat="1" applyFont="1" applyFill="1" applyBorder="1" applyAlignment="1" applyProtection="1">
      <alignment horizontal="center"/>
    </xf>
    <xf numFmtId="167" fontId="34" fillId="30" borderId="19" xfId="28" applyNumberFormat="1" applyFont="1" applyFill="1" applyBorder="1" applyAlignment="1" applyProtection="1">
      <alignment horizontal="center"/>
    </xf>
    <xf numFmtId="167" fontId="34" fillId="31" borderId="13" xfId="28" applyNumberFormat="1" applyFont="1" applyFill="1" applyBorder="1" applyAlignment="1" applyProtection="1">
      <alignment horizontal="center"/>
    </xf>
    <xf numFmtId="167" fontId="34" fillId="31" borderId="20" xfId="28" applyNumberFormat="1" applyFont="1" applyFill="1" applyBorder="1" applyAlignment="1" applyProtection="1">
      <alignment horizontal="center"/>
    </xf>
    <xf numFmtId="167" fontId="34" fillId="31" borderId="19" xfId="28" applyNumberFormat="1" applyFont="1" applyFill="1" applyBorder="1" applyAlignment="1" applyProtection="1">
      <alignment horizontal="center"/>
    </xf>
    <xf numFmtId="167" fontId="34" fillId="32" borderId="13" xfId="28" applyNumberFormat="1" applyFont="1" applyFill="1" applyBorder="1" applyAlignment="1" applyProtection="1">
      <alignment horizontal="center"/>
    </xf>
    <xf numFmtId="167" fontId="34" fillId="32" borderId="20" xfId="28" applyNumberFormat="1" applyFont="1" applyFill="1" applyBorder="1" applyAlignment="1" applyProtection="1">
      <alignment horizontal="center"/>
    </xf>
    <xf numFmtId="167" fontId="34" fillId="32" borderId="19" xfId="28" applyNumberFormat="1" applyFont="1" applyFill="1" applyBorder="1" applyAlignment="1" applyProtection="1">
      <alignment horizontal="center"/>
    </xf>
    <xf numFmtId="178" fontId="44" fillId="40" borderId="86" xfId="60" applyNumberFormat="1" applyFont="1" applyFill="1" applyBorder="1" applyAlignment="1">
      <alignment horizontal="center" vertical="center" wrapText="1"/>
    </xf>
    <xf numFmtId="178" fontId="44" fillId="40" borderId="62" xfId="60" applyNumberFormat="1" applyFont="1" applyFill="1" applyBorder="1" applyAlignment="1">
      <alignment horizontal="center" vertical="center" wrapText="1"/>
    </xf>
    <xf numFmtId="178" fontId="44" fillId="40" borderId="17" xfId="60" applyNumberFormat="1" applyFont="1" applyFill="1" applyBorder="1" applyAlignment="1">
      <alignment horizontal="center" vertical="center" wrapText="1"/>
    </xf>
    <xf numFmtId="178" fontId="44" fillId="26" borderId="86" xfId="60" applyNumberFormat="1" applyFont="1" applyFill="1" applyBorder="1" applyAlignment="1">
      <alignment horizontal="center" vertical="center" wrapText="1"/>
    </xf>
    <xf numFmtId="178" fontId="44" fillId="26" borderId="62" xfId="60" applyNumberFormat="1" applyFont="1" applyFill="1" applyBorder="1" applyAlignment="1">
      <alignment horizontal="center" vertical="center" wrapText="1"/>
    </xf>
    <xf numFmtId="178" fontId="44" fillId="26" borderId="17" xfId="60" applyNumberFormat="1" applyFont="1" applyFill="1" applyBorder="1" applyAlignment="1">
      <alignment horizontal="center" vertical="center" wrapText="1"/>
    </xf>
    <xf numFmtId="0" fontId="44" fillId="0" borderId="11" xfId="0" applyFont="1" applyBorder="1" applyAlignment="1">
      <alignment horizontal="center" vertical="center" wrapText="1"/>
    </xf>
    <xf numFmtId="0" fontId="44" fillId="0" borderId="86" xfId="0" applyFont="1" applyBorder="1" applyAlignment="1">
      <alignment horizontal="center" vertical="center" wrapText="1"/>
    </xf>
    <xf numFmtId="178" fontId="44" fillId="25" borderId="14" xfId="29" applyNumberFormat="1" applyFont="1" applyFill="1" applyBorder="1" applyAlignment="1">
      <alignment horizontal="center" vertical="center" wrapText="1"/>
    </xf>
    <xf numFmtId="178" fontId="44" fillId="25" borderId="62" xfId="29" applyNumberFormat="1" applyFont="1" applyFill="1" applyBorder="1" applyAlignment="1">
      <alignment horizontal="center" vertical="center" wrapText="1"/>
    </xf>
    <xf numFmtId="0" fontId="44" fillId="0" borderId="14" xfId="0" applyFont="1" applyBorder="1" applyAlignment="1">
      <alignment horizontal="center" vertical="center" wrapText="1"/>
    </xf>
    <xf numFmtId="0" fontId="44" fillId="0" borderId="62" xfId="0" applyFont="1" applyBorder="1" applyAlignment="1">
      <alignment horizontal="center" vertical="center" wrapText="1"/>
    </xf>
    <xf numFmtId="178" fontId="44" fillId="0" borderId="13" xfId="29" applyNumberFormat="1" applyFont="1" applyFill="1" applyBorder="1" applyAlignment="1">
      <alignment horizontal="center" vertical="center" wrapText="1"/>
    </xf>
    <xf numFmtId="178" fontId="44" fillId="0" borderId="20" xfId="29" applyNumberFormat="1" applyFont="1" applyFill="1" applyBorder="1" applyAlignment="1">
      <alignment horizontal="center" vertical="center" wrapText="1"/>
    </xf>
    <xf numFmtId="178" fontId="44" fillId="0" borderId="19" xfId="29" applyNumberFormat="1" applyFont="1" applyFill="1" applyBorder="1" applyAlignment="1">
      <alignment horizontal="center" vertical="center" wrapText="1"/>
    </xf>
    <xf numFmtId="166" fontId="44" fillId="25" borderId="14" xfId="50" applyNumberFormat="1" applyFont="1" applyFill="1" applyBorder="1" applyAlignment="1">
      <alignment horizontal="center" vertical="center" wrapText="1"/>
    </xf>
    <xf numFmtId="166" fontId="44" fillId="25" borderId="62" xfId="50" applyNumberFormat="1" applyFont="1" applyFill="1" applyBorder="1" applyAlignment="1">
      <alignment horizontal="center" vertical="center" wrapText="1"/>
    </xf>
    <xf numFmtId="166" fontId="44" fillId="25" borderId="17" xfId="50" applyNumberFormat="1" applyFont="1" applyFill="1" applyBorder="1" applyAlignment="1">
      <alignment horizontal="center" vertical="center" wrapText="1"/>
    </xf>
    <xf numFmtId="178" fontId="44" fillId="0" borderId="62" xfId="29" applyNumberFormat="1" applyFont="1" applyFill="1" applyBorder="1" applyAlignment="1">
      <alignment horizontal="center" vertical="center" wrapText="1"/>
    </xf>
    <xf numFmtId="178" fontId="44" fillId="0" borderId="17" xfId="29" applyNumberFormat="1" applyFont="1" applyFill="1" applyBorder="1" applyAlignment="1">
      <alignment horizontal="center" vertical="center" wrapText="1"/>
    </xf>
    <xf numFmtId="0" fontId="44" fillId="0" borderId="17" xfId="0" applyFont="1" applyBorder="1" applyAlignment="1">
      <alignment horizontal="center" vertical="center" wrapText="1"/>
    </xf>
    <xf numFmtId="178" fontId="44" fillId="0" borderId="11" xfId="29" applyNumberFormat="1" applyFont="1" applyFill="1" applyBorder="1" applyAlignment="1">
      <alignment horizontal="center" vertical="center" wrapText="1"/>
    </xf>
    <xf numFmtId="178" fontId="44" fillId="0" borderId="14" xfId="29" applyNumberFormat="1" applyFont="1" applyFill="1" applyBorder="1" applyAlignment="1">
      <alignment horizontal="center" vertical="center" wrapText="1"/>
    </xf>
    <xf numFmtId="164" fontId="44" fillId="0" borderId="58" xfId="29" applyFont="1" applyFill="1" applyBorder="1" applyAlignment="1">
      <alignment horizontal="center" vertical="center"/>
    </xf>
    <xf numFmtId="164" fontId="44" fillId="0" borderId="59" xfId="29" applyFont="1" applyFill="1" applyBorder="1" applyAlignment="1">
      <alignment horizontal="center" vertical="center"/>
    </xf>
    <xf numFmtId="164" fontId="44" fillId="0" borderId="31" xfId="29" applyFont="1" applyFill="1" applyBorder="1" applyAlignment="1">
      <alignment horizontal="center" vertical="center"/>
    </xf>
    <xf numFmtId="164" fontId="44" fillId="0" borderId="30" xfId="29" applyFont="1" applyFill="1" applyBorder="1" applyAlignment="1">
      <alignment horizontal="center" vertical="center"/>
    </xf>
    <xf numFmtId="164" fontId="44" fillId="0" borderId="61" xfId="29" applyFont="1" applyFill="1" applyBorder="1" applyAlignment="1">
      <alignment horizontal="center" vertical="center"/>
    </xf>
    <xf numFmtId="164" fontId="44" fillId="0" borderId="16" xfId="29" applyFont="1" applyFill="1" applyBorder="1" applyAlignment="1">
      <alignment horizontal="center" vertical="center"/>
    </xf>
    <xf numFmtId="177" fontId="44" fillId="0" borderId="58" xfId="0" applyNumberFormat="1" applyFont="1" applyBorder="1" applyAlignment="1">
      <alignment horizontal="center" vertical="center"/>
    </xf>
    <xf numFmtId="177" fontId="44" fillId="0" borderId="59" xfId="0" applyNumberFormat="1" applyFont="1" applyBorder="1" applyAlignment="1">
      <alignment horizontal="center" vertical="center"/>
    </xf>
    <xf numFmtId="0" fontId="44" fillId="0" borderId="31" xfId="0" applyFont="1" applyBorder="1" applyAlignment="1">
      <alignment horizontal="center" vertical="center"/>
    </xf>
    <xf numFmtId="177" fontId="44" fillId="0" borderId="30" xfId="0" applyNumberFormat="1" applyFont="1" applyBorder="1" applyAlignment="1">
      <alignment horizontal="center" vertical="center"/>
    </xf>
    <xf numFmtId="177" fontId="44" fillId="0" borderId="61" xfId="0" applyNumberFormat="1" applyFont="1" applyBorder="1" applyAlignment="1">
      <alignment horizontal="center" vertical="center"/>
    </xf>
    <xf numFmtId="0" fontId="44" fillId="0" borderId="16" xfId="0" applyFont="1" applyBorder="1" applyAlignment="1">
      <alignment horizontal="center" vertical="center"/>
    </xf>
    <xf numFmtId="164" fontId="44" fillId="0" borderId="14" xfId="29" applyFont="1" applyFill="1" applyBorder="1" applyAlignment="1">
      <alignment horizontal="center" vertical="center" wrapText="1"/>
    </xf>
    <xf numFmtId="164" fontId="44" fillId="0" borderId="62" xfId="29" applyFont="1" applyFill="1" applyBorder="1" applyAlignment="1">
      <alignment horizontal="center" vertical="center" wrapText="1"/>
    </xf>
    <xf numFmtId="178" fontId="44" fillId="26" borderId="14" xfId="29" applyNumberFormat="1" applyFont="1" applyFill="1" applyBorder="1" applyAlignment="1">
      <alignment horizontal="center" vertical="center" wrapText="1"/>
    </xf>
    <xf numFmtId="178" fontId="44" fillId="26" borderId="62" xfId="29" applyNumberFormat="1" applyFont="1" applyFill="1" applyBorder="1" applyAlignment="1">
      <alignment horizontal="center" vertical="center" wrapText="1"/>
    </xf>
    <xf numFmtId="178" fontId="44" fillId="26" borderId="17" xfId="29" applyNumberFormat="1" applyFont="1" applyFill="1" applyBorder="1" applyAlignment="1">
      <alignment horizontal="center" vertical="center" wrapText="1"/>
    </xf>
    <xf numFmtId="178" fontId="44" fillId="0" borderId="13" xfId="29" applyNumberFormat="1" applyFont="1" applyFill="1" applyBorder="1" applyAlignment="1">
      <alignment horizontal="right"/>
    </xf>
    <xf numFmtId="178" fontId="44" fillId="0" borderId="19" xfId="29" applyNumberFormat="1" applyFont="1" applyFill="1" applyBorder="1" applyAlignment="1">
      <alignment horizontal="right"/>
    </xf>
    <xf numFmtId="178" fontId="44" fillId="25" borderId="11" xfId="29" applyNumberFormat="1" applyFont="1" applyFill="1" applyBorder="1" applyAlignment="1">
      <alignment horizontal="center" vertical="center" wrapText="1"/>
    </xf>
    <xf numFmtId="178" fontId="44" fillId="4" borderId="58" xfId="29" applyNumberFormat="1" applyFont="1" applyFill="1" applyBorder="1" applyAlignment="1">
      <alignment horizontal="center" vertical="center" wrapText="1"/>
    </xf>
    <xf numFmtId="178" fontId="44" fillId="4" borderId="31" xfId="29" applyNumberFormat="1" applyFont="1" applyFill="1" applyBorder="1" applyAlignment="1">
      <alignment horizontal="center" vertical="center" wrapText="1"/>
    </xf>
    <xf numFmtId="178" fontId="44" fillId="4" borderId="30" xfId="29" applyNumberFormat="1" applyFont="1" applyFill="1" applyBorder="1" applyAlignment="1">
      <alignment horizontal="center" vertical="center" wrapText="1"/>
    </xf>
    <xf numFmtId="178" fontId="44" fillId="4" borderId="16" xfId="29" applyNumberFormat="1" applyFont="1" applyFill="1" applyBorder="1" applyAlignment="1">
      <alignment horizontal="center" vertical="center" wrapText="1"/>
    </xf>
    <xf numFmtId="178" fontId="44" fillId="22" borderId="14" xfId="29" applyNumberFormat="1" applyFont="1" applyFill="1" applyBorder="1" applyAlignment="1">
      <alignment horizontal="center" vertical="center" wrapText="1"/>
    </xf>
    <xf numFmtId="178" fontId="44" fillId="22" borderId="62" xfId="29" applyNumberFormat="1" applyFont="1" applyFill="1" applyBorder="1" applyAlignment="1">
      <alignment horizontal="center" vertical="center" wrapText="1"/>
    </xf>
    <xf numFmtId="178" fontId="44" fillId="22" borderId="17" xfId="29" applyNumberFormat="1" applyFont="1" applyFill="1" applyBorder="1" applyAlignment="1">
      <alignment horizontal="center" vertical="center" wrapText="1"/>
    </xf>
    <xf numFmtId="0" fontId="51" fillId="22" borderId="11" xfId="0" applyFont="1" applyFill="1" applyBorder="1" applyAlignment="1">
      <alignment horizontal="center"/>
    </xf>
    <xf numFmtId="178" fontId="44" fillId="40" borderId="58" xfId="60" applyNumberFormat="1" applyFont="1" applyFill="1" applyBorder="1" applyAlignment="1">
      <alignment horizontal="center" vertical="center" wrapText="1"/>
    </xf>
    <xf numFmtId="178" fontId="44" fillId="40" borderId="31" xfId="60" applyNumberFormat="1" applyFont="1" applyFill="1" applyBorder="1" applyAlignment="1">
      <alignment horizontal="center" vertical="center" wrapText="1"/>
    </xf>
    <xf numFmtId="178" fontId="44" fillId="26" borderId="13" xfId="60" applyNumberFormat="1" applyFont="1" applyFill="1" applyBorder="1" applyAlignment="1">
      <alignment horizontal="center" vertical="center" wrapText="1"/>
    </xf>
    <xf numFmtId="178" fontId="44" fillId="26" borderId="19" xfId="60" applyNumberFormat="1" applyFont="1" applyFill="1" applyBorder="1" applyAlignment="1">
      <alignment horizontal="center" vertical="center" wrapText="1"/>
    </xf>
    <xf numFmtId="178" fontId="45" fillId="25" borderId="11" xfId="29" applyNumberFormat="1" applyFont="1" applyFill="1" applyBorder="1" applyAlignment="1">
      <alignment horizontal="center"/>
    </xf>
    <xf numFmtId="178" fontId="44" fillId="4" borderId="11" xfId="29" applyNumberFormat="1"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0" fillId="0" borderId="11" xfId="28" applyNumberFormat="1" applyFont="1" applyBorder="1" applyAlignment="1">
      <alignment horizontal="center" vertical="center"/>
    </xf>
    <xf numFmtId="0" fontId="29" fillId="0" borderId="44" xfId="41" applyFont="1" applyBorder="1" applyAlignment="1">
      <alignment horizontal="center" vertical="center"/>
    </xf>
    <xf numFmtId="0" fontId="29" fillId="0" borderId="75" xfId="41" applyFont="1" applyBorder="1" applyAlignment="1">
      <alignment horizontal="center" vertical="center"/>
    </xf>
    <xf numFmtId="0" fontId="29" fillId="0" borderId="46" xfId="41" applyFont="1" applyBorder="1" applyAlignment="1">
      <alignment horizontal="center" vertical="center"/>
    </xf>
    <xf numFmtId="0" fontId="29" fillId="0" borderId="54" xfId="41" applyFont="1" applyBorder="1" applyAlignment="1">
      <alignment horizontal="center" vertical="center"/>
    </xf>
    <xf numFmtId="0" fontId="29" fillId="0" borderId="62" xfId="41" applyFont="1" applyBorder="1" applyAlignment="1">
      <alignment horizontal="center" vertical="center"/>
    </xf>
    <xf numFmtId="0" fontId="29" fillId="0" borderId="29" xfId="41" applyFont="1" applyBorder="1" applyAlignment="1">
      <alignment horizontal="center" vertical="center"/>
    </xf>
    <xf numFmtId="0" fontId="29" fillId="0" borderId="54" xfId="0" applyFont="1" applyBorder="1" applyAlignment="1">
      <alignment horizontal="center" vertical="center" wrapText="1"/>
    </xf>
    <xf numFmtId="0" fontId="29" fillId="0" borderId="62" xfId="0" applyFont="1" applyBorder="1" applyAlignment="1">
      <alignment horizontal="center" vertical="center" wrapText="1"/>
    </xf>
    <xf numFmtId="0" fontId="29" fillId="0" borderId="29" xfId="0" applyFont="1" applyBorder="1" applyAlignment="1">
      <alignment horizontal="center" vertical="center" wrapText="1"/>
    </xf>
    <xf numFmtId="0" fontId="29" fillId="11" borderId="54" xfId="41" applyFont="1" applyFill="1" applyBorder="1" applyAlignment="1">
      <alignment horizontal="center" vertical="center" wrapText="1"/>
    </xf>
    <xf numFmtId="0" fontId="29" fillId="11" borderId="62" xfId="41" applyFont="1" applyFill="1" applyBorder="1" applyAlignment="1">
      <alignment horizontal="center" vertical="center" wrapText="1"/>
    </xf>
    <xf numFmtId="0" fontId="29" fillId="11" borderId="29" xfId="41" applyFont="1" applyFill="1" applyBorder="1" applyAlignment="1">
      <alignment horizontal="center" vertical="center" wrapText="1"/>
    </xf>
    <xf numFmtId="2" fontId="29" fillId="0" borderId="13" xfId="28" applyNumberFormat="1" applyFont="1" applyBorder="1" applyAlignment="1">
      <alignment horizontal="center" vertical="center"/>
    </xf>
    <xf numFmtId="2" fontId="29" fillId="0" borderId="20" xfId="28" applyNumberFormat="1" applyFont="1" applyBorder="1" applyAlignment="1">
      <alignment horizontal="center" vertical="center"/>
    </xf>
    <xf numFmtId="2" fontId="29" fillId="0" borderId="19" xfId="28" applyNumberFormat="1" applyFont="1" applyBorder="1" applyAlignment="1">
      <alignment horizontal="center" vertical="center"/>
    </xf>
    <xf numFmtId="2" fontId="29" fillId="0" borderId="30" xfId="28" applyNumberFormat="1" applyFont="1" applyBorder="1" applyAlignment="1">
      <alignment horizontal="center" vertical="center"/>
    </xf>
    <xf numFmtId="2" fontId="29" fillId="0" borderId="61" xfId="28" applyNumberFormat="1" applyFont="1" applyBorder="1" applyAlignment="1">
      <alignment horizontal="center" vertical="center"/>
    </xf>
    <xf numFmtId="2" fontId="29" fillId="0" borderId="16" xfId="28" applyNumberFormat="1" applyFont="1" applyBorder="1" applyAlignment="1">
      <alignment horizontal="center" vertical="center"/>
    </xf>
    <xf numFmtId="2" fontId="29" fillId="0" borderId="11" xfId="28" applyNumberFormat="1" applyFont="1" applyBorder="1" applyAlignment="1">
      <alignment horizontal="center" vertical="center"/>
    </xf>
    <xf numFmtId="0" fontId="29" fillId="0" borderId="77" xfId="41" applyFont="1" applyBorder="1" applyAlignment="1">
      <alignment horizontal="center"/>
    </xf>
    <xf numFmtId="0" fontId="29" fillId="0" borderId="78" xfId="41" applyFont="1" applyBorder="1" applyAlignment="1">
      <alignment horizontal="center"/>
    </xf>
    <xf numFmtId="0" fontId="29" fillId="0" borderId="22" xfId="41" applyFont="1" applyBorder="1" applyAlignment="1">
      <alignment horizontal="center"/>
    </xf>
    <xf numFmtId="10" fontId="58" fillId="27" borderId="11" xfId="0" applyNumberFormat="1" applyFont="1" applyFill="1" applyBorder="1" applyAlignment="1">
      <alignment horizontal="center" vertical="center"/>
    </xf>
    <xf numFmtId="0" fontId="58" fillId="27" borderId="11" xfId="0" applyFont="1" applyFill="1" applyBorder="1" applyAlignment="1">
      <alignment horizontal="center" vertical="center"/>
    </xf>
    <xf numFmtId="0" fontId="29" fillId="0" borderId="79" xfId="0" applyFont="1" applyBorder="1" applyAlignment="1">
      <alignment horizontal="center" vertical="center" wrapText="1"/>
    </xf>
    <xf numFmtId="0" fontId="29" fillId="0" borderId="80" xfId="0" applyFont="1" applyBorder="1" applyAlignment="1">
      <alignment horizontal="center" vertical="center" wrapText="1"/>
    </xf>
    <xf numFmtId="0" fontId="29" fillId="0" borderId="81" xfId="0" applyFont="1" applyBorder="1" applyAlignment="1">
      <alignment horizontal="center" vertical="center" wrapText="1"/>
    </xf>
    <xf numFmtId="0" fontId="54" fillId="27" borderId="11" xfId="0" applyFont="1" applyFill="1" applyBorder="1" applyAlignment="1">
      <alignment horizontal="center" vertical="top" wrapText="1"/>
    </xf>
    <xf numFmtId="0" fontId="54" fillId="27" borderId="11" xfId="0" applyFont="1" applyFill="1" applyBorder="1" applyAlignment="1">
      <alignment horizontal="center" vertical="center"/>
    </xf>
    <xf numFmtId="0" fontId="54" fillId="27" borderId="86" xfId="0" applyFont="1" applyFill="1" applyBorder="1" applyAlignment="1">
      <alignment horizontal="center" vertical="center" wrapText="1"/>
    </xf>
    <xf numFmtId="0" fontId="54" fillId="27" borderId="17" xfId="0" applyFont="1" applyFill="1" applyBorder="1" applyAlignment="1">
      <alignment horizontal="center" vertical="center" wrapText="1"/>
    </xf>
    <xf numFmtId="0" fontId="54" fillId="0" borderId="86" xfId="0" applyFont="1" applyBorder="1" applyAlignment="1">
      <alignment horizontal="left" vertical="center"/>
    </xf>
    <xf numFmtId="0" fontId="54" fillId="0" borderId="17" xfId="0" applyFont="1" applyBorder="1" applyAlignment="1">
      <alignment horizontal="left" vertical="center"/>
    </xf>
    <xf numFmtId="10" fontId="54" fillId="0" borderId="86" xfId="0" applyNumberFormat="1" applyFont="1" applyBorder="1" applyAlignment="1">
      <alignment horizontal="center" vertical="center"/>
    </xf>
    <xf numFmtId="10" fontId="54" fillId="0" borderId="62" xfId="0" applyNumberFormat="1" applyFont="1" applyBorder="1" applyAlignment="1">
      <alignment horizontal="center" vertical="center"/>
    </xf>
    <xf numFmtId="10" fontId="54" fillId="0" borderId="17" xfId="0" applyNumberFormat="1" applyFont="1" applyBorder="1" applyAlignment="1">
      <alignment horizontal="center" vertical="center"/>
    </xf>
    <xf numFmtId="0" fontId="54" fillId="0" borderId="86" xfId="0" applyFont="1" applyBorder="1" applyAlignment="1">
      <alignment horizontal="center" vertical="center"/>
    </xf>
    <xf numFmtId="0" fontId="54" fillId="0" borderId="62" xfId="0" applyFont="1" applyBorder="1" applyAlignment="1">
      <alignment horizontal="center" vertical="center"/>
    </xf>
    <xf numFmtId="0" fontId="54" fillId="0" borderId="17" xfId="0" applyFont="1" applyBorder="1" applyAlignment="1">
      <alignment horizontal="center" vertical="center"/>
    </xf>
    <xf numFmtId="10" fontId="56" fillId="0" borderId="11" xfId="0" applyNumberFormat="1" applyFont="1" applyBorder="1" applyAlignment="1">
      <alignment horizontal="center" vertical="center"/>
    </xf>
    <xf numFmtId="0" fontId="56" fillId="0" borderId="11" xfId="0" applyFont="1" applyBorder="1" applyAlignment="1">
      <alignment horizontal="center" vertical="center"/>
    </xf>
    <xf numFmtId="10" fontId="57" fillId="0" borderId="11" xfId="0" applyNumberFormat="1" applyFont="1" applyBorder="1" applyAlignment="1">
      <alignment horizontal="center" vertical="center"/>
    </xf>
    <xf numFmtId="0" fontId="54"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4" fillId="0" borderId="62" xfId="0" applyFont="1" applyBorder="1" applyAlignment="1">
      <alignment horizontal="left" vertical="center"/>
    </xf>
    <xf numFmtId="10" fontId="1" fillId="0" borderId="86" xfId="50" applyNumberFormat="1" applyFont="1" applyFill="1" applyBorder="1" applyAlignment="1">
      <alignment horizontal="center" vertical="center"/>
    </xf>
    <xf numFmtId="10" fontId="1" fillId="0" borderId="62"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4" fillId="0" borderId="11" xfId="0" applyFont="1" applyBorder="1" applyAlignment="1">
      <alignment horizontal="center" vertical="center"/>
    </xf>
    <xf numFmtId="0" fontId="54" fillId="27" borderId="11" xfId="0" applyFont="1" applyFill="1" applyBorder="1" applyAlignment="1">
      <alignment horizontal="center"/>
    </xf>
    <xf numFmtId="10" fontId="54" fillId="0" borderId="86" xfId="50" applyNumberFormat="1" applyFont="1" applyFill="1" applyBorder="1" applyAlignment="1">
      <alignment horizontal="center" vertical="center"/>
    </xf>
    <xf numFmtId="10" fontId="54" fillId="0" borderId="17" xfId="50" applyNumberFormat="1" applyFont="1" applyFill="1" applyBorder="1" applyAlignment="1">
      <alignment horizontal="center" vertical="center"/>
    </xf>
    <xf numFmtId="0" fontId="28" fillId="24" borderId="44" xfId="0" applyFont="1" applyFill="1" applyBorder="1" applyAlignment="1" applyProtection="1">
      <alignment horizontal="center" vertical="center" textRotation="180" wrapText="1"/>
      <protection locked="0"/>
    </xf>
    <xf numFmtId="0" fontId="46" fillId="0" borderId="75" xfId="0" applyFont="1" applyBorder="1" applyAlignment="1" applyProtection="1">
      <alignment horizontal="center" vertical="center" textRotation="180" wrapText="1"/>
      <protection locked="0"/>
    </xf>
    <xf numFmtId="0" fontId="46" fillId="0" borderId="46" xfId="0" applyFont="1" applyBorder="1" applyAlignment="1" applyProtection="1">
      <alignment horizontal="center" vertical="center" textRotation="180" wrapText="1"/>
      <protection locked="0"/>
    </xf>
    <xf numFmtId="0" fontId="28"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5"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28" fillId="24" borderId="69" xfId="0" applyFont="1" applyFill="1" applyBorder="1" applyAlignment="1">
      <alignment horizontal="center"/>
    </xf>
    <xf numFmtId="0" fontId="28" fillId="24" borderId="70" xfId="0" applyFont="1" applyFill="1" applyBorder="1" applyAlignment="1">
      <alignment horizontal="center"/>
    </xf>
    <xf numFmtId="0" fontId="28" fillId="24" borderId="35" xfId="0" applyFont="1" applyFill="1" applyBorder="1" applyAlignment="1">
      <alignment horizontal="center"/>
    </xf>
    <xf numFmtId="0" fontId="28" fillId="24" borderId="33" xfId="0" applyFont="1" applyFill="1" applyBorder="1" applyAlignment="1">
      <alignment horizontal="center"/>
    </xf>
    <xf numFmtId="0" fontId="28" fillId="24" borderId="76" xfId="0" applyFont="1" applyFill="1" applyBorder="1" applyAlignment="1">
      <alignment horizontal="center"/>
    </xf>
    <xf numFmtId="0" fontId="28" fillId="24" borderId="74" xfId="0" applyFont="1" applyFill="1" applyBorder="1" applyAlignment="1">
      <alignment horizontal="center"/>
    </xf>
    <xf numFmtId="0" fontId="28" fillId="24" borderId="27" xfId="0" applyFont="1" applyFill="1" applyBorder="1" applyAlignment="1">
      <alignment horizontal="center"/>
    </xf>
    <xf numFmtId="0" fontId="28" fillId="24" borderId="19" xfId="0" applyFont="1" applyFill="1" applyBorder="1" applyAlignment="1">
      <alignment horizontal="center"/>
    </xf>
    <xf numFmtId="0" fontId="28" fillId="24" borderId="77" xfId="0" applyFont="1" applyFill="1" applyBorder="1" applyAlignment="1">
      <alignment horizontal="center"/>
    </xf>
    <xf numFmtId="0" fontId="28" fillId="24" borderId="22" xfId="0" applyFont="1" applyFill="1" applyBorder="1" applyAlignment="1">
      <alignment horizontal="center"/>
    </xf>
    <xf numFmtId="0" fontId="24" fillId="24" borderId="77" xfId="0" applyFont="1" applyFill="1" applyBorder="1" applyAlignment="1">
      <alignment horizontal="center"/>
    </xf>
    <xf numFmtId="0" fontId="24" fillId="24" borderId="22" xfId="0" applyFont="1" applyFill="1" applyBorder="1" applyAlignment="1">
      <alignment horizontal="center"/>
    </xf>
    <xf numFmtId="0" fontId="47" fillId="24" borderId="27" xfId="0" applyFont="1" applyFill="1" applyBorder="1" applyAlignment="1">
      <alignment horizontal="center"/>
    </xf>
    <xf numFmtId="0" fontId="0" fillId="0" borderId="40" xfId="0" applyBorder="1" applyAlignment="1" applyProtection="1">
      <alignment horizontal="center" vertical="center" wrapText="1"/>
      <protection locked="0"/>
    </xf>
  </cellXfs>
  <cellStyles count="6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60"/>
    <cellStyle name="Comma 2" xfId="58"/>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5"/>
    <cellStyle name="Normal 5" xfId="57"/>
    <cellStyle name="Normal_April_3" xfId="43"/>
    <cellStyle name="Normal_DES 11_1" xfId="56"/>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 2" xfId="59"/>
    <cellStyle name="Percent_Okt_6" xfId="51"/>
    <cellStyle name="Title" xfId="52" builtinId="15" customBuiltin="1"/>
    <cellStyle name="Total" xfId="53" builtinId="25" customBuiltin="1"/>
    <cellStyle name="Warning Text" xfId="54" builtinId="11" customBuiltin="1"/>
  </cellStyles>
  <dxfs count="130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22.440999999999999</c:v>
                </c:pt>
                <c:pt idx="16">
                  <c:v>25.547000000000001</c:v>
                </c:pt>
                <c:pt idx="17">
                  <c:v>34.366999999999997</c:v>
                </c:pt>
                <c:pt idx="18">
                  <c:v>25.437000000000001</c:v>
                </c:pt>
                <c:pt idx="19">
                  <c:v>11.805</c:v>
                </c:pt>
                <c:pt idx="20">
                  <c:v>39.662999999999997</c:v>
                </c:pt>
                <c:pt idx="21">
                  <c:v>34.344999999999999</c:v>
                </c:pt>
                <c:pt idx="22">
                  <c:v>37.584000000000003</c:v>
                </c:pt>
                <c:pt idx="23">
                  <c:v>35.371000000000002</c:v>
                </c:pt>
                <c:pt idx="24">
                  <c:v>38.463000000000001</c:v>
                </c:pt>
                <c:pt idx="25">
                  <c:v>38.930999999999997</c:v>
                </c:pt>
                <c:pt idx="26">
                  <c:v>37.44</c:v>
                </c:pt>
                <c:pt idx="27">
                  <c:v>39.106999999999999</c:v>
                </c:pt>
                <c:pt idx="28">
                  <c:v>38.677</c:v>
                </c:pt>
                <c:pt idx="29">
                  <c:v>41.048999999999999</c:v>
                </c:pt>
                <c:pt idx="30">
                  <c:v>0</c:v>
                </c:pt>
              </c:numCache>
            </c:numRef>
          </c:val>
          <c:smooth val="0"/>
          <c:extLst xmlns:c16r2="http://schemas.microsoft.com/office/drawing/2015/06/chart">
            <c:ext xmlns:c16="http://schemas.microsoft.com/office/drawing/2014/chart" uri="{C3380CC4-5D6E-409C-BE32-E72D297353CC}">
              <c16:uniqueId val="{00000000-584D-4D4B-98D9-68728F9C0EDF}"/>
            </c:ext>
          </c:extLst>
        </c:ser>
        <c:dLbls>
          <c:showLegendKey val="0"/>
          <c:showVal val="0"/>
          <c:showCatName val="0"/>
          <c:showSerName val="0"/>
          <c:showPercent val="0"/>
          <c:showBubbleSize val="0"/>
        </c:dLbls>
        <c:marker val="1"/>
        <c:smooth val="0"/>
        <c:axId val="262005664"/>
        <c:axId val="262006048"/>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584D-4D4B-98D9-68728F9C0EDF}"/>
              </c:ext>
            </c:extLst>
          </c:dPt>
          <c:cat>
            <c:numRef>
              <c:f>[2]Report1!$A$9</c:f>
              <c:numCache>
                <c:formatCode>General</c:formatCode>
                <c:ptCount val="1"/>
                <c:pt idx="0">
                  <c:v>45444</c:v>
                </c:pt>
              </c:numCache>
            </c:numRef>
          </c:cat>
          <c:val>
            <c:numRef>
              <c:f>Report1!$J$9:$J$39</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0.52236410153560753</c:v>
                </c:pt>
                <c:pt idx="16">
                  <c:v>0.59466314789582309</c:v>
                </c:pt>
                <c:pt idx="17">
                  <c:v>0.80760888974803402</c:v>
                </c:pt>
                <c:pt idx="18">
                  <c:v>0.60527929400063352</c:v>
                </c:pt>
                <c:pt idx="19">
                  <c:v>0.25645272839111277</c:v>
                </c:pt>
                <c:pt idx="20">
                  <c:v>0.92279177112584931</c:v>
                </c:pt>
                <c:pt idx="21">
                  <c:v>0.83116241400620816</c:v>
                </c:pt>
                <c:pt idx="22">
                  <c:v>0.81768215916552578</c:v>
                </c:pt>
                <c:pt idx="23">
                  <c:v>0.72082169690597142</c:v>
                </c:pt>
                <c:pt idx="24">
                  <c:v>0.75741496713922296</c:v>
                </c:pt>
                <c:pt idx="25">
                  <c:v>0.7392249780886202</c:v>
                </c:pt>
                <c:pt idx="26">
                  <c:v>0.84598749520666394</c:v>
                </c:pt>
                <c:pt idx="27">
                  <c:v>0.88846416455897692</c:v>
                </c:pt>
                <c:pt idx="28">
                  <c:v>0.80833331055278401</c:v>
                </c:pt>
                <c:pt idx="29">
                  <c:v>0.83776073626843861</c:v>
                </c:pt>
                <c:pt idx="30">
                  <c:v>0</c:v>
                </c:pt>
              </c:numCache>
            </c:numRef>
          </c:val>
          <c:smooth val="0"/>
          <c:extLst xmlns:c16r2="http://schemas.microsoft.com/office/drawing/2015/06/chart">
            <c:ext xmlns:c16="http://schemas.microsoft.com/office/drawing/2014/chart" uri="{C3380CC4-5D6E-409C-BE32-E72D297353CC}">
              <c16:uniqueId val="{00000002-584D-4D4B-98D9-68728F9C0EDF}"/>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3.240951566510393E-2</c:v>
                </c:pt>
                <c:pt idx="16">
                  <c:v>6.5256008967164492E-2</c:v>
                </c:pt>
                <c:pt idx="17">
                  <c:v>0.1058636592717377</c:v>
                </c:pt>
                <c:pt idx="18">
                  <c:v>0.13146010408207578</c:v>
                </c:pt>
                <c:pt idx="19">
                  <c:v>0.13810409973045307</c:v>
                </c:pt>
                <c:pt idx="20">
                  <c:v>0.17520868642240017</c:v>
                </c:pt>
                <c:pt idx="21">
                  <c:v>0.2037315060733452</c:v>
                </c:pt>
                <c:pt idx="22">
                  <c:v>0.23205714549018236</c:v>
                </c:pt>
                <c:pt idx="23">
                  <c:v>0.25500098326897219</c:v>
                </c:pt>
                <c:pt idx="24">
                  <c:v>0.27827741261004524</c:v>
                </c:pt>
                <c:pt idx="25">
                  <c:v>0.29940914742404651</c:v>
                </c:pt>
                <c:pt idx="26">
                  <c:v>0.31968468085613555</c:v>
                </c:pt>
                <c:pt idx="27">
                  <c:v>0.33992288040243035</c:v>
                </c:pt>
                <c:pt idx="28">
                  <c:v>0.35736586749660282</c:v>
                </c:pt>
                <c:pt idx="29">
                  <c:v>0.37501240246787071</c:v>
                </c:pt>
                <c:pt idx="30">
                  <c:v>0.37501240246787071</c:v>
                </c:pt>
              </c:numCache>
            </c:numRef>
          </c:val>
          <c:smooth val="0"/>
          <c:extLst xmlns:c16r2="http://schemas.microsoft.com/office/drawing/2015/06/chart">
            <c:ext xmlns:c16="http://schemas.microsoft.com/office/drawing/2014/chart" uri="{C3380CC4-5D6E-409C-BE32-E72D297353CC}">
              <c16:uniqueId val="{00000003-584D-4D4B-98D9-68728F9C0EDF}"/>
            </c:ext>
          </c:extLst>
        </c:ser>
        <c:dLbls>
          <c:showLegendKey val="0"/>
          <c:showVal val="0"/>
          <c:showCatName val="0"/>
          <c:showSerName val="0"/>
          <c:showPercent val="0"/>
          <c:showBubbleSize val="0"/>
        </c:dLbls>
        <c:marker val="1"/>
        <c:smooth val="0"/>
        <c:axId val="262006816"/>
        <c:axId val="262006432"/>
      </c:lineChart>
      <c:catAx>
        <c:axId val="262005664"/>
        <c:scaling>
          <c:orientation val="minMax"/>
        </c:scaling>
        <c:delete val="0"/>
        <c:axPos val="b"/>
        <c:numFmt formatCode="General" sourceLinked="1"/>
        <c:majorTickMark val="out"/>
        <c:minorTickMark val="none"/>
        <c:tickLblPos val="nextTo"/>
        <c:crossAx val="262006048"/>
        <c:crosses val="autoZero"/>
        <c:auto val="1"/>
        <c:lblAlgn val="ctr"/>
        <c:lblOffset val="100"/>
        <c:noMultiLvlLbl val="0"/>
      </c:catAx>
      <c:valAx>
        <c:axId val="262006048"/>
        <c:scaling>
          <c:orientation val="minMax"/>
        </c:scaling>
        <c:delete val="0"/>
        <c:axPos val="l"/>
        <c:majorGridlines/>
        <c:numFmt formatCode="#,##0.00" sourceLinked="1"/>
        <c:majorTickMark val="out"/>
        <c:minorTickMark val="none"/>
        <c:tickLblPos val="nextTo"/>
        <c:crossAx val="262005664"/>
        <c:crosses val="autoZero"/>
        <c:crossBetween val="between"/>
      </c:valAx>
      <c:valAx>
        <c:axId val="262006432"/>
        <c:scaling>
          <c:orientation val="minMax"/>
        </c:scaling>
        <c:delete val="0"/>
        <c:axPos val="r"/>
        <c:numFmt formatCode="0.00%" sourceLinked="1"/>
        <c:majorTickMark val="out"/>
        <c:minorTickMark val="none"/>
        <c:tickLblPos val="nextTo"/>
        <c:crossAx val="262006816"/>
        <c:crosses val="max"/>
        <c:crossBetween val="between"/>
      </c:valAx>
      <c:catAx>
        <c:axId val="262006816"/>
        <c:scaling>
          <c:orientation val="minMax"/>
        </c:scaling>
        <c:delete val="1"/>
        <c:axPos val="b"/>
        <c:numFmt formatCode="General" sourceLinked="1"/>
        <c:majorTickMark val="out"/>
        <c:minorTickMark val="none"/>
        <c:tickLblPos val="none"/>
        <c:crossAx val="262006432"/>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17</xdr:col>
      <xdr:colOff>504824</xdr:colOff>
      <xdr:row>28</xdr:row>
      <xdr:rowOff>95249</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aporan%20Gas%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win7/Documents/PM%2014/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Feb"/>
      <sheetName val="Mar"/>
      <sheetName val="Apr"/>
      <sheetName val="Mei"/>
      <sheetName val="Jun"/>
      <sheetName val="Jul"/>
      <sheetName val="Aug"/>
      <sheetName val="Sept"/>
      <sheetName val="Okt"/>
      <sheetName val="Nov"/>
      <sheetName val="Des"/>
      <sheetName val="%error"/>
      <sheetName val="P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
          <cell r="N4">
            <v>8117</v>
          </cell>
        </row>
        <row r="5">
          <cell r="N5">
            <v>8682</v>
          </cell>
        </row>
        <row r="6">
          <cell r="N6">
            <v>9107</v>
          </cell>
        </row>
        <row r="7">
          <cell r="N7">
            <v>9873</v>
          </cell>
        </row>
        <row r="8">
          <cell r="N8">
            <v>6884</v>
          </cell>
        </row>
        <row r="9">
          <cell r="N9">
            <v>9530</v>
          </cell>
        </row>
        <row r="10">
          <cell r="N10">
            <v>9953</v>
          </cell>
        </row>
        <row r="11">
          <cell r="N11">
            <v>9996</v>
          </cell>
        </row>
        <row r="12">
          <cell r="N12">
            <v>8927</v>
          </cell>
        </row>
        <row r="13">
          <cell r="N13">
            <v>9851</v>
          </cell>
        </row>
        <row r="14">
          <cell r="N14">
            <v>9290</v>
          </cell>
        </row>
        <row r="15">
          <cell r="N15">
            <v>9193</v>
          </cell>
        </row>
        <row r="16">
          <cell r="N16">
            <v>7163</v>
          </cell>
        </row>
        <row r="17">
          <cell r="N17">
            <v>8270</v>
          </cell>
        </row>
        <row r="18">
          <cell r="N18">
            <v>9381</v>
          </cell>
        </row>
        <row r="19">
          <cell r="N19">
            <v>10217</v>
          </cell>
        </row>
        <row r="20">
          <cell r="N20">
            <v>12794</v>
          </cell>
        </row>
        <row r="21">
          <cell r="N21">
            <v>12970</v>
          </cell>
        </row>
        <row r="22">
          <cell r="N22">
            <v>10621</v>
          </cell>
        </row>
        <row r="23">
          <cell r="N23">
            <v>11374</v>
          </cell>
        </row>
        <row r="24">
          <cell r="N24">
            <v>13263</v>
          </cell>
        </row>
        <row r="25">
          <cell r="N25">
            <v>13873</v>
          </cell>
        </row>
        <row r="26">
          <cell r="N26">
            <v>12437</v>
          </cell>
        </row>
        <row r="27">
          <cell r="N27">
            <v>13901</v>
          </cell>
        </row>
        <row r="28">
          <cell r="N28">
            <v>13815</v>
          </cell>
        </row>
        <row r="29">
          <cell r="N29">
            <v>14000</v>
          </cell>
        </row>
        <row r="30">
          <cell r="N30">
            <v>12949</v>
          </cell>
        </row>
        <row r="31">
          <cell r="N31">
            <v>13596</v>
          </cell>
        </row>
        <row r="32">
          <cell r="N32">
            <v>12706</v>
          </cell>
        </row>
        <row r="33">
          <cell r="N33">
            <v>13453</v>
          </cell>
        </row>
      </sheetData>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 val="Des"/>
      <sheetName val="Daily 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7">
          <cell r="D7">
            <v>0</v>
          </cell>
          <cell r="AH7">
            <v>300.00000000109139</v>
          </cell>
          <cell r="AI7">
            <v>30.650000000363889</v>
          </cell>
          <cell r="AJ7">
            <v>1590.65</v>
          </cell>
        </row>
        <row r="8">
          <cell r="AH8">
            <v>199.99999999890861</v>
          </cell>
          <cell r="AI8">
            <v>2079.8899999989089</v>
          </cell>
          <cell r="AJ8">
            <v>5039.8900000000003</v>
          </cell>
        </row>
        <row r="9">
          <cell r="AH9">
            <v>300.00000000109139</v>
          </cell>
          <cell r="AI9">
            <v>73.54000000036379</v>
          </cell>
          <cell r="AJ9">
            <v>3133.54</v>
          </cell>
        </row>
        <row r="10">
          <cell r="AH10">
            <v>199.99999999890861</v>
          </cell>
          <cell r="AI10">
            <v>40.870000000363795</v>
          </cell>
          <cell r="AJ10">
            <v>3100.87</v>
          </cell>
        </row>
        <row r="11">
          <cell r="AH11">
            <v>200.0000000007276</v>
          </cell>
          <cell r="AI11">
            <v>632.27999999963617</v>
          </cell>
          <cell r="AJ11">
            <v>3892.2799999999997</v>
          </cell>
        </row>
        <row r="12">
          <cell r="AH12">
            <v>299.9999999992724</v>
          </cell>
          <cell r="AI12">
            <v>2194.8900000000003</v>
          </cell>
          <cell r="AJ12">
            <v>5354.89</v>
          </cell>
        </row>
        <row r="13">
          <cell r="AH13">
            <v>200.0000000007276</v>
          </cell>
          <cell r="AI13">
            <v>483.04999999999995</v>
          </cell>
          <cell r="AJ13">
            <v>2643.05</v>
          </cell>
        </row>
        <row r="14">
          <cell r="AH14">
            <v>299.9999999992724</v>
          </cell>
          <cell r="AI14">
            <v>1984.25</v>
          </cell>
          <cell r="AJ14">
            <v>5144.25</v>
          </cell>
        </row>
        <row r="15">
          <cell r="AH15">
            <v>200.0000000007276</v>
          </cell>
          <cell r="AI15">
            <v>1258.97</v>
          </cell>
          <cell r="AJ15">
            <v>4418.97</v>
          </cell>
        </row>
        <row r="16">
          <cell r="AH16">
            <v>199.99999999890861</v>
          </cell>
          <cell r="AI16">
            <v>1171.1199999999999</v>
          </cell>
          <cell r="AJ16">
            <v>3331.12</v>
          </cell>
        </row>
        <row r="17">
          <cell r="AH17">
            <v>200.0000000007276</v>
          </cell>
          <cell r="AI17">
            <v>1302.8699999999999</v>
          </cell>
          <cell r="AJ17">
            <v>4462.87</v>
          </cell>
        </row>
        <row r="18">
          <cell r="AH18">
            <v>500</v>
          </cell>
          <cell r="AI18">
            <v>1156.93</v>
          </cell>
          <cell r="AJ18">
            <v>4316.93</v>
          </cell>
        </row>
        <row r="19">
          <cell r="AH19">
            <v>399.9999999996362</v>
          </cell>
          <cell r="AI19">
            <v>1409.65</v>
          </cell>
          <cell r="AJ19">
            <v>3569.65</v>
          </cell>
        </row>
        <row r="20">
          <cell r="AH20">
            <v>399.9999999996362</v>
          </cell>
          <cell r="AI20">
            <v>654.69000000000005</v>
          </cell>
          <cell r="AJ20">
            <v>4814.6900000000005</v>
          </cell>
        </row>
        <row r="21">
          <cell r="AH21">
            <v>500</v>
          </cell>
          <cell r="AI21">
            <v>2034.76</v>
          </cell>
          <cell r="AJ21">
            <v>6194.76</v>
          </cell>
        </row>
        <row r="22">
          <cell r="AH22">
            <v>4200.0000000007276</v>
          </cell>
          <cell r="AI22">
            <v>5062.41</v>
          </cell>
          <cell r="AJ22">
            <v>20222.41</v>
          </cell>
        </row>
        <row r="23">
          <cell r="AH23">
            <v>4700.0000000007276</v>
          </cell>
          <cell r="AI23">
            <v>6639.53</v>
          </cell>
          <cell r="AJ23">
            <v>24799.53</v>
          </cell>
        </row>
        <row r="24">
          <cell r="AH24">
            <v>4699.9999999989086</v>
          </cell>
          <cell r="AI24">
            <v>6866.94</v>
          </cell>
          <cell r="AJ24">
            <v>26026.94</v>
          </cell>
        </row>
        <row r="25">
          <cell r="AH25">
            <v>3200.0000000007276</v>
          </cell>
          <cell r="AI25">
            <v>6008</v>
          </cell>
          <cell r="AJ25">
            <v>19168</v>
          </cell>
        </row>
        <row r="26">
          <cell r="AH26">
            <v>2500</v>
          </cell>
          <cell r="AI26">
            <v>3094.53</v>
          </cell>
          <cell r="AJ26">
            <v>14254.53</v>
          </cell>
        </row>
        <row r="27">
          <cell r="AH27">
            <v>5100.0000000003638</v>
          </cell>
          <cell r="AI27">
            <v>7083.01</v>
          </cell>
          <cell r="AJ27">
            <v>28243.01</v>
          </cell>
        </row>
        <row r="28">
          <cell r="AH28">
            <v>4699.9999999989086</v>
          </cell>
          <cell r="AI28">
            <v>7245.85</v>
          </cell>
          <cell r="AJ28">
            <v>26405.85</v>
          </cell>
        </row>
        <row r="29">
          <cell r="AH29">
            <v>4800.0000000010914</v>
          </cell>
          <cell r="AI29">
            <v>6600.8</v>
          </cell>
          <cell r="AJ29">
            <v>26760.799999999999</v>
          </cell>
        </row>
        <row r="30">
          <cell r="AH30">
            <v>4699.9999999989086</v>
          </cell>
          <cell r="AI30">
            <v>6695.84</v>
          </cell>
          <cell r="AJ30">
            <v>24855.84</v>
          </cell>
        </row>
        <row r="31">
          <cell r="AH31">
            <v>4800.0000000010914</v>
          </cell>
          <cell r="AI31">
            <v>5683.32</v>
          </cell>
          <cell r="AJ31">
            <v>24843.32</v>
          </cell>
        </row>
        <row r="32">
          <cell r="AH32">
            <v>5000</v>
          </cell>
          <cell r="AI32">
            <v>6567.23</v>
          </cell>
          <cell r="AJ32">
            <v>25727.23</v>
          </cell>
        </row>
        <row r="33">
          <cell r="AH33">
            <v>5000</v>
          </cell>
          <cell r="AI33">
            <v>7518.89</v>
          </cell>
          <cell r="AJ33">
            <v>26678.89</v>
          </cell>
        </row>
        <row r="34">
          <cell r="AH34">
            <v>4799.9999999992724</v>
          </cell>
          <cell r="AI34">
            <v>7050.4</v>
          </cell>
          <cell r="AJ34">
            <v>28210.400000000001</v>
          </cell>
        </row>
        <row r="35">
          <cell r="AH35">
            <v>5000</v>
          </cell>
          <cell r="AI35">
            <v>6275.61</v>
          </cell>
          <cell r="AJ35">
            <v>25435.61</v>
          </cell>
        </row>
        <row r="36">
          <cell r="AH36">
            <v>4799.9999999992724</v>
          </cell>
          <cell r="AI36">
            <v>7378.3</v>
          </cell>
          <cell r="AJ36">
            <v>25538.3</v>
          </cell>
        </row>
        <row r="37">
          <cell r="AH37">
            <v>0</v>
          </cell>
          <cell r="AI37">
            <v>0</v>
          </cell>
          <cell r="AJ37">
            <v>0</v>
          </cell>
        </row>
      </sheetData>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65536"/>
  <sheetViews>
    <sheetView zoomScaleNormal="100" workbookViewId="0">
      <pane xSplit="3" ySplit="8" topLeftCell="L9" activePane="bottomRight" state="frozen"/>
      <selection pane="topRight" activeCell="E1" sqref="E1"/>
      <selection pane="bottomLeft" activeCell="A9" sqref="A9"/>
      <selection pane="bottomRight" activeCell="U38" sqref="U38"/>
    </sheetView>
  </sheetViews>
  <sheetFormatPr defaultColWidth="9.140625" defaultRowHeight="12.75"/>
  <cols>
    <col min="1" max="1" width="7.5703125" style="275" customWidth="1"/>
    <col min="2" max="2" width="12" style="274" customWidth="1"/>
    <col min="3" max="3" width="12.28515625" style="274" bestFit="1" customWidth="1"/>
    <col min="4" max="4" width="8.28515625" style="274" customWidth="1"/>
    <col min="5" max="5" width="8" style="274" customWidth="1"/>
    <col min="6" max="6" width="6.85546875" style="274" customWidth="1"/>
    <col min="7" max="11" width="8.7109375" style="274" customWidth="1"/>
    <col min="12" max="12" width="8.7109375" style="276" customWidth="1"/>
    <col min="13" max="15" width="8.7109375" style="277" customWidth="1"/>
    <col min="16" max="16" width="8.7109375" style="276" customWidth="1"/>
    <col min="17" max="17" width="8.7109375" style="277" customWidth="1"/>
    <col min="18" max="18" width="8.7109375" style="276" customWidth="1"/>
    <col min="19" max="19" width="8.7109375" style="278" customWidth="1"/>
    <col min="20" max="20" width="10.7109375" style="278" bestFit="1" customWidth="1"/>
    <col min="21" max="21" width="9.140625" style="278" bestFit="1" customWidth="1"/>
    <col min="22" max="25" width="8.7109375" style="278" customWidth="1"/>
    <col min="26" max="27" width="7.7109375" style="278" customWidth="1"/>
    <col min="28" max="29" width="7.7109375" style="279" customWidth="1"/>
    <col min="30" max="30" width="7.7109375" style="278" customWidth="1"/>
    <col min="31" max="31" width="7.7109375" style="279" customWidth="1"/>
    <col min="32" max="32" width="8.85546875" style="278" customWidth="1"/>
    <col min="33" max="33" width="11.140625" style="278" customWidth="1"/>
    <col min="34" max="37" width="7.5703125" style="279" customWidth="1"/>
    <col min="38" max="38" width="10.140625" bestFit="1" customWidth="1"/>
    <col min="42" max="42" width="10.28515625" style="449" bestFit="1" customWidth="1"/>
    <col min="43" max="43" width="9.7109375" style="473" bestFit="1" customWidth="1"/>
    <col min="50" max="52" width="9.5703125" bestFit="1" customWidth="1"/>
    <col min="53" max="53" width="8.7109375" style="276" customWidth="1"/>
    <col min="54" max="54" width="8.7109375" style="277" customWidth="1"/>
    <col min="55" max="56" width="8.7109375" style="274" customWidth="1"/>
  </cols>
  <sheetData>
    <row r="1" spans="1:56" ht="12.75" customHeight="1">
      <c r="A1" s="273"/>
    </row>
    <row r="2" spans="1:56">
      <c r="A2" s="273"/>
    </row>
    <row r="3" spans="1:56" ht="12.75" customHeight="1">
      <c r="A3" s="626" t="s">
        <v>183</v>
      </c>
      <c r="B3" s="626"/>
      <c r="C3" s="626"/>
      <c r="D3" s="626"/>
      <c r="E3" s="626"/>
      <c r="F3" s="626"/>
      <c r="G3" s="626"/>
      <c r="H3" s="626"/>
      <c r="I3" s="626"/>
      <c r="J3" s="626"/>
      <c r="K3" s="626"/>
      <c r="L3" s="626"/>
      <c r="M3" s="626"/>
      <c r="N3" s="626"/>
      <c r="O3" s="626"/>
      <c r="P3" s="626"/>
      <c r="Q3" s="626"/>
      <c r="R3" s="626"/>
      <c r="S3" s="626"/>
      <c r="T3" s="626"/>
      <c r="U3" s="626"/>
      <c r="V3" s="626"/>
      <c r="W3" s="626"/>
      <c r="X3" s="626"/>
      <c r="Y3" s="626"/>
      <c r="Z3" s="626"/>
      <c r="AA3" s="626"/>
      <c r="AB3" s="626"/>
      <c r="AC3" s="626"/>
      <c r="AD3" s="626"/>
      <c r="AE3" s="626"/>
      <c r="AF3" s="626"/>
      <c r="AG3" s="626"/>
      <c r="AH3" s="626"/>
      <c r="AI3" s="626"/>
      <c r="AJ3" s="626"/>
      <c r="AK3" s="626"/>
      <c r="BA3"/>
      <c r="BB3"/>
      <c r="BC3"/>
      <c r="BD3"/>
    </row>
    <row r="4" spans="1:56" ht="12.75" customHeight="1">
      <c r="A4" s="626"/>
      <c r="B4" s="626"/>
      <c r="C4" s="626"/>
      <c r="D4" s="626"/>
      <c r="E4" s="626"/>
      <c r="F4" s="626"/>
      <c r="G4" s="626"/>
      <c r="H4" s="626"/>
      <c r="I4" s="626"/>
      <c r="J4" s="626"/>
      <c r="K4" s="626"/>
      <c r="L4" s="626"/>
      <c r="M4" s="626"/>
      <c r="N4" s="626"/>
      <c r="O4" s="626"/>
      <c r="P4" s="626"/>
      <c r="Q4" s="626"/>
      <c r="R4" s="626"/>
      <c r="S4" s="626"/>
      <c r="T4" s="626"/>
      <c r="U4" s="626"/>
      <c r="V4" s="626"/>
      <c r="W4" s="626"/>
      <c r="X4" s="626"/>
      <c r="Y4" s="626"/>
      <c r="Z4" s="626"/>
      <c r="AA4" s="626"/>
      <c r="AB4" s="626"/>
      <c r="AC4" s="626"/>
      <c r="AD4" s="626"/>
      <c r="AE4" s="626"/>
      <c r="AF4" s="626"/>
      <c r="AG4" s="626"/>
      <c r="AH4" s="626"/>
      <c r="AI4" s="626"/>
      <c r="AJ4" s="626"/>
      <c r="AK4" s="626"/>
      <c r="AL4" s="447"/>
      <c r="AM4" s="448"/>
      <c r="AN4" s="448"/>
      <c r="BA4"/>
      <c r="BB4"/>
      <c r="BC4"/>
      <c r="BD4"/>
    </row>
    <row r="5" spans="1:56">
      <c r="H5" s="276"/>
      <c r="I5" s="277"/>
      <c r="J5" s="277"/>
      <c r="K5" s="277"/>
      <c r="BC5" s="277"/>
      <c r="BD5" s="277"/>
    </row>
    <row r="6" spans="1:56" ht="22.7" customHeight="1">
      <c r="A6" s="627" t="s">
        <v>7</v>
      </c>
      <c r="B6" s="612" t="s">
        <v>8</v>
      </c>
      <c r="C6" s="612" t="s">
        <v>5</v>
      </c>
      <c r="D6" s="612" t="s">
        <v>176</v>
      </c>
      <c r="E6" s="612" t="s">
        <v>177</v>
      </c>
      <c r="F6" s="612" t="s">
        <v>173</v>
      </c>
      <c r="G6" s="612" t="s">
        <v>172</v>
      </c>
      <c r="H6" s="612" t="s">
        <v>174</v>
      </c>
      <c r="I6" s="612" t="s">
        <v>175</v>
      </c>
      <c r="J6" s="614" t="s">
        <v>179</v>
      </c>
      <c r="K6" s="615"/>
      <c r="L6" s="613" t="s">
        <v>178</v>
      </c>
      <c r="M6" s="613"/>
      <c r="N6" s="613" t="s">
        <v>180</v>
      </c>
      <c r="O6" s="613"/>
      <c r="P6" s="620" t="s">
        <v>29</v>
      </c>
      <c r="Q6" s="620"/>
      <c r="R6" s="618" t="s">
        <v>22</v>
      </c>
      <c r="S6" s="618"/>
      <c r="T6" s="618" t="s">
        <v>30</v>
      </c>
      <c r="U6" s="618"/>
      <c r="V6" s="618"/>
      <c r="W6" s="618"/>
      <c r="X6" s="618"/>
      <c r="Y6" s="618"/>
      <c r="Z6" s="618" t="s">
        <v>31</v>
      </c>
      <c r="AA6" s="618"/>
      <c r="AB6" s="618"/>
      <c r="AC6" s="618"/>
      <c r="AD6" s="618"/>
      <c r="AE6" s="618"/>
      <c r="AF6" s="618" t="s">
        <v>32</v>
      </c>
      <c r="AG6" s="618"/>
      <c r="AH6" s="618"/>
      <c r="AI6" s="618"/>
      <c r="AJ6" s="618"/>
      <c r="AK6" s="618"/>
      <c r="BA6" s="613" t="s">
        <v>373</v>
      </c>
      <c r="BB6" s="613"/>
      <c r="BC6" s="614" t="s">
        <v>374</v>
      </c>
      <c r="BD6" s="615"/>
    </row>
    <row r="7" spans="1:56" ht="22.7" customHeight="1">
      <c r="A7" s="628"/>
      <c r="B7" s="612"/>
      <c r="C7" s="612"/>
      <c r="D7" s="612"/>
      <c r="E7" s="612"/>
      <c r="F7" s="612"/>
      <c r="G7" s="612"/>
      <c r="H7" s="612"/>
      <c r="I7" s="612"/>
      <c r="J7" s="616"/>
      <c r="K7" s="617"/>
      <c r="L7" s="613"/>
      <c r="M7" s="613"/>
      <c r="N7" s="613"/>
      <c r="O7" s="613"/>
      <c r="P7" s="620"/>
      <c r="Q7" s="620"/>
      <c r="R7" s="618"/>
      <c r="S7" s="618"/>
      <c r="T7" s="618" t="s">
        <v>35</v>
      </c>
      <c r="U7" s="618"/>
      <c r="V7" s="618" t="s">
        <v>33</v>
      </c>
      <c r="W7" s="618"/>
      <c r="X7" s="618" t="s">
        <v>34</v>
      </c>
      <c r="Y7" s="618"/>
      <c r="Z7" s="618" t="s">
        <v>35</v>
      </c>
      <c r="AA7" s="618"/>
      <c r="AB7" s="619" t="s">
        <v>33</v>
      </c>
      <c r="AC7" s="619"/>
      <c r="AD7" s="618" t="s">
        <v>34</v>
      </c>
      <c r="AE7" s="618"/>
      <c r="AF7" s="618" t="s">
        <v>35</v>
      </c>
      <c r="AG7" s="618"/>
      <c r="AH7" s="618" t="s">
        <v>25</v>
      </c>
      <c r="AI7" s="618"/>
      <c r="AJ7" s="618" t="s">
        <v>26</v>
      </c>
      <c r="AK7" s="618"/>
      <c r="AL7" s="609" t="s">
        <v>268</v>
      </c>
      <c r="AM7" s="610"/>
      <c r="AN7" s="610"/>
      <c r="AO7" s="611" t="s">
        <v>224</v>
      </c>
      <c r="AP7" s="474" t="s">
        <v>269</v>
      </c>
      <c r="AQ7" s="475" t="s">
        <v>134</v>
      </c>
      <c r="AR7" s="621" t="s">
        <v>270</v>
      </c>
      <c r="AS7" s="622"/>
      <c r="AT7" s="622"/>
      <c r="AU7" s="623" t="s">
        <v>271</v>
      </c>
      <c r="AV7" s="624"/>
      <c r="AW7" s="624"/>
      <c r="AX7" s="625" t="s">
        <v>285</v>
      </c>
      <c r="AY7" s="625"/>
      <c r="AZ7" s="625"/>
      <c r="BA7" s="613"/>
      <c r="BB7" s="613"/>
      <c r="BC7" s="616"/>
      <c r="BD7" s="617"/>
    </row>
    <row r="8" spans="1:56" s="1" customFormat="1">
      <c r="A8" s="629"/>
      <c r="B8" s="612"/>
      <c r="C8" s="612"/>
      <c r="D8" s="612"/>
      <c r="E8" s="612"/>
      <c r="F8" s="612"/>
      <c r="G8" s="612"/>
      <c r="H8" s="612"/>
      <c r="I8" s="612"/>
      <c r="J8" s="420" t="s">
        <v>36</v>
      </c>
      <c r="K8" s="418" t="s">
        <v>37</v>
      </c>
      <c r="L8" s="280" t="s">
        <v>36</v>
      </c>
      <c r="M8" s="281" t="s">
        <v>37</v>
      </c>
      <c r="N8" s="280" t="s">
        <v>36</v>
      </c>
      <c r="O8" s="281" t="s">
        <v>37</v>
      </c>
      <c r="P8" s="280" t="s">
        <v>36</v>
      </c>
      <c r="Q8" s="281" t="s">
        <v>37</v>
      </c>
      <c r="R8" s="280" t="s">
        <v>36</v>
      </c>
      <c r="S8" s="282" t="s">
        <v>37</v>
      </c>
      <c r="T8" s="285" t="s">
        <v>36</v>
      </c>
      <c r="U8" s="281" t="s">
        <v>37</v>
      </c>
      <c r="V8" s="286" t="s">
        <v>36</v>
      </c>
      <c r="W8" s="281" t="s">
        <v>37</v>
      </c>
      <c r="X8" s="286" t="s">
        <v>36</v>
      </c>
      <c r="Y8" s="281" t="s">
        <v>37</v>
      </c>
      <c r="Z8" s="283" t="s">
        <v>36</v>
      </c>
      <c r="AA8" s="282" t="s">
        <v>37</v>
      </c>
      <c r="AB8" s="284" t="s">
        <v>36</v>
      </c>
      <c r="AC8" s="287" t="s">
        <v>37</v>
      </c>
      <c r="AD8" s="283" t="s">
        <v>36</v>
      </c>
      <c r="AE8" s="287" t="s">
        <v>37</v>
      </c>
      <c r="AF8" s="283" t="s">
        <v>36</v>
      </c>
      <c r="AG8" s="282" t="s">
        <v>37</v>
      </c>
      <c r="AH8" s="284" t="s">
        <v>36</v>
      </c>
      <c r="AI8" s="287" t="s">
        <v>37</v>
      </c>
      <c r="AJ8" s="284" t="s">
        <v>36</v>
      </c>
      <c r="AK8" s="287" t="s">
        <v>37</v>
      </c>
      <c r="AL8" s="1">
        <v>14</v>
      </c>
      <c r="AM8" s="1">
        <v>15</v>
      </c>
      <c r="AN8" s="1">
        <v>17</v>
      </c>
      <c r="AO8" s="611"/>
      <c r="AP8" s="476" t="s">
        <v>272</v>
      </c>
      <c r="AQ8" s="477"/>
      <c r="AU8" s="1">
        <v>14</v>
      </c>
      <c r="AV8" s="1">
        <v>15</v>
      </c>
      <c r="AW8" s="1">
        <v>17</v>
      </c>
      <c r="AX8" s="1">
        <v>14</v>
      </c>
      <c r="AY8" s="1">
        <v>15</v>
      </c>
      <c r="AZ8" s="1">
        <v>17</v>
      </c>
      <c r="BA8" s="280" t="s">
        <v>36</v>
      </c>
      <c r="BB8" s="281" t="s">
        <v>37</v>
      </c>
      <c r="BC8" s="420" t="s">
        <v>36</v>
      </c>
      <c r="BD8" s="418" t="s">
        <v>37</v>
      </c>
    </row>
    <row r="9" spans="1:56" s="393" customFormat="1" ht="12.75" customHeight="1">
      <c r="A9" s="407">
        <v>45962</v>
      </c>
      <c r="B9" s="416" t="s">
        <v>406</v>
      </c>
      <c r="C9" s="394" t="s">
        <v>385</v>
      </c>
      <c r="D9" s="386">
        <f>+'1'!F42</f>
        <v>0</v>
      </c>
      <c r="E9" s="386">
        <f>+'1'!G42</f>
        <v>0</v>
      </c>
      <c r="F9" s="46" t="e">
        <f t="shared" ref="F9:F39" si="0">1-(E9/D9)</f>
        <v>#DIV/0!</v>
      </c>
      <c r="G9" s="412">
        <f>+P9/N9</f>
        <v>0</v>
      </c>
      <c r="H9" s="408">
        <f>+P9/L9</f>
        <v>0</v>
      </c>
      <c r="I9" s="408" t="e">
        <f>+R9/P9</f>
        <v>#DIV/0!</v>
      </c>
      <c r="J9" s="413">
        <f>+R9/L9</f>
        <v>0</v>
      </c>
      <c r="K9" s="413">
        <f>+S9/M9</f>
        <v>0</v>
      </c>
      <c r="L9" s="387">
        <f>+Efficiency1!K6</f>
        <v>43.297309439999999</v>
      </c>
      <c r="M9" s="388">
        <f>L9</f>
        <v>43.297309439999999</v>
      </c>
      <c r="N9" s="387">
        <f>+Efficiency1!C6</f>
        <v>43.297309439999999</v>
      </c>
      <c r="O9" s="388">
        <f>N9</f>
        <v>43.297309439999999</v>
      </c>
      <c r="P9" s="388">
        <f>'1'!I38</f>
        <v>0</v>
      </c>
      <c r="Q9" s="388">
        <f>P9</f>
        <v>0</v>
      </c>
      <c r="R9" s="388">
        <f>'1'!I40</f>
        <v>0</v>
      </c>
      <c r="S9" s="388">
        <f>R9</f>
        <v>0</v>
      </c>
      <c r="T9" s="95">
        <f t="shared" ref="T9:T38" si="1">+AX9</f>
        <v>0</v>
      </c>
      <c r="U9" s="288">
        <f>T9</f>
        <v>0</v>
      </c>
      <c r="V9" s="288" t="e">
        <f>T9/P9</f>
        <v>#DIV/0!</v>
      </c>
      <c r="W9" s="288" t="e">
        <f>U9/Q9</f>
        <v>#DIV/0!</v>
      </c>
      <c r="X9" s="289">
        <f>IF(AND(R9&gt;0,T9&gt;0),(T9/(R9*1000))*1000,0)</f>
        <v>0</v>
      </c>
      <c r="Y9" s="288">
        <f>IF(AND(S9&gt;0,U9&gt;0),U9/S9,0)</f>
        <v>0</v>
      </c>
      <c r="Z9" s="390">
        <v>25.3</v>
      </c>
      <c r="AA9" s="391">
        <f>Z9</f>
        <v>25.3</v>
      </c>
      <c r="AB9" s="392" t="e">
        <f t="shared" ref="AB9:AB39" si="2">Z9/(P9)</f>
        <v>#DIV/0!</v>
      </c>
      <c r="AC9" s="392" t="e">
        <f t="shared" ref="AC9:AC39" si="3">AA9/(Q9)</f>
        <v>#DIV/0!</v>
      </c>
      <c r="AD9" s="387">
        <f>IF(AND(R9&gt;0,Z9&gt;0),Z9/(R9),0)</f>
        <v>0</v>
      </c>
      <c r="AE9" s="392">
        <f t="shared" ref="AE9:AE39" si="4">IF(AND(S9&gt;0,AA9&gt;0),AA9/(S9),0)</f>
        <v>0</v>
      </c>
      <c r="AF9" s="391">
        <f>'1'!I46</f>
        <v>1921.3000000014554</v>
      </c>
      <c r="AG9" s="391">
        <f>AF9</f>
        <v>1921.3000000014554</v>
      </c>
      <c r="AH9" s="392" t="e">
        <f t="shared" ref="AH9:AH39" si="5">IF(AND(L9&gt;0,AF9&gt;0),(AF9/(P9*1000)*1000),0)</f>
        <v>#DIV/0!</v>
      </c>
      <c r="AI9" s="392" t="e">
        <f t="shared" ref="AI9:AI39" si="6">IF(AND(M9&gt;0,AG9&gt;0),(AG9/(Q9*1000)*1000),0)</f>
        <v>#DIV/0!</v>
      </c>
      <c r="AJ9" s="392">
        <f t="shared" ref="AJ9:AJ39" si="7">IF(AND(R9&gt;0,AF9&gt;0),(AF9/(R9*1000)*1000),0)</f>
        <v>0</v>
      </c>
      <c r="AK9" s="392">
        <f t="shared" ref="AK9:AK39" si="8">IF(AND(S9&gt;0,AG9&gt;0),(AG9/(S9*1000)*1000),0)</f>
        <v>0</v>
      </c>
      <c r="AL9" s="478">
        <v>0</v>
      </c>
      <c r="AM9" s="479">
        <v>5237.3</v>
      </c>
      <c r="AN9" s="448">
        <v>3557.2</v>
      </c>
      <c r="AO9" s="448">
        <f>SUM(AL9:AN9)</f>
        <v>8794.5</v>
      </c>
      <c r="AP9" s="535">
        <f>+[1]Nov!N4</f>
        <v>8117</v>
      </c>
      <c r="AQ9" s="480">
        <f t="shared" ref="AQ9:AQ39" si="9">+AP9-AO9</f>
        <v>-677.5</v>
      </c>
      <c r="AR9" s="451">
        <f t="shared" ref="AR9:AR37" si="10">+AL9/AO9</f>
        <v>0</v>
      </c>
      <c r="AS9" s="451">
        <f t="shared" ref="AS9:AS37" si="11">+AM9/AO9</f>
        <v>0.59551992722724434</v>
      </c>
      <c r="AT9" s="451">
        <f>1-AR9-AS9</f>
        <v>0.40448007277275566</v>
      </c>
      <c r="AU9" s="451">
        <f>+AR9*AQ9</f>
        <v>0</v>
      </c>
      <c r="AV9" s="451">
        <f>+AS9*AQ9</f>
        <v>-403.46475069645805</v>
      </c>
      <c r="AW9" s="451">
        <f>+AT9*AQ9</f>
        <v>-274.03524930354195</v>
      </c>
      <c r="AX9" s="393">
        <f t="shared" ref="AX9:AX37" si="12">+AL9+AU9</f>
        <v>0</v>
      </c>
      <c r="AY9" s="393">
        <f t="shared" ref="AY9:AY37" si="13">+AM9+AV9</f>
        <v>4833.8352493035418</v>
      </c>
      <c r="AZ9" s="393">
        <f t="shared" ref="AZ9:AZ37" si="14">+AN9+AW9</f>
        <v>3283.1647506964578</v>
      </c>
      <c r="BA9" s="387">
        <f>+Efficiency2!K6</f>
        <v>0</v>
      </c>
      <c r="BB9" s="388">
        <f>BA9</f>
        <v>0</v>
      </c>
      <c r="BC9" s="413" t="e">
        <f>+R9/BA9</f>
        <v>#DIV/0!</v>
      </c>
      <c r="BD9" s="413" t="e">
        <f>+S9/BB9</f>
        <v>#DIV/0!</v>
      </c>
    </row>
    <row r="10" spans="1:56" s="393" customFormat="1" ht="12.75" customHeight="1">
      <c r="A10" s="407">
        <f t="shared" ref="A10:A38" si="15">A9+1</f>
        <v>45963</v>
      </c>
      <c r="B10" s="416" t="s">
        <v>406</v>
      </c>
      <c r="C10" s="394" t="s">
        <v>385</v>
      </c>
      <c r="D10" s="386">
        <f>+'2'!F42</f>
        <v>0</v>
      </c>
      <c r="E10" s="386">
        <f>+'2'!G42</f>
        <v>0</v>
      </c>
      <c r="F10" s="46" t="e">
        <f t="shared" si="0"/>
        <v>#DIV/0!</v>
      </c>
      <c r="G10" s="412">
        <f t="shared" ref="G10:G41" si="16">+P10/N10</f>
        <v>0</v>
      </c>
      <c r="H10" s="408">
        <f t="shared" ref="H10:H41" si="17">+P10/L10</f>
        <v>0</v>
      </c>
      <c r="I10" s="408" t="e">
        <f t="shared" ref="I10:I41" si="18">+R10/P10</f>
        <v>#DIV/0!</v>
      </c>
      <c r="J10" s="413">
        <f t="shared" ref="J10:J41" si="19">+R10/L10</f>
        <v>0</v>
      </c>
      <c r="K10" s="413">
        <f t="shared" ref="K10:K39" si="20">+S10/M10</f>
        <v>0</v>
      </c>
      <c r="L10" s="387">
        <f>+Efficiency1!K12</f>
        <v>43.297309439999999</v>
      </c>
      <c r="M10" s="388">
        <f t="shared" ref="M10:O38" si="21">M9+L10</f>
        <v>86.594618879999999</v>
      </c>
      <c r="N10" s="387">
        <f>+Efficiency1!C12</f>
        <v>43.297309439999999</v>
      </c>
      <c r="O10" s="388">
        <f t="shared" si="21"/>
        <v>86.594618879999999</v>
      </c>
      <c r="P10" s="388">
        <f>'2'!I38</f>
        <v>0</v>
      </c>
      <c r="Q10" s="388">
        <f t="shared" ref="Q10:Q38" si="22">Q9+P10</f>
        <v>0</v>
      </c>
      <c r="R10" s="388">
        <f>'2'!I40</f>
        <v>0</v>
      </c>
      <c r="S10" s="388">
        <f t="shared" ref="S10:S38" si="23">S9+R10</f>
        <v>0</v>
      </c>
      <c r="T10" s="95">
        <f t="shared" si="1"/>
        <v>0</v>
      </c>
      <c r="U10" s="13">
        <f t="shared" ref="U10:U38" si="24">T10+U9</f>
        <v>0</v>
      </c>
      <c r="V10" s="288" t="e">
        <f t="shared" ref="V10:V39" si="25">T10/P10</f>
        <v>#DIV/0!</v>
      </c>
      <c r="W10" s="288" t="e">
        <f t="shared" ref="W10:W39" si="26">U10/Q10</f>
        <v>#DIV/0!</v>
      </c>
      <c r="X10" s="289">
        <f t="shared" ref="X10:X39" si="27">IF(AND(R10&gt;0,T10&gt;0),(T10/(R10*1000))*1000,0)</f>
        <v>0</v>
      </c>
      <c r="Y10" s="288">
        <f t="shared" ref="Y10:Y39" si="28">IF(AND(S10&gt;0,U10&gt;0),U10/S10,0)</f>
        <v>0</v>
      </c>
      <c r="Z10" s="390">
        <v>23.5</v>
      </c>
      <c r="AA10" s="389">
        <f t="shared" ref="AA10:AA38" si="29">Z10+AA9</f>
        <v>48.8</v>
      </c>
      <c r="AB10" s="392" t="e">
        <f t="shared" si="2"/>
        <v>#DIV/0!</v>
      </c>
      <c r="AC10" s="392" t="e">
        <f t="shared" si="3"/>
        <v>#DIV/0!</v>
      </c>
      <c r="AD10" s="387">
        <f t="shared" ref="AD10:AD39" si="30">IF(AND(R10&gt;0,Z10&gt;0),Z10/(R10),0)</f>
        <v>0</v>
      </c>
      <c r="AE10" s="392">
        <f t="shared" si="4"/>
        <v>0</v>
      </c>
      <c r="AF10" s="391">
        <f>'2'!I46</f>
        <v>7319.7799999978179</v>
      </c>
      <c r="AG10" s="389">
        <f t="shared" ref="AG10:AG38" si="31">AF10+AG9</f>
        <v>9241.0799999992742</v>
      </c>
      <c r="AH10" s="392" t="e">
        <f t="shared" si="5"/>
        <v>#DIV/0!</v>
      </c>
      <c r="AI10" s="392" t="e">
        <f t="shared" si="6"/>
        <v>#DIV/0!</v>
      </c>
      <c r="AJ10" s="392">
        <f t="shared" si="7"/>
        <v>0</v>
      </c>
      <c r="AK10" s="392">
        <f t="shared" si="8"/>
        <v>0</v>
      </c>
      <c r="AL10" s="447">
        <v>0</v>
      </c>
      <c r="AM10" s="448">
        <v>5640.2</v>
      </c>
      <c r="AN10" s="448">
        <v>2864</v>
      </c>
      <c r="AO10" s="448">
        <f t="shared" ref="AO10:AO11" si="32">SUM(AL10:AN10)</f>
        <v>8504.2000000000007</v>
      </c>
      <c r="AP10" s="566">
        <f>+[1]Nov!N5</f>
        <v>8682</v>
      </c>
      <c r="AQ10" s="480">
        <f t="shared" si="9"/>
        <v>177.79999999999927</v>
      </c>
      <c r="AR10" s="451">
        <f t="shared" si="10"/>
        <v>0</v>
      </c>
      <c r="AS10" s="451">
        <f t="shared" si="11"/>
        <v>0.66322522988640897</v>
      </c>
      <c r="AT10" s="451">
        <f t="shared" ref="AT10:AT37" si="33">1-AR10-AS10</f>
        <v>0.33677477011359103</v>
      </c>
      <c r="AU10" s="451">
        <f t="shared" ref="AU10:AU37" si="34">+AR10*AQ10</f>
        <v>0</v>
      </c>
      <c r="AV10" s="451">
        <f t="shared" ref="AV10:AV37" si="35">+AS10*AQ10</f>
        <v>117.92144587380304</v>
      </c>
      <c r="AW10" s="451">
        <f>+AT10*AQ10</f>
        <v>59.878554126196242</v>
      </c>
      <c r="AX10" s="393">
        <f t="shared" si="12"/>
        <v>0</v>
      </c>
      <c r="AY10" s="393">
        <f t="shared" si="13"/>
        <v>5758.1214458738032</v>
      </c>
      <c r="AZ10" s="393">
        <f t="shared" si="14"/>
        <v>2923.8785541261964</v>
      </c>
      <c r="BA10" s="387">
        <f>+Efficiency2!K12</f>
        <v>0</v>
      </c>
      <c r="BB10" s="388">
        <f t="shared" ref="BB10:BB38" si="36">BB9+BA10</f>
        <v>0</v>
      </c>
      <c r="BC10" s="413" t="e">
        <f t="shared" ref="BC10:BC41" si="37">+R10/BA10</f>
        <v>#DIV/0!</v>
      </c>
      <c r="BD10" s="413" t="e">
        <f t="shared" ref="BD10:BD39" si="38">+S10/BB10</f>
        <v>#DIV/0!</v>
      </c>
    </row>
    <row r="11" spans="1:56" s="393" customFormat="1" ht="12.75" customHeight="1">
      <c r="A11" s="407">
        <f t="shared" si="15"/>
        <v>45964</v>
      </c>
      <c r="B11" s="416" t="s">
        <v>406</v>
      </c>
      <c r="C11" s="394" t="s">
        <v>385</v>
      </c>
      <c r="D11" s="386">
        <f>+'3'!F42</f>
        <v>0</v>
      </c>
      <c r="E11" s="386">
        <f>+'3'!G42</f>
        <v>0</v>
      </c>
      <c r="F11" s="46" t="e">
        <f t="shared" si="0"/>
        <v>#DIV/0!</v>
      </c>
      <c r="G11" s="412">
        <f t="shared" si="16"/>
        <v>0</v>
      </c>
      <c r="H11" s="408">
        <f>+P11/L11</f>
        <v>0</v>
      </c>
      <c r="I11" s="408" t="e">
        <f t="shared" si="18"/>
        <v>#DIV/0!</v>
      </c>
      <c r="J11" s="413">
        <f t="shared" si="19"/>
        <v>0</v>
      </c>
      <c r="K11" s="413">
        <f t="shared" si="20"/>
        <v>0</v>
      </c>
      <c r="L11" s="387">
        <f>+Efficiency1!K18</f>
        <v>43.297309439999999</v>
      </c>
      <c r="M11" s="388">
        <f t="shared" si="21"/>
        <v>129.89192832000001</v>
      </c>
      <c r="N11" s="387">
        <f>+Efficiency1!C18</f>
        <v>43.297309439999999</v>
      </c>
      <c r="O11" s="388">
        <f t="shared" si="21"/>
        <v>129.89192832000001</v>
      </c>
      <c r="P11" s="388">
        <f>'3'!I38</f>
        <v>0</v>
      </c>
      <c r="Q11" s="388">
        <f t="shared" si="22"/>
        <v>0</v>
      </c>
      <c r="R11" s="388">
        <f>'3'!I40</f>
        <v>0</v>
      </c>
      <c r="S11" s="388">
        <f t="shared" si="23"/>
        <v>0</v>
      </c>
      <c r="T11" s="95">
        <f t="shared" si="1"/>
        <v>0</v>
      </c>
      <c r="U11" s="13">
        <f t="shared" si="24"/>
        <v>0</v>
      </c>
      <c r="V11" s="288" t="e">
        <f t="shared" si="25"/>
        <v>#DIV/0!</v>
      </c>
      <c r="W11" s="288" t="e">
        <f t="shared" si="26"/>
        <v>#DIV/0!</v>
      </c>
      <c r="X11" s="289">
        <f t="shared" si="27"/>
        <v>0</v>
      </c>
      <c r="Y11" s="288">
        <f t="shared" si="28"/>
        <v>0</v>
      </c>
      <c r="Z11" s="390">
        <v>23.4</v>
      </c>
      <c r="AA11" s="389">
        <f t="shared" si="29"/>
        <v>72.199999999999989</v>
      </c>
      <c r="AB11" s="392" t="e">
        <f t="shared" si="2"/>
        <v>#DIV/0!</v>
      </c>
      <c r="AC11" s="392" t="e">
        <f t="shared" si="3"/>
        <v>#DIV/0!</v>
      </c>
      <c r="AD11" s="387">
        <f t="shared" si="30"/>
        <v>0</v>
      </c>
      <c r="AE11" s="392">
        <f t="shared" si="4"/>
        <v>0</v>
      </c>
      <c r="AF11" s="391">
        <f>'3'!I46</f>
        <v>3507.0800000014551</v>
      </c>
      <c r="AG11" s="389">
        <f t="shared" si="31"/>
        <v>12748.160000000729</v>
      </c>
      <c r="AH11" s="392" t="e">
        <f t="shared" si="5"/>
        <v>#DIV/0!</v>
      </c>
      <c r="AI11" s="392" t="e">
        <f t="shared" si="6"/>
        <v>#DIV/0!</v>
      </c>
      <c r="AJ11" s="392">
        <f t="shared" si="7"/>
        <v>0</v>
      </c>
      <c r="AK11" s="392">
        <f t="shared" si="8"/>
        <v>0</v>
      </c>
      <c r="AL11" s="447">
        <v>0</v>
      </c>
      <c r="AM11" s="448">
        <v>5900.8</v>
      </c>
      <c r="AN11" s="448">
        <v>3564.8</v>
      </c>
      <c r="AO11" s="448">
        <f t="shared" si="32"/>
        <v>9465.6</v>
      </c>
      <c r="AP11" s="566">
        <f>+[1]Nov!N6</f>
        <v>9107</v>
      </c>
      <c r="AQ11" s="480">
        <f t="shared" si="9"/>
        <v>-358.60000000000036</v>
      </c>
      <c r="AR11" s="451">
        <f t="shared" si="10"/>
        <v>0</v>
      </c>
      <c r="AS11" s="451">
        <f t="shared" si="11"/>
        <v>0.62339418526031098</v>
      </c>
      <c r="AT11" s="451">
        <f t="shared" si="33"/>
        <v>0.37660581473968902</v>
      </c>
      <c r="AU11" s="451">
        <f t="shared" si="34"/>
        <v>0</v>
      </c>
      <c r="AV11" s="451">
        <f t="shared" si="35"/>
        <v>-223.54915483434775</v>
      </c>
      <c r="AW11" s="451">
        <f t="shared" ref="AW11:AW37" si="39">+AT11*AQ11</f>
        <v>-135.05084516565262</v>
      </c>
      <c r="AX11" s="393">
        <f t="shared" si="12"/>
        <v>0</v>
      </c>
      <c r="AY11" s="393">
        <f t="shared" si="13"/>
        <v>5677.2508451656522</v>
      </c>
      <c r="AZ11" s="393">
        <f t="shared" si="14"/>
        <v>3429.7491548343478</v>
      </c>
      <c r="BA11" s="387">
        <f>+Efficiency2!K18</f>
        <v>0</v>
      </c>
      <c r="BB11" s="388">
        <f t="shared" si="36"/>
        <v>0</v>
      </c>
      <c r="BC11" s="413" t="e">
        <f t="shared" si="37"/>
        <v>#DIV/0!</v>
      </c>
      <c r="BD11" s="413" t="e">
        <f t="shared" si="38"/>
        <v>#DIV/0!</v>
      </c>
    </row>
    <row r="12" spans="1:56" s="393" customFormat="1" ht="12.75" customHeight="1">
      <c r="A12" s="407">
        <f t="shared" si="15"/>
        <v>45965</v>
      </c>
      <c r="B12" s="416" t="s">
        <v>406</v>
      </c>
      <c r="C12" s="394" t="s">
        <v>385</v>
      </c>
      <c r="D12" s="386">
        <f>+'4'!F42</f>
        <v>0</v>
      </c>
      <c r="E12" s="386">
        <f>+'4'!G42</f>
        <v>0</v>
      </c>
      <c r="F12" s="46" t="e">
        <f t="shared" si="0"/>
        <v>#DIV/0!</v>
      </c>
      <c r="G12" s="412">
        <f t="shared" si="16"/>
        <v>0</v>
      </c>
      <c r="H12" s="408">
        <f t="shared" si="17"/>
        <v>0</v>
      </c>
      <c r="I12" s="408" t="e">
        <f t="shared" si="18"/>
        <v>#DIV/0!</v>
      </c>
      <c r="J12" s="413">
        <f t="shared" si="19"/>
        <v>0</v>
      </c>
      <c r="K12" s="413">
        <f t="shared" si="20"/>
        <v>0</v>
      </c>
      <c r="L12" s="387">
        <f>+Efficiency1!K24</f>
        <v>43.297309439999999</v>
      </c>
      <c r="M12" s="388">
        <f t="shared" si="21"/>
        <v>173.18923776</v>
      </c>
      <c r="N12" s="387">
        <f>+Efficiency1!C24</f>
        <v>43.297309439999999</v>
      </c>
      <c r="O12" s="388">
        <f t="shared" si="21"/>
        <v>173.18923776</v>
      </c>
      <c r="P12" s="388">
        <f>'4'!I38</f>
        <v>0</v>
      </c>
      <c r="Q12" s="388">
        <f t="shared" si="22"/>
        <v>0</v>
      </c>
      <c r="R12" s="388">
        <f>'4'!I40</f>
        <v>0</v>
      </c>
      <c r="S12" s="388">
        <f t="shared" si="23"/>
        <v>0</v>
      </c>
      <c r="T12" s="95">
        <f t="shared" si="1"/>
        <v>0</v>
      </c>
      <c r="U12" s="13">
        <f t="shared" si="24"/>
        <v>0</v>
      </c>
      <c r="V12" s="288" t="e">
        <f t="shared" si="25"/>
        <v>#DIV/0!</v>
      </c>
      <c r="W12" s="288" t="e">
        <f t="shared" si="26"/>
        <v>#DIV/0!</v>
      </c>
      <c r="X12" s="289">
        <f t="shared" si="27"/>
        <v>0</v>
      </c>
      <c r="Y12" s="288">
        <f t="shared" si="28"/>
        <v>0</v>
      </c>
      <c r="Z12" s="390">
        <v>7.1</v>
      </c>
      <c r="AA12" s="389">
        <f t="shared" si="29"/>
        <v>79.299999999999983</v>
      </c>
      <c r="AB12" s="392" t="e">
        <f t="shared" si="2"/>
        <v>#DIV/0!</v>
      </c>
      <c r="AC12" s="392" t="e">
        <f t="shared" si="3"/>
        <v>#DIV/0!</v>
      </c>
      <c r="AD12" s="387">
        <f t="shared" si="30"/>
        <v>0</v>
      </c>
      <c r="AE12" s="392">
        <f t="shared" si="4"/>
        <v>0</v>
      </c>
      <c r="AF12" s="391">
        <f>'4'!I46</f>
        <v>3341.7399999992722</v>
      </c>
      <c r="AG12" s="389">
        <f t="shared" si="31"/>
        <v>16089.900000000001</v>
      </c>
      <c r="AH12" s="392" t="e">
        <f t="shared" si="5"/>
        <v>#DIV/0!</v>
      </c>
      <c r="AI12" s="392" t="e">
        <f t="shared" si="6"/>
        <v>#DIV/0!</v>
      </c>
      <c r="AJ12" s="392">
        <f t="shared" si="7"/>
        <v>0</v>
      </c>
      <c r="AK12" s="392">
        <f t="shared" si="8"/>
        <v>0</v>
      </c>
      <c r="AL12" s="447">
        <v>0</v>
      </c>
      <c r="AM12" s="448">
        <v>6022</v>
      </c>
      <c r="AN12" s="448">
        <v>4234.2</v>
      </c>
      <c r="AO12" s="448">
        <f>SUM(AL12:AN12)</f>
        <v>10256.200000000001</v>
      </c>
      <c r="AP12" s="566">
        <f>+[1]Nov!N7</f>
        <v>9873</v>
      </c>
      <c r="AQ12" s="480">
        <f t="shared" si="9"/>
        <v>-383.20000000000073</v>
      </c>
      <c r="AR12" s="451">
        <f t="shared" si="10"/>
        <v>0</v>
      </c>
      <c r="AS12" s="451">
        <f t="shared" si="11"/>
        <v>0.58715703671925268</v>
      </c>
      <c r="AT12" s="451">
        <f t="shared" si="33"/>
        <v>0.41284296328074732</v>
      </c>
      <c r="AU12" s="451">
        <f t="shared" si="34"/>
        <v>0</v>
      </c>
      <c r="AV12" s="451">
        <f t="shared" si="35"/>
        <v>-224.99857647081805</v>
      </c>
      <c r="AW12" s="451">
        <f t="shared" si="39"/>
        <v>-158.20142352918268</v>
      </c>
      <c r="AX12" s="393">
        <f t="shared" si="12"/>
        <v>0</v>
      </c>
      <c r="AY12" s="393">
        <f t="shared" si="13"/>
        <v>5797.0014235291819</v>
      </c>
      <c r="AZ12" s="393">
        <f t="shared" si="14"/>
        <v>4075.9985764708172</v>
      </c>
      <c r="BA12" s="387">
        <f>+Efficiency2!K24</f>
        <v>0</v>
      </c>
      <c r="BB12" s="388">
        <f t="shared" si="36"/>
        <v>0</v>
      </c>
      <c r="BC12" s="413" t="e">
        <f t="shared" si="37"/>
        <v>#DIV/0!</v>
      </c>
      <c r="BD12" s="413" t="e">
        <f t="shared" si="38"/>
        <v>#DIV/0!</v>
      </c>
    </row>
    <row r="13" spans="1:56" s="393" customFormat="1" ht="12.75" customHeight="1">
      <c r="A13" s="407">
        <f t="shared" si="15"/>
        <v>45966</v>
      </c>
      <c r="B13" s="416" t="s">
        <v>406</v>
      </c>
      <c r="C13" s="394" t="s">
        <v>385</v>
      </c>
      <c r="D13" s="386">
        <f>+'5'!F42</f>
        <v>0</v>
      </c>
      <c r="E13" s="386">
        <f>+'5'!G42</f>
        <v>0</v>
      </c>
      <c r="F13" s="46" t="e">
        <f t="shared" si="0"/>
        <v>#DIV/0!</v>
      </c>
      <c r="G13" s="412">
        <f t="shared" si="16"/>
        <v>0</v>
      </c>
      <c r="H13" s="408">
        <f t="shared" si="17"/>
        <v>0</v>
      </c>
      <c r="I13" s="408" t="e">
        <f t="shared" si="18"/>
        <v>#DIV/0!</v>
      </c>
      <c r="J13" s="413">
        <f t="shared" si="19"/>
        <v>0</v>
      </c>
      <c r="K13" s="413">
        <f t="shared" si="20"/>
        <v>0</v>
      </c>
      <c r="L13" s="387">
        <f>+Efficiency1!K30</f>
        <v>43.297309439999999</v>
      </c>
      <c r="M13" s="388">
        <f t="shared" si="21"/>
        <v>216.48654719999999</v>
      </c>
      <c r="N13" s="387">
        <f>+Efficiency1!C30</f>
        <v>43.297309439999999</v>
      </c>
      <c r="O13" s="388">
        <f t="shared" si="21"/>
        <v>216.48654719999999</v>
      </c>
      <c r="P13" s="388">
        <f>'5'!I38</f>
        <v>0</v>
      </c>
      <c r="Q13" s="388">
        <f t="shared" si="22"/>
        <v>0</v>
      </c>
      <c r="R13" s="388">
        <f>'5'!I40</f>
        <v>0</v>
      </c>
      <c r="S13" s="388">
        <f t="shared" si="23"/>
        <v>0</v>
      </c>
      <c r="T13" s="95">
        <f t="shared" si="1"/>
        <v>0</v>
      </c>
      <c r="U13" s="13">
        <f t="shared" si="24"/>
        <v>0</v>
      </c>
      <c r="V13" s="288" t="e">
        <f t="shared" si="25"/>
        <v>#DIV/0!</v>
      </c>
      <c r="W13" s="288" t="e">
        <f t="shared" si="26"/>
        <v>#DIV/0!</v>
      </c>
      <c r="X13" s="289">
        <f t="shared" si="27"/>
        <v>0</v>
      </c>
      <c r="Y13" s="288">
        <f t="shared" si="28"/>
        <v>0</v>
      </c>
      <c r="Z13" s="390">
        <v>3.3</v>
      </c>
      <c r="AA13" s="389">
        <f t="shared" si="29"/>
        <v>82.59999999999998</v>
      </c>
      <c r="AB13" s="392" t="e">
        <f t="shared" si="2"/>
        <v>#DIV/0!</v>
      </c>
      <c r="AC13" s="392" t="e">
        <f t="shared" si="3"/>
        <v>#DIV/0!</v>
      </c>
      <c r="AD13" s="387">
        <f t="shared" si="30"/>
        <v>0</v>
      </c>
      <c r="AE13" s="392">
        <f t="shared" si="4"/>
        <v>0</v>
      </c>
      <c r="AF13" s="391">
        <f>'5'!I46</f>
        <v>4724.5600000003633</v>
      </c>
      <c r="AG13" s="389">
        <f t="shared" si="31"/>
        <v>20814.460000000363</v>
      </c>
      <c r="AH13" s="392" t="e">
        <f t="shared" si="5"/>
        <v>#DIV/0!</v>
      </c>
      <c r="AI13" s="392" t="e">
        <f t="shared" si="6"/>
        <v>#DIV/0!</v>
      </c>
      <c r="AJ13" s="392">
        <f t="shared" si="7"/>
        <v>0</v>
      </c>
      <c r="AK13" s="392">
        <f t="shared" si="8"/>
        <v>0</v>
      </c>
      <c r="AL13" s="447">
        <v>0</v>
      </c>
      <c r="AM13" s="448">
        <v>3378.3</v>
      </c>
      <c r="AN13" s="448">
        <v>3703.2</v>
      </c>
      <c r="AO13" s="448">
        <f t="shared" ref="AO13:AO39" si="40">SUM(AL13:AN13)</f>
        <v>7081.5</v>
      </c>
      <c r="AP13" s="566">
        <f>+[1]Nov!N8</f>
        <v>6884</v>
      </c>
      <c r="AQ13" s="480">
        <f t="shared" si="9"/>
        <v>-197.5</v>
      </c>
      <c r="AR13" s="451">
        <f t="shared" si="10"/>
        <v>0</v>
      </c>
      <c r="AS13" s="451">
        <f t="shared" si="11"/>
        <v>0.47705994492692227</v>
      </c>
      <c r="AT13" s="451">
        <f t="shared" si="33"/>
        <v>0.52294005507307773</v>
      </c>
      <c r="AU13" s="451">
        <f t="shared" si="34"/>
        <v>0</v>
      </c>
      <c r="AV13" s="451">
        <f t="shared" si="35"/>
        <v>-94.219339123067144</v>
      </c>
      <c r="AW13" s="451">
        <f t="shared" si="39"/>
        <v>-103.28066087693286</v>
      </c>
      <c r="AX13" s="393">
        <f t="shared" si="12"/>
        <v>0</v>
      </c>
      <c r="AY13" s="393">
        <f t="shared" si="13"/>
        <v>3284.0806608769331</v>
      </c>
      <c r="AZ13" s="393">
        <f t="shared" si="14"/>
        <v>3599.9193391230669</v>
      </c>
      <c r="BA13" s="387">
        <f>+Efficiency2!K30</f>
        <v>0</v>
      </c>
      <c r="BB13" s="388">
        <f t="shared" si="36"/>
        <v>0</v>
      </c>
      <c r="BC13" s="413" t="e">
        <f t="shared" si="37"/>
        <v>#DIV/0!</v>
      </c>
      <c r="BD13" s="413" t="e">
        <f t="shared" si="38"/>
        <v>#DIV/0!</v>
      </c>
    </row>
    <row r="14" spans="1:56" s="393" customFormat="1" ht="12.75" customHeight="1">
      <c r="A14" s="407">
        <f t="shared" si="15"/>
        <v>45967</v>
      </c>
      <c r="B14" s="416" t="s">
        <v>406</v>
      </c>
      <c r="C14" s="394" t="s">
        <v>385</v>
      </c>
      <c r="D14" s="386">
        <f>+'6'!F42</f>
        <v>0</v>
      </c>
      <c r="E14" s="386">
        <f>+'6'!G42</f>
        <v>0</v>
      </c>
      <c r="F14" s="46" t="e">
        <f t="shared" si="0"/>
        <v>#DIV/0!</v>
      </c>
      <c r="G14" s="412">
        <f t="shared" si="16"/>
        <v>0</v>
      </c>
      <c r="H14" s="408">
        <f t="shared" si="17"/>
        <v>0</v>
      </c>
      <c r="I14" s="408" t="e">
        <f t="shared" si="18"/>
        <v>#DIV/0!</v>
      </c>
      <c r="J14" s="413">
        <f t="shared" si="19"/>
        <v>0</v>
      </c>
      <c r="K14" s="413">
        <f t="shared" si="20"/>
        <v>0</v>
      </c>
      <c r="L14" s="387">
        <f>+Efficiency1!K36</f>
        <v>43.297309439999999</v>
      </c>
      <c r="M14" s="388">
        <f t="shared" si="21"/>
        <v>259.78385664000001</v>
      </c>
      <c r="N14" s="387">
        <f>+Efficiency1!C36</f>
        <v>43.297309439999999</v>
      </c>
      <c r="O14" s="388">
        <f t="shared" si="21"/>
        <v>259.78385664000001</v>
      </c>
      <c r="P14" s="388">
        <f>'6'!I38</f>
        <v>0</v>
      </c>
      <c r="Q14" s="388">
        <f t="shared" si="22"/>
        <v>0</v>
      </c>
      <c r="R14" s="388">
        <f>'6'!I40</f>
        <v>0</v>
      </c>
      <c r="S14" s="388">
        <f t="shared" si="23"/>
        <v>0</v>
      </c>
      <c r="T14" s="95">
        <f t="shared" si="1"/>
        <v>0</v>
      </c>
      <c r="U14" s="13">
        <f t="shared" si="24"/>
        <v>0</v>
      </c>
      <c r="V14" s="288" t="e">
        <f t="shared" si="25"/>
        <v>#DIV/0!</v>
      </c>
      <c r="W14" s="288" t="e">
        <f t="shared" si="26"/>
        <v>#DIV/0!</v>
      </c>
      <c r="X14" s="289">
        <f t="shared" si="27"/>
        <v>0</v>
      </c>
      <c r="Y14" s="288">
        <f t="shared" si="28"/>
        <v>0</v>
      </c>
      <c r="Z14" s="390">
        <v>4.3</v>
      </c>
      <c r="AA14" s="389">
        <f t="shared" si="29"/>
        <v>86.899999999999977</v>
      </c>
      <c r="AB14" s="392" t="e">
        <f t="shared" si="2"/>
        <v>#DIV/0!</v>
      </c>
      <c r="AC14" s="392" t="e">
        <f t="shared" si="3"/>
        <v>#DIV/0!</v>
      </c>
      <c r="AD14" s="387">
        <f t="shared" si="30"/>
        <v>0</v>
      </c>
      <c r="AE14" s="392">
        <f t="shared" si="4"/>
        <v>0</v>
      </c>
      <c r="AF14" s="391">
        <f>'6'!I46</f>
        <v>7849.7799999992731</v>
      </c>
      <c r="AG14" s="389">
        <f t="shared" si="31"/>
        <v>28664.239999999634</v>
      </c>
      <c r="AH14" s="392" t="e">
        <f t="shared" si="5"/>
        <v>#DIV/0!</v>
      </c>
      <c r="AI14" s="392" t="e">
        <f t="shared" si="6"/>
        <v>#DIV/0!</v>
      </c>
      <c r="AJ14" s="392">
        <f t="shared" si="7"/>
        <v>0</v>
      </c>
      <c r="AK14" s="392">
        <f t="shared" si="8"/>
        <v>0</v>
      </c>
      <c r="AL14" s="447">
        <v>0</v>
      </c>
      <c r="AM14" s="448">
        <v>5688</v>
      </c>
      <c r="AN14" s="448">
        <v>4121.8</v>
      </c>
      <c r="AO14" s="448">
        <f t="shared" si="40"/>
        <v>9809.7999999999993</v>
      </c>
      <c r="AP14" s="567">
        <f>+[1]Nov!N9</f>
        <v>9530</v>
      </c>
      <c r="AQ14" s="480">
        <f t="shared" si="9"/>
        <v>-279.79999999999927</v>
      </c>
      <c r="AR14" s="451">
        <f t="shared" si="10"/>
        <v>0</v>
      </c>
      <c r="AS14" s="451">
        <f t="shared" si="11"/>
        <v>0.57982833493037578</v>
      </c>
      <c r="AT14" s="451">
        <f>1-AR14-AS14</f>
        <v>0.42017166506962422</v>
      </c>
      <c r="AU14" s="451">
        <f t="shared" si="34"/>
        <v>0</v>
      </c>
      <c r="AV14" s="451">
        <f t="shared" si="35"/>
        <v>-162.23596811351871</v>
      </c>
      <c r="AW14" s="451">
        <f t="shared" si="39"/>
        <v>-117.56403188648055</v>
      </c>
      <c r="AX14" s="393">
        <f t="shared" si="12"/>
        <v>0</v>
      </c>
      <c r="AY14" s="393">
        <f t="shared" si="13"/>
        <v>5525.7640318864815</v>
      </c>
      <c r="AZ14" s="393">
        <f t="shared" si="14"/>
        <v>4004.2359681135194</v>
      </c>
      <c r="BA14" s="387">
        <f>+Efficiency2!K36</f>
        <v>0</v>
      </c>
      <c r="BB14" s="388">
        <f t="shared" si="36"/>
        <v>0</v>
      </c>
      <c r="BC14" s="413" t="e">
        <f t="shared" si="37"/>
        <v>#DIV/0!</v>
      </c>
      <c r="BD14" s="413" t="e">
        <f t="shared" si="38"/>
        <v>#DIV/0!</v>
      </c>
    </row>
    <row r="15" spans="1:56" s="393" customFormat="1" ht="12.75" customHeight="1">
      <c r="A15" s="407">
        <f t="shared" si="15"/>
        <v>45968</v>
      </c>
      <c r="B15" s="416" t="s">
        <v>406</v>
      </c>
      <c r="C15" s="394" t="s">
        <v>385</v>
      </c>
      <c r="D15" s="386">
        <f>+'7'!F42</f>
        <v>0</v>
      </c>
      <c r="E15" s="386">
        <f>+'7'!G42</f>
        <v>0</v>
      </c>
      <c r="F15" s="46" t="e">
        <f t="shared" si="0"/>
        <v>#DIV/0!</v>
      </c>
      <c r="G15" s="412">
        <f t="shared" si="16"/>
        <v>0</v>
      </c>
      <c r="H15" s="408">
        <f t="shared" si="17"/>
        <v>0</v>
      </c>
      <c r="I15" s="408" t="e">
        <f t="shared" si="18"/>
        <v>#DIV/0!</v>
      </c>
      <c r="J15" s="413">
        <f t="shared" si="19"/>
        <v>0</v>
      </c>
      <c r="K15" s="413">
        <f t="shared" si="20"/>
        <v>0</v>
      </c>
      <c r="L15" s="387">
        <f>+Efficiency1!K42</f>
        <v>43.297309439999999</v>
      </c>
      <c r="M15" s="388">
        <f t="shared" si="21"/>
        <v>303.08116608</v>
      </c>
      <c r="N15" s="387">
        <f>+Efficiency1!C42</f>
        <v>43.297309439999999</v>
      </c>
      <c r="O15" s="388">
        <f t="shared" si="21"/>
        <v>303.08116608</v>
      </c>
      <c r="P15" s="388">
        <f>'7'!I38</f>
        <v>0</v>
      </c>
      <c r="Q15" s="388">
        <f t="shared" si="22"/>
        <v>0</v>
      </c>
      <c r="R15" s="388">
        <f>'7'!I40</f>
        <v>0</v>
      </c>
      <c r="S15" s="388">
        <f t="shared" si="23"/>
        <v>0</v>
      </c>
      <c r="T15" s="95">
        <f t="shared" si="1"/>
        <v>0</v>
      </c>
      <c r="U15" s="13">
        <f t="shared" si="24"/>
        <v>0</v>
      </c>
      <c r="V15" s="288" t="e">
        <f t="shared" si="25"/>
        <v>#DIV/0!</v>
      </c>
      <c r="W15" s="288" t="e">
        <f t="shared" si="26"/>
        <v>#DIV/0!</v>
      </c>
      <c r="X15" s="289">
        <f t="shared" si="27"/>
        <v>0</v>
      </c>
      <c r="Y15" s="288">
        <f t="shared" si="28"/>
        <v>0</v>
      </c>
      <c r="Z15" s="390">
        <v>27.7</v>
      </c>
      <c r="AA15" s="389">
        <f t="shared" si="29"/>
        <v>114.59999999999998</v>
      </c>
      <c r="AB15" s="392" t="e">
        <f t="shared" si="2"/>
        <v>#DIV/0!</v>
      </c>
      <c r="AC15" s="392" t="e">
        <f t="shared" si="3"/>
        <v>#DIV/0!</v>
      </c>
      <c r="AD15" s="387">
        <f t="shared" si="30"/>
        <v>0</v>
      </c>
      <c r="AE15" s="392">
        <f t="shared" si="4"/>
        <v>0</v>
      </c>
      <c r="AF15" s="391">
        <f>'7'!I46</f>
        <v>3326.100000000728</v>
      </c>
      <c r="AG15" s="389">
        <f t="shared" si="31"/>
        <v>31990.34000000036</v>
      </c>
      <c r="AH15" s="392" t="e">
        <f t="shared" si="5"/>
        <v>#DIV/0!</v>
      </c>
      <c r="AI15" s="392" t="e">
        <f t="shared" si="6"/>
        <v>#DIV/0!</v>
      </c>
      <c r="AJ15" s="392">
        <f t="shared" si="7"/>
        <v>0</v>
      </c>
      <c r="AK15" s="392">
        <f t="shared" si="8"/>
        <v>0</v>
      </c>
      <c r="AL15" s="447">
        <v>0</v>
      </c>
      <c r="AM15" s="448">
        <v>5887.1</v>
      </c>
      <c r="AN15" s="448">
        <v>4518.8</v>
      </c>
      <c r="AO15" s="448">
        <f t="shared" si="40"/>
        <v>10405.900000000001</v>
      </c>
      <c r="AP15" s="568">
        <f>+[1]Nov!N10</f>
        <v>9953</v>
      </c>
      <c r="AQ15" s="480">
        <f t="shared" si="9"/>
        <v>-452.90000000000146</v>
      </c>
      <c r="AR15" s="451">
        <f t="shared" si="10"/>
        <v>0</v>
      </c>
      <c r="AS15" s="451">
        <f t="shared" si="11"/>
        <v>0.56574635543297547</v>
      </c>
      <c r="AT15" s="451">
        <f>1-AR15-AS15</f>
        <v>0.43425364456702453</v>
      </c>
      <c r="AU15" s="451">
        <f t="shared" si="34"/>
        <v>0</v>
      </c>
      <c r="AV15" s="451">
        <f t="shared" si="35"/>
        <v>-256.22652437559543</v>
      </c>
      <c r="AW15" s="451">
        <f t="shared" si="39"/>
        <v>-196.67347562440605</v>
      </c>
      <c r="AX15" s="393">
        <f t="shared" si="12"/>
        <v>0</v>
      </c>
      <c r="AY15" s="393">
        <f t="shared" si="13"/>
        <v>5630.8734756244048</v>
      </c>
      <c r="AZ15" s="393">
        <f t="shared" si="14"/>
        <v>4322.1265243755943</v>
      </c>
      <c r="BA15" s="387">
        <f>+Efficiency2!K42</f>
        <v>0</v>
      </c>
      <c r="BB15" s="388">
        <f t="shared" si="36"/>
        <v>0</v>
      </c>
      <c r="BC15" s="413" t="e">
        <f t="shared" si="37"/>
        <v>#DIV/0!</v>
      </c>
      <c r="BD15" s="413" t="e">
        <f t="shared" si="38"/>
        <v>#DIV/0!</v>
      </c>
    </row>
    <row r="16" spans="1:56" s="393" customFormat="1" ht="12.75" customHeight="1">
      <c r="A16" s="407">
        <f t="shared" si="15"/>
        <v>45969</v>
      </c>
      <c r="B16" s="416" t="s">
        <v>406</v>
      </c>
      <c r="C16" s="394" t="s">
        <v>385</v>
      </c>
      <c r="D16" s="386">
        <f>+'8'!F42</f>
        <v>0</v>
      </c>
      <c r="E16" s="386">
        <f>+'8'!G42</f>
        <v>0</v>
      </c>
      <c r="F16" s="46" t="e">
        <f t="shared" si="0"/>
        <v>#DIV/0!</v>
      </c>
      <c r="G16" s="412">
        <f t="shared" si="16"/>
        <v>0</v>
      </c>
      <c r="H16" s="408">
        <f t="shared" si="17"/>
        <v>0</v>
      </c>
      <c r="I16" s="408" t="e">
        <f t="shared" si="18"/>
        <v>#DIV/0!</v>
      </c>
      <c r="J16" s="413">
        <f t="shared" si="19"/>
        <v>0</v>
      </c>
      <c r="K16" s="413">
        <f t="shared" si="20"/>
        <v>0</v>
      </c>
      <c r="L16" s="387">
        <f>+Efficiency1!K48</f>
        <v>43.297309439999999</v>
      </c>
      <c r="M16" s="388">
        <f t="shared" si="21"/>
        <v>346.37847551999999</v>
      </c>
      <c r="N16" s="387">
        <f>+Efficiency1!C48</f>
        <v>43.297309439999999</v>
      </c>
      <c r="O16" s="388">
        <f t="shared" si="21"/>
        <v>346.37847551999999</v>
      </c>
      <c r="P16" s="388">
        <f>'8'!I38</f>
        <v>0</v>
      </c>
      <c r="Q16" s="388">
        <f t="shared" si="22"/>
        <v>0</v>
      </c>
      <c r="R16" s="388">
        <f>'8'!I40</f>
        <v>0</v>
      </c>
      <c r="S16" s="388">
        <f t="shared" si="23"/>
        <v>0</v>
      </c>
      <c r="T16" s="95">
        <f t="shared" si="1"/>
        <v>0</v>
      </c>
      <c r="U16" s="13">
        <f t="shared" si="24"/>
        <v>0</v>
      </c>
      <c r="V16" s="288" t="e">
        <f t="shared" si="25"/>
        <v>#DIV/0!</v>
      </c>
      <c r="W16" s="288" t="e">
        <f t="shared" si="26"/>
        <v>#DIV/0!</v>
      </c>
      <c r="X16" s="289">
        <f t="shared" si="27"/>
        <v>0</v>
      </c>
      <c r="Y16" s="288">
        <f t="shared" si="28"/>
        <v>0</v>
      </c>
      <c r="Z16" s="390">
        <v>29.6</v>
      </c>
      <c r="AA16" s="389">
        <f t="shared" si="29"/>
        <v>144.19999999999999</v>
      </c>
      <c r="AB16" s="392" t="e">
        <f t="shared" si="2"/>
        <v>#DIV/0!</v>
      </c>
      <c r="AC16" s="392" t="e">
        <f t="shared" si="3"/>
        <v>#DIV/0!</v>
      </c>
      <c r="AD16" s="387">
        <f t="shared" si="30"/>
        <v>0</v>
      </c>
      <c r="AE16" s="392">
        <f t="shared" si="4"/>
        <v>0</v>
      </c>
      <c r="AF16" s="391">
        <f>'8'!I46</f>
        <v>7428.4999999992724</v>
      </c>
      <c r="AG16" s="389">
        <f t="shared" si="31"/>
        <v>39418.839999999633</v>
      </c>
      <c r="AH16" s="392" t="e">
        <f t="shared" si="5"/>
        <v>#DIV/0!</v>
      </c>
      <c r="AI16" s="392" t="e">
        <f t="shared" si="6"/>
        <v>#DIV/0!</v>
      </c>
      <c r="AJ16" s="392">
        <f t="shared" si="7"/>
        <v>0</v>
      </c>
      <c r="AK16" s="392">
        <f t="shared" si="8"/>
        <v>0</v>
      </c>
      <c r="AL16" s="447">
        <v>0</v>
      </c>
      <c r="AM16" s="448">
        <v>5774</v>
      </c>
      <c r="AN16" s="448">
        <v>4286.6000000000004</v>
      </c>
      <c r="AO16" s="448">
        <f t="shared" si="40"/>
        <v>10060.6</v>
      </c>
      <c r="AP16" s="569">
        <f>+[1]Nov!N11</f>
        <v>9996</v>
      </c>
      <c r="AQ16" s="480">
        <f t="shared" si="9"/>
        <v>-64.600000000000364</v>
      </c>
      <c r="AR16" s="451">
        <f t="shared" si="10"/>
        <v>0</v>
      </c>
      <c r="AS16" s="451">
        <f t="shared" si="11"/>
        <v>0.5739220324831521</v>
      </c>
      <c r="AT16" s="451">
        <f>1-AR16-AS16</f>
        <v>0.4260779675168479</v>
      </c>
      <c r="AU16" s="451">
        <f>+AR16*AQ16</f>
        <v>0</v>
      </c>
      <c r="AV16" s="451">
        <f t="shared" si="35"/>
        <v>-37.075363298411837</v>
      </c>
      <c r="AW16" s="451">
        <f t="shared" si="39"/>
        <v>-27.52463670158853</v>
      </c>
      <c r="AX16" s="393">
        <f t="shared" si="12"/>
        <v>0</v>
      </c>
      <c r="AY16" s="393">
        <f t="shared" si="13"/>
        <v>5736.9246367015885</v>
      </c>
      <c r="AZ16" s="393">
        <f t="shared" si="14"/>
        <v>4259.0753632984115</v>
      </c>
      <c r="BA16" s="387">
        <f>+Efficiency2!K48</f>
        <v>0</v>
      </c>
      <c r="BB16" s="388">
        <f t="shared" si="36"/>
        <v>0</v>
      </c>
      <c r="BC16" s="413" t="e">
        <f t="shared" si="37"/>
        <v>#DIV/0!</v>
      </c>
      <c r="BD16" s="413" t="e">
        <f t="shared" si="38"/>
        <v>#DIV/0!</v>
      </c>
    </row>
    <row r="17" spans="1:56" s="393" customFormat="1" ht="12.75" customHeight="1">
      <c r="A17" s="407">
        <f t="shared" si="15"/>
        <v>45970</v>
      </c>
      <c r="B17" s="416" t="s">
        <v>406</v>
      </c>
      <c r="C17" s="394" t="s">
        <v>385</v>
      </c>
      <c r="D17" s="386">
        <f>+'9'!F42</f>
        <v>0</v>
      </c>
      <c r="E17" s="386">
        <f>+'9'!G42</f>
        <v>0</v>
      </c>
      <c r="F17" s="46" t="e">
        <f t="shared" si="0"/>
        <v>#DIV/0!</v>
      </c>
      <c r="G17" s="412">
        <f t="shared" si="16"/>
        <v>0</v>
      </c>
      <c r="H17" s="408">
        <f t="shared" si="17"/>
        <v>0</v>
      </c>
      <c r="I17" s="408" t="e">
        <f t="shared" si="18"/>
        <v>#DIV/0!</v>
      </c>
      <c r="J17" s="413">
        <f t="shared" si="19"/>
        <v>0</v>
      </c>
      <c r="K17" s="413">
        <f t="shared" si="20"/>
        <v>0</v>
      </c>
      <c r="L17" s="387">
        <f>+Efficiency1!K54</f>
        <v>43.297309439999999</v>
      </c>
      <c r="M17" s="388">
        <f t="shared" si="21"/>
        <v>389.67578495999999</v>
      </c>
      <c r="N17" s="387">
        <f>+Efficiency1!C54</f>
        <v>43.297309439999999</v>
      </c>
      <c r="O17" s="388">
        <f t="shared" si="21"/>
        <v>389.67578495999999</v>
      </c>
      <c r="P17" s="388">
        <f>'9'!I38</f>
        <v>0</v>
      </c>
      <c r="Q17" s="388">
        <f t="shared" si="22"/>
        <v>0</v>
      </c>
      <c r="R17" s="388">
        <f>'9'!I40</f>
        <v>0</v>
      </c>
      <c r="S17" s="388">
        <f t="shared" si="23"/>
        <v>0</v>
      </c>
      <c r="T17" s="95">
        <f t="shared" si="1"/>
        <v>0</v>
      </c>
      <c r="U17" s="13">
        <f t="shared" si="24"/>
        <v>0</v>
      </c>
      <c r="V17" s="288" t="e">
        <f t="shared" si="25"/>
        <v>#DIV/0!</v>
      </c>
      <c r="W17" s="288" t="e">
        <f t="shared" si="26"/>
        <v>#DIV/0!</v>
      </c>
      <c r="X17" s="289">
        <f t="shared" si="27"/>
        <v>0</v>
      </c>
      <c r="Y17" s="288">
        <f t="shared" si="28"/>
        <v>0</v>
      </c>
      <c r="Z17" s="390">
        <v>34.799999999999997</v>
      </c>
      <c r="AA17" s="389">
        <f t="shared" si="29"/>
        <v>179</v>
      </c>
      <c r="AB17" s="392" t="e">
        <f t="shared" si="2"/>
        <v>#DIV/0!</v>
      </c>
      <c r="AC17" s="392" t="e">
        <f t="shared" si="3"/>
        <v>#DIV/0!</v>
      </c>
      <c r="AD17" s="387">
        <f t="shared" si="30"/>
        <v>0</v>
      </c>
      <c r="AE17" s="392">
        <f t="shared" si="4"/>
        <v>0</v>
      </c>
      <c r="AF17" s="391">
        <f>'9'!I46</f>
        <v>5877.9400000007281</v>
      </c>
      <c r="AG17" s="389">
        <f t="shared" si="31"/>
        <v>45296.780000000363</v>
      </c>
      <c r="AH17" s="392" t="e">
        <f t="shared" si="5"/>
        <v>#DIV/0!</v>
      </c>
      <c r="AI17" s="392" t="e">
        <f t="shared" si="6"/>
        <v>#DIV/0!</v>
      </c>
      <c r="AJ17" s="392">
        <f t="shared" si="7"/>
        <v>0</v>
      </c>
      <c r="AK17" s="392">
        <f t="shared" si="8"/>
        <v>0</v>
      </c>
      <c r="AL17" s="447">
        <v>0</v>
      </c>
      <c r="AM17" s="448">
        <v>5551.8</v>
      </c>
      <c r="AN17" s="448">
        <v>4018.7</v>
      </c>
      <c r="AO17" s="448">
        <f t="shared" si="40"/>
        <v>9570.5</v>
      </c>
      <c r="AP17" s="569">
        <f>+[1]Nov!N12</f>
        <v>8927</v>
      </c>
      <c r="AQ17" s="480">
        <f t="shared" si="9"/>
        <v>-643.5</v>
      </c>
      <c r="AR17" s="451">
        <f t="shared" si="10"/>
        <v>0</v>
      </c>
      <c r="AS17" s="451">
        <f t="shared" si="11"/>
        <v>0.58009508385141839</v>
      </c>
      <c r="AT17" s="451">
        <f>1-AR17-AS17</f>
        <v>0.41990491614858161</v>
      </c>
      <c r="AU17" s="451">
        <f>+AR17*AQ17</f>
        <v>0</v>
      </c>
      <c r="AV17" s="451">
        <f>+AS17*AQ17</f>
        <v>-373.29118645838776</v>
      </c>
      <c r="AW17" s="451">
        <f t="shared" si="39"/>
        <v>-270.20881354161224</v>
      </c>
      <c r="AX17" s="393">
        <f t="shared" si="12"/>
        <v>0</v>
      </c>
      <c r="AY17" s="393">
        <f t="shared" si="13"/>
        <v>5178.5088135416127</v>
      </c>
      <c r="AZ17" s="393">
        <f t="shared" si="14"/>
        <v>3748.4911864583873</v>
      </c>
      <c r="BA17" s="387">
        <f>+Efficiency2!K54</f>
        <v>0</v>
      </c>
      <c r="BB17" s="388">
        <f t="shared" si="36"/>
        <v>0</v>
      </c>
      <c r="BC17" s="413" t="e">
        <f t="shared" si="37"/>
        <v>#DIV/0!</v>
      </c>
      <c r="BD17" s="413" t="e">
        <f t="shared" si="38"/>
        <v>#DIV/0!</v>
      </c>
    </row>
    <row r="18" spans="1:56" s="393" customFormat="1" ht="12.75" customHeight="1">
      <c r="A18" s="407">
        <f t="shared" si="15"/>
        <v>45971</v>
      </c>
      <c r="B18" s="416" t="s">
        <v>406</v>
      </c>
      <c r="C18" s="394" t="s">
        <v>385</v>
      </c>
      <c r="D18" s="386">
        <f>+'10'!F42</f>
        <v>0</v>
      </c>
      <c r="E18" s="386">
        <f>+'10'!G42</f>
        <v>0</v>
      </c>
      <c r="F18" s="46" t="e">
        <f t="shared" si="0"/>
        <v>#DIV/0!</v>
      </c>
      <c r="G18" s="412">
        <f t="shared" si="16"/>
        <v>0</v>
      </c>
      <c r="H18" s="408">
        <f t="shared" si="17"/>
        <v>0</v>
      </c>
      <c r="I18" s="408" t="e">
        <f>+R18/P18</f>
        <v>#DIV/0!</v>
      </c>
      <c r="J18" s="413">
        <f t="shared" si="19"/>
        <v>0</v>
      </c>
      <c r="K18" s="413">
        <f t="shared" si="20"/>
        <v>0</v>
      </c>
      <c r="L18" s="387">
        <f>+Efficiency1!K60</f>
        <v>43.297309439999999</v>
      </c>
      <c r="M18" s="388">
        <f t="shared" si="21"/>
        <v>432.97309439999998</v>
      </c>
      <c r="N18" s="387">
        <f>+Efficiency1!C60</f>
        <v>43.297309439999999</v>
      </c>
      <c r="O18" s="388">
        <f t="shared" si="21"/>
        <v>432.97309439999998</v>
      </c>
      <c r="P18" s="388">
        <f>'10'!I38</f>
        <v>0</v>
      </c>
      <c r="Q18" s="388">
        <f t="shared" si="22"/>
        <v>0</v>
      </c>
      <c r="R18" s="388">
        <f>'10'!I40</f>
        <v>0</v>
      </c>
      <c r="S18" s="388">
        <f t="shared" si="23"/>
        <v>0</v>
      </c>
      <c r="T18" s="95">
        <f t="shared" si="1"/>
        <v>0</v>
      </c>
      <c r="U18" s="13">
        <f t="shared" si="24"/>
        <v>0</v>
      </c>
      <c r="V18" s="288" t="e">
        <f t="shared" si="25"/>
        <v>#DIV/0!</v>
      </c>
      <c r="W18" s="288" t="e">
        <f t="shared" si="26"/>
        <v>#DIV/0!</v>
      </c>
      <c r="X18" s="289">
        <f t="shared" si="27"/>
        <v>0</v>
      </c>
      <c r="Y18" s="288">
        <f t="shared" si="28"/>
        <v>0</v>
      </c>
      <c r="Z18" s="390">
        <v>33.799999999999997</v>
      </c>
      <c r="AA18" s="389">
        <f t="shared" si="29"/>
        <v>212.8</v>
      </c>
      <c r="AB18" s="392" t="e">
        <f t="shared" si="2"/>
        <v>#DIV/0!</v>
      </c>
      <c r="AC18" s="392" t="e">
        <f t="shared" si="3"/>
        <v>#DIV/0!</v>
      </c>
      <c r="AD18" s="387">
        <f t="shared" si="30"/>
        <v>0</v>
      </c>
      <c r="AE18" s="392">
        <f t="shared" si="4"/>
        <v>0</v>
      </c>
      <c r="AF18" s="391">
        <f>'10'!I46</f>
        <v>4702.2399999989084</v>
      </c>
      <c r="AG18" s="389">
        <f t="shared" si="31"/>
        <v>49999.019999999269</v>
      </c>
      <c r="AH18" s="392" t="e">
        <f t="shared" si="5"/>
        <v>#DIV/0!</v>
      </c>
      <c r="AI18" s="392" t="e">
        <f t="shared" si="6"/>
        <v>#DIV/0!</v>
      </c>
      <c r="AJ18" s="392">
        <f t="shared" si="7"/>
        <v>0</v>
      </c>
      <c r="AK18" s="392">
        <f t="shared" si="8"/>
        <v>0</v>
      </c>
      <c r="AL18" s="447">
        <v>0</v>
      </c>
      <c r="AM18" s="448">
        <v>6339.4</v>
      </c>
      <c r="AN18" s="448">
        <v>3970.5</v>
      </c>
      <c r="AO18" s="448">
        <f t="shared" si="40"/>
        <v>10309.9</v>
      </c>
      <c r="AP18" s="570">
        <f>+[1]Nov!N13</f>
        <v>9851</v>
      </c>
      <c r="AQ18" s="480">
        <f t="shared" si="9"/>
        <v>-458.89999999999964</v>
      </c>
      <c r="AR18" s="451">
        <f t="shared" si="10"/>
        <v>0</v>
      </c>
      <c r="AS18" s="451">
        <f t="shared" si="11"/>
        <v>0.61488472245123615</v>
      </c>
      <c r="AT18" s="451">
        <f t="shared" si="33"/>
        <v>0.38511527754876385</v>
      </c>
      <c r="AU18" s="451">
        <f t="shared" si="34"/>
        <v>0</v>
      </c>
      <c r="AV18" s="451">
        <f t="shared" si="35"/>
        <v>-282.17059913287204</v>
      </c>
      <c r="AW18" s="451">
        <f t="shared" si="39"/>
        <v>-176.72940086712759</v>
      </c>
      <c r="AX18" s="451">
        <f>+AL18+AU18</f>
        <v>0</v>
      </c>
      <c r="AY18" s="393">
        <f t="shared" si="13"/>
        <v>6057.2294008671279</v>
      </c>
      <c r="AZ18" s="393">
        <f t="shared" si="14"/>
        <v>3793.7705991328726</v>
      </c>
      <c r="BA18" s="387">
        <f>+Efficiency2!K60</f>
        <v>0</v>
      </c>
      <c r="BB18" s="388">
        <f t="shared" si="36"/>
        <v>0</v>
      </c>
      <c r="BC18" s="413" t="e">
        <f t="shared" si="37"/>
        <v>#DIV/0!</v>
      </c>
      <c r="BD18" s="413" t="e">
        <f t="shared" si="38"/>
        <v>#DIV/0!</v>
      </c>
    </row>
    <row r="19" spans="1:56" s="393" customFormat="1" ht="12.75" customHeight="1">
      <c r="A19" s="407">
        <f t="shared" si="15"/>
        <v>45972</v>
      </c>
      <c r="B19" s="416" t="s">
        <v>406</v>
      </c>
      <c r="C19" s="394" t="s">
        <v>385</v>
      </c>
      <c r="D19" s="386">
        <f>+'11'!F42</f>
        <v>0</v>
      </c>
      <c r="E19" s="386">
        <f>+'11'!G42</f>
        <v>0</v>
      </c>
      <c r="F19" s="46" t="e">
        <f t="shared" si="0"/>
        <v>#DIV/0!</v>
      </c>
      <c r="G19" s="412">
        <f t="shared" si="16"/>
        <v>0</v>
      </c>
      <c r="H19" s="408">
        <f t="shared" si="17"/>
        <v>0</v>
      </c>
      <c r="I19" s="408" t="e">
        <f t="shared" si="18"/>
        <v>#DIV/0!</v>
      </c>
      <c r="J19" s="413">
        <f t="shared" si="19"/>
        <v>0</v>
      </c>
      <c r="K19" s="413">
        <f t="shared" si="20"/>
        <v>0</v>
      </c>
      <c r="L19" s="387">
        <f>+Efficiency1!K66</f>
        <v>43.297309439999999</v>
      </c>
      <c r="M19" s="388">
        <f t="shared" si="21"/>
        <v>476.27040383999997</v>
      </c>
      <c r="N19" s="387">
        <f>+Efficiency1!C66</f>
        <v>43.297309439999999</v>
      </c>
      <c r="O19" s="388">
        <f t="shared" si="21"/>
        <v>476.27040383999997</v>
      </c>
      <c r="P19" s="388">
        <f>'11'!I38</f>
        <v>0</v>
      </c>
      <c r="Q19" s="388">
        <f t="shared" si="22"/>
        <v>0</v>
      </c>
      <c r="R19" s="388">
        <f>'11'!I40</f>
        <v>0</v>
      </c>
      <c r="S19" s="388">
        <f t="shared" si="23"/>
        <v>0</v>
      </c>
      <c r="T19" s="95">
        <f t="shared" si="1"/>
        <v>0</v>
      </c>
      <c r="U19" s="13">
        <f t="shared" si="24"/>
        <v>0</v>
      </c>
      <c r="V19" s="288" t="e">
        <f t="shared" si="25"/>
        <v>#DIV/0!</v>
      </c>
      <c r="W19" s="288" t="e">
        <f t="shared" si="26"/>
        <v>#DIV/0!</v>
      </c>
      <c r="X19" s="289">
        <f t="shared" si="27"/>
        <v>0</v>
      </c>
      <c r="Y19" s="288">
        <f t="shared" si="28"/>
        <v>0</v>
      </c>
      <c r="Z19" s="390">
        <v>34</v>
      </c>
      <c r="AA19" s="389">
        <f t="shared" si="29"/>
        <v>246.8</v>
      </c>
      <c r="AB19" s="392" t="e">
        <f t="shared" si="2"/>
        <v>#DIV/0!</v>
      </c>
      <c r="AC19" s="392" t="e">
        <f t="shared" si="3"/>
        <v>#DIV/0!</v>
      </c>
      <c r="AD19" s="387">
        <f t="shared" si="30"/>
        <v>0</v>
      </c>
      <c r="AE19" s="392">
        <f t="shared" si="4"/>
        <v>0</v>
      </c>
      <c r="AF19" s="391">
        <f>'11'!I46</f>
        <v>5965.7400000007274</v>
      </c>
      <c r="AG19" s="389">
        <f t="shared" si="31"/>
        <v>55964.759999999995</v>
      </c>
      <c r="AH19" s="392" t="e">
        <f t="shared" si="5"/>
        <v>#DIV/0!</v>
      </c>
      <c r="AI19" s="392" t="e">
        <f t="shared" si="6"/>
        <v>#DIV/0!</v>
      </c>
      <c r="AJ19" s="392">
        <f t="shared" si="7"/>
        <v>0</v>
      </c>
      <c r="AK19" s="392">
        <f t="shared" si="8"/>
        <v>0</v>
      </c>
      <c r="AL19" s="447">
        <v>0</v>
      </c>
      <c r="AM19" s="448">
        <v>5767</v>
      </c>
      <c r="AN19" s="448">
        <v>3937.9</v>
      </c>
      <c r="AO19" s="448">
        <f t="shared" si="40"/>
        <v>9704.9</v>
      </c>
      <c r="AP19" s="571">
        <f>+[1]Nov!N14</f>
        <v>9290</v>
      </c>
      <c r="AQ19" s="480">
        <f t="shared" si="9"/>
        <v>-414.89999999999964</v>
      </c>
      <c r="AR19" s="451">
        <f t="shared" si="10"/>
        <v>0</v>
      </c>
      <c r="AS19" s="451">
        <f t="shared" si="11"/>
        <v>0.59423590145184391</v>
      </c>
      <c r="AT19" s="451">
        <f>1-AR19-AS19</f>
        <v>0.40576409854815609</v>
      </c>
      <c r="AU19" s="451">
        <f t="shared" si="34"/>
        <v>0</v>
      </c>
      <c r="AV19" s="451">
        <f t="shared" si="35"/>
        <v>-246.54847551236983</v>
      </c>
      <c r="AW19" s="451">
        <f>+AT19*AQ19</f>
        <v>-168.3515244876298</v>
      </c>
      <c r="AX19" s="393">
        <f t="shared" si="12"/>
        <v>0</v>
      </c>
      <c r="AY19" s="393">
        <f t="shared" si="13"/>
        <v>5520.4515244876302</v>
      </c>
      <c r="AZ19" s="393">
        <f t="shared" si="14"/>
        <v>3769.5484755123703</v>
      </c>
      <c r="BA19" s="387">
        <f>+Efficiency2!K66</f>
        <v>0</v>
      </c>
      <c r="BB19" s="388">
        <f t="shared" si="36"/>
        <v>0</v>
      </c>
      <c r="BC19" s="413" t="e">
        <f t="shared" si="37"/>
        <v>#DIV/0!</v>
      </c>
      <c r="BD19" s="413" t="e">
        <f t="shared" si="38"/>
        <v>#DIV/0!</v>
      </c>
    </row>
    <row r="20" spans="1:56" s="393" customFormat="1" ht="12.75" customHeight="1">
      <c r="A20" s="407">
        <f t="shared" si="15"/>
        <v>45973</v>
      </c>
      <c r="B20" s="416" t="s">
        <v>406</v>
      </c>
      <c r="C20" s="394" t="s">
        <v>385</v>
      </c>
      <c r="D20" s="386">
        <f>+'12'!F42</f>
        <v>0</v>
      </c>
      <c r="E20" s="386">
        <f>+'12'!G42</f>
        <v>0</v>
      </c>
      <c r="F20" s="46" t="e">
        <f t="shared" si="0"/>
        <v>#DIV/0!</v>
      </c>
      <c r="G20" s="412">
        <f t="shared" si="16"/>
        <v>0</v>
      </c>
      <c r="H20" s="408">
        <f t="shared" si="17"/>
        <v>0</v>
      </c>
      <c r="I20" s="408" t="e">
        <f t="shared" si="18"/>
        <v>#DIV/0!</v>
      </c>
      <c r="J20" s="413">
        <f t="shared" si="19"/>
        <v>0</v>
      </c>
      <c r="K20" s="413">
        <f t="shared" si="20"/>
        <v>0</v>
      </c>
      <c r="L20" s="387">
        <f>+Efficiency1!K72</f>
        <v>43.297309439999999</v>
      </c>
      <c r="M20" s="388">
        <f t="shared" si="21"/>
        <v>519.56771328000002</v>
      </c>
      <c r="N20" s="387">
        <f>+Efficiency1!C72</f>
        <v>43.297309439999999</v>
      </c>
      <c r="O20" s="388">
        <f t="shared" si="21"/>
        <v>519.56771328000002</v>
      </c>
      <c r="P20" s="388">
        <f>'12'!I38</f>
        <v>0</v>
      </c>
      <c r="Q20" s="388">
        <f t="shared" si="22"/>
        <v>0</v>
      </c>
      <c r="R20" s="388">
        <f>'12'!I40</f>
        <v>0</v>
      </c>
      <c r="S20" s="388">
        <f t="shared" si="23"/>
        <v>0</v>
      </c>
      <c r="T20" s="95">
        <f t="shared" si="1"/>
        <v>0</v>
      </c>
      <c r="U20" s="13">
        <f t="shared" si="24"/>
        <v>0</v>
      </c>
      <c r="V20" s="288" t="e">
        <f t="shared" si="25"/>
        <v>#DIV/0!</v>
      </c>
      <c r="W20" s="288" t="e">
        <f t="shared" si="26"/>
        <v>#DIV/0!</v>
      </c>
      <c r="X20" s="289">
        <f t="shared" si="27"/>
        <v>0</v>
      </c>
      <c r="Y20" s="288">
        <f t="shared" si="28"/>
        <v>0</v>
      </c>
      <c r="Z20" s="390">
        <v>24.5</v>
      </c>
      <c r="AA20" s="389">
        <f t="shared" si="29"/>
        <v>271.3</v>
      </c>
      <c r="AB20" s="392" t="e">
        <f t="shared" si="2"/>
        <v>#DIV/0!</v>
      </c>
      <c r="AC20" s="392" t="e">
        <f t="shared" si="3"/>
        <v>#DIV/0!</v>
      </c>
      <c r="AD20" s="387">
        <f t="shared" si="30"/>
        <v>0</v>
      </c>
      <c r="AE20" s="392">
        <f t="shared" si="4"/>
        <v>0</v>
      </c>
      <c r="AF20" s="391">
        <f>'12'!I46</f>
        <v>5973.8600000000006</v>
      </c>
      <c r="AG20" s="389">
        <f t="shared" si="31"/>
        <v>61938.619999999995</v>
      </c>
      <c r="AH20" s="392" t="e">
        <f t="shared" si="5"/>
        <v>#DIV/0!</v>
      </c>
      <c r="AI20" s="392" t="e">
        <f t="shared" si="6"/>
        <v>#DIV/0!</v>
      </c>
      <c r="AJ20" s="392">
        <f t="shared" si="7"/>
        <v>0</v>
      </c>
      <c r="AK20" s="392">
        <f t="shared" si="8"/>
        <v>0</v>
      </c>
      <c r="AL20" s="447">
        <v>0</v>
      </c>
      <c r="AM20" s="448">
        <v>5487.3</v>
      </c>
      <c r="AN20" s="448">
        <v>4208.2</v>
      </c>
      <c r="AO20" s="448">
        <f t="shared" si="40"/>
        <v>9695.5</v>
      </c>
      <c r="AP20" s="572">
        <f>+[1]Nov!N15</f>
        <v>9193</v>
      </c>
      <c r="AQ20" s="480">
        <f t="shared" si="9"/>
        <v>-502.5</v>
      </c>
      <c r="AR20" s="451">
        <f t="shared" si="10"/>
        <v>0</v>
      </c>
      <c r="AS20" s="451">
        <f t="shared" si="11"/>
        <v>0.56596359135681507</v>
      </c>
      <c r="AT20" s="451">
        <f t="shared" si="33"/>
        <v>0.43403640864318493</v>
      </c>
      <c r="AU20" s="451">
        <f t="shared" si="34"/>
        <v>0</v>
      </c>
      <c r="AV20" s="451">
        <f t="shared" si="35"/>
        <v>-284.39670465679956</v>
      </c>
      <c r="AW20" s="451">
        <f t="shared" si="39"/>
        <v>-218.10329534320044</v>
      </c>
      <c r="AX20" s="393">
        <f t="shared" si="12"/>
        <v>0</v>
      </c>
      <c r="AY20" s="393">
        <f t="shared" si="13"/>
        <v>5202.9032953432006</v>
      </c>
      <c r="AZ20" s="393">
        <f t="shared" si="14"/>
        <v>3990.0967046567994</v>
      </c>
      <c r="BA20" s="387">
        <f>+Efficiency2!K72</f>
        <v>0</v>
      </c>
      <c r="BB20" s="388">
        <f t="shared" si="36"/>
        <v>0</v>
      </c>
      <c r="BC20" s="413" t="e">
        <f t="shared" si="37"/>
        <v>#DIV/0!</v>
      </c>
      <c r="BD20" s="413" t="e">
        <f t="shared" si="38"/>
        <v>#DIV/0!</v>
      </c>
    </row>
    <row r="21" spans="1:56" s="393" customFormat="1" ht="12.75" customHeight="1">
      <c r="A21" s="407">
        <f t="shared" si="15"/>
        <v>45974</v>
      </c>
      <c r="B21" s="416" t="s">
        <v>406</v>
      </c>
      <c r="C21" s="394" t="s">
        <v>385</v>
      </c>
      <c r="D21" s="386">
        <f>+'13'!F42</f>
        <v>0</v>
      </c>
      <c r="E21" s="386">
        <f>+'13'!G42</f>
        <v>0</v>
      </c>
      <c r="F21" s="46" t="e">
        <f t="shared" si="0"/>
        <v>#DIV/0!</v>
      </c>
      <c r="G21" s="412">
        <f t="shared" si="16"/>
        <v>0</v>
      </c>
      <c r="H21" s="408">
        <f t="shared" si="17"/>
        <v>0</v>
      </c>
      <c r="I21" s="408" t="e">
        <f t="shared" si="18"/>
        <v>#DIV/0!</v>
      </c>
      <c r="J21" s="413">
        <f t="shared" si="19"/>
        <v>0</v>
      </c>
      <c r="K21" s="413">
        <f t="shared" si="20"/>
        <v>0</v>
      </c>
      <c r="L21" s="387">
        <f>+Efficiency1!K78</f>
        <v>43.297309439999999</v>
      </c>
      <c r="M21" s="388">
        <f t="shared" si="21"/>
        <v>562.86502272000007</v>
      </c>
      <c r="N21" s="387">
        <f>+Efficiency1!C78</f>
        <v>43.297309439999999</v>
      </c>
      <c r="O21" s="388">
        <f t="shared" si="21"/>
        <v>562.86502272000007</v>
      </c>
      <c r="P21" s="388">
        <f>'13'!I38</f>
        <v>0</v>
      </c>
      <c r="Q21" s="388">
        <f t="shared" si="22"/>
        <v>0</v>
      </c>
      <c r="R21" s="388">
        <f>'13'!I40</f>
        <v>0</v>
      </c>
      <c r="S21" s="388">
        <f t="shared" si="23"/>
        <v>0</v>
      </c>
      <c r="T21" s="95">
        <f t="shared" si="1"/>
        <v>0</v>
      </c>
      <c r="U21" s="13">
        <f t="shared" si="24"/>
        <v>0</v>
      </c>
      <c r="V21" s="288" t="e">
        <f t="shared" si="25"/>
        <v>#DIV/0!</v>
      </c>
      <c r="W21" s="288" t="e">
        <f t="shared" si="26"/>
        <v>#DIV/0!</v>
      </c>
      <c r="X21" s="289">
        <f t="shared" si="27"/>
        <v>0</v>
      </c>
      <c r="Y21" s="288">
        <f t="shared" si="28"/>
        <v>0</v>
      </c>
      <c r="Z21" s="390">
        <v>13.5</v>
      </c>
      <c r="AA21" s="389">
        <f t="shared" si="29"/>
        <v>284.8</v>
      </c>
      <c r="AB21" s="392" t="e">
        <f t="shared" si="2"/>
        <v>#DIV/0!</v>
      </c>
      <c r="AC21" s="392" t="e">
        <f t="shared" si="3"/>
        <v>#DIV/0!</v>
      </c>
      <c r="AD21" s="387">
        <f t="shared" si="30"/>
        <v>0</v>
      </c>
      <c r="AE21" s="392">
        <f t="shared" si="4"/>
        <v>0</v>
      </c>
      <c r="AF21" s="391">
        <f>'13'!I46</f>
        <v>5379.2999999996364</v>
      </c>
      <c r="AG21" s="389">
        <f t="shared" si="31"/>
        <v>67317.919999999634</v>
      </c>
      <c r="AH21" s="392" t="e">
        <f t="shared" si="5"/>
        <v>#DIV/0!</v>
      </c>
      <c r="AI21" s="392" t="e">
        <f t="shared" si="6"/>
        <v>#DIV/0!</v>
      </c>
      <c r="AJ21" s="392">
        <f t="shared" si="7"/>
        <v>0</v>
      </c>
      <c r="AK21" s="392">
        <f t="shared" si="8"/>
        <v>0</v>
      </c>
      <c r="AL21" s="447">
        <v>0</v>
      </c>
      <c r="AM21" s="448">
        <v>4305.1000000000004</v>
      </c>
      <c r="AN21" s="448">
        <v>3078</v>
      </c>
      <c r="AO21" s="448">
        <f t="shared" si="40"/>
        <v>7383.1</v>
      </c>
      <c r="AP21" s="573">
        <f>+[1]Nov!N16</f>
        <v>7163</v>
      </c>
      <c r="AQ21" s="480">
        <f t="shared" si="9"/>
        <v>-220.10000000000036</v>
      </c>
      <c r="AR21" s="451">
        <f t="shared" si="10"/>
        <v>0</v>
      </c>
      <c r="AS21" s="451">
        <f t="shared" si="11"/>
        <v>0.58310194904579382</v>
      </c>
      <c r="AT21" s="451">
        <f t="shared" si="33"/>
        <v>0.41689805095420618</v>
      </c>
      <c r="AU21" s="451">
        <f t="shared" si="34"/>
        <v>0</v>
      </c>
      <c r="AV21" s="451">
        <f t="shared" si="35"/>
        <v>-128.34073898497942</v>
      </c>
      <c r="AW21" s="451">
        <f t="shared" si="39"/>
        <v>-91.759261015020925</v>
      </c>
      <c r="AX21" s="393">
        <f t="shared" si="12"/>
        <v>0</v>
      </c>
      <c r="AY21" s="393">
        <f t="shared" si="13"/>
        <v>4176.7592610150214</v>
      </c>
      <c r="AZ21" s="393">
        <f t="shared" si="14"/>
        <v>2986.2407389849791</v>
      </c>
      <c r="BA21" s="387">
        <f>+Efficiency2!K78</f>
        <v>0</v>
      </c>
      <c r="BB21" s="388">
        <f t="shared" si="36"/>
        <v>0</v>
      </c>
      <c r="BC21" s="413" t="e">
        <f t="shared" si="37"/>
        <v>#DIV/0!</v>
      </c>
      <c r="BD21" s="413" t="e">
        <f t="shared" si="38"/>
        <v>#DIV/0!</v>
      </c>
    </row>
    <row r="22" spans="1:56" s="393" customFormat="1" ht="12.75" customHeight="1">
      <c r="A22" s="407">
        <f t="shared" si="15"/>
        <v>45975</v>
      </c>
      <c r="B22" s="416" t="s">
        <v>406</v>
      </c>
      <c r="C22" s="394" t="s">
        <v>385</v>
      </c>
      <c r="D22" s="386">
        <f>+'14'!F42</f>
        <v>0</v>
      </c>
      <c r="E22" s="386">
        <f>+'14'!G42</f>
        <v>0</v>
      </c>
      <c r="F22" s="46" t="e">
        <f t="shared" si="0"/>
        <v>#DIV/0!</v>
      </c>
      <c r="G22" s="412">
        <f t="shared" si="16"/>
        <v>0</v>
      </c>
      <c r="H22" s="408">
        <f t="shared" si="17"/>
        <v>0</v>
      </c>
      <c r="I22" s="408" t="e">
        <f t="shared" si="18"/>
        <v>#DIV/0!</v>
      </c>
      <c r="J22" s="413">
        <f t="shared" si="19"/>
        <v>0</v>
      </c>
      <c r="K22" s="413">
        <f t="shared" si="20"/>
        <v>0</v>
      </c>
      <c r="L22" s="387">
        <f>+Efficiency1!K84</f>
        <v>43.297309439999999</v>
      </c>
      <c r="M22" s="388">
        <f t="shared" si="21"/>
        <v>606.16233216000012</v>
      </c>
      <c r="N22" s="387">
        <f>+Efficiency1!C84</f>
        <v>43.297309439999999</v>
      </c>
      <c r="O22" s="388">
        <f t="shared" si="21"/>
        <v>606.16233216000012</v>
      </c>
      <c r="P22" s="388">
        <f>'14'!I38</f>
        <v>0</v>
      </c>
      <c r="Q22" s="388">
        <f t="shared" si="22"/>
        <v>0</v>
      </c>
      <c r="R22" s="388">
        <f>'14'!I40</f>
        <v>0</v>
      </c>
      <c r="S22" s="388">
        <f t="shared" si="23"/>
        <v>0</v>
      </c>
      <c r="T22" s="95">
        <f t="shared" si="1"/>
        <v>0</v>
      </c>
      <c r="U22" s="13">
        <f t="shared" si="24"/>
        <v>0</v>
      </c>
      <c r="V22" s="288" t="e">
        <f t="shared" si="25"/>
        <v>#DIV/0!</v>
      </c>
      <c r="W22" s="288" t="e">
        <f t="shared" si="26"/>
        <v>#DIV/0!</v>
      </c>
      <c r="X22" s="289">
        <f t="shared" si="27"/>
        <v>0</v>
      </c>
      <c r="Y22" s="288">
        <f t="shared" si="28"/>
        <v>0</v>
      </c>
      <c r="Z22" s="390">
        <v>21.4</v>
      </c>
      <c r="AA22" s="389">
        <f t="shared" si="29"/>
        <v>306.2</v>
      </c>
      <c r="AB22" s="392" t="e">
        <f t="shared" si="2"/>
        <v>#DIV/0!</v>
      </c>
      <c r="AC22" s="392" t="e">
        <f t="shared" si="3"/>
        <v>#DIV/0!</v>
      </c>
      <c r="AD22" s="387">
        <f t="shared" si="30"/>
        <v>0</v>
      </c>
      <c r="AE22" s="392">
        <f t="shared" si="4"/>
        <v>0</v>
      </c>
      <c r="AF22" s="391">
        <f>'14'!I46</f>
        <v>5869.3799999996372</v>
      </c>
      <c r="AG22" s="389">
        <f t="shared" si="31"/>
        <v>73187.299999999275</v>
      </c>
      <c r="AH22" s="392" t="e">
        <f t="shared" si="5"/>
        <v>#DIV/0!</v>
      </c>
      <c r="AI22" s="392" t="e">
        <f t="shared" si="6"/>
        <v>#DIV/0!</v>
      </c>
      <c r="AJ22" s="392">
        <f t="shared" si="7"/>
        <v>0</v>
      </c>
      <c r="AK22" s="392">
        <f t="shared" si="8"/>
        <v>0</v>
      </c>
      <c r="AL22" s="447">
        <v>0</v>
      </c>
      <c r="AM22" s="448">
        <v>4911.3999999999996</v>
      </c>
      <c r="AN22" s="448">
        <v>3827.9</v>
      </c>
      <c r="AO22" s="448">
        <f t="shared" si="40"/>
        <v>8739.2999999999993</v>
      </c>
      <c r="AP22" s="574">
        <f>+[1]Nov!N17</f>
        <v>8270</v>
      </c>
      <c r="AQ22" s="480">
        <f t="shared" si="9"/>
        <v>-469.29999999999927</v>
      </c>
      <c r="AR22" s="451">
        <f t="shared" si="10"/>
        <v>0</v>
      </c>
      <c r="AS22" s="451">
        <f t="shared" si="11"/>
        <v>0.56199009073953288</v>
      </c>
      <c r="AT22" s="451">
        <f t="shared" si="33"/>
        <v>0.43800990926046712</v>
      </c>
      <c r="AU22" s="451">
        <f t="shared" si="34"/>
        <v>0</v>
      </c>
      <c r="AV22" s="451">
        <f t="shared" si="35"/>
        <v>-263.74194958406235</v>
      </c>
      <c r="AW22" s="451">
        <f t="shared" si="39"/>
        <v>-205.55805041593689</v>
      </c>
      <c r="AX22" s="393">
        <f t="shared" si="12"/>
        <v>0</v>
      </c>
      <c r="AY22" s="393">
        <f t="shared" si="13"/>
        <v>4647.6580504159374</v>
      </c>
      <c r="AZ22" s="393">
        <f t="shared" si="14"/>
        <v>3622.3419495840631</v>
      </c>
      <c r="BA22" s="387">
        <f>+Efficiency2!K84</f>
        <v>0</v>
      </c>
      <c r="BB22" s="388">
        <f t="shared" si="36"/>
        <v>0</v>
      </c>
      <c r="BC22" s="413" t="e">
        <f t="shared" si="37"/>
        <v>#DIV/0!</v>
      </c>
      <c r="BD22" s="413" t="e">
        <f t="shared" si="38"/>
        <v>#DIV/0!</v>
      </c>
    </row>
    <row r="23" spans="1:56" s="393" customFormat="1" ht="12.75" customHeight="1">
      <c r="A23" s="407">
        <f t="shared" si="15"/>
        <v>45976</v>
      </c>
      <c r="B23" s="416" t="s">
        <v>406</v>
      </c>
      <c r="C23" s="394" t="s">
        <v>385</v>
      </c>
      <c r="D23" s="386">
        <f>+'15'!F42</f>
        <v>0</v>
      </c>
      <c r="E23" s="386">
        <f>+'15'!G42</f>
        <v>0</v>
      </c>
      <c r="F23" s="46" t="e">
        <f t="shared" si="0"/>
        <v>#DIV/0!</v>
      </c>
      <c r="G23" s="412">
        <f t="shared" si="16"/>
        <v>0</v>
      </c>
      <c r="H23" s="408">
        <f t="shared" si="17"/>
        <v>0</v>
      </c>
      <c r="I23" s="408" t="e">
        <f t="shared" si="18"/>
        <v>#DIV/0!</v>
      </c>
      <c r="J23" s="413">
        <f t="shared" si="19"/>
        <v>0</v>
      </c>
      <c r="K23" s="413">
        <f t="shared" si="20"/>
        <v>0</v>
      </c>
      <c r="L23" s="387">
        <f>+Efficiency1!K90</f>
        <v>43.297309439999999</v>
      </c>
      <c r="M23" s="388">
        <f t="shared" si="21"/>
        <v>649.45964160000017</v>
      </c>
      <c r="N23" s="387">
        <f>+Efficiency1!C90</f>
        <v>43.297309439999999</v>
      </c>
      <c r="O23" s="388">
        <f t="shared" si="21"/>
        <v>649.45964160000017</v>
      </c>
      <c r="P23" s="388">
        <f>'15'!I38</f>
        <v>0</v>
      </c>
      <c r="Q23" s="388">
        <f t="shared" si="22"/>
        <v>0</v>
      </c>
      <c r="R23" s="388">
        <f>'15'!I40</f>
        <v>0</v>
      </c>
      <c r="S23" s="388">
        <f t="shared" si="23"/>
        <v>0</v>
      </c>
      <c r="T23" s="95">
        <f t="shared" si="1"/>
        <v>222.44119981480253</v>
      </c>
      <c r="U23" s="13">
        <f t="shared" si="24"/>
        <v>222.44119981480253</v>
      </c>
      <c r="V23" s="288" t="e">
        <f t="shared" si="25"/>
        <v>#DIV/0!</v>
      </c>
      <c r="W23" s="288" t="e">
        <f t="shared" si="26"/>
        <v>#DIV/0!</v>
      </c>
      <c r="X23" s="289">
        <f t="shared" si="27"/>
        <v>0</v>
      </c>
      <c r="Y23" s="288">
        <f t="shared" si="28"/>
        <v>0</v>
      </c>
      <c r="Z23" s="390">
        <v>19</v>
      </c>
      <c r="AA23" s="389">
        <f t="shared" si="29"/>
        <v>325.2</v>
      </c>
      <c r="AB23" s="392" t="e">
        <f t="shared" si="2"/>
        <v>#DIV/0!</v>
      </c>
      <c r="AC23" s="392" t="e">
        <f t="shared" si="3"/>
        <v>#DIV/0!</v>
      </c>
      <c r="AD23" s="387">
        <f t="shared" si="30"/>
        <v>0</v>
      </c>
      <c r="AE23" s="392">
        <f t="shared" si="4"/>
        <v>0</v>
      </c>
      <c r="AF23" s="391">
        <f>'15'!I46</f>
        <v>8729.52</v>
      </c>
      <c r="AG23" s="389">
        <f t="shared" si="31"/>
        <v>81916.819999999279</v>
      </c>
      <c r="AH23" s="392" t="e">
        <f t="shared" si="5"/>
        <v>#DIV/0!</v>
      </c>
      <c r="AI23" s="392" t="e">
        <f t="shared" si="6"/>
        <v>#DIV/0!</v>
      </c>
      <c r="AJ23" s="392">
        <f t="shared" si="7"/>
        <v>0</v>
      </c>
      <c r="AK23" s="392">
        <f t="shared" si="8"/>
        <v>0</v>
      </c>
      <c r="AL23" s="447">
        <v>215.1</v>
      </c>
      <c r="AM23" s="448">
        <v>5032.1000000000004</v>
      </c>
      <c r="AN23" s="448">
        <v>3824.2</v>
      </c>
      <c r="AO23" s="448">
        <f t="shared" si="40"/>
        <v>9071.4000000000015</v>
      </c>
      <c r="AP23" s="575">
        <f>+[1]Nov!N18</f>
        <v>9381</v>
      </c>
      <c r="AQ23" s="480">
        <f t="shared" si="9"/>
        <v>309.59999999999854</v>
      </c>
      <c r="AR23" s="451">
        <f t="shared" si="10"/>
        <v>2.3711885706726631E-2</v>
      </c>
      <c r="AS23" s="451">
        <f t="shared" si="11"/>
        <v>0.55472143219348713</v>
      </c>
      <c r="AT23" s="451">
        <f t="shared" si="33"/>
        <v>0.42156668209978621</v>
      </c>
      <c r="AU23" s="451">
        <f t="shared" si="34"/>
        <v>7.3411998148025299</v>
      </c>
      <c r="AV23" s="451">
        <f t="shared" si="35"/>
        <v>171.7417554071028</v>
      </c>
      <c r="AW23" s="451">
        <f t="shared" si="39"/>
        <v>130.51704477809321</v>
      </c>
      <c r="AX23" s="393">
        <f t="shared" si="12"/>
        <v>222.44119981480253</v>
      </c>
      <c r="AY23" s="393">
        <f t="shared" si="13"/>
        <v>5203.8417554071029</v>
      </c>
      <c r="AZ23" s="393">
        <f t="shared" si="14"/>
        <v>3954.7170447780932</v>
      </c>
      <c r="BA23" s="387">
        <f>+Efficiency2!K90</f>
        <v>0</v>
      </c>
      <c r="BB23" s="388">
        <f t="shared" si="36"/>
        <v>0</v>
      </c>
      <c r="BC23" s="413" t="e">
        <f t="shared" si="37"/>
        <v>#DIV/0!</v>
      </c>
      <c r="BD23" s="413" t="e">
        <f t="shared" si="38"/>
        <v>#DIV/0!</v>
      </c>
    </row>
    <row r="24" spans="1:56" s="393" customFormat="1" ht="12.75" customHeight="1">
      <c r="A24" s="407">
        <f t="shared" si="15"/>
        <v>45977</v>
      </c>
      <c r="B24" s="416" t="s">
        <v>461</v>
      </c>
      <c r="C24" s="394" t="s">
        <v>385</v>
      </c>
      <c r="D24" s="386">
        <f>+'16'!F42</f>
        <v>855.68445475638055</v>
      </c>
      <c r="E24" s="386">
        <f>+'16'!G42</f>
        <v>658.87703016241301</v>
      </c>
      <c r="F24" s="46">
        <f t="shared" si="0"/>
        <v>0.22999999999999998</v>
      </c>
      <c r="G24" s="412">
        <f t="shared" si="16"/>
        <v>0.83037041496265751</v>
      </c>
      <c r="H24" s="408">
        <f t="shared" si="17"/>
        <v>0.57767077705134229</v>
      </c>
      <c r="I24" s="408">
        <f t="shared" si="18"/>
        <v>0.90425917717693516</v>
      </c>
      <c r="J24" s="413">
        <f t="shared" si="19"/>
        <v>0.52236410153560753</v>
      </c>
      <c r="K24" s="413">
        <f t="shared" si="20"/>
        <v>3.240951566510393E-2</v>
      </c>
      <c r="L24" s="387">
        <f>+Efficiency1!K96</f>
        <v>42.960456000000001</v>
      </c>
      <c r="M24" s="388">
        <f t="shared" si="21"/>
        <v>692.42009760000019</v>
      </c>
      <c r="N24" s="387">
        <f>+Efficiency1!C96</f>
        <v>29.886662088167053</v>
      </c>
      <c r="O24" s="388">
        <f t="shared" si="21"/>
        <v>679.34630368816727</v>
      </c>
      <c r="P24" s="388">
        <f>'16'!I38</f>
        <v>24.817</v>
      </c>
      <c r="Q24" s="388">
        <f t="shared" si="22"/>
        <v>24.817</v>
      </c>
      <c r="R24" s="388">
        <f>'16'!I40</f>
        <v>22.440999999999999</v>
      </c>
      <c r="S24" s="388">
        <f t="shared" si="23"/>
        <v>22.440999999999999</v>
      </c>
      <c r="T24" s="95">
        <f t="shared" si="1"/>
        <v>2914.2417192598778</v>
      </c>
      <c r="U24" s="13">
        <f t="shared" si="24"/>
        <v>3136.6829190746803</v>
      </c>
      <c r="V24" s="288">
        <f t="shared" si="25"/>
        <v>117.42925088688712</v>
      </c>
      <c r="W24" s="288">
        <f t="shared" si="26"/>
        <v>126.39250993571666</v>
      </c>
      <c r="X24" s="289">
        <f t="shared" si="27"/>
        <v>129.86238221379963</v>
      </c>
      <c r="Y24" s="288">
        <f t="shared" si="28"/>
        <v>139.77464992980171</v>
      </c>
      <c r="Z24" s="390">
        <v>54.8</v>
      </c>
      <c r="AA24" s="389">
        <f t="shared" si="29"/>
        <v>380</v>
      </c>
      <c r="AB24" s="392">
        <f t="shared" si="2"/>
        <v>2.2081637587137846</v>
      </c>
      <c r="AC24" s="392">
        <f t="shared" si="3"/>
        <v>15.312084458234274</v>
      </c>
      <c r="AD24" s="387">
        <f t="shared" si="30"/>
        <v>2.4419589144868765</v>
      </c>
      <c r="AE24" s="392">
        <f t="shared" si="4"/>
        <v>16.93329174279221</v>
      </c>
      <c r="AF24" s="391">
        <f>'16'!I46</f>
        <v>29484.820000000727</v>
      </c>
      <c r="AG24" s="389">
        <f t="shared" si="31"/>
        <v>111401.64000000001</v>
      </c>
      <c r="AH24" s="392">
        <f t="shared" si="5"/>
        <v>1188.089615989069</v>
      </c>
      <c r="AI24" s="392">
        <f t="shared" si="6"/>
        <v>4488.9245275416051</v>
      </c>
      <c r="AJ24" s="392">
        <f t="shared" si="7"/>
        <v>1313.8817343255973</v>
      </c>
      <c r="AK24" s="392">
        <f t="shared" si="8"/>
        <v>4964.2012388039757</v>
      </c>
      <c r="AL24" s="447">
        <v>3312.8</v>
      </c>
      <c r="AM24" s="448">
        <v>5037.3999999999996</v>
      </c>
      <c r="AN24" s="448">
        <v>3264.1</v>
      </c>
      <c r="AO24" s="448">
        <f t="shared" si="40"/>
        <v>11614.300000000001</v>
      </c>
      <c r="AP24" s="575">
        <f>+[1]Nov!N19</f>
        <v>10217</v>
      </c>
      <c r="AQ24" s="480">
        <f t="shared" si="9"/>
        <v>-1397.3000000000011</v>
      </c>
      <c r="AR24" s="451">
        <f t="shared" si="10"/>
        <v>0.28523458150727982</v>
      </c>
      <c r="AS24" s="451">
        <f t="shared" si="11"/>
        <v>0.43372394375898671</v>
      </c>
      <c r="AT24" s="451">
        <f t="shared" si="33"/>
        <v>0.28104147473373342</v>
      </c>
      <c r="AU24" s="451">
        <f t="shared" si="34"/>
        <v>-398.55828074012237</v>
      </c>
      <c r="AV24" s="451">
        <f t="shared" si="35"/>
        <v>-606.04246661443256</v>
      </c>
      <c r="AW24" s="451">
        <f t="shared" si="39"/>
        <v>-392.69925264544599</v>
      </c>
      <c r="AX24" s="393">
        <f t="shared" si="12"/>
        <v>2914.2417192598778</v>
      </c>
      <c r="AY24" s="393">
        <f t="shared" si="13"/>
        <v>4431.357533385567</v>
      </c>
      <c r="AZ24" s="393">
        <f t="shared" si="14"/>
        <v>2871.4007473545539</v>
      </c>
      <c r="BA24" s="387">
        <f>+Efficiency2!K96</f>
        <v>38.485408499999998</v>
      </c>
      <c r="BB24" s="388">
        <f t="shared" si="36"/>
        <v>38.485408499999998</v>
      </c>
      <c r="BC24" s="413">
        <f t="shared" si="37"/>
        <v>0.58310411334207357</v>
      </c>
      <c r="BD24" s="413">
        <f t="shared" si="38"/>
        <v>0.58310411334207357</v>
      </c>
    </row>
    <row r="25" spans="1:56" s="393" customFormat="1" ht="12.75" customHeight="1">
      <c r="A25" s="407">
        <f t="shared" si="15"/>
        <v>45978</v>
      </c>
      <c r="B25" s="416" t="s">
        <v>461</v>
      </c>
      <c r="C25" s="394" t="s">
        <v>385</v>
      </c>
      <c r="D25" s="386">
        <f>+'17'!F42</f>
        <v>1057.6944444444443</v>
      </c>
      <c r="E25" s="386">
        <f>+'17'!G42</f>
        <v>814.42472222222227</v>
      </c>
      <c r="F25" s="46">
        <f t="shared" si="0"/>
        <v>0.22999999999999987</v>
      </c>
      <c r="G25" s="412">
        <f t="shared" si="16"/>
        <v>0.92024576246397449</v>
      </c>
      <c r="H25" s="408">
        <f t="shared" si="17"/>
        <v>0.79133238250543714</v>
      </c>
      <c r="I25" s="408">
        <f t="shared" si="18"/>
        <v>0.7514707612660313</v>
      </c>
      <c r="J25" s="413">
        <f t="shared" si="19"/>
        <v>0.59466314789582309</v>
      </c>
      <c r="K25" s="413">
        <f t="shared" si="20"/>
        <v>6.5256008967164492E-2</v>
      </c>
      <c r="L25" s="387">
        <f>+Efficiency1!K102</f>
        <v>42.960456000000001</v>
      </c>
      <c r="M25" s="388">
        <f t="shared" si="21"/>
        <v>735.38055360000021</v>
      </c>
      <c r="N25" s="387">
        <f>+Efficiency1!C102</f>
        <v>36.942305400000002</v>
      </c>
      <c r="O25" s="388">
        <f t="shared" si="21"/>
        <v>716.28860908816728</v>
      </c>
      <c r="P25" s="388">
        <f>'17'!I38</f>
        <v>33.996000000000002</v>
      </c>
      <c r="Q25" s="388">
        <f t="shared" si="22"/>
        <v>58.813000000000002</v>
      </c>
      <c r="R25" s="388">
        <f>'17'!I40</f>
        <v>25.547000000000001</v>
      </c>
      <c r="S25" s="388">
        <f t="shared" si="23"/>
        <v>47.988</v>
      </c>
      <c r="T25" s="95">
        <f t="shared" si="1"/>
        <v>4002.721706451181</v>
      </c>
      <c r="U25" s="13">
        <f t="shared" si="24"/>
        <v>7139.4046255258618</v>
      </c>
      <c r="V25" s="288">
        <f t="shared" si="25"/>
        <v>117.74096089102191</v>
      </c>
      <c r="W25" s="288">
        <f t="shared" si="26"/>
        <v>121.39160773172362</v>
      </c>
      <c r="X25" s="289">
        <f t="shared" si="27"/>
        <v>156.68069465891028</v>
      </c>
      <c r="Y25" s="288">
        <f t="shared" si="28"/>
        <v>148.77479006263778</v>
      </c>
      <c r="Z25" s="390">
        <v>61.1</v>
      </c>
      <c r="AA25" s="389">
        <f t="shared" si="29"/>
        <v>441.1</v>
      </c>
      <c r="AB25" s="392">
        <f t="shared" si="2"/>
        <v>1.7972702670902458</v>
      </c>
      <c r="AC25" s="392">
        <f t="shared" si="3"/>
        <v>7.5000425076088622</v>
      </c>
      <c r="AD25" s="387">
        <f t="shared" si="30"/>
        <v>2.3916702548244411</v>
      </c>
      <c r="AE25" s="392">
        <f t="shared" si="4"/>
        <v>9.1918813036592493</v>
      </c>
      <c r="AF25" s="391">
        <f>'17'!I46</f>
        <v>36139.060000000725</v>
      </c>
      <c r="AG25" s="389">
        <f t="shared" si="31"/>
        <v>147540.70000000074</v>
      </c>
      <c r="AH25" s="392">
        <f t="shared" si="5"/>
        <v>1063.038592775642</v>
      </c>
      <c r="AI25" s="392">
        <f t="shared" si="6"/>
        <v>2508.640946729477</v>
      </c>
      <c r="AJ25" s="392">
        <f t="shared" si="7"/>
        <v>1414.610717501105</v>
      </c>
      <c r="AK25" s="392">
        <f t="shared" si="8"/>
        <v>3074.5332166375083</v>
      </c>
      <c r="AL25" s="447">
        <v>4212.3999999999996</v>
      </c>
      <c r="AM25" s="448">
        <v>5190.8</v>
      </c>
      <c r="AN25" s="448">
        <v>4061</v>
      </c>
      <c r="AO25" s="448">
        <f t="shared" si="40"/>
        <v>13464.2</v>
      </c>
      <c r="AP25" s="583">
        <f>+[1]Nov!N20</f>
        <v>12794</v>
      </c>
      <c r="AQ25" s="480">
        <f t="shared" si="9"/>
        <v>-670.20000000000073</v>
      </c>
      <c r="AR25" s="451">
        <f t="shared" si="10"/>
        <v>0.31285928610686109</v>
      </c>
      <c r="AS25" s="451">
        <f t="shared" si="11"/>
        <v>0.38552606170437159</v>
      </c>
      <c r="AT25" s="451">
        <f t="shared" si="33"/>
        <v>0.30161465218876732</v>
      </c>
      <c r="AU25" s="451">
        <f t="shared" si="34"/>
        <v>-209.67829354881852</v>
      </c>
      <c r="AV25" s="451">
        <f>+AS25*AQ25</f>
        <v>-258.37956655427013</v>
      </c>
      <c r="AW25" s="451">
        <f t="shared" si="39"/>
        <v>-202.14213989691208</v>
      </c>
      <c r="AX25" s="393">
        <f t="shared" si="12"/>
        <v>4002.721706451181</v>
      </c>
      <c r="AY25" s="393">
        <f t="shared" si="13"/>
        <v>4932.4204334457299</v>
      </c>
      <c r="AZ25" s="393">
        <f t="shared" si="14"/>
        <v>3858.8578601030881</v>
      </c>
      <c r="BA25" s="387">
        <f>+Efficiency2!K102</f>
        <v>42.960456000000001</v>
      </c>
      <c r="BB25" s="388">
        <f t="shared" si="36"/>
        <v>81.445864499999999</v>
      </c>
      <c r="BC25" s="413">
        <f t="shared" si="37"/>
        <v>0.59466314789582309</v>
      </c>
      <c r="BD25" s="413">
        <f t="shared" si="38"/>
        <v>0.58920118651328213</v>
      </c>
    </row>
    <row r="26" spans="1:56" s="393" customFormat="1" ht="12.75" customHeight="1">
      <c r="A26" s="407">
        <f t="shared" si="15"/>
        <v>45979</v>
      </c>
      <c r="B26" s="416" t="s">
        <v>461</v>
      </c>
      <c r="C26" s="394" t="s">
        <v>498</v>
      </c>
      <c r="D26" s="386">
        <f>+'18'!F42</f>
        <v>1192.036496350365</v>
      </c>
      <c r="E26" s="386">
        <f>+'18'!G42</f>
        <v>913.66372262773712</v>
      </c>
      <c r="F26" s="46">
        <f t="shared" si="0"/>
        <v>0.23352705607161894</v>
      </c>
      <c r="G26" s="412">
        <f t="shared" si="16"/>
        <v>0.86476645265379126</v>
      </c>
      <c r="H26" s="408">
        <f t="shared" si="17"/>
        <v>0.83813479971348614</v>
      </c>
      <c r="I26" s="408">
        <f t="shared" si="18"/>
        <v>0.9635787584814669</v>
      </c>
      <c r="J26" s="413">
        <f t="shared" si="19"/>
        <v>0.80760888974803402</v>
      </c>
      <c r="K26" s="413">
        <f t="shared" si="20"/>
        <v>0.1058636592717377</v>
      </c>
      <c r="L26" s="387">
        <f>+SUM(Efficiency1!K107:K108)</f>
        <v>42.554013998932284</v>
      </c>
      <c r="M26" s="388">
        <f t="shared" si="21"/>
        <v>777.93456759893252</v>
      </c>
      <c r="N26" s="387">
        <f>+SUM(Efficiency1!C107:C108)</f>
        <v>41.243505562164607</v>
      </c>
      <c r="O26" s="388">
        <f t="shared" si="21"/>
        <v>757.53211465033189</v>
      </c>
      <c r="P26" s="388">
        <f>'18'!I38</f>
        <v>35.665999999999997</v>
      </c>
      <c r="Q26" s="388">
        <f t="shared" si="22"/>
        <v>94.478999999999999</v>
      </c>
      <c r="R26" s="388">
        <f>'18'!I40</f>
        <v>34.366999999999997</v>
      </c>
      <c r="S26" s="388">
        <f t="shared" si="23"/>
        <v>82.35499999999999</v>
      </c>
      <c r="T26" s="95">
        <f t="shared" si="1"/>
        <v>4457.9810233270273</v>
      </c>
      <c r="U26" s="13">
        <f t="shared" si="24"/>
        <v>11597.385648852889</v>
      </c>
      <c r="V26" s="288">
        <f t="shared" si="25"/>
        <v>124.99245845699063</v>
      </c>
      <c r="W26" s="288">
        <f t="shared" si="26"/>
        <v>122.75093564551794</v>
      </c>
      <c r="X26" s="289">
        <f t="shared" si="27"/>
        <v>129.71690934114199</v>
      </c>
      <c r="Y26" s="288">
        <f t="shared" si="28"/>
        <v>140.82187661772679</v>
      </c>
      <c r="Z26" s="390">
        <v>55.8</v>
      </c>
      <c r="AA26" s="389">
        <f t="shared" si="29"/>
        <v>496.90000000000003</v>
      </c>
      <c r="AB26" s="392">
        <f t="shared" si="2"/>
        <v>1.5645152245836371</v>
      </c>
      <c r="AC26" s="392">
        <f t="shared" si="3"/>
        <v>5.2593698070470687</v>
      </c>
      <c r="AD26" s="387">
        <f t="shared" si="30"/>
        <v>1.6236505950475748</v>
      </c>
      <c r="AE26" s="392">
        <f t="shared" si="4"/>
        <v>6.0336348734138801</v>
      </c>
      <c r="AF26" s="391">
        <f>'18'!I46</f>
        <v>37593.879999998906</v>
      </c>
      <c r="AG26" s="389">
        <f t="shared" si="31"/>
        <v>185134.57999999964</v>
      </c>
      <c r="AH26" s="392">
        <f t="shared" si="5"/>
        <v>1054.0537206302613</v>
      </c>
      <c r="AI26" s="392">
        <f t="shared" si="6"/>
        <v>1959.5315361085495</v>
      </c>
      <c r="AJ26" s="392">
        <f t="shared" si="7"/>
        <v>1093.8947245904183</v>
      </c>
      <c r="AK26" s="392">
        <f t="shared" si="8"/>
        <v>2248.0065569789285</v>
      </c>
      <c r="AL26" s="447">
        <v>4669.3999999999996</v>
      </c>
      <c r="AM26" s="448">
        <v>4810.6000000000004</v>
      </c>
      <c r="AN26" s="448">
        <v>4105.1000000000004</v>
      </c>
      <c r="AO26" s="448">
        <f t="shared" si="40"/>
        <v>13585.1</v>
      </c>
      <c r="AP26" s="584">
        <f>+[1]Nov!N21</f>
        <v>12970</v>
      </c>
      <c r="AQ26" s="480">
        <f t="shared" si="9"/>
        <v>-615.10000000000036</v>
      </c>
      <c r="AR26" s="451">
        <f t="shared" si="10"/>
        <v>0.34371480519098124</v>
      </c>
      <c r="AS26" s="451">
        <f t="shared" si="11"/>
        <v>0.35410854539164233</v>
      </c>
      <c r="AT26" s="451">
        <f t="shared" si="33"/>
        <v>0.30217664941737638</v>
      </c>
      <c r="AU26" s="451">
        <f t="shared" si="34"/>
        <v>-211.41897667297269</v>
      </c>
      <c r="AV26" s="451">
        <f t="shared" si="35"/>
        <v>-217.81216627039933</v>
      </c>
      <c r="AW26" s="451">
        <f t="shared" si="39"/>
        <v>-185.86885705662831</v>
      </c>
      <c r="AX26" s="393">
        <f t="shared" si="12"/>
        <v>4457.9810233270273</v>
      </c>
      <c r="AY26" s="393">
        <f t="shared" si="13"/>
        <v>4592.7878337296006</v>
      </c>
      <c r="AZ26" s="393">
        <f t="shared" si="14"/>
        <v>3919.2311429433721</v>
      </c>
      <c r="BA26" s="387">
        <f>+SUM(Efficiency2!K107:K108)</f>
        <v>40.480350353418565</v>
      </c>
      <c r="BB26" s="388">
        <f t="shared" si="36"/>
        <v>121.92621485341857</v>
      </c>
      <c r="BC26" s="413">
        <f t="shared" si="37"/>
        <v>0.84897980625055791</v>
      </c>
      <c r="BD26" s="413">
        <f t="shared" si="38"/>
        <v>0.67544949294955425</v>
      </c>
    </row>
    <row r="27" spans="1:56" s="393" customFormat="1" ht="12.75" customHeight="1">
      <c r="A27" s="407">
        <f t="shared" si="15"/>
        <v>45980</v>
      </c>
      <c r="B27" s="416" t="s">
        <v>461</v>
      </c>
      <c r="C27" s="394" t="s">
        <v>385</v>
      </c>
      <c r="D27" s="386">
        <f>+'19'!F42</f>
        <v>1230</v>
      </c>
      <c r="E27" s="386">
        <f>+'19'!G42</f>
        <v>942.30190597204557</v>
      </c>
      <c r="F27" s="46">
        <f t="shared" si="0"/>
        <v>0.23390088945362153</v>
      </c>
      <c r="G27" s="412">
        <f t="shared" si="16"/>
        <v>0.48044951154486737</v>
      </c>
      <c r="H27" s="408">
        <f t="shared" si="17"/>
        <v>0.48044951154486737</v>
      </c>
      <c r="I27" s="408">
        <f t="shared" si="18"/>
        <v>1.2598187311178246</v>
      </c>
      <c r="J27" s="413">
        <f t="shared" si="19"/>
        <v>0.60527929400063352</v>
      </c>
      <c r="K27" s="413">
        <f t="shared" si="20"/>
        <v>0.13146010408207578</v>
      </c>
      <c r="L27" s="387">
        <f>+Efficiency1!K112</f>
        <v>42.025227448096679</v>
      </c>
      <c r="M27" s="388">
        <f t="shared" si="21"/>
        <v>819.95979504702916</v>
      </c>
      <c r="N27" s="387">
        <f>+Efficiency1!C112</f>
        <v>42.025227448096679</v>
      </c>
      <c r="O27" s="388">
        <f t="shared" si="21"/>
        <v>799.55734209842853</v>
      </c>
      <c r="P27" s="388">
        <f>'19'!I38</f>
        <v>20.191000000000003</v>
      </c>
      <c r="Q27" s="388">
        <f t="shared" si="22"/>
        <v>114.67</v>
      </c>
      <c r="R27" s="388">
        <f>'19'!I40</f>
        <v>25.437000000000001</v>
      </c>
      <c r="S27" s="388">
        <f t="shared" si="23"/>
        <v>107.79199999999999</v>
      </c>
      <c r="T27" s="95">
        <f t="shared" si="1"/>
        <v>2548.0121333490397</v>
      </c>
      <c r="U27" s="13">
        <f t="shared" si="24"/>
        <v>14145.39778220193</v>
      </c>
      <c r="V27" s="288">
        <f t="shared" si="25"/>
        <v>126.19544021341386</v>
      </c>
      <c r="W27" s="288">
        <f t="shared" si="26"/>
        <v>123.35744119823781</v>
      </c>
      <c r="X27" s="289">
        <f t="shared" si="27"/>
        <v>100.1695220878657</v>
      </c>
      <c r="Y27" s="288">
        <f t="shared" si="28"/>
        <v>131.22864203467725</v>
      </c>
      <c r="Z27" s="390">
        <v>29.1</v>
      </c>
      <c r="AA27" s="389">
        <f t="shared" si="29"/>
        <v>526</v>
      </c>
      <c r="AB27" s="392">
        <f t="shared" si="2"/>
        <v>1.4412361943440146</v>
      </c>
      <c r="AC27" s="392">
        <f t="shared" si="3"/>
        <v>4.5870759570942701</v>
      </c>
      <c r="AD27" s="387">
        <f t="shared" si="30"/>
        <v>1.1440028305224672</v>
      </c>
      <c r="AE27" s="392">
        <f t="shared" si="4"/>
        <v>4.8797684429271193</v>
      </c>
      <c r="AF27" s="391">
        <f>'19'!I46</f>
        <v>28376.000000000728</v>
      </c>
      <c r="AG27" s="389">
        <f t="shared" si="31"/>
        <v>213510.58000000037</v>
      </c>
      <c r="AH27" s="392">
        <f t="shared" si="5"/>
        <v>1405.3786340449074</v>
      </c>
      <c r="AI27" s="392">
        <f t="shared" si="6"/>
        <v>1861.9567454434496</v>
      </c>
      <c r="AJ27" s="392">
        <f t="shared" si="7"/>
        <v>1115.5403546015932</v>
      </c>
      <c r="AK27" s="392">
        <f t="shared" si="8"/>
        <v>1980.7646207510797</v>
      </c>
      <c r="AL27" s="447">
        <v>2647.5</v>
      </c>
      <c r="AM27" s="448">
        <v>5128.8</v>
      </c>
      <c r="AN27" s="448">
        <v>3259.4</v>
      </c>
      <c r="AO27" s="448">
        <f t="shared" si="40"/>
        <v>11035.7</v>
      </c>
      <c r="AP27" s="585">
        <f>+[1]Nov!N22</f>
        <v>10621</v>
      </c>
      <c r="AQ27" s="480">
        <f t="shared" si="9"/>
        <v>-414.70000000000073</v>
      </c>
      <c r="AR27" s="451">
        <f t="shared" si="10"/>
        <v>0.2399032231756934</v>
      </c>
      <c r="AS27" s="451">
        <f t="shared" si="11"/>
        <v>0.46474623268120735</v>
      </c>
      <c r="AT27" s="451">
        <f t="shared" si="33"/>
        <v>0.29535054414309919</v>
      </c>
      <c r="AU27" s="451">
        <f t="shared" si="34"/>
        <v>-99.487866650960228</v>
      </c>
      <c r="AV27" s="451">
        <f t="shared" si="35"/>
        <v>-192.73026269289701</v>
      </c>
      <c r="AW27" s="451">
        <f>+AT27*AQ27</f>
        <v>-122.48187065614346</v>
      </c>
      <c r="AX27" s="393">
        <f t="shared" si="12"/>
        <v>2548.0121333490397</v>
      </c>
      <c r="AY27" s="393">
        <f t="shared" si="13"/>
        <v>4936.0697373071034</v>
      </c>
      <c r="AZ27" s="393">
        <f t="shared" si="14"/>
        <v>3136.9181293438564</v>
      </c>
      <c r="BA27" s="387">
        <f>+Efficiency2!K112</f>
        <v>22.967954167813946</v>
      </c>
      <c r="BB27" s="388">
        <f t="shared" si="36"/>
        <v>144.89416902123253</v>
      </c>
      <c r="BC27" s="413">
        <f t="shared" si="37"/>
        <v>1.1074995976631667</v>
      </c>
      <c r="BD27" s="413">
        <f t="shared" si="38"/>
        <v>0.7439360791958739</v>
      </c>
    </row>
    <row r="28" spans="1:56" s="393" customFormat="1" ht="12.75" customHeight="1">
      <c r="A28" s="407">
        <f t="shared" si="15"/>
        <v>45981</v>
      </c>
      <c r="B28" s="416" t="s">
        <v>461</v>
      </c>
      <c r="C28" s="394" t="s">
        <v>525</v>
      </c>
      <c r="D28" s="386">
        <f>+'20'!F42</f>
        <v>1126.6666666666667</v>
      </c>
      <c r="E28" s="386">
        <f>+'20'!G42</f>
        <v>863.9654114365411</v>
      </c>
      <c r="F28" s="46">
        <f t="shared" si="0"/>
        <v>0.23316679458295175</v>
      </c>
      <c r="G28" s="412">
        <f t="shared" si="16"/>
        <v>0.47095049941474237</v>
      </c>
      <c r="H28" s="408">
        <f t="shared" si="17"/>
        <v>0.43396016114704522</v>
      </c>
      <c r="I28" s="408">
        <f t="shared" si="18"/>
        <v>0.59095915098117746</v>
      </c>
      <c r="J28" s="413">
        <f t="shared" si="19"/>
        <v>0.25645272839111277</v>
      </c>
      <c r="K28" s="413">
        <f t="shared" si="20"/>
        <v>0.13810409973045307</v>
      </c>
      <c r="L28" s="387">
        <f>+SUM(Efficiency1!K117:K118)</f>
        <v>46.031875246795366</v>
      </c>
      <c r="M28" s="388">
        <f t="shared" si="21"/>
        <v>865.99167029382454</v>
      </c>
      <c r="N28" s="387">
        <f>+SUM(Efficiency1!C117:C118)</f>
        <v>42.416347418305087</v>
      </c>
      <c r="O28" s="388">
        <f t="shared" si="21"/>
        <v>841.97368951673366</v>
      </c>
      <c r="P28" s="388">
        <f>'20'!I38</f>
        <v>19.975999999999999</v>
      </c>
      <c r="Q28" s="388">
        <f t="shared" si="22"/>
        <v>134.64600000000002</v>
      </c>
      <c r="R28" s="388">
        <f>'20'!I40</f>
        <v>11.805</v>
      </c>
      <c r="S28" s="388">
        <f t="shared" si="23"/>
        <v>119.59699999999998</v>
      </c>
      <c r="T28" s="95">
        <f t="shared" si="1"/>
        <v>2577.3201739319852</v>
      </c>
      <c r="U28" s="13">
        <f t="shared" si="24"/>
        <v>16722.717956133914</v>
      </c>
      <c r="V28" s="288">
        <f t="shared" si="25"/>
        <v>129.0208336970357</v>
      </c>
      <c r="W28" s="288">
        <f t="shared" si="26"/>
        <v>124.19765872089711</v>
      </c>
      <c r="X28" s="289">
        <f t="shared" si="27"/>
        <v>218.32445353087547</v>
      </c>
      <c r="Y28" s="288">
        <f t="shared" si="28"/>
        <v>139.82556381961018</v>
      </c>
      <c r="Z28" s="390">
        <v>33.4</v>
      </c>
      <c r="AA28" s="389">
        <f t="shared" si="29"/>
        <v>559.4</v>
      </c>
      <c r="AB28" s="392">
        <f t="shared" si="2"/>
        <v>1.6720064076892271</v>
      </c>
      <c r="AC28" s="392">
        <f t="shared" si="3"/>
        <v>4.1545979828587551</v>
      </c>
      <c r="AD28" s="387">
        <f t="shared" si="30"/>
        <v>2.8293096145700973</v>
      </c>
      <c r="AE28" s="392">
        <f t="shared" si="4"/>
        <v>4.6773748505397297</v>
      </c>
      <c r="AF28" s="391">
        <f>'20'!I46</f>
        <v>19849.060000000001</v>
      </c>
      <c r="AG28" s="389">
        <f t="shared" si="31"/>
        <v>233359.64000000036</v>
      </c>
      <c r="AH28" s="392">
        <f t="shared" si="5"/>
        <v>993.64537444933933</v>
      </c>
      <c r="AI28" s="392">
        <f t="shared" si="6"/>
        <v>1733.1345899618282</v>
      </c>
      <c r="AJ28" s="392">
        <f t="shared" si="7"/>
        <v>1681.4112664125371</v>
      </c>
      <c r="AK28" s="392">
        <f t="shared" si="8"/>
        <v>1951.216502086176</v>
      </c>
      <c r="AL28" s="482">
        <v>2704.6</v>
      </c>
      <c r="AM28" s="483">
        <v>5209</v>
      </c>
      <c r="AN28" s="448">
        <v>4022.1</v>
      </c>
      <c r="AO28" s="448">
        <f t="shared" si="40"/>
        <v>11935.7</v>
      </c>
      <c r="AP28" s="593">
        <f>+[1]Nov!N23</f>
        <v>11374</v>
      </c>
      <c r="AQ28" s="480">
        <f t="shared" si="9"/>
        <v>-561.70000000000073</v>
      </c>
      <c r="AR28" s="451">
        <f t="shared" si="10"/>
        <v>0.22659751836926195</v>
      </c>
      <c r="AS28" s="451">
        <f t="shared" si="11"/>
        <v>0.43642182695610643</v>
      </c>
      <c r="AT28" s="451">
        <f t="shared" si="33"/>
        <v>0.33698065467463167</v>
      </c>
      <c r="AU28" s="451">
        <f t="shared" si="34"/>
        <v>-127.2798260680146</v>
      </c>
      <c r="AV28" s="451">
        <f t="shared" si="35"/>
        <v>-245.13814020124531</v>
      </c>
      <c r="AW28" s="451">
        <f t="shared" si="39"/>
        <v>-189.28203373074086</v>
      </c>
      <c r="AX28" s="393">
        <f t="shared" si="12"/>
        <v>2577.3201739319852</v>
      </c>
      <c r="AY28" s="393">
        <f t="shared" si="13"/>
        <v>4963.8618597987543</v>
      </c>
      <c r="AZ28" s="393">
        <f t="shared" si="14"/>
        <v>3832.8179662692592</v>
      </c>
      <c r="BA28" s="387">
        <f>+SUM(Efficiency2!K117:K118)</f>
        <v>23.119021051181466</v>
      </c>
      <c r="BB28" s="388">
        <f t="shared" si="36"/>
        <v>168.01319007241401</v>
      </c>
      <c r="BC28" s="413">
        <f t="shared" si="37"/>
        <v>0.5106185064612293</v>
      </c>
      <c r="BD28" s="413">
        <f t="shared" si="38"/>
        <v>0.71183101724604747</v>
      </c>
    </row>
    <row r="29" spans="1:56" s="393" customFormat="1" ht="12.75" customHeight="1">
      <c r="A29" s="407">
        <f t="shared" si="15"/>
        <v>45982</v>
      </c>
      <c r="B29" s="416" t="s">
        <v>461</v>
      </c>
      <c r="C29" s="394" t="s">
        <v>539</v>
      </c>
      <c r="D29" s="386">
        <f>+'21'!F42</f>
        <v>1166.7361111111111</v>
      </c>
      <c r="E29" s="386">
        <f>+'21'!G42</f>
        <v>894.38680555555561</v>
      </c>
      <c r="F29" s="46">
        <f t="shared" si="0"/>
        <v>0.23342836735908568</v>
      </c>
      <c r="G29" s="412">
        <f t="shared" si="16"/>
        <v>0.96094511142231931</v>
      </c>
      <c r="H29" s="408">
        <f t="shared" si="17"/>
        <v>0.90815757744311842</v>
      </c>
      <c r="I29" s="408">
        <f t="shared" si="18"/>
        <v>1.0161141568888661</v>
      </c>
      <c r="J29" s="413">
        <f t="shared" si="19"/>
        <v>0.92279177112584931</v>
      </c>
      <c r="K29" s="413">
        <f t="shared" si="20"/>
        <v>0.17520868642240017</v>
      </c>
      <c r="L29" s="387">
        <f>+SUM(Efficiency1!K122:K124)</f>
        <v>42.981527622000002</v>
      </c>
      <c r="M29" s="388">
        <f t="shared" si="21"/>
        <v>908.97319791582458</v>
      </c>
      <c r="N29" s="387">
        <f>+SUM(Efficiency1!C122:C124)</f>
        <v>40.620426219999999</v>
      </c>
      <c r="O29" s="388">
        <f t="shared" si="21"/>
        <v>882.59411573673367</v>
      </c>
      <c r="P29" s="388">
        <f>'21'!I38</f>
        <v>39.033999999999999</v>
      </c>
      <c r="Q29" s="388">
        <f t="shared" si="22"/>
        <v>173.68</v>
      </c>
      <c r="R29" s="388">
        <f>'21'!I40</f>
        <v>39.662999999999997</v>
      </c>
      <c r="S29" s="388">
        <f t="shared" si="23"/>
        <v>159.26</v>
      </c>
      <c r="T29" s="95">
        <f t="shared" si="1"/>
        <v>4544.756140113509</v>
      </c>
      <c r="U29" s="13">
        <f t="shared" si="24"/>
        <v>21267.474096247424</v>
      </c>
      <c r="V29" s="288">
        <f t="shared" si="25"/>
        <v>116.43070502929521</v>
      </c>
      <c r="W29" s="288">
        <f t="shared" si="26"/>
        <v>122.45206181625647</v>
      </c>
      <c r="X29" s="289">
        <f t="shared" si="27"/>
        <v>114.58427602837681</v>
      </c>
      <c r="Y29" s="288">
        <f t="shared" si="28"/>
        <v>133.53933251442564</v>
      </c>
      <c r="Z29" s="390">
        <v>55.5</v>
      </c>
      <c r="AA29" s="389">
        <f t="shared" si="29"/>
        <v>614.9</v>
      </c>
      <c r="AB29" s="392">
        <f t="shared" si="2"/>
        <v>1.4218373725470104</v>
      </c>
      <c r="AC29" s="392">
        <f t="shared" si="3"/>
        <v>3.5404191616766463</v>
      </c>
      <c r="AD29" s="387">
        <f t="shared" si="30"/>
        <v>1.3992890099084792</v>
      </c>
      <c r="AE29" s="392">
        <f t="shared" si="4"/>
        <v>3.8609820419439909</v>
      </c>
      <c r="AF29" s="391">
        <f>'21'!I46</f>
        <v>40426.020000000361</v>
      </c>
      <c r="AG29" s="389">
        <f t="shared" si="31"/>
        <v>273785.66000000073</v>
      </c>
      <c r="AH29" s="392">
        <f t="shared" si="5"/>
        <v>1035.6617307988001</v>
      </c>
      <c r="AI29" s="392">
        <f t="shared" si="6"/>
        <v>1576.3798940580421</v>
      </c>
      <c r="AJ29" s="392">
        <f t="shared" si="7"/>
        <v>1019.2375765827184</v>
      </c>
      <c r="AK29" s="392">
        <f t="shared" si="8"/>
        <v>1719.1112645987739</v>
      </c>
      <c r="AL29" s="482">
        <v>4812</v>
      </c>
      <c r="AM29" s="483">
        <v>5025.7</v>
      </c>
      <c r="AN29" s="483">
        <v>4205.2</v>
      </c>
      <c r="AO29" s="448">
        <f t="shared" si="40"/>
        <v>14042.900000000001</v>
      </c>
      <c r="AP29" s="594">
        <f>+[1]Nov!N24</f>
        <v>13263</v>
      </c>
      <c r="AQ29" s="480">
        <f t="shared" si="9"/>
        <v>-779.90000000000146</v>
      </c>
      <c r="AR29" s="451">
        <f t="shared" si="10"/>
        <v>0.34266426450377058</v>
      </c>
      <c r="AS29" s="451">
        <f t="shared" si="11"/>
        <v>0.35788191897684946</v>
      </c>
      <c r="AT29" s="451">
        <f t="shared" si="33"/>
        <v>0.29945381651938002</v>
      </c>
      <c r="AU29" s="451">
        <f t="shared" si="34"/>
        <v>-267.24385988649118</v>
      </c>
      <c r="AV29" s="451">
        <f t="shared" si="35"/>
        <v>-279.11210861004542</v>
      </c>
      <c r="AW29" s="451">
        <f t="shared" si="39"/>
        <v>-233.54403150346491</v>
      </c>
      <c r="AX29" s="393">
        <f t="shared" si="12"/>
        <v>4544.756140113509</v>
      </c>
      <c r="AY29" s="393">
        <f t="shared" si="13"/>
        <v>4746.5878913899542</v>
      </c>
      <c r="AZ29" s="393">
        <f t="shared" si="14"/>
        <v>3971.655968496535</v>
      </c>
      <c r="BA29" s="387">
        <f>+SUM(Efficiency2!K122:K124)</f>
        <v>42.981527622000002</v>
      </c>
      <c r="BB29" s="388">
        <f t="shared" si="36"/>
        <v>210.99471769441402</v>
      </c>
      <c r="BC29" s="413">
        <f t="shared" si="37"/>
        <v>0.92279177112584931</v>
      </c>
      <c r="BD29" s="413">
        <f t="shared" si="38"/>
        <v>0.75480562613258406</v>
      </c>
    </row>
    <row r="30" spans="1:56" s="393" customFormat="1" ht="12.75" customHeight="1">
      <c r="A30" s="407">
        <f t="shared" si="15"/>
        <v>45983</v>
      </c>
      <c r="B30" s="416" t="s">
        <v>461</v>
      </c>
      <c r="C30" s="394" t="s">
        <v>571</v>
      </c>
      <c r="D30" s="386">
        <f>+'22'!F42</f>
        <v>1181.4492753623188</v>
      </c>
      <c r="E30" s="386">
        <f>+'22'!G42</f>
        <v>905.82028985507247</v>
      </c>
      <c r="F30" s="46">
        <f t="shared" si="0"/>
        <v>0.23329735034347399</v>
      </c>
      <c r="G30" s="412">
        <f t="shared" si="16"/>
        <v>0.92295291195538243</v>
      </c>
      <c r="H30" s="408">
        <f t="shared" si="17"/>
        <v>0.88590369746761577</v>
      </c>
      <c r="I30" s="408">
        <f t="shared" si="18"/>
        <v>0.9382085393503975</v>
      </c>
      <c r="J30" s="413">
        <f t="shared" si="19"/>
        <v>0.83116241400620816</v>
      </c>
      <c r="K30" s="413">
        <f t="shared" si="20"/>
        <v>0.2037315060733452</v>
      </c>
      <c r="L30" s="387">
        <f>+SUM(Efficiency1!K127:K128)</f>
        <v>41.321647154924726</v>
      </c>
      <c r="M30" s="388">
        <f t="shared" si="21"/>
        <v>950.29484507074926</v>
      </c>
      <c r="N30" s="387">
        <f>+SUM(Efficiency1!C127:C128)</f>
        <v>39.66291186236559</v>
      </c>
      <c r="O30" s="388">
        <f t="shared" si="21"/>
        <v>922.25702759909927</v>
      </c>
      <c r="P30" s="388">
        <f>'22'!I38</f>
        <v>36.606999999999999</v>
      </c>
      <c r="Q30" s="388">
        <f t="shared" si="22"/>
        <v>210.28700000000001</v>
      </c>
      <c r="R30" s="388">
        <f>'22'!I40</f>
        <v>34.344999999999999</v>
      </c>
      <c r="S30" s="388">
        <f t="shared" si="23"/>
        <v>193.60499999999999</v>
      </c>
      <c r="T30" s="95">
        <f t="shared" si="1"/>
        <v>4441.269881332234</v>
      </c>
      <c r="U30" s="13">
        <f t="shared" si="24"/>
        <v>25708.743977579659</v>
      </c>
      <c r="V30" s="288">
        <f t="shared" si="25"/>
        <v>121.32296777480356</v>
      </c>
      <c r="W30" s="288">
        <f t="shared" si="26"/>
        <v>122.25550784204282</v>
      </c>
      <c r="X30" s="289">
        <f t="shared" si="27"/>
        <v>129.31343372637164</v>
      </c>
      <c r="Y30" s="288">
        <f t="shared" si="28"/>
        <v>132.78966957247829</v>
      </c>
      <c r="Z30" s="390">
        <v>52.9</v>
      </c>
      <c r="AA30" s="389">
        <f t="shared" si="29"/>
        <v>667.8</v>
      </c>
      <c r="AB30" s="392">
        <f t="shared" si="2"/>
        <v>1.4450788100636489</v>
      </c>
      <c r="AC30" s="392">
        <f t="shared" si="3"/>
        <v>3.1756599314270493</v>
      </c>
      <c r="AD30" s="387">
        <f t="shared" si="30"/>
        <v>1.5402533119813655</v>
      </c>
      <c r="AE30" s="392">
        <f t="shared" si="4"/>
        <v>3.44929108235841</v>
      </c>
      <c r="AF30" s="391">
        <f>'22'!I46</f>
        <v>38351.699999998906</v>
      </c>
      <c r="AG30" s="389">
        <f t="shared" si="31"/>
        <v>312137.35999999964</v>
      </c>
      <c r="AH30" s="392">
        <f t="shared" si="5"/>
        <v>1047.6602835522961</v>
      </c>
      <c r="AI30" s="392">
        <f t="shared" si="6"/>
        <v>1484.339783248606</v>
      </c>
      <c r="AJ30" s="392">
        <f t="shared" si="7"/>
        <v>1116.6603581307004</v>
      </c>
      <c r="AK30" s="392">
        <f t="shared" si="8"/>
        <v>1612.2381136850786</v>
      </c>
      <c r="AL30" s="482">
        <v>4464.8</v>
      </c>
      <c r="AM30" s="448">
        <v>5314.3</v>
      </c>
      <c r="AN30" s="448">
        <v>4167.3999999999996</v>
      </c>
      <c r="AO30" s="448">
        <f t="shared" si="40"/>
        <v>13946.5</v>
      </c>
      <c r="AP30" s="597">
        <f>+[1]Nov!N25</f>
        <v>13873</v>
      </c>
      <c r="AQ30" s="480">
        <f t="shared" si="9"/>
        <v>-73.5</v>
      </c>
      <c r="AR30" s="451">
        <f>+AL30/AO30</f>
        <v>0.32013766894919876</v>
      </c>
      <c r="AS30" s="451">
        <f t="shared" si="11"/>
        <v>0.3810490087118632</v>
      </c>
      <c r="AT30" s="451">
        <f t="shared" si="33"/>
        <v>0.29881332233893798</v>
      </c>
      <c r="AU30" s="451">
        <f t="shared" si="34"/>
        <v>-23.530118667766111</v>
      </c>
      <c r="AV30" s="451">
        <f t="shared" si="35"/>
        <v>-28.007102140321944</v>
      </c>
      <c r="AW30" s="451">
        <f t="shared" si="39"/>
        <v>-21.962779191911942</v>
      </c>
      <c r="AX30" s="451">
        <f>+AL30+AU30</f>
        <v>4441.269881332234</v>
      </c>
      <c r="AY30" s="393">
        <f t="shared" si="13"/>
        <v>5286.2928978596783</v>
      </c>
      <c r="AZ30" s="393">
        <f t="shared" si="14"/>
        <v>4145.4372208080877</v>
      </c>
      <c r="BA30" s="387">
        <f>+SUM(Efficiency2!K127:K128)</f>
        <v>41.321647154924726</v>
      </c>
      <c r="BB30" s="388">
        <f t="shared" si="36"/>
        <v>252.31636484933875</v>
      </c>
      <c r="BC30" s="413">
        <f t="shared" si="37"/>
        <v>0.83116241400620816</v>
      </c>
      <c r="BD30" s="413">
        <f t="shared" si="38"/>
        <v>0.76731051557279661</v>
      </c>
    </row>
    <row r="31" spans="1:56" s="393" customFormat="1" ht="12.75" customHeight="1">
      <c r="A31" s="407">
        <f t="shared" si="15"/>
        <v>45984</v>
      </c>
      <c r="B31" s="416" t="s">
        <v>573</v>
      </c>
      <c r="C31" s="394" t="s">
        <v>572</v>
      </c>
      <c r="D31" s="386">
        <f>+'23'!F42</f>
        <v>1129.0277777777778</v>
      </c>
      <c r="E31" s="386">
        <f>+'23'!G42</f>
        <v>869.35138888888889</v>
      </c>
      <c r="F31" s="46">
        <f t="shared" si="0"/>
        <v>0.22999999999999998</v>
      </c>
      <c r="G31" s="412">
        <f t="shared" si="16"/>
        <v>0.92331200799145863</v>
      </c>
      <c r="H31" s="408">
        <f t="shared" si="17"/>
        <v>0.84572580282145271</v>
      </c>
      <c r="I31" s="408">
        <f t="shared" si="18"/>
        <v>0.96684073778715318</v>
      </c>
      <c r="J31" s="413">
        <f t="shared" si="19"/>
        <v>0.81768215916552578</v>
      </c>
      <c r="K31" s="413">
        <f t="shared" si="20"/>
        <v>0.23205714549018236</v>
      </c>
      <c r="L31" s="387">
        <f>+SUM(Efficiency1!K132:K134)</f>
        <v>45.964069997999999</v>
      </c>
      <c r="M31" s="388">
        <f t="shared" si="21"/>
        <v>996.25891506874927</v>
      </c>
      <c r="N31" s="387">
        <f>+SUM(Efficiency1!C132:C134)</f>
        <v>42.101694404</v>
      </c>
      <c r="O31" s="388">
        <f t="shared" si="21"/>
        <v>964.35872200309927</v>
      </c>
      <c r="P31" s="388">
        <f>'23'!I38</f>
        <v>38.872999999999998</v>
      </c>
      <c r="Q31" s="388">
        <f t="shared" si="22"/>
        <v>249.16</v>
      </c>
      <c r="R31" s="388">
        <f>'23'!I40</f>
        <v>37.584000000000003</v>
      </c>
      <c r="S31" s="388">
        <f t="shared" si="23"/>
        <v>231.18899999999999</v>
      </c>
      <c r="T31" s="95">
        <f t="shared" si="1"/>
        <v>4443.1239197653222</v>
      </c>
      <c r="U31" s="13">
        <f t="shared" si="24"/>
        <v>30151.867897344982</v>
      </c>
      <c r="V31" s="288">
        <f t="shared" si="25"/>
        <v>114.29845702069103</v>
      </c>
      <c r="W31" s="288">
        <f t="shared" si="26"/>
        <v>121.01407889446533</v>
      </c>
      <c r="X31" s="289">
        <f t="shared" si="27"/>
        <v>118.21849509805561</v>
      </c>
      <c r="Y31" s="288">
        <f t="shared" si="28"/>
        <v>130.42085867988953</v>
      </c>
      <c r="Z31" s="390">
        <v>55.5</v>
      </c>
      <c r="AA31" s="389">
        <f t="shared" si="29"/>
        <v>723.3</v>
      </c>
      <c r="AB31" s="392">
        <f t="shared" si="2"/>
        <v>1.4277261852699819</v>
      </c>
      <c r="AC31" s="392">
        <f t="shared" si="3"/>
        <v>2.9029539251886338</v>
      </c>
      <c r="AD31" s="387">
        <f t="shared" si="30"/>
        <v>1.4766922094508299</v>
      </c>
      <c r="AE31" s="392">
        <f t="shared" si="4"/>
        <v>3.1286090601196421</v>
      </c>
      <c r="AF31" s="391">
        <f>'23'!I46</f>
        <v>38161.60000000109</v>
      </c>
      <c r="AG31" s="389">
        <f t="shared" si="31"/>
        <v>350298.96000000072</v>
      </c>
      <c r="AH31" s="392">
        <f t="shared" si="5"/>
        <v>981.69938003244124</v>
      </c>
      <c r="AI31" s="392">
        <f t="shared" si="6"/>
        <v>1405.9197302937901</v>
      </c>
      <c r="AJ31" s="392">
        <f t="shared" si="7"/>
        <v>1015.3682418050524</v>
      </c>
      <c r="AK31" s="392">
        <f t="shared" si="8"/>
        <v>1515.2060002854839</v>
      </c>
      <c r="AL31" s="447">
        <v>4956.6000000000004</v>
      </c>
      <c r="AM31" s="448">
        <v>5365.5</v>
      </c>
      <c r="AN31" s="448">
        <v>3552.2</v>
      </c>
      <c r="AO31" s="448">
        <f>SUM(AL31:AN31)</f>
        <v>13874.3</v>
      </c>
      <c r="AP31" s="597">
        <f>+[1]Nov!N26</f>
        <v>12437</v>
      </c>
      <c r="AQ31" s="480">
        <f t="shared" si="9"/>
        <v>-1437.2999999999993</v>
      </c>
      <c r="AR31" s="451">
        <f>+AL31/AO31</f>
        <v>0.35725045587885518</v>
      </c>
      <c r="AS31" s="451">
        <f t="shared" si="11"/>
        <v>0.38672221301254839</v>
      </c>
      <c r="AT31" s="451">
        <f t="shared" si="33"/>
        <v>0.25602733110859643</v>
      </c>
      <c r="AU31" s="451">
        <f t="shared" si="34"/>
        <v>-513.47608023467831</v>
      </c>
      <c r="AV31" s="451">
        <f t="shared" si="35"/>
        <v>-555.83583676293551</v>
      </c>
      <c r="AW31" s="451">
        <f t="shared" si="39"/>
        <v>-367.98808300238545</v>
      </c>
      <c r="AX31" s="451">
        <f>+AL31+AU31</f>
        <v>4443.1239197653222</v>
      </c>
      <c r="AY31" s="393">
        <f t="shared" si="13"/>
        <v>4809.6641632370647</v>
      </c>
      <c r="AZ31" s="393">
        <f t="shared" si="14"/>
        <v>3184.2119169976145</v>
      </c>
      <c r="BA31" s="387">
        <f>+SUM(Efficiency2!K132:K134)</f>
        <v>45.964069997999999</v>
      </c>
      <c r="BB31" s="388">
        <f t="shared" si="36"/>
        <v>298.28043484733877</v>
      </c>
      <c r="BC31" s="413">
        <f t="shared" si="37"/>
        <v>0.81768215916552578</v>
      </c>
      <c r="BD31" s="413">
        <f t="shared" si="38"/>
        <v>0.77507262626301165</v>
      </c>
    </row>
    <row r="32" spans="1:56" s="393" customFormat="1" ht="12.75" customHeight="1">
      <c r="A32" s="407">
        <f t="shared" si="15"/>
        <v>45985</v>
      </c>
      <c r="B32" s="416" t="s">
        <v>574</v>
      </c>
      <c r="C32" s="394" t="s">
        <v>590</v>
      </c>
      <c r="D32" s="386">
        <f>+'24'!F42</f>
        <v>1062.5830258302583</v>
      </c>
      <c r="E32" s="386">
        <f>+'24'!G42</f>
        <v>818.18892988929895</v>
      </c>
      <c r="F32" s="46">
        <f t="shared" si="0"/>
        <v>0.22999999999999998</v>
      </c>
      <c r="G32" s="412">
        <f t="shared" si="16"/>
        <v>0.88900211357444592</v>
      </c>
      <c r="H32" s="408">
        <f t="shared" si="17"/>
        <v>0.76799882586295098</v>
      </c>
      <c r="I32" s="408">
        <f t="shared" si="18"/>
        <v>0.93857135275699199</v>
      </c>
      <c r="J32" s="413">
        <f t="shared" si="19"/>
        <v>0.72082169690597142</v>
      </c>
      <c r="K32" s="413">
        <f t="shared" si="20"/>
        <v>0.25500098326897219</v>
      </c>
      <c r="L32" s="387">
        <f>+Efficiency1!K136</f>
        <v>49.070387519999997</v>
      </c>
      <c r="M32" s="388">
        <f t="shared" si="21"/>
        <v>1045.3293025887492</v>
      </c>
      <c r="N32" s="387">
        <f>+Efficiency1!C136</f>
        <v>42.391350284280442</v>
      </c>
      <c r="O32" s="388">
        <f t="shared" si="21"/>
        <v>1006.7500722873797</v>
      </c>
      <c r="P32" s="388">
        <f>'24'!I38</f>
        <v>37.686</v>
      </c>
      <c r="Q32" s="388">
        <f t="shared" si="22"/>
        <v>286.846</v>
      </c>
      <c r="R32" s="388">
        <f>'24'!I40</f>
        <v>35.371000000000002</v>
      </c>
      <c r="S32" s="388">
        <f t="shared" si="23"/>
        <v>266.56</v>
      </c>
      <c r="T32" s="95">
        <f t="shared" si="1"/>
        <v>4859.2856740782436</v>
      </c>
      <c r="U32" s="13">
        <f t="shared" si="24"/>
        <v>35011.153571423223</v>
      </c>
      <c r="V32" s="288">
        <f t="shared" si="25"/>
        <v>128.94140195505608</v>
      </c>
      <c r="W32" s="288">
        <f t="shared" si="26"/>
        <v>122.05557536595673</v>
      </c>
      <c r="X32" s="289">
        <f t="shared" si="27"/>
        <v>137.38050024252195</v>
      </c>
      <c r="Y32" s="288">
        <f t="shared" si="28"/>
        <v>131.34436363829241</v>
      </c>
      <c r="Z32" s="390">
        <v>53.5</v>
      </c>
      <c r="AA32" s="389">
        <f t="shared" si="29"/>
        <v>776.8</v>
      </c>
      <c r="AB32" s="392">
        <f t="shared" si="2"/>
        <v>1.4196253250543969</v>
      </c>
      <c r="AC32" s="392">
        <f t="shared" si="3"/>
        <v>2.7080733215732482</v>
      </c>
      <c r="AD32" s="387">
        <f t="shared" si="30"/>
        <v>1.5125385202567074</v>
      </c>
      <c r="AE32" s="392">
        <f t="shared" si="4"/>
        <v>2.9141656662665065</v>
      </c>
      <c r="AF32" s="391">
        <f>+'24'!I46</f>
        <v>36251.679999998909</v>
      </c>
      <c r="AG32" s="389">
        <f t="shared" si="31"/>
        <v>386550.63999999961</v>
      </c>
      <c r="AH32" s="392">
        <f t="shared" si="5"/>
        <v>961.94024306105473</v>
      </c>
      <c r="AI32" s="392">
        <f t="shared" si="6"/>
        <v>1347.5894382351491</v>
      </c>
      <c r="AJ32" s="392">
        <f t="shared" si="7"/>
        <v>1024.8983630657576</v>
      </c>
      <c r="AK32" s="392">
        <f t="shared" si="8"/>
        <v>1450.1449579831917</v>
      </c>
      <c r="AL32" s="447">
        <v>5092.2</v>
      </c>
      <c r="AM32" s="448">
        <v>5382.6</v>
      </c>
      <c r="AN32" s="448">
        <v>4092.5</v>
      </c>
      <c r="AO32" s="448">
        <f t="shared" si="40"/>
        <v>14567.3</v>
      </c>
      <c r="AP32" s="599">
        <f>+[1]Nov!N27</f>
        <v>13901</v>
      </c>
      <c r="AQ32" s="480">
        <f t="shared" si="9"/>
        <v>-666.29999999999927</v>
      </c>
      <c r="AR32" s="451">
        <f t="shared" si="10"/>
        <v>0.34956374894455389</v>
      </c>
      <c r="AS32" s="451">
        <f t="shared" si="11"/>
        <v>0.3694988089762688</v>
      </c>
      <c r="AT32" s="451">
        <f t="shared" si="33"/>
        <v>0.28093744207917731</v>
      </c>
      <c r="AU32" s="451">
        <f t="shared" si="34"/>
        <v>-232.91432592175599</v>
      </c>
      <c r="AV32" s="451">
        <f t="shared" si="35"/>
        <v>-246.19705642088763</v>
      </c>
      <c r="AW32" s="451">
        <f t="shared" si="39"/>
        <v>-187.18861765735565</v>
      </c>
      <c r="AX32" s="393">
        <f t="shared" si="12"/>
        <v>4859.2856740782436</v>
      </c>
      <c r="AY32" s="393">
        <f t="shared" si="13"/>
        <v>5136.4029435791126</v>
      </c>
      <c r="AZ32" s="393">
        <f t="shared" si="14"/>
        <v>3905.3113823426443</v>
      </c>
      <c r="BA32" s="387">
        <f>+Efficiency2!K136</f>
        <v>49.070387519999997</v>
      </c>
      <c r="BB32" s="388">
        <f t="shared" si="36"/>
        <v>347.35082236733876</v>
      </c>
      <c r="BC32" s="413">
        <f t="shared" si="37"/>
        <v>0.72082169690597142</v>
      </c>
      <c r="BD32" s="413">
        <f t="shared" si="38"/>
        <v>0.76740857609975965</v>
      </c>
    </row>
    <row r="33" spans="1:56" s="393" customFormat="1" ht="12.75" customHeight="1">
      <c r="A33" s="407">
        <f t="shared" si="15"/>
        <v>45986</v>
      </c>
      <c r="B33" s="416" t="s">
        <v>574</v>
      </c>
      <c r="C33" s="394" t="s">
        <v>610</v>
      </c>
      <c r="D33" s="386">
        <f>+'25'!F42</f>
        <v>1049.9097222222222</v>
      </c>
      <c r="E33" s="386">
        <f>+'25'!G42</f>
        <v>808.43048611111101</v>
      </c>
      <c r="F33" s="46">
        <f t="shared" si="0"/>
        <v>0.23000000000000009</v>
      </c>
      <c r="G33" s="412">
        <f t="shared" si="16"/>
        <v>0.92703584964386365</v>
      </c>
      <c r="H33" s="408">
        <f t="shared" si="17"/>
        <v>0.79943778230899909</v>
      </c>
      <c r="I33" s="408">
        <f t="shared" si="18"/>
        <v>0.9474345394979925</v>
      </c>
      <c r="J33" s="413">
        <f t="shared" si="19"/>
        <v>0.75741496713922296</v>
      </c>
      <c r="K33" s="413">
        <f t="shared" si="20"/>
        <v>0.27827741261004524</v>
      </c>
      <c r="L33" s="387">
        <f>+SUM(Efficiency1!K141:K142)</f>
        <v>50.78193813</v>
      </c>
      <c r="M33" s="388">
        <f t="shared" si="21"/>
        <v>1096.1112407187493</v>
      </c>
      <c r="N33" s="387">
        <f>+SUM(Efficiency1!C141:C142)</f>
        <v>43.792265439999994</v>
      </c>
      <c r="O33" s="388">
        <f t="shared" si="21"/>
        <v>1050.5423377273796</v>
      </c>
      <c r="P33" s="388">
        <f>'25'!I38</f>
        <v>40.597000000000001</v>
      </c>
      <c r="Q33" s="388">
        <f t="shared" si="22"/>
        <v>327.44299999999998</v>
      </c>
      <c r="R33" s="388">
        <f>'25'!I40</f>
        <v>38.463000000000001</v>
      </c>
      <c r="S33" s="388">
        <f t="shared" si="23"/>
        <v>305.02300000000002</v>
      </c>
      <c r="T33" s="95">
        <f t="shared" si="1"/>
        <v>4979.4702472793806</v>
      </c>
      <c r="U33" s="13">
        <f t="shared" si="24"/>
        <v>39990.623818702603</v>
      </c>
      <c r="V33" s="288">
        <f t="shared" si="25"/>
        <v>122.65611368523241</v>
      </c>
      <c r="W33" s="288">
        <f t="shared" si="26"/>
        <v>122.13003123811657</v>
      </c>
      <c r="X33" s="289">
        <f t="shared" si="27"/>
        <v>129.46130689960171</v>
      </c>
      <c r="Y33" s="288">
        <f t="shared" si="28"/>
        <v>131.10691265479193</v>
      </c>
      <c r="Z33" s="390">
        <v>54.4</v>
      </c>
      <c r="AA33" s="389">
        <f t="shared" si="29"/>
        <v>831.19999999999993</v>
      </c>
      <c r="AB33" s="392">
        <f t="shared" si="2"/>
        <v>1.34000049264724</v>
      </c>
      <c r="AC33" s="392">
        <f t="shared" si="3"/>
        <v>2.5384570749718272</v>
      </c>
      <c r="AD33" s="387">
        <f t="shared" si="30"/>
        <v>1.414346254842316</v>
      </c>
      <c r="AE33" s="392">
        <f t="shared" si="4"/>
        <v>2.7250404067889957</v>
      </c>
      <c r="AF33" s="391">
        <f>+'25'!I46</f>
        <v>35326.640000001091</v>
      </c>
      <c r="AG33" s="389">
        <f t="shared" si="31"/>
        <v>421877.28000000073</v>
      </c>
      <c r="AH33" s="392">
        <f t="shared" si="5"/>
        <v>870.17858462450647</v>
      </c>
      <c r="AI33" s="392">
        <f t="shared" si="6"/>
        <v>1288.3991412245816</v>
      </c>
      <c r="AJ33" s="392">
        <f t="shared" si="7"/>
        <v>918.45773860596137</v>
      </c>
      <c r="AK33" s="392">
        <f t="shared" si="8"/>
        <v>1383.0998973847898</v>
      </c>
      <c r="AL33" s="447">
        <v>5279.5</v>
      </c>
      <c r="AM33" s="448">
        <v>5256.3</v>
      </c>
      <c r="AN33" s="448">
        <v>4111.6000000000004</v>
      </c>
      <c r="AO33" s="448">
        <f t="shared" si="40"/>
        <v>14647.4</v>
      </c>
      <c r="AP33" s="600">
        <f>+[1]Nov!N28</f>
        <v>13815</v>
      </c>
      <c r="AQ33" s="480">
        <f t="shared" si="9"/>
        <v>-832.39999999999964</v>
      </c>
      <c r="AR33" s="451">
        <f t="shared" si="10"/>
        <v>0.3604393953875773</v>
      </c>
      <c r="AS33" s="451">
        <f t="shared" si="11"/>
        <v>0.35885549653863485</v>
      </c>
      <c r="AT33" s="451">
        <f t="shared" si="33"/>
        <v>0.28070510807378785</v>
      </c>
      <c r="AU33" s="451">
        <f t="shared" si="34"/>
        <v>-300.02975272061923</v>
      </c>
      <c r="AV33" s="451">
        <f t="shared" si="35"/>
        <v>-298.71131531875955</v>
      </c>
      <c r="AW33" s="451">
        <f>+AT33*AQ33</f>
        <v>-233.65893196062089</v>
      </c>
      <c r="AX33" s="393">
        <f t="shared" si="12"/>
        <v>4979.4702472793806</v>
      </c>
      <c r="AY33" s="393">
        <f t="shared" si="13"/>
        <v>4957.5886846812409</v>
      </c>
      <c r="AZ33" s="393">
        <f t="shared" si="14"/>
        <v>3877.9410680393794</v>
      </c>
      <c r="BA33" s="387">
        <f>+SUM(Efficiency2!K141:K142)</f>
        <v>50.78193813</v>
      </c>
      <c r="BB33" s="388">
        <f t="shared" si="36"/>
        <v>398.13276049733878</v>
      </c>
      <c r="BC33" s="413">
        <f t="shared" si="37"/>
        <v>0.75741496713922296</v>
      </c>
      <c r="BD33" s="413">
        <f t="shared" si="38"/>
        <v>0.7661338886530511</v>
      </c>
    </row>
    <row r="34" spans="1:56" s="393" customFormat="1" ht="12.75" customHeight="1">
      <c r="A34" s="407">
        <f t="shared" si="15"/>
        <v>45987</v>
      </c>
      <c r="B34" s="416" t="s">
        <v>574</v>
      </c>
      <c r="C34" s="411" t="s">
        <v>623</v>
      </c>
      <c r="D34" s="386">
        <f>+'26'!F42</f>
        <v>1109.5138888888889</v>
      </c>
      <c r="E34" s="386">
        <f>+'26'!G42</f>
        <v>854.32569444444448</v>
      </c>
      <c r="F34" s="46">
        <f t="shared" si="0"/>
        <v>0.22999999999999998</v>
      </c>
      <c r="G34" s="412">
        <f t="shared" si="16"/>
        <v>0.88372554193970732</v>
      </c>
      <c r="H34" s="408">
        <f t="shared" si="17"/>
        <v>0.81033534111402117</v>
      </c>
      <c r="I34" s="408">
        <f t="shared" si="18"/>
        <v>0.91224575874027547</v>
      </c>
      <c r="J34" s="413">
        <f t="shared" si="19"/>
        <v>0.7392249780886202</v>
      </c>
      <c r="K34" s="413">
        <f t="shared" si="20"/>
        <v>0.29940914742404651</v>
      </c>
      <c r="L34" s="387">
        <f>+Efficiency1!K146</f>
        <v>52.664616529411767</v>
      </c>
      <c r="M34" s="388">
        <f t="shared" si="21"/>
        <v>1148.7758572481609</v>
      </c>
      <c r="N34" s="387">
        <f>+Efficiency1!C146</f>
        <v>48.291011150735301</v>
      </c>
      <c r="O34" s="388">
        <f t="shared" si="21"/>
        <v>1098.833348878115</v>
      </c>
      <c r="P34" s="388">
        <f>'26'!I38</f>
        <v>42.676000000000002</v>
      </c>
      <c r="Q34" s="388">
        <f t="shared" si="22"/>
        <v>370.11899999999997</v>
      </c>
      <c r="R34" s="388">
        <f>'26'!I40</f>
        <v>38.930999999999997</v>
      </c>
      <c r="S34" s="388">
        <f t="shared" si="23"/>
        <v>343.95400000000001</v>
      </c>
      <c r="T34" s="95">
        <f t="shared" si="1"/>
        <v>5206.9111623746521</v>
      </c>
      <c r="U34" s="13">
        <f t="shared" si="24"/>
        <v>45197.534981077253</v>
      </c>
      <c r="V34" s="288">
        <f t="shared" si="25"/>
        <v>122.01029061708341</v>
      </c>
      <c r="W34" s="288">
        <f t="shared" si="26"/>
        <v>122.11622473063328</v>
      </c>
      <c r="X34" s="289">
        <f t="shared" si="27"/>
        <v>133.74717223741112</v>
      </c>
      <c r="Y34" s="288">
        <f t="shared" si="28"/>
        <v>131.40575478429457</v>
      </c>
      <c r="Z34" s="390">
        <v>54.8</v>
      </c>
      <c r="AA34" s="389">
        <f t="shared" si="29"/>
        <v>885.99999999999989</v>
      </c>
      <c r="AB34" s="392">
        <f t="shared" si="2"/>
        <v>1.2840941044146592</v>
      </c>
      <c r="AC34" s="392">
        <f t="shared" si="3"/>
        <v>2.3938246888162995</v>
      </c>
      <c r="AD34" s="387">
        <f t="shared" si="30"/>
        <v>1.4076186072795458</v>
      </c>
      <c r="AE34" s="392">
        <f t="shared" si="4"/>
        <v>2.5759258505497824</v>
      </c>
      <c r="AF34" s="391">
        <f>'26'!I46</f>
        <v>37294.46</v>
      </c>
      <c r="AG34" s="389">
        <f t="shared" si="31"/>
        <v>459171.74000000075</v>
      </c>
      <c r="AH34" s="392">
        <f t="shared" si="5"/>
        <v>873.89774111913016</v>
      </c>
      <c r="AI34" s="392">
        <f t="shared" si="6"/>
        <v>1240.6056970866146</v>
      </c>
      <c r="AJ34" s="392">
        <f t="shared" si="7"/>
        <v>957.96306285479443</v>
      </c>
      <c r="AK34" s="392">
        <f t="shared" si="8"/>
        <v>1334.9800845461914</v>
      </c>
      <c r="AL34" s="447">
        <v>5530</v>
      </c>
      <c r="AM34" s="448">
        <v>5420.7</v>
      </c>
      <c r="AN34" s="448">
        <v>3918</v>
      </c>
      <c r="AO34" s="448">
        <f t="shared" si="40"/>
        <v>14868.7</v>
      </c>
      <c r="AP34" s="601">
        <f>+[1]Nov!N29</f>
        <v>14000</v>
      </c>
      <c r="AQ34" s="480">
        <f t="shared" si="9"/>
        <v>-868.70000000000073</v>
      </c>
      <c r="AR34" s="451">
        <f t="shared" si="10"/>
        <v>0.37192222588390378</v>
      </c>
      <c r="AS34" s="451">
        <f t="shared" si="11"/>
        <v>0.36457121335422732</v>
      </c>
      <c r="AT34" s="451">
        <f t="shared" si="33"/>
        <v>0.2635065607618689</v>
      </c>
      <c r="AU34" s="451">
        <f t="shared" si="34"/>
        <v>-323.08883762534748</v>
      </c>
      <c r="AV34" s="451">
        <f t="shared" si="35"/>
        <v>-316.70301304081755</v>
      </c>
      <c r="AW34" s="451">
        <f>+AT34*AQ34</f>
        <v>-228.90814933383569</v>
      </c>
      <c r="AX34" s="393">
        <f t="shared" si="12"/>
        <v>5206.9111623746521</v>
      </c>
      <c r="AY34" s="393">
        <f t="shared" si="13"/>
        <v>5103.9969869591823</v>
      </c>
      <c r="AZ34" s="393">
        <f t="shared" si="14"/>
        <v>3689.0918506661642</v>
      </c>
      <c r="BA34" s="387">
        <f>+Efficiency2!K146</f>
        <v>52.664616529411767</v>
      </c>
      <c r="BB34" s="388">
        <f t="shared" si="36"/>
        <v>450.79737702675055</v>
      </c>
      <c r="BC34" s="413">
        <f t="shared" si="37"/>
        <v>0.7392249780886202</v>
      </c>
      <c r="BD34" s="413">
        <f t="shared" si="38"/>
        <v>0.76299024246449776</v>
      </c>
    </row>
    <row r="35" spans="1:56" s="393" customFormat="1" ht="12.75" customHeight="1">
      <c r="A35" s="407">
        <f t="shared" si="15"/>
        <v>45988</v>
      </c>
      <c r="B35" s="416" t="s">
        <v>634</v>
      </c>
      <c r="C35" s="394" t="s">
        <v>635</v>
      </c>
      <c r="D35" s="386">
        <f>+'27'!F42</f>
        <v>1119.3680555555557</v>
      </c>
      <c r="E35" s="386">
        <f>+'27'!G42</f>
        <v>861.91340277777783</v>
      </c>
      <c r="F35" s="46">
        <f t="shared" si="0"/>
        <v>0.22999999999999998</v>
      </c>
      <c r="G35" s="412">
        <f t="shared" si="16"/>
        <v>0.93717975821424881</v>
      </c>
      <c r="H35" s="408">
        <f t="shared" si="17"/>
        <v>0.85324075337870819</v>
      </c>
      <c r="I35" s="408">
        <f t="shared" si="18"/>
        <v>0.9914991658059904</v>
      </c>
      <c r="J35" s="413">
        <f t="shared" si="19"/>
        <v>0.84598749520666394</v>
      </c>
      <c r="K35" s="413">
        <f t="shared" si="20"/>
        <v>0.31968468085613555</v>
      </c>
      <c r="L35" s="387">
        <f>+SUM(Efficiency1!K150:K151)</f>
        <v>44.255973300000001</v>
      </c>
      <c r="M35" s="388">
        <f t="shared" si="21"/>
        <v>1193.031830548161</v>
      </c>
      <c r="N35" s="387">
        <f>+SUM(Efficiency1!C150:C151)</f>
        <v>40.292163450000004</v>
      </c>
      <c r="O35" s="388">
        <f t="shared" si="21"/>
        <v>1139.1255123281151</v>
      </c>
      <c r="P35" s="388">
        <f>'27'!I38</f>
        <v>37.760999999999996</v>
      </c>
      <c r="Q35" s="388">
        <f t="shared" si="22"/>
        <v>407.88</v>
      </c>
      <c r="R35" s="388">
        <f>'27'!I40</f>
        <v>37.44</v>
      </c>
      <c r="S35" s="388">
        <f t="shared" si="23"/>
        <v>381.39400000000001</v>
      </c>
      <c r="T35" s="95">
        <f t="shared" si="1"/>
        <v>4682.5869117647062</v>
      </c>
      <c r="U35" s="13">
        <f t="shared" si="24"/>
        <v>49880.121892841962</v>
      </c>
      <c r="V35" s="288">
        <f t="shared" si="25"/>
        <v>124.00590322726376</v>
      </c>
      <c r="W35" s="288">
        <f t="shared" si="26"/>
        <v>122.29116870854654</v>
      </c>
      <c r="X35" s="289">
        <f t="shared" si="27"/>
        <v>125.06909486551032</v>
      </c>
      <c r="Y35" s="288">
        <f t="shared" si="28"/>
        <v>130.78370895410509</v>
      </c>
      <c r="Z35" s="390">
        <v>54.1</v>
      </c>
      <c r="AA35" s="389">
        <f t="shared" si="29"/>
        <v>940.09999999999991</v>
      </c>
      <c r="AB35" s="392">
        <f t="shared" si="2"/>
        <v>1.432695108710045</v>
      </c>
      <c r="AC35" s="392">
        <f t="shared" si="3"/>
        <v>2.3048445621261155</v>
      </c>
      <c r="AD35" s="387">
        <f t="shared" si="30"/>
        <v>1.4449786324786327</v>
      </c>
      <c r="AE35" s="392">
        <f t="shared" si="4"/>
        <v>2.4649050588105736</v>
      </c>
      <c r="AF35" s="391">
        <f>'27'!I46</f>
        <v>39197.78</v>
      </c>
      <c r="AG35" s="389">
        <f t="shared" si="31"/>
        <v>498369.52000000072</v>
      </c>
      <c r="AH35" s="392">
        <f t="shared" si="5"/>
        <v>1038.0493101347954</v>
      </c>
      <c r="AI35" s="392">
        <f t="shared" si="6"/>
        <v>1221.8532901833889</v>
      </c>
      <c r="AJ35" s="392">
        <f t="shared" si="7"/>
        <v>1046.949252136752</v>
      </c>
      <c r="AK35" s="392">
        <f t="shared" si="8"/>
        <v>1306.7051920061688</v>
      </c>
      <c r="AL35" s="478">
        <v>4918</v>
      </c>
      <c r="AM35" s="448">
        <v>4775.7</v>
      </c>
      <c r="AN35" s="448">
        <v>3906.3</v>
      </c>
      <c r="AO35" s="448">
        <f t="shared" si="40"/>
        <v>13600</v>
      </c>
      <c r="AP35" s="601">
        <f>+[1]Nov!N30</f>
        <v>12949</v>
      </c>
      <c r="AQ35" s="480">
        <f t="shared" si="9"/>
        <v>-651</v>
      </c>
      <c r="AR35" s="451">
        <f t="shared" si="10"/>
        <v>0.36161764705882354</v>
      </c>
      <c r="AS35" s="451">
        <f t="shared" si="11"/>
        <v>0.35115441176470585</v>
      </c>
      <c r="AT35" s="451">
        <f t="shared" si="33"/>
        <v>0.28722794117647066</v>
      </c>
      <c r="AU35" s="451">
        <f t="shared" si="34"/>
        <v>-235.41308823529414</v>
      </c>
      <c r="AV35" s="451">
        <f t="shared" si="35"/>
        <v>-228.60152205882352</v>
      </c>
      <c r="AW35" s="451">
        <f>+AT35*AQ35</f>
        <v>-186.9853897058824</v>
      </c>
      <c r="AX35" s="393">
        <f t="shared" si="12"/>
        <v>4682.5869117647062</v>
      </c>
      <c r="AY35" s="393">
        <f t="shared" si="13"/>
        <v>4547.0984779411765</v>
      </c>
      <c r="AZ35" s="393">
        <f t="shared" si="14"/>
        <v>3719.3146102941178</v>
      </c>
      <c r="BA35" s="387">
        <f>+SUM(Efficiency2!K150:K151)</f>
        <v>44.255973300000001</v>
      </c>
      <c r="BB35" s="388">
        <f t="shared" si="36"/>
        <v>495.05335032675055</v>
      </c>
      <c r="BC35" s="413">
        <f t="shared" si="37"/>
        <v>0.84598749520666394</v>
      </c>
      <c r="BD35" s="413">
        <f t="shared" si="38"/>
        <v>0.77040989571784158</v>
      </c>
    </row>
    <row r="36" spans="1:56" s="393" customFormat="1" ht="12.75" customHeight="1">
      <c r="A36" s="407">
        <f t="shared" si="15"/>
        <v>45989</v>
      </c>
      <c r="B36" s="416" t="s">
        <v>461</v>
      </c>
      <c r="C36" s="411" t="s">
        <v>646</v>
      </c>
      <c r="D36" s="386">
        <f>+'28'!F42</f>
        <v>1227.537688442211</v>
      </c>
      <c r="E36" s="386">
        <f>+'28'!G42</f>
        <v>945.03625269203155</v>
      </c>
      <c r="F36" s="46">
        <f t="shared" si="0"/>
        <v>0.23013666986362258</v>
      </c>
      <c r="G36" s="412">
        <f t="shared" si="16"/>
        <v>0.93147427629784907</v>
      </c>
      <c r="H36" s="408">
        <f t="shared" si="17"/>
        <v>0.92960791381144614</v>
      </c>
      <c r="I36" s="408">
        <f t="shared" si="18"/>
        <v>0.95574074979226731</v>
      </c>
      <c r="J36" s="413">
        <f t="shared" si="19"/>
        <v>0.88846416455897692</v>
      </c>
      <c r="K36" s="413">
        <f t="shared" si="20"/>
        <v>0.33992288040243035</v>
      </c>
      <c r="L36" s="387">
        <f>+SUM(Efficiency1!K154:K155)</f>
        <v>44.016406693692872</v>
      </c>
      <c r="M36" s="388">
        <f t="shared" si="21"/>
        <v>1237.0482372418539</v>
      </c>
      <c r="N36" s="387">
        <f>+SUM(Efficiency1!C154:C155)</f>
        <v>43.928212556366965</v>
      </c>
      <c r="O36" s="388">
        <f t="shared" si="21"/>
        <v>1183.0537248844821</v>
      </c>
      <c r="P36" s="388">
        <f>'28'!I38</f>
        <v>40.918000000000006</v>
      </c>
      <c r="Q36" s="388">
        <f t="shared" si="22"/>
        <v>448.798</v>
      </c>
      <c r="R36" s="388">
        <f>'28'!I40</f>
        <v>39.106999999999999</v>
      </c>
      <c r="S36" s="388">
        <f t="shared" si="23"/>
        <v>420.50099999999998</v>
      </c>
      <c r="T36" s="95">
        <f t="shared" si="1"/>
        <v>4964.5644997197014</v>
      </c>
      <c r="U36" s="13">
        <f t="shared" si="24"/>
        <v>54844.686392561664</v>
      </c>
      <c r="V36" s="288">
        <f t="shared" si="25"/>
        <v>121.32959821398164</v>
      </c>
      <c r="W36" s="288">
        <f t="shared" si="26"/>
        <v>122.20349999902331</v>
      </c>
      <c r="X36" s="289">
        <f t="shared" si="27"/>
        <v>126.94823176719517</v>
      </c>
      <c r="Y36" s="288">
        <f t="shared" si="28"/>
        <v>130.42700586339075</v>
      </c>
      <c r="Z36" s="390">
        <v>52.8</v>
      </c>
      <c r="AA36" s="389">
        <f t="shared" si="29"/>
        <v>992.89999999999986</v>
      </c>
      <c r="AB36" s="392">
        <f t="shared" si="2"/>
        <v>1.2903856493474752</v>
      </c>
      <c r="AC36" s="392">
        <f t="shared" si="3"/>
        <v>2.2123538874950421</v>
      </c>
      <c r="AD36" s="387">
        <f t="shared" si="30"/>
        <v>1.3501419183266423</v>
      </c>
      <c r="AE36" s="392">
        <f t="shared" si="4"/>
        <v>2.3612310077740597</v>
      </c>
      <c r="AF36" s="391">
        <f>'28'!I46</f>
        <v>40060.799999999275</v>
      </c>
      <c r="AG36" s="389">
        <f t="shared" si="31"/>
        <v>538430.31999999995</v>
      </c>
      <c r="AH36" s="392">
        <f t="shared" si="5"/>
        <v>979.0507844958031</v>
      </c>
      <c r="AI36" s="392">
        <f t="shared" si="6"/>
        <v>1199.7163980231639</v>
      </c>
      <c r="AJ36" s="392">
        <f t="shared" si="7"/>
        <v>1024.389495486723</v>
      </c>
      <c r="AK36" s="392">
        <f t="shared" si="8"/>
        <v>1280.4495589784565</v>
      </c>
      <c r="AL36" s="447">
        <v>5276</v>
      </c>
      <c r="AM36" s="483">
        <v>5229.6000000000004</v>
      </c>
      <c r="AN36" s="448">
        <v>3943.3</v>
      </c>
      <c r="AO36" s="448">
        <f t="shared" si="40"/>
        <v>14448.900000000001</v>
      </c>
      <c r="AP36" s="602">
        <f>+[1]Nov!N31</f>
        <v>13596</v>
      </c>
      <c r="AQ36" s="480">
        <f t="shared" si="9"/>
        <v>-852.90000000000146</v>
      </c>
      <c r="AR36" s="451">
        <f t="shared" si="10"/>
        <v>0.36514890406882183</v>
      </c>
      <c r="AS36" s="451">
        <f t="shared" si="11"/>
        <v>0.36193758694433487</v>
      </c>
      <c r="AT36" s="451">
        <f t="shared" si="33"/>
        <v>0.2729135089868433</v>
      </c>
      <c r="AU36" s="451">
        <f>+AR36*AQ36</f>
        <v>-311.4355002802987</v>
      </c>
      <c r="AV36" s="451">
        <f t="shared" si="35"/>
        <v>-308.69656790482372</v>
      </c>
      <c r="AW36" s="451">
        <f>+AT36*AQ36</f>
        <v>-232.76793181487903</v>
      </c>
      <c r="AX36" s="393">
        <f t="shared" si="12"/>
        <v>4964.5644997197014</v>
      </c>
      <c r="AY36" s="393">
        <f t="shared" si="13"/>
        <v>4920.9034320951769</v>
      </c>
      <c r="AZ36" s="393">
        <f t="shared" si="14"/>
        <v>3710.5320681851213</v>
      </c>
      <c r="BA36" s="387">
        <f>+SUM(Efficiency2!K154:K155)</f>
        <v>44.016406693692872</v>
      </c>
      <c r="BB36" s="388">
        <f t="shared" si="36"/>
        <v>539.06975702044338</v>
      </c>
      <c r="BC36" s="413">
        <f t="shared" si="37"/>
        <v>0.88846416455897692</v>
      </c>
      <c r="BD36" s="413">
        <f t="shared" si="38"/>
        <v>0.78004932482987199</v>
      </c>
    </row>
    <row r="37" spans="1:56" s="393" customFormat="1" ht="12.75" customHeight="1">
      <c r="A37" s="407">
        <f t="shared" si="15"/>
        <v>45990</v>
      </c>
      <c r="B37" s="416" t="s">
        <v>461</v>
      </c>
      <c r="C37" s="411" t="s">
        <v>654</v>
      </c>
      <c r="D37" s="386">
        <f>+'29'!F42</f>
        <v>1137.8472222222222</v>
      </c>
      <c r="E37" s="386">
        <f>+'29'!G42</f>
        <v>866.94124999999997</v>
      </c>
      <c r="F37" s="46">
        <f t="shared" si="0"/>
        <v>0.23808642050656093</v>
      </c>
      <c r="G37" s="412">
        <f t="shared" si="16"/>
        <v>0.94029403547603474</v>
      </c>
      <c r="H37" s="408">
        <f t="shared" si="17"/>
        <v>0.86833602365351681</v>
      </c>
      <c r="I37" s="408">
        <f t="shared" si="18"/>
        <v>0.93089920092423217</v>
      </c>
      <c r="J37" s="413">
        <f t="shared" si="19"/>
        <v>0.80833331055278401</v>
      </c>
      <c r="K37" s="413">
        <f t="shared" si="20"/>
        <v>0.35736586749660282</v>
      </c>
      <c r="L37" s="387">
        <f>+SUM(Efficiency1!K159:K160)</f>
        <v>47.847836399999998</v>
      </c>
      <c r="M37" s="388">
        <f t="shared" si="21"/>
        <v>1284.8960736418539</v>
      </c>
      <c r="N37" s="387">
        <f>+SUM(Efficiency1!C159:C160)</f>
        <v>44.186178400000003</v>
      </c>
      <c r="O37" s="388">
        <f t="shared" si="21"/>
        <v>1227.2399032844821</v>
      </c>
      <c r="P37" s="388">
        <f>'29'!I38</f>
        <v>41.548000000000002</v>
      </c>
      <c r="Q37" s="388">
        <f t="shared" si="22"/>
        <v>490.346</v>
      </c>
      <c r="R37" s="388">
        <f>'29'!I40</f>
        <v>38.677</v>
      </c>
      <c r="S37" s="388">
        <f t="shared" si="23"/>
        <v>459.178</v>
      </c>
      <c r="T37" s="95">
        <f t="shared" si="1"/>
        <v>4287.5898034035499</v>
      </c>
      <c r="U37" s="13">
        <f t="shared" si="24"/>
        <v>59132.276195965213</v>
      </c>
      <c r="V37" s="288">
        <f t="shared" si="25"/>
        <v>103.19605765388346</v>
      </c>
      <c r="W37" s="288">
        <f t="shared" si="26"/>
        <v>120.59296128848857</v>
      </c>
      <c r="X37" s="289">
        <f t="shared" si="27"/>
        <v>110.856317796198</v>
      </c>
      <c r="Y37" s="288">
        <f t="shared" si="28"/>
        <v>128.77854817949731</v>
      </c>
      <c r="Z37" s="390">
        <v>50.3</v>
      </c>
      <c r="AA37" s="389">
        <f t="shared" si="29"/>
        <v>1043.1999999999998</v>
      </c>
      <c r="AB37" s="392">
        <f t="shared" si="2"/>
        <v>1.2106479252912292</v>
      </c>
      <c r="AC37" s="392">
        <f t="shared" si="3"/>
        <v>2.127477332332679</v>
      </c>
      <c r="AD37" s="387">
        <f t="shared" si="30"/>
        <v>1.3005145176720014</v>
      </c>
      <c r="AE37" s="392">
        <f t="shared" si="4"/>
        <v>2.2718858481895907</v>
      </c>
      <c r="AF37" s="391">
        <f>'29'!I46</f>
        <v>36711.22</v>
      </c>
      <c r="AG37" s="389">
        <f t="shared" si="31"/>
        <v>575141.53999999992</v>
      </c>
      <c r="AH37" s="392">
        <f t="shared" si="5"/>
        <v>883.58573216520654</v>
      </c>
      <c r="AI37" s="392">
        <f t="shared" si="6"/>
        <v>1172.9300126849203</v>
      </c>
      <c r="AJ37" s="392">
        <f t="shared" si="7"/>
        <v>949.17444476045193</v>
      </c>
      <c r="AK37" s="392">
        <f t="shared" si="8"/>
        <v>1252.5459407898461</v>
      </c>
      <c r="AL37" s="447">
        <v>4802.6000000000004</v>
      </c>
      <c r="AM37" s="448">
        <v>5410.3</v>
      </c>
      <c r="AN37" s="448">
        <v>4019.3</v>
      </c>
      <c r="AO37" s="448">
        <f t="shared" si="40"/>
        <v>14232.2</v>
      </c>
      <c r="AP37" s="603">
        <f>+[1]Nov!N32</f>
        <v>12706</v>
      </c>
      <c r="AQ37" s="480">
        <f t="shared" si="9"/>
        <v>-1526.2000000000007</v>
      </c>
      <c r="AR37" s="451">
        <f t="shared" si="10"/>
        <v>0.33744607298941837</v>
      </c>
      <c r="AS37" s="451">
        <f t="shared" si="11"/>
        <v>0.38014502325712118</v>
      </c>
      <c r="AT37" s="451">
        <f t="shared" si="33"/>
        <v>0.28240890375346039</v>
      </c>
      <c r="AU37" s="451">
        <f t="shared" si="34"/>
        <v>-515.01019659645056</v>
      </c>
      <c r="AV37" s="451">
        <f t="shared" si="35"/>
        <v>-580.17733449501861</v>
      </c>
      <c r="AW37" s="451">
        <f t="shared" si="39"/>
        <v>-431.01246890853145</v>
      </c>
      <c r="AX37" s="393">
        <f t="shared" si="12"/>
        <v>4287.5898034035499</v>
      </c>
      <c r="AY37" s="393">
        <f t="shared" si="13"/>
        <v>4830.1226655049813</v>
      </c>
      <c r="AZ37" s="393">
        <f t="shared" si="14"/>
        <v>3588.2875310914687</v>
      </c>
      <c r="BA37" s="387">
        <f>+SUM(Efficiency2!K159:K160)</f>
        <v>47.847836399999998</v>
      </c>
      <c r="BB37" s="388">
        <f t="shared" si="36"/>
        <v>586.91759342044338</v>
      </c>
      <c r="BC37" s="413">
        <f t="shared" si="37"/>
        <v>0.80833331055278401</v>
      </c>
      <c r="BD37" s="413">
        <f t="shared" si="38"/>
        <v>0.7823551468682316</v>
      </c>
    </row>
    <row r="38" spans="1:56" s="393" customFormat="1" ht="12.75" customHeight="1">
      <c r="A38" s="407">
        <f t="shared" si="15"/>
        <v>45991</v>
      </c>
      <c r="B38" s="416" t="s">
        <v>461</v>
      </c>
      <c r="C38" s="411" t="s">
        <v>590</v>
      </c>
      <c r="D38" s="386">
        <f>+'30'!F42</f>
        <v>1120</v>
      </c>
      <c r="E38" s="386">
        <f>+'30'!G42</f>
        <v>851.2</v>
      </c>
      <c r="F38" s="46">
        <f t="shared" si="0"/>
        <v>0.24</v>
      </c>
      <c r="G38" s="412">
        <f t="shared" si="16"/>
        <v>0.95594680812608424</v>
      </c>
      <c r="H38" s="408">
        <f t="shared" si="17"/>
        <v>0.87045563016358918</v>
      </c>
      <c r="I38" s="408">
        <f t="shared" si="18"/>
        <v>0.96243933319265673</v>
      </c>
      <c r="J38" s="413">
        <f t="shared" si="19"/>
        <v>0.83776073626843861</v>
      </c>
      <c r="K38" s="413">
        <f t="shared" si="20"/>
        <v>0.37501240246787071</v>
      </c>
      <c r="L38" s="387">
        <f>+Efficiency1!K163</f>
        <v>48.998476799999992</v>
      </c>
      <c r="M38" s="388">
        <f t="shared" si="21"/>
        <v>1333.8945504418539</v>
      </c>
      <c r="N38" s="387">
        <f>+Efficiency1!C163</f>
        <v>44.616499200000007</v>
      </c>
      <c r="O38" s="388">
        <f t="shared" si="21"/>
        <v>1271.856402484482</v>
      </c>
      <c r="P38" s="388">
        <f>'30'!I38</f>
        <v>42.650999999999996</v>
      </c>
      <c r="Q38" s="388">
        <f t="shared" si="22"/>
        <v>532.99699999999996</v>
      </c>
      <c r="R38" s="388">
        <f>'30'!I40</f>
        <v>41.048999999999999</v>
      </c>
      <c r="S38" s="388">
        <f t="shared" si="23"/>
        <v>500.22699999999998</v>
      </c>
      <c r="T38" s="95">
        <f t="shared" si="1"/>
        <v>4677.5084311890178</v>
      </c>
      <c r="U38" s="13">
        <f t="shared" si="24"/>
        <v>63809.784627154229</v>
      </c>
      <c r="V38" s="288">
        <f t="shared" si="25"/>
        <v>109.66937307892003</v>
      </c>
      <c r="W38" s="288">
        <f t="shared" si="26"/>
        <v>119.71884387183086</v>
      </c>
      <c r="X38" s="289">
        <f t="shared" si="27"/>
        <v>113.94938807739574</v>
      </c>
      <c r="Y38" s="288">
        <f t="shared" si="28"/>
        <v>127.56165626236535</v>
      </c>
      <c r="Z38" s="390">
        <v>52.1</v>
      </c>
      <c r="AA38" s="389">
        <f t="shared" si="29"/>
        <v>1095.2999999999997</v>
      </c>
      <c r="AB38" s="392">
        <f t="shared" si="2"/>
        <v>1.2215422850577948</v>
      </c>
      <c r="AC38" s="392">
        <f t="shared" si="3"/>
        <v>2.0549834239217102</v>
      </c>
      <c r="AD38" s="387">
        <f t="shared" si="30"/>
        <v>1.2692148408000195</v>
      </c>
      <c r="AE38" s="392">
        <f t="shared" si="4"/>
        <v>2.1896059189128132</v>
      </c>
      <c r="AF38" s="391">
        <f>'30'!I46</f>
        <v>37716.599999999271</v>
      </c>
      <c r="AG38" s="389">
        <f t="shared" si="31"/>
        <v>612858.1399999992</v>
      </c>
      <c r="AH38" s="392">
        <f t="shared" si="5"/>
        <v>884.30751916717736</v>
      </c>
      <c r="AI38" s="392">
        <f t="shared" si="6"/>
        <v>1149.8341266461148</v>
      </c>
      <c r="AJ38" s="392">
        <f t="shared" si="7"/>
        <v>918.81897244754498</v>
      </c>
      <c r="AK38" s="392">
        <f t="shared" si="8"/>
        <v>1225.1600573339688</v>
      </c>
      <c r="AL38" s="447">
        <v>4903.3</v>
      </c>
      <c r="AM38" s="448">
        <v>5226</v>
      </c>
      <c r="AN38" s="448">
        <v>3973.1</v>
      </c>
      <c r="AO38" s="448">
        <f t="shared" si="40"/>
        <v>14102.4</v>
      </c>
      <c r="AP38" s="603">
        <f>+[1]Nov!N33</f>
        <v>13453</v>
      </c>
      <c r="AQ38" s="480">
        <f t="shared" si="9"/>
        <v>-649.39999999999964</v>
      </c>
      <c r="AR38" s="451">
        <f t="shared" ref="AR38:AR39" si="41">+AL38/AO38</f>
        <v>0.34769259133197189</v>
      </c>
      <c r="AS38" s="451">
        <f t="shared" ref="AS38:AS39" si="42">+AM38/AO38</f>
        <v>0.37057522123893805</v>
      </c>
      <c r="AT38" s="451">
        <f t="shared" ref="AT38:AT39" si="43">1-AR38-AS38</f>
        <v>0.28173218742909001</v>
      </c>
      <c r="AU38" s="451">
        <f t="shared" ref="AU38:AU39" si="44">+AR38*AQ38</f>
        <v>-225.79156881098243</v>
      </c>
      <c r="AV38" s="451">
        <f t="shared" ref="AV38:AV39" si="45">+AS38*AQ38</f>
        <v>-240.65154867256624</v>
      </c>
      <c r="AW38" s="451">
        <f t="shared" ref="AW38:AW39" si="46">+AT38*AQ38</f>
        <v>-182.95688251645095</v>
      </c>
      <c r="AX38" s="393">
        <f t="shared" ref="AX38:AX39" si="47">+AL38+AU38</f>
        <v>4677.5084311890178</v>
      </c>
      <c r="AY38" s="393">
        <f t="shared" ref="AY38:AY39" si="48">+AM38+AV38</f>
        <v>4985.3484513274334</v>
      </c>
      <c r="AZ38" s="393">
        <f t="shared" ref="AZ38:AZ39" si="49">+AN38+AW38</f>
        <v>3790.1431174835488</v>
      </c>
      <c r="BA38" s="387">
        <f>+Efficiency2!K163</f>
        <v>48.998476799999992</v>
      </c>
      <c r="BB38" s="388">
        <f t="shared" si="36"/>
        <v>635.91607022044332</v>
      </c>
      <c r="BC38" s="413">
        <f t="shared" si="37"/>
        <v>0.83776073626843861</v>
      </c>
      <c r="BD38" s="413">
        <f t="shared" si="38"/>
        <v>0.78662424716927493</v>
      </c>
    </row>
    <row r="39" spans="1:56" s="393" customFormat="1" ht="12.75" customHeight="1">
      <c r="A39" s="407">
        <f>A38+1</f>
        <v>45992</v>
      </c>
      <c r="B39" s="416"/>
      <c r="C39" s="385"/>
      <c r="D39" s="386">
        <f>+'31'!F42</f>
        <v>0</v>
      </c>
      <c r="E39" s="386">
        <f>+'31'!G42</f>
        <v>0</v>
      </c>
      <c r="F39" s="46" t="e">
        <f t="shared" si="0"/>
        <v>#DIV/0!</v>
      </c>
      <c r="G39" s="412" t="e">
        <f t="shared" si="16"/>
        <v>#DIV/0!</v>
      </c>
      <c r="H39" s="408" t="e">
        <f t="shared" si="17"/>
        <v>#DIV/0!</v>
      </c>
      <c r="I39" s="408" t="e">
        <f t="shared" si="18"/>
        <v>#DIV/0!</v>
      </c>
      <c r="J39" s="413" t="e">
        <f t="shared" si="19"/>
        <v>#DIV/0!</v>
      </c>
      <c r="K39" s="413">
        <f t="shared" si="20"/>
        <v>0.37501240246787071</v>
      </c>
      <c r="L39" s="387"/>
      <c r="M39" s="388">
        <f>M38+L39</f>
        <v>1333.8945504418539</v>
      </c>
      <c r="N39" s="388"/>
      <c r="O39" s="388">
        <f>O38+N39</f>
        <v>1271.856402484482</v>
      </c>
      <c r="P39" s="388">
        <f>'31'!I38</f>
        <v>0</v>
      </c>
      <c r="Q39" s="388">
        <f>Q38+P39</f>
        <v>532.99699999999996</v>
      </c>
      <c r="R39" s="388">
        <f>'31'!I40</f>
        <v>0</v>
      </c>
      <c r="S39" s="388">
        <f>S38+R39</f>
        <v>500.22699999999998</v>
      </c>
      <c r="T39" s="95"/>
      <c r="U39" s="13">
        <f>T39+U38</f>
        <v>63809.784627154229</v>
      </c>
      <c r="V39" s="288" t="e">
        <f t="shared" si="25"/>
        <v>#DIV/0!</v>
      </c>
      <c r="W39" s="288">
        <f t="shared" si="26"/>
        <v>119.71884387183086</v>
      </c>
      <c r="X39" s="289">
        <f t="shared" si="27"/>
        <v>0</v>
      </c>
      <c r="Y39" s="288">
        <f t="shared" si="28"/>
        <v>127.56165626236535</v>
      </c>
      <c r="Z39" s="390"/>
      <c r="AA39" s="389">
        <f>Z39+AA38</f>
        <v>1095.2999999999997</v>
      </c>
      <c r="AB39" s="392" t="e">
        <f t="shared" si="2"/>
        <v>#DIV/0!</v>
      </c>
      <c r="AC39" s="392">
        <f t="shared" si="3"/>
        <v>2.0549834239217102</v>
      </c>
      <c r="AD39" s="387">
        <f t="shared" si="30"/>
        <v>0</v>
      </c>
      <c r="AE39" s="392">
        <f t="shared" si="4"/>
        <v>2.1896059189128132</v>
      </c>
      <c r="AF39" s="391">
        <f>'31'!I46</f>
        <v>0</v>
      </c>
      <c r="AG39" s="389">
        <f>AF39+AG38</f>
        <v>612858.1399999992</v>
      </c>
      <c r="AH39" s="392">
        <f t="shared" si="5"/>
        <v>0</v>
      </c>
      <c r="AI39" s="392">
        <f t="shared" si="6"/>
        <v>1149.8341266461148</v>
      </c>
      <c r="AJ39" s="392">
        <f t="shared" si="7"/>
        <v>0</v>
      </c>
      <c r="AK39" s="392">
        <f t="shared" si="8"/>
        <v>1225.1600573339688</v>
      </c>
      <c r="AL39" s="447"/>
      <c r="AM39" s="448"/>
      <c r="AN39" s="448"/>
      <c r="AO39" s="448">
        <f t="shared" si="40"/>
        <v>0</v>
      </c>
      <c r="AP39" s="450"/>
      <c r="AQ39" s="480">
        <f t="shared" si="9"/>
        <v>0</v>
      </c>
      <c r="AR39" s="451" t="e">
        <f t="shared" si="41"/>
        <v>#DIV/0!</v>
      </c>
      <c r="AS39" s="451" t="e">
        <f t="shared" si="42"/>
        <v>#DIV/0!</v>
      </c>
      <c r="AT39" s="451" t="e">
        <f t="shared" si="43"/>
        <v>#DIV/0!</v>
      </c>
      <c r="AU39" s="451" t="e">
        <f t="shared" si="44"/>
        <v>#DIV/0!</v>
      </c>
      <c r="AV39" s="451" t="e">
        <f t="shared" si="45"/>
        <v>#DIV/0!</v>
      </c>
      <c r="AW39" s="451" t="e">
        <f t="shared" si="46"/>
        <v>#DIV/0!</v>
      </c>
      <c r="AX39" s="393" t="e">
        <f t="shared" si="47"/>
        <v>#DIV/0!</v>
      </c>
      <c r="AY39" s="393" t="e">
        <f t="shared" si="48"/>
        <v>#DIV/0!</v>
      </c>
      <c r="AZ39" s="393" t="e">
        <f t="shared" si="49"/>
        <v>#DIV/0!</v>
      </c>
      <c r="BA39" s="387"/>
      <c r="BB39" s="388">
        <f>BB38+BA39</f>
        <v>635.91607022044332</v>
      </c>
      <c r="BC39" s="413" t="e">
        <f t="shared" si="37"/>
        <v>#DIV/0!</v>
      </c>
      <c r="BD39" s="413">
        <f t="shared" si="38"/>
        <v>0.78662424716927493</v>
      </c>
    </row>
    <row r="40" spans="1:56" s="393" customFormat="1" ht="12.75" customHeight="1" thickBot="1">
      <c r="A40" s="407"/>
      <c r="B40" s="395"/>
      <c r="C40" s="395"/>
      <c r="D40" s="395"/>
      <c r="E40" s="395"/>
      <c r="F40" s="409"/>
      <c r="G40" s="412"/>
      <c r="H40" s="408"/>
      <c r="I40" s="408"/>
      <c r="J40" s="413"/>
      <c r="K40" s="419"/>
      <c r="L40" s="396"/>
      <c r="M40" s="397"/>
      <c r="N40" s="397"/>
      <c r="O40" s="397"/>
      <c r="P40" s="397"/>
      <c r="Q40" s="397"/>
      <c r="R40" s="397"/>
      <c r="S40" s="397"/>
      <c r="T40" s="291"/>
      <c r="U40" s="290"/>
      <c r="V40" s="292"/>
      <c r="W40" s="292"/>
      <c r="X40" s="289"/>
      <c r="Y40" s="292"/>
      <c r="Z40" s="398"/>
      <c r="AA40" s="398"/>
      <c r="AB40" s="399"/>
      <c r="AC40" s="399"/>
      <c r="AD40" s="396"/>
      <c r="AE40" s="399"/>
      <c r="AF40" s="398"/>
      <c r="AG40" s="398"/>
      <c r="AH40" s="399"/>
      <c r="AI40" s="399"/>
      <c r="AJ40" s="399"/>
      <c r="AK40" s="399"/>
      <c r="AP40" s="450"/>
      <c r="AQ40" s="481"/>
      <c r="AX40" s="451"/>
      <c r="AY40" s="451"/>
      <c r="AZ40" s="451"/>
      <c r="BA40" s="396"/>
      <c r="BB40" s="397"/>
      <c r="BC40" s="413"/>
      <c r="BD40" s="419"/>
    </row>
    <row r="41" spans="1:56" s="393" customFormat="1" ht="12.75" customHeight="1" thickTop="1" thickBot="1">
      <c r="A41" s="400"/>
      <c r="B41" s="401"/>
      <c r="C41" s="401"/>
      <c r="D41" s="401"/>
      <c r="E41" s="401"/>
      <c r="F41" s="410"/>
      <c r="G41" s="412">
        <f t="shared" si="16"/>
        <v>0.41907010803957728</v>
      </c>
      <c r="H41" s="408">
        <f t="shared" si="17"/>
        <v>0.39957956183526216</v>
      </c>
      <c r="I41" s="408">
        <f t="shared" si="18"/>
        <v>0.9385174775843016</v>
      </c>
      <c r="J41" s="413">
        <f t="shared" si="19"/>
        <v>0.37501240246787071</v>
      </c>
      <c r="K41" s="419"/>
      <c r="L41" s="402">
        <f>SUM(L9:L39)</f>
        <v>1333.8945504418539</v>
      </c>
      <c r="M41" s="403"/>
      <c r="N41" s="402">
        <f>SUM(N9:N39)</f>
        <v>1271.856402484482</v>
      </c>
      <c r="O41" s="403"/>
      <c r="P41" s="402">
        <f>SUM(P9:P39)</f>
        <v>532.99699999999996</v>
      </c>
      <c r="Q41" s="403"/>
      <c r="R41" s="402">
        <f>SUM(R9:R39)</f>
        <v>500.22699999999998</v>
      </c>
      <c r="S41" s="403"/>
      <c r="T41" s="293">
        <f>SUM(T9:T39)</f>
        <v>63809.784627154229</v>
      </c>
      <c r="U41" s="293"/>
      <c r="V41" s="294">
        <f>T41/P41</f>
        <v>119.71884387183086</v>
      </c>
      <c r="W41" s="294"/>
      <c r="X41" s="289">
        <f>IF(AND(R41&gt;0,T41&gt;0),(T41/(R41*1000))*1000,0)</f>
        <v>127.56165626236535</v>
      </c>
      <c r="Y41" s="294"/>
      <c r="Z41" s="404">
        <f>SUM(Z9:Z40)</f>
        <v>1095.2999999999997</v>
      </c>
      <c r="AA41" s="404"/>
      <c r="AB41" s="405">
        <f>Z41/P41</f>
        <v>2.0549834239217102</v>
      </c>
      <c r="AC41" s="405"/>
      <c r="AD41" s="406">
        <f>Z41/R41</f>
        <v>2.1896059189128132</v>
      </c>
      <c r="AE41" s="405"/>
      <c r="AF41" s="404">
        <f>SUM(AF9:AF39)</f>
        <v>612858.1399999992</v>
      </c>
      <c r="AG41" s="404"/>
      <c r="AH41" s="405">
        <f>AF41/P41</f>
        <v>1149.8341266461148</v>
      </c>
      <c r="AI41" s="405"/>
      <c r="AJ41" s="405">
        <f>AF41/R41</f>
        <v>1225.1600573339688</v>
      </c>
      <c r="AK41" s="405"/>
      <c r="AP41" s="450">
        <f>SUM(AP9:AP40)</f>
        <v>326186</v>
      </c>
      <c r="AQ41" s="481"/>
      <c r="AX41" s="451" t="e">
        <f>SUM(AX9:AX39)</f>
        <v>#DIV/0!</v>
      </c>
      <c r="AY41" s="451" t="e">
        <f>SUM(AY9:AY39)</f>
        <v>#DIV/0!</v>
      </c>
      <c r="AZ41" s="451" t="e">
        <f>SUM(AZ9:AZ39)</f>
        <v>#DIV/0!</v>
      </c>
      <c r="BA41" s="402">
        <f>SUM(BA9:BA39)</f>
        <v>635.91607022044332</v>
      </c>
      <c r="BB41" s="403"/>
      <c r="BC41" s="413">
        <f t="shared" si="37"/>
        <v>0.78662424716927493</v>
      </c>
      <c r="BD41" s="419"/>
    </row>
    <row r="42" spans="1:56" ht="12.75" customHeight="1" thickTop="1">
      <c r="S42" s="277"/>
      <c r="T42" s="277"/>
      <c r="U42" s="277"/>
      <c r="V42" s="277"/>
      <c r="W42" s="277"/>
      <c r="X42" s="277"/>
      <c r="Y42" s="277"/>
      <c r="Z42" s="277"/>
      <c r="AA42" s="277"/>
      <c r="AD42" s="277"/>
      <c r="AF42" s="277"/>
      <c r="AG42" s="277"/>
    </row>
    <row r="43" spans="1:56" ht="12.75" customHeight="1">
      <c r="S43" s="277"/>
      <c r="T43" s="277"/>
      <c r="U43" s="277"/>
      <c r="V43" s="277"/>
      <c r="W43" s="277"/>
      <c r="X43" s="277"/>
      <c r="Y43" s="277"/>
      <c r="Z43" s="277"/>
      <c r="AA43" s="277"/>
      <c r="AD43" s="277"/>
      <c r="AF43" s="277"/>
      <c r="AG43" s="277"/>
      <c r="AY43" s="4" t="e">
        <f>SUM(AX41:AZ41)</f>
        <v>#DIV/0!</v>
      </c>
    </row>
    <row r="44" spans="1:56">
      <c r="S44" s="277"/>
      <c r="T44" s="277"/>
      <c r="U44" s="277"/>
      <c r="V44" s="277"/>
      <c r="W44" s="277"/>
      <c r="X44" s="277"/>
      <c r="Y44" s="277"/>
      <c r="Z44" s="277"/>
      <c r="AA44" s="277"/>
      <c r="AD44" s="277"/>
      <c r="AF44" s="277"/>
      <c r="AG44" s="277"/>
    </row>
    <row r="45" spans="1:56">
      <c r="R45" s="295"/>
      <c r="S45" s="296"/>
      <c r="T45" s="296"/>
      <c r="U45" s="296"/>
      <c r="V45" s="296"/>
      <c r="W45" s="296"/>
      <c r="X45" s="296"/>
      <c r="Y45" s="296"/>
    </row>
    <row r="46" spans="1:56">
      <c r="R46" s="297"/>
    </row>
    <row r="47" spans="1:56">
      <c r="R47" s="297"/>
    </row>
    <row r="48" spans="1:56">
      <c r="R48" s="297"/>
    </row>
    <row r="49" spans="18:56">
      <c r="R49" s="297"/>
      <c r="BC49"/>
      <c r="BD49"/>
    </row>
    <row r="50" spans="18:56">
      <c r="R50" s="297"/>
      <c r="BC50"/>
      <c r="BD50"/>
    </row>
    <row r="51" spans="18:56">
      <c r="R51" s="297"/>
      <c r="BC51"/>
      <c r="BD51"/>
    </row>
    <row r="52" spans="18:56">
      <c r="R52" s="297"/>
      <c r="BC52"/>
      <c r="BD52"/>
    </row>
    <row r="53" spans="18:56">
      <c r="R53" s="297"/>
      <c r="BC53"/>
      <c r="BD53"/>
    </row>
    <row r="54" spans="18:56">
      <c r="R54" s="297"/>
      <c r="BC54"/>
      <c r="BD54"/>
    </row>
    <row r="55" spans="18:56">
      <c r="R55" s="297"/>
      <c r="BC55"/>
      <c r="BD55"/>
    </row>
    <row r="56" spans="18:56">
      <c r="R56" s="297"/>
      <c r="BC56"/>
      <c r="BD56"/>
    </row>
    <row r="57" spans="18:56">
      <c r="R57" s="297"/>
      <c r="BC57"/>
      <c r="BD57"/>
    </row>
    <row r="58" spans="18:56">
      <c r="R58" s="297"/>
      <c r="BC58"/>
      <c r="BD58"/>
    </row>
    <row r="59" spans="18:56">
      <c r="R59" s="297"/>
      <c r="BC59"/>
      <c r="BD59"/>
    </row>
    <row r="60" spans="18:56">
      <c r="BC60"/>
      <c r="BD60"/>
    </row>
    <row r="65536" spans="3:54">
      <c r="C65536" s="298"/>
      <c r="BA65536"/>
      <c r="BB65536"/>
    </row>
  </sheetData>
  <mergeCells count="34">
    <mergeCell ref="A3:AK4"/>
    <mergeCell ref="AF7:AG7"/>
    <mergeCell ref="AH7:AI7"/>
    <mergeCell ref="AJ7:AK7"/>
    <mergeCell ref="D6:D8"/>
    <mergeCell ref="A6:A8"/>
    <mergeCell ref="B6:B8"/>
    <mergeCell ref="C6:C8"/>
    <mergeCell ref="J6:K7"/>
    <mergeCell ref="L6:M7"/>
    <mergeCell ref="H6:H8"/>
    <mergeCell ref="I6:I8"/>
    <mergeCell ref="E6:E8"/>
    <mergeCell ref="BC6:BD7"/>
    <mergeCell ref="N6:O7"/>
    <mergeCell ref="Z7:AA7"/>
    <mergeCell ref="AB7:AC7"/>
    <mergeCell ref="AD7:AE7"/>
    <mergeCell ref="Z6:AE6"/>
    <mergeCell ref="P6:Q7"/>
    <mergeCell ref="R6:S7"/>
    <mergeCell ref="T6:Y6"/>
    <mergeCell ref="T7:U7"/>
    <mergeCell ref="V7:W7"/>
    <mergeCell ref="X7:Y7"/>
    <mergeCell ref="AF6:AK6"/>
    <mergeCell ref="AR7:AT7"/>
    <mergeCell ref="AU7:AW7"/>
    <mergeCell ref="AX7:AZ7"/>
    <mergeCell ref="AL7:AN7"/>
    <mergeCell ref="AO7:AO8"/>
    <mergeCell ref="F6:F8"/>
    <mergeCell ref="G6:G8"/>
    <mergeCell ref="BA6:BB7"/>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44"/>
  <sheetViews>
    <sheetView zoomScaleNormal="100" workbookViewId="0">
      <pane xSplit="3" ySplit="6" topLeftCell="H7" activePane="bottomRight" state="frozen"/>
      <selection pane="topRight" activeCell="D1" sqref="D1"/>
      <selection pane="bottomLeft" activeCell="A7" sqref="A7"/>
      <selection pane="bottomRight" activeCell="G33" sqref="G33:Q37"/>
    </sheetView>
  </sheetViews>
  <sheetFormatPr defaultColWidth="9.140625" defaultRowHeight="12.75"/>
  <cols>
    <col min="1" max="3" width="10.85546875" customWidth="1"/>
    <col min="4" max="4" width="18.85546875" customWidth="1"/>
    <col min="5" max="5" width="12.85546875" customWidth="1"/>
    <col min="6" max="6" width="11.5703125" customWidth="1"/>
    <col min="7" max="7" width="12" customWidth="1"/>
    <col min="8" max="8" width="12.28515625" customWidth="1"/>
    <col min="9" max="9" width="13" customWidth="1"/>
    <col min="10" max="11" width="11" customWidth="1"/>
    <col min="12" max="12" width="13.5703125" customWidth="1"/>
    <col min="13" max="13" width="12.42578125" customWidth="1"/>
    <col min="14" max="15" width="13.140625" customWidth="1"/>
    <col min="16" max="16" width="16.28515625" bestFit="1" customWidth="1"/>
    <col min="17" max="18" width="10.85546875" bestFit="1" customWidth="1"/>
    <col min="21" max="21" width="39" bestFit="1" customWidth="1"/>
  </cols>
  <sheetData>
    <row r="2" spans="1:23" ht="24.75" customHeight="1">
      <c r="A2" s="630" t="s">
        <v>20</v>
      </c>
      <c r="B2" s="630"/>
      <c r="C2" s="630"/>
      <c r="D2" s="630"/>
      <c r="E2" s="630"/>
      <c r="F2" s="630"/>
      <c r="G2" s="630"/>
      <c r="H2" s="630"/>
      <c r="I2" s="630"/>
      <c r="J2" s="630"/>
      <c r="K2" s="630"/>
      <c r="L2" s="630"/>
      <c r="M2" s="630"/>
      <c r="N2" s="630"/>
      <c r="O2" s="630"/>
      <c r="P2" s="630"/>
      <c r="Q2" s="299"/>
      <c r="R2" s="299"/>
      <c r="S2" s="299"/>
      <c r="T2" s="299"/>
      <c r="U2" s="299"/>
    </row>
    <row r="3" spans="1:23" ht="12.75" customHeight="1">
      <c r="A3" s="299"/>
      <c r="B3" s="299"/>
      <c r="C3" s="299"/>
      <c r="D3" s="300"/>
      <c r="E3" s="301"/>
      <c r="F3" s="301"/>
      <c r="G3" s="301"/>
      <c r="H3" s="302"/>
      <c r="I3" s="301"/>
      <c r="J3" s="301"/>
      <c r="K3" s="301"/>
      <c r="L3" s="303"/>
      <c r="M3" s="301"/>
      <c r="N3" s="301"/>
      <c r="O3" s="301"/>
      <c r="P3" s="301"/>
      <c r="Q3" s="6"/>
      <c r="R3" s="6"/>
      <c r="S3" s="299"/>
      <c r="T3" s="299"/>
      <c r="U3" s="299"/>
    </row>
    <row r="4" spans="1:23">
      <c r="A4" s="638" t="s">
        <v>7</v>
      </c>
      <c r="B4" s="641" t="s">
        <v>21</v>
      </c>
      <c r="C4" s="641" t="s">
        <v>22</v>
      </c>
      <c r="D4" s="631"/>
      <c r="E4" s="631"/>
      <c r="F4" s="631"/>
      <c r="G4" s="631"/>
      <c r="H4" s="631"/>
      <c r="I4" s="631"/>
      <c r="J4" s="631"/>
      <c r="K4" s="631"/>
      <c r="L4" s="631"/>
      <c r="M4" s="631"/>
      <c r="N4" s="631"/>
      <c r="O4" s="631"/>
      <c r="P4" s="632" t="s">
        <v>184</v>
      </c>
      <c r="Q4" s="633"/>
      <c r="R4" s="634"/>
      <c r="U4" s="362" t="s">
        <v>0</v>
      </c>
    </row>
    <row r="5" spans="1:23" ht="14.25" customHeight="1">
      <c r="A5" s="639"/>
      <c r="B5" s="642"/>
      <c r="C5" s="642"/>
      <c r="D5" s="644" t="s">
        <v>301</v>
      </c>
      <c r="E5" s="645"/>
      <c r="F5" s="645"/>
      <c r="G5" s="646"/>
      <c r="H5" s="647" t="s">
        <v>302</v>
      </c>
      <c r="I5" s="648"/>
      <c r="J5" s="648"/>
      <c r="K5" s="649"/>
      <c r="L5" s="650" t="s">
        <v>301</v>
      </c>
      <c r="M5" s="651"/>
      <c r="N5" s="651"/>
      <c r="O5" s="652"/>
      <c r="P5" s="635"/>
      <c r="Q5" s="636"/>
      <c r="R5" s="637"/>
    </row>
    <row r="6" spans="1:23" ht="14.25" customHeight="1">
      <c r="A6" s="640"/>
      <c r="B6" s="643"/>
      <c r="C6" s="643"/>
      <c r="D6" s="507" t="s">
        <v>23</v>
      </c>
      <c r="E6" s="370" t="s">
        <v>24</v>
      </c>
      <c r="F6" s="371" t="s">
        <v>25</v>
      </c>
      <c r="G6" s="371" t="s">
        <v>26</v>
      </c>
      <c r="H6" s="508" t="s">
        <v>23</v>
      </c>
      <c r="I6" s="372" t="s">
        <v>24</v>
      </c>
      <c r="J6" s="373" t="s">
        <v>25</v>
      </c>
      <c r="K6" s="373" t="s">
        <v>26</v>
      </c>
      <c r="L6" s="509" t="s">
        <v>23</v>
      </c>
      <c r="M6" s="374" t="s">
        <v>24</v>
      </c>
      <c r="N6" s="375" t="s">
        <v>25</v>
      </c>
      <c r="O6" s="375" t="s">
        <v>26</v>
      </c>
      <c r="P6" s="376" t="s">
        <v>24</v>
      </c>
      <c r="Q6" s="377" t="s">
        <v>25</v>
      </c>
      <c r="R6" s="377" t="s">
        <v>26</v>
      </c>
      <c r="T6" s="362"/>
    </row>
    <row r="7" spans="1:23">
      <c r="A7" s="304">
        <f>A8-1</f>
        <v>45961</v>
      </c>
      <c r="B7" s="305">
        <v>0</v>
      </c>
      <c r="C7" s="305">
        <v>0</v>
      </c>
      <c r="D7" s="98"/>
      <c r="E7" s="98"/>
      <c r="F7" s="98"/>
      <c r="G7" s="98"/>
      <c r="H7" s="98"/>
      <c r="I7" s="98"/>
      <c r="J7" s="98"/>
      <c r="K7" s="98"/>
      <c r="L7" s="98"/>
      <c r="M7" s="98"/>
      <c r="N7" s="98"/>
      <c r="O7" s="98"/>
      <c r="P7" s="308"/>
      <c r="Q7" s="98"/>
      <c r="R7" s="98"/>
    </row>
    <row r="8" spans="1:23" ht="15">
      <c r="A8" s="304">
        <f>+Report1!A9</f>
        <v>45962</v>
      </c>
      <c r="B8" s="311">
        <f>+Report1!P9</f>
        <v>0</v>
      </c>
      <c r="C8" s="311">
        <f>+Report1!R9</f>
        <v>0</v>
      </c>
      <c r="D8" s="312">
        <f t="shared" ref="D8" si="0">+D7+E8</f>
        <v>300.00000000109139</v>
      </c>
      <c r="E8" s="312">
        <f>+[3]DailyNov!AH7</f>
        <v>300.00000000109139</v>
      </c>
      <c r="F8" s="312" t="e">
        <f t="shared" ref="F8:F38" si="1">E8/B8</f>
        <v>#DIV/0!</v>
      </c>
      <c r="G8" s="312" t="e">
        <f t="shared" ref="G8:G38" si="2">E8/C8</f>
        <v>#DIV/0!</v>
      </c>
      <c r="H8" s="312">
        <f t="shared" ref="H8" si="3">+H7+I8</f>
        <v>30.650000000363889</v>
      </c>
      <c r="I8" s="312">
        <f>+[3]DailyNov!AI7</f>
        <v>30.650000000363889</v>
      </c>
      <c r="J8" s="312" t="e">
        <f t="shared" ref="J8:J38" si="4">I8/B8</f>
        <v>#DIV/0!</v>
      </c>
      <c r="K8" s="312" t="e">
        <f t="shared" ref="K8:K38" si="5">I8/C8</f>
        <v>#DIV/0!</v>
      </c>
      <c r="L8" s="312">
        <f t="shared" ref="L8" si="6">+L7+M8</f>
        <v>1590.65</v>
      </c>
      <c r="M8" s="312">
        <f>+[3]DailyNov!AJ7</f>
        <v>1590.65</v>
      </c>
      <c r="N8" s="312" t="e">
        <f t="shared" ref="N8:N38" si="7">M8/B8</f>
        <v>#DIV/0!</v>
      </c>
      <c r="O8" s="312" t="e">
        <f t="shared" ref="O8:O38" si="8">M8/C8</f>
        <v>#DIV/0!</v>
      </c>
      <c r="P8" s="312">
        <f t="shared" ref="P8" si="9">+E8+I8+M8</f>
        <v>1921.3000000014554</v>
      </c>
      <c r="Q8" s="7" t="e">
        <f t="shared" ref="Q8:Q38" si="10">P8/B8</f>
        <v>#DIV/0!</v>
      </c>
      <c r="R8" s="310" t="e">
        <f t="shared" ref="R8:R38" si="11">P8/C8</f>
        <v>#DIV/0!</v>
      </c>
      <c r="V8" s="380" t="s">
        <v>170</v>
      </c>
      <c r="W8" s="380" t="s">
        <v>171</v>
      </c>
    </row>
    <row r="9" spans="1:23" ht="15">
      <c r="A9" s="304">
        <v>45506</v>
      </c>
      <c r="B9" s="311">
        <f>+Report1!P10</f>
        <v>0</v>
      </c>
      <c r="C9" s="311">
        <f>+Report1!R10</f>
        <v>0</v>
      </c>
      <c r="D9" s="312">
        <f t="shared" ref="D9" si="12">+D8+E9</f>
        <v>500</v>
      </c>
      <c r="E9" s="312">
        <f>+[3]DailyNov!AH8</f>
        <v>199.99999999890861</v>
      </c>
      <c r="F9" s="312" t="e">
        <f t="shared" ref="F9" si="13">E9/B9</f>
        <v>#DIV/0!</v>
      </c>
      <c r="G9" s="312" t="e">
        <f t="shared" ref="G9" si="14">E9/C9</f>
        <v>#DIV/0!</v>
      </c>
      <c r="H9" s="312">
        <f t="shared" ref="H9" si="15">+H8+I9</f>
        <v>2110.5399999992728</v>
      </c>
      <c r="I9" s="312">
        <f>+[3]DailyNov!AI8</f>
        <v>2079.8899999989089</v>
      </c>
      <c r="J9" s="312" t="e">
        <f t="shared" ref="J9" si="16">I9/B9</f>
        <v>#DIV/0!</v>
      </c>
      <c r="K9" s="312" t="e">
        <f t="shared" ref="K9" si="17">I9/C9</f>
        <v>#DIV/0!</v>
      </c>
      <c r="L9" s="312">
        <f t="shared" ref="L9" si="18">+L8+M9</f>
        <v>6630.5400000000009</v>
      </c>
      <c r="M9" s="312">
        <f>+[3]DailyNov!AJ8</f>
        <v>5039.8900000000003</v>
      </c>
      <c r="N9" s="312" t="e">
        <f t="shared" ref="N9" si="19">M9/B9</f>
        <v>#DIV/0!</v>
      </c>
      <c r="O9" s="312" t="e">
        <f t="shared" ref="O9" si="20">M9/C9</f>
        <v>#DIV/0!</v>
      </c>
      <c r="P9" s="312">
        <f t="shared" ref="P9" si="21">+E9+I9+M9</f>
        <v>7319.7799999978179</v>
      </c>
      <c r="Q9" s="7" t="e">
        <f t="shared" ref="Q9" si="22">P9/B9</f>
        <v>#DIV/0!</v>
      </c>
      <c r="R9" s="310" t="e">
        <f t="shared" ref="R9" si="23">P9/C9</f>
        <v>#DIV/0!</v>
      </c>
      <c r="V9" s="380" t="s">
        <v>170</v>
      </c>
      <c r="W9" s="380" t="s">
        <v>171</v>
      </c>
    </row>
    <row r="10" spans="1:23" ht="15">
      <c r="A10" s="304">
        <v>45507</v>
      </c>
      <c r="B10" s="311">
        <f>+Report1!P11</f>
        <v>0</v>
      </c>
      <c r="C10" s="311">
        <f>+Report1!R11</f>
        <v>0</v>
      </c>
      <c r="D10" s="312">
        <f t="shared" ref="D10" si="24">+D9+E10</f>
        <v>800.00000000109139</v>
      </c>
      <c r="E10" s="312">
        <f>+[3]DailyNov!AH9</f>
        <v>300.00000000109139</v>
      </c>
      <c r="F10" s="312" t="e">
        <f t="shared" ref="F10" si="25">E10/B10</f>
        <v>#DIV/0!</v>
      </c>
      <c r="G10" s="312" t="e">
        <f t="shared" ref="G10" si="26">E10/C10</f>
        <v>#DIV/0!</v>
      </c>
      <c r="H10" s="312">
        <f t="shared" ref="H10" si="27">+H9+I10</f>
        <v>2184.0799999996366</v>
      </c>
      <c r="I10" s="312">
        <f>+[3]DailyNov!AI9</f>
        <v>73.54000000036379</v>
      </c>
      <c r="J10" s="312" t="e">
        <f t="shared" ref="J10" si="28">I10/B10</f>
        <v>#DIV/0!</v>
      </c>
      <c r="K10" s="312" t="e">
        <f t="shared" ref="K10" si="29">I10/C10</f>
        <v>#DIV/0!</v>
      </c>
      <c r="L10" s="312">
        <f t="shared" ref="L10" si="30">+L9+M10</f>
        <v>9764.0800000000017</v>
      </c>
      <c r="M10" s="312">
        <f>+[3]DailyNov!AJ9</f>
        <v>3133.54</v>
      </c>
      <c r="N10" s="312" t="e">
        <f t="shared" ref="N10" si="31">M10/B10</f>
        <v>#DIV/0!</v>
      </c>
      <c r="O10" s="312" t="e">
        <f t="shared" ref="O10" si="32">M10/C10</f>
        <v>#DIV/0!</v>
      </c>
      <c r="P10" s="312">
        <f t="shared" ref="P10" si="33">+E10+I10+M10</f>
        <v>3507.0800000014551</v>
      </c>
      <c r="Q10" s="7" t="e">
        <f t="shared" ref="Q10" si="34">P10/B10</f>
        <v>#DIV/0!</v>
      </c>
      <c r="R10" s="310" t="e">
        <f t="shared" ref="R10" si="35">P10/C10</f>
        <v>#DIV/0!</v>
      </c>
      <c r="V10" s="380" t="s">
        <v>170</v>
      </c>
      <c r="W10" s="380" t="s">
        <v>171</v>
      </c>
    </row>
    <row r="11" spans="1:23" ht="15">
      <c r="A11" s="304">
        <v>45508</v>
      </c>
      <c r="B11" s="311">
        <f>+Report1!P12</f>
        <v>0</v>
      </c>
      <c r="C11" s="311">
        <f>+Report1!R12</f>
        <v>0</v>
      </c>
      <c r="D11" s="312">
        <f t="shared" ref="D11" si="36">+D10+E11</f>
        <v>1000</v>
      </c>
      <c r="E11" s="312">
        <f>+[3]DailyNov!AH10</f>
        <v>199.99999999890861</v>
      </c>
      <c r="F11" s="312" t="e">
        <f t="shared" ref="F11" si="37">E11/B11</f>
        <v>#DIV/0!</v>
      </c>
      <c r="G11" s="312" t="e">
        <f t="shared" ref="G11" si="38">E11/C11</f>
        <v>#DIV/0!</v>
      </c>
      <c r="H11" s="312">
        <f t="shared" ref="H11" si="39">+H10+I11</f>
        <v>2224.9500000000003</v>
      </c>
      <c r="I11" s="312">
        <f>+[3]DailyNov!AI10</f>
        <v>40.870000000363795</v>
      </c>
      <c r="J11" s="312" t="e">
        <f t="shared" ref="J11" si="40">I11/B11</f>
        <v>#DIV/0!</v>
      </c>
      <c r="K11" s="312" t="e">
        <f t="shared" ref="K11" si="41">I11/C11</f>
        <v>#DIV/0!</v>
      </c>
      <c r="L11" s="312">
        <f t="shared" ref="L11" si="42">+L10+M11</f>
        <v>12864.95</v>
      </c>
      <c r="M11" s="312">
        <f>+[3]DailyNov!AJ10</f>
        <v>3100.87</v>
      </c>
      <c r="N11" s="312" t="e">
        <f t="shared" ref="N11" si="43">M11/B11</f>
        <v>#DIV/0!</v>
      </c>
      <c r="O11" s="312" t="e">
        <f t="shared" ref="O11" si="44">M11/C11</f>
        <v>#DIV/0!</v>
      </c>
      <c r="P11" s="312">
        <f t="shared" ref="P11" si="45">+E11+I11+M11</f>
        <v>3341.7399999992722</v>
      </c>
      <c r="Q11" s="7" t="e">
        <f t="shared" ref="Q11" si="46">P11/B11</f>
        <v>#DIV/0!</v>
      </c>
      <c r="R11" s="310" t="e">
        <f t="shared" ref="R11" si="47">P11/C11</f>
        <v>#DIV/0!</v>
      </c>
      <c r="V11" s="380" t="s">
        <v>170</v>
      </c>
      <c r="W11" s="380" t="s">
        <v>171</v>
      </c>
    </row>
    <row r="12" spans="1:23" ht="15">
      <c r="A12" s="304">
        <v>45509</v>
      </c>
      <c r="B12" s="311">
        <f>+Report1!P13</f>
        <v>0</v>
      </c>
      <c r="C12" s="311">
        <f>+Report1!R13</f>
        <v>0</v>
      </c>
      <c r="D12" s="312">
        <f t="shared" ref="D12" si="48">+D11+E12</f>
        <v>1200.0000000007276</v>
      </c>
      <c r="E12" s="312">
        <f>+[3]DailyNov!AH11</f>
        <v>200.0000000007276</v>
      </c>
      <c r="F12" s="312" t="e">
        <f t="shared" ref="F12" si="49">E12/B12</f>
        <v>#DIV/0!</v>
      </c>
      <c r="G12" s="312" t="e">
        <f t="shared" ref="G12" si="50">E12/C12</f>
        <v>#DIV/0!</v>
      </c>
      <c r="H12" s="312">
        <f t="shared" ref="H12" si="51">+H11+I12</f>
        <v>2857.2299999996367</v>
      </c>
      <c r="I12" s="312">
        <f>+[3]DailyNov!AI11</f>
        <v>632.27999999963617</v>
      </c>
      <c r="J12" s="312" t="e">
        <f t="shared" ref="J12" si="52">I12/B12</f>
        <v>#DIV/0!</v>
      </c>
      <c r="K12" s="312" t="e">
        <f t="shared" ref="K12" si="53">I12/C12</f>
        <v>#DIV/0!</v>
      </c>
      <c r="L12" s="312">
        <f t="shared" ref="L12" si="54">+L11+M12</f>
        <v>16757.23</v>
      </c>
      <c r="M12" s="312">
        <f>+[3]DailyNov!AJ11</f>
        <v>3892.2799999999997</v>
      </c>
      <c r="N12" s="312" t="e">
        <f t="shared" ref="N12" si="55">M12/B12</f>
        <v>#DIV/0!</v>
      </c>
      <c r="O12" s="312" t="e">
        <f t="shared" ref="O12" si="56">M12/C12</f>
        <v>#DIV/0!</v>
      </c>
      <c r="P12" s="312">
        <f t="shared" ref="P12" si="57">+E12+I12+M12</f>
        <v>4724.5600000003633</v>
      </c>
      <c r="Q12" s="7" t="e">
        <f t="shared" ref="Q12" si="58">P12/B12</f>
        <v>#DIV/0!</v>
      </c>
      <c r="R12" s="310" t="e">
        <f t="shared" ref="R12" si="59">P12/C12</f>
        <v>#DIV/0!</v>
      </c>
      <c r="V12" s="380" t="s">
        <v>170</v>
      </c>
      <c r="W12" s="380" t="s">
        <v>171</v>
      </c>
    </row>
    <row r="13" spans="1:23" ht="15">
      <c r="A13" s="304">
        <v>45510</v>
      </c>
      <c r="B13" s="311">
        <f>+Report1!P14</f>
        <v>0</v>
      </c>
      <c r="C13" s="311">
        <f>+Report1!R14</f>
        <v>0</v>
      </c>
      <c r="D13" s="312">
        <f t="shared" ref="D13" si="60">+D12+E13</f>
        <v>1500</v>
      </c>
      <c r="E13" s="312">
        <f>+[3]DailyNov!AH12</f>
        <v>299.9999999992724</v>
      </c>
      <c r="F13" s="312" t="e">
        <f t="shared" ref="F13" si="61">E13/B13</f>
        <v>#DIV/0!</v>
      </c>
      <c r="G13" s="312" t="e">
        <f t="shared" ref="G13" si="62">E13/C13</f>
        <v>#DIV/0!</v>
      </c>
      <c r="H13" s="312">
        <f t="shared" ref="H13" si="63">+H12+I13</f>
        <v>5052.119999999637</v>
      </c>
      <c r="I13" s="312">
        <f>+[3]DailyNov!AI12</f>
        <v>2194.8900000000003</v>
      </c>
      <c r="J13" s="312" t="e">
        <f t="shared" ref="J13" si="64">I13/B13</f>
        <v>#DIV/0!</v>
      </c>
      <c r="K13" s="312" t="e">
        <f t="shared" ref="K13" si="65">I13/C13</f>
        <v>#DIV/0!</v>
      </c>
      <c r="L13" s="312">
        <f t="shared" ref="L13" si="66">+L12+M13</f>
        <v>22112.12</v>
      </c>
      <c r="M13" s="312">
        <f>+[3]DailyNov!AJ12</f>
        <v>5354.89</v>
      </c>
      <c r="N13" s="312" t="e">
        <f t="shared" ref="N13" si="67">M13/B13</f>
        <v>#DIV/0!</v>
      </c>
      <c r="O13" s="312" t="e">
        <f t="shared" ref="O13" si="68">M13/C13</f>
        <v>#DIV/0!</v>
      </c>
      <c r="P13" s="312">
        <f t="shared" ref="P13" si="69">+E13+I13+M13</f>
        <v>7849.7799999992731</v>
      </c>
      <c r="Q13" s="7" t="e">
        <f t="shared" ref="Q13" si="70">P13/B13</f>
        <v>#DIV/0!</v>
      </c>
      <c r="R13" s="310" t="e">
        <f t="shared" ref="R13" si="71">P13/C13</f>
        <v>#DIV/0!</v>
      </c>
      <c r="V13" s="380" t="s">
        <v>170</v>
      </c>
      <c r="W13" s="380" t="s">
        <v>171</v>
      </c>
    </row>
    <row r="14" spans="1:23" ht="15">
      <c r="A14" s="304">
        <f t="shared" ref="A14:A38" si="72">+A13+1</f>
        <v>45511</v>
      </c>
      <c r="B14" s="311">
        <f>+Report1!P15</f>
        <v>0</v>
      </c>
      <c r="C14" s="311">
        <f>+Report1!R15</f>
        <v>0</v>
      </c>
      <c r="D14" s="312">
        <f t="shared" ref="D14" si="73">+D13+E14</f>
        <v>1700.0000000007276</v>
      </c>
      <c r="E14" s="312">
        <f>+[3]DailyNov!AH13</f>
        <v>200.0000000007276</v>
      </c>
      <c r="F14" s="312" t="e">
        <f t="shared" ref="F14" si="74">E14/B14</f>
        <v>#DIV/0!</v>
      </c>
      <c r="G14" s="312" t="e">
        <f t="shared" ref="G14" si="75">E14/C14</f>
        <v>#DIV/0!</v>
      </c>
      <c r="H14" s="312">
        <f t="shared" ref="H14" si="76">+H13+I14</f>
        <v>5535.1699999996372</v>
      </c>
      <c r="I14" s="312">
        <f>+[3]DailyNov!AI13</f>
        <v>483.04999999999995</v>
      </c>
      <c r="J14" s="312" t="e">
        <f t="shared" ref="J14" si="77">I14/B14</f>
        <v>#DIV/0!</v>
      </c>
      <c r="K14" s="312" t="e">
        <f t="shared" ref="K14" si="78">I14/C14</f>
        <v>#DIV/0!</v>
      </c>
      <c r="L14" s="312">
        <f t="shared" ref="L14" si="79">+L13+M14</f>
        <v>24755.17</v>
      </c>
      <c r="M14" s="312">
        <f>+[3]DailyNov!AJ13</f>
        <v>2643.05</v>
      </c>
      <c r="N14" s="312" t="e">
        <f t="shared" ref="N14" si="80">M14/B14</f>
        <v>#DIV/0!</v>
      </c>
      <c r="O14" s="312" t="e">
        <f t="shared" ref="O14" si="81">M14/C14</f>
        <v>#DIV/0!</v>
      </c>
      <c r="P14" s="312">
        <f t="shared" ref="P14" si="82">+E14+I14+M14</f>
        <v>3326.100000000728</v>
      </c>
      <c r="Q14" s="7" t="e">
        <f t="shared" ref="Q14" si="83">P14/B14</f>
        <v>#DIV/0!</v>
      </c>
      <c r="R14" s="310" t="e">
        <f t="shared" ref="R14" si="84">P14/C14</f>
        <v>#DIV/0!</v>
      </c>
      <c r="V14" s="380" t="s">
        <v>170</v>
      </c>
      <c r="W14" s="380" t="s">
        <v>171</v>
      </c>
    </row>
    <row r="15" spans="1:23" ht="15">
      <c r="A15" s="304">
        <f t="shared" si="72"/>
        <v>45512</v>
      </c>
      <c r="B15" s="311">
        <f>+Report1!P16</f>
        <v>0</v>
      </c>
      <c r="C15" s="311">
        <f>+Report1!R16</f>
        <v>0</v>
      </c>
      <c r="D15" s="312">
        <f t="shared" ref="D15" si="85">+D14+E15</f>
        <v>2000</v>
      </c>
      <c r="E15" s="312">
        <f>+[3]DailyNov!AH14</f>
        <v>299.9999999992724</v>
      </c>
      <c r="F15" s="312" t="e">
        <f t="shared" ref="F15" si="86">E15/B15</f>
        <v>#DIV/0!</v>
      </c>
      <c r="G15" s="312" t="e">
        <f t="shared" ref="G15" si="87">E15/C15</f>
        <v>#DIV/0!</v>
      </c>
      <c r="H15" s="312">
        <f t="shared" ref="H15" si="88">+H14+I15</f>
        <v>7519.4199999996372</v>
      </c>
      <c r="I15" s="312">
        <f>+[3]DailyNov!AI14</f>
        <v>1984.25</v>
      </c>
      <c r="J15" s="312" t="e">
        <f t="shared" ref="J15" si="89">I15/B15</f>
        <v>#DIV/0!</v>
      </c>
      <c r="K15" s="312" t="e">
        <f t="shared" ref="K15" si="90">I15/C15</f>
        <v>#DIV/0!</v>
      </c>
      <c r="L15" s="312">
        <f t="shared" ref="L15" si="91">+L14+M15</f>
        <v>29899.42</v>
      </c>
      <c r="M15" s="312">
        <f>+[3]DailyNov!AJ14</f>
        <v>5144.25</v>
      </c>
      <c r="N15" s="312" t="e">
        <f t="shared" ref="N15" si="92">M15/B15</f>
        <v>#DIV/0!</v>
      </c>
      <c r="O15" s="312" t="e">
        <f t="shared" ref="O15" si="93">M15/C15</f>
        <v>#DIV/0!</v>
      </c>
      <c r="P15" s="312">
        <f t="shared" ref="P15" si="94">+E15+I15+M15</f>
        <v>7428.4999999992724</v>
      </c>
      <c r="Q15" s="7" t="e">
        <f t="shared" ref="Q15" si="95">P15/B15</f>
        <v>#DIV/0!</v>
      </c>
      <c r="R15" s="310" t="e">
        <f t="shared" ref="R15" si="96">P15/C15</f>
        <v>#DIV/0!</v>
      </c>
      <c r="V15" s="380" t="s">
        <v>170</v>
      </c>
      <c r="W15" s="380" t="s">
        <v>171</v>
      </c>
    </row>
    <row r="16" spans="1:23" ht="15">
      <c r="A16" s="304">
        <f t="shared" si="72"/>
        <v>45513</v>
      </c>
      <c r="B16" s="311">
        <f>+Report1!P17</f>
        <v>0</v>
      </c>
      <c r="C16" s="311">
        <f>+Report1!R17</f>
        <v>0</v>
      </c>
      <c r="D16" s="312">
        <f t="shared" ref="D16" si="97">+D15+E16</f>
        <v>2200.0000000007276</v>
      </c>
      <c r="E16" s="312">
        <f>+[3]DailyNov!AH15</f>
        <v>200.0000000007276</v>
      </c>
      <c r="F16" s="312" t="e">
        <f t="shared" ref="F16" si="98">E16/B16</f>
        <v>#DIV/0!</v>
      </c>
      <c r="G16" s="312" t="e">
        <f t="shared" ref="G16" si="99">E16/C16</f>
        <v>#DIV/0!</v>
      </c>
      <c r="H16" s="312">
        <f t="shared" ref="H16" si="100">+H15+I16</f>
        <v>8778.3899999996374</v>
      </c>
      <c r="I16" s="312">
        <f>+[3]DailyNov!AI15</f>
        <v>1258.97</v>
      </c>
      <c r="J16" s="312" t="e">
        <f t="shared" ref="J16" si="101">I16/B16</f>
        <v>#DIV/0!</v>
      </c>
      <c r="K16" s="312" t="e">
        <f t="shared" ref="K16" si="102">I16/C16</f>
        <v>#DIV/0!</v>
      </c>
      <c r="L16" s="312">
        <f t="shared" ref="L16" si="103">+L15+M16</f>
        <v>34318.39</v>
      </c>
      <c r="M16" s="312">
        <f>+[3]DailyNov!AJ15</f>
        <v>4418.97</v>
      </c>
      <c r="N16" s="312" t="e">
        <f t="shared" ref="N16" si="104">M16/B16</f>
        <v>#DIV/0!</v>
      </c>
      <c r="O16" s="312" t="e">
        <f t="shared" ref="O16" si="105">M16/C16</f>
        <v>#DIV/0!</v>
      </c>
      <c r="P16" s="312">
        <f t="shared" ref="P16" si="106">+E16+I16+M16</f>
        <v>5877.9400000007281</v>
      </c>
      <c r="Q16" s="7" t="e">
        <f t="shared" ref="Q16" si="107">P16/B16</f>
        <v>#DIV/0!</v>
      </c>
      <c r="R16" s="310" t="e">
        <f t="shared" ref="R16" si="108">P16/C16</f>
        <v>#DIV/0!</v>
      </c>
      <c r="V16" s="380" t="s">
        <v>170</v>
      </c>
      <c r="W16" s="380" t="s">
        <v>171</v>
      </c>
    </row>
    <row r="17" spans="1:23" ht="15">
      <c r="A17" s="304">
        <f t="shared" si="72"/>
        <v>45514</v>
      </c>
      <c r="B17" s="311">
        <f>+Report1!P18</f>
        <v>0</v>
      </c>
      <c r="C17" s="311">
        <f>+Report1!R18</f>
        <v>0</v>
      </c>
      <c r="D17" s="312">
        <f t="shared" ref="D17" si="109">+D16+E17</f>
        <v>2399.9999999996362</v>
      </c>
      <c r="E17" s="312">
        <f>+[3]DailyNov!AH16</f>
        <v>199.99999999890861</v>
      </c>
      <c r="F17" s="312" t="e">
        <f t="shared" ref="F17" si="110">E17/B17</f>
        <v>#DIV/0!</v>
      </c>
      <c r="G17" s="312" t="e">
        <f t="shared" ref="G17" si="111">E17/C17</f>
        <v>#DIV/0!</v>
      </c>
      <c r="H17" s="312">
        <f t="shared" ref="H17" si="112">+H16+I17</f>
        <v>9949.5099999996382</v>
      </c>
      <c r="I17" s="312">
        <f>+[3]DailyNov!AI16</f>
        <v>1171.1199999999999</v>
      </c>
      <c r="J17" s="312" t="e">
        <f t="shared" ref="J17" si="113">I17/B17</f>
        <v>#DIV/0!</v>
      </c>
      <c r="K17" s="312" t="e">
        <f t="shared" ref="K17" si="114">I17/C17</f>
        <v>#DIV/0!</v>
      </c>
      <c r="L17" s="312">
        <f t="shared" ref="L17" si="115">+L16+M17</f>
        <v>37649.51</v>
      </c>
      <c r="M17" s="312">
        <f>+[3]DailyNov!AJ16</f>
        <v>3331.12</v>
      </c>
      <c r="N17" s="312" t="e">
        <f t="shared" ref="N17" si="116">M17/B17</f>
        <v>#DIV/0!</v>
      </c>
      <c r="O17" s="312" t="e">
        <f t="shared" ref="O17" si="117">M17/C17</f>
        <v>#DIV/0!</v>
      </c>
      <c r="P17" s="312">
        <f t="shared" ref="P17" si="118">+E17+I17+M17</f>
        <v>4702.2399999989084</v>
      </c>
      <c r="Q17" s="7" t="e">
        <f t="shared" ref="Q17" si="119">P17/B17</f>
        <v>#DIV/0!</v>
      </c>
      <c r="R17" s="310" t="e">
        <f t="shared" ref="R17" si="120">P17/C17</f>
        <v>#DIV/0!</v>
      </c>
      <c r="V17" s="380" t="s">
        <v>170</v>
      </c>
      <c r="W17" s="380" t="s">
        <v>171</v>
      </c>
    </row>
    <row r="18" spans="1:23" ht="15">
      <c r="A18" s="304">
        <f t="shared" si="72"/>
        <v>45515</v>
      </c>
      <c r="B18" s="311">
        <f>+Report1!P19</f>
        <v>0</v>
      </c>
      <c r="C18" s="311">
        <f>+Report1!R19</f>
        <v>0</v>
      </c>
      <c r="D18" s="312">
        <f t="shared" ref="D18" si="121">+D17+E18</f>
        <v>2600.0000000003638</v>
      </c>
      <c r="E18" s="312">
        <f>+[3]DailyNov!AH17</f>
        <v>200.0000000007276</v>
      </c>
      <c r="F18" s="312" t="e">
        <f t="shared" ref="F18" si="122">E18/B18</f>
        <v>#DIV/0!</v>
      </c>
      <c r="G18" s="312" t="e">
        <f t="shared" ref="G18" si="123">E18/C18</f>
        <v>#DIV/0!</v>
      </c>
      <c r="H18" s="312">
        <f t="shared" ref="H18" si="124">+H17+I18</f>
        <v>11252.379999999637</v>
      </c>
      <c r="I18" s="312">
        <f>+[3]DailyNov!AI17</f>
        <v>1302.8699999999999</v>
      </c>
      <c r="J18" s="312" t="e">
        <f t="shared" ref="J18" si="125">I18/B18</f>
        <v>#DIV/0!</v>
      </c>
      <c r="K18" s="312" t="e">
        <f t="shared" ref="K18" si="126">I18/C18</f>
        <v>#DIV/0!</v>
      </c>
      <c r="L18" s="312">
        <f t="shared" ref="L18" si="127">+L17+M18</f>
        <v>42112.380000000005</v>
      </c>
      <c r="M18" s="312">
        <f>+[3]DailyNov!AJ17</f>
        <v>4462.87</v>
      </c>
      <c r="N18" s="312" t="e">
        <f t="shared" ref="N18" si="128">M18/B18</f>
        <v>#DIV/0!</v>
      </c>
      <c r="O18" s="312" t="e">
        <f t="shared" ref="O18" si="129">M18/C18</f>
        <v>#DIV/0!</v>
      </c>
      <c r="P18" s="312">
        <f t="shared" ref="P18" si="130">+E18+I18+M18</f>
        <v>5965.7400000007274</v>
      </c>
      <c r="Q18" s="7" t="e">
        <f t="shared" ref="Q18" si="131">P18/B18</f>
        <v>#DIV/0!</v>
      </c>
      <c r="R18" s="310" t="e">
        <f t="shared" ref="R18" si="132">P18/C18</f>
        <v>#DIV/0!</v>
      </c>
      <c r="V18" s="380" t="s">
        <v>170</v>
      </c>
      <c r="W18" s="380" t="s">
        <v>171</v>
      </c>
    </row>
    <row r="19" spans="1:23" ht="15">
      <c r="A19" s="304">
        <f t="shared" si="72"/>
        <v>45516</v>
      </c>
      <c r="B19" s="311">
        <f>+Report1!P20</f>
        <v>0</v>
      </c>
      <c r="C19" s="311">
        <f>+Report1!R20</f>
        <v>0</v>
      </c>
      <c r="D19" s="312">
        <f t="shared" ref="D19" si="133">+D18+E19</f>
        <v>3100.0000000003638</v>
      </c>
      <c r="E19" s="312">
        <f>+[3]DailyNov!AH18</f>
        <v>500</v>
      </c>
      <c r="F19" s="312" t="e">
        <f t="shared" ref="F19" si="134">E19/B19</f>
        <v>#DIV/0!</v>
      </c>
      <c r="G19" s="312" t="e">
        <f t="shared" ref="G19" si="135">E19/C19</f>
        <v>#DIV/0!</v>
      </c>
      <c r="H19" s="312">
        <f t="shared" ref="H19" si="136">+H18+I19</f>
        <v>12409.309999999638</v>
      </c>
      <c r="I19" s="312">
        <f>+[3]DailyNov!AI18</f>
        <v>1156.93</v>
      </c>
      <c r="J19" s="312" t="e">
        <f t="shared" ref="J19" si="137">I19/B19</f>
        <v>#DIV/0!</v>
      </c>
      <c r="K19" s="312" t="e">
        <f t="shared" ref="K19" si="138">I19/C19</f>
        <v>#DIV/0!</v>
      </c>
      <c r="L19" s="312">
        <f t="shared" ref="L19" si="139">+L18+M19</f>
        <v>46429.310000000005</v>
      </c>
      <c r="M19" s="312">
        <f>+[3]DailyNov!AJ18</f>
        <v>4316.93</v>
      </c>
      <c r="N19" s="312" t="e">
        <f t="shared" ref="N19" si="140">M19/B19</f>
        <v>#DIV/0!</v>
      </c>
      <c r="O19" s="312" t="e">
        <f t="shared" ref="O19" si="141">M19/C19</f>
        <v>#DIV/0!</v>
      </c>
      <c r="P19" s="312">
        <f t="shared" ref="P19" si="142">+E19+I19+M19</f>
        <v>5973.8600000000006</v>
      </c>
      <c r="Q19" s="7" t="e">
        <f t="shared" ref="Q19" si="143">P19/B19</f>
        <v>#DIV/0!</v>
      </c>
      <c r="R19" s="310" t="e">
        <f t="shared" ref="R19" si="144">P19/C19</f>
        <v>#DIV/0!</v>
      </c>
      <c r="V19" s="380" t="s">
        <v>170</v>
      </c>
      <c r="W19" s="380" t="s">
        <v>171</v>
      </c>
    </row>
    <row r="20" spans="1:23" ht="15">
      <c r="A20" s="304">
        <f t="shared" si="72"/>
        <v>45517</v>
      </c>
      <c r="B20" s="311">
        <f>+Report1!P21</f>
        <v>0</v>
      </c>
      <c r="C20" s="311">
        <f>+Report1!R21</f>
        <v>0</v>
      </c>
      <c r="D20" s="312">
        <f t="shared" ref="D20" si="145">+D19+E20</f>
        <v>3500</v>
      </c>
      <c r="E20" s="312">
        <f>+[3]DailyNov!AH19</f>
        <v>399.9999999996362</v>
      </c>
      <c r="F20" s="312" t="e">
        <f t="shared" ref="F20" si="146">E20/B20</f>
        <v>#DIV/0!</v>
      </c>
      <c r="G20" s="312" t="e">
        <f t="shared" ref="G20" si="147">E20/C20</f>
        <v>#DIV/0!</v>
      </c>
      <c r="H20" s="312">
        <f t="shared" ref="H20" si="148">+H19+I20</f>
        <v>13818.959999999637</v>
      </c>
      <c r="I20" s="312">
        <f>+[3]DailyNov!AI19</f>
        <v>1409.65</v>
      </c>
      <c r="J20" s="312" t="e">
        <f t="shared" ref="J20" si="149">I20/B20</f>
        <v>#DIV/0!</v>
      </c>
      <c r="K20" s="312" t="e">
        <f t="shared" ref="K20" si="150">I20/C20</f>
        <v>#DIV/0!</v>
      </c>
      <c r="L20" s="312">
        <f t="shared" ref="L20" si="151">+L19+M20</f>
        <v>49998.960000000006</v>
      </c>
      <c r="M20" s="312">
        <f>+[3]DailyNov!AJ19</f>
        <v>3569.65</v>
      </c>
      <c r="N20" s="312" t="e">
        <f t="shared" ref="N20" si="152">M20/B20</f>
        <v>#DIV/0!</v>
      </c>
      <c r="O20" s="312" t="e">
        <f t="shared" ref="O20" si="153">M20/C20</f>
        <v>#DIV/0!</v>
      </c>
      <c r="P20" s="312">
        <f t="shared" ref="P20" si="154">+E20+I20+M20</f>
        <v>5379.2999999996364</v>
      </c>
      <c r="Q20" s="7" t="e">
        <f t="shared" ref="Q20" si="155">P20/B20</f>
        <v>#DIV/0!</v>
      </c>
      <c r="R20" s="310" t="e">
        <f t="shared" ref="R20" si="156">P20/C20</f>
        <v>#DIV/0!</v>
      </c>
      <c r="V20" s="380" t="s">
        <v>170</v>
      </c>
      <c r="W20" s="380" t="s">
        <v>171</v>
      </c>
    </row>
    <row r="21" spans="1:23" ht="15">
      <c r="A21" s="304">
        <f t="shared" si="72"/>
        <v>45518</v>
      </c>
      <c r="B21" s="311">
        <f>+Report1!P22</f>
        <v>0</v>
      </c>
      <c r="C21" s="311">
        <f>+Report1!R22</f>
        <v>0</v>
      </c>
      <c r="D21" s="312">
        <f t="shared" ref="D21" si="157">+D20+E21</f>
        <v>3899.9999999996362</v>
      </c>
      <c r="E21" s="312">
        <f>+[3]DailyNov!AH20</f>
        <v>399.9999999996362</v>
      </c>
      <c r="F21" s="312" t="e">
        <f t="shared" ref="F21" si="158">E21/B21</f>
        <v>#DIV/0!</v>
      </c>
      <c r="G21" s="312" t="e">
        <f t="shared" ref="G21" si="159">E21/C21</f>
        <v>#DIV/0!</v>
      </c>
      <c r="H21" s="312">
        <f t="shared" ref="H21" si="160">+H20+I21</f>
        <v>14473.649999999638</v>
      </c>
      <c r="I21" s="312">
        <f>+[3]DailyNov!AI20</f>
        <v>654.69000000000005</v>
      </c>
      <c r="J21" s="312" t="e">
        <f t="shared" ref="J21" si="161">I21/B21</f>
        <v>#DIV/0!</v>
      </c>
      <c r="K21" s="312" t="e">
        <f t="shared" ref="K21" si="162">I21/C21</f>
        <v>#DIV/0!</v>
      </c>
      <c r="L21" s="312">
        <f t="shared" ref="L21" si="163">+L20+M21</f>
        <v>54813.650000000009</v>
      </c>
      <c r="M21" s="312">
        <f>+[3]DailyNov!AJ20</f>
        <v>4814.6900000000005</v>
      </c>
      <c r="N21" s="312" t="e">
        <f t="shared" ref="N21" si="164">M21/B21</f>
        <v>#DIV/0!</v>
      </c>
      <c r="O21" s="312" t="e">
        <f t="shared" ref="O21" si="165">M21/C21</f>
        <v>#DIV/0!</v>
      </c>
      <c r="P21" s="312">
        <f t="shared" ref="P21" si="166">+E21+I21+M21</f>
        <v>5869.3799999996372</v>
      </c>
      <c r="Q21" s="7" t="e">
        <f t="shared" ref="Q21" si="167">P21/B21</f>
        <v>#DIV/0!</v>
      </c>
      <c r="R21" s="310" t="e">
        <f t="shared" ref="R21" si="168">P21/C21</f>
        <v>#DIV/0!</v>
      </c>
      <c r="V21" s="380" t="s">
        <v>170</v>
      </c>
      <c r="W21" s="380" t="s">
        <v>171</v>
      </c>
    </row>
    <row r="22" spans="1:23" ht="15">
      <c r="A22" s="304">
        <f t="shared" si="72"/>
        <v>45519</v>
      </c>
      <c r="B22" s="311">
        <f>+Report1!P23</f>
        <v>0</v>
      </c>
      <c r="C22" s="311">
        <f>+Report1!R23</f>
        <v>0</v>
      </c>
      <c r="D22" s="312">
        <f t="shared" ref="D22" si="169">+D21+E22</f>
        <v>4399.9999999996362</v>
      </c>
      <c r="E22" s="312">
        <f>+[3]DailyNov!AH21</f>
        <v>500</v>
      </c>
      <c r="F22" s="312" t="e">
        <f t="shared" ref="F22" si="170">E22/B22</f>
        <v>#DIV/0!</v>
      </c>
      <c r="G22" s="312" t="e">
        <f t="shared" ref="G22" si="171">E22/C22</f>
        <v>#DIV/0!</v>
      </c>
      <c r="H22" s="312">
        <f t="shared" ref="H22" si="172">+H21+I22</f>
        <v>16508.409999999636</v>
      </c>
      <c r="I22" s="312">
        <f>+[3]DailyNov!AI21</f>
        <v>2034.76</v>
      </c>
      <c r="J22" s="312" t="e">
        <f t="shared" ref="J22" si="173">I22/B22</f>
        <v>#DIV/0!</v>
      </c>
      <c r="K22" s="312" t="e">
        <f t="shared" ref="K22" si="174">I22/C22</f>
        <v>#DIV/0!</v>
      </c>
      <c r="L22" s="312">
        <f t="shared" ref="L22" si="175">+L21+M22</f>
        <v>61008.410000000011</v>
      </c>
      <c r="M22" s="312">
        <f>+[3]DailyNov!AJ21</f>
        <v>6194.76</v>
      </c>
      <c r="N22" s="312" t="e">
        <f t="shared" ref="N22" si="176">M22/B22</f>
        <v>#DIV/0!</v>
      </c>
      <c r="O22" s="312" t="e">
        <f t="shared" ref="O22" si="177">M22/C22</f>
        <v>#DIV/0!</v>
      </c>
      <c r="P22" s="312">
        <f t="shared" ref="P22" si="178">+E22+I22+M22</f>
        <v>8729.52</v>
      </c>
      <c r="Q22" s="7" t="e">
        <f t="shared" ref="Q22" si="179">P22/B22</f>
        <v>#DIV/0!</v>
      </c>
      <c r="R22" s="310" t="e">
        <f t="shared" ref="R22" si="180">P22/C22</f>
        <v>#DIV/0!</v>
      </c>
      <c r="V22" s="380" t="s">
        <v>170</v>
      </c>
      <c r="W22" s="380" t="s">
        <v>171</v>
      </c>
    </row>
    <row r="23" spans="1:23" ht="15">
      <c r="A23" s="304">
        <f t="shared" si="72"/>
        <v>45520</v>
      </c>
      <c r="B23" s="311">
        <f>+Report1!P24</f>
        <v>24.817</v>
      </c>
      <c r="C23" s="311">
        <f>+Report1!R24</f>
        <v>22.440999999999999</v>
      </c>
      <c r="D23" s="312">
        <f t="shared" ref="D23" si="181">+D22+E23</f>
        <v>8600.0000000003638</v>
      </c>
      <c r="E23" s="312">
        <f>+[3]DailyNov!AH22</f>
        <v>4200.0000000007276</v>
      </c>
      <c r="F23" s="312">
        <f t="shared" ref="F23" si="182">E23/B23</f>
        <v>169.23882822261868</v>
      </c>
      <c r="G23" s="312">
        <f t="shared" ref="G23" si="183">E23/C23</f>
        <v>187.15743505194635</v>
      </c>
      <c r="H23" s="312">
        <f t="shared" ref="H23" si="184">+H22+I23</f>
        <v>21570.819999999636</v>
      </c>
      <c r="I23" s="312">
        <f>+[3]DailyNov!AI22</f>
        <v>5062.41</v>
      </c>
      <c r="J23" s="312">
        <f t="shared" ref="J23" si="185">I23/B23</f>
        <v>203.98960390055203</v>
      </c>
      <c r="K23" s="312">
        <f t="shared" ref="K23" si="186">I23/C23</f>
        <v>225.58754066218083</v>
      </c>
      <c r="L23" s="312">
        <f t="shared" ref="L23" si="187">+L22+M23</f>
        <v>81230.820000000007</v>
      </c>
      <c r="M23" s="312">
        <f>+[3]DailyNov!AJ22</f>
        <v>20222.41</v>
      </c>
      <c r="N23" s="312">
        <f t="shared" ref="N23" si="188">M23/B23</f>
        <v>814.8611838658984</v>
      </c>
      <c r="O23" s="312">
        <f t="shared" ref="O23" si="189">M23/C23</f>
        <v>901.1367586114701</v>
      </c>
      <c r="P23" s="312">
        <f t="shared" ref="P23" si="190">+E23+I23+M23</f>
        <v>29484.820000000727</v>
      </c>
      <c r="Q23" s="7">
        <f t="shared" ref="Q23" si="191">P23/B23</f>
        <v>1188.089615989069</v>
      </c>
      <c r="R23" s="310">
        <f t="shared" ref="R23" si="192">P23/C23</f>
        <v>1313.8817343255973</v>
      </c>
      <c r="V23" s="380" t="s">
        <v>170</v>
      </c>
      <c r="W23" s="380" t="s">
        <v>171</v>
      </c>
    </row>
    <row r="24" spans="1:23" ht="15">
      <c r="A24" s="304">
        <f t="shared" si="72"/>
        <v>45521</v>
      </c>
      <c r="B24" s="311">
        <f>+Report1!P25</f>
        <v>33.996000000000002</v>
      </c>
      <c r="C24" s="311">
        <f>+Report1!R25</f>
        <v>25.547000000000001</v>
      </c>
      <c r="D24" s="312">
        <f t="shared" ref="D24" si="193">+D23+E24</f>
        <v>13300.000000001091</v>
      </c>
      <c r="E24" s="312">
        <f>+[3]DailyNov!AH23</f>
        <v>4700.0000000007276</v>
      </c>
      <c r="F24" s="312">
        <f t="shared" ref="F24" si="194">E24/B24</f>
        <v>138.25155900696339</v>
      </c>
      <c r="G24" s="312">
        <f t="shared" ref="G24" si="195">E24/C24</f>
        <v>183.97463498652397</v>
      </c>
      <c r="H24" s="312">
        <f t="shared" ref="H24" si="196">+H23+I24</f>
        <v>28210.349999999635</v>
      </c>
      <c r="I24" s="312">
        <f>+[3]DailyNov!AI23</f>
        <v>6639.53</v>
      </c>
      <c r="J24" s="312">
        <f t="shared" ref="J24" si="197">I24/B24</f>
        <v>195.30327097305565</v>
      </c>
      <c r="K24" s="312">
        <f t="shared" ref="K24" si="198">I24/C24</f>
        <v>259.89470387912473</v>
      </c>
      <c r="L24" s="312">
        <f t="shared" ref="L24" si="199">+L23+M24</f>
        <v>106030.35</v>
      </c>
      <c r="M24" s="312">
        <f>+[3]DailyNov!AJ23</f>
        <v>24799.53</v>
      </c>
      <c r="N24" s="312">
        <f t="shared" ref="N24" si="200">M24/B24</f>
        <v>729.48376279562297</v>
      </c>
      <c r="O24" s="312">
        <f t="shared" ref="O24" si="201">M24/C24</f>
        <v>970.74137863545616</v>
      </c>
      <c r="P24" s="312">
        <f t="shared" ref="P24" si="202">+E24+I24+M24</f>
        <v>36139.060000000725</v>
      </c>
      <c r="Q24" s="7">
        <f t="shared" ref="Q24" si="203">P24/B24</f>
        <v>1063.038592775642</v>
      </c>
      <c r="R24" s="310">
        <f t="shared" ref="R24" si="204">P24/C24</f>
        <v>1414.6107175011048</v>
      </c>
      <c r="V24" s="380" t="s">
        <v>170</v>
      </c>
      <c r="W24" s="380" t="s">
        <v>171</v>
      </c>
    </row>
    <row r="25" spans="1:23" ht="15">
      <c r="A25" s="304">
        <f t="shared" si="72"/>
        <v>45522</v>
      </c>
      <c r="B25" s="311">
        <f>+Report1!P26</f>
        <v>35.665999999999997</v>
      </c>
      <c r="C25" s="311">
        <f>+Report1!R26</f>
        <v>34.366999999999997</v>
      </c>
      <c r="D25" s="312">
        <f t="shared" ref="D25" si="205">+D24+E25</f>
        <v>18000</v>
      </c>
      <c r="E25" s="312">
        <f>+[3]DailyNov!AH24</f>
        <v>4699.9999999989086</v>
      </c>
      <c r="F25" s="312">
        <f t="shared" ref="F25" si="206">E25/B25</f>
        <v>131.77816407780264</v>
      </c>
      <c r="G25" s="312">
        <f t="shared" ref="G25" si="207">E25/C25</f>
        <v>136.75910029967437</v>
      </c>
      <c r="H25" s="312">
        <f t="shared" ref="H25" si="208">+H24+I25</f>
        <v>35077.289999999637</v>
      </c>
      <c r="I25" s="312">
        <f>+[3]DailyNov!AI24</f>
        <v>6866.94</v>
      </c>
      <c r="J25" s="312">
        <f t="shared" ref="J25" si="209">I25/B25</f>
        <v>192.53462681545449</v>
      </c>
      <c r="K25" s="312">
        <f t="shared" ref="K25" si="210">I25/C25</f>
        <v>199.81202898129018</v>
      </c>
      <c r="L25" s="312">
        <f t="shared" ref="L25" si="211">+L24+M25</f>
        <v>132057.29</v>
      </c>
      <c r="M25" s="312">
        <f>+[3]DailyNov!AJ24</f>
        <v>26026.94</v>
      </c>
      <c r="N25" s="312">
        <f t="shared" ref="N25" si="212">M25/B25</f>
        <v>729.74092973700442</v>
      </c>
      <c r="O25" s="312">
        <f t="shared" ref="O25" si="213">M25/C25</f>
        <v>757.32359530945382</v>
      </c>
      <c r="P25" s="312">
        <f t="shared" ref="P25" si="214">+E25+I25+M25</f>
        <v>37593.879999998906</v>
      </c>
      <c r="Q25" s="7">
        <f t="shared" ref="Q25" si="215">P25/B25</f>
        <v>1054.0537206302615</v>
      </c>
      <c r="R25" s="310">
        <f t="shared" ref="R25" si="216">P25/C25</f>
        <v>1093.8947245904185</v>
      </c>
      <c r="V25" s="380" t="s">
        <v>170</v>
      </c>
      <c r="W25" s="380" t="s">
        <v>171</v>
      </c>
    </row>
    <row r="26" spans="1:23" ht="15">
      <c r="A26" s="304">
        <f t="shared" si="72"/>
        <v>45523</v>
      </c>
      <c r="B26" s="311">
        <f>+Report1!P27</f>
        <v>20.191000000000003</v>
      </c>
      <c r="C26" s="311">
        <f>+Report1!R27</f>
        <v>25.437000000000001</v>
      </c>
      <c r="D26" s="312">
        <f t="shared" ref="D26" si="217">+D25+E26</f>
        <v>21200.000000000728</v>
      </c>
      <c r="E26" s="312">
        <f>+[3]DailyNov!AH25</f>
        <v>3200.0000000007276</v>
      </c>
      <c r="F26" s="312">
        <f t="shared" ref="F26" si="218">E26/B26</f>
        <v>158.48645436088987</v>
      </c>
      <c r="G26" s="312">
        <f t="shared" ref="G26" si="219">E26/C26</f>
        <v>125.80099854545455</v>
      </c>
      <c r="H26" s="312">
        <f t="shared" ref="H26" si="220">+H25+I26</f>
        <v>41085.289999999637</v>
      </c>
      <c r="I26" s="312">
        <f>+[3]DailyNov!AI25</f>
        <v>6008</v>
      </c>
      <c r="J26" s="312">
        <f t="shared" ref="J26" si="221">I26/B26</f>
        <v>297.55831806250308</v>
      </c>
      <c r="K26" s="312">
        <f t="shared" ref="K26" si="222">I26/C26</f>
        <v>236.19137476903722</v>
      </c>
      <c r="L26" s="312">
        <f t="shared" ref="L26" si="223">+L25+M26</f>
        <v>151225.29</v>
      </c>
      <c r="M26" s="312">
        <f>+[3]DailyNov!AJ25</f>
        <v>19168</v>
      </c>
      <c r="N26" s="312">
        <f t="shared" ref="N26" si="224">M26/B26</f>
        <v>949.33386162151442</v>
      </c>
      <c r="O26" s="312">
        <f t="shared" ref="O26" si="225">M26/C26</f>
        <v>753.54798128710138</v>
      </c>
      <c r="P26" s="312">
        <f t="shared" ref="P26" si="226">+E26+I26+M26</f>
        <v>28376.000000000728</v>
      </c>
      <c r="Q26" s="7">
        <f t="shared" ref="Q26" si="227">P26/B26</f>
        <v>1405.3786340449074</v>
      </c>
      <c r="R26" s="310">
        <f t="shared" ref="R26" si="228">P26/C26</f>
        <v>1115.5403546015932</v>
      </c>
      <c r="V26" s="380" t="s">
        <v>170</v>
      </c>
      <c r="W26" s="380" t="s">
        <v>171</v>
      </c>
    </row>
    <row r="27" spans="1:23" ht="15">
      <c r="A27" s="304">
        <f t="shared" si="72"/>
        <v>45524</v>
      </c>
      <c r="B27" s="311">
        <f>+Report1!P28</f>
        <v>19.975999999999999</v>
      </c>
      <c r="C27" s="311">
        <f>+Report1!R28</f>
        <v>11.805</v>
      </c>
      <c r="D27" s="312">
        <f t="shared" ref="D27" si="229">+D26+E27</f>
        <v>23700.000000000728</v>
      </c>
      <c r="E27" s="312">
        <f>+[3]DailyNov!AH26</f>
        <v>2500</v>
      </c>
      <c r="F27" s="312">
        <f t="shared" ref="F27" si="230">E27/B27</f>
        <v>125.15018021625951</v>
      </c>
      <c r="G27" s="312">
        <f t="shared" ref="G27" si="231">E27/C27</f>
        <v>211.7746717492588</v>
      </c>
      <c r="H27" s="312">
        <f t="shared" ref="H27" si="232">+H26+I27</f>
        <v>44179.819999999636</v>
      </c>
      <c r="I27" s="312">
        <f>+[3]DailyNov!AI26</f>
        <v>3094.53</v>
      </c>
      <c r="J27" s="312">
        <f t="shared" ref="J27" si="233">I27/B27</f>
        <v>154.91239487384863</v>
      </c>
      <c r="K27" s="312">
        <f t="shared" ref="K27" si="234">I27/C27</f>
        <v>262.13722998729355</v>
      </c>
      <c r="L27" s="312">
        <f t="shared" ref="L27" si="235">+L26+M27</f>
        <v>165479.82</v>
      </c>
      <c r="M27" s="312">
        <f>+[3]DailyNov!AJ26</f>
        <v>14254.53</v>
      </c>
      <c r="N27" s="312">
        <f t="shared" ref="N27" si="236">M27/B27</f>
        <v>713.5827993592311</v>
      </c>
      <c r="O27" s="312">
        <f t="shared" ref="O27" si="237">M27/C27</f>
        <v>1207.4993646759849</v>
      </c>
      <c r="P27" s="312">
        <f t="shared" ref="P27" si="238">+E27+I27+M27</f>
        <v>19849.060000000001</v>
      </c>
      <c r="Q27" s="7">
        <f t="shared" ref="Q27" si="239">P27/B27</f>
        <v>993.64537444933933</v>
      </c>
      <c r="R27" s="310">
        <f t="shared" ref="R27" si="240">P27/C27</f>
        <v>1681.4112664125373</v>
      </c>
      <c r="V27" s="380" t="s">
        <v>170</v>
      </c>
      <c r="W27" s="380" t="s">
        <v>171</v>
      </c>
    </row>
    <row r="28" spans="1:23" ht="15">
      <c r="A28" s="304">
        <f t="shared" si="72"/>
        <v>45525</v>
      </c>
      <c r="B28" s="311">
        <f>+Report1!P29</f>
        <v>39.033999999999999</v>
      </c>
      <c r="C28" s="311">
        <f>+Report1!R29</f>
        <v>39.662999999999997</v>
      </c>
      <c r="D28" s="312">
        <f t="shared" ref="D28" si="241">+D27+E28</f>
        <v>28800.000000001091</v>
      </c>
      <c r="E28" s="312">
        <f>+[3]DailyNov!AH27</f>
        <v>5100.0000000003638</v>
      </c>
      <c r="F28" s="312">
        <f t="shared" ref="F28" si="242">E28/B28</f>
        <v>130.65532612595081</v>
      </c>
      <c r="G28" s="312">
        <f t="shared" ref="G28" si="243">E28/C28</f>
        <v>128.58331442403158</v>
      </c>
      <c r="H28" s="312">
        <f t="shared" ref="H28" si="244">+H27+I28</f>
        <v>51262.829999999638</v>
      </c>
      <c r="I28" s="312">
        <f>+[3]DailyNov!AI27</f>
        <v>7083.01</v>
      </c>
      <c r="J28" s="312">
        <f t="shared" ref="J28" si="245">I28/B28</f>
        <v>181.4574473535892</v>
      </c>
      <c r="K28" s="312">
        <f t="shared" ref="K28" si="246">I28/C28</f>
        <v>178.5797846859794</v>
      </c>
      <c r="L28" s="312">
        <f t="shared" ref="L28" si="247">+L27+M28</f>
        <v>193722.83000000002</v>
      </c>
      <c r="M28" s="312">
        <f>+[3]DailyNov!AJ27</f>
        <v>28243.01</v>
      </c>
      <c r="N28" s="312">
        <f t="shared" ref="N28" si="248">M28/B28</f>
        <v>723.54895731926013</v>
      </c>
      <c r="O28" s="312">
        <f t="shared" ref="O28" si="249">M28/C28</f>
        <v>712.0744774727076</v>
      </c>
      <c r="P28" s="312">
        <f t="shared" ref="P28" si="250">+E28+I28+M28</f>
        <v>40426.020000000361</v>
      </c>
      <c r="Q28" s="7">
        <f t="shared" ref="Q28" si="251">P28/B28</f>
        <v>1035.6617307988001</v>
      </c>
      <c r="R28" s="310">
        <f t="shared" ref="R28" si="252">P28/C28</f>
        <v>1019.2375765827185</v>
      </c>
      <c r="V28" s="380" t="s">
        <v>170</v>
      </c>
      <c r="W28" s="380" t="s">
        <v>171</v>
      </c>
    </row>
    <row r="29" spans="1:23" ht="15">
      <c r="A29" s="304">
        <f t="shared" si="72"/>
        <v>45526</v>
      </c>
      <c r="B29" s="311">
        <f>+Report1!P30</f>
        <v>36.606999999999999</v>
      </c>
      <c r="C29" s="311">
        <f>+Report1!R30</f>
        <v>34.344999999999999</v>
      </c>
      <c r="D29" s="312">
        <f t="shared" ref="D29" si="253">+D28+E29</f>
        <v>33500</v>
      </c>
      <c r="E29" s="312">
        <f>+[3]DailyNov!AH28</f>
        <v>4699.9999999989086</v>
      </c>
      <c r="F29" s="312">
        <f t="shared" ref="F29" si="254">E29/B29</f>
        <v>128.39074493946262</v>
      </c>
      <c r="G29" s="312">
        <f t="shared" ref="G29" si="255">E29/C29</f>
        <v>136.84670257676251</v>
      </c>
      <c r="H29" s="312">
        <f t="shared" ref="H29" si="256">+H28+I29</f>
        <v>58508.679999999636</v>
      </c>
      <c r="I29" s="312">
        <f>+[3]DailyNov!AI28</f>
        <v>7245.85</v>
      </c>
      <c r="J29" s="312">
        <f t="shared" ref="J29" si="257">I29/B29</f>
        <v>197.9361870680471</v>
      </c>
      <c r="K29" s="312">
        <f t="shared" ref="K29" si="258">I29/C29</f>
        <v>210.97248507788618</v>
      </c>
      <c r="L29" s="312">
        <f t="shared" ref="L29" si="259">+L28+M29</f>
        <v>220128.68000000002</v>
      </c>
      <c r="M29" s="312">
        <f>+[3]DailyNov!AJ28</f>
        <v>26405.85</v>
      </c>
      <c r="N29" s="312">
        <f t="shared" ref="N29" si="260">M29/B29</f>
        <v>721.33335154478652</v>
      </c>
      <c r="O29" s="312">
        <f t="shared" ref="O29" si="261">M29/C29</f>
        <v>768.84117047605184</v>
      </c>
      <c r="P29" s="312">
        <f t="shared" ref="P29" si="262">+E29+I29+M29</f>
        <v>38351.699999998906</v>
      </c>
      <c r="Q29" s="7">
        <f t="shared" ref="Q29" si="263">P29/B29</f>
        <v>1047.6602835522963</v>
      </c>
      <c r="R29" s="310">
        <f t="shared" ref="R29" si="264">P29/C29</f>
        <v>1116.6603581307004</v>
      </c>
      <c r="V29" s="380" t="s">
        <v>170</v>
      </c>
      <c r="W29" s="380" t="s">
        <v>171</v>
      </c>
    </row>
    <row r="30" spans="1:23" ht="15">
      <c r="A30" s="304">
        <f t="shared" si="72"/>
        <v>45527</v>
      </c>
      <c r="B30" s="311">
        <f>+Report1!P31</f>
        <v>38.872999999999998</v>
      </c>
      <c r="C30" s="311">
        <f>+Report1!R31</f>
        <v>37.584000000000003</v>
      </c>
      <c r="D30" s="312">
        <f t="shared" ref="D30" si="265">+D29+E30</f>
        <v>38300.000000001091</v>
      </c>
      <c r="E30" s="312">
        <f>+[3]DailyNov!AH29</f>
        <v>4800.0000000010914</v>
      </c>
      <c r="F30" s="312">
        <f t="shared" ref="F30" si="266">E30/B30</f>
        <v>123.47902142878326</v>
      </c>
      <c r="G30" s="312">
        <f t="shared" ref="G30" si="267">E30/C30</f>
        <v>127.71392081739812</v>
      </c>
      <c r="H30" s="312">
        <f t="shared" ref="H30" si="268">+H29+I30</f>
        <v>65109.479999999639</v>
      </c>
      <c r="I30" s="312">
        <f>+[3]DailyNov!AI29</f>
        <v>6600.8</v>
      </c>
      <c r="J30" s="312">
        <f t="shared" ref="J30" si="269">I30/B30</f>
        <v>169.80423430144319</v>
      </c>
      <c r="K30" s="312">
        <f t="shared" ref="K30" si="270">I30/C30</f>
        <v>175.62792677735206</v>
      </c>
      <c r="L30" s="312">
        <f t="shared" ref="L30" si="271">+L29+M30</f>
        <v>246889.48</v>
      </c>
      <c r="M30" s="312">
        <f>+[3]DailyNov!AJ29</f>
        <v>26760.799999999999</v>
      </c>
      <c r="N30" s="312">
        <f t="shared" ref="N30" si="272">M30/B30</f>
        <v>688.41612430221494</v>
      </c>
      <c r="O30" s="312">
        <f t="shared" ref="O30" si="273">M30/C30</f>
        <v>712.02639421030221</v>
      </c>
      <c r="P30" s="312">
        <f t="shared" ref="P30" si="274">+E30+I30+M30</f>
        <v>38161.60000000109</v>
      </c>
      <c r="Q30" s="7">
        <f t="shared" ref="Q30" si="275">P30/B30</f>
        <v>981.69938003244135</v>
      </c>
      <c r="R30" s="310">
        <f t="shared" ref="R30" si="276">P30/C30</f>
        <v>1015.3682418050523</v>
      </c>
      <c r="V30" s="380" t="s">
        <v>170</v>
      </c>
      <c r="W30" s="380" t="s">
        <v>171</v>
      </c>
    </row>
    <row r="31" spans="1:23" ht="15">
      <c r="A31" s="304">
        <f t="shared" si="72"/>
        <v>45528</v>
      </c>
      <c r="B31" s="311">
        <f>+Report1!P32</f>
        <v>37.686</v>
      </c>
      <c r="C31" s="311">
        <f>+Report1!R32</f>
        <v>35.371000000000002</v>
      </c>
      <c r="D31" s="312">
        <f t="shared" ref="D31" si="277">+D30+E31</f>
        <v>43000</v>
      </c>
      <c r="E31" s="312">
        <f>+[3]DailyNov!AH30</f>
        <v>4699.9999999989086</v>
      </c>
      <c r="F31" s="312">
        <f t="shared" ref="F31" si="278">E31/B31</f>
        <v>124.71474818231992</v>
      </c>
      <c r="G31" s="312">
        <f t="shared" ref="G31" si="279">E31/C31</f>
        <v>132.87721579822195</v>
      </c>
      <c r="H31" s="312">
        <f t="shared" ref="H31" si="280">+H30+I31</f>
        <v>71805.319999999643</v>
      </c>
      <c r="I31" s="312">
        <f>+[3]DailyNov!AI30</f>
        <v>6695.84</v>
      </c>
      <c r="J31" s="312">
        <f t="shared" ref="J31" si="281">I31/B31</f>
        <v>177.67446797219128</v>
      </c>
      <c r="K31" s="312">
        <f t="shared" ref="K31" si="282">I31/C31</f>
        <v>189.30310141076021</v>
      </c>
      <c r="L31" s="312">
        <f t="shared" ref="L31" si="283">+L30+M31</f>
        <v>271745.32</v>
      </c>
      <c r="M31" s="312">
        <f>+[3]DailyNov!AJ30</f>
        <v>24855.84</v>
      </c>
      <c r="N31" s="312">
        <f t="shared" ref="N31" si="284">M31/B31</f>
        <v>659.5510269065436</v>
      </c>
      <c r="O31" s="312">
        <f t="shared" ref="O31" si="285">M31/C31</f>
        <v>702.71804585677523</v>
      </c>
      <c r="P31" s="312">
        <f t="shared" ref="P31" si="286">+E31+I31+M31</f>
        <v>36251.679999998909</v>
      </c>
      <c r="Q31" s="7">
        <f t="shared" ref="Q31" si="287">P31/B31</f>
        <v>961.94024306105473</v>
      </c>
      <c r="R31" s="310">
        <f t="shared" ref="R31" si="288">P31/C31</f>
        <v>1024.8983630657574</v>
      </c>
      <c r="V31" s="380" t="s">
        <v>170</v>
      </c>
      <c r="W31" s="380" t="s">
        <v>171</v>
      </c>
    </row>
    <row r="32" spans="1:23" ht="15">
      <c r="A32" s="304">
        <f t="shared" si="72"/>
        <v>45529</v>
      </c>
      <c r="B32" s="311">
        <f>+Report1!P33</f>
        <v>40.597000000000001</v>
      </c>
      <c r="C32" s="311">
        <f>+Report1!R33</f>
        <v>38.463000000000001</v>
      </c>
      <c r="D32" s="312">
        <f t="shared" ref="D32" si="289">+D31+E32</f>
        <v>47800.000000001091</v>
      </c>
      <c r="E32" s="312">
        <f>+[3]DailyNov!AH31</f>
        <v>4800.0000000010914</v>
      </c>
      <c r="F32" s="312">
        <f t="shared" ref="F32" si="290">E32/B32</f>
        <v>118.23533758654806</v>
      </c>
      <c r="G32" s="312">
        <f t="shared" ref="G32" si="291">E32/C32</f>
        <v>124.79525778023273</v>
      </c>
      <c r="H32" s="312">
        <f t="shared" ref="H32" si="292">+H31+I32</f>
        <v>77488.639999999636</v>
      </c>
      <c r="I32" s="312">
        <f>+[3]DailyNov!AI31</f>
        <v>5683.32</v>
      </c>
      <c r="J32" s="312">
        <f t="shared" ref="J32" si="293">I32/B32</f>
        <v>139.99359558588071</v>
      </c>
      <c r="K32" s="312">
        <f t="shared" ref="K32" si="294">I32/C32</f>
        <v>147.76070509320644</v>
      </c>
      <c r="L32" s="312">
        <f t="shared" ref="L32" si="295">+L31+M32</f>
        <v>296588.64</v>
      </c>
      <c r="M32" s="312">
        <f>+[3]DailyNov!AJ31</f>
        <v>24843.32</v>
      </c>
      <c r="N32" s="312">
        <f t="shared" ref="N32" si="296">M32/B32</f>
        <v>611.94965145207766</v>
      </c>
      <c r="O32" s="312">
        <f t="shared" ref="O32" si="297">M32/C32</f>
        <v>645.9017757325222</v>
      </c>
      <c r="P32" s="312">
        <f t="shared" ref="P32" si="298">+E32+I32+M32</f>
        <v>35326.640000001091</v>
      </c>
      <c r="Q32" s="7">
        <f t="shared" ref="Q32" si="299">P32/B32</f>
        <v>870.17858462450647</v>
      </c>
      <c r="R32" s="310">
        <f t="shared" ref="R32" si="300">P32/C32</f>
        <v>918.45773860596137</v>
      </c>
      <c r="V32" s="380" t="s">
        <v>170</v>
      </c>
      <c r="W32" s="380" t="s">
        <v>171</v>
      </c>
    </row>
    <row r="33" spans="1:23" ht="15">
      <c r="A33" s="304">
        <f t="shared" si="72"/>
        <v>45530</v>
      </c>
      <c r="B33" s="311">
        <f>+Report1!P34</f>
        <v>42.676000000000002</v>
      </c>
      <c r="C33" s="311">
        <f>+Report1!R34</f>
        <v>38.930999999999997</v>
      </c>
      <c r="D33" s="312">
        <f t="shared" ref="D33" si="301">+D32+E33</f>
        <v>52800.000000001091</v>
      </c>
      <c r="E33" s="312">
        <f>+[3]DailyNov!AH32</f>
        <v>5000</v>
      </c>
      <c r="F33" s="312">
        <f t="shared" ref="F33" si="302">E33/B33</f>
        <v>117.16187084075358</v>
      </c>
      <c r="G33" s="312">
        <f t="shared" ref="G33" si="303">E33/C33</f>
        <v>128.43235467879069</v>
      </c>
      <c r="H33" s="312">
        <f t="shared" ref="H33" si="304">+H32+I33</f>
        <v>84055.869999999632</v>
      </c>
      <c r="I33" s="312">
        <f>+[3]DailyNov!AI32</f>
        <v>6567.23</v>
      </c>
      <c r="J33" s="312">
        <f t="shared" ref="J33" si="305">I33/B33</f>
        <v>153.8857906083044</v>
      </c>
      <c r="K33" s="312">
        <f t="shared" ref="K33" si="306">I33/C33</f>
        <v>168.6889625234389</v>
      </c>
      <c r="L33" s="312">
        <f t="shared" ref="L33" si="307">+L32+M33</f>
        <v>322315.87</v>
      </c>
      <c r="M33" s="312">
        <f>+[3]DailyNov!AJ32</f>
        <v>25727.23</v>
      </c>
      <c r="N33" s="312">
        <f t="shared" ref="N33" si="308">M33/B33</f>
        <v>602.85007967007209</v>
      </c>
      <c r="O33" s="312">
        <f t="shared" ref="O33" si="309">M33/C33</f>
        <v>660.84174565256478</v>
      </c>
      <c r="P33" s="312">
        <f t="shared" ref="P33" si="310">+E33+I33+M33</f>
        <v>37294.46</v>
      </c>
      <c r="Q33" s="7">
        <f t="shared" ref="Q33" si="311">P33/B33</f>
        <v>873.89774111913016</v>
      </c>
      <c r="R33" s="310">
        <f t="shared" ref="R33" si="312">P33/C33</f>
        <v>957.96306285479443</v>
      </c>
      <c r="V33" s="380" t="s">
        <v>170</v>
      </c>
      <c r="W33" s="380" t="s">
        <v>171</v>
      </c>
    </row>
    <row r="34" spans="1:23">
      <c r="A34" s="304">
        <f t="shared" si="72"/>
        <v>45531</v>
      </c>
      <c r="B34" s="311">
        <f>+Report1!P35</f>
        <v>37.760999999999996</v>
      </c>
      <c r="C34" s="311">
        <f>+Report1!R35</f>
        <v>37.44</v>
      </c>
      <c r="D34" s="312">
        <f t="shared" ref="D34:D38" si="313">+D33+E34</f>
        <v>57800.000000001091</v>
      </c>
      <c r="E34" s="312">
        <f>+[3]DailyNov!AH33</f>
        <v>5000</v>
      </c>
      <c r="F34" s="306">
        <f t="shared" si="1"/>
        <v>132.41174757024444</v>
      </c>
      <c r="G34" s="306">
        <f t="shared" si="2"/>
        <v>133.54700854700855</v>
      </c>
      <c r="H34" s="312">
        <f t="shared" ref="H34:H38" si="314">+H33+I34</f>
        <v>91574.759999999631</v>
      </c>
      <c r="I34" s="312">
        <f>+[3]DailyNov!AI33</f>
        <v>7518.89</v>
      </c>
      <c r="J34" s="306">
        <f t="shared" si="4"/>
        <v>199.11787293768705</v>
      </c>
      <c r="K34" s="306">
        <f t="shared" si="5"/>
        <v>200.82505341880344</v>
      </c>
      <c r="L34" s="312">
        <f t="shared" ref="L34:L38" si="315">+L33+M34</f>
        <v>348994.76</v>
      </c>
      <c r="M34" s="312">
        <f>+[3]DailyNov!AJ33</f>
        <v>26678.89</v>
      </c>
      <c r="N34" s="306">
        <f t="shared" si="7"/>
        <v>706.51968962686374</v>
      </c>
      <c r="O34" s="306">
        <f t="shared" si="8"/>
        <v>712.57719017094018</v>
      </c>
      <c r="P34" s="312">
        <f t="shared" ref="P34:P40" si="316">+E34+I34+M34</f>
        <v>39197.78</v>
      </c>
      <c r="Q34" s="309">
        <f t="shared" si="10"/>
        <v>1038.0493101347952</v>
      </c>
      <c r="R34" s="310">
        <f t="shared" si="11"/>
        <v>1046.9492521367522</v>
      </c>
    </row>
    <row r="35" spans="1:23">
      <c r="A35" s="304">
        <f t="shared" si="72"/>
        <v>45532</v>
      </c>
      <c r="B35" s="311">
        <f>+Report1!P36</f>
        <v>40.918000000000006</v>
      </c>
      <c r="C35" s="311">
        <f>+Report1!R36</f>
        <v>39.106999999999999</v>
      </c>
      <c r="D35" s="312">
        <f t="shared" ref="D35" si="317">+D34+E35</f>
        <v>62600.000000000364</v>
      </c>
      <c r="E35" s="312">
        <f>+[3]DailyNov!AH34</f>
        <v>4799.9999999992724</v>
      </c>
      <c r="F35" s="306">
        <f t="shared" ref="F35" si="318">E35/B35</f>
        <v>117.30778630429815</v>
      </c>
      <c r="G35" s="306">
        <f t="shared" ref="G35" si="319">E35/C35</f>
        <v>122.74017439331251</v>
      </c>
      <c r="H35" s="312">
        <f t="shared" ref="H35" si="320">+H34+I35</f>
        <v>98625.159999999625</v>
      </c>
      <c r="I35" s="312">
        <f>+[3]DailyNov!AI34</f>
        <v>7050.4</v>
      </c>
      <c r="J35" s="306">
        <f t="shared" ref="J35" si="321">I35/B35</f>
        <v>172.3055867833227</v>
      </c>
      <c r="K35" s="306">
        <f t="shared" ref="K35" si="322">I35/C35</f>
        <v>180.28485948807119</v>
      </c>
      <c r="L35" s="312">
        <f t="shared" ref="L35" si="323">+L34+M35</f>
        <v>377205.16000000003</v>
      </c>
      <c r="M35" s="312">
        <f>+[3]DailyNov!AJ34</f>
        <v>28210.400000000001</v>
      </c>
      <c r="N35" s="306">
        <f t="shared" ref="N35" si="324">M35/B35</f>
        <v>689.43741140818213</v>
      </c>
      <c r="O35" s="306">
        <f t="shared" ref="O35" si="325">M35/C35</f>
        <v>721.36446160533922</v>
      </c>
      <c r="P35" s="312">
        <f t="shared" ref="P35" si="326">+E35+I35+M35</f>
        <v>40060.799999999275</v>
      </c>
      <c r="Q35" s="309">
        <f t="shared" ref="Q35" si="327">P35/B35</f>
        <v>979.0507844958031</v>
      </c>
      <c r="R35" s="310">
        <f t="shared" ref="R35" si="328">P35/C35</f>
        <v>1024.389495486723</v>
      </c>
    </row>
    <row r="36" spans="1:23">
      <c r="A36" s="304">
        <f t="shared" si="72"/>
        <v>45533</v>
      </c>
      <c r="B36" s="311">
        <f>+Report1!P37</f>
        <v>41.548000000000002</v>
      </c>
      <c r="C36" s="311">
        <f>+Report1!R37</f>
        <v>38.677</v>
      </c>
      <c r="D36" s="312">
        <f t="shared" ref="D36" si="329">+D35+E36</f>
        <v>67600.000000000364</v>
      </c>
      <c r="E36" s="312">
        <f>+[3]DailyNov!AH35</f>
        <v>5000</v>
      </c>
      <c r="F36" s="306">
        <f t="shared" ref="F36" si="330">E36/B36</f>
        <v>120.34273611244825</v>
      </c>
      <c r="G36" s="306">
        <f t="shared" ref="G36" si="331">E36/C36</f>
        <v>129.27579698528842</v>
      </c>
      <c r="H36" s="312">
        <f t="shared" ref="H36" si="332">+H35+I36</f>
        <v>104900.76999999963</v>
      </c>
      <c r="I36" s="312">
        <f>+[3]DailyNov!AI35</f>
        <v>6275.61</v>
      </c>
      <c r="J36" s="306">
        <f t="shared" ref="J36" si="333">I36/B36</f>
        <v>151.04481563492826</v>
      </c>
      <c r="K36" s="306">
        <f t="shared" ref="K36" si="334">I36/C36</f>
        <v>162.25689686376916</v>
      </c>
      <c r="L36" s="312">
        <f t="shared" ref="L36" si="335">+L35+M36</f>
        <v>402640.77</v>
      </c>
      <c r="M36" s="312">
        <f>+[3]DailyNov!AJ35</f>
        <v>25435.61</v>
      </c>
      <c r="N36" s="306">
        <f t="shared" ref="N36" si="336">M36/B36</f>
        <v>612.19818041782992</v>
      </c>
      <c r="O36" s="306">
        <f t="shared" ref="O36" si="337">M36/C36</f>
        <v>657.64175091139441</v>
      </c>
      <c r="P36" s="312">
        <f t="shared" ref="P36" si="338">+E36+I36+M36</f>
        <v>36711.22</v>
      </c>
      <c r="Q36" s="309">
        <f t="shared" ref="Q36" si="339">P36/B36</f>
        <v>883.58573216520654</v>
      </c>
      <c r="R36" s="310">
        <f t="shared" ref="R36" si="340">P36/C36</f>
        <v>949.17444476045193</v>
      </c>
    </row>
    <row r="37" spans="1:23">
      <c r="A37" s="304">
        <f t="shared" si="72"/>
        <v>45534</v>
      </c>
      <c r="B37" s="311">
        <f>+Report1!P38</f>
        <v>42.650999999999996</v>
      </c>
      <c r="C37" s="311">
        <f>+Report1!R38</f>
        <v>41.048999999999999</v>
      </c>
      <c r="D37" s="312">
        <f t="shared" si="313"/>
        <v>72399.999999999636</v>
      </c>
      <c r="E37" s="312">
        <f>+[3]DailyNov!AH36</f>
        <v>4799.9999999992724</v>
      </c>
      <c r="F37" s="306">
        <f t="shared" si="1"/>
        <v>112.54132376730377</v>
      </c>
      <c r="G37" s="306">
        <f t="shared" si="2"/>
        <v>116.93342103338138</v>
      </c>
      <c r="H37" s="312">
        <f t="shared" si="314"/>
        <v>112279.06999999963</v>
      </c>
      <c r="I37" s="312">
        <f>+[3]DailyNov!AI36</f>
        <v>7378.3</v>
      </c>
      <c r="J37" s="306">
        <f t="shared" si="4"/>
        <v>172.99242690675484</v>
      </c>
      <c r="K37" s="306">
        <f t="shared" si="5"/>
        <v>179.7437209189018</v>
      </c>
      <c r="L37" s="312">
        <f t="shared" si="315"/>
        <v>428179.07</v>
      </c>
      <c r="M37" s="312">
        <f>+[3]DailyNov!AJ36</f>
        <v>25538.3</v>
      </c>
      <c r="N37" s="306">
        <f t="shared" si="7"/>
        <v>598.77376849311861</v>
      </c>
      <c r="O37" s="306">
        <f t="shared" si="8"/>
        <v>622.14183049526173</v>
      </c>
      <c r="P37" s="312">
        <f t="shared" si="316"/>
        <v>37716.599999999271</v>
      </c>
      <c r="Q37" s="309">
        <f t="shared" si="10"/>
        <v>884.30751916717713</v>
      </c>
      <c r="R37" s="310">
        <f t="shared" si="11"/>
        <v>918.81897244754487</v>
      </c>
    </row>
    <row r="38" spans="1:23">
      <c r="A38" s="304">
        <f t="shared" si="72"/>
        <v>45535</v>
      </c>
      <c r="B38" s="311">
        <f>+Report1!P39</f>
        <v>0</v>
      </c>
      <c r="C38" s="311">
        <f>+Report1!R39</f>
        <v>0</v>
      </c>
      <c r="D38" s="312">
        <f t="shared" si="313"/>
        <v>72399.999999999636</v>
      </c>
      <c r="E38" s="312">
        <f>+[3]DailyNov!AH37</f>
        <v>0</v>
      </c>
      <c r="F38" s="306" t="e">
        <f t="shared" si="1"/>
        <v>#DIV/0!</v>
      </c>
      <c r="G38" s="306" t="e">
        <f t="shared" si="2"/>
        <v>#DIV/0!</v>
      </c>
      <c r="H38" s="312">
        <f t="shared" si="314"/>
        <v>112279.06999999963</v>
      </c>
      <c r="I38" s="312">
        <f>+[3]DailyNov!AI37</f>
        <v>0</v>
      </c>
      <c r="J38" s="306" t="e">
        <f t="shared" si="4"/>
        <v>#DIV/0!</v>
      </c>
      <c r="K38" s="306" t="e">
        <f t="shared" si="5"/>
        <v>#DIV/0!</v>
      </c>
      <c r="L38" s="312">
        <f t="shared" si="315"/>
        <v>428179.07</v>
      </c>
      <c r="M38" s="312">
        <f>+[3]DailyNov!AJ37</f>
        <v>0</v>
      </c>
      <c r="N38" s="307" t="e">
        <f t="shared" si="7"/>
        <v>#DIV/0!</v>
      </c>
      <c r="O38" s="307" t="e">
        <f t="shared" si="8"/>
        <v>#DIV/0!</v>
      </c>
      <c r="P38" s="312">
        <f t="shared" si="316"/>
        <v>0</v>
      </c>
      <c r="Q38" s="309" t="e">
        <f t="shared" si="10"/>
        <v>#DIV/0!</v>
      </c>
      <c r="R38" s="310" t="e">
        <f t="shared" si="11"/>
        <v>#DIV/0!</v>
      </c>
    </row>
    <row r="39" spans="1:23">
      <c r="A39" s="304"/>
      <c r="B39" s="311"/>
      <c r="C39" s="311"/>
      <c r="D39" s="300"/>
      <c r="E39" s="312"/>
      <c r="F39" s="306"/>
      <c r="G39" s="306"/>
      <c r="H39" s="302"/>
      <c r="I39" s="312"/>
      <c r="J39" s="306"/>
      <c r="K39" s="306"/>
      <c r="L39" s="303"/>
      <c r="M39" s="312"/>
      <c r="N39" s="307"/>
      <c r="O39" s="307"/>
      <c r="P39" s="308"/>
      <c r="Q39" s="309"/>
      <c r="R39" s="310"/>
    </row>
    <row r="40" spans="1:23">
      <c r="A40" s="313" t="s">
        <v>27</v>
      </c>
      <c r="B40" s="314">
        <f>SUM(B8:B38)</f>
        <v>532.99699999999996</v>
      </c>
      <c r="C40" s="314">
        <f>SUM(C8:C38)</f>
        <v>500.22699999999998</v>
      </c>
      <c r="D40" s="316"/>
      <c r="E40" s="312">
        <f>SUM(E8:E39)</f>
        <v>72399.999999999636</v>
      </c>
      <c r="F40" s="315">
        <f>E40/B40</f>
        <v>135.83566136394697</v>
      </c>
      <c r="G40" s="315">
        <f>E40/C40</f>
        <v>144.73429063205234</v>
      </c>
      <c r="H40" s="317"/>
      <c r="I40" s="312">
        <f>SUM(I8:I39)</f>
        <v>112279.06999999963</v>
      </c>
      <c r="J40" s="315">
        <f>I40/B40</f>
        <v>210.65610125385254</v>
      </c>
      <c r="K40" s="315">
        <f>I40/C40</f>
        <v>224.45623686846099</v>
      </c>
      <c r="L40" s="318"/>
      <c r="M40" s="312">
        <f>SUM(M8:M39)</f>
        <v>428179.07</v>
      </c>
      <c r="N40" s="315">
        <f>M40/B40</f>
        <v>803.34236402831539</v>
      </c>
      <c r="O40" s="315">
        <f>M40/C40</f>
        <v>855.96952983345568</v>
      </c>
      <c r="P40" s="312">
        <f t="shared" si="316"/>
        <v>612858.1399999992</v>
      </c>
      <c r="Q40" s="379">
        <f>P40/B40</f>
        <v>1149.8341266461148</v>
      </c>
      <c r="R40" s="317">
        <f>P40/C40</f>
        <v>1225.1600573339688</v>
      </c>
    </row>
    <row r="42" spans="1:23">
      <c r="P42" s="5">
        <v>-1320860.8400000001</v>
      </c>
    </row>
    <row r="43" spans="1:23">
      <c r="D43" s="320"/>
    </row>
    <row r="44" spans="1:23">
      <c r="E44" s="319"/>
      <c r="H44" s="319"/>
    </row>
  </sheetData>
  <mergeCells count="9">
    <mergeCell ref="A2:P2"/>
    <mergeCell ref="D4:O4"/>
    <mergeCell ref="P4:R5"/>
    <mergeCell ref="A4:A6"/>
    <mergeCell ref="B4:B6"/>
    <mergeCell ref="C4:C6"/>
    <mergeCell ref="D5:G5"/>
    <mergeCell ref="H5:K5"/>
    <mergeCell ref="L5:O5"/>
  </mergeCells>
  <phoneticPr fontId="32"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topLeftCell="A40" workbookViewId="0">
      <selection activeCell="I77" sqref="I77:I78"/>
    </sheetView>
  </sheetViews>
  <sheetFormatPr defaultRowHeight="12.75"/>
  <cols>
    <col min="1" max="1" width="10.140625" bestFit="1" customWidth="1"/>
    <col min="2" max="2" width="10.140625" customWidth="1"/>
    <col min="4" max="4" width="22.28515625" customWidth="1"/>
    <col min="6" max="6" width="11" bestFit="1" customWidth="1"/>
  </cols>
  <sheetData>
    <row r="1" spans="1:9">
      <c r="A1" s="417" t="s">
        <v>185</v>
      </c>
      <c r="B1" s="325">
        <f>+Report1!A9</f>
        <v>45962</v>
      </c>
      <c r="C1" s="92"/>
      <c r="G1" s="93"/>
      <c r="H1" s="94"/>
    </row>
    <row r="2" spans="1:9" ht="13.5" thickBot="1">
      <c r="A2" s="91"/>
      <c r="B2" s="92"/>
      <c r="C2" s="92"/>
      <c r="G2" s="93"/>
      <c r="H2" s="94"/>
    </row>
    <row r="3" spans="1:9" ht="26.25" thickBot="1">
      <c r="A3" s="378" t="s">
        <v>119</v>
      </c>
      <c r="B3" s="364" t="s">
        <v>8</v>
      </c>
      <c r="C3" s="364" t="s">
        <v>92</v>
      </c>
      <c r="D3" s="364" t="s">
        <v>120</v>
      </c>
      <c r="E3" s="364" t="s">
        <v>121</v>
      </c>
      <c r="F3" s="364" t="s">
        <v>122</v>
      </c>
      <c r="G3" s="365" t="s">
        <v>123</v>
      </c>
      <c r="H3" s="366" t="s">
        <v>124</v>
      </c>
      <c r="I3" s="564" t="s">
        <v>392</v>
      </c>
    </row>
    <row r="4" spans="1:9">
      <c r="A4" s="329">
        <f>+B1</f>
        <v>45962</v>
      </c>
      <c r="B4" s="381" t="s">
        <v>386</v>
      </c>
      <c r="C4" s="330">
        <v>1</v>
      </c>
      <c r="D4" s="363" t="s">
        <v>375</v>
      </c>
      <c r="E4" s="330">
        <f>266*1</f>
        <v>266</v>
      </c>
      <c r="F4" s="363">
        <v>0</v>
      </c>
      <c r="G4" s="330">
        <f>+E4*F4</f>
        <v>0</v>
      </c>
      <c r="H4" s="383">
        <f>+E4</f>
        <v>266</v>
      </c>
      <c r="I4" s="565">
        <f>+'1'!I38</f>
        <v>0</v>
      </c>
    </row>
    <row r="5" spans="1:9" ht="13.5" thickBot="1">
      <c r="A5" s="367"/>
      <c r="B5" s="382"/>
      <c r="C5" s="368"/>
      <c r="D5" s="369"/>
      <c r="E5" s="368"/>
      <c r="F5" s="368"/>
      <c r="G5" s="368"/>
      <c r="H5" s="384"/>
      <c r="I5" s="384"/>
    </row>
    <row r="6" spans="1:9">
      <c r="A6" s="329">
        <v>45963</v>
      </c>
      <c r="B6" s="381" t="s">
        <v>386</v>
      </c>
      <c r="C6" s="330">
        <v>1</v>
      </c>
      <c r="D6" s="363" t="s">
        <v>375</v>
      </c>
      <c r="E6" s="330">
        <f>266*1</f>
        <v>266</v>
      </c>
      <c r="F6" s="363">
        <v>0</v>
      </c>
      <c r="G6" s="330">
        <f>+E6*F6</f>
        <v>0</v>
      </c>
      <c r="H6" s="383">
        <f>+E6</f>
        <v>266</v>
      </c>
      <c r="I6" s="565">
        <f>+'2'!I38</f>
        <v>0</v>
      </c>
    </row>
    <row r="7" spans="1:9" ht="13.5" thickBot="1">
      <c r="A7" s="367"/>
      <c r="B7" s="382"/>
      <c r="C7" s="368"/>
      <c r="D7" s="369"/>
      <c r="E7" s="368"/>
      <c r="F7" s="368"/>
      <c r="G7" s="368"/>
      <c r="H7" s="384"/>
      <c r="I7" s="384"/>
    </row>
    <row r="8" spans="1:9">
      <c r="A8" s="329">
        <v>45964</v>
      </c>
      <c r="B8" s="381" t="s">
        <v>386</v>
      </c>
      <c r="C8" s="330">
        <v>1</v>
      </c>
      <c r="D8" s="363" t="s">
        <v>375</v>
      </c>
      <c r="E8" s="330">
        <f>266*1</f>
        <v>266</v>
      </c>
      <c r="F8" s="363">
        <v>0</v>
      </c>
      <c r="G8" s="330">
        <f>+E8*F8</f>
        <v>0</v>
      </c>
      <c r="H8" s="383">
        <f>+E8</f>
        <v>266</v>
      </c>
      <c r="I8" s="565">
        <f>+'3'!I38</f>
        <v>0</v>
      </c>
    </row>
    <row r="9" spans="1:9" ht="13.5" thickBot="1">
      <c r="A9" s="367"/>
      <c r="B9" s="382"/>
      <c r="C9" s="368"/>
      <c r="D9" s="369"/>
      <c r="E9" s="368"/>
      <c r="F9" s="368"/>
      <c r="G9" s="368"/>
      <c r="H9" s="384"/>
      <c r="I9" s="384"/>
    </row>
    <row r="10" spans="1:9">
      <c r="A10" s="329">
        <v>45965</v>
      </c>
      <c r="B10" s="381" t="s">
        <v>386</v>
      </c>
      <c r="C10" s="330">
        <v>1</v>
      </c>
      <c r="D10" s="363" t="s">
        <v>375</v>
      </c>
      <c r="E10" s="330">
        <f>266*1</f>
        <v>266</v>
      </c>
      <c r="F10" s="363">
        <v>0</v>
      </c>
      <c r="G10" s="330">
        <f>+E10*F10</f>
        <v>0</v>
      </c>
      <c r="H10" s="383">
        <f>+E10</f>
        <v>266</v>
      </c>
      <c r="I10" s="565">
        <f>+'5'!I38</f>
        <v>0</v>
      </c>
    </row>
    <row r="11" spans="1:9" ht="13.5" thickBot="1">
      <c r="A11" s="367"/>
      <c r="B11" s="382"/>
      <c r="C11" s="368"/>
      <c r="D11" s="369"/>
      <c r="E11" s="368"/>
      <c r="F11" s="368"/>
      <c r="G11" s="368"/>
      <c r="H11" s="384"/>
      <c r="I11" s="384"/>
    </row>
    <row r="12" spans="1:9">
      <c r="A12" s="329">
        <v>45966</v>
      </c>
      <c r="B12" s="381" t="s">
        <v>386</v>
      </c>
      <c r="C12" s="330">
        <v>1</v>
      </c>
      <c r="D12" s="363" t="s">
        <v>375</v>
      </c>
      <c r="E12" s="330">
        <f>266*1</f>
        <v>266</v>
      </c>
      <c r="F12" s="363">
        <v>0</v>
      </c>
      <c r="G12" s="330">
        <f>+E12*F12</f>
        <v>0</v>
      </c>
      <c r="H12" s="383">
        <f>+E12</f>
        <v>266</v>
      </c>
      <c r="I12" s="565">
        <f>+'5'!I38</f>
        <v>0</v>
      </c>
    </row>
    <row r="13" spans="1:9" ht="13.5" thickBot="1">
      <c r="A13" s="367"/>
      <c r="B13" s="382"/>
      <c r="C13" s="368"/>
      <c r="D13" s="369"/>
      <c r="E13" s="368"/>
      <c r="F13" s="368"/>
      <c r="G13" s="368"/>
      <c r="H13" s="384"/>
      <c r="I13" s="384"/>
    </row>
    <row r="14" spans="1:9">
      <c r="A14" s="329">
        <v>45967</v>
      </c>
      <c r="B14" s="381" t="s">
        <v>386</v>
      </c>
      <c r="C14" s="330">
        <v>1</v>
      </c>
      <c r="D14" s="363" t="s">
        <v>375</v>
      </c>
      <c r="E14" s="330">
        <f>266*1</f>
        <v>266</v>
      </c>
      <c r="F14" s="363">
        <v>0</v>
      </c>
      <c r="G14" s="330">
        <f>+E14*F14</f>
        <v>0</v>
      </c>
      <c r="H14" s="383">
        <f>+E14</f>
        <v>266</v>
      </c>
      <c r="I14" s="565">
        <f>+'6'!I38</f>
        <v>0</v>
      </c>
    </row>
    <row r="15" spans="1:9" ht="13.5" thickBot="1">
      <c r="A15" s="367"/>
      <c r="B15" s="382"/>
      <c r="C15" s="368"/>
      <c r="D15" s="369"/>
      <c r="E15" s="368"/>
      <c r="F15" s="368"/>
      <c r="G15" s="368"/>
      <c r="H15" s="384"/>
      <c r="I15" s="384"/>
    </row>
    <row r="16" spans="1:9">
      <c r="A16" s="329">
        <v>45968</v>
      </c>
      <c r="B16" s="381" t="s">
        <v>386</v>
      </c>
      <c r="C16" s="330">
        <v>1</v>
      </c>
      <c r="D16" s="363" t="s">
        <v>375</v>
      </c>
      <c r="E16" s="330">
        <f>266*1</f>
        <v>266</v>
      </c>
      <c r="F16" s="363">
        <v>0</v>
      </c>
      <c r="G16" s="330">
        <f>+E16*F16</f>
        <v>0</v>
      </c>
      <c r="H16" s="383">
        <f>+E16</f>
        <v>266</v>
      </c>
      <c r="I16" s="565">
        <f>+'6'!I40</f>
        <v>0</v>
      </c>
    </row>
    <row r="17" spans="1:9" ht="13.5" thickBot="1">
      <c r="A17" s="367"/>
      <c r="B17" s="382"/>
      <c r="C17" s="368"/>
      <c r="D17" s="369"/>
      <c r="E17" s="368"/>
      <c r="F17" s="368"/>
      <c r="G17" s="368"/>
      <c r="H17" s="384"/>
      <c r="I17" s="384"/>
    </row>
    <row r="18" spans="1:9">
      <c r="A18" s="329">
        <v>45969</v>
      </c>
      <c r="B18" s="381" t="s">
        <v>386</v>
      </c>
      <c r="C18" s="330">
        <v>1</v>
      </c>
      <c r="D18" s="363" t="s">
        <v>375</v>
      </c>
      <c r="E18" s="330">
        <f>266*1</f>
        <v>266</v>
      </c>
      <c r="F18" s="363">
        <v>0</v>
      </c>
      <c r="G18" s="330">
        <f>+E18*F18</f>
        <v>0</v>
      </c>
      <c r="H18" s="383">
        <f>+E18</f>
        <v>266</v>
      </c>
      <c r="I18" s="565">
        <f>+'8'!I38</f>
        <v>0</v>
      </c>
    </row>
    <row r="19" spans="1:9" ht="13.5" thickBot="1">
      <c r="A19" s="367"/>
      <c r="B19" s="382"/>
      <c r="C19" s="368"/>
      <c r="D19" s="369"/>
      <c r="E19" s="368"/>
      <c r="F19" s="368"/>
      <c r="G19" s="368"/>
      <c r="H19" s="384"/>
      <c r="I19" s="384"/>
    </row>
    <row r="20" spans="1:9">
      <c r="A20" s="329">
        <v>45970</v>
      </c>
      <c r="B20" s="381" t="s">
        <v>386</v>
      </c>
      <c r="C20" s="330">
        <v>1</v>
      </c>
      <c r="D20" s="363" t="s">
        <v>375</v>
      </c>
      <c r="E20" s="330">
        <f>266*1</f>
        <v>266</v>
      </c>
      <c r="F20" s="363">
        <v>0</v>
      </c>
      <c r="G20" s="330">
        <f>+E20*F20</f>
        <v>0</v>
      </c>
      <c r="H20" s="383">
        <f>+E20</f>
        <v>266</v>
      </c>
      <c r="I20" s="565">
        <f>+'9'!I38</f>
        <v>0</v>
      </c>
    </row>
    <row r="21" spans="1:9" ht="13.5" thickBot="1">
      <c r="A21" s="367"/>
      <c r="B21" s="382"/>
      <c r="C21" s="368"/>
      <c r="D21" s="369"/>
      <c r="E21" s="368"/>
      <c r="F21" s="368"/>
      <c r="G21" s="368"/>
      <c r="H21" s="384"/>
      <c r="I21" s="384"/>
    </row>
    <row r="22" spans="1:9">
      <c r="A22" s="329">
        <v>45971</v>
      </c>
      <c r="B22" s="381" t="s">
        <v>386</v>
      </c>
      <c r="C22" s="330">
        <v>1</v>
      </c>
      <c r="D22" s="363" t="s">
        <v>375</v>
      </c>
      <c r="E22" s="330">
        <f>266*1</f>
        <v>266</v>
      </c>
      <c r="F22" s="363">
        <v>0</v>
      </c>
      <c r="G22" s="330">
        <f>+E22*F22</f>
        <v>0</v>
      </c>
      <c r="H22" s="383">
        <f>+E22</f>
        <v>266</v>
      </c>
      <c r="I22" s="565">
        <f>+'10'!I38</f>
        <v>0</v>
      </c>
    </row>
    <row r="23" spans="1:9" ht="13.5" thickBot="1">
      <c r="A23" s="367"/>
      <c r="B23" s="382"/>
      <c r="C23" s="368"/>
      <c r="D23" s="369"/>
      <c r="E23" s="368"/>
      <c r="F23" s="368"/>
      <c r="G23" s="368"/>
      <c r="H23" s="384"/>
      <c r="I23" s="384"/>
    </row>
    <row r="24" spans="1:9">
      <c r="A24" s="329">
        <v>45972</v>
      </c>
      <c r="B24" s="381" t="s">
        <v>386</v>
      </c>
      <c r="C24" s="330">
        <v>1</v>
      </c>
      <c r="D24" s="363" t="s">
        <v>375</v>
      </c>
      <c r="E24" s="330">
        <f>266*1</f>
        <v>266</v>
      </c>
      <c r="F24" s="363">
        <v>0</v>
      </c>
      <c r="G24" s="330">
        <f>+E24*F24</f>
        <v>0</v>
      </c>
      <c r="H24" s="383">
        <f>+E24</f>
        <v>266</v>
      </c>
      <c r="I24" s="565">
        <f>+'11'!I38</f>
        <v>0</v>
      </c>
    </row>
    <row r="25" spans="1:9" ht="13.5" thickBot="1">
      <c r="A25" s="367"/>
      <c r="B25" s="382"/>
      <c r="C25" s="368"/>
      <c r="D25" s="369"/>
      <c r="E25" s="368"/>
      <c r="F25" s="368"/>
      <c r="G25" s="368"/>
      <c r="H25" s="384"/>
      <c r="I25" s="384"/>
    </row>
    <row r="26" spans="1:9">
      <c r="A26" s="329">
        <v>45973</v>
      </c>
      <c r="B26" s="381" t="s">
        <v>386</v>
      </c>
      <c r="C26" s="330">
        <v>1</v>
      </c>
      <c r="D26" s="363" t="s">
        <v>375</v>
      </c>
      <c r="E26" s="330">
        <f>266*1</f>
        <v>266</v>
      </c>
      <c r="F26" s="363">
        <v>0</v>
      </c>
      <c r="G26" s="330">
        <f>+E26*F26</f>
        <v>0</v>
      </c>
      <c r="H26" s="383">
        <f>+E26</f>
        <v>266</v>
      </c>
      <c r="I26" s="565">
        <f>+'12'!I38</f>
        <v>0</v>
      </c>
    </row>
    <row r="27" spans="1:9" ht="13.5" thickBot="1">
      <c r="A27" s="367"/>
      <c r="B27" s="382"/>
      <c r="C27" s="368"/>
      <c r="D27" s="369"/>
      <c r="E27" s="368"/>
      <c r="F27" s="368"/>
      <c r="G27" s="368"/>
      <c r="H27" s="384"/>
      <c r="I27" s="384"/>
    </row>
    <row r="28" spans="1:9">
      <c r="A28" s="329">
        <v>45974</v>
      </c>
      <c r="B28" s="381" t="s">
        <v>386</v>
      </c>
      <c r="C28" s="330">
        <v>1</v>
      </c>
      <c r="D28" s="363" t="s">
        <v>375</v>
      </c>
      <c r="E28" s="330">
        <f>266*1</f>
        <v>266</v>
      </c>
      <c r="F28" s="363">
        <v>0</v>
      </c>
      <c r="G28" s="330">
        <f>+E28*F28</f>
        <v>0</v>
      </c>
      <c r="H28" s="383">
        <f>+E28</f>
        <v>266</v>
      </c>
      <c r="I28" s="565">
        <f>+'13'!I38</f>
        <v>0</v>
      </c>
    </row>
    <row r="29" spans="1:9" ht="13.5" thickBot="1">
      <c r="A29" s="367"/>
      <c r="B29" s="382"/>
      <c r="C29" s="368"/>
      <c r="D29" s="369"/>
      <c r="E29" s="368"/>
      <c r="F29" s="368"/>
      <c r="G29" s="368"/>
      <c r="H29" s="384"/>
      <c r="I29" s="384"/>
    </row>
    <row r="30" spans="1:9">
      <c r="A30" s="329">
        <v>45975</v>
      </c>
      <c r="B30" s="381" t="s">
        <v>386</v>
      </c>
      <c r="C30" s="330">
        <v>1</v>
      </c>
      <c r="D30" s="363" t="s">
        <v>375</v>
      </c>
      <c r="E30" s="330">
        <f>266*1</f>
        <v>266</v>
      </c>
      <c r="F30" s="363">
        <v>0</v>
      </c>
      <c r="G30" s="330">
        <f>+E30*F30</f>
        <v>0</v>
      </c>
      <c r="H30" s="383">
        <f>+E30</f>
        <v>266</v>
      </c>
      <c r="I30" s="565">
        <f>+'14'!I38</f>
        <v>0</v>
      </c>
    </row>
    <row r="31" spans="1:9" ht="13.5" thickBot="1">
      <c r="A31" s="367"/>
      <c r="B31" s="382"/>
      <c r="C31" s="368"/>
      <c r="D31" s="369"/>
      <c r="E31" s="368"/>
      <c r="F31" s="368"/>
      <c r="G31" s="368"/>
      <c r="H31" s="384"/>
      <c r="I31" s="384"/>
    </row>
    <row r="32" spans="1:9">
      <c r="A32" s="329">
        <v>45976</v>
      </c>
      <c r="B32" s="381" t="s">
        <v>386</v>
      </c>
      <c r="C32" s="330">
        <v>1</v>
      </c>
      <c r="D32" s="363" t="s">
        <v>375</v>
      </c>
      <c r="E32" s="330">
        <f>266*1</f>
        <v>266</v>
      </c>
      <c r="F32" s="363">
        <v>0</v>
      </c>
      <c r="G32" s="330">
        <f>+E32*F32</f>
        <v>0</v>
      </c>
      <c r="H32" s="383">
        <f>+E32</f>
        <v>266</v>
      </c>
      <c r="I32" s="565">
        <f>+'15'!I38</f>
        <v>0</v>
      </c>
    </row>
    <row r="33" spans="1:9" ht="13.5" thickBot="1">
      <c r="A33" s="367"/>
      <c r="B33" s="382"/>
      <c r="C33" s="368"/>
      <c r="D33" s="369"/>
      <c r="E33" s="368"/>
      <c r="F33" s="368"/>
      <c r="G33" s="368"/>
      <c r="H33" s="384"/>
      <c r="I33" s="384"/>
    </row>
    <row r="34" spans="1:9">
      <c r="A34" s="576">
        <v>45977</v>
      </c>
      <c r="B34" s="577" t="s">
        <v>386</v>
      </c>
      <c r="C34" s="578">
        <v>1</v>
      </c>
      <c r="D34" s="579" t="s">
        <v>464</v>
      </c>
      <c r="E34" s="580">
        <f>122.5+140</f>
        <v>262.5</v>
      </c>
      <c r="F34" s="580">
        <v>32</v>
      </c>
      <c r="G34" s="581">
        <f>+E34*F34</f>
        <v>8400</v>
      </c>
      <c r="H34" s="582">
        <f>+SUM(G34:G34)/SUM(F34:F34)</f>
        <v>262.5</v>
      </c>
      <c r="I34" s="565">
        <f>+'16'!I38</f>
        <v>24.817</v>
      </c>
    </row>
    <row r="35" spans="1:9" ht="13.5" thickBot="1">
      <c r="A35" s="367"/>
      <c r="B35" s="382"/>
      <c r="C35" s="368"/>
      <c r="D35" s="369"/>
      <c r="E35" s="368"/>
      <c r="F35" s="368"/>
      <c r="G35" s="368"/>
      <c r="H35" s="384"/>
      <c r="I35" s="384"/>
    </row>
    <row r="36" spans="1:9">
      <c r="A36" s="576">
        <v>45978</v>
      </c>
      <c r="B36" s="577" t="s">
        <v>386</v>
      </c>
      <c r="C36" s="578">
        <v>1</v>
      </c>
      <c r="D36" s="579" t="s">
        <v>464</v>
      </c>
      <c r="E36" s="580">
        <f>122.5+140</f>
        <v>262.5</v>
      </c>
      <c r="F36" s="580">
        <v>40</v>
      </c>
      <c r="G36" s="581">
        <f>+E36*F36</f>
        <v>10500</v>
      </c>
      <c r="H36" s="582">
        <f>+SUM(G36:G36)/SUM(F36:F36)</f>
        <v>262.5</v>
      </c>
      <c r="I36" s="565">
        <f>+'17'!I38</f>
        <v>33.996000000000002</v>
      </c>
    </row>
    <row r="37" spans="1:9" ht="13.5" thickBot="1">
      <c r="A37" s="367"/>
      <c r="B37" s="382"/>
      <c r="C37" s="368"/>
      <c r="D37" s="369"/>
      <c r="E37" s="368"/>
      <c r="F37" s="368"/>
      <c r="G37" s="368"/>
      <c r="H37" s="384"/>
      <c r="I37" s="384"/>
    </row>
    <row r="38" spans="1:9">
      <c r="A38" s="576">
        <v>45979</v>
      </c>
      <c r="B38" s="577" t="s">
        <v>386</v>
      </c>
      <c r="C38" s="578">
        <v>1</v>
      </c>
      <c r="D38" s="579" t="s">
        <v>464</v>
      </c>
      <c r="E38" s="580">
        <f>122.5+140</f>
        <v>262.5</v>
      </c>
      <c r="F38" s="580">
        <f>13+9+13+6+13+3</f>
        <v>57</v>
      </c>
      <c r="G38" s="581">
        <f>+E38*F38</f>
        <v>14962.5</v>
      </c>
      <c r="H38" s="582">
        <f>+SUM(G38:G39)/SUM(F38:F39)</f>
        <v>261.88461538461536</v>
      </c>
      <c r="I38" s="565">
        <f>+'18'!I38</f>
        <v>35.665999999999997</v>
      </c>
    </row>
    <row r="39" spans="1:9">
      <c r="A39" s="576"/>
      <c r="B39" s="577" t="s">
        <v>386</v>
      </c>
      <c r="C39" s="578">
        <v>1</v>
      </c>
      <c r="D39" s="579" t="s">
        <v>502</v>
      </c>
      <c r="E39" s="580">
        <f>180+77.5</f>
        <v>257.5</v>
      </c>
      <c r="F39" s="580">
        <v>8</v>
      </c>
      <c r="G39" s="581">
        <f>+E39*F39</f>
        <v>2060</v>
      </c>
      <c r="H39" s="582"/>
      <c r="I39" s="565"/>
    </row>
    <row r="40" spans="1:9" ht="13.5" thickBot="1">
      <c r="A40" s="367"/>
      <c r="B40" s="382"/>
      <c r="C40" s="368"/>
      <c r="D40" s="369"/>
      <c r="E40" s="368"/>
      <c r="F40" s="368"/>
      <c r="G40" s="368"/>
      <c r="H40" s="384"/>
      <c r="I40" s="384"/>
    </row>
    <row r="41" spans="1:9">
      <c r="A41" s="576">
        <v>45980</v>
      </c>
      <c r="B41" s="577" t="s">
        <v>386</v>
      </c>
      <c r="C41" s="578">
        <v>1</v>
      </c>
      <c r="D41" s="579" t="s">
        <v>502</v>
      </c>
      <c r="E41" s="580">
        <f>180+77.5</f>
        <v>257.5</v>
      </c>
      <c r="F41" s="580">
        <v>40</v>
      </c>
      <c r="G41" s="581">
        <f>+E41*F41</f>
        <v>10300</v>
      </c>
      <c r="H41" s="582">
        <f>+SUM(G41:G42)/SUM(F41:F42)</f>
        <v>258.09302325581393</v>
      </c>
      <c r="I41" s="565">
        <f>+'19'!I38</f>
        <v>20.191000000000003</v>
      </c>
    </row>
    <row r="42" spans="1:9">
      <c r="A42" s="576"/>
      <c r="B42" s="577" t="s">
        <v>386</v>
      </c>
      <c r="C42" s="578">
        <v>1</v>
      </c>
      <c r="D42" s="579" t="s">
        <v>513</v>
      </c>
      <c r="E42" s="580">
        <f>133*2</f>
        <v>266</v>
      </c>
      <c r="F42" s="580">
        <v>3</v>
      </c>
      <c r="G42" s="581">
        <f>+E42*F42</f>
        <v>798</v>
      </c>
      <c r="H42" s="582"/>
      <c r="I42" s="565"/>
    </row>
    <row r="43" spans="1:9" ht="13.5" thickBot="1">
      <c r="A43" s="367"/>
      <c r="B43" s="382"/>
      <c r="C43" s="368"/>
      <c r="D43" s="369"/>
      <c r="E43" s="368"/>
      <c r="F43" s="368"/>
      <c r="G43" s="368"/>
      <c r="H43" s="384"/>
      <c r="I43" s="384"/>
    </row>
    <row r="44" spans="1:9">
      <c r="A44" s="576">
        <v>45981</v>
      </c>
      <c r="B44" s="577" t="s">
        <v>516</v>
      </c>
      <c r="C44" s="578">
        <v>1</v>
      </c>
      <c r="D44" s="579" t="s">
        <v>528</v>
      </c>
      <c r="E44" s="579">
        <f>47.5*4+68*1</f>
        <v>258</v>
      </c>
      <c r="F44" s="580">
        <v>17</v>
      </c>
      <c r="G44" s="581">
        <f>+E44*F44</f>
        <v>4386</v>
      </c>
      <c r="H44" s="582">
        <f t="shared" ref="H44:H45" si="0">+G44/F44</f>
        <v>258</v>
      </c>
      <c r="I44" s="565">
        <f>+'20'!I38</f>
        <v>19.975999999999999</v>
      </c>
    </row>
    <row r="45" spans="1:9">
      <c r="A45" s="576"/>
      <c r="B45" s="577" t="s">
        <v>517</v>
      </c>
      <c r="C45" s="578">
        <v>1</v>
      </c>
      <c r="D45" s="579" t="s">
        <v>513</v>
      </c>
      <c r="E45" s="580">
        <f>133*2</f>
        <v>266</v>
      </c>
      <c r="F45" s="580">
        <v>5</v>
      </c>
      <c r="G45" s="581">
        <f>+E45*F45</f>
        <v>1330</v>
      </c>
      <c r="H45" s="582">
        <f t="shared" si="0"/>
        <v>266</v>
      </c>
      <c r="I45" s="565"/>
    </row>
    <row r="46" spans="1:9" ht="13.5" thickBot="1">
      <c r="A46" s="367"/>
      <c r="B46" s="382"/>
      <c r="C46" s="368"/>
      <c r="D46" s="369"/>
      <c r="E46" s="368"/>
      <c r="F46" s="368"/>
      <c r="G46" s="368"/>
      <c r="H46" s="384"/>
      <c r="I46" s="384"/>
    </row>
    <row r="47" spans="1:9">
      <c r="A47" s="576">
        <v>45982</v>
      </c>
      <c r="B47" s="577" t="s">
        <v>516</v>
      </c>
      <c r="C47" s="578">
        <v>1</v>
      </c>
      <c r="D47" s="579" t="s">
        <v>528</v>
      </c>
      <c r="E47" s="579">
        <f>47.5*4+68*1</f>
        <v>258</v>
      </c>
      <c r="F47" s="580">
        <v>16</v>
      </c>
      <c r="G47" s="581">
        <f>+E47*F47</f>
        <v>4128</v>
      </c>
      <c r="H47" s="582">
        <f t="shared" ref="H47:H49" si="1">+G47/F47</f>
        <v>258</v>
      </c>
      <c r="I47" s="565">
        <f>+'21'!I38</f>
        <v>39.033999999999999</v>
      </c>
    </row>
    <row r="48" spans="1:9">
      <c r="A48" s="576"/>
      <c r="B48" s="577" t="s">
        <v>517</v>
      </c>
      <c r="C48" s="578">
        <v>1</v>
      </c>
      <c r="D48" s="579" t="s">
        <v>546</v>
      </c>
      <c r="E48" s="580">
        <f>128.5*2</f>
        <v>257</v>
      </c>
      <c r="F48" s="580">
        <f>34/2</f>
        <v>17</v>
      </c>
      <c r="G48" s="581">
        <f>+E48*F48</f>
        <v>4369</v>
      </c>
      <c r="H48" s="582">
        <f t="shared" si="1"/>
        <v>257</v>
      </c>
      <c r="I48" s="565"/>
    </row>
    <row r="49" spans="1:9">
      <c r="A49" s="576"/>
      <c r="B49" s="577" t="s">
        <v>538</v>
      </c>
      <c r="C49" s="578">
        <v>1</v>
      </c>
      <c r="D49" s="579" t="s">
        <v>547</v>
      </c>
      <c r="E49" s="580">
        <f>128+140</f>
        <v>268</v>
      </c>
      <c r="F49" s="579">
        <v>15</v>
      </c>
      <c r="G49" s="581">
        <f>+E49*F49</f>
        <v>4020</v>
      </c>
      <c r="H49" s="582">
        <f t="shared" si="1"/>
        <v>268</v>
      </c>
      <c r="I49" s="565"/>
    </row>
    <row r="50" spans="1:9" ht="13.5" thickBot="1">
      <c r="A50" s="367"/>
      <c r="B50" s="382"/>
      <c r="C50" s="368"/>
      <c r="D50" s="369"/>
      <c r="E50" s="368"/>
      <c r="F50" s="368"/>
      <c r="G50" s="368"/>
      <c r="H50" s="384"/>
      <c r="I50" s="384"/>
    </row>
    <row r="51" spans="1:9">
      <c r="A51" s="576">
        <v>45983</v>
      </c>
      <c r="B51" s="577" t="s">
        <v>538</v>
      </c>
      <c r="C51" s="578">
        <v>1</v>
      </c>
      <c r="D51" s="579" t="s">
        <v>547</v>
      </c>
      <c r="E51" s="580">
        <f>128+140</f>
        <v>268</v>
      </c>
      <c r="F51" s="579">
        <f>5+12+8</f>
        <v>25</v>
      </c>
      <c r="G51" s="581">
        <f>+E51*F51</f>
        <v>6700</v>
      </c>
      <c r="H51" s="582">
        <f>+SUM(G51:G52)/SUM(F51:F52)</f>
        <v>263.55555555555554</v>
      </c>
      <c r="I51" s="565">
        <f>+'22'!I38</f>
        <v>36.606999999999999</v>
      </c>
    </row>
    <row r="52" spans="1:9">
      <c r="A52" s="576"/>
      <c r="B52" s="577" t="s">
        <v>538</v>
      </c>
      <c r="C52" s="578">
        <v>1</v>
      </c>
      <c r="D52" s="579" t="s">
        <v>578</v>
      </c>
      <c r="E52" s="579">
        <f>129*2</f>
        <v>258</v>
      </c>
      <c r="F52" s="579">
        <f>9+11</f>
        <v>20</v>
      </c>
      <c r="G52" s="578">
        <f>+E52*F52</f>
        <v>5160</v>
      </c>
      <c r="H52" s="582"/>
      <c r="I52" s="565"/>
    </row>
    <row r="53" spans="1:9">
      <c r="A53" s="576"/>
      <c r="B53" s="577" t="s">
        <v>516</v>
      </c>
      <c r="C53" s="578">
        <v>1</v>
      </c>
      <c r="D53" s="579" t="s">
        <v>579</v>
      </c>
      <c r="E53" s="580">
        <f>140+114</f>
        <v>254</v>
      </c>
      <c r="F53" s="580">
        <v>18</v>
      </c>
      <c r="G53" s="581">
        <f>+E53*F53</f>
        <v>4572</v>
      </c>
      <c r="H53" s="582">
        <f t="shared" ref="H53:H57" si="2">+G53/F53</f>
        <v>254</v>
      </c>
      <c r="I53" s="565"/>
    </row>
    <row r="54" spans="1:9" ht="13.5" thickBot="1">
      <c r="A54" s="367"/>
      <c r="B54" s="382"/>
      <c r="C54" s="368"/>
      <c r="D54" s="369"/>
      <c r="E54" s="368"/>
      <c r="F54" s="368"/>
      <c r="G54" s="368"/>
      <c r="H54" s="384"/>
      <c r="I54" s="384"/>
    </row>
    <row r="55" spans="1:9">
      <c r="A55" s="576">
        <v>45984</v>
      </c>
      <c r="B55" s="577" t="s">
        <v>516</v>
      </c>
      <c r="C55" s="578">
        <v>1</v>
      </c>
      <c r="D55" s="579" t="s">
        <v>579</v>
      </c>
      <c r="E55" s="580">
        <f>140+114</f>
        <v>254</v>
      </c>
      <c r="F55" s="579">
        <f>124/2</f>
        <v>62</v>
      </c>
      <c r="G55" s="581">
        <f>+E55*F55</f>
        <v>15748</v>
      </c>
      <c r="H55" s="582">
        <f t="shared" si="2"/>
        <v>254</v>
      </c>
      <c r="I55" s="565">
        <f>+'23'!I38</f>
        <v>38.872999999999998</v>
      </c>
    </row>
    <row r="56" spans="1:9">
      <c r="A56" s="576"/>
      <c r="B56" s="577" t="s">
        <v>517</v>
      </c>
      <c r="C56" s="578">
        <v>1</v>
      </c>
      <c r="D56" s="579" t="s">
        <v>513</v>
      </c>
      <c r="E56" s="579">
        <f>133*2</f>
        <v>266</v>
      </c>
      <c r="F56" s="579">
        <v>4</v>
      </c>
      <c r="G56" s="578">
        <f>+E56*F56</f>
        <v>1064</v>
      </c>
      <c r="H56" s="582">
        <f t="shared" ref="H56" si="3">+G56/F56</f>
        <v>266</v>
      </c>
      <c r="I56" s="565"/>
    </row>
    <row r="57" spans="1:9">
      <c r="A57" s="576"/>
      <c r="B57" s="577" t="s">
        <v>566</v>
      </c>
      <c r="C57" s="578">
        <v>1</v>
      </c>
      <c r="D57" s="579" t="s">
        <v>546</v>
      </c>
      <c r="E57" s="579">
        <f>128.5*2</f>
        <v>257</v>
      </c>
      <c r="F57" s="579">
        <v>3</v>
      </c>
      <c r="G57" s="578">
        <f>+E57*F57</f>
        <v>771</v>
      </c>
      <c r="H57" s="582">
        <f t="shared" si="2"/>
        <v>257</v>
      </c>
      <c r="I57" s="565"/>
    </row>
    <row r="58" spans="1:9" ht="13.5" thickBot="1">
      <c r="A58" s="367"/>
      <c r="B58" s="382"/>
      <c r="C58" s="368"/>
      <c r="D58" s="369"/>
      <c r="E58" s="368"/>
      <c r="F58" s="368"/>
      <c r="G58" s="368"/>
      <c r="H58" s="384"/>
      <c r="I58" s="384"/>
    </row>
    <row r="59" spans="1:9">
      <c r="A59" s="576">
        <v>45985</v>
      </c>
      <c r="B59" s="577" t="s">
        <v>566</v>
      </c>
      <c r="C59" s="578">
        <v>1</v>
      </c>
      <c r="D59" s="579" t="s">
        <v>546</v>
      </c>
      <c r="E59" s="579">
        <f>128.5*2</f>
        <v>257</v>
      </c>
      <c r="F59" s="579">
        <f>132/2</f>
        <v>66</v>
      </c>
      <c r="G59" s="578">
        <f>+E59*F59</f>
        <v>16962</v>
      </c>
      <c r="H59" s="582">
        <f t="shared" ref="H59" si="4">+G59/F59</f>
        <v>257</v>
      </c>
      <c r="I59" s="565">
        <f>+'24'!I38</f>
        <v>37.686</v>
      </c>
    </row>
    <row r="60" spans="1:9" ht="13.5" thickBot="1">
      <c r="A60" s="367"/>
      <c r="B60" s="382"/>
      <c r="C60" s="368"/>
      <c r="D60" s="369"/>
      <c r="E60" s="368"/>
      <c r="F60" s="368"/>
      <c r="G60" s="368"/>
      <c r="H60" s="384"/>
      <c r="I60" s="384"/>
    </row>
    <row r="61" spans="1:9">
      <c r="A61" s="576">
        <v>45986</v>
      </c>
      <c r="B61" s="577" t="s">
        <v>566</v>
      </c>
      <c r="C61" s="578">
        <v>1</v>
      </c>
      <c r="D61" s="579" t="s">
        <v>546</v>
      </c>
      <c r="E61" s="579">
        <f>128.5*2</f>
        <v>257</v>
      </c>
      <c r="F61" s="579">
        <f>62/2</f>
        <v>31</v>
      </c>
      <c r="G61" s="578">
        <f>+E61*F61</f>
        <v>7967</v>
      </c>
      <c r="H61" s="582">
        <f t="shared" ref="H61" si="5">+G61/F61</f>
        <v>257</v>
      </c>
      <c r="I61" s="565">
        <f>+'25'!I38</f>
        <v>40.597000000000001</v>
      </c>
    </row>
    <row r="62" spans="1:9">
      <c r="A62" s="576"/>
      <c r="B62" s="577" t="s">
        <v>606</v>
      </c>
      <c r="C62" s="578">
        <v>1</v>
      </c>
      <c r="D62" s="579" t="s">
        <v>546</v>
      </c>
      <c r="E62" s="579">
        <f>128.5*2</f>
        <v>257</v>
      </c>
      <c r="F62" s="579">
        <v>37</v>
      </c>
      <c r="G62" s="578">
        <f>+E62*F62</f>
        <v>9509</v>
      </c>
      <c r="H62" s="582">
        <f t="shared" ref="H62" si="6">+G62/F62</f>
        <v>257</v>
      </c>
      <c r="I62" s="565"/>
    </row>
    <row r="63" spans="1:9" ht="13.5" thickBot="1">
      <c r="A63" s="367"/>
      <c r="B63" s="382"/>
      <c r="C63" s="368"/>
      <c r="D63" s="369"/>
      <c r="E63" s="368"/>
      <c r="F63" s="368"/>
      <c r="G63" s="368"/>
      <c r="H63" s="384"/>
      <c r="I63" s="384"/>
    </row>
    <row r="64" spans="1:9">
      <c r="A64" s="576">
        <v>45987</v>
      </c>
      <c r="B64" s="577" t="s">
        <v>606</v>
      </c>
      <c r="C64" s="578">
        <v>1</v>
      </c>
      <c r="D64" s="579" t="s">
        <v>546</v>
      </c>
      <c r="E64" s="579">
        <f>128.5*2</f>
        <v>257</v>
      </c>
      <c r="F64" s="579">
        <f>13+1+9+13+3</f>
        <v>39</v>
      </c>
      <c r="G64" s="578">
        <f>+E64*F64</f>
        <v>10023</v>
      </c>
      <c r="H64" s="582">
        <f>+SUM(G64:G65)/SUM(F64:F65)</f>
        <v>261.69117647058823</v>
      </c>
      <c r="I64" s="565">
        <f>+'26'!I38</f>
        <v>42.676000000000002</v>
      </c>
    </row>
    <row r="65" spans="1:9">
      <c r="A65" s="576"/>
      <c r="B65" s="577" t="s">
        <v>606</v>
      </c>
      <c r="C65" s="578">
        <v>1</v>
      </c>
      <c r="D65" s="579" t="s">
        <v>626</v>
      </c>
      <c r="E65" s="579">
        <f>126*2+16</f>
        <v>268</v>
      </c>
      <c r="F65" s="579">
        <f>6+2+10+10+1</f>
        <v>29</v>
      </c>
      <c r="G65" s="578">
        <f>+E65*F65</f>
        <v>7772</v>
      </c>
      <c r="H65" s="582"/>
      <c r="I65" s="565"/>
    </row>
    <row r="66" spans="1:9" ht="13.5" thickBot="1">
      <c r="A66" s="367"/>
      <c r="B66" s="382"/>
      <c r="C66" s="368"/>
      <c r="D66" s="369"/>
      <c r="E66" s="368"/>
      <c r="F66" s="368"/>
      <c r="G66" s="368"/>
      <c r="H66" s="384"/>
      <c r="I66" s="384"/>
    </row>
    <row r="67" spans="1:9">
      <c r="A67" s="576">
        <v>45988</v>
      </c>
      <c r="B67" s="577" t="s">
        <v>606</v>
      </c>
      <c r="C67" s="578">
        <v>1</v>
      </c>
      <c r="D67" s="579" t="s">
        <v>626</v>
      </c>
      <c r="E67" s="579">
        <f>126*2+16</f>
        <v>268</v>
      </c>
      <c r="F67" s="579">
        <f>42/2</f>
        <v>21</v>
      </c>
      <c r="G67" s="578">
        <f>+E67*F67</f>
        <v>5628</v>
      </c>
      <c r="H67" s="582">
        <f t="shared" ref="H67:H68" si="7">+G67/F67</f>
        <v>268</v>
      </c>
      <c r="I67" s="565">
        <f>+'27'!I38</f>
        <v>37.760999999999996</v>
      </c>
    </row>
    <row r="68" spans="1:9">
      <c r="A68" s="576"/>
      <c r="B68" s="577" t="s">
        <v>386</v>
      </c>
      <c r="C68" s="578">
        <v>1</v>
      </c>
      <c r="D68" s="579" t="s">
        <v>636</v>
      </c>
      <c r="E68" s="579">
        <f>140+122.5</f>
        <v>262.5</v>
      </c>
      <c r="F68" s="579">
        <f>110/2</f>
        <v>55</v>
      </c>
      <c r="G68" s="578">
        <f>+E68*F68</f>
        <v>14437.5</v>
      </c>
      <c r="H68" s="582">
        <f t="shared" si="7"/>
        <v>262.5</v>
      </c>
      <c r="I68" s="565"/>
    </row>
    <row r="69" spans="1:9" ht="13.5" thickBot="1">
      <c r="A69" s="367"/>
      <c r="B69" s="382"/>
      <c r="C69" s="368"/>
      <c r="D69" s="369"/>
      <c r="E69" s="368"/>
      <c r="F69" s="368"/>
      <c r="G69" s="368"/>
      <c r="H69" s="384"/>
      <c r="I69" s="384"/>
    </row>
    <row r="70" spans="1:9">
      <c r="A70" s="576">
        <v>45989</v>
      </c>
      <c r="B70" s="577" t="s">
        <v>386</v>
      </c>
      <c r="C70" s="578">
        <v>1</v>
      </c>
      <c r="D70" s="579" t="s">
        <v>636</v>
      </c>
      <c r="E70" s="579">
        <f>140+122.5</f>
        <v>262.5</v>
      </c>
      <c r="F70" s="579">
        <f>25+9</f>
        <v>34</v>
      </c>
      <c r="G70" s="578">
        <f>+E70*F70</f>
        <v>8925</v>
      </c>
      <c r="H70" s="582">
        <f t="shared" ref="H70" si="8">+G70/F70</f>
        <v>262.5</v>
      </c>
      <c r="I70" s="565">
        <f>+'28'!I38</f>
        <v>40.918000000000006</v>
      </c>
    </row>
    <row r="71" spans="1:9">
      <c r="A71" s="576"/>
      <c r="B71" s="577" t="s">
        <v>516</v>
      </c>
      <c r="C71" s="578">
        <v>1</v>
      </c>
      <c r="D71" s="579" t="s">
        <v>648</v>
      </c>
      <c r="E71" s="579">
        <f>114+140</f>
        <v>254</v>
      </c>
      <c r="F71" s="579">
        <f>14+13</f>
        <v>27</v>
      </c>
      <c r="G71" s="578">
        <f>+E71*F71</f>
        <v>6858</v>
      </c>
      <c r="H71" s="582">
        <f t="shared" ref="H71" si="9">+G71/F71</f>
        <v>254</v>
      </c>
      <c r="I71" s="565"/>
    </row>
    <row r="72" spans="1:9" ht="13.5" thickBot="1">
      <c r="A72" s="367"/>
      <c r="B72" s="382"/>
      <c r="C72" s="368"/>
      <c r="D72" s="369"/>
      <c r="E72" s="368"/>
      <c r="F72" s="368"/>
      <c r="G72" s="368"/>
      <c r="H72" s="384"/>
      <c r="I72" s="384"/>
    </row>
    <row r="73" spans="1:9">
      <c r="A73" s="576">
        <v>45990</v>
      </c>
      <c r="B73" s="577" t="s">
        <v>386</v>
      </c>
      <c r="C73" s="578">
        <v>1</v>
      </c>
      <c r="D73" s="579" t="s">
        <v>662</v>
      </c>
      <c r="E73" s="579">
        <f>130*2</f>
        <v>260</v>
      </c>
      <c r="F73" s="579">
        <v>15</v>
      </c>
      <c r="G73" s="578">
        <f>+E73*F73</f>
        <v>3900</v>
      </c>
      <c r="H73" s="582">
        <f t="shared" ref="H73" si="10">+G73/F73</f>
        <v>260</v>
      </c>
      <c r="I73" s="565">
        <f>+'29'!I38</f>
        <v>41.548000000000002</v>
      </c>
    </row>
    <row r="74" spans="1:9">
      <c r="A74" s="576"/>
      <c r="B74" s="577" t="s">
        <v>517</v>
      </c>
      <c r="C74" s="578">
        <v>1</v>
      </c>
      <c r="D74" s="579" t="s">
        <v>663</v>
      </c>
      <c r="E74" s="579">
        <f>140+120</f>
        <v>260</v>
      </c>
      <c r="F74" s="579">
        <f>2+22+21</f>
        <v>45</v>
      </c>
      <c r="G74" s="578">
        <f>+E74*F74</f>
        <v>11700</v>
      </c>
      <c r="H74" s="582">
        <f>+SUM(G74:G75)/SUM(F74:F75)</f>
        <v>260</v>
      </c>
      <c r="I74" s="565"/>
    </row>
    <row r="75" spans="1:9">
      <c r="A75" s="576"/>
      <c r="B75" s="577" t="s">
        <v>517</v>
      </c>
      <c r="C75" s="578">
        <v>1</v>
      </c>
      <c r="D75" s="579" t="s">
        <v>662</v>
      </c>
      <c r="E75" s="579">
        <f>130*2</f>
        <v>260</v>
      </c>
      <c r="F75" s="579">
        <v>1</v>
      </c>
      <c r="G75" s="578">
        <f>+E75*F75</f>
        <v>260</v>
      </c>
      <c r="H75" s="582"/>
      <c r="I75" s="565"/>
    </row>
    <row r="76" spans="1:9" ht="13.5" thickBot="1">
      <c r="A76" s="367"/>
      <c r="B76" s="382"/>
      <c r="C76" s="368"/>
      <c r="D76" s="369"/>
      <c r="E76" s="368"/>
      <c r="F76" s="368"/>
      <c r="G76" s="368"/>
      <c r="H76" s="384"/>
      <c r="I76" s="384"/>
    </row>
    <row r="77" spans="1:9">
      <c r="A77" s="604">
        <v>45991</v>
      </c>
      <c r="B77" s="363" t="s">
        <v>517</v>
      </c>
      <c r="C77" s="605">
        <v>1</v>
      </c>
      <c r="D77" s="606" t="s">
        <v>663</v>
      </c>
      <c r="E77" s="606">
        <f>140+120</f>
        <v>260</v>
      </c>
      <c r="F77" s="606">
        <v>60</v>
      </c>
      <c r="G77" s="605">
        <f>+E77*F77</f>
        <v>15600</v>
      </c>
      <c r="H77" s="607">
        <f>+SUM(G77:G78)/SUM(F77:F78)</f>
        <v>260</v>
      </c>
      <c r="I77" s="608">
        <f>+'30'!I38</f>
        <v>42.650999999999996</v>
      </c>
    </row>
    <row r="78" spans="1:9" ht="13.5" thickBot="1">
      <c r="A78" s="367"/>
      <c r="B78" s="368"/>
      <c r="C78" s="368"/>
      <c r="D78" s="368"/>
      <c r="E78" s="368"/>
      <c r="F78" s="368"/>
      <c r="G78" s="368"/>
      <c r="H78" s="368"/>
      <c r="I78" s="367"/>
    </row>
  </sheetData>
  <phoneticPr fontId="32"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202"/>
  <sheetViews>
    <sheetView tabSelected="1" zoomScale="90" zoomScaleNormal="90" workbookViewId="0">
      <pane xSplit="6" ySplit="6" topLeftCell="AQ133" activePane="bottomRight" state="frozen"/>
      <selection activeCell="F207" sqref="F207"/>
      <selection pane="topRight" activeCell="F207" sqref="F207"/>
      <selection pane="bottomLeft" activeCell="F207" sqref="F207"/>
      <selection pane="bottomRight" activeCell="AV173" sqref="AV173"/>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4" customWidth="1"/>
    <col min="7" max="9" width="10.28515625" style="29" customWidth="1"/>
    <col min="10" max="11" width="10.28515625" style="83" customWidth="1"/>
    <col min="12" max="13" width="12.7109375" style="55" customWidth="1"/>
    <col min="14" max="15" width="10.28515625" style="29" customWidth="1"/>
    <col min="16" max="16" width="16.85546875" style="29" bestFit="1" customWidth="1"/>
    <col min="17" max="17" width="12.7109375" style="331" customWidth="1"/>
    <col min="18" max="18" width="12.7109375" style="29" bestFit="1" customWidth="1"/>
    <col min="19" max="19" width="12" style="29" bestFit="1" customWidth="1"/>
    <col min="20" max="20" width="10.7109375" style="29" customWidth="1"/>
    <col min="21" max="21" width="11.8554687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1.42578125" style="29" customWidth="1"/>
    <col min="32" max="38" width="10.28515625" style="29" customWidth="1"/>
    <col min="39" max="39" width="11.7109375" style="29" customWidth="1"/>
    <col min="40" max="41" width="10.28515625" style="29" customWidth="1"/>
    <col min="42" max="43" width="12.42578125" style="29" customWidth="1"/>
    <col min="44" max="44" width="29.7109375" style="29" customWidth="1"/>
    <col min="45" max="53" width="10.28515625" style="29" customWidth="1"/>
    <col min="54" max="16384" width="10.28515625" style="29"/>
  </cols>
  <sheetData>
    <row r="1" spans="1:58" s="22" customFormat="1" ht="15.75">
      <c r="A1" s="21" t="s">
        <v>186</v>
      </c>
      <c r="G1" s="23"/>
      <c r="H1" s="23"/>
      <c r="I1" s="23"/>
      <c r="J1" s="80"/>
      <c r="K1" s="80"/>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0"/>
      <c r="G2" s="23"/>
      <c r="H2" s="23"/>
      <c r="I2" s="23"/>
      <c r="J2" s="80"/>
      <c r="K2" s="80"/>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63" t="s">
        <v>7</v>
      </c>
      <c r="B3" s="663" t="s">
        <v>8</v>
      </c>
      <c r="C3" s="663" t="s">
        <v>181</v>
      </c>
      <c r="D3" s="663" t="s">
        <v>90</v>
      </c>
      <c r="E3" s="663" t="s">
        <v>91</v>
      </c>
      <c r="F3" s="663" t="s">
        <v>92</v>
      </c>
      <c r="G3" s="676" t="s">
        <v>93</v>
      </c>
      <c r="H3" s="677"/>
      <c r="I3" s="677"/>
      <c r="J3" s="677"/>
      <c r="K3" s="678"/>
      <c r="L3" s="682" t="s">
        <v>94</v>
      </c>
      <c r="M3" s="683"/>
      <c r="N3" s="684"/>
      <c r="O3" s="688" t="s">
        <v>95</v>
      </c>
      <c r="P3" s="675" t="s">
        <v>107</v>
      </c>
      <c r="Q3" s="688" t="s">
        <v>96</v>
      </c>
      <c r="R3" s="661" t="s">
        <v>97</v>
      </c>
      <c r="S3" s="661" t="s">
        <v>98</v>
      </c>
      <c r="T3" s="663" t="s">
        <v>154</v>
      </c>
      <c r="U3" s="663" t="s">
        <v>153</v>
      </c>
      <c r="V3" s="663" t="s">
        <v>155</v>
      </c>
      <c r="W3" s="661" t="s">
        <v>143</v>
      </c>
      <c r="X3" s="668" t="s">
        <v>100</v>
      </c>
      <c r="Y3" s="668" t="s">
        <v>292</v>
      </c>
      <c r="Z3" s="661" t="s">
        <v>101</v>
      </c>
      <c r="AA3" s="663" t="s">
        <v>156</v>
      </c>
      <c r="AB3" s="663" t="s">
        <v>167</v>
      </c>
      <c r="AC3" s="663" t="s">
        <v>165</v>
      </c>
      <c r="AD3" s="663" t="s">
        <v>125</v>
      </c>
      <c r="AE3" s="663" t="s">
        <v>126</v>
      </c>
      <c r="AF3" s="703" t="s">
        <v>127</v>
      </c>
      <c r="AG3" s="703"/>
      <c r="AH3" s="703"/>
      <c r="AI3" s="703"/>
      <c r="AJ3" s="703"/>
      <c r="AK3" s="703"/>
      <c r="AL3" s="703"/>
      <c r="AM3" s="700" t="s">
        <v>128</v>
      </c>
      <c r="AN3" s="708" t="s">
        <v>102</v>
      </c>
      <c r="AO3" s="708"/>
      <c r="AP3" s="708"/>
      <c r="AQ3" s="708"/>
      <c r="AR3" s="708"/>
      <c r="AS3" s="709" t="s">
        <v>103</v>
      </c>
      <c r="AT3" s="696" t="s">
        <v>288</v>
      </c>
      <c r="AU3" s="697"/>
      <c r="AV3" s="704" t="s">
        <v>129</v>
      </c>
      <c r="AW3" s="705"/>
      <c r="AX3" s="706" t="s">
        <v>129</v>
      </c>
      <c r="AY3" s="707"/>
      <c r="AZ3" s="690" t="s">
        <v>304</v>
      </c>
      <c r="BA3" s="695" t="s">
        <v>104</v>
      </c>
      <c r="BB3" s="659" t="s">
        <v>105</v>
      </c>
      <c r="BC3" s="659" t="s">
        <v>106</v>
      </c>
      <c r="BD3" s="653" t="s">
        <v>394</v>
      </c>
      <c r="BE3" s="656" t="s">
        <v>395</v>
      </c>
      <c r="BF3" s="659" t="s">
        <v>396</v>
      </c>
    </row>
    <row r="4" spans="1:58" ht="12" customHeight="1">
      <c r="A4" s="664"/>
      <c r="B4" s="664"/>
      <c r="C4" s="664"/>
      <c r="D4" s="664"/>
      <c r="E4" s="664"/>
      <c r="F4" s="664"/>
      <c r="G4" s="679"/>
      <c r="H4" s="680"/>
      <c r="I4" s="680"/>
      <c r="J4" s="680"/>
      <c r="K4" s="681"/>
      <c r="L4" s="685"/>
      <c r="M4" s="686"/>
      <c r="N4" s="687"/>
      <c r="O4" s="689"/>
      <c r="P4" s="671"/>
      <c r="Q4" s="689"/>
      <c r="R4" s="662"/>
      <c r="S4" s="662"/>
      <c r="T4" s="664"/>
      <c r="U4" s="664"/>
      <c r="V4" s="664"/>
      <c r="W4" s="662"/>
      <c r="X4" s="669"/>
      <c r="Y4" s="669"/>
      <c r="Z4" s="662"/>
      <c r="AA4" s="664"/>
      <c r="AB4" s="664"/>
      <c r="AC4" s="664"/>
      <c r="AD4" s="664"/>
      <c r="AE4" s="664"/>
      <c r="AF4" s="665" t="s">
        <v>130</v>
      </c>
      <c r="AG4" s="666"/>
      <c r="AH4" s="667"/>
      <c r="AI4" s="671" t="s">
        <v>379</v>
      </c>
      <c r="AJ4" s="671" t="s">
        <v>14</v>
      </c>
      <c r="AK4" s="671" t="s">
        <v>131</v>
      </c>
      <c r="AL4" s="671" t="s">
        <v>17</v>
      </c>
      <c r="AM4" s="701"/>
      <c r="AN4" s="674" t="s">
        <v>108</v>
      </c>
      <c r="AO4" s="674" t="s">
        <v>14</v>
      </c>
      <c r="AP4" s="674" t="s">
        <v>109</v>
      </c>
      <c r="AQ4" s="674" t="s">
        <v>17</v>
      </c>
      <c r="AR4" s="695" t="s">
        <v>110</v>
      </c>
      <c r="AS4" s="709"/>
      <c r="AT4" s="698"/>
      <c r="AU4" s="699"/>
      <c r="AV4" s="513" t="s">
        <v>6</v>
      </c>
      <c r="AW4" s="513" t="s">
        <v>132</v>
      </c>
      <c r="AX4" s="514" t="s">
        <v>6</v>
      </c>
      <c r="AY4" s="515" t="s">
        <v>132</v>
      </c>
      <c r="AZ4" s="691"/>
      <c r="BA4" s="695"/>
      <c r="BB4" s="659"/>
      <c r="BC4" s="659"/>
      <c r="BD4" s="654"/>
      <c r="BE4" s="657"/>
      <c r="BF4" s="659"/>
    </row>
    <row r="5" spans="1:58" s="32" customFormat="1" ht="48">
      <c r="A5" s="664"/>
      <c r="B5" s="664"/>
      <c r="C5" s="673"/>
      <c r="D5" s="664"/>
      <c r="E5" s="664"/>
      <c r="F5" s="664"/>
      <c r="G5" s="494" t="s">
        <v>111</v>
      </c>
      <c r="H5" s="493" t="s">
        <v>112</v>
      </c>
      <c r="I5" s="30" t="s">
        <v>113</v>
      </c>
      <c r="J5" s="81" t="s">
        <v>114</v>
      </c>
      <c r="K5" s="81" t="s">
        <v>99</v>
      </c>
      <c r="L5" s="31" t="s">
        <v>115</v>
      </c>
      <c r="M5" s="31" t="s">
        <v>116</v>
      </c>
      <c r="N5" s="493" t="s">
        <v>117</v>
      </c>
      <c r="O5" s="689"/>
      <c r="P5" s="672"/>
      <c r="Q5" s="689"/>
      <c r="R5" s="662"/>
      <c r="S5" s="662"/>
      <c r="T5" s="664"/>
      <c r="U5" s="664"/>
      <c r="V5" s="664"/>
      <c r="W5" s="662"/>
      <c r="X5" s="669"/>
      <c r="Y5" s="670"/>
      <c r="Z5" s="662"/>
      <c r="AA5" s="664"/>
      <c r="AB5" s="673"/>
      <c r="AC5" s="664"/>
      <c r="AD5" s="673"/>
      <c r="AE5" s="664"/>
      <c r="AF5" s="443" t="s">
        <v>293</v>
      </c>
      <c r="AG5" s="518" t="s">
        <v>294</v>
      </c>
      <c r="AH5" s="518" t="s">
        <v>295</v>
      </c>
      <c r="AI5" s="672"/>
      <c r="AJ5" s="672"/>
      <c r="AK5" s="672"/>
      <c r="AL5" s="672"/>
      <c r="AM5" s="702"/>
      <c r="AN5" s="675"/>
      <c r="AO5" s="675"/>
      <c r="AP5" s="675"/>
      <c r="AQ5" s="675"/>
      <c r="AR5" s="661"/>
      <c r="AS5" s="710"/>
      <c r="AT5" s="517" t="s">
        <v>289</v>
      </c>
      <c r="AU5" s="517" t="s">
        <v>290</v>
      </c>
      <c r="AV5" s="516" t="s">
        <v>291</v>
      </c>
      <c r="AW5" s="516" t="s">
        <v>291</v>
      </c>
      <c r="AX5" s="514" t="s">
        <v>16</v>
      </c>
      <c r="AY5" s="514" t="s">
        <v>16</v>
      </c>
      <c r="AZ5" s="692"/>
      <c r="BA5" s="661"/>
      <c r="BB5" s="663"/>
      <c r="BC5" s="663"/>
      <c r="BD5" s="655"/>
      <c r="BE5" s="658"/>
      <c r="BF5" s="660"/>
    </row>
    <row r="6" spans="1:58" ht="12.75" customHeight="1">
      <c r="A6" s="40">
        <f>+Report1!A9</f>
        <v>45962</v>
      </c>
      <c r="B6" s="41" t="s">
        <v>406</v>
      </c>
      <c r="C6" s="414">
        <f>(M6*E6*O6*Q6)/100000000</f>
        <v>43.297309439999999</v>
      </c>
      <c r="D6" s="41" t="s">
        <v>300</v>
      </c>
      <c r="E6" s="42">
        <v>12</v>
      </c>
      <c r="F6" s="42">
        <v>1</v>
      </c>
      <c r="G6" s="499">
        <v>1230</v>
      </c>
      <c r="H6" s="44">
        <f>+N6</f>
        <v>0.23417344173441734</v>
      </c>
      <c r="I6" s="45">
        <v>0.88</v>
      </c>
      <c r="J6" s="82">
        <f>E6*G6*(1-H6)*1440/1000000*2.74</f>
        <v>44.599484159999996</v>
      </c>
      <c r="K6" s="82">
        <f>(IF(G6&lt;L6,L6,G6)*(1-IF(H6&lt;N6,H6,N6))*E6*O6*Q6)/100000000</f>
        <v>43.297309439999999</v>
      </c>
      <c r="L6" s="35">
        <v>1230</v>
      </c>
      <c r="M6" s="35">
        <v>941.9666666666667</v>
      </c>
      <c r="N6" s="46">
        <f>1-(M6/L6)</f>
        <v>0.23417344173441734</v>
      </c>
      <c r="O6" s="47">
        <f>+'Trim Rwd'!H4</f>
        <v>266</v>
      </c>
      <c r="P6" s="48">
        <f>O6*(Q6-R6-S6)</f>
        <v>0</v>
      </c>
      <c r="Q6" s="47">
        <v>1440</v>
      </c>
      <c r="R6" s="500">
        <v>1440</v>
      </c>
      <c r="S6" s="500">
        <v>0</v>
      </c>
      <c r="T6" s="37">
        <f>E6*M6*O6*Q6/100000000</f>
        <v>43.297309439999999</v>
      </c>
      <c r="U6" s="37">
        <f>E6*M6*O6*(Q6-R6-S6)/100000000</f>
        <v>0</v>
      </c>
      <c r="V6" s="37">
        <f>E6*G6*(1-N6)*O6/100*(R6+S6)/1000000</f>
        <v>43.297309439999999</v>
      </c>
      <c r="W6" s="37">
        <f>+'1'!C34/1000</f>
        <v>0</v>
      </c>
      <c r="X6" s="501">
        <f>SUM(W6:W10)/SUM(K6:K10)</f>
        <v>0</v>
      </c>
      <c r="Y6" s="211">
        <v>0</v>
      </c>
      <c r="Z6" s="37">
        <f>+'1'!D25/1000</f>
        <v>0</v>
      </c>
      <c r="AA6" s="49">
        <f>SUM(U6:U10)-SUM(W6:W10)-SUM(Z6:Z10)-SUM(Y6:Y10)</f>
        <v>0</v>
      </c>
      <c r="AB6" s="49">
        <f>(SUM(K6:K10)-SUM(W6:W10)-SUM(Y6:Y10)-SUM(Z6:Z10)-SUM(AC6:AC10)-SUM(V6:V10))-AA6</f>
        <v>0</v>
      </c>
      <c r="AC6" s="37">
        <f>K6-T6</f>
        <v>0</v>
      </c>
      <c r="AD6" s="37">
        <f>+AM6+BA6</f>
        <v>0</v>
      </c>
      <c r="AE6" s="229" t="s">
        <v>384</v>
      </c>
      <c r="AF6" s="37">
        <v>0</v>
      </c>
      <c r="AG6" s="37"/>
      <c r="AH6" s="37"/>
      <c r="AI6" s="502"/>
      <c r="AJ6" s="37"/>
      <c r="AK6" s="37"/>
      <c r="AL6" s="37"/>
      <c r="AM6" s="37">
        <f t="shared" ref="AM6:AM11" si="0">SUM(AF6:AL6)+AT6+AV6+AX6</f>
        <v>0</v>
      </c>
      <c r="AN6" s="37"/>
      <c r="AO6" s="37"/>
      <c r="AP6" s="37"/>
      <c r="AQ6" s="37"/>
      <c r="AR6" s="37">
        <f>SUM(AN6:AQ6)</f>
        <v>0</v>
      </c>
      <c r="AS6" s="37"/>
      <c r="AT6" s="37"/>
      <c r="AU6" s="37"/>
      <c r="AV6" s="37"/>
      <c r="AW6" s="37"/>
      <c r="AX6" s="37"/>
      <c r="AY6" s="37"/>
      <c r="AZ6" s="37"/>
      <c r="BA6" s="37">
        <f>+AR6+AS6+AU6+AW6+AY6+AZ6</f>
        <v>0</v>
      </c>
      <c r="BB6" s="33">
        <v>0</v>
      </c>
      <c r="BC6" s="51"/>
      <c r="BD6" s="51"/>
      <c r="BE6" s="33"/>
      <c r="BF6" s="51"/>
    </row>
    <row r="7" spans="1:58" ht="12.95" customHeight="1">
      <c r="A7" s="40"/>
      <c r="B7" s="41"/>
      <c r="C7" s="414"/>
      <c r="D7" s="41"/>
      <c r="E7" s="42"/>
      <c r="F7" s="42"/>
      <c r="G7" s="499"/>
      <c r="H7" s="44"/>
      <c r="I7" s="45"/>
      <c r="J7" s="82"/>
      <c r="K7" s="82"/>
      <c r="L7" s="35"/>
      <c r="M7" s="35"/>
      <c r="N7" s="46"/>
      <c r="O7" s="47"/>
      <c r="P7" s="48"/>
      <c r="Q7" s="47"/>
      <c r="R7" s="500"/>
      <c r="S7" s="500"/>
      <c r="T7" s="37"/>
      <c r="U7" s="37"/>
      <c r="V7" s="37"/>
      <c r="W7" s="37"/>
      <c r="X7" s="38"/>
      <c r="Y7" s="211"/>
      <c r="Z7" s="37"/>
      <c r="AA7" s="37"/>
      <c r="AB7" s="37"/>
      <c r="AC7" s="37"/>
      <c r="AD7" s="37">
        <f>+AM7+BA7</f>
        <v>0</v>
      </c>
      <c r="AE7" s="229" t="s">
        <v>282</v>
      </c>
      <c r="AF7" s="37"/>
      <c r="AG7" s="37">
        <v>0</v>
      </c>
      <c r="AH7" s="37"/>
      <c r="AI7" s="502"/>
      <c r="AJ7" s="37"/>
      <c r="AK7" s="37"/>
      <c r="AL7" s="37"/>
      <c r="AM7" s="37">
        <f t="shared" si="0"/>
        <v>0</v>
      </c>
      <c r="AN7" s="83"/>
      <c r="AO7" s="37"/>
      <c r="AP7" s="37"/>
      <c r="AQ7" s="37"/>
      <c r="AR7" s="37">
        <f t="shared" ref="AR7:AR10" si="1">SUM(AN7:AQ7)</f>
        <v>0</v>
      </c>
      <c r="AS7" s="37"/>
      <c r="AT7" s="37"/>
      <c r="AU7" s="37"/>
      <c r="AV7" s="37"/>
      <c r="AW7" s="37"/>
      <c r="AX7" s="37"/>
      <c r="AY7" s="37"/>
      <c r="AZ7" s="37"/>
      <c r="BA7" s="37">
        <f>+AR7+AS7+AU7+AW7+AY7+AZ7</f>
        <v>0</v>
      </c>
      <c r="BB7" s="50"/>
      <c r="BC7" s="51">
        <v>0</v>
      </c>
      <c r="BD7" s="51"/>
      <c r="BE7" s="50"/>
      <c r="BF7" s="51"/>
    </row>
    <row r="8" spans="1:58" ht="12.95" customHeight="1">
      <c r="A8" s="40"/>
      <c r="B8" s="41"/>
      <c r="C8" s="414"/>
      <c r="D8" s="41"/>
      <c r="E8" s="42"/>
      <c r="F8" s="42"/>
      <c r="G8" s="43"/>
      <c r="H8" s="44"/>
      <c r="I8" s="45"/>
      <c r="J8" s="82"/>
      <c r="K8" s="82"/>
      <c r="L8" s="35"/>
      <c r="M8" s="35"/>
      <c r="N8" s="46"/>
      <c r="O8" s="47"/>
      <c r="P8" s="48"/>
      <c r="Q8" s="47"/>
      <c r="R8" s="500"/>
      <c r="S8" s="500"/>
      <c r="T8" s="37"/>
      <c r="U8" s="37"/>
      <c r="V8" s="37"/>
      <c r="W8" s="37"/>
      <c r="X8" s="38"/>
      <c r="Y8" s="211"/>
      <c r="Z8" s="37"/>
      <c r="AA8" s="37"/>
      <c r="AB8" s="37"/>
      <c r="AC8" s="37"/>
      <c r="AD8" s="37">
        <f>+AM8+BA8</f>
        <v>0</v>
      </c>
      <c r="AE8" s="229" t="s">
        <v>408</v>
      </c>
      <c r="AF8" s="33"/>
      <c r="AG8" s="33"/>
      <c r="AH8" s="33">
        <v>0</v>
      </c>
      <c r="AJ8" s="37"/>
      <c r="AK8" s="37"/>
      <c r="AL8" s="37"/>
      <c r="AM8" s="37">
        <f t="shared" si="0"/>
        <v>0</v>
      </c>
      <c r="AN8" s="37"/>
      <c r="AO8" s="37"/>
      <c r="AP8" s="37"/>
      <c r="AQ8" s="37"/>
      <c r="AR8" s="37">
        <f t="shared" si="1"/>
        <v>0</v>
      </c>
      <c r="AS8" s="37"/>
      <c r="AT8" s="37"/>
      <c r="AU8" s="37"/>
      <c r="AV8" s="37"/>
      <c r="AW8" s="37"/>
      <c r="AX8" s="37"/>
      <c r="AY8" s="37"/>
      <c r="AZ8" s="37"/>
      <c r="BA8" s="37">
        <f>+AR8+AS8+AU8+AW8+AY8+AZ8</f>
        <v>0</v>
      </c>
      <c r="BB8" s="33"/>
      <c r="BC8" s="503"/>
      <c r="BD8" s="503"/>
      <c r="BE8" s="33"/>
      <c r="BF8" s="503"/>
    </row>
    <row r="9" spans="1:58" ht="12.95" customHeight="1">
      <c r="A9" s="40"/>
      <c r="B9" s="41"/>
      <c r="C9" s="414"/>
      <c r="D9" s="41"/>
      <c r="E9" s="42"/>
      <c r="F9" s="42"/>
      <c r="G9" s="43"/>
      <c r="H9" s="44"/>
      <c r="I9" s="45"/>
      <c r="J9" s="82"/>
      <c r="K9" s="82"/>
      <c r="L9" s="35"/>
      <c r="M9" s="35"/>
      <c r="N9" s="46"/>
      <c r="O9" s="47"/>
      <c r="P9" s="48"/>
      <c r="Q9" s="34"/>
      <c r="R9" s="500"/>
      <c r="S9" s="500"/>
      <c r="T9" s="37"/>
      <c r="U9" s="37"/>
      <c r="V9" s="37"/>
      <c r="W9" s="37"/>
      <c r="X9" s="38"/>
      <c r="Y9" s="211"/>
      <c r="Z9" s="37"/>
      <c r="AA9" s="37"/>
      <c r="AB9" s="37"/>
      <c r="AC9" s="37"/>
      <c r="AD9" s="37">
        <f>+AM9+BA9</f>
        <v>0</v>
      </c>
      <c r="AE9" s="232" t="s">
        <v>377</v>
      </c>
      <c r="AF9" s="37"/>
      <c r="AG9" s="37"/>
      <c r="AH9" s="37"/>
      <c r="AI9" s="502">
        <v>0</v>
      </c>
      <c r="AJ9" s="37"/>
      <c r="AK9" s="37"/>
      <c r="AL9" s="37"/>
      <c r="AM9" s="37">
        <f t="shared" si="0"/>
        <v>0</v>
      </c>
      <c r="AN9" s="37"/>
      <c r="AO9" s="37"/>
      <c r="AP9" s="37"/>
      <c r="AQ9" s="37"/>
      <c r="AR9" s="37">
        <f t="shared" si="1"/>
        <v>0</v>
      </c>
      <c r="AS9" s="37"/>
      <c r="AT9" s="37"/>
      <c r="AU9" s="37"/>
      <c r="AV9" s="37"/>
      <c r="AW9" s="37"/>
      <c r="AX9" s="37"/>
      <c r="AY9" s="37"/>
      <c r="AZ9" s="37"/>
      <c r="BA9" s="37">
        <f>+AR9+AS9+AU9+AW9+AY9+AZ9</f>
        <v>0</v>
      </c>
      <c r="BB9" s="50"/>
      <c r="BC9" s="51"/>
      <c r="BD9" s="51"/>
      <c r="BE9" s="50"/>
      <c r="BF9" s="51"/>
    </row>
    <row r="10" spans="1:58" ht="12.95" customHeight="1">
      <c r="A10" s="40"/>
      <c r="B10" s="41"/>
      <c r="C10" s="414"/>
      <c r="D10" s="41"/>
      <c r="E10" s="42"/>
      <c r="F10" s="42"/>
      <c r="G10" s="43"/>
      <c r="H10" s="44"/>
      <c r="I10" s="45"/>
      <c r="J10" s="82"/>
      <c r="K10" s="82"/>
      <c r="L10" s="35"/>
      <c r="M10" s="35"/>
      <c r="N10" s="46"/>
      <c r="O10" s="47"/>
      <c r="P10" s="48"/>
      <c r="Q10" s="34"/>
      <c r="R10" s="500"/>
      <c r="S10" s="500"/>
      <c r="T10" s="37"/>
      <c r="U10" s="37"/>
      <c r="V10" s="37"/>
      <c r="W10" s="37"/>
      <c r="X10" s="38"/>
      <c r="Y10" s="211"/>
      <c r="Z10" s="37"/>
      <c r="AA10" s="37"/>
      <c r="AB10" s="37"/>
      <c r="AC10" s="37"/>
      <c r="AD10" s="37">
        <f>+AM10+BA10</f>
        <v>1440</v>
      </c>
      <c r="AE10" s="232" t="s">
        <v>409</v>
      </c>
      <c r="AF10" s="37"/>
      <c r="AG10" s="37"/>
      <c r="AH10" s="37"/>
      <c r="AI10" s="502"/>
      <c r="AJ10" s="37"/>
      <c r="AK10" s="37"/>
      <c r="AL10" s="37"/>
      <c r="AM10" s="37">
        <f t="shared" si="0"/>
        <v>0</v>
      </c>
      <c r="AN10" s="37"/>
      <c r="AO10" s="37"/>
      <c r="AP10" s="37"/>
      <c r="AQ10" s="37"/>
      <c r="AR10" s="37">
        <f t="shared" si="1"/>
        <v>0</v>
      </c>
      <c r="AS10" s="37"/>
      <c r="AT10" s="37"/>
      <c r="AU10" s="37"/>
      <c r="AV10" s="37"/>
      <c r="AW10" s="37"/>
      <c r="AX10" s="37"/>
      <c r="AY10" s="37"/>
      <c r="AZ10" s="37">
        <v>1440</v>
      </c>
      <c r="BA10" s="37">
        <f>+AR10+AS10+AU10+AW10+AY10+AZ10</f>
        <v>1440</v>
      </c>
      <c r="BB10" s="50"/>
      <c r="BC10" s="51"/>
      <c r="BD10" s="51"/>
      <c r="BE10" s="33"/>
      <c r="BF10" s="51"/>
    </row>
    <row r="11" spans="1:58" ht="12.95" customHeight="1">
      <c r="A11" s="40"/>
      <c r="B11" s="41"/>
      <c r="C11" s="414"/>
      <c r="D11" s="41"/>
      <c r="E11" s="42"/>
      <c r="F11" s="42"/>
      <c r="G11" s="499"/>
      <c r="H11" s="44"/>
      <c r="I11" s="45"/>
      <c r="J11" s="82"/>
      <c r="K11" s="82"/>
      <c r="L11" s="35"/>
      <c r="M11" s="35"/>
      <c r="N11" s="46"/>
      <c r="O11" s="47"/>
      <c r="P11" s="48"/>
      <c r="Q11" s="47"/>
      <c r="R11" s="500"/>
      <c r="S11" s="500"/>
      <c r="T11" s="37"/>
      <c r="U11" s="37"/>
      <c r="V11" s="37"/>
      <c r="W11" s="37"/>
      <c r="X11" s="501"/>
      <c r="Y11" s="211"/>
      <c r="Z11" s="37"/>
      <c r="AA11" s="49"/>
      <c r="AB11" s="49"/>
      <c r="AC11" s="37"/>
      <c r="AD11" s="37"/>
      <c r="AE11" s="229"/>
      <c r="AF11" s="37"/>
      <c r="AG11" s="37"/>
      <c r="AH11" s="37"/>
      <c r="AI11" s="502"/>
      <c r="AJ11" s="37"/>
      <c r="AK11" s="37"/>
      <c r="AL11" s="37"/>
      <c r="AM11" s="37">
        <f t="shared" si="0"/>
        <v>0</v>
      </c>
      <c r="AN11" s="37"/>
      <c r="AO11" s="37"/>
      <c r="AP11" s="37"/>
      <c r="AQ11" s="37"/>
      <c r="AR11" s="37"/>
      <c r="AS11" s="37"/>
      <c r="AT11" s="37"/>
      <c r="AU11" s="37"/>
      <c r="AV11" s="37"/>
      <c r="AW11" s="37"/>
      <c r="AX11" s="37"/>
      <c r="AY11" s="37"/>
      <c r="AZ11" s="37"/>
      <c r="BA11" s="37"/>
      <c r="BB11" s="33"/>
      <c r="BC11" s="51"/>
      <c r="BD11" s="51"/>
      <c r="BE11" s="50"/>
      <c r="BF11" s="51"/>
    </row>
    <row r="12" spans="1:58" ht="12.75" customHeight="1">
      <c r="A12" s="40">
        <v>45963</v>
      </c>
      <c r="B12" s="41" t="s">
        <v>406</v>
      </c>
      <c r="C12" s="414">
        <f>(M12*E12*O12*Q12)/100000000</f>
        <v>43.297309439999999</v>
      </c>
      <c r="D12" s="41" t="s">
        <v>300</v>
      </c>
      <c r="E12" s="42">
        <v>12</v>
      </c>
      <c r="F12" s="42">
        <v>1</v>
      </c>
      <c r="G12" s="499">
        <v>1230</v>
      </c>
      <c r="H12" s="44">
        <f>+N12</f>
        <v>0.23417344173441734</v>
      </c>
      <c r="I12" s="45">
        <v>0.88</v>
      </c>
      <c r="J12" s="82">
        <f>E12*G12*(1-H12)*1440/1000000*2.74</f>
        <v>44.599484159999996</v>
      </c>
      <c r="K12" s="82">
        <f>(IF(G12&lt;L12,L12,G12)*(1-IF(H12&lt;N12,H12,N12))*E12*O12*Q12)/100000000</f>
        <v>43.297309439999999</v>
      </c>
      <c r="L12" s="35">
        <v>1230</v>
      </c>
      <c r="M12" s="35">
        <v>941.9666666666667</v>
      </c>
      <c r="N12" s="46">
        <f>1-(M12/L12)</f>
        <v>0.23417344173441734</v>
      </c>
      <c r="O12" s="47">
        <f>+'Trim Rwd'!H6</f>
        <v>266</v>
      </c>
      <c r="P12" s="48">
        <f>O12*(Q12-R12-S12)</f>
        <v>0</v>
      </c>
      <c r="Q12" s="47">
        <v>1440</v>
      </c>
      <c r="R12" s="500">
        <v>1440</v>
      </c>
      <c r="S12" s="500">
        <v>0</v>
      </c>
      <c r="T12" s="37">
        <f>E12*M12*O12*Q12/100000000</f>
        <v>43.297309439999999</v>
      </c>
      <c r="U12" s="37">
        <f>E12*M12*O12*(Q12-R12-S12)/100000000</f>
        <v>0</v>
      </c>
      <c r="V12" s="37">
        <f>E12*G12*(1-N12)*O12/100*(R12+S12)/1000000</f>
        <v>43.297309439999999</v>
      </c>
      <c r="W12" s="37">
        <f>+'1'!C40/1000</f>
        <v>0</v>
      </c>
      <c r="X12" s="501">
        <f>SUM(W12:W16)/SUM(K12:K16)</f>
        <v>0</v>
      </c>
      <c r="Y12" s="211">
        <v>0</v>
      </c>
      <c r="Z12" s="37">
        <f>+'1'!D31/1000</f>
        <v>0</v>
      </c>
      <c r="AA12" s="49">
        <f>SUM(U12:U16)-SUM(W12:W16)-SUM(Z12:Z16)-SUM(Y12:Y16)</f>
        <v>0</v>
      </c>
      <c r="AB12" s="49">
        <f>(SUM(K12:K16)-SUM(W12:W16)-SUM(Y12:Y16)-SUM(Z12:Z16)-SUM(AC12:AC16)-SUM(V12:V16))-AA12</f>
        <v>0</v>
      </c>
      <c r="AC12" s="37">
        <f>K12-T12</f>
        <v>0</v>
      </c>
      <c r="AD12" s="37">
        <f>+AM12+BA12</f>
        <v>0</v>
      </c>
      <c r="AE12" s="229" t="s">
        <v>384</v>
      </c>
      <c r="AF12" s="37">
        <v>0</v>
      </c>
      <c r="AG12" s="37"/>
      <c r="AH12" s="37"/>
      <c r="AI12" s="502"/>
      <c r="AJ12" s="37"/>
      <c r="AK12" s="37"/>
      <c r="AL12" s="37"/>
      <c r="AM12" s="37">
        <f t="shared" ref="AM12:AM16" si="2">SUM(AF12:AL12)+AT12+AV12+AX12</f>
        <v>0</v>
      </c>
      <c r="AN12" s="37"/>
      <c r="AO12" s="37"/>
      <c r="AP12" s="37"/>
      <c r="AQ12" s="37"/>
      <c r="AR12" s="37">
        <f>SUM(AN12:AQ12)</f>
        <v>0</v>
      </c>
      <c r="AS12" s="37"/>
      <c r="AT12" s="37"/>
      <c r="AU12" s="37"/>
      <c r="AV12" s="37"/>
      <c r="AW12" s="37"/>
      <c r="AX12" s="37"/>
      <c r="AY12" s="37"/>
      <c r="AZ12" s="37"/>
      <c r="BA12" s="37">
        <f>+AR12+AS12+AU12+AW12+AY12+AZ12</f>
        <v>0</v>
      </c>
      <c r="BB12" s="33">
        <v>0</v>
      </c>
      <c r="BC12" s="51"/>
      <c r="BD12" s="51"/>
      <c r="BE12" s="33"/>
      <c r="BF12" s="51"/>
    </row>
    <row r="13" spans="1:58" ht="12.95" customHeight="1">
      <c r="A13" s="40"/>
      <c r="B13" s="41"/>
      <c r="C13" s="414"/>
      <c r="D13" s="41"/>
      <c r="E13" s="42"/>
      <c r="F13" s="42"/>
      <c r="G13" s="499"/>
      <c r="H13" s="44"/>
      <c r="I13" s="45"/>
      <c r="J13" s="82"/>
      <c r="K13" s="82"/>
      <c r="L13" s="35"/>
      <c r="M13" s="35"/>
      <c r="N13" s="46"/>
      <c r="O13" s="47"/>
      <c r="P13" s="48"/>
      <c r="Q13" s="47"/>
      <c r="R13" s="500"/>
      <c r="S13" s="500"/>
      <c r="T13" s="37"/>
      <c r="U13" s="37"/>
      <c r="V13" s="37"/>
      <c r="W13" s="37"/>
      <c r="X13" s="38"/>
      <c r="Y13" s="211"/>
      <c r="Z13" s="37"/>
      <c r="AA13" s="37"/>
      <c r="AB13" s="37"/>
      <c r="AC13" s="37"/>
      <c r="AD13" s="37">
        <f>+AM13+BA13</f>
        <v>0</v>
      </c>
      <c r="AE13" s="229" t="s">
        <v>282</v>
      </c>
      <c r="AF13" s="37"/>
      <c r="AG13" s="37">
        <v>0</v>
      </c>
      <c r="AH13" s="37"/>
      <c r="AI13" s="502"/>
      <c r="AJ13" s="37"/>
      <c r="AK13" s="37"/>
      <c r="AL13" s="37"/>
      <c r="AM13" s="37">
        <f t="shared" si="2"/>
        <v>0</v>
      </c>
      <c r="AN13" s="83"/>
      <c r="AO13" s="37"/>
      <c r="AP13" s="37"/>
      <c r="AQ13" s="37"/>
      <c r="AR13" s="37">
        <f t="shared" ref="AR13:AR16" si="3">SUM(AN13:AQ13)</f>
        <v>0</v>
      </c>
      <c r="AS13" s="37"/>
      <c r="AT13" s="37"/>
      <c r="AU13" s="37"/>
      <c r="AV13" s="37"/>
      <c r="AW13" s="37"/>
      <c r="AX13" s="37"/>
      <c r="AY13" s="37"/>
      <c r="AZ13" s="37"/>
      <c r="BA13" s="37">
        <f>+AR13+AS13+AU13+AW13+AY13+AZ13</f>
        <v>0</v>
      </c>
      <c r="BB13" s="50"/>
      <c r="BC13" s="51">
        <v>0</v>
      </c>
      <c r="BD13" s="51"/>
      <c r="BE13" s="50"/>
      <c r="BF13" s="51"/>
    </row>
    <row r="14" spans="1:58" ht="12.95" customHeight="1">
      <c r="A14" s="40"/>
      <c r="B14" s="41"/>
      <c r="C14" s="414"/>
      <c r="D14" s="41"/>
      <c r="E14" s="42"/>
      <c r="F14" s="42"/>
      <c r="G14" s="43"/>
      <c r="H14" s="44"/>
      <c r="I14" s="45"/>
      <c r="J14" s="82"/>
      <c r="K14" s="82"/>
      <c r="L14" s="35"/>
      <c r="M14" s="35"/>
      <c r="N14" s="46"/>
      <c r="O14" s="47"/>
      <c r="P14" s="48"/>
      <c r="Q14" s="47"/>
      <c r="R14" s="500"/>
      <c r="S14" s="500"/>
      <c r="T14" s="37"/>
      <c r="U14" s="37"/>
      <c r="V14" s="37"/>
      <c r="W14" s="37"/>
      <c r="X14" s="38"/>
      <c r="Y14" s="211"/>
      <c r="Z14" s="37"/>
      <c r="AA14" s="37"/>
      <c r="AB14" s="37"/>
      <c r="AC14" s="37"/>
      <c r="AD14" s="37">
        <f>+AM14+BA14</f>
        <v>0</v>
      </c>
      <c r="AE14" s="229" t="s">
        <v>408</v>
      </c>
      <c r="AF14" s="33"/>
      <c r="AG14" s="33"/>
      <c r="AH14" s="33">
        <v>0</v>
      </c>
      <c r="AJ14" s="37"/>
      <c r="AK14" s="37"/>
      <c r="AL14" s="37"/>
      <c r="AM14" s="37">
        <f t="shared" si="2"/>
        <v>0</v>
      </c>
      <c r="AN14" s="37"/>
      <c r="AO14" s="37"/>
      <c r="AP14" s="37"/>
      <c r="AQ14" s="37"/>
      <c r="AR14" s="37">
        <f t="shared" si="3"/>
        <v>0</v>
      </c>
      <c r="AS14" s="37"/>
      <c r="AT14" s="37"/>
      <c r="AU14" s="37"/>
      <c r="AV14" s="37"/>
      <c r="AW14" s="37"/>
      <c r="AX14" s="37"/>
      <c r="AY14" s="37"/>
      <c r="AZ14" s="37"/>
      <c r="BA14" s="37">
        <f>+AR14+AS14+AU14+AW14+AY14+AZ14</f>
        <v>0</v>
      </c>
      <c r="BB14" s="33"/>
      <c r="BC14" s="503"/>
      <c r="BD14" s="503"/>
      <c r="BE14" s="33"/>
      <c r="BF14" s="503"/>
    </row>
    <row r="15" spans="1:58" ht="12.95" customHeight="1">
      <c r="A15" s="40"/>
      <c r="B15" s="41"/>
      <c r="C15" s="414"/>
      <c r="D15" s="41"/>
      <c r="E15" s="42"/>
      <c r="F15" s="42"/>
      <c r="G15" s="43"/>
      <c r="H15" s="44"/>
      <c r="I15" s="45"/>
      <c r="J15" s="82"/>
      <c r="K15" s="82"/>
      <c r="L15" s="35"/>
      <c r="M15" s="35"/>
      <c r="N15" s="46"/>
      <c r="O15" s="47"/>
      <c r="P15" s="48"/>
      <c r="Q15" s="34"/>
      <c r="R15" s="500"/>
      <c r="S15" s="500"/>
      <c r="T15" s="37"/>
      <c r="U15" s="37"/>
      <c r="V15" s="37"/>
      <c r="W15" s="37"/>
      <c r="X15" s="38"/>
      <c r="Y15" s="211"/>
      <c r="Z15" s="37"/>
      <c r="AA15" s="37"/>
      <c r="AB15" s="37"/>
      <c r="AC15" s="37"/>
      <c r="AD15" s="37">
        <f>+AM15+BA15</f>
        <v>0</v>
      </c>
      <c r="AE15" s="232" t="s">
        <v>377</v>
      </c>
      <c r="AF15" s="37"/>
      <c r="AG15" s="37"/>
      <c r="AH15" s="37"/>
      <c r="AI15" s="502">
        <v>0</v>
      </c>
      <c r="AJ15" s="37"/>
      <c r="AK15" s="37"/>
      <c r="AL15" s="37"/>
      <c r="AM15" s="37">
        <f t="shared" si="2"/>
        <v>0</v>
      </c>
      <c r="AN15" s="37"/>
      <c r="AO15" s="37"/>
      <c r="AP15" s="37"/>
      <c r="AQ15" s="37"/>
      <c r="AR15" s="37">
        <f t="shared" si="3"/>
        <v>0</v>
      </c>
      <c r="AS15" s="37"/>
      <c r="AT15" s="37"/>
      <c r="AU15" s="37"/>
      <c r="AV15" s="37"/>
      <c r="AW15" s="37"/>
      <c r="AX15" s="37"/>
      <c r="AY15" s="37"/>
      <c r="AZ15" s="37"/>
      <c r="BA15" s="37">
        <f>+AR15+AS15+AU15+AW15+AY15+AZ15</f>
        <v>0</v>
      </c>
      <c r="BB15" s="50"/>
      <c r="BC15" s="51"/>
      <c r="BD15" s="51"/>
      <c r="BE15" s="50"/>
      <c r="BF15" s="51"/>
    </row>
    <row r="16" spans="1:58" ht="12.95" customHeight="1">
      <c r="A16" s="40"/>
      <c r="B16" s="41"/>
      <c r="C16" s="414"/>
      <c r="D16" s="41"/>
      <c r="E16" s="42"/>
      <c r="F16" s="42"/>
      <c r="G16" s="43"/>
      <c r="H16" s="44"/>
      <c r="I16" s="45"/>
      <c r="J16" s="82"/>
      <c r="K16" s="82"/>
      <c r="L16" s="35"/>
      <c r="M16" s="35"/>
      <c r="N16" s="46"/>
      <c r="O16" s="47"/>
      <c r="P16" s="48"/>
      <c r="Q16" s="34"/>
      <c r="R16" s="500"/>
      <c r="S16" s="500"/>
      <c r="T16" s="37"/>
      <c r="U16" s="37"/>
      <c r="V16" s="37"/>
      <c r="W16" s="37"/>
      <c r="X16" s="38"/>
      <c r="Y16" s="211"/>
      <c r="Z16" s="37"/>
      <c r="AA16" s="37"/>
      <c r="AB16" s="37"/>
      <c r="AC16" s="37"/>
      <c r="AD16" s="37">
        <f>+AM16+BA16</f>
        <v>1440</v>
      </c>
      <c r="AE16" s="232" t="s">
        <v>409</v>
      </c>
      <c r="AF16" s="37"/>
      <c r="AG16" s="37"/>
      <c r="AH16" s="37"/>
      <c r="AI16" s="502"/>
      <c r="AJ16" s="37"/>
      <c r="AK16" s="37"/>
      <c r="AL16" s="37"/>
      <c r="AM16" s="37">
        <f t="shared" si="2"/>
        <v>0</v>
      </c>
      <c r="AN16" s="37"/>
      <c r="AO16" s="37"/>
      <c r="AP16" s="37"/>
      <c r="AQ16" s="37"/>
      <c r="AR16" s="37">
        <f t="shared" si="3"/>
        <v>0</v>
      </c>
      <c r="AS16" s="37"/>
      <c r="AT16" s="37"/>
      <c r="AU16" s="37"/>
      <c r="AV16" s="37"/>
      <c r="AW16" s="37"/>
      <c r="AX16" s="37"/>
      <c r="AY16" s="37"/>
      <c r="AZ16" s="37">
        <v>1440</v>
      </c>
      <c r="BA16" s="37">
        <f>+AR16+AS16+AU16+AW16+AY16+AZ16</f>
        <v>1440</v>
      </c>
      <c r="BB16" s="50"/>
      <c r="BC16" s="51"/>
      <c r="BD16" s="51"/>
      <c r="BE16" s="33"/>
      <c r="BF16" s="51"/>
    </row>
    <row r="17" spans="1:58" ht="12.95" customHeight="1">
      <c r="A17" s="40"/>
      <c r="B17" s="41"/>
      <c r="C17" s="414"/>
      <c r="D17" s="41"/>
      <c r="E17" s="42"/>
      <c r="F17" s="42"/>
      <c r="G17" s="499"/>
      <c r="H17" s="44"/>
      <c r="I17" s="45"/>
      <c r="J17" s="82"/>
      <c r="K17" s="82"/>
      <c r="L17" s="35"/>
      <c r="M17" s="35"/>
      <c r="N17" s="46"/>
      <c r="O17" s="47"/>
      <c r="P17" s="48"/>
      <c r="Q17" s="47"/>
      <c r="R17" s="500"/>
      <c r="S17" s="500"/>
      <c r="T17" s="37"/>
      <c r="U17" s="37"/>
      <c r="V17" s="37"/>
      <c r="W17" s="37"/>
      <c r="X17" s="501"/>
      <c r="Y17" s="211"/>
      <c r="Z17" s="37"/>
      <c r="AA17" s="49"/>
      <c r="AB17" s="49"/>
      <c r="AC17" s="37"/>
      <c r="AD17" s="37"/>
      <c r="AE17" s="229"/>
      <c r="AF17" s="37"/>
      <c r="AG17" s="37"/>
      <c r="AH17" s="37"/>
      <c r="AI17" s="502"/>
      <c r="AJ17" s="37"/>
      <c r="AK17" s="37"/>
      <c r="AL17" s="37"/>
      <c r="AM17" s="37"/>
      <c r="AN17" s="37"/>
      <c r="AO17" s="37"/>
      <c r="AP17" s="37"/>
      <c r="AQ17" s="37"/>
      <c r="AR17" s="37"/>
      <c r="AS17" s="37"/>
      <c r="AT17" s="37"/>
      <c r="AU17" s="37"/>
      <c r="AV17" s="37"/>
      <c r="AW17" s="37"/>
      <c r="AX17" s="37"/>
      <c r="AY17" s="37"/>
      <c r="AZ17" s="37"/>
      <c r="BA17" s="37"/>
      <c r="BB17" s="33"/>
      <c r="BC17" s="51"/>
      <c r="BD17" s="51"/>
      <c r="BE17" s="50"/>
      <c r="BF17" s="51"/>
    </row>
    <row r="18" spans="1:58" ht="12.75" customHeight="1">
      <c r="A18" s="40">
        <v>45964</v>
      </c>
      <c r="B18" s="41" t="s">
        <v>406</v>
      </c>
      <c r="C18" s="414">
        <f>(M18*E18*O18*Q18)/100000000</f>
        <v>43.297309439999999</v>
      </c>
      <c r="D18" s="41" t="s">
        <v>300</v>
      </c>
      <c r="E18" s="42">
        <v>12</v>
      </c>
      <c r="F18" s="42">
        <v>1</v>
      </c>
      <c r="G18" s="499">
        <v>1230</v>
      </c>
      <c r="H18" s="44">
        <f>+N18</f>
        <v>0.23417344173441734</v>
      </c>
      <c r="I18" s="45">
        <v>0.88</v>
      </c>
      <c r="J18" s="82">
        <f>E18*G18*(1-H18)*1440/1000000*2.74</f>
        <v>44.599484159999996</v>
      </c>
      <c r="K18" s="82">
        <f>(IF(G18&lt;L18,L18,G18)*(1-IF(H18&lt;N18,H18,N18))*E18*O18*Q18)/100000000</f>
        <v>43.297309439999999</v>
      </c>
      <c r="L18" s="35">
        <v>1230</v>
      </c>
      <c r="M18" s="35">
        <v>941.9666666666667</v>
      </c>
      <c r="N18" s="46">
        <f>1-(M18/L18)</f>
        <v>0.23417344173441734</v>
      </c>
      <c r="O18" s="47">
        <f>+'Trim Rwd'!H8</f>
        <v>266</v>
      </c>
      <c r="P18" s="48">
        <f>O18*(Q18-R18-S18)</f>
        <v>0</v>
      </c>
      <c r="Q18" s="47">
        <v>1440</v>
      </c>
      <c r="R18" s="500">
        <v>1440</v>
      </c>
      <c r="S18" s="500">
        <v>0</v>
      </c>
      <c r="T18" s="37">
        <f>E18*M18*O18*Q18/100000000</f>
        <v>43.297309439999999</v>
      </c>
      <c r="U18" s="37">
        <f>E18*M18*O18*(Q18-R18-S18)/100000000</f>
        <v>0</v>
      </c>
      <c r="V18" s="37">
        <f>E18*G18*(1-N18)*O18/100*(R18+S18)/1000000</f>
        <v>43.297309439999999</v>
      </c>
      <c r="W18" s="37">
        <f>+'1'!C46/1000</f>
        <v>0</v>
      </c>
      <c r="X18" s="501">
        <f>SUM(W18:W22)/SUM(K18:K22)</f>
        <v>0</v>
      </c>
      <c r="Y18" s="211">
        <v>0</v>
      </c>
      <c r="Z18" s="37">
        <v>0</v>
      </c>
      <c r="AA18" s="49">
        <f>SUM(U18:U22)-SUM(W18:W22)-SUM(Z18:Z22)-SUM(Y18:Y22)</f>
        <v>0</v>
      </c>
      <c r="AB18" s="49">
        <f>(SUM(K18:K22)-SUM(W18:W22)-SUM(Y18:Y22)-SUM(Z18:Z22)-SUM(AC18:AC22)-SUM(V18:V22))-AA18</f>
        <v>0</v>
      </c>
      <c r="AC18" s="37">
        <f>K18-T18</f>
        <v>0</v>
      </c>
      <c r="AD18" s="37">
        <f>+AM18+BA18</f>
        <v>0</v>
      </c>
      <c r="AE18" s="229" t="s">
        <v>384</v>
      </c>
      <c r="AF18" s="37">
        <v>0</v>
      </c>
      <c r="AG18" s="37"/>
      <c r="AH18" s="37"/>
      <c r="AI18" s="502"/>
      <c r="AJ18" s="37"/>
      <c r="AK18" s="37"/>
      <c r="AL18" s="37"/>
      <c r="AM18" s="37">
        <f t="shared" ref="AM18:AM22" si="4">SUM(AF18:AL18)+AT18+AV18+AX18</f>
        <v>0</v>
      </c>
      <c r="AN18" s="37"/>
      <c r="AO18" s="37"/>
      <c r="AP18" s="37"/>
      <c r="AQ18" s="37"/>
      <c r="AR18" s="37">
        <f>SUM(AN18:AQ18)</f>
        <v>0</v>
      </c>
      <c r="AS18" s="37"/>
      <c r="AT18" s="37"/>
      <c r="AU18" s="37"/>
      <c r="AV18" s="37"/>
      <c r="AW18" s="37"/>
      <c r="AX18" s="37"/>
      <c r="AY18" s="37"/>
      <c r="AZ18" s="37"/>
      <c r="BA18" s="37">
        <f>+AR18+AS18+AU18+AW18+AY18+AZ18</f>
        <v>0</v>
      </c>
      <c r="BB18" s="33">
        <v>0</v>
      </c>
      <c r="BC18" s="51"/>
      <c r="BD18" s="51"/>
      <c r="BE18" s="33"/>
      <c r="BF18" s="51"/>
    </row>
    <row r="19" spans="1:58" ht="12.95" customHeight="1">
      <c r="A19" s="40"/>
      <c r="B19" s="41"/>
      <c r="C19" s="414"/>
      <c r="D19" s="41"/>
      <c r="E19" s="42"/>
      <c r="F19" s="42"/>
      <c r="G19" s="499"/>
      <c r="H19" s="44"/>
      <c r="I19" s="45"/>
      <c r="J19" s="82"/>
      <c r="K19" s="82"/>
      <c r="L19" s="35"/>
      <c r="M19" s="35"/>
      <c r="N19" s="46"/>
      <c r="O19" s="47"/>
      <c r="P19" s="48"/>
      <c r="Q19" s="47"/>
      <c r="R19" s="500"/>
      <c r="S19" s="500"/>
      <c r="T19" s="37"/>
      <c r="U19" s="37"/>
      <c r="V19" s="37"/>
      <c r="W19" s="37"/>
      <c r="X19" s="38"/>
      <c r="Y19" s="211"/>
      <c r="Z19" s="37"/>
      <c r="AA19" s="37"/>
      <c r="AB19" s="37"/>
      <c r="AC19" s="37"/>
      <c r="AD19" s="37">
        <f>+AM19+BA19</f>
        <v>0</v>
      </c>
      <c r="AE19" s="229" t="s">
        <v>282</v>
      </c>
      <c r="AF19" s="37"/>
      <c r="AG19" s="37">
        <v>0</v>
      </c>
      <c r="AH19" s="37"/>
      <c r="AI19" s="502"/>
      <c r="AJ19" s="37"/>
      <c r="AK19" s="37"/>
      <c r="AL19" s="37"/>
      <c r="AM19" s="37">
        <f t="shared" si="4"/>
        <v>0</v>
      </c>
      <c r="AN19" s="83"/>
      <c r="AO19" s="37"/>
      <c r="AP19" s="37"/>
      <c r="AQ19" s="37"/>
      <c r="AR19" s="37">
        <f t="shared" ref="AR19:AR22" si="5">SUM(AN19:AQ19)</f>
        <v>0</v>
      </c>
      <c r="AS19" s="37"/>
      <c r="AT19" s="37"/>
      <c r="AU19" s="37"/>
      <c r="AV19" s="37"/>
      <c r="AW19" s="37"/>
      <c r="AX19" s="37"/>
      <c r="AY19" s="37"/>
      <c r="AZ19" s="37"/>
      <c r="BA19" s="37">
        <f>+AR19+AS19+AU19+AW19+AY19+AZ19</f>
        <v>0</v>
      </c>
      <c r="BB19" s="50"/>
      <c r="BC19" s="51">
        <v>0</v>
      </c>
      <c r="BD19" s="51"/>
      <c r="BE19" s="50"/>
      <c r="BF19" s="51"/>
    </row>
    <row r="20" spans="1:58" ht="12.95" customHeight="1">
      <c r="A20" s="40"/>
      <c r="B20" s="41"/>
      <c r="C20" s="414"/>
      <c r="D20" s="41"/>
      <c r="E20" s="42"/>
      <c r="F20" s="42"/>
      <c r="G20" s="43"/>
      <c r="H20" s="44"/>
      <c r="I20" s="45"/>
      <c r="J20" s="82"/>
      <c r="K20" s="82"/>
      <c r="L20" s="35"/>
      <c r="M20" s="35"/>
      <c r="N20" s="46"/>
      <c r="O20" s="47"/>
      <c r="P20" s="48"/>
      <c r="Q20" s="47"/>
      <c r="R20" s="500"/>
      <c r="S20" s="500"/>
      <c r="T20" s="37"/>
      <c r="U20" s="37"/>
      <c r="V20" s="37"/>
      <c r="W20" s="37"/>
      <c r="X20" s="38"/>
      <c r="Y20" s="211"/>
      <c r="Z20" s="37"/>
      <c r="AA20" s="37"/>
      <c r="AB20" s="37"/>
      <c r="AC20" s="37"/>
      <c r="AD20" s="37">
        <f>+AM20+BA20</f>
        <v>0</v>
      </c>
      <c r="AE20" s="229" t="s">
        <v>408</v>
      </c>
      <c r="AF20" s="33"/>
      <c r="AG20" s="33"/>
      <c r="AH20" s="33">
        <v>0</v>
      </c>
      <c r="AJ20" s="37"/>
      <c r="AK20" s="37"/>
      <c r="AL20" s="37"/>
      <c r="AM20" s="37">
        <f t="shared" si="4"/>
        <v>0</v>
      </c>
      <c r="AN20" s="37"/>
      <c r="AO20" s="37"/>
      <c r="AP20" s="37"/>
      <c r="AQ20" s="37"/>
      <c r="AR20" s="37">
        <f t="shared" si="5"/>
        <v>0</v>
      </c>
      <c r="AS20" s="37"/>
      <c r="AT20" s="37"/>
      <c r="AU20" s="37"/>
      <c r="AV20" s="37"/>
      <c r="AW20" s="37"/>
      <c r="AX20" s="37"/>
      <c r="AY20" s="37"/>
      <c r="AZ20" s="37"/>
      <c r="BA20" s="37">
        <f>+AR20+AS20+AU20+AW20+AY20+AZ20</f>
        <v>0</v>
      </c>
      <c r="BB20" s="33"/>
      <c r="BC20" s="503"/>
      <c r="BD20" s="503"/>
      <c r="BE20" s="33"/>
      <c r="BF20" s="503"/>
    </row>
    <row r="21" spans="1:58" ht="12.95" customHeight="1">
      <c r="A21" s="40"/>
      <c r="B21" s="41"/>
      <c r="C21" s="414"/>
      <c r="D21" s="41"/>
      <c r="E21" s="42"/>
      <c r="F21" s="42"/>
      <c r="G21" s="43"/>
      <c r="H21" s="44"/>
      <c r="I21" s="45"/>
      <c r="J21" s="82"/>
      <c r="K21" s="82"/>
      <c r="L21" s="35"/>
      <c r="M21" s="35"/>
      <c r="N21" s="46"/>
      <c r="O21" s="47"/>
      <c r="P21" s="48"/>
      <c r="Q21" s="34"/>
      <c r="R21" s="500"/>
      <c r="S21" s="500"/>
      <c r="T21" s="37"/>
      <c r="U21" s="37"/>
      <c r="V21" s="37"/>
      <c r="W21" s="37"/>
      <c r="X21" s="38"/>
      <c r="Y21" s="211"/>
      <c r="Z21" s="37"/>
      <c r="AA21" s="37"/>
      <c r="AB21" s="37"/>
      <c r="AC21" s="37"/>
      <c r="AD21" s="37">
        <f>+AM21+BA21</f>
        <v>0</v>
      </c>
      <c r="AE21" s="232" t="s">
        <v>377</v>
      </c>
      <c r="AF21" s="37"/>
      <c r="AG21" s="37"/>
      <c r="AH21" s="37"/>
      <c r="AI21" s="502">
        <v>0</v>
      </c>
      <c r="AJ21" s="37"/>
      <c r="AK21" s="37"/>
      <c r="AL21" s="37"/>
      <c r="AM21" s="37">
        <f t="shared" si="4"/>
        <v>0</v>
      </c>
      <c r="AN21" s="37"/>
      <c r="AO21" s="37"/>
      <c r="AP21" s="37"/>
      <c r="AQ21" s="37"/>
      <c r="AR21" s="37">
        <f t="shared" si="5"/>
        <v>0</v>
      </c>
      <c r="AS21" s="37"/>
      <c r="AT21" s="37"/>
      <c r="AU21" s="37"/>
      <c r="AV21" s="37"/>
      <c r="AW21" s="37"/>
      <c r="AX21" s="37"/>
      <c r="AY21" s="37"/>
      <c r="AZ21" s="37"/>
      <c r="BA21" s="37">
        <f>+AR21+AS21+AU21+AW21+AY21+AZ21</f>
        <v>0</v>
      </c>
      <c r="BB21" s="50"/>
      <c r="BC21" s="51"/>
      <c r="BD21" s="51"/>
      <c r="BE21" s="50"/>
      <c r="BF21" s="51"/>
    </row>
    <row r="22" spans="1:58" ht="12.95" customHeight="1">
      <c r="A22" s="40"/>
      <c r="B22" s="41"/>
      <c r="C22" s="414"/>
      <c r="D22" s="41"/>
      <c r="E22" s="42"/>
      <c r="F22" s="42"/>
      <c r="G22" s="43"/>
      <c r="H22" s="44"/>
      <c r="I22" s="45"/>
      <c r="J22" s="82"/>
      <c r="K22" s="82"/>
      <c r="L22" s="35"/>
      <c r="M22" s="35"/>
      <c r="N22" s="46"/>
      <c r="O22" s="47"/>
      <c r="P22" s="48"/>
      <c r="Q22" s="34"/>
      <c r="R22" s="500"/>
      <c r="S22" s="500"/>
      <c r="T22" s="37"/>
      <c r="U22" s="37"/>
      <c r="V22" s="37"/>
      <c r="W22" s="37"/>
      <c r="X22" s="38"/>
      <c r="Y22" s="211"/>
      <c r="Z22" s="37"/>
      <c r="AA22" s="37"/>
      <c r="AB22" s="37"/>
      <c r="AC22" s="37"/>
      <c r="AD22" s="37">
        <f>+AM22+BA22</f>
        <v>1440</v>
      </c>
      <c r="AE22" s="232" t="s">
        <v>409</v>
      </c>
      <c r="AF22" s="37"/>
      <c r="AG22" s="37"/>
      <c r="AH22" s="37"/>
      <c r="AI22" s="502"/>
      <c r="AJ22" s="37"/>
      <c r="AK22" s="37"/>
      <c r="AL22" s="37"/>
      <c r="AM22" s="37">
        <f t="shared" si="4"/>
        <v>0</v>
      </c>
      <c r="AN22" s="37"/>
      <c r="AO22" s="37"/>
      <c r="AP22" s="37"/>
      <c r="AQ22" s="37"/>
      <c r="AR22" s="37">
        <f t="shared" si="5"/>
        <v>0</v>
      </c>
      <c r="AS22" s="37"/>
      <c r="AT22" s="37"/>
      <c r="AU22" s="37"/>
      <c r="AV22" s="37"/>
      <c r="AW22" s="37"/>
      <c r="AX22" s="37"/>
      <c r="AY22" s="37"/>
      <c r="AZ22" s="37">
        <v>1440</v>
      </c>
      <c r="BA22" s="37">
        <f>+AR22+AS22+AU22+AW22+AY22+AZ22</f>
        <v>1440</v>
      </c>
      <c r="BB22" s="50"/>
      <c r="BC22" s="51"/>
      <c r="BD22" s="51"/>
      <c r="BE22" s="33"/>
      <c r="BF22" s="51"/>
    </row>
    <row r="23" spans="1:58" ht="12.75" customHeight="1">
      <c r="A23" s="40"/>
      <c r="B23" s="41"/>
      <c r="C23" s="414"/>
      <c r="D23" s="41"/>
      <c r="E23" s="42"/>
      <c r="F23" s="42"/>
      <c r="G23" s="499"/>
      <c r="H23" s="44"/>
      <c r="I23" s="45"/>
      <c r="J23" s="82"/>
      <c r="K23" s="82"/>
      <c r="L23" s="35"/>
      <c r="M23" s="35"/>
      <c r="N23" s="46"/>
      <c r="O23" s="47"/>
      <c r="P23" s="48"/>
      <c r="Q23" s="47"/>
      <c r="R23" s="500"/>
      <c r="S23" s="500"/>
      <c r="T23" s="37"/>
      <c r="U23" s="37"/>
      <c r="V23" s="37"/>
      <c r="W23" s="37"/>
      <c r="X23" s="501"/>
      <c r="Y23" s="211"/>
      <c r="Z23" s="37"/>
      <c r="AA23" s="49"/>
      <c r="AB23" s="49"/>
      <c r="AC23" s="37"/>
      <c r="AD23" s="37"/>
      <c r="AE23" s="229"/>
      <c r="AF23" s="37"/>
      <c r="AG23" s="37"/>
      <c r="AH23" s="37"/>
      <c r="AI23" s="502"/>
      <c r="AJ23" s="37"/>
      <c r="AK23" s="37"/>
      <c r="AL23" s="37"/>
      <c r="AM23" s="37"/>
      <c r="AN23" s="37"/>
      <c r="AO23" s="37"/>
      <c r="AP23" s="37"/>
      <c r="AQ23" s="37"/>
      <c r="AR23" s="37"/>
      <c r="AS23" s="37"/>
      <c r="AT23" s="37"/>
      <c r="AU23" s="37"/>
      <c r="AV23" s="37"/>
      <c r="AW23" s="37"/>
      <c r="AX23" s="37"/>
      <c r="AY23" s="37"/>
      <c r="AZ23" s="37"/>
      <c r="BA23" s="37"/>
      <c r="BB23" s="33"/>
      <c r="BC23" s="51"/>
      <c r="BD23" s="51"/>
      <c r="BE23" s="50"/>
      <c r="BF23" s="51"/>
    </row>
    <row r="24" spans="1:58" ht="12.75" customHeight="1">
      <c r="A24" s="40">
        <v>45965</v>
      </c>
      <c r="B24" s="41" t="s">
        <v>406</v>
      </c>
      <c r="C24" s="414">
        <f>(M24*E24*O24*Q24)/100000000</f>
        <v>43.297309439999999</v>
      </c>
      <c r="D24" s="41" t="s">
        <v>300</v>
      </c>
      <c r="E24" s="42">
        <v>12</v>
      </c>
      <c r="F24" s="42">
        <v>1</v>
      </c>
      <c r="G24" s="499">
        <v>1230</v>
      </c>
      <c r="H24" s="44">
        <f>+N24</f>
        <v>0.23417344173441734</v>
      </c>
      <c r="I24" s="45">
        <v>0.88</v>
      </c>
      <c r="J24" s="82">
        <f>E24*G24*(1-H24)*1440/1000000*2.74</f>
        <v>44.599484159999996</v>
      </c>
      <c r="K24" s="82">
        <f>(IF(G24&lt;L24,L24,G24)*(1-IF(H24&lt;N24,H24,N24))*E24*O24*Q24)/100000000</f>
        <v>43.297309439999999</v>
      </c>
      <c r="L24" s="35">
        <v>1230</v>
      </c>
      <c r="M24" s="35">
        <v>941.9666666666667</v>
      </c>
      <c r="N24" s="46">
        <f>1-(M24/L24)</f>
        <v>0.23417344173441734</v>
      </c>
      <c r="O24" s="47">
        <f>+'Trim Rwd'!H10</f>
        <v>266</v>
      </c>
      <c r="P24" s="48">
        <f>O24*(Q24-R24-S24)</f>
        <v>0</v>
      </c>
      <c r="Q24" s="47">
        <v>1440</v>
      </c>
      <c r="R24" s="500">
        <v>1440</v>
      </c>
      <c r="S24" s="500">
        <v>0</v>
      </c>
      <c r="T24" s="37">
        <f>E24*M24*O24*Q24/100000000</f>
        <v>43.297309439999999</v>
      </c>
      <c r="U24" s="37">
        <f>E24*M24*O24*(Q24-R24-S24)/100000000</f>
        <v>0</v>
      </c>
      <c r="V24" s="37">
        <f>E24*G24*(1-N24)*O24/100*(R24+S24)/1000000</f>
        <v>43.297309439999999</v>
      </c>
      <c r="W24" s="37">
        <v>0</v>
      </c>
      <c r="X24" s="501">
        <f>SUM(W24:W28)/SUM(K24:K28)</f>
        <v>0</v>
      </c>
      <c r="Y24" s="211">
        <v>0</v>
      </c>
      <c r="Z24" s="37">
        <v>0</v>
      </c>
      <c r="AA24" s="49">
        <f>SUM(U24:U28)-SUM(W24:W28)-SUM(Z24:Z28)-SUM(Y24:Y28)</f>
        <v>0</v>
      </c>
      <c r="AB24" s="49">
        <f>(SUM(K24:K28)-SUM(W24:W28)-SUM(Y24:Y28)-SUM(Z24:Z28)-SUM(AC24:AC28)-SUM(V24:V28))-AA24</f>
        <v>0</v>
      </c>
      <c r="AC24" s="37">
        <f>K24-T24</f>
        <v>0</v>
      </c>
      <c r="AD24" s="37">
        <f>+AM24+BA24</f>
        <v>0</v>
      </c>
      <c r="AE24" s="229" t="s">
        <v>384</v>
      </c>
      <c r="AF24" s="37">
        <v>0</v>
      </c>
      <c r="AG24" s="37"/>
      <c r="AH24" s="37"/>
      <c r="AI24" s="502"/>
      <c r="AJ24" s="37"/>
      <c r="AK24" s="37"/>
      <c r="AL24" s="37"/>
      <c r="AM24" s="37">
        <f t="shared" ref="AM24:AM28" si="6">SUM(AF24:AL24)+AT24+AV24+AX24</f>
        <v>0</v>
      </c>
      <c r="AN24" s="37"/>
      <c r="AO24" s="37"/>
      <c r="AP24" s="37"/>
      <c r="AQ24" s="37"/>
      <c r="AR24" s="37">
        <f>SUM(AN24:AQ24)</f>
        <v>0</v>
      </c>
      <c r="AS24" s="37"/>
      <c r="AT24" s="37"/>
      <c r="AU24" s="37"/>
      <c r="AV24" s="37"/>
      <c r="AW24" s="37"/>
      <c r="AX24" s="37"/>
      <c r="AY24" s="37"/>
      <c r="AZ24" s="37"/>
      <c r="BA24" s="37">
        <f>+AR24+AS24+AU24+AW24+AY24+AZ24</f>
        <v>0</v>
      </c>
      <c r="BB24" s="33">
        <v>0</v>
      </c>
      <c r="BC24" s="51"/>
      <c r="BD24" s="51"/>
      <c r="BE24" s="33"/>
      <c r="BF24" s="51"/>
    </row>
    <row r="25" spans="1:58" ht="12.95" customHeight="1">
      <c r="A25" s="40"/>
      <c r="B25" s="41"/>
      <c r="C25" s="414"/>
      <c r="D25" s="41"/>
      <c r="E25" s="42"/>
      <c r="F25" s="42"/>
      <c r="G25" s="499"/>
      <c r="H25" s="44"/>
      <c r="I25" s="45"/>
      <c r="J25" s="82"/>
      <c r="K25" s="82"/>
      <c r="L25" s="35"/>
      <c r="M25" s="35"/>
      <c r="N25" s="46"/>
      <c r="O25" s="47"/>
      <c r="P25" s="48"/>
      <c r="Q25" s="47"/>
      <c r="R25" s="500"/>
      <c r="S25" s="500"/>
      <c r="T25" s="37"/>
      <c r="U25" s="37"/>
      <c r="V25" s="37"/>
      <c r="W25" s="37"/>
      <c r="X25" s="38"/>
      <c r="Y25" s="211"/>
      <c r="Z25" s="37"/>
      <c r="AA25" s="37"/>
      <c r="AB25" s="37"/>
      <c r="AC25" s="37"/>
      <c r="AD25" s="37">
        <f>+AM25+BA25</f>
        <v>0</v>
      </c>
      <c r="AE25" s="229" t="s">
        <v>282</v>
      </c>
      <c r="AF25" s="37"/>
      <c r="AG25" s="37">
        <v>0</v>
      </c>
      <c r="AH25" s="37"/>
      <c r="AI25" s="502"/>
      <c r="AJ25" s="37"/>
      <c r="AK25" s="37"/>
      <c r="AL25" s="37"/>
      <c r="AM25" s="37">
        <f t="shared" si="6"/>
        <v>0</v>
      </c>
      <c r="AN25" s="83"/>
      <c r="AO25" s="37"/>
      <c r="AP25" s="37"/>
      <c r="AQ25" s="37"/>
      <c r="AR25" s="37">
        <f t="shared" ref="AR25:AR28" si="7">SUM(AN25:AQ25)</f>
        <v>0</v>
      </c>
      <c r="AS25" s="37"/>
      <c r="AT25" s="37"/>
      <c r="AU25" s="37"/>
      <c r="AV25" s="37"/>
      <c r="AW25" s="37"/>
      <c r="AX25" s="37"/>
      <c r="AY25" s="37"/>
      <c r="AZ25" s="37"/>
      <c r="BA25" s="37">
        <f>+AR25+AS25+AU25+AW25+AY25+AZ25</f>
        <v>0</v>
      </c>
      <c r="BB25" s="50"/>
      <c r="BC25" s="51">
        <v>0</v>
      </c>
      <c r="BD25" s="51"/>
      <c r="BE25" s="50"/>
      <c r="BF25" s="51"/>
    </row>
    <row r="26" spans="1:58" ht="12.95" customHeight="1">
      <c r="A26" s="40"/>
      <c r="B26" s="41"/>
      <c r="C26" s="414"/>
      <c r="D26" s="41"/>
      <c r="E26" s="42"/>
      <c r="F26" s="42"/>
      <c r="G26" s="43"/>
      <c r="H26" s="44"/>
      <c r="I26" s="45"/>
      <c r="J26" s="82"/>
      <c r="K26" s="82"/>
      <c r="L26" s="35"/>
      <c r="M26" s="35"/>
      <c r="N26" s="46"/>
      <c r="O26" s="47"/>
      <c r="P26" s="48"/>
      <c r="Q26" s="47"/>
      <c r="R26" s="500"/>
      <c r="S26" s="500"/>
      <c r="T26" s="37"/>
      <c r="U26" s="37"/>
      <c r="V26" s="37"/>
      <c r="W26" s="37"/>
      <c r="X26" s="38"/>
      <c r="Y26" s="211"/>
      <c r="Z26" s="37"/>
      <c r="AA26" s="37"/>
      <c r="AB26" s="37"/>
      <c r="AC26" s="37"/>
      <c r="AD26" s="37">
        <f>+AM26+BA26</f>
        <v>0</v>
      </c>
      <c r="AE26" s="229" t="s">
        <v>408</v>
      </c>
      <c r="AF26" s="33"/>
      <c r="AG26" s="33"/>
      <c r="AH26" s="33">
        <v>0</v>
      </c>
      <c r="AJ26" s="37"/>
      <c r="AK26" s="37"/>
      <c r="AL26" s="37"/>
      <c r="AM26" s="37">
        <f t="shared" si="6"/>
        <v>0</v>
      </c>
      <c r="AN26" s="37"/>
      <c r="AO26" s="37"/>
      <c r="AP26" s="37"/>
      <c r="AQ26" s="37"/>
      <c r="AR26" s="37">
        <f t="shared" si="7"/>
        <v>0</v>
      </c>
      <c r="AS26" s="37"/>
      <c r="AT26" s="37"/>
      <c r="AU26" s="37"/>
      <c r="AV26" s="37"/>
      <c r="AW26" s="37"/>
      <c r="AX26" s="37"/>
      <c r="AY26" s="37"/>
      <c r="AZ26" s="37"/>
      <c r="BA26" s="37">
        <f>+AR26+AS26+AU26+AW26+AY26+AZ26</f>
        <v>0</v>
      </c>
      <c r="BB26" s="33"/>
      <c r="BC26" s="503"/>
      <c r="BD26" s="503"/>
      <c r="BE26" s="33"/>
      <c r="BF26" s="503"/>
    </row>
    <row r="27" spans="1:58" ht="12.95" customHeight="1">
      <c r="A27" s="40"/>
      <c r="B27" s="41"/>
      <c r="C27" s="414"/>
      <c r="D27" s="41"/>
      <c r="E27" s="42"/>
      <c r="F27" s="42"/>
      <c r="G27" s="43"/>
      <c r="H27" s="44"/>
      <c r="I27" s="45"/>
      <c r="J27" s="82"/>
      <c r="K27" s="82"/>
      <c r="L27" s="35"/>
      <c r="M27" s="35"/>
      <c r="N27" s="46"/>
      <c r="O27" s="47"/>
      <c r="P27" s="48"/>
      <c r="Q27" s="34"/>
      <c r="R27" s="500"/>
      <c r="S27" s="500"/>
      <c r="T27" s="37"/>
      <c r="U27" s="37"/>
      <c r="V27" s="37"/>
      <c r="W27" s="37"/>
      <c r="X27" s="38"/>
      <c r="Y27" s="211"/>
      <c r="Z27" s="37"/>
      <c r="AA27" s="37"/>
      <c r="AB27" s="37"/>
      <c r="AC27" s="37"/>
      <c r="AD27" s="37">
        <f>+AM27+BA27</f>
        <v>0</v>
      </c>
      <c r="AE27" s="232" t="s">
        <v>377</v>
      </c>
      <c r="AF27" s="37"/>
      <c r="AG27" s="37"/>
      <c r="AH27" s="37"/>
      <c r="AI27" s="502">
        <v>0</v>
      </c>
      <c r="AJ27" s="37"/>
      <c r="AK27" s="37"/>
      <c r="AL27" s="37"/>
      <c r="AM27" s="37">
        <f t="shared" si="6"/>
        <v>0</v>
      </c>
      <c r="AN27" s="37"/>
      <c r="AO27" s="37"/>
      <c r="AP27" s="37"/>
      <c r="AQ27" s="37"/>
      <c r="AR27" s="37">
        <f t="shared" si="7"/>
        <v>0</v>
      </c>
      <c r="AS27" s="37"/>
      <c r="AT27" s="37"/>
      <c r="AU27" s="37"/>
      <c r="AV27" s="37"/>
      <c r="AW27" s="37"/>
      <c r="AX27" s="37"/>
      <c r="AY27" s="37"/>
      <c r="AZ27" s="37"/>
      <c r="BA27" s="37">
        <f>+AR27+AS27+AU27+AW27+AY27+AZ27</f>
        <v>0</v>
      </c>
      <c r="BB27" s="50"/>
      <c r="BC27" s="51"/>
      <c r="BD27" s="51"/>
      <c r="BE27" s="50"/>
      <c r="BF27" s="51"/>
    </row>
    <row r="28" spans="1:58" ht="12.95" customHeight="1">
      <c r="A28" s="40"/>
      <c r="B28" s="41"/>
      <c r="C28" s="414"/>
      <c r="D28" s="41"/>
      <c r="E28" s="42"/>
      <c r="F28" s="42"/>
      <c r="G28" s="43"/>
      <c r="H28" s="44"/>
      <c r="I28" s="45"/>
      <c r="J28" s="82"/>
      <c r="K28" s="82"/>
      <c r="L28" s="35"/>
      <c r="M28" s="35"/>
      <c r="N28" s="46"/>
      <c r="O28" s="47"/>
      <c r="P28" s="48"/>
      <c r="Q28" s="34"/>
      <c r="R28" s="500"/>
      <c r="S28" s="500"/>
      <c r="T28" s="37"/>
      <c r="U28" s="37"/>
      <c r="V28" s="37"/>
      <c r="W28" s="37"/>
      <c r="X28" s="38"/>
      <c r="Y28" s="211"/>
      <c r="Z28" s="37"/>
      <c r="AA28" s="37"/>
      <c r="AB28" s="37"/>
      <c r="AC28" s="37"/>
      <c r="AD28" s="37">
        <f>+AM28+BA28</f>
        <v>1440</v>
      </c>
      <c r="AE28" s="232" t="s">
        <v>409</v>
      </c>
      <c r="AF28" s="37"/>
      <c r="AG28" s="37"/>
      <c r="AH28" s="37"/>
      <c r="AI28" s="502"/>
      <c r="AJ28" s="37"/>
      <c r="AK28" s="37"/>
      <c r="AL28" s="37"/>
      <c r="AM28" s="37">
        <f t="shared" si="6"/>
        <v>0</v>
      </c>
      <c r="AN28" s="37"/>
      <c r="AO28" s="37"/>
      <c r="AP28" s="37"/>
      <c r="AQ28" s="37"/>
      <c r="AR28" s="37">
        <f t="shared" si="7"/>
        <v>0</v>
      </c>
      <c r="AS28" s="37"/>
      <c r="AT28" s="37"/>
      <c r="AU28" s="37"/>
      <c r="AV28" s="37"/>
      <c r="AW28" s="37"/>
      <c r="AX28" s="37"/>
      <c r="AY28" s="37"/>
      <c r="AZ28" s="37">
        <v>1440</v>
      </c>
      <c r="BA28" s="37">
        <f>+AR28+AS28+AU28+AW28+AY28+AZ28</f>
        <v>1440</v>
      </c>
      <c r="BB28" s="50"/>
      <c r="BC28" s="51"/>
      <c r="BD28" s="51"/>
      <c r="BE28" s="33"/>
      <c r="BF28" s="51"/>
    </row>
    <row r="29" spans="1:58" ht="12.95" customHeight="1">
      <c r="A29" s="40"/>
      <c r="B29" s="41"/>
      <c r="C29" s="414"/>
      <c r="D29" s="41"/>
      <c r="E29" s="42"/>
      <c r="F29" s="42"/>
      <c r="G29" s="499"/>
      <c r="H29" s="44"/>
      <c r="I29" s="45"/>
      <c r="J29" s="82"/>
      <c r="K29" s="82"/>
      <c r="L29" s="35"/>
      <c r="M29" s="35"/>
      <c r="N29" s="46"/>
      <c r="O29" s="47"/>
      <c r="P29" s="48"/>
      <c r="Q29" s="47"/>
      <c r="R29" s="500"/>
      <c r="S29" s="500"/>
      <c r="T29" s="37"/>
      <c r="U29" s="37"/>
      <c r="V29" s="37"/>
      <c r="W29" s="37"/>
      <c r="X29" s="38"/>
      <c r="Y29" s="211"/>
      <c r="Z29" s="37"/>
      <c r="AA29" s="37"/>
      <c r="AB29" s="37"/>
      <c r="AC29" s="37"/>
      <c r="AD29" s="37"/>
      <c r="AE29" s="229"/>
      <c r="AF29" s="37"/>
      <c r="AG29" s="37"/>
      <c r="AH29" s="37"/>
      <c r="AI29" s="502"/>
      <c r="AJ29" s="37"/>
      <c r="AK29" s="37"/>
      <c r="AL29" s="37"/>
      <c r="AM29" s="37"/>
      <c r="AN29" s="83"/>
      <c r="AO29" s="37"/>
      <c r="AP29" s="37"/>
      <c r="AQ29" s="37"/>
      <c r="AR29" s="37"/>
      <c r="AS29" s="37"/>
      <c r="AT29" s="37"/>
      <c r="AU29" s="37"/>
      <c r="AV29" s="37"/>
      <c r="AW29" s="37"/>
      <c r="AX29" s="37"/>
      <c r="AY29" s="37"/>
      <c r="AZ29" s="37"/>
      <c r="BA29" s="37"/>
      <c r="BB29" s="50"/>
      <c r="BC29" s="51"/>
      <c r="BD29" s="51"/>
      <c r="BE29" s="33"/>
      <c r="BF29" s="51"/>
    </row>
    <row r="30" spans="1:58" ht="12.75" customHeight="1">
      <c r="A30" s="40">
        <v>45966</v>
      </c>
      <c r="B30" s="41" t="s">
        <v>406</v>
      </c>
      <c r="C30" s="414">
        <f>(M30*E30*O30*Q30)/100000000</f>
        <v>43.297309439999999</v>
      </c>
      <c r="D30" s="41" t="s">
        <v>300</v>
      </c>
      <c r="E30" s="42">
        <v>12</v>
      </c>
      <c r="F30" s="42">
        <v>1</v>
      </c>
      <c r="G30" s="499">
        <v>1230</v>
      </c>
      <c r="H30" s="44">
        <f>+N30</f>
        <v>0.23417344173441734</v>
      </c>
      <c r="I30" s="45">
        <v>0.88</v>
      </c>
      <c r="J30" s="82">
        <f>E30*G30*(1-H30)*1440/1000000*2.74</f>
        <v>44.599484159999996</v>
      </c>
      <c r="K30" s="82">
        <f>(IF(G30&lt;L30,L30,G30)*(1-IF(H30&lt;N30,H30,N30))*E30*O30*Q30)/100000000</f>
        <v>43.297309439999999</v>
      </c>
      <c r="L30" s="35">
        <v>1230</v>
      </c>
      <c r="M30" s="35">
        <v>941.9666666666667</v>
      </c>
      <c r="N30" s="46">
        <f>1-(M30/L30)</f>
        <v>0.23417344173441734</v>
      </c>
      <c r="O30" s="47">
        <f>+'Trim Rwd'!H12</f>
        <v>266</v>
      </c>
      <c r="P30" s="48">
        <f>O30*(Q30-R30-S30)</f>
        <v>0</v>
      </c>
      <c r="Q30" s="47">
        <v>1440</v>
      </c>
      <c r="R30" s="500">
        <v>1440</v>
      </c>
      <c r="S30" s="500">
        <v>0</v>
      </c>
      <c r="T30" s="37">
        <f>E30*M30*O30*Q30/100000000</f>
        <v>43.297309439999999</v>
      </c>
      <c r="U30" s="37">
        <f>E30*M30*O30*(Q30-R30-S30)/100000000</f>
        <v>0</v>
      </c>
      <c r="V30" s="37">
        <f>E30*G30*(1-N30)*O30/100*(R30+S30)/1000000</f>
        <v>43.297309439999999</v>
      </c>
      <c r="W30" s="37">
        <v>0</v>
      </c>
      <c r="X30" s="501">
        <f>SUM(W30:W34)/SUM(K30:K34)</f>
        <v>0</v>
      </c>
      <c r="Y30" s="211">
        <v>0</v>
      </c>
      <c r="Z30" s="37">
        <v>0</v>
      </c>
      <c r="AA30" s="49">
        <f>SUM(U30:U34)-SUM(W30:W34)-SUM(Z30:Z34)-SUM(Y30:Y34)</f>
        <v>0</v>
      </c>
      <c r="AB30" s="49">
        <f>(SUM(K30:K34)-SUM(W30:W34)-SUM(Y30:Y34)-SUM(Z30:Z34)-SUM(AC30:AC34)-SUM(V30:V34))-AA30</f>
        <v>0</v>
      </c>
      <c r="AC30" s="37">
        <f>K30-T30</f>
        <v>0</v>
      </c>
      <c r="AD30" s="37">
        <f>+AM30+BA30</f>
        <v>0</v>
      </c>
      <c r="AE30" s="229" t="s">
        <v>384</v>
      </c>
      <c r="AF30" s="37">
        <v>0</v>
      </c>
      <c r="AG30" s="37"/>
      <c r="AH30" s="37"/>
      <c r="AI30" s="502"/>
      <c r="AJ30" s="37"/>
      <c r="AK30" s="37"/>
      <c r="AL30" s="37"/>
      <c r="AM30" s="37">
        <f t="shared" ref="AM30:AM34" si="8">SUM(AF30:AL30)+AT30+AV30+AX30</f>
        <v>0</v>
      </c>
      <c r="AN30" s="37"/>
      <c r="AO30" s="37"/>
      <c r="AP30" s="37"/>
      <c r="AQ30" s="37"/>
      <c r="AR30" s="37">
        <f>SUM(AN30:AQ30)</f>
        <v>0</v>
      </c>
      <c r="AS30" s="37"/>
      <c r="AT30" s="37"/>
      <c r="AU30" s="37"/>
      <c r="AV30" s="37"/>
      <c r="AW30" s="37"/>
      <c r="AX30" s="37"/>
      <c r="AY30" s="37"/>
      <c r="AZ30" s="37"/>
      <c r="BA30" s="37">
        <f>+AR30+AS30+AU30+AW30+AY30+AZ30</f>
        <v>0</v>
      </c>
      <c r="BB30" s="33">
        <v>0</v>
      </c>
      <c r="BC30" s="51"/>
      <c r="BD30" s="51"/>
      <c r="BE30" s="33"/>
      <c r="BF30" s="51"/>
    </row>
    <row r="31" spans="1:58" ht="12.95" customHeight="1">
      <c r="A31" s="40"/>
      <c r="B31" s="41"/>
      <c r="C31" s="414"/>
      <c r="D31" s="41"/>
      <c r="E31" s="42"/>
      <c r="F31" s="42"/>
      <c r="G31" s="499"/>
      <c r="H31" s="44"/>
      <c r="I31" s="45"/>
      <c r="J31" s="82"/>
      <c r="K31" s="82"/>
      <c r="L31" s="35"/>
      <c r="M31" s="35"/>
      <c r="N31" s="46"/>
      <c r="O31" s="47"/>
      <c r="P31" s="48"/>
      <c r="Q31" s="47"/>
      <c r="R31" s="500"/>
      <c r="S31" s="500"/>
      <c r="T31" s="37"/>
      <c r="U31" s="37"/>
      <c r="V31" s="37"/>
      <c r="W31" s="37"/>
      <c r="X31" s="38"/>
      <c r="Y31" s="211"/>
      <c r="Z31" s="37"/>
      <c r="AA31" s="37"/>
      <c r="AB31" s="37"/>
      <c r="AC31" s="37"/>
      <c r="AD31" s="37">
        <f>+AM31+BA31</f>
        <v>0</v>
      </c>
      <c r="AE31" s="229" t="s">
        <v>282</v>
      </c>
      <c r="AF31" s="37"/>
      <c r="AG31" s="37">
        <v>0</v>
      </c>
      <c r="AH31" s="37"/>
      <c r="AI31" s="502"/>
      <c r="AJ31" s="37"/>
      <c r="AK31" s="37"/>
      <c r="AL31" s="37"/>
      <c r="AM31" s="37">
        <f t="shared" si="8"/>
        <v>0</v>
      </c>
      <c r="AN31" s="83"/>
      <c r="AO31" s="37"/>
      <c r="AP31" s="37"/>
      <c r="AQ31" s="37"/>
      <c r="AR31" s="37">
        <f t="shared" ref="AR31:AR34" si="9">SUM(AN31:AQ31)</f>
        <v>0</v>
      </c>
      <c r="AS31" s="37"/>
      <c r="AT31" s="37"/>
      <c r="AU31" s="37"/>
      <c r="AV31" s="37"/>
      <c r="AW31" s="37"/>
      <c r="AX31" s="37"/>
      <c r="AY31" s="37"/>
      <c r="AZ31" s="37"/>
      <c r="BA31" s="37">
        <f>+AR31+AS31+AU31+AW31+AY31+AZ31</f>
        <v>0</v>
      </c>
      <c r="BB31" s="50"/>
      <c r="BC31" s="51">
        <v>0</v>
      </c>
      <c r="BD31" s="51"/>
      <c r="BE31" s="50"/>
      <c r="BF31" s="51"/>
    </row>
    <row r="32" spans="1:58" ht="12.95" customHeight="1">
      <c r="A32" s="40"/>
      <c r="B32" s="41"/>
      <c r="C32" s="414"/>
      <c r="D32" s="41"/>
      <c r="E32" s="42"/>
      <c r="F32" s="42"/>
      <c r="G32" s="43"/>
      <c r="H32" s="44"/>
      <c r="I32" s="45"/>
      <c r="J32" s="82"/>
      <c r="K32" s="82"/>
      <c r="L32" s="35"/>
      <c r="M32" s="35"/>
      <c r="N32" s="46"/>
      <c r="O32" s="47"/>
      <c r="P32" s="48"/>
      <c r="Q32" s="47"/>
      <c r="R32" s="500"/>
      <c r="S32" s="500"/>
      <c r="T32" s="37"/>
      <c r="U32" s="37"/>
      <c r="V32" s="37"/>
      <c r="W32" s="37"/>
      <c r="X32" s="38"/>
      <c r="Y32" s="211"/>
      <c r="Z32" s="37"/>
      <c r="AA32" s="37"/>
      <c r="AB32" s="37"/>
      <c r="AC32" s="37"/>
      <c r="AD32" s="37">
        <f>+AM32+BA32</f>
        <v>0</v>
      </c>
      <c r="AE32" s="229" t="s">
        <v>408</v>
      </c>
      <c r="AF32" s="33"/>
      <c r="AG32" s="33"/>
      <c r="AH32" s="33">
        <v>0</v>
      </c>
      <c r="AJ32" s="37"/>
      <c r="AK32" s="37"/>
      <c r="AL32" s="37"/>
      <c r="AM32" s="37">
        <f t="shared" si="8"/>
        <v>0</v>
      </c>
      <c r="AN32" s="37"/>
      <c r="AO32" s="37"/>
      <c r="AP32" s="37"/>
      <c r="AQ32" s="37"/>
      <c r="AR32" s="37">
        <f t="shared" si="9"/>
        <v>0</v>
      </c>
      <c r="AS32" s="37"/>
      <c r="AT32" s="37"/>
      <c r="AU32" s="37"/>
      <c r="AV32" s="37"/>
      <c r="AW32" s="37"/>
      <c r="AX32" s="37"/>
      <c r="AY32" s="37"/>
      <c r="AZ32" s="37"/>
      <c r="BA32" s="37">
        <f>+AR32+AS32+AU32+AW32+AY32+AZ32</f>
        <v>0</v>
      </c>
      <c r="BB32" s="33"/>
      <c r="BC32" s="503"/>
      <c r="BD32" s="503"/>
      <c r="BE32" s="33"/>
      <c r="BF32" s="503"/>
    </row>
    <row r="33" spans="1:58" ht="12.95" customHeight="1">
      <c r="A33" s="40"/>
      <c r="B33" s="41"/>
      <c r="C33" s="414"/>
      <c r="D33" s="41"/>
      <c r="E33" s="42"/>
      <c r="F33" s="42"/>
      <c r="G33" s="43"/>
      <c r="H33" s="44"/>
      <c r="I33" s="45"/>
      <c r="J33" s="82"/>
      <c r="K33" s="82"/>
      <c r="L33" s="35"/>
      <c r="M33" s="35"/>
      <c r="N33" s="46"/>
      <c r="O33" s="47"/>
      <c r="P33" s="48"/>
      <c r="Q33" s="34"/>
      <c r="R33" s="500"/>
      <c r="S33" s="500"/>
      <c r="T33" s="37"/>
      <c r="U33" s="37"/>
      <c r="V33" s="37"/>
      <c r="W33" s="37"/>
      <c r="X33" s="38"/>
      <c r="Y33" s="211"/>
      <c r="Z33" s="37"/>
      <c r="AA33" s="37"/>
      <c r="AB33" s="37"/>
      <c r="AC33" s="37"/>
      <c r="AD33" s="37">
        <f>+AM33+BA33</f>
        <v>0</v>
      </c>
      <c r="AE33" s="232" t="s">
        <v>377</v>
      </c>
      <c r="AF33" s="37"/>
      <c r="AG33" s="37"/>
      <c r="AH33" s="37"/>
      <c r="AI33" s="502">
        <v>0</v>
      </c>
      <c r="AJ33" s="37"/>
      <c r="AK33" s="37"/>
      <c r="AL33" s="37"/>
      <c r="AM33" s="37">
        <f t="shared" si="8"/>
        <v>0</v>
      </c>
      <c r="AN33" s="37"/>
      <c r="AO33" s="37"/>
      <c r="AP33" s="37"/>
      <c r="AQ33" s="37"/>
      <c r="AR33" s="37">
        <f t="shared" si="9"/>
        <v>0</v>
      </c>
      <c r="AS33" s="37"/>
      <c r="AT33" s="37"/>
      <c r="AU33" s="37"/>
      <c r="AV33" s="37"/>
      <c r="AW33" s="37"/>
      <c r="AX33" s="37"/>
      <c r="AY33" s="37"/>
      <c r="AZ33" s="37"/>
      <c r="BA33" s="37">
        <f>+AR33+AS33+AU33+AW33+AY33+AZ33</f>
        <v>0</v>
      </c>
      <c r="BB33" s="50"/>
      <c r="BC33" s="51"/>
      <c r="BD33" s="51"/>
      <c r="BE33" s="50"/>
      <c r="BF33" s="51"/>
    </row>
    <row r="34" spans="1:58" ht="12.95" customHeight="1">
      <c r="A34" s="40"/>
      <c r="B34" s="41"/>
      <c r="C34" s="414"/>
      <c r="D34" s="41"/>
      <c r="E34" s="42"/>
      <c r="F34" s="42"/>
      <c r="G34" s="43"/>
      <c r="H34" s="44"/>
      <c r="I34" s="45"/>
      <c r="J34" s="82"/>
      <c r="K34" s="82"/>
      <c r="L34" s="35"/>
      <c r="M34" s="35"/>
      <c r="N34" s="46"/>
      <c r="O34" s="47"/>
      <c r="P34" s="48"/>
      <c r="Q34" s="34"/>
      <c r="R34" s="500"/>
      <c r="S34" s="500"/>
      <c r="T34" s="37"/>
      <c r="U34" s="37"/>
      <c r="V34" s="37"/>
      <c r="W34" s="37"/>
      <c r="X34" s="38"/>
      <c r="Y34" s="211"/>
      <c r="Z34" s="37"/>
      <c r="AA34" s="37"/>
      <c r="AB34" s="37"/>
      <c r="AC34" s="37"/>
      <c r="AD34" s="37">
        <f>+AM34+BA34</f>
        <v>1440</v>
      </c>
      <c r="AE34" s="232" t="s">
        <v>409</v>
      </c>
      <c r="AF34" s="37"/>
      <c r="AG34" s="37"/>
      <c r="AH34" s="37"/>
      <c r="AI34" s="502"/>
      <c r="AJ34" s="37"/>
      <c r="AK34" s="37"/>
      <c r="AL34" s="37"/>
      <c r="AM34" s="37">
        <f t="shared" si="8"/>
        <v>0</v>
      </c>
      <c r="AN34" s="37"/>
      <c r="AO34" s="37"/>
      <c r="AP34" s="37"/>
      <c r="AQ34" s="37"/>
      <c r="AR34" s="37">
        <f t="shared" si="9"/>
        <v>0</v>
      </c>
      <c r="AS34" s="37"/>
      <c r="AT34" s="37"/>
      <c r="AU34" s="37"/>
      <c r="AV34" s="37"/>
      <c r="AW34" s="37"/>
      <c r="AX34" s="37"/>
      <c r="AY34" s="37"/>
      <c r="AZ34" s="37">
        <v>1440</v>
      </c>
      <c r="BA34" s="37">
        <f>+AR34+AS34+AU34+AW34+AY34+AZ34</f>
        <v>1440</v>
      </c>
      <c r="BB34" s="50"/>
      <c r="BC34" s="51"/>
      <c r="BD34" s="51"/>
      <c r="BE34" s="33"/>
      <c r="BF34" s="51"/>
    </row>
    <row r="35" spans="1:58" ht="12.95" customHeight="1">
      <c r="A35" s="40"/>
      <c r="B35" s="41"/>
      <c r="C35" s="414"/>
      <c r="D35" s="41"/>
      <c r="E35" s="42"/>
      <c r="F35" s="42"/>
      <c r="G35" s="43"/>
      <c r="H35" s="44"/>
      <c r="I35" s="45"/>
      <c r="J35" s="82"/>
      <c r="K35" s="82"/>
      <c r="L35" s="35"/>
      <c r="M35" s="35"/>
      <c r="N35" s="46"/>
      <c r="O35" s="47"/>
      <c r="P35" s="48"/>
      <c r="Q35" s="47"/>
      <c r="R35" s="500"/>
      <c r="S35" s="500"/>
      <c r="T35" s="37"/>
      <c r="U35" s="37"/>
      <c r="V35" s="37"/>
      <c r="W35" s="37"/>
      <c r="X35" s="38"/>
      <c r="Y35" s="211"/>
      <c r="Z35" s="37"/>
      <c r="AA35" s="37"/>
      <c r="AB35" s="37"/>
      <c r="AC35" s="37"/>
      <c r="AD35" s="37"/>
      <c r="AE35" s="229"/>
      <c r="AF35" s="33"/>
      <c r="AG35" s="33"/>
      <c r="AH35" s="33"/>
      <c r="AJ35" s="37"/>
      <c r="AK35" s="37"/>
      <c r="AL35" s="37"/>
      <c r="AM35" s="37"/>
      <c r="AN35" s="37"/>
      <c r="AO35" s="37"/>
      <c r="AP35" s="37"/>
      <c r="AQ35" s="37"/>
      <c r="AR35" s="37"/>
      <c r="AS35" s="37"/>
      <c r="AT35" s="37"/>
      <c r="AU35" s="37"/>
      <c r="AV35" s="37"/>
      <c r="AW35" s="37"/>
      <c r="AX35" s="37"/>
      <c r="AY35" s="37"/>
      <c r="AZ35" s="37"/>
      <c r="BA35" s="37"/>
      <c r="BB35" s="33"/>
      <c r="BC35" s="503"/>
      <c r="BD35" s="51"/>
      <c r="BE35" s="50"/>
      <c r="BF35" s="51"/>
    </row>
    <row r="36" spans="1:58" ht="12.75" customHeight="1">
      <c r="A36" s="40">
        <v>45967</v>
      </c>
      <c r="B36" s="41" t="s">
        <v>406</v>
      </c>
      <c r="C36" s="414">
        <f>(M36*E36*O36*Q36)/100000000</f>
        <v>43.297309439999999</v>
      </c>
      <c r="D36" s="41" t="s">
        <v>300</v>
      </c>
      <c r="E36" s="42">
        <v>12</v>
      </c>
      <c r="F36" s="42">
        <v>1</v>
      </c>
      <c r="G36" s="499">
        <v>1230</v>
      </c>
      <c r="H36" s="44">
        <f>+N36</f>
        <v>0.23417344173441734</v>
      </c>
      <c r="I36" s="45">
        <v>0.88</v>
      </c>
      <c r="J36" s="82">
        <f>E36*G36*(1-H36)*1440/1000000*2.74</f>
        <v>44.599484159999996</v>
      </c>
      <c r="K36" s="82">
        <f>(IF(G36&lt;L36,L36,G36)*(1-IF(H36&lt;N36,H36,N36))*E36*O36*Q36)/100000000</f>
        <v>43.297309439999999</v>
      </c>
      <c r="L36" s="35">
        <v>1230</v>
      </c>
      <c r="M36" s="35">
        <v>941.9666666666667</v>
      </c>
      <c r="N36" s="46">
        <f>1-(M36/L36)</f>
        <v>0.23417344173441734</v>
      </c>
      <c r="O36" s="47">
        <f>+'Trim Rwd'!H14</f>
        <v>266</v>
      </c>
      <c r="P36" s="48">
        <f>O36*(Q36-R36-S36)</f>
        <v>0</v>
      </c>
      <c r="Q36" s="47">
        <v>1440</v>
      </c>
      <c r="R36" s="500">
        <v>1440</v>
      </c>
      <c r="S36" s="500">
        <v>0</v>
      </c>
      <c r="T36" s="37">
        <f>E36*M36*O36*Q36/100000000</f>
        <v>43.297309439999999</v>
      </c>
      <c r="U36" s="37">
        <f>E36*M36*O36*(Q36-R36-S36)/100000000</f>
        <v>0</v>
      </c>
      <c r="V36" s="37">
        <f>E36*G36*(1-N36)*O36/100*(R36+S36)/1000000</f>
        <v>43.297309439999999</v>
      </c>
      <c r="W36" s="37">
        <v>0</v>
      </c>
      <c r="X36" s="501">
        <f>SUM(W36:W40)/SUM(K36:K40)</f>
        <v>0</v>
      </c>
      <c r="Y36" s="211">
        <v>0</v>
      </c>
      <c r="Z36" s="37">
        <v>0</v>
      </c>
      <c r="AA36" s="49">
        <f>SUM(U36:U40)-SUM(W36:W40)-SUM(Z36:Z40)-SUM(Y36:Y40)</f>
        <v>0</v>
      </c>
      <c r="AB36" s="49">
        <f>(SUM(K36:K40)-SUM(W36:W40)-SUM(Y36:Y40)-SUM(Z36:Z40)-SUM(AC36:AC40)-SUM(V36:V40))-AA36</f>
        <v>0</v>
      </c>
      <c r="AC36" s="37">
        <f>K36-T36</f>
        <v>0</v>
      </c>
      <c r="AD36" s="37">
        <f>+AM36+BA36</f>
        <v>0</v>
      </c>
      <c r="AE36" s="229" t="s">
        <v>384</v>
      </c>
      <c r="AF36" s="37">
        <v>0</v>
      </c>
      <c r="AG36" s="37"/>
      <c r="AH36" s="37"/>
      <c r="AI36" s="502"/>
      <c r="AJ36" s="37"/>
      <c r="AK36" s="37"/>
      <c r="AL36" s="37"/>
      <c r="AM36" s="37">
        <f t="shared" ref="AM36:AM40" si="10">SUM(AF36:AL36)+AT36+AV36+AX36</f>
        <v>0</v>
      </c>
      <c r="AN36" s="37"/>
      <c r="AO36" s="37"/>
      <c r="AP36" s="37"/>
      <c r="AQ36" s="37"/>
      <c r="AR36" s="37">
        <f>SUM(AN36:AQ36)</f>
        <v>0</v>
      </c>
      <c r="AS36" s="37"/>
      <c r="AT36" s="37"/>
      <c r="AU36" s="37"/>
      <c r="AV36" s="37"/>
      <c r="AW36" s="37"/>
      <c r="AX36" s="37"/>
      <c r="AY36" s="37"/>
      <c r="AZ36" s="37"/>
      <c r="BA36" s="37">
        <f>+AR36+AS36+AU36+AW36+AY36+AZ36</f>
        <v>0</v>
      </c>
      <c r="BB36" s="33">
        <v>0</v>
      </c>
      <c r="BC36" s="51"/>
      <c r="BD36" s="51"/>
      <c r="BE36" s="33"/>
      <c r="BF36" s="51"/>
    </row>
    <row r="37" spans="1:58" ht="12.95" customHeight="1">
      <c r="A37" s="40"/>
      <c r="B37" s="41"/>
      <c r="C37" s="414"/>
      <c r="D37" s="41"/>
      <c r="E37" s="42"/>
      <c r="F37" s="42"/>
      <c r="G37" s="499"/>
      <c r="H37" s="44"/>
      <c r="I37" s="45"/>
      <c r="J37" s="82"/>
      <c r="K37" s="82"/>
      <c r="L37" s="35"/>
      <c r="M37" s="35"/>
      <c r="N37" s="46"/>
      <c r="O37" s="47"/>
      <c r="P37" s="48"/>
      <c r="Q37" s="47"/>
      <c r="R37" s="500"/>
      <c r="S37" s="500"/>
      <c r="T37" s="37"/>
      <c r="U37" s="37"/>
      <c r="V37" s="37"/>
      <c r="W37" s="37"/>
      <c r="X37" s="38"/>
      <c r="Y37" s="211"/>
      <c r="Z37" s="37"/>
      <c r="AA37" s="37"/>
      <c r="AB37" s="37"/>
      <c r="AC37" s="37"/>
      <c r="AD37" s="37">
        <f>+AM37+BA37</f>
        <v>0</v>
      </c>
      <c r="AE37" s="229" t="s">
        <v>282</v>
      </c>
      <c r="AF37" s="37"/>
      <c r="AG37" s="37">
        <v>0</v>
      </c>
      <c r="AH37" s="37"/>
      <c r="AI37" s="502"/>
      <c r="AJ37" s="37"/>
      <c r="AK37" s="37"/>
      <c r="AL37" s="37"/>
      <c r="AM37" s="37">
        <f t="shared" si="10"/>
        <v>0</v>
      </c>
      <c r="AN37" s="83"/>
      <c r="AO37" s="37"/>
      <c r="AP37" s="37"/>
      <c r="AQ37" s="37"/>
      <c r="AR37" s="37">
        <f t="shared" ref="AR37:AR40" si="11">SUM(AN37:AQ37)</f>
        <v>0</v>
      </c>
      <c r="AS37" s="37"/>
      <c r="AT37" s="37"/>
      <c r="AU37" s="37"/>
      <c r="AV37" s="37"/>
      <c r="AW37" s="37"/>
      <c r="AX37" s="37"/>
      <c r="AY37" s="37"/>
      <c r="AZ37" s="37"/>
      <c r="BA37" s="37">
        <f>+AR37+AS37+AU37+AW37+AY37+AZ37</f>
        <v>0</v>
      </c>
      <c r="BB37" s="50"/>
      <c r="BC37" s="51">
        <v>0</v>
      </c>
      <c r="BD37" s="51"/>
      <c r="BE37" s="50"/>
      <c r="BF37" s="51"/>
    </row>
    <row r="38" spans="1:58" ht="12.95" customHeight="1">
      <c r="A38" s="40"/>
      <c r="B38" s="41"/>
      <c r="C38" s="414"/>
      <c r="D38" s="41"/>
      <c r="E38" s="42"/>
      <c r="F38" s="42"/>
      <c r="G38" s="43"/>
      <c r="H38" s="44"/>
      <c r="I38" s="45"/>
      <c r="J38" s="82"/>
      <c r="K38" s="82"/>
      <c r="L38" s="35"/>
      <c r="M38" s="35"/>
      <c r="N38" s="46"/>
      <c r="O38" s="47"/>
      <c r="P38" s="48"/>
      <c r="Q38" s="47"/>
      <c r="R38" s="500"/>
      <c r="S38" s="500"/>
      <c r="T38" s="37"/>
      <c r="U38" s="37"/>
      <c r="V38" s="37"/>
      <c r="W38" s="37"/>
      <c r="X38" s="38"/>
      <c r="Y38" s="211"/>
      <c r="Z38" s="37"/>
      <c r="AA38" s="37"/>
      <c r="AB38" s="37"/>
      <c r="AC38" s="37"/>
      <c r="AD38" s="37">
        <f>+AM38+BA38</f>
        <v>0</v>
      </c>
      <c r="AE38" s="229" t="s">
        <v>408</v>
      </c>
      <c r="AF38" s="33"/>
      <c r="AG38" s="33"/>
      <c r="AH38" s="33">
        <v>0</v>
      </c>
      <c r="AJ38" s="37"/>
      <c r="AK38" s="37"/>
      <c r="AL38" s="37"/>
      <c r="AM38" s="37">
        <f t="shared" si="10"/>
        <v>0</v>
      </c>
      <c r="AN38" s="37"/>
      <c r="AO38" s="37"/>
      <c r="AP38" s="37"/>
      <c r="AQ38" s="37"/>
      <c r="AR38" s="37">
        <f t="shared" si="11"/>
        <v>0</v>
      </c>
      <c r="AS38" s="37"/>
      <c r="AT38" s="37"/>
      <c r="AU38" s="37"/>
      <c r="AV38" s="37"/>
      <c r="AW38" s="37"/>
      <c r="AX38" s="37"/>
      <c r="AY38" s="37"/>
      <c r="AZ38" s="37"/>
      <c r="BA38" s="37">
        <f>+AR38+AS38+AU38+AW38+AY38+AZ38</f>
        <v>0</v>
      </c>
      <c r="BB38" s="33"/>
      <c r="BC38" s="503"/>
      <c r="BD38" s="503"/>
      <c r="BE38" s="33"/>
      <c r="BF38" s="503"/>
    </row>
    <row r="39" spans="1:58" ht="12.95" customHeight="1">
      <c r="A39" s="40"/>
      <c r="B39" s="41"/>
      <c r="C39" s="414"/>
      <c r="D39" s="41"/>
      <c r="E39" s="42"/>
      <c r="F39" s="42"/>
      <c r="G39" s="43"/>
      <c r="H39" s="44"/>
      <c r="I39" s="45"/>
      <c r="J39" s="82"/>
      <c r="K39" s="82"/>
      <c r="L39" s="35"/>
      <c r="M39" s="35"/>
      <c r="N39" s="46"/>
      <c r="O39" s="47"/>
      <c r="P39" s="48"/>
      <c r="Q39" s="34"/>
      <c r="R39" s="500"/>
      <c r="S39" s="500"/>
      <c r="T39" s="37"/>
      <c r="U39" s="37"/>
      <c r="V39" s="37"/>
      <c r="W39" s="37"/>
      <c r="X39" s="38"/>
      <c r="Y39" s="211"/>
      <c r="Z39" s="37"/>
      <c r="AA39" s="37"/>
      <c r="AB39" s="37"/>
      <c r="AC39" s="37"/>
      <c r="AD39" s="37">
        <f>+AM39+BA39</f>
        <v>0</v>
      </c>
      <c r="AE39" s="232" t="s">
        <v>377</v>
      </c>
      <c r="AF39" s="37"/>
      <c r="AG39" s="37"/>
      <c r="AH39" s="37"/>
      <c r="AI39" s="502">
        <v>0</v>
      </c>
      <c r="AJ39" s="37"/>
      <c r="AK39" s="37"/>
      <c r="AL39" s="37"/>
      <c r="AM39" s="37">
        <f t="shared" si="10"/>
        <v>0</v>
      </c>
      <c r="AN39" s="37"/>
      <c r="AO39" s="37"/>
      <c r="AP39" s="37"/>
      <c r="AQ39" s="37"/>
      <c r="AR39" s="37">
        <f t="shared" si="11"/>
        <v>0</v>
      </c>
      <c r="AS39" s="37"/>
      <c r="AT39" s="37"/>
      <c r="AU39" s="37"/>
      <c r="AV39" s="37"/>
      <c r="AW39" s="37"/>
      <c r="AX39" s="37"/>
      <c r="AY39" s="37"/>
      <c r="AZ39" s="37"/>
      <c r="BA39" s="37">
        <f>+AR39+AS39+AU39+AW39+AY39+AZ39</f>
        <v>0</v>
      </c>
      <c r="BB39" s="50"/>
      <c r="BC39" s="51"/>
      <c r="BD39" s="51"/>
      <c r="BE39" s="50"/>
      <c r="BF39" s="51"/>
    </row>
    <row r="40" spans="1:58" ht="12.95" customHeight="1">
      <c r="A40" s="40"/>
      <c r="B40" s="41"/>
      <c r="C40" s="414"/>
      <c r="D40" s="41"/>
      <c r="E40" s="42"/>
      <c r="F40" s="42"/>
      <c r="G40" s="43"/>
      <c r="H40" s="44"/>
      <c r="I40" s="45"/>
      <c r="J40" s="82"/>
      <c r="K40" s="82"/>
      <c r="L40" s="35"/>
      <c r="M40" s="35"/>
      <c r="N40" s="46"/>
      <c r="O40" s="47"/>
      <c r="P40" s="48"/>
      <c r="Q40" s="34"/>
      <c r="R40" s="500"/>
      <c r="S40" s="500"/>
      <c r="T40" s="37"/>
      <c r="U40" s="37"/>
      <c r="V40" s="37"/>
      <c r="W40" s="37"/>
      <c r="X40" s="38"/>
      <c r="Y40" s="211"/>
      <c r="Z40" s="37"/>
      <c r="AA40" s="37"/>
      <c r="AB40" s="37"/>
      <c r="AC40" s="37"/>
      <c r="AD40" s="37">
        <f>+AM40+BA40</f>
        <v>1440</v>
      </c>
      <c r="AE40" s="232" t="s">
        <v>409</v>
      </c>
      <c r="AF40" s="37"/>
      <c r="AG40" s="37"/>
      <c r="AH40" s="37"/>
      <c r="AI40" s="502"/>
      <c r="AJ40" s="37"/>
      <c r="AK40" s="37"/>
      <c r="AL40" s="37"/>
      <c r="AM40" s="37">
        <f t="shared" si="10"/>
        <v>0</v>
      </c>
      <c r="AN40" s="37"/>
      <c r="AO40" s="37"/>
      <c r="AP40" s="37"/>
      <c r="AQ40" s="37"/>
      <c r="AR40" s="37">
        <f t="shared" si="11"/>
        <v>0</v>
      </c>
      <c r="AS40" s="37"/>
      <c r="AT40" s="37"/>
      <c r="AU40" s="37"/>
      <c r="AV40" s="37"/>
      <c r="AW40" s="37"/>
      <c r="AX40" s="37"/>
      <c r="AY40" s="37"/>
      <c r="AZ40" s="37">
        <v>1440</v>
      </c>
      <c r="BA40" s="37">
        <f>+AR40+AS40+AU40+AW40+AY40+AZ40</f>
        <v>1440</v>
      </c>
      <c r="BB40" s="50"/>
      <c r="BC40" s="51"/>
      <c r="BD40" s="51"/>
      <c r="BE40" s="33"/>
      <c r="BF40" s="51"/>
    </row>
    <row r="41" spans="1:58" ht="12.95" customHeight="1">
      <c r="A41" s="40"/>
      <c r="B41" s="41"/>
      <c r="C41" s="414"/>
      <c r="D41" s="41"/>
      <c r="E41" s="42"/>
      <c r="F41" s="42"/>
      <c r="G41" s="43"/>
      <c r="H41" s="44"/>
      <c r="I41" s="45"/>
      <c r="J41" s="82"/>
      <c r="K41" s="82"/>
      <c r="L41" s="35"/>
      <c r="M41" s="35"/>
      <c r="N41" s="46"/>
      <c r="O41" s="47"/>
      <c r="P41" s="48"/>
      <c r="Q41" s="47"/>
      <c r="R41" s="500"/>
      <c r="S41" s="500"/>
      <c r="T41" s="37"/>
      <c r="U41" s="37"/>
      <c r="V41" s="37"/>
      <c r="W41" s="37"/>
      <c r="X41" s="38"/>
      <c r="Y41" s="211"/>
      <c r="Z41" s="37"/>
      <c r="AA41" s="37"/>
      <c r="AB41" s="37"/>
      <c r="AC41" s="37"/>
      <c r="AD41" s="37"/>
      <c r="AE41" s="229"/>
      <c r="AF41" s="33"/>
      <c r="AG41" s="33"/>
      <c r="AH41" s="33"/>
      <c r="AJ41" s="37"/>
      <c r="AK41" s="37"/>
      <c r="AL41" s="37"/>
      <c r="AM41" s="37"/>
      <c r="AN41" s="37"/>
      <c r="AO41" s="37"/>
      <c r="AP41" s="37"/>
      <c r="AQ41" s="37"/>
      <c r="AR41" s="37"/>
      <c r="AS41" s="37"/>
      <c r="AT41" s="37"/>
      <c r="AU41" s="37"/>
      <c r="AV41" s="37"/>
      <c r="AW41" s="37"/>
      <c r="AX41" s="37"/>
      <c r="AY41" s="37"/>
      <c r="AZ41" s="37"/>
      <c r="BA41" s="37"/>
      <c r="BB41" s="33"/>
      <c r="BC41" s="503"/>
      <c r="BD41" s="51"/>
      <c r="BE41" s="51"/>
      <c r="BF41" s="51"/>
    </row>
    <row r="42" spans="1:58" ht="12.75" customHeight="1">
      <c r="A42" s="40">
        <v>45968</v>
      </c>
      <c r="B42" s="41" t="s">
        <v>406</v>
      </c>
      <c r="C42" s="414">
        <f>(M42*E42*O42*Q42)/100000000</f>
        <v>43.297309439999999</v>
      </c>
      <c r="D42" s="41" t="s">
        <v>300</v>
      </c>
      <c r="E42" s="42">
        <v>12</v>
      </c>
      <c r="F42" s="42">
        <v>1</v>
      </c>
      <c r="G42" s="499">
        <v>1230</v>
      </c>
      <c r="H42" s="44">
        <f>+N42</f>
        <v>0.23417344173441734</v>
      </c>
      <c r="I42" s="45">
        <v>0.88</v>
      </c>
      <c r="J42" s="82">
        <f>E42*G42*(1-H42)*1440/1000000*2.74</f>
        <v>44.599484159999996</v>
      </c>
      <c r="K42" s="82">
        <f>(IF(G42&lt;L42,L42,G42)*(1-IF(H42&lt;N42,H42,N42))*E42*O42*Q42)/100000000</f>
        <v>43.297309439999999</v>
      </c>
      <c r="L42" s="35">
        <v>1230</v>
      </c>
      <c r="M42" s="35">
        <v>941.9666666666667</v>
      </c>
      <c r="N42" s="46">
        <f>1-(M42/L42)</f>
        <v>0.23417344173441734</v>
      </c>
      <c r="O42" s="47">
        <f>+'Trim Rwd'!H16</f>
        <v>266</v>
      </c>
      <c r="P42" s="48">
        <f>O42*(Q42-R42-S42)</f>
        <v>0</v>
      </c>
      <c r="Q42" s="47">
        <v>1440</v>
      </c>
      <c r="R42" s="500">
        <v>1440</v>
      </c>
      <c r="S42" s="500">
        <v>0</v>
      </c>
      <c r="T42" s="37">
        <f>E42*M42*O42*Q42/100000000</f>
        <v>43.297309439999999</v>
      </c>
      <c r="U42" s="37">
        <f>E42*M42*O42*(Q42-R42-S42)/100000000</f>
        <v>0</v>
      </c>
      <c r="V42" s="37">
        <f>E42*G42*(1-N42)*O42/100*(R42+S42)/1000000</f>
        <v>43.297309439999999</v>
      </c>
      <c r="W42" s="37">
        <v>0</v>
      </c>
      <c r="X42" s="501">
        <f>SUM(W42:W46)/SUM(K42:K46)</f>
        <v>0</v>
      </c>
      <c r="Y42" s="211">
        <v>0</v>
      </c>
      <c r="Z42" s="37">
        <v>0</v>
      </c>
      <c r="AA42" s="49">
        <f>SUM(U42:U46)-SUM(W42:W46)-SUM(Z42:Z46)-SUM(Y42:Y46)</f>
        <v>0</v>
      </c>
      <c r="AB42" s="49">
        <f>(SUM(K42:K46)-SUM(W42:W46)-SUM(Y42:Y46)-SUM(Z42:Z46)-SUM(AC42:AC46)-SUM(V42:V46))-AA42</f>
        <v>0</v>
      </c>
      <c r="AC42" s="37">
        <f>K42-T42</f>
        <v>0</v>
      </c>
      <c r="AD42" s="37">
        <f>+AM42+BA42</f>
        <v>0</v>
      </c>
      <c r="AE42" s="229" t="s">
        <v>384</v>
      </c>
      <c r="AF42" s="37">
        <v>0</v>
      </c>
      <c r="AG42" s="37"/>
      <c r="AH42" s="37"/>
      <c r="AI42" s="502"/>
      <c r="AJ42" s="37"/>
      <c r="AK42" s="37"/>
      <c r="AL42" s="37"/>
      <c r="AM42" s="37">
        <f t="shared" ref="AM42:AM46" si="12">SUM(AF42:AL42)+AT42+AV42+AX42</f>
        <v>0</v>
      </c>
      <c r="AN42" s="37"/>
      <c r="AO42" s="37"/>
      <c r="AP42" s="37"/>
      <c r="AQ42" s="37"/>
      <c r="AR42" s="37">
        <f>SUM(AN42:AQ42)</f>
        <v>0</v>
      </c>
      <c r="AS42" s="37"/>
      <c r="AT42" s="37"/>
      <c r="AU42" s="37"/>
      <c r="AV42" s="37"/>
      <c r="AW42" s="37"/>
      <c r="AX42" s="37"/>
      <c r="AY42" s="37"/>
      <c r="AZ42" s="37"/>
      <c r="BA42" s="37">
        <f>+AR42+AS42+AU42+AW42+AY42+AZ42</f>
        <v>0</v>
      </c>
      <c r="BB42" s="33">
        <v>0</v>
      </c>
      <c r="BC42" s="51"/>
      <c r="BD42" s="51"/>
      <c r="BE42" s="33"/>
      <c r="BF42" s="51"/>
    </row>
    <row r="43" spans="1:58" ht="12.95" customHeight="1">
      <c r="A43" s="40"/>
      <c r="B43" s="41"/>
      <c r="C43" s="414"/>
      <c r="D43" s="41"/>
      <c r="E43" s="42"/>
      <c r="F43" s="42"/>
      <c r="G43" s="499"/>
      <c r="H43" s="44"/>
      <c r="I43" s="45"/>
      <c r="J43" s="82"/>
      <c r="K43" s="82"/>
      <c r="L43" s="35"/>
      <c r="M43" s="35"/>
      <c r="N43" s="46"/>
      <c r="O43" s="47"/>
      <c r="P43" s="48"/>
      <c r="Q43" s="47"/>
      <c r="R43" s="500"/>
      <c r="S43" s="500"/>
      <c r="T43" s="37"/>
      <c r="U43" s="37"/>
      <c r="V43" s="37"/>
      <c r="W43" s="37"/>
      <c r="X43" s="38"/>
      <c r="Y43" s="211"/>
      <c r="Z43" s="37"/>
      <c r="AA43" s="37"/>
      <c r="AB43" s="37"/>
      <c r="AC43" s="37"/>
      <c r="AD43" s="37">
        <f>+AM43+BA43</f>
        <v>0</v>
      </c>
      <c r="AE43" s="229" t="s">
        <v>282</v>
      </c>
      <c r="AF43" s="37"/>
      <c r="AG43" s="37">
        <v>0</v>
      </c>
      <c r="AH43" s="37"/>
      <c r="AI43" s="502"/>
      <c r="AJ43" s="37"/>
      <c r="AK43" s="37"/>
      <c r="AL43" s="37"/>
      <c r="AM43" s="37">
        <f t="shared" si="12"/>
        <v>0</v>
      </c>
      <c r="AN43" s="83"/>
      <c r="AO43" s="37"/>
      <c r="AP43" s="37"/>
      <c r="AQ43" s="37"/>
      <c r="AR43" s="37">
        <f t="shared" ref="AR43:AR46" si="13">SUM(AN43:AQ43)</f>
        <v>0</v>
      </c>
      <c r="AS43" s="37"/>
      <c r="AT43" s="37"/>
      <c r="AU43" s="37"/>
      <c r="AV43" s="37"/>
      <c r="AW43" s="37"/>
      <c r="AX43" s="37"/>
      <c r="AY43" s="37"/>
      <c r="AZ43" s="37"/>
      <c r="BA43" s="37">
        <f>+AR43+AS43+AU43+AW43+AY43+AZ43</f>
        <v>0</v>
      </c>
      <c r="BB43" s="50"/>
      <c r="BC43" s="51">
        <v>0</v>
      </c>
      <c r="BD43" s="51"/>
      <c r="BE43" s="50"/>
      <c r="BF43" s="51"/>
    </row>
    <row r="44" spans="1:58" ht="12.95" customHeight="1">
      <c r="A44" s="40"/>
      <c r="B44" s="41"/>
      <c r="C44" s="414"/>
      <c r="D44" s="41"/>
      <c r="E44" s="42"/>
      <c r="F44" s="42"/>
      <c r="G44" s="43"/>
      <c r="H44" s="44"/>
      <c r="I44" s="45"/>
      <c r="J44" s="82"/>
      <c r="K44" s="82"/>
      <c r="L44" s="35"/>
      <c r="M44" s="35"/>
      <c r="N44" s="46"/>
      <c r="O44" s="47"/>
      <c r="P44" s="48"/>
      <c r="Q44" s="47"/>
      <c r="R44" s="500"/>
      <c r="S44" s="500"/>
      <c r="T44" s="37"/>
      <c r="U44" s="37"/>
      <c r="V44" s="37"/>
      <c r="W44" s="37"/>
      <c r="X44" s="38"/>
      <c r="Y44" s="211"/>
      <c r="Z44" s="37"/>
      <c r="AA44" s="37"/>
      <c r="AB44" s="37"/>
      <c r="AC44" s="37"/>
      <c r="AD44" s="37">
        <f>+AM44+BA44</f>
        <v>0</v>
      </c>
      <c r="AE44" s="229" t="s">
        <v>408</v>
      </c>
      <c r="AF44" s="33"/>
      <c r="AG44" s="33"/>
      <c r="AH44" s="33">
        <v>0</v>
      </c>
      <c r="AJ44" s="37"/>
      <c r="AK44" s="37"/>
      <c r="AL44" s="37"/>
      <c r="AM44" s="37">
        <f t="shared" si="12"/>
        <v>0</v>
      </c>
      <c r="AN44" s="37"/>
      <c r="AO44" s="37"/>
      <c r="AP44" s="37"/>
      <c r="AQ44" s="37"/>
      <c r="AR44" s="37">
        <f t="shared" si="13"/>
        <v>0</v>
      </c>
      <c r="AS44" s="37"/>
      <c r="AT44" s="37"/>
      <c r="AU44" s="37"/>
      <c r="AV44" s="37"/>
      <c r="AW44" s="37"/>
      <c r="AX44" s="37"/>
      <c r="AY44" s="37"/>
      <c r="AZ44" s="37"/>
      <c r="BA44" s="37">
        <f>+AR44+AS44+AU44+AW44+AY44+AZ44</f>
        <v>0</v>
      </c>
      <c r="BB44" s="33"/>
      <c r="BC44" s="503"/>
      <c r="BD44" s="503"/>
      <c r="BE44" s="33"/>
      <c r="BF44" s="503"/>
    </row>
    <row r="45" spans="1:58" ht="12.95" customHeight="1">
      <c r="A45" s="40"/>
      <c r="B45" s="41"/>
      <c r="C45" s="414"/>
      <c r="D45" s="41"/>
      <c r="E45" s="42"/>
      <c r="F45" s="42"/>
      <c r="G45" s="43"/>
      <c r="H45" s="44"/>
      <c r="I45" s="45"/>
      <c r="J45" s="82"/>
      <c r="K45" s="82"/>
      <c r="L45" s="35"/>
      <c r="M45" s="35"/>
      <c r="N45" s="46"/>
      <c r="O45" s="47"/>
      <c r="P45" s="48"/>
      <c r="Q45" s="34"/>
      <c r="R45" s="500"/>
      <c r="S45" s="500"/>
      <c r="T45" s="37"/>
      <c r="U45" s="37"/>
      <c r="V45" s="37"/>
      <c r="W45" s="37"/>
      <c r="X45" s="38"/>
      <c r="Y45" s="211"/>
      <c r="Z45" s="37"/>
      <c r="AA45" s="37"/>
      <c r="AB45" s="37"/>
      <c r="AC45" s="37"/>
      <c r="AD45" s="37">
        <f>+AM45+BA45</f>
        <v>0</v>
      </c>
      <c r="AE45" s="232" t="s">
        <v>377</v>
      </c>
      <c r="AF45" s="37"/>
      <c r="AG45" s="37"/>
      <c r="AH45" s="37"/>
      <c r="AI45" s="502">
        <v>0</v>
      </c>
      <c r="AJ45" s="37"/>
      <c r="AK45" s="37"/>
      <c r="AL45" s="37"/>
      <c r="AM45" s="37">
        <f t="shared" si="12"/>
        <v>0</v>
      </c>
      <c r="AN45" s="37"/>
      <c r="AO45" s="37"/>
      <c r="AP45" s="37"/>
      <c r="AQ45" s="37"/>
      <c r="AR45" s="37">
        <f t="shared" si="13"/>
        <v>0</v>
      </c>
      <c r="AS45" s="37"/>
      <c r="AT45" s="37"/>
      <c r="AU45" s="37"/>
      <c r="AV45" s="37"/>
      <c r="AW45" s="37"/>
      <c r="AX45" s="37"/>
      <c r="AY45" s="37"/>
      <c r="AZ45" s="37"/>
      <c r="BA45" s="37">
        <f>+AR45+AS45+AU45+AW45+AY45+AZ45</f>
        <v>0</v>
      </c>
      <c r="BB45" s="50"/>
      <c r="BC45" s="51"/>
      <c r="BD45" s="51"/>
      <c r="BE45" s="50"/>
      <c r="BF45" s="51"/>
    </row>
    <row r="46" spans="1:58" ht="12.95" customHeight="1">
      <c r="A46" s="40"/>
      <c r="B46" s="41"/>
      <c r="C46" s="414"/>
      <c r="D46" s="41"/>
      <c r="E46" s="42"/>
      <c r="F46" s="42"/>
      <c r="G46" s="43"/>
      <c r="H46" s="44"/>
      <c r="I46" s="45"/>
      <c r="J46" s="82"/>
      <c r="K46" s="82"/>
      <c r="L46" s="35"/>
      <c r="M46" s="35"/>
      <c r="N46" s="46"/>
      <c r="O46" s="47"/>
      <c r="P46" s="48"/>
      <c r="Q46" s="34"/>
      <c r="R46" s="500"/>
      <c r="S46" s="500"/>
      <c r="T46" s="37"/>
      <c r="U46" s="37"/>
      <c r="V46" s="37"/>
      <c r="W46" s="37"/>
      <c r="X46" s="38"/>
      <c r="Y46" s="211"/>
      <c r="Z46" s="37"/>
      <c r="AA46" s="37"/>
      <c r="AB46" s="37"/>
      <c r="AC46" s="37"/>
      <c r="AD46" s="37">
        <f>+AM46+BA46</f>
        <v>1440</v>
      </c>
      <c r="AE46" s="232" t="s">
        <v>409</v>
      </c>
      <c r="AF46" s="37"/>
      <c r="AG46" s="37"/>
      <c r="AH46" s="37"/>
      <c r="AI46" s="502"/>
      <c r="AJ46" s="37"/>
      <c r="AK46" s="37"/>
      <c r="AL46" s="37"/>
      <c r="AM46" s="37">
        <f t="shared" si="12"/>
        <v>0</v>
      </c>
      <c r="AN46" s="37"/>
      <c r="AO46" s="37"/>
      <c r="AP46" s="37"/>
      <c r="AQ46" s="37"/>
      <c r="AR46" s="37">
        <f t="shared" si="13"/>
        <v>0</v>
      </c>
      <c r="AS46" s="37"/>
      <c r="AT46" s="37"/>
      <c r="AU46" s="37"/>
      <c r="AV46" s="37"/>
      <c r="AW46" s="37"/>
      <c r="AX46" s="37"/>
      <c r="AY46" s="37"/>
      <c r="AZ46" s="37">
        <v>1440</v>
      </c>
      <c r="BA46" s="37">
        <f>+AR46+AS46+AU46+AW46+AY46+AZ46</f>
        <v>1440</v>
      </c>
      <c r="BB46" s="50"/>
      <c r="BC46" s="51"/>
      <c r="BD46" s="51"/>
      <c r="BE46" s="33"/>
      <c r="BF46" s="51"/>
    </row>
    <row r="47" spans="1:58" ht="12.95" customHeight="1">
      <c r="A47" s="40"/>
      <c r="B47" s="41"/>
      <c r="C47" s="414"/>
      <c r="D47" s="41"/>
      <c r="E47" s="42"/>
      <c r="F47" s="42"/>
      <c r="G47" s="43"/>
      <c r="H47" s="44"/>
      <c r="I47" s="45"/>
      <c r="J47" s="82"/>
      <c r="K47" s="82"/>
      <c r="L47" s="35"/>
      <c r="M47" s="35"/>
      <c r="N47" s="46"/>
      <c r="O47" s="47"/>
      <c r="P47" s="48"/>
      <c r="Q47" s="34"/>
      <c r="R47" s="500"/>
      <c r="S47" s="500"/>
      <c r="T47" s="37"/>
      <c r="U47" s="37"/>
      <c r="V47" s="37"/>
      <c r="W47" s="37"/>
      <c r="X47" s="38"/>
      <c r="Y47" s="211"/>
      <c r="Z47" s="37"/>
      <c r="AA47" s="37"/>
      <c r="AB47" s="37"/>
      <c r="AC47" s="37"/>
      <c r="AD47" s="37"/>
      <c r="AE47" s="232"/>
      <c r="AF47" s="37"/>
      <c r="AG47" s="37"/>
      <c r="AH47" s="37"/>
      <c r="AI47" s="502"/>
      <c r="AJ47" s="37"/>
      <c r="AK47" s="37"/>
      <c r="AL47" s="37"/>
      <c r="AM47" s="37"/>
      <c r="AN47" s="37"/>
      <c r="AO47" s="37"/>
      <c r="AP47" s="37"/>
      <c r="AQ47" s="37"/>
      <c r="AR47" s="37"/>
      <c r="AS47" s="37"/>
      <c r="AT47" s="37"/>
      <c r="AU47" s="37"/>
      <c r="AV47" s="37"/>
      <c r="AW47" s="37"/>
      <c r="AX47" s="37"/>
      <c r="AY47" s="37"/>
      <c r="AZ47" s="37"/>
      <c r="BA47" s="37"/>
      <c r="BB47" s="50"/>
      <c r="BC47" s="51"/>
      <c r="BD47" s="51"/>
      <c r="BE47" s="51"/>
      <c r="BF47" s="51"/>
    </row>
    <row r="48" spans="1:58" ht="12.75" customHeight="1">
      <c r="A48" s="40">
        <v>45969</v>
      </c>
      <c r="B48" s="41" t="s">
        <v>406</v>
      </c>
      <c r="C48" s="414">
        <f>(M48*E48*O48*Q48)/100000000</f>
        <v>43.297309439999999</v>
      </c>
      <c r="D48" s="41" t="s">
        <v>300</v>
      </c>
      <c r="E48" s="42">
        <v>12</v>
      </c>
      <c r="F48" s="42">
        <v>1</v>
      </c>
      <c r="G48" s="499">
        <v>1230</v>
      </c>
      <c r="H48" s="44">
        <f>+N48</f>
        <v>0.23417344173441734</v>
      </c>
      <c r="I48" s="45">
        <v>0.88</v>
      </c>
      <c r="J48" s="82">
        <f>E48*G48*(1-H48)*1440/1000000*2.74</f>
        <v>44.599484159999996</v>
      </c>
      <c r="K48" s="82">
        <f>(IF(G48&lt;L48,L48,G48)*(1-IF(H48&lt;N48,H48,N48))*E48*O48*Q48)/100000000</f>
        <v>43.297309439999999</v>
      </c>
      <c r="L48" s="35">
        <v>1230</v>
      </c>
      <c r="M48" s="35">
        <v>941.9666666666667</v>
      </c>
      <c r="N48" s="46">
        <f>1-(M48/L48)</f>
        <v>0.23417344173441734</v>
      </c>
      <c r="O48" s="47">
        <f>+'Trim Rwd'!H18</f>
        <v>266</v>
      </c>
      <c r="P48" s="48">
        <f>O48*(Q48-R48-S48)</f>
        <v>0</v>
      </c>
      <c r="Q48" s="47">
        <v>1440</v>
      </c>
      <c r="R48" s="500">
        <v>1440</v>
      </c>
      <c r="S48" s="500">
        <v>0</v>
      </c>
      <c r="T48" s="37">
        <f>E48*M48*O48*Q48/100000000</f>
        <v>43.297309439999999</v>
      </c>
      <c r="U48" s="37">
        <f>E48*M48*O48*(Q48-R48-S48)/100000000</f>
        <v>0</v>
      </c>
      <c r="V48" s="37">
        <f>E48*G48*(1-N48)*O48/100*(R48+S48)/1000000</f>
        <v>43.297309439999999</v>
      </c>
      <c r="W48" s="37">
        <v>0</v>
      </c>
      <c r="X48" s="501">
        <f>SUM(W48:W52)/SUM(K48:K52)</f>
        <v>0</v>
      </c>
      <c r="Y48" s="211">
        <v>0</v>
      </c>
      <c r="Z48" s="37">
        <v>0</v>
      </c>
      <c r="AA48" s="49">
        <f>SUM(U48:U52)-SUM(W48:W52)-SUM(Z48:Z52)-SUM(Y48:Y52)</f>
        <v>0</v>
      </c>
      <c r="AB48" s="49">
        <f>(SUM(K48:K52)-SUM(W48:W52)-SUM(Y48:Y52)-SUM(Z48:Z52)-SUM(AC48:AC52)-SUM(V48:V52))-AA48</f>
        <v>0</v>
      </c>
      <c r="AC48" s="37">
        <f>K48-T48</f>
        <v>0</v>
      </c>
      <c r="AD48" s="37">
        <f>+AM48+BA48</f>
        <v>0</v>
      </c>
      <c r="AE48" s="229" t="s">
        <v>384</v>
      </c>
      <c r="AF48" s="37">
        <v>0</v>
      </c>
      <c r="AG48" s="37"/>
      <c r="AH48" s="37"/>
      <c r="AI48" s="502"/>
      <c r="AJ48" s="37"/>
      <c r="AK48" s="37"/>
      <c r="AL48" s="37"/>
      <c r="AM48" s="37">
        <f t="shared" ref="AM48:AM52" si="14">SUM(AF48:AL48)+AT48+AV48+AX48</f>
        <v>0</v>
      </c>
      <c r="AN48" s="37"/>
      <c r="AO48" s="37"/>
      <c r="AP48" s="37"/>
      <c r="AQ48" s="37"/>
      <c r="AR48" s="37">
        <f>SUM(AN48:AQ48)</f>
        <v>0</v>
      </c>
      <c r="AS48" s="37"/>
      <c r="AT48" s="37"/>
      <c r="AU48" s="37"/>
      <c r="AV48" s="37"/>
      <c r="AW48" s="37"/>
      <c r="AX48" s="37"/>
      <c r="AY48" s="37"/>
      <c r="AZ48" s="37"/>
      <c r="BA48" s="37">
        <f>+AR48+AS48+AU48+AW48+AY48+AZ48</f>
        <v>0</v>
      </c>
      <c r="BB48" s="33">
        <v>0</v>
      </c>
      <c r="BC48" s="51"/>
      <c r="BD48" s="51"/>
      <c r="BE48" s="33"/>
      <c r="BF48" s="51"/>
    </row>
    <row r="49" spans="1:58" ht="12.95" customHeight="1">
      <c r="A49" s="40"/>
      <c r="B49" s="41"/>
      <c r="C49" s="414"/>
      <c r="D49" s="41"/>
      <c r="E49" s="42"/>
      <c r="F49" s="42"/>
      <c r="G49" s="499"/>
      <c r="H49" s="44"/>
      <c r="I49" s="45"/>
      <c r="J49" s="82"/>
      <c r="K49" s="82"/>
      <c r="L49" s="35"/>
      <c r="M49" s="35"/>
      <c r="N49" s="46"/>
      <c r="O49" s="47"/>
      <c r="P49" s="48"/>
      <c r="Q49" s="47"/>
      <c r="R49" s="500"/>
      <c r="S49" s="500"/>
      <c r="T49" s="37"/>
      <c r="U49" s="37"/>
      <c r="V49" s="37"/>
      <c r="W49" s="37"/>
      <c r="X49" s="38"/>
      <c r="Y49" s="211"/>
      <c r="Z49" s="37"/>
      <c r="AA49" s="37"/>
      <c r="AB49" s="37"/>
      <c r="AC49" s="37"/>
      <c r="AD49" s="37">
        <f>+AM49+BA49</f>
        <v>0</v>
      </c>
      <c r="AE49" s="229" t="s">
        <v>282</v>
      </c>
      <c r="AF49" s="37"/>
      <c r="AG49" s="37">
        <v>0</v>
      </c>
      <c r="AH49" s="37"/>
      <c r="AI49" s="502"/>
      <c r="AJ49" s="37"/>
      <c r="AK49" s="37"/>
      <c r="AL49" s="37"/>
      <c r="AM49" s="37">
        <f t="shared" si="14"/>
        <v>0</v>
      </c>
      <c r="AN49" s="83"/>
      <c r="AO49" s="37"/>
      <c r="AP49" s="37"/>
      <c r="AQ49" s="37"/>
      <c r="AR49" s="37">
        <f t="shared" ref="AR49:AR52" si="15">SUM(AN49:AQ49)</f>
        <v>0</v>
      </c>
      <c r="AS49" s="37"/>
      <c r="AT49" s="37"/>
      <c r="AU49" s="37"/>
      <c r="AV49" s="37"/>
      <c r="AW49" s="37"/>
      <c r="AX49" s="37"/>
      <c r="AY49" s="37"/>
      <c r="AZ49" s="37"/>
      <c r="BA49" s="37">
        <f>+AR49+AS49+AU49+AW49+AY49+AZ49</f>
        <v>0</v>
      </c>
      <c r="BB49" s="50"/>
      <c r="BC49" s="51">
        <v>0</v>
      </c>
      <c r="BD49" s="51"/>
      <c r="BE49" s="50"/>
      <c r="BF49" s="51"/>
    </row>
    <row r="50" spans="1:58" ht="12.95" customHeight="1">
      <c r="A50" s="40"/>
      <c r="B50" s="41"/>
      <c r="C50" s="414"/>
      <c r="D50" s="41"/>
      <c r="E50" s="42"/>
      <c r="F50" s="42"/>
      <c r="G50" s="43"/>
      <c r="H50" s="44"/>
      <c r="I50" s="45"/>
      <c r="J50" s="82"/>
      <c r="K50" s="82"/>
      <c r="L50" s="35"/>
      <c r="M50" s="35"/>
      <c r="N50" s="46"/>
      <c r="O50" s="47"/>
      <c r="P50" s="48"/>
      <c r="Q50" s="47"/>
      <c r="R50" s="500"/>
      <c r="S50" s="500"/>
      <c r="T50" s="37"/>
      <c r="U50" s="37"/>
      <c r="V50" s="37"/>
      <c r="W50" s="37"/>
      <c r="X50" s="38"/>
      <c r="Y50" s="211"/>
      <c r="Z50" s="37"/>
      <c r="AA50" s="37"/>
      <c r="AB50" s="37"/>
      <c r="AC50" s="37"/>
      <c r="AD50" s="37">
        <f>+AM50+BA50</f>
        <v>0</v>
      </c>
      <c r="AE50" s="229" t="s">
        <v>408</v>
      </c>
      <c r="AF50" s="33"/>
      <c r="AG50" s="33"/>
      <c r="AH50" s="33">
        <v>0</v>
      </c>
      <c r="AJ50" s="37"/>
      <c r="AK50" s="37"/>
      <c r="AL50" s="37"/>
      <c r="AM50" s="37">
        <f t="shared" si="14"/>
        <v>0</v>
      </c>
      <c r="AN50" s="37"/>
      <c r="AO50" s="37"/>
      <c r="AP50" s="37"/>
      <c r="AQ50" s="37"/>
      <c r="AR50" s="37">
        <f t="shared" si="15"/>
        <v>0</v>
      </c>
      <c r="AS50" s="37"/>
      <c r="AT50" s="37"/>
      <c r="AU50" s="37"/>
      <c r="AV50" s="37"/>
      <c r="AW50" s="37"/>
      <c r="AX50" s="37"/>
      <c r="AY50" s="37"/>
      <c r="AZ50" s="37"/>
      <c r="BA50" s="37">
        <f>+AR50+AS50+AU50+AW50+AY50+AZ50</f>
        <v>0</v>
      </c>
      <c r="BB50" s="33"/>
      <c r="BC50" s="503"/>
      <c r="BD50" s="503"/>
      <c r="BE50" s="33"/>
      <c r="BF50" s="503"/>
    </row>
    <row r="51" spans="1:58" ht="12.95" customHeight="1">
      <c r="A51" s="40"/>
      <c r="B51" s="41"/>
      <c r="C51" s="414"/>
      <c r="D51" s="41"/>
      <c r="E51" s="42"/>
      <c r="F51" s="42"/>
      <c r="G51" s="43"/>
      <c r="H51" s="44"/>
      <c r="I51" s="45"/>
      <c r="J51" s="82"/>
      <c r="K51" s="82"/>
      <c r="L51" s="35"/>
      <c r="M51" s="35"/>
      <c r="N51" s="46"/>
      <c r="O51" s="47"/>
      <c r="P51" s="48"/>
      <c r="Q51" s="34"/>
      <c r="R51" s="500"/>
      <c r="S51" s="500"/>
      <c r="T51" s="37"/>
      <c r="U51" s="37"/>
      <c r="V51" s="37"/>
      <c r="W51" s="37"/>
      <c r="X51" s="38"/>
      <c r="Y51" s="211"/>
      <c r="Z51" s="37"/>
      <c r="AA51" s="37"/>
      <c r="AB51" s="37"/>
      <c r="AC51" s="37"/>
      <c r="AD51" s="37">
        <f>+AM51+BA51</f>
        <v>0</v>
      </c>
      <c r="AE51" s="232" t="s">
        <v>377</v>
      </c>
      <c r="AF51" s="37"/>
      <c r="AG51" s="37"/>
      <c r="AH51" s="37"/>
      <c r="AI51" s="502">
        <v>0</v>
      </c>
      <c r="AJ51" s="37"/>
      <c r="AK51" s="37"/>
      <c r="AL51" s="37"/>
      <c r="AM51" s="37">
        <f t="shared" si="14"/>
        <v>0</v>
      </c>
      <c r="AN51" s="37"/>
      <c r="AO51" s="37"/>
      <c r="AP51" s="37"/>
      <c r="AQ51" s="37"/>
      <c r="AR51" s="37">
        <f t="shared" si="15"/>
        <v>0</v>
      </c>
      <c r="AS51" s="37"/>
      <c r="AT51" s="37"/>
      <c r="AU51" s="37"/>
      <c r="AV51" s="37"/>
      <c r="AW51" s="37"/>
      <c r="AX51" s="37"/>
      <c r="AY51" s="37"/>
      <c r="AZ51" s="37"/>
      <c r="BA51" s="37">
        <f>+AR51+AS51+AU51+AW51+AY51+AZ51</f>
        <v>0</v>
      </c>
      <c r="BB51" s="50"/>
      <c r="BC51" s="51"/>
      <c r="BD51" s="51"/>
      <c r="BE51" s="50"/>
      <c r="BF51" s="51"/>
    </row>
    <row r="52" spans="1:58" ht="12.95" customHeight="1">
      <c r="A52" s="40"/>
      <c r="B52" s="41"/>
      <c r="C52" s="414"/>
      <c r="D52" s="41"/>
      <c r="E52" s="42"/>
      <c r="F52" s="42"/>
      <c r="G52" s="43"/>
      <c r="H52" s="44"/>
      <c r="I52" s="45"/>
      <c r="J52" s="82"/>
      <c r="K52" s="82"/>
      <c r="L52" s="35"/>
      <c r="M52" s="35"/>
      <c r="N52" s="46"/>
      <c r="O52" s="47"/>
      <c r="P52" s="48"/>
      <c r="Q52" s="34"/>
      <c r="R52" s="500"/>
      <c r="S52" s="500"/>
      <c r="T52" s="37"/>
      <c r="U52" s="37"/>
      <c r="V52" s="37"/>
      <c r="W52" s="37"/>
      <c r="X52" s="38"/>
      <c r="Y52" s="211"/>
      <c r="Z52" s="37"/>
      <c r="AA52" s="37"/>
      <c r="AB52" s="37"/>
      <c r="AC52" s="37"/>
      <c r="AD52" s="37">
        <f>+AM52+BA52</f>
        <v>1440</v>
      </c>
      <c r="AE52" s="232" t="s">
        <v>409</v>
      </c>
      <c r="AF52" s="37"/>
      <c r="AG52" s="37"/>
      <c r="AH52" s="37"/>
      <c r="AI52" s="502"/>
      <c r="AJ52" s="37"/>
      <c r="AK52" s="37"/>
      <c r="AL52" s="37"/>
      <c r="AM52" s="37">
        <f t="shared" si="14"/>
        <v>0</v>
      </c>
      <c r="AN52" s="37"/>
      <c r="AO52" s="37"/>
      <c r="AP52" s="37"/>
      <c r="AQ52" s="37"/>
      <c r="AR52" s="37">
        <f t="shared" si="15"/>
        <v>0</v>
      </c>
      <c r="AS52" s="37"/>
      <c r="AT52" s="37"/>
      <c r="AU52" s="37"/>
      <c r="AV52" s="37"/>
      <c r="AW52" s="37"/>
      <c r="AX52" s="37"/>
      <c r="AY52" s="37"/>
      <c r="AZ52" s="37">
        <v>1440</v>
      </c>
      <c r="BA52" s="37">
        <f>+AR52+AS52+AU52+AW52+AY52+AZ52</f>
        <v>1440</v>
      </c>
      <c r="BB52" s="50"/>
      <c r="BC52" s="51"/>
      <c r="BD52" s="51"/>
      <c r="BE52" s="33"/>
      <c r="BF52" s="51"/>
    </row>
    <row r="53" spans="1:58" ht="12.95" customHeight="1">
      <c r="A53" s="40"/>
      <c r="B53" s="41"/>
      <c r="C53" s="414"/>
      <c r="D53" s="41"/>
      <c r="E53" s="42"/>
      <c r="F53" s="42"/>
      <c r="G53" s="43"/>
      <c r="H53" s="44"/>
      <c r="I53" s="45"/>
      <c r="J53" s="82"/>
      <c r="K53" s="82"/>
      <c r="L53" s="35"/>
      <c r="M53" s="35"/>
      <c r="N53" s="46"/>
      <c r="O53" s="47"/>
      <c r="P53" s="48"/>
      <c r="Q53" s="34"/>
      <c r="R53" s="500"/>
      <c r="S53" s="500"/>
      <c r="T53" s="37"/>
      <c r="U53" s="37"/>
      <c r="V53" s="37"/>
      <c r="W53" s="37"/>
      <c r="X53" s="38"/>
      <c r="Y53" s="211"/>
      <c r="Z53" s="37"/>
      <c r="AA53" s="37"/>
      <c r="AB53" s="37"/>
      <c r="AC53" s="37"/>
      <c r="AD53" s="37"/>
      <c r="AE53" s="232"/>
      <c r="AF53" s="37"/>
      <c r="AG53" s="37"/>
      <c r="AH53" s="37"/>
      <c r="AI53" s="502"/>
      <c r="AJ53" s="37"/>
      <c r="AK53" s="37"/>
      <c r="AL53" s="37"/>
      <c r="AM53" s="37"/>
      <c r="AN53" s="37"/>
      <c r="AO53" s="37"/>
      <c r="AP53" s="37"/>
      <c r="AQ53" s="37"/>
      <c r="AR53" s="37"/>
      <c r="AS53" s="37"/>
      <c r="AT53" s="37"/>
      <c r="AU53" s="37"/>
      <c r="AV53" s="37"/>
      <c r="AW53" s="37"/>
      <c r="AX53" s="37"/>
      <c r="AY53" s="37"/>
      <c r="AZ53" s="37"/>
      <c r="BA53" s="37"/>
      <c r="BB53" s="50"/>
      <c r="BC53" s="51"/>
      <c r="BD53" s="503"/>
      <c r="BE53" s="33"/>
      <c r="BF53" s="503"/>
    </row>
    <row r="54" spans="1:58" ht="12.75" customHeight="1">
      <c r="A54" s="40">
        <v>45970</v>
      </c>
      <c r="B54" s="41" t="s">
        <v>406</v>
      </c>
      <c r="C54" s="414">
        <f>(M54*E54*O54*Q54)/100000000</f>
        <v>43.297309439999999</v>
      </c>
      <c r="D54" s="41" t="s">
        <v>300</v>
      </c>
      <c r="E54" s="42">
        <v>12</v>
      </c>
      <c r="F54" s="42">
        <v>1</v>
      </c>
      <c r="G54" s="499">
        <v>1230</v>
      </c>
      <c r="H54" s="44">
        <f>+N54</f>
        <v>0.23417344173441734</v>
      </c>
      <c r="I54" s="45">
        <v>0.88</v>
      </c>
      <c r="J54" s="82">
        <f>E54*G54*(1-H54)*1440/1000000*2.74</f>
        <v>44.599484159999996</v>
      </c>
      <c r="K54" s="82">
        <f>(IF(G54&lt;L54,L54,G54)*(1-IF(H54&lt;N54,H54,N54))*E54*O54*Q54)/100000000</f>
        <v>43.297309439999999</v>
      </c>
      <c r="L54" s="35">
        <v>1230</v>
      </c>
      <c r="M54" s="35">
        <v>941.9666666666667</v>
      </c>
      <c r="N54" s="46">
        <f>1-(M54/L54)</f>
        <v>0.23417344173441734</v>
      </c>
      <c r="O54" s="47">
        <f>+'Trim Rwd'!H20</f>
        <v>266</v>
      </c>
      <c r="P54" s="48">
        <f>O54*(Q54-R54-S54)</f>
        <v>0</v>
      </c>
      <c r="Q54" s="47">
        <v>1440</v>
      </c>
      <c r="R54" s="500">
        <v>1440</v>
      </c>
      <c r="S54" s="500">
        <v>0</v>
      </c>
      <c r="T54" s="37">
        <f>E54*M54*O54*Q54/100000000</f>
        <v>43.297309439999999</v>
      </c>
      <c r="U54" s="37">
        <f>E54*M54*O54*(Q54-R54-S54)/100000000</f>
        <v>0</v>
      </c>
      <c r="V54" s="37">
        <f>E54*G54*(1-N54)*O54/100*(R54+S54)/1000000</f>
        <v>43.297309439999999</v>
      </c>
      <c r="W54" s="37">
        <v>0</v>
      </c>
      <c r="X54" s="501">
        <f>SUM(W54:W58)/SUM(K54:K58)</f>
        <v>0</v>
      </c>
      <c r="Y54" s="211">
        <v>0</v>
      </c>
      <c r="Z54" s="37">
        <v>0</v>
      </c>
      <c r="AA54" s="49">
        <f>SUM(U54:U58)-SUM(W54:W58)-SUM(Z54:Z58)-SUM(Y54:Y58)</f>
        <v>0</v>
      </c>
      <c r="AB54" s="49">
        <f>(SUM(K54:K58)-SUM(W54:W58)-SUM(Y54:Y58)-SUM(Z54:Z58)-SUM(AC54:AC58)-SUM(V54:V58))-AA54</f>
        <v>0</v>
      </c>
      <c r="AC54" s="37">
        <f>K54-T54</f>
        <v>0</v>
      </c>
      <c r="AD54" s="37">
        <f>+AM54+BA54</f>
        <v>0</v>
      </c>
      <c r="AE54" s="229" t="s">
        <v>384</v>
      </c>
      <c r="AF54" s="37">
        <v>0</v>
      </c>
      <c r="AG54" s="37"/>
      <c r="AH54" s="37"/>
      <c r="AI54" s="502"/>
      <c r="AJ54" s="37"/>
      <c r="AK54" s="37"/>
      <c r="AL54" s="37"/>
      <c r="AM54" s="37">
        <f t="shared" ref="AM54:AM58" si="16">SUM(AF54:AL54)+AT54+AV54+AX54</f>
        <v>0</v>
      </c>
      <c r="AN54" s="37"/>
      <c r="AO54" s="37"/>
      <c r="AP54" s="37"/>
      <c r="AQ54" s="37"/>
      <c r="AR54" s="37">
        <f>SUM(AN54:AQ54)</f>
        <v>0</v>
      </c>
      <c r="AS54" s="37"/>
      <c r="AT54" s="37"/>
      <c r="AU54" s="37"/>
      <c r="AV54" s="37"/>
      <c r="AW54" s="37"/>
      <c r="AX54" s="37"/>
      <c r="AY54" s="37"/>
      <c r="AZ54" s="37"/>
      <c r="BA54" s="37">
        <f>+AR54+AS54+AU54+AW54+AY54+AZ54</f>
        <v>0</v>
      </c>
      <c r="BB54" s="33">
        <v>0</v>
      </c>
      <c r="BC54" s="51"/>
      <c r="BD54" s="51"/>
      <c r="BE54" s="33"/>
      <c r="BF54" s="51"/>
    </row>
    <row r="55" spans="1:58" ht="12.95" customHeight="1">
      <c r="A55" s="40"/>
      <c r="B55" s="41"/>
      <c r="C55" s="414"/>
      <c r="D55" s="41"/>
      <c r="E55" s="42"/>
      <c r="F55" s="42"/>
      <c r="G55" s="499"/>
      <c r="H55" s="44"/>
      <c r="I55" s="45"/>
      <c r="J55" s="82"/>
      <c r="K55" s="82"/>
      <c r="L55" s="35"/>
      <c r="M55" s="35"/>
      <c r="N55" s="46"/>
      <c r="O55" s="47"/>
      <c r="P55" s="48"/>
      <c r="Q55" s="47"/>
      <c r="R55" s="500"/>
      <c r="S55" s="500"/>
      <c r="T55" s="37"/>
      <c r="U55" s="37"/>
      <c r="V55" s="37"/>
      <c r="W55" s="37"/>
      <c r="X55" s="38"/>
      <c r="Y55" s="211"/>
      <c r="Z55" s="37"/>
      <c r="AA55" s="37"/>
      <c r="AB55" s="37"/>
      <c r="AC55" s="37"/>
      <c r="AD55" s="37">
        <f>+AM55+BA55</f>
        <v>0</v>
      </c>
      <c r="AE55" s="229" t="s">
        <v>282</v>
      </c>
      <c r="AF55" s="37"/>
      <c r="AG55" s="37">
        <v>0</v>
      </c>
      <c r="AH55" s="37"/>
      <c r="AI55" s="502"/>
      <c r="AJ55" s="37"/>
      <c r="AK55" s="37"/>
      <c r="AL55" s="37"/>
      <c r="AM55" s="37">
        <f t="shared" si="16"/>
        <v>0</v>
      </c>
      <c r="AN55" s="83"/>
      <c r="AO55" s="37"/>
      <c r="AP55" s="37"/>
      <c r="AQ55" s="37"/>
      <c r="AR55" s="37">
        <f t="shared" ref="AR55:AR58" si="17">SUM(AN55:AQ55)</f>
        <v>0</v>
      </c>
      <c r="AS55" s="37"/>
      <c r="AT55" s="37"/>
      <c r="AU55" s="37"/>
      <c r="AV55" s="37"/>
      <c r="AW55" s="37"/>
      <c r="AX55" s="37"/>
      <c r="AY55" s="37"/>
      <c r="AZ55" s="37"/>
      <c r="BA55" s="37">
        <f>+AR55+AS55+AU55+AW55+AY55+AZ55</f>
        <v>0</v>
      </c>
      <c r="BB55" s="50"/>
      <c r="BC55" s="51">
        <v>0</v>
      </c>
      <c r="BD55" s="51"/>
      <c r="BE55" s="50"/>
      <c r="BF55" s="51"/>
    </row>
    <row r="56" spans="1:58" ht="12.95" customHeight="1">
      <c r="A56" s="40"/>
      <c r="B56" s="41"/>
      <c r="C56" s="414"/>
      <c r="D56" s="41"/>
      <c r="E56" s="42"/>
      <c r="F56" s="42"/>
      <c r="G56" s="43"/>
      <c r="H56" s="44"/>
      <c r="I56" s="45"/>
      <c r="J56" s="82"/>
      <c r="K56" s="82"/>
      <c r="L56" s="35"/>
      <c r="M56" s="35"/>
      <c r="N56" s="46"/>
      <c r="O56" s="47"/>
      <c r="P56" s="48"/>
      <c r="Q56" s="47"/>
      <c r="R56" s="500"/>
      <c r="S56" s="500"/>
      <c r="T56" s="37"/>
      <c r="U56" s="37"/>
      <c r="V56" s="37"/>
      <c r="W56" s="37"/>
      <c r="X56" s="38"/>
      <c r="Y56" s="211"/>
      <c r="Z56" s="37"/>
      <c r="AA56" s="37"/>
      <c r="AB56" s="37"/>
      <c r="AC56" s="37"/>
      <c r="AD56" s="37">
        <f>+AM56+BA56</f>
        <v>0</v>
      </c>
      <c r="AE56" s="229" t="s">
        <v>408</v>
      </c>
      <c r="AF56" s="33"/>
      <c r="AG56" s="33"/>
      <c r="AH56" s="33">
        <v>0</v>
      </c>
      <c r="AJ56" s="37"/>
      <c r="AK56" s="37"/>
      <c r="AL56" s="37"/>
      <c r="AM56" s="37">
        <f t="shared" si="16"/>
        <v>0</v>
      </c>
      <c r="AN56" s="37"/>
      <c r="AO56" s="37"/>
      <c r="AP56" s="37"/>
      <c r="AQ56" s="37"/>
      <c r="AR56" s="37">
        <f t="shared" si="17"/>
        <v>0</v>
      </c>
      <c r="AS56" s="37"/>
      <c r="AT56" s="37"/>
      <c r="AU56" s="37"/>
      <c r="AV56" s="37"/>
      <c r="AW56" s="37"/>
      <c r="AX56" s="37"/>
      <c r="AY56" s="37"/>
      <c r="AZ56" s="37"/>
      <c r="BA56" s="37">
        <f>+AR56+AS56+AU56+AW56+AY56+AZ56</f>
        <v>0</v>
      </c>
      <c r="BB56" s="33"/>
      <c r="BC56" s="503"/>
      <c r="BD56" s="503"/>
      <c r="BE56" s="33"/>
      <c r="BF56" s="503"/>
    </row>
    <row r="57" spans="1:58" ht="12.95" customHeight="1">
      <c r="A57" s="40"/>
      <c r="B57" s="41"/>
      <c r="C57" s="414"/>
      <c r="D57" s="41"/>
      <c r="E57" s="42"/>
      <c r="F57" s="42"/>
      <c r="G57" s="43"/>
      <c r="H57" s="44"/>
      <c r="I57" s="45"/>
      <c r="J57" s="82"/>
      <c r="K57" s="82"/>
      <c r="L57" s="35"/>
      <c r="M57" s="35"/>
      <c r="N57" s="46"/>
      <c r="O57" s="47"/>
      <c r="P57" s="48"/>
      <c r="Q57" s="34"/>
      <c r="R57" s="500"/>
      <c r="S57" s="500"/>
      <c r="T57" s="37"/>
      <c r="U57" s="37"/>
      <c r="V57" s="37"/>
      <c r="W57" s="37"/>
      <c r="X57" s="38"/>
      <c r="Y57" s="211"/>
      <c r="Z57" s="37"/>
      <c r="AA57" s="37"/>
      <c r="AB57" s="37"/>
      <c r="AC57" s="37"/>
      <c r="AD57" s="37">
        <f>+AM57+BA57</f>
        <v>0</v>
      </c>
      <c r="AE57" s="232" t="s">
        <v>377</v>
      </c>
      <c r="AF57" s="37"/>
      <c r="AG57" s="37"/>
      <c r="AH57" s="37"/>
      <c r="AI57" s="502">
        <v>0</v>
      </c>
      <c r="AJ57" s="37"/>
      <c r="AK57" s="37"/>
      <c r="AL57" s="37"/>
      <c r="AM57" s="37">
        <f t="shared" si="16"/>
        <v>0</v>
      </c>
      <c r="AN57" s="37"/>
      <c r="AO57" s="37"/>
      <c r="AP57" s="37"/>
      <c r="AQ57" s="37"/>
      <c r="AR57" s="37">
        <f t="shared" si="17"/>
        <v>0</v>
      </c>
      <c r="AS57" s="37"/>
      <c r="AT57" s="37"/>
      <c r="AU57" s="37"/>
      <c r="AV57" s="37"/>
      <c r="AW57" s="37"/>
      <c r="AX57" s="37"/>
      <c r="AY57" s="37"/>
      <c r="AZ57" s="37"/>
      <c r="BA57" s="37">
        <f>+AR57+AS57+AU57+AW57+AY57+AZ57</f>
        <v>0</v>
      </c>
      <c r="BB57" s="50"/>
      <c r="BC57" s="51"/>
      <c r="BD57" s="51"/>
      <c r="BE57" s="50"/>
      <c r="BF57" s="51"/>
    </row>
    <row r="58" spans="1:58" ht="12.95" customHeight="1">
      <c r="A58" s="40"/>
      <c r="B58" s="41"/>
      <c r="C58" s="414"/>
      <c r="D58" s="41"/>
      <c r="E58" s="42"/>
      <c r="F58" s="42"/>
      <c r="G58" s="43"/>
      <c r="H58" s="44"/>
      <c r="I58" s="45"/>
      <c r="J58" s="82"/>
      <c r="K58" s="82"/>
      <c r="L58" s="35"/>
      <c r="M58" s="35"/>
      <c r="N58" s="46"/>
      <c r="O58" s="47"/>
      <c r="P58" s="48"/>
      <c r="Q58" s="34"/>
      <c r="R58" s="500"/>
      <c r="S58" s="500"/>
      <c r="T58" s="37"/>
      <c r="U58" s="37"/>
      <c r="V58" s="37"/>
      <c r="W58" s="37"/>
      <c r="X58" s="38"/>
      <c r="Y58" s="211"/>
      <c r="Z58" s="37"/>
      <c r="AA58" s="37"/>
      <c r="AB58" s="37"/>
      <c r="AC58" s="37"/>
      <c r="AD58" s="37">
        <f>+AM58+BA58</f>
        <v>1440</v>
      </c>
      <c r="AE58" s="232" t="s">
        <v>409</v>
      </c>
      <c r="AF58" s="37"/>
      <c r="AG58" s="37"/>
      <c r="AH58" s="37"/>
      <c r="AI58" s="502"/>
      <c r="AJ58" s="37"/>
      <c r="AK58" s="37"/>
      <c r="AL58" s="37"/>
      <c r="AM58" s="37">
        <f t="shared" si="16"/>
        <v>0</v>
      </c>
      <c r="AN58" s="37"/>
      <c r="AO58" s="37"/>
      <c r="AP58" s="37"/>
      <c r="AQ58" s="37"/>
      <c r="AR58" s="37">
        <f t="shared" si="17"/>
        <v>0</v>
      </c>
      <c r="AS58" s="37"/>
      <c r="AT58" s="37"/>
      <c r="AU58" s="37"/>
      <c r="AV58" s="37"/>
      <c r="AW58" s="37"/>
      <c r="AX58" s="37"/>
      <c r="AY58" s="37"/>
      <c r="AZ58" s="37">
        <v>1440</v>
      </c>
      <c r="BA58" s="37">
        <f>+AR58+AS58+AU58+AW58+AY58+AZ58</f>
        <v>1440</v>
      </c>
      <c r="BB58" s="50"/>
      <c r="BC58" s="51"/>
      <c r="BD58" s="51"/>
      <c r="BE58" s="33"/>
      <c r="BF58" s="51"/>
    </row>
    <row r="59" spans="1:58" ht="12.75" customHeight="1">
      <c r="A59" s="40"/>
      <c r="B59" s="41"/>
      <c r="C59" s="414"/>
      <c r="D59" s="41"/>
      <c r="E59" s="42"/>
      <c r="F59" s="42"/>
      <c r="G59" s="43"/>
      <c r="H59" s="44"/>
      <c r="I59" s="45"/>
      <c r="J59" s="82"/>
      <c r="K59" s="82"/>
      <c r="L59" s="35"/>
      <c r="M59" s="35"/>
      <c r="N59" s="46"/>
      <c r="O59" s="47"/>
      <c r="P59" s="48"/>
      <c r="Q59" s="47"/>
      <c r="R59" s="500"/>
      <c r="S59" s="500"/>
      <c r="T59" s="37"/>
      <c r="U59" s="37"/>
      <c r="V59" s="37"/>
      <c r="W59" s="37"/>
      <c r="X59" s="38"/>
      <c r="Y59" s="211"/>
      <c r="Z59" s="37"/>
      <c r="AA59" s="37"/>
      <c r="AB59" s="37"/>
      <c r="AC59" s="37"/>
      <c r="AD59" s="37"/>
      <c r="AE59" s="232"/>
      <c r="AF59" s="37"/>
      <c r="AG59" s="37"/>
      <c r="AH59" s="37"/>
      <c r="AI59" s="37"/>
      <c r="AJ59" s="37"/>
      <c r="AK59" s="37"/>
      <c r="AL59" s="37"/>
      <c r="AM59" s="37"/>
      <c r="AN59" s="37"/>
      <c r="AO59" s="37"/>
      <c r="AP59" s="37"/>
      <c r="AQ59" s="37"/>
      <c r="AR59" s="37"/>
      <c r="AS59" s="37"/>
      <c r="AT59" s="37"/>
      <c r="AU59" s="37"/>
      <c r="AV59" s="37"/>
      <c r="AW59" s="37"/>
      <c r="AX59" s="37"/>
      <c r="AY59" s="37"/>
      <c r="AZ59" s="37"/>
      <c r="BA59" s="37"/>
      <c r="BB59" s="33"/>
      <c r="BC59" s="51"/>
      <c r="BD59" s="51"/>
      <c r="BE59" s="51"/>
      <c r="BF59" s="51"/>
    </row>
    <row r="60" spans="1:58" ht="12.75" customHeight="1">
      <c r="A60" s="40">
        <v>45971</v>
      </c>
      <c r="B60" s="41" t="s">
        <v>406</v>
      </c>
      <c r="C60" s="414">
        <f>(M60*E60*O60*Q60)/100000000</f>
        <v>43.297309439999999</v>
      </c>
      <c r="D60" s="41" t="s">
        <v>300</v>
      </c>
      <c r="E60" s="42">
        <v>12</v>
      </c>
      <c r="F60" s="42">
        <v>1</v>
      </c>
      <c r="G60" s="499">
        <v>1230</v>
      </c>
      <c r="H60" s="44">
        <f>+N60</f>
        <v>0.23417344173441734</v>
      </c>
      <c r="I60" s="45">
        <v>0.88</v>
      </c>
      <c r="J60" s="82">
        <f>E60*G60*(1-H60)*1440/1000000*2.74</f>
        <v>44.599484159999996</v>
      </c>
      <c r="K60" s="82">
        <f>(IF(G60&lt;L60,L60,G60)*(1-IF(H60&lt;N60,H60,N60))*E60*O60*Q60)/100000000</f>
        <v>43.297309439999999</v>
      </c>
      <c r="L60" s="35">
        <v>1230</v>
      </c>
      <c r="M60" s="35">
        <v>941.9666666666667</v>
      </c>
      <c r="N60" s="46">
        <f>1-(M60/L60)</f>
        <v>0.23417344173441734</v>
      </c>
      <c r="O60" s="47">
        <f>+'Trim Rwd'!H22</f>
        <v>266</v>
      </c>
      <c r="P60" s="48">
        <f>O60*(Q60-R60-S60)</f>
        <v>0</v>
      </c>
      <c r="Q60" s="47">
        <v>1440</v>
      </c>
      <c r="R60" s="500">
        <v>1440</v>
      </c>
      <c r="S60" s="500">
        <v>0</v>
      </c>
      <c r="T60" s="37">
        <f>E60*M60*O60*Q60/100000000</f>
        <v>43.297309439999999</v>
      </c>
      <c r="U60" s="37">
        <f>E60*M60*O60*(Q60-R60-S60)/100000000</f>
        <v>0</v>
      </c>
      <c r="V60" s="37">
        <f>E60*G60*(1-N60)*O60/100*(R60+S60)/1000000</f>
        <v>43.297309439999999</v>
      </c>
      <c r="W60" s="37">
        <v>0</v>
      </c>
      <c r="X60" s="501">
        <f>SUM(W60:W64)/SUM(K60:K64)</f>
        <v>0</v>
      </c>
      <c r="Y60" s="211">
        <v>0</v>
      </c>
      <c r="Z60" s="37">
        <v>0</v>
      </c>
      <c r="AA60" s="49">
        <f>SUM(U60:U64)-SUM(W60:W64)-SUM(Z60:Z64)-SUM(Y60:Y64)</f>
        <v>0</v>
      </c>
      <c r="AB60" s="49">
        <f>(SUM(K60:K64)-SUM(W60:W64)-SUM(Y60:Y64)-SUM(Z60:Z64)-SUM(AC60:AC64)-SUM(V60:V64))-AA60</f>
        <v>0</v>
      </c>
      <c r="AC60" s="37">
        <f>K60-T60</f>
        <v>0</v>
      </c>
      <c r="AD60" s="37">
        <f>+AM60+BA60</f>
        <v>0</v>
      </c>
      <c r="AE60" s="229" t="s">
        <v>384</v>
      </c>
      <c r="AF60" s="37">
        <v>0</v>
      </c>
      <c r="AG60" s="37"/>
      <c r="AH60" s="37"/>
      <c r="AI60" s="502"/>
      <c r="AJ60" s="37"/>
      <c r="AK60" s="37"/>
      <c r="AL60" s="37"/>
      <c r="AM60" s="37">
        <f t="shared" ref="AM60:AM64" si="18">SUM(AF60:AL60)+AT60+AV60+AX60</f>
        <v>0</v>
      </c>
      <c r="AN60" s="37"/>
      <c r="AO60" s="37"/>
      <c r="AP60" s="37"/>
      <c r="AQ60" s="37"/>
      <c r="AR60" s="37">
        <f>SUM(AN60:AQ60)</f>
        <v>0</v>
      </c>
      <c r="AS60" s="37"/>
      <c r="AT60" s="37"/>
      <c r="AU60" s="37"/>
      <c r="AV60" s="37"/>
      <c r="AW60" s="37"/>
      <c r="AX60" s="37"/>
      <c r="AY60" s="37"/>
      <c r="AZ60" s="37"/>
      <c r="BA60" s="37">
        <f>+AR60+AS60+AU60+AW60+AY60+AZ60</f>
        <v>0</v>
      </c>
      <c r="BB60" s="33">
        <v>0</v>
      </c>
      <c r="BC60" s="51"/>
      <c r="BD60" s="51"/>
      <c r="BE60" s="33"/>
      <c r="BF60" s="51"/>
    </row>
    <row r="61" spans="1:58" ht="12.95" customHeight="1">
      <c r="A61" s="40"/>
      <c r="B61" s="41"/>
      <c r="C61" s="414"/>
      <c r="D61" s="41"/>
      <c r="E61" s="42"/>
      <c r="F61" s="42"/>
      <c r="G61" s="499"/>
      <c r="H61" s="44"/>
      <c r="I61" s="45"/>
      <c r="J61" s="82"/>
      <c r="K61" s="82"/>
      <c r="L61" s="35"/>
      <c r="M61" s="35"/>
      <c r="N61" s="46"/>
      <c r="O61" s="47"/>
      <c r="P61" s="48"/>
      <c r="Q61" s="47"/>
      <c r="R61" s="500"/>
      <c r="S61" s="500"/>
      <c r="T61" s="37"/>
      <c r="U61" s="37"/>
      <c r="V61" s="37"/>
      <c r="W61" s="37"/>
      <c r="X61" s="38"/>
      <c r="Y61" s="211"/>
      <c r="Z61" s="37"/>
      <c r="AA61" s="37"/>
      <c r="AB61" s="37"/>
      <c r="AC61" s="37"/>
      <c r="AD61" s="37">
        <f>+AM61+BA61</f>
        <v>0</v>
      </c>
      <c r="AE61" s="229" t="s">
        <v>282</v>
      </c>
      <c r="AF61" s="37"/>
      <c r="AG61" s="37">
        <v>0</v>
      </c>
      <c r="AH61" s="37"/>
      <c r="AI61" s="502"/>
      <c r="AJ61" s="37"/>
      <c r="AK61" s="37"/>
      <c r="AL61" s="37"/>
      <c r="AM61" s="37">
        <f t="shared" si="18"/>
        <v>0</v>
      </c>
      <c r="AN61" s="83"/>
      <c r="AO61" s="37"/>
      <c r="AP61" s="37"/>
      <c r="AQ61" s="37"/>
      <c r="AR61" s="37">
        <f t="shared" ref="AR61:AR64" si="19">SUM(AN61:AQ61)</f>
        <v>0</v>
      </c>
      <c r="AS61" s="37"/>
      <c r="AT61" s="37"/>
      <c r="AU61" s="37"/>
      <c r="AV61" s="37"/>
      <c r="AW61" s="37"/>
      <c r="AX61" s="37"/>
      <c r="AY61" s="37"/>
      <c r="AZ61" s="37"/>
      <c r="BA61" s="37">
        <f>+AR61+AS61+AU61+AW61+AY61+AZ61</f>
        <v>0</v>
      </c>
      <c r="BB61" s="50"/>
      <c r="BC61" s="51">
        <v>0</v>
      </c>
      <c r="BD61" s="51"/>
      <c r="BE61" s="50"/>
      <c r="BF61" s="51"/>
    </row>
    <row r="62" spans="1:58" ht="12.95" customHeight="1">
      <c r="A62" s="40"/>
      <c r="B62" s="41"/>
      <c r="C62" s="414"/>
      <c r="D62" s="41"/>
      <c r="E62" s="42"/>
      <c r="F62" s="42"/>
      <c r="G62" s="43"/>
      <c r="H62" s="44"/>
      <c r="I62" s="45"/>
      <c r="J62" s="82"/>
      <c r="K62" s="82"/>
      <c r="L62" s="35"/>
      <c r="M62" s="35"/>
      <c r="N62" s="46"/>
      <c r="O62" s="47"/>
      <c r="P62" s="48"/>
      <c r="Q62" s="47"/>
      <c r="R62" s="500"/>
      <c r="S62" s="500"/>
      <c r="T62" s="37"/>
      <c r="U62" s="37"/>
      <c r="V62" s="37"/>
      <c r="W62" s="37"/>
      <c r="X62" s="38"/>
      <c r="Y62" s="211"/>
      <c r="Z62" s="37"/>
      <c r="AA62" s="37"/>
      <c r="AB62" s="37"/>
      <c r="AC62" s="37"/>
      <c r="AD62" s="37">
        <f>+AM62+BA62</f>
        <v>0</v>
      </c>
      <c r="AE62" s="229" t="s">
        <v>408</v>
      </c>
      <c r="AF62" s="33"/>
      <c r="AG62" s="33"/>
      <c r="AH62" s="33">
        <v>0</v>
      </c>
      <c r="AJ62" s="37"/>
      <c r="AK62" s="37"/>
      <c r="AL62" s="37"/>
      <c r="AM62" s="37">
        <f t="shared" si="18"/>
        <v>0</v>
      </c>
      <c r="AN62" s="37"/>
      <c r="AO62" s="37"/>
      <c r="AP62" s="37"/>
      <c r="AQ62" s="37"/>
      <c r="AR62" s="37">
        <f t="shared" si="19"/>
        <v>0</v>
      </c>
      <c r="AS62" s="37"/>
      <c r="AT62" s="37"/>
      <c r="AU62" s="37"/>
      <c r="AV62" s="37"/>
      <c r="AW62" s="37"/>
      <c r="AX62" s="37"/>
      <c r="AY62" s="37"/>
      <c r="AZ62" s="37"/>
      <c r="BA62" s="37">
        <f>+AR62+AS62+AU62+AW62+AY62+AZ62</f>
        <v>0</v>
      </c>
      <c r="BB62" s="33"/>
      <c r="BC62" s="503"/>
      <c r="BD62" s="503"/>
      <c r="BE62" s="33"/>
      <c r="BF62" s="503"/>
    </row>
    <row r="63" spans="1:58" ht="12.95" customHeight="1">
      <c r="A63" s="40"/>
      <c r="B63" s="41"/>
      <c r="C63" s="414"/>
      <c r="D63" s="41"/>
      <c r="E63" s="42"/>
      <c r="F63" s="42"/>
      <c r="G63" s="43"/>
      <c r="H63" s="44"/>
      <c r="I63" s="45"/>
      <c r="J63" s="82"/>
      <c r="K63" s="82"/>
      <c r="L63" s="35"/>
      <c r="M63" s="35"/>
      <c r="N63" s="46"/>
      <c r="O63" s="47"/>
      <c r="P63" s="48"/>
      <c r="Q63" s="34"/>
      <c r="R63" s="500"/>
      <c r="S63" s="500"/>
      <c r="T63" s="37"/>
      <c r="U63" s="37"/>
      <c r="V63" s="37"/>
      <c r="W63" s="37"/>
      <c r="X63" s="38"/>
      <c r="Y63" s="211"/>
      <c r="Z63" s="37"/>
      <c r="AA63" s="37"/>
      <c r="AB63" s="37"/>
      <c r="AC63" s="37"/>
      <c r="AD63" s="37">
        <f>+AM63+BA63</f>
        <v>0</v>
      </c>
      <c r="AE63" s="232" t="s">
        <v>377</v>
      </c>
      <c r="AF63" s="37"/>
      <c r="AG63" s="37"/>
      <c r="AH63" s="37"/>
      <c r="AI63" s="502">
        <v>0</v>
      </c>
      <c r="AJ63" s="37"/>
      <c r="AK63" s="37"/>
      <c r="AL63" s="37"/>
      <c r="AM63" s="37">
        <f t="shared" si="18"/>
        <v>0</v>
      </c>
      <c r="AN63" s="37"/>
      <c r="AO63" s="37"/>
      <c r="AP63" s="37"/>
      <c r="AQ63" s="37"/>
      <c r="AR63" s="37">
        <f t="shared" si="19"/>
        <v>0</v>
      </c>
      <c r="AS63" s="37"/>
      <c r="AT63" s="37"/>
      <c r="AU63" s="37"/>
      <c r="AV63" s="37"/>
      <c r="AW63" s="37"/>
      <c r="AX63" s="37"/>
      <c r="AY63" s="37"/>
      <c r="AZ63" s="37"/>
      <c r="BA63" s="37">
        <f>+AR63+AS63+AU63+AW63+AY63+AZ63</f>
        <v>0</v>
      </c>
      <c r="BB63" s="50"/>
      <c r="BC63" s="51"/>
      <c r="BD63" s="51"/>
      <c r="BE63" s="50"/>
      <c r="BF63" s="51"/>
    </row>
    <row r="64" spans="1:58" ht="12.95" customHeight="1">
      <c r="A64" s="40"/>
      <c r="B64" s="41"/>
      <c r="C64" s="414"/>
      <c r="D64" s="41"/>
      <c r="E64" s="42"/>
      <c r="F64" s="42"/>
      <c r="G64" s="43"/>
      <c r="H64" s="44"/>
      <c r="I64" s="45"/>
      <c r="J64" s="82"/>
      <c r="K64" s="82"/>
      <c r="L64" s="35"/>
      <c r="M64" s="35"/>
      <c r="N64" s="46"/>
      <c r="O64" s="47"/>
      <c r="P64" s="48"/>
      <c r="Q64" s="34"/>
      <c r="R64" s="500"/>
      <c r="S64" s="500"/>
      <c r="T64" s="37"/>
      <c r="U64" s="37"/>
      <c r="V64" s="37"/>
      <c r="W64" s="37"/>
      <c r="X64" s="38"/>
      <c r="Y64" s="211"/>
      <c r="Z64" s="37"/>
      <c r="AA64" s="37"/>
      <c r="AB64" s="37"/>
      <c r="AC64" s="37"/>
      <c r="AD64" s="37">
        <f>+AM64+BA64</f>
        <v>1440</v>
      </c>
      <c r="AE64" s="232" t="s">
        <v>409</v>
      </c>
      <c r="AF64" s="37"/>
      <c r="AG64" s="37"/>
      <c r="AH64" s="37"/>
      <c r="AI64" s="502"/>
      <c r="AJ64" s="37"/>
      <c r="AK64" s="37"/>
      <c r="AL64" s="37"/>
      <c r="AM64" s="37">
        <f t="shared" si="18"/>
        <v>0</v>
      </c>
      <c r="AN64" s="37"/>
      <c r="AO64" s="37"/>
      <c r="AP64" s="37"/>
      <c r="AQ64" s="37"/>
      <c r="AR64" s="37">
        <f t="shared" si="19"/>
        <v>0</v>
      </c>
      <c r="AS64" s="37"/>
      <c r="AT64" s="37"/>
      <c r="AU64" s="37"/>
      <c r="AV64" s="37"/>
      <c r="AW64" s="37"/>
      <c r="AX64" s="37"/>
      <c r="AY64" s="37"/>
      <c r="AZ64" s="37">
        <v>1440</v>
      </c>
      <c r="BA64" s="37">
        <f>+AR64+AS64+AU64+AW64+AY64+AZ64</f>
        <v>1440</v>
      </c>
      <c r="BB64" s="50"/>
      <c r="BC64" s="51"/>
      <c r="BD64" s="51"/>
      <c r="BE64" s="33"/>
      <c r="BF64" s="51"/>
    </row>
    <row r="65" spans="1:58" ht="12.95" customHeight="1">
      <c r="A65" s="40"/>
      <c r="B65" s="41"/>
      <c r="C65" s="414"/>
      <c r="D65" s="41"/>
      <c r="E65" s="42"/>
      <c r="F65" s="42"/>
      <c r="G65" s="499"/>
      <c r="H65" s="44"/>
      <c r="I65" s="45"/>
      <c r="J65" s="82"/>
      <c r="K65" s="82"/>
      <c r="L65" s="35"/>
      <c r="M65" s="35"/>
      <c r="N65" s="46"/>
      <c r="O65" s="47"/>
      <c r="P65" s="48"/>
      <c r="Q65" s="47"/>
      <c r="R65" s="500"/>
      <c r="S65" s="500"/>
      <c r="T65" s="37"/>
      <c r="U65" s="37"/>
      <c r="V65" s="37"/>
      <c r="W65" s="37"/>
      <c r="X65" s="501"/>
      <c r="Y65" s="211"/>
      <c r="Z65" s="37"/>
      <c r="AA65" s="49"/>
      <c r="AB65" s="49"/>
      <c r="AC65" s="37"/>
      <c r="AD65" s="37"/>
      <c r="AE65" s="229"/>
      <c r="AF65" s="37"/>
      <c r="AG65" s="37"/>
      <c r="AH65" s="37"/>
      <c r="AI65" s="37"/>
      <c r="AJ65" s="37"/>
      <c r="AK65" s="37"/>
      <c r="AL65" s="37"/>
      <c r="AM65" s="37"/>
      <c r="AN65" s="37"/>
      <c r="AO65" s="37"/>
      <c r="AP65" s="37"/>
      <c r="AQ65" s="37"/>
      <c r="AR65" s="37"/>
      <c r="AS65" s="37"/>
      <c r="AT65" s="37"/>
      <c r="AU65" s="37"/>
      <c r="AV65" s="37"/>
      <c r="AW65" s="37"/>
      <c r="AX65" s="37"/>
      <c r="AY65" s="37"/>
      <c r="AZ65" s="37"/>
      <c r="BA65" s="37"/>
      <c r="BB65" s="33"/>
      <c r="BC65" s="51"/>
      <c r="BD65" s="51"/>
      <c r="BE65" s="51"/>
      <c r="BF65" s="51"/>
    </row>
    <row r="66" spans="1:58" ht="12.75" customHeight="1">
      <c r="A66" s="40">
        <v>45972</v>
      </c>
      <c r="B66" s="41" t="s">
        <v>406</v>
      </c>
      <c r="C66" s="414">
        <f>(M66*E66*O66*Q66)/100000000</f>
        <v>43.297309439999999</v>
      </c>
      <c r="D66" s="41" t="s">
        <v>300</v>
      </c>
      <c r="E66" s="42">
        <v>12</v>
      </c>
      <c r="F66" s="42">
        <v>1</v>
      </c>
      <c r="G66" s="499">
        <v>1230</v>
      </c>
      <c r="H66" s="44">
        <f>+N66</f>
        <v>0.23417344173441734</v>
      </c>
      <c r="I66" s="45">
        <v>0.88</v>
      </c>
      <c r="J66" s="82">
        <f>E66*G66*(1-H66)*1440/1000000*2.74</f>
        <v>44.599484159999996</v>
      </c>
      <c r="K66" s="82">
        <f>(IF(G66&lt;L66,L66,G66)*(1-IF(H66&lt;N66,H66,N66))*E66*O66*Q66)/100000000</f>
        <v>43.297309439999999</v>
      </c>
      <c r="L66" s="35">
        <v>1230</v>
      </c>
      <c r="M66" s="35">
        <v>941.9666666666667</v>
      </c>
      <c r="N66" s="46">
        <f>1-(M66/L66)</f>
        <v>0.23417344173441734</v>
      </c>
      <c r="O66" s="47">
        <f>+'Trim Rwd'!H24</f>
        <v>266</v>
      </c>
      <c r="P66" s="48">
        <f>O66*(Q66-R66-S66)</f>
        <v>0</v>
      </c>
      <c r="Q66" s="47">
        <v>1440</v>
      </c>
      <c r="R66" s="500">
        <v>1440</v>
      </c>
      <c r="S66" s="500">
        <v>0</v>
      </c>
      <c r="T66" s="37">
        <f>E66*M66*O66*Q66/100000000</f>
        <v>43.297309439999999</v>
      </c>
      <c r="U66" s="37">
        <f>E66*M66*O66*(Q66-R66-S66)/100000000</f>
        <v>0</v>
      </c>
      <c r="V66" s="37">
        <f>E66*G66*(1-N66)*O66/100*(R66+S66)/1000000</f>
        <v>43.297309439999999</v>
      </c>
      <c r="W66" s="37">
        <v>0</v>
      </c>
      <c r="X66" s="501">
        <f>SUM(W66:W70)/SUM(K66:K70)</f>
        <v>0</v>
      </c>
      <c r="Y66" s="211">
        <v>0</v>
      </c>
      <c r="Z66" s="37">
        <v>0</v>
      </c>
      <c r="AA66" s="49">
        <f>SUM(U66:U70)-SUM(W66:W70)-SUM(Z66:Z70)-SUM(Y66:Y70)</f>
        <v>0</v>
      </c>
      <c r="AB66" s="49">
        <f>(SUM(K66:K70)-SUM(W66:W70)-SUM(Y66:Y70)-SUM(Z66:Z70)-SUM(AC66:AC70)-SUM(V66:V70))-AA66</f>
        <v>0</v>
      </c>
      <c r="AC66" s="37">
        <f>K66-T66</f>
        <v>0</v>
      </c>
      <c r="AD66" s="37">
        <f>+AM66+BA66</f>
        <v>0</v>
      </c>
      <c r="AE66" s="229" t="s">
        <v>384</v>
      </c>
      <c r="AF66" s="37">
        <v>0</v>
      </c>
      <c r="AG66" s="37"/>
      <c r="AH66" s="37"/>
      <c r="AI66" s="502"/>
      <c r="AJ66" s="37"/>
      <c r="AK66" s="37"/>
      <c r="AL66" s="37"/>
      <c r="AM66" s="37">
        <f t="shared" ref="AM66:AM70" si="20">SUM(AF66:AL66)+AT66+AV66+AX66</f>
        <v>0</v>
      </c>
      <c r="AN66" s="37"/>
      <c r="AO66" s="37"/>
      <c r="AP66" s="37"/>
      <c r="AQ66" s="37"/>
      <c r="AR66" s="37">
        <f>SUM(AN66:AQ66)</f>
        <v>0</v>
      </c>
      <c r="AS66" s="37"/>
      <c r="AT66" s="37"/>
      <c r="AU66" s="37"/>
      <c r="AV66" s="37"/>
      <c r="AW66" s="37"/>
      <c r="AX66" s="37"/>
      <c r="AY66" s="37"/>
      <c r="AZ66" s="37"/>
      <c r="BA66" s="37">
        <f>+AR66+AS66+AU66+AW66+AY66+AZ66</f>
        <v>0</v>
      </c>
      <c r="BB66" s="33">
        <v>0</v>
      </c>
      <c r="BC66" s="51"/>
      <c r="BD66" s="51"/>
      <c r="BE66" s="33"/>
      <c r="BF66" s="51"/>
    </row>
    <row r="67" spans="1:58" ht="12.95" customHeight="1">
      <c r="A67" s="40"/>
      <c r="B67" s="41"/>
      <c r="C67" s="414"/>
      <c r="D67" s="41"/>
      <c r="E67" s="42"/>
      <c r="F67" s="42"/>
      <c r="G67" s="499"/>
      <c r="H67" s="44"/>
      <c r="I67" s="45"/>
      <c r="J67" s="82"/>
      <c r="K67" s="82"/>
      <c r="L67" s="35"/>
      <c r="M67" s="35"/>
      <c r="N67" s="46"/>
      <c r="O67" s="47"/>
      <c r="P67" s="48"/>
      <c r="Q67" s="47"/>
      <c r="R67" s="500"/>
      <c r="S67" s="500"/>
      <c r="T67" s="37"/>
      <c r="U67" s="37"/>
      <c r="V67" s="37"/>
      <c r="W67" s="37"/>
      <c r="X67" s="38"/>
      <c r="Y67" s="211"/>
      <c r="Z67" s="37"/>
      <c r="AA67" s="37"/>
      <c r="AB67" s="37"/>
      <c r="AC67" s="37"/>
      <c r="AD67" s="37">
        <f>+AM67+BA67</f>
        <v>0</v>
      </c>
      <c r="AE67" s="229" t="s">
        <v>282</v>
      </c>
      <c r="AF67" s="37"/>
      <c r="AG67" s="37">
        <v>0</v>
      </c>
      <c r="AH67" s="37"/>
      <c r="AI67" s="502"/>
      <c r="AJ67" s="37"/>
      <c r="AK67" s="37"/>
      <c r="AL67" s="37"/>
      <c r="AM67" s="37">
        <f t="shared" si="20"/>
        <v>0</v>
      </c>
      <c r="AN67" s="83"/>
      <c r="AO67" s="37"/>
      <c r="AP67" s="37"/>
      <c r="AQ67" s="37"/>
      <c r="AR67" s="37">
        <f t="shared" ref="AR67:AR70" si="21">SUM(AN67:AQ67)</f>
        <v>0</v>
      </c>
      <c r="AS67" s="37"/>
      <c r="AT67" s="37"/>
      <c r="AU67" s="37"/>
      <c r="AV67" s="37"/>
      <c r="AW67" s="37"/>
      <c r="AX67" s="37"/>
      <c r="AY67" s="37"/>
      <c r="AZ67" s="37"/>
      <c r="BA67" s="37">
        <f>+AR67+AS67+AU67+AW67+AY67+AZ67</f>
        <v>0</v>
      </c>
      <c r="BB67" s="50"/>
      <c r="BC67" s="51">
        <v>0</v>
      </c>
      <c r="BD67" s="51"/>
      <c r="BE67" s="50"/>
      <c r="BF67" s="51"/>
    </row>
    <row r="68" spans="1:58" ht="12.95" customHeight="1">
      <c r="A68" s="40"/>
      <c r="B68" s="41"/>
      <c r="C68" s="414"/>
      <c r="D68" s="41"/>
      <c r="E68" s="42"/>
      <c r="F68" s="42"/>
      <c r="G68" s="43"/>
      <c r="H68" s="44"/>
      <c r="I68" s="45"/>
      <c r="J68" s="82"/>
      <c r="K68" s="82"/>
      <c r="L68" s="35"/>
      <c r="M68" s="35"/>
      <c r="N68" s="46"/>
      <c r="O68" s="47"/>
      <c r="P68" s="48"/>
      <c r="Q68" s="47"/>
      <c r="R68" s="500"/>
      <c r="S68" s="500"/>
      <c r="T68" s="37"/>
      <c r="U68" s="37"/>
      <c r="V68" s="37"/>
      <c r="W68" s="37"/>
      <c r="X68" s="38"/>
      <c r="Y68" s="211"/>
      <c r="Z68" s="37"/>
      <c r="AA68" s="37"/>
      <c r="AB68" s="37"/>
      <c r="AC68" s="37"/>
      <c r="AD68" s="37">
        <f>+AM68+BA68</f>
        <v>0</v>
      </c>
      <c r="AE68" s="229" t="s">
        <v>408</v>
      </c>
      <c r="AF68" s="33"/>
      <c r="AG68" s="33"/>
      <c r="AH68" s="33">
        <v>0</v>
      </c>
      <c r="AJ68" s="37"/>
      <c r="AK68" s="37"/>
      <c r="AL68" s="37"/>
      <c r="AM68" s="37">
        <f t="shared" si="20"/>
        <v>0</v>
      </c>
      <c r="AN68" s="37"/>
      <c r="AO68" s="37"/>
      <c r="AP68" s="37"/>
      <c r="AQ68" s="37"/>
      <c r="AR68" s="37">
        <f t="shared" si="21"/>
        <v>0</v>
      </c>
      <c r="AS68" s="37"/>
      <c r="AT68" s="37"/>
      <c r="AU68" s="37"/>
      <c r="AV68" s="37"/>
      <c r="AW68" s="37"/>
      <c r="AX68" s="37"/>
      <c r="AY68" s="37"/>
      <c r="AZ68" s="37"/>
      <c r="BA68" s="37">
        <f>+AR68+AS68+AU68+AW68+AY68+AZ68</f>
        <v>0</v>
      </c>
      <c r="BB68" s="33"/>
      <c r="BC68" s="503"/>
      <c r="BD68" s="503"/>
      <c r="BE68" s="33"/>
      <c r="BF68" s="503"/>
    </row>
    <row r="69" spans="1:58" ht="12.95" customHeight="1">
      <c r="A69" s="40"/>
      <c r="B69" s="41"/>
      <c r="C69" s="414"/>
      <c r="D69" s="41"/>
      <c r="E69" s="42"/>
      <c r="F69" s="42"/>
      <c r="G69" s="43"/>
      <c r="H69" s="44"/>
      <c r="I69" s="45"/>
      <c r="J69" s="82"/>
      <c r="K69" s="82"/>
      <c r="L69" s="35"/>
      <c r="M69" s="35"/>
      <c r="N69" s="46"/>
      <c r="O69" s="47"/>
      <c r="P69" s="48"/>
      <c r="Q69" s="34"/>
      <c r="R69" s="500"/>
      <c r="S69" s="500"/>
      <c r="T69" s="37"/>
      <c r="U69" s="37"/>
      <c r="V69" s="37"/>
      <c r="W69" s="37"/>
      <c r="X69" s="38"/>
      <c r="Y69" s="211"/>
      <c r="Z69" s="37"/>
      <c r="AA69" s="37"/>
      <c r="AB69" s="37"/>
      <c r="AC69" s="37"/>
      <c r="AD69" s="37">
        <f>+AM69+BA69</f>
        <v>0</v>
      </c>
      <c r="AE69" s="232" t="s">
        <v>377</v>
      </c>
      <c r="AF69" s="37"/>
      <c r="AG69" s="37"/>
      <c r="AH69" s="37"/>
      <c r="AI69" s="502">
        <v>0</v>
      </c>
      <c r="AJ69" s="37"/>
      <c r="AK69" s="37"/>
      <c r="AL69" s="37"/>
      <c r="AM69" s="37">
        <f t="shared" si="20"/>
        <v>0</v>
      </c>
      <c r="AN69" s="37"/>
      <c r="AO69" s="37"/>
      <c r="AP69" s="37"/>
      <c r="AQ69" s="37"/>
      <c r="AR69" s="37">
        <f t="shared" si="21"/>
        <v>0</v>
      </c>
      <c r="AS69" s="37"/>
      <c r="AT69" s="37"/>
      <c r="AU69" s="37"/>
      <c r="AV69" s="37"/>
      <c r="AW69" s="37"/>
      <c r="AX69" s="37"/>
      <c r="AY69" s="37"/>
      <c r="AZ69" s="37"/>
      <c r="BA69" s="37">
        <f>+AR69+AS69+AU69+AW69+AY69+AZ69</f>
        <v>0</v>
      </c>
      <c r="BB69" s="50"/>
      <c r="BC69" s="51"/>
      <c r="BD69" s="51"/>
      <c r="BE69" s="50"/>
      <c r="BF69" s="51"/>
    </row>
    <row r="70" spans="1:58" ht="12.95" customHeight="1">
      <c r="A70" s="40"/>
      <c r="B70" s="41"/>
      <c r="C70" s="414"/>
      <c r="D70" s="41"/>
      <c r="E70" s="42"/>
      <c r="F70" s="42"/>
      <c r="G70" s="43"/>
      <c r="H70" s="44"/>
      <c r="I70" s="45"/>
      <c r="J70" s="82"/>
      <c r="K70" s="82"/>
      <c r="L70" s="35"/>
      <c r="M70" s="35"/>
      <c r="N70" s="46"/>
      <c r="O70" s="47"/>
      <c r="P70" s="48"/>
      <c r="Q70" s="34"/>
      <c r="R70" s="500"/>
      <c r="S70" s="500"/>
      <c r="T70" s="37"/>
      <c r="U70" s="37"/>
      <c r="V70" s="37"/>
      <c r="W70" s="37"/>
      <c r="X70" s="38"/>
      <c r="Y70" s="211"/>
      <c r="Z70" s="37"/>
      <c r="AA70" s="37"/>
      <c r="AB70" s="37"/>
      <c r="AC70" s="37"/>
      <c r="AD70" s="37">
        <f>+AM70+BA70</f>
        <v>1440</v>
      </c>
      <c r="AE70" s="232" t="s">
        <v>409</v>
      </c>
      <c r="AF70" s="37"/>
      <c r="AG70" s="37"/>
      <c r="AH70" s="37"/>
      <c r="AI70" s="502"/>
      <c r="AJ70" s="37"/>
      <c r="AK70" s="37"/>
      <c r="AL70" s="37"/>
      <c r="AM70" s="37">
        <f t="shared" si="20"/>
        <v>0</v>
      </c>
      <c r="AN70" s="37"/>
      <c r="AO70" s="37"/>
      <c r="AP70" s="37"/>
      <c r="AQ70" s="37"/>
      <c r="AR70" s="37">
        <f t="shared" si="21"/>
        <v>0</v>
      </c>
      <c r="AS70" s="37"/>
      <c r="AT70" s="37"/>
      <c r="AU70" s="37"/>
      <c r="AV70" s="37"/>
      <c r="AW70" s="37"/>
      <c r="AX70" s="37"/>
      <c r="AY70" s="37"/>
      <c r="AZ70" s="37">
        <v>1440</v>
      </c>
      <c r="BA70" s="37">
        <f>+AR70+AS70+AU70+AW70+AY70+AZ70</f>
        <v>1440</v>
      </c>
      <c r="BB70" s="50"/>
      <c r="BC70" s="51"/>
      <c r="BD70" s="51"/>
      <c r="BE70" s="33"/>
      <c r="BF70" s="51"/>
    </row>
    <row r="71" spans="1:58" ht="12.95" customHeight="1">
      <c r="A71" s="40"/>
      <c r="B71" s="41"/>
      <c r="C71" s="414"/>
      <c r="D71" s="41"/>
      <c r="E71" s="42"/>
      <c r="F71" s="42"/>
      <c r="G71" s="43"/>
      <c r="H71" s="44"/>
      <c r="I71" s="45"/>
      <c r="J71" s="82"/>
      <c r="K71" s="82"/>
      <c r="L71" s="35"/>
      <c r="M71" s="35"/>
      <c r="N71" s="46"/>
      <c r="O71" s="47"/>
      <c r="P71" s="48"/>
      <c r="Q71" s="47"/>
      <c r="R71" s="500"/>
      <c r="S71" s="500"/>
      <c r="T71" s="37"/>
      <c r="U71" s="37"/>
      <c r="V71" s="37"/>
      <c r="W71" s="37"/>
      <c r="X71" s="501"/>
      <c r="Y71" s="211"/>
      <c r="Z71" s="37"/>
      <c r="AA71" s="49"/>
      <c r="AB71" s="49"/>
      <c r="AC71" s="37"/>
      <c r="AD71" s="37"/>
      <c r="AE71" s="229"/>
      <c r="AF71" s="37"/>
      <c r="AG71" s="37"/>
      <c r="AH71" s="37"/>
      <c r="AI71" s="37"/>
      <c r="AJ71" s="37"/>
      <c r="AK71" s="37"/>
      <c r="AL71" s="37"/>
      <c r="AM71" s="37"/>
      <c r="AN71" s="37"/>
      <c r="AO71" s="37"/>
      <c r="AP71" s="37"/>
      <c r="AQ71" s="37"/>
      <c r="AR71" s="37"/>
      <c r="AS71" s="37"/>
      <c r="AT71" s="37"/>
      <c r="AU71" s="37"/>
      <c r="AV71" s="37"/>
      <c r="AW71" s="37"/>
      <c r="AX71" s="37"/>
      <c r="AY71" s="37"/>
      <c r="AZ71" s="37"/>
      <c r="BA71" s="37"/>
      <c r="BB71" s="33"/>
      <c r="BC71" s="51"/>
      <c r="BD71" s="51"/>
      <c r="BE71" s="33"/>
      <c r="BF71" s="51"/>
    </row>
    <row r="72" spans="1:58" ht="12.75" customHeight="1">
      <c r="A72" s="40">
        <v>45973</v>
      </c>
      <c r="B72" s="41" t="s">
        <v>406</v>
      </c>
      <c r="C72" s="414">
        <f>(M72*E72*O72*Q72)/100000000</f>
        <v>43.297309439999999</v>
      </c>
      <c r="D72" s="41" t="s">
        <v>300</v>
      </c>
      <c r="E72" s="42">
        <v>12</v>
      </c>
      <c r="F72" s="42">
        <v>1</v>
      </c>
      <c r="G72" s="499">
        <v>1230</v>
      </c>
      <c r="H72" s="44">
        <f>+N72</f>
        <v>0.23417344173441734</v>
      </c>
      <c r="I72" s="45">
        <v>0.88</v>
      </c>
      <c r="J72" s="82">
        <f>E72*G72*(1-H72)*1440/1000000*2.74</f>
        <v>44.599484159999996</v>
      </c>
      <c r="K72" s="82">
        <f>(IF(G72&lt;L72,L72,G72)*(1-IF(H72&lt;N72,H72,N72))*E72*O72*Q72)/100000000</f>
        <v>43.297309439999999</v>
      </c>
      <c r="L72" s="35">
        <v>1230</v>
      </c>
      <c r="M72" s="35">
        <v>941.9666666666667</v>
      </c>
      <c r="N72" s="46">
        <f>1-(M72/L72)</f>
        <v>0.23417344173441734</v>
      </c>
      <c r="O72" s="47">
        <f>+'Trim Rwd'!H26</f>
        <v>266</v>
      </c>
      <c r="P72" s="48">
        <f>O72*(Q72-R72-S72)</f>
        <v>0</v>
      </c>
      <c r="Q72" s="47">
        <v>1440</v>
      </c>
      <c r="R72" s="500">
        <v>1440</v>
      </c>
      <c r="S72" s="500">
        <v>0</v>
      </c>
      <c r="T72" s="37">
        <f>E72*M72*O72*Q72/100000000</f>
        <v>43.297309439999999</v>
      </c>
      <c r="U72" s="37">
        <f>E72*M72*O72*(Q72-R72-S72)/100000000</f>
        <v>0</v>
      </c>
      <c r="V72" s="37">
        <f>E72*G72*(1-N72)*O72/100*(R72+S72)/1000000</f>
        <v>43.297309439999999</v>
      </c>
      <c r="W72" s="37">
        <v>0</v>
      </c>
      <c r="X72" s="501">
        <f>SUM(W72:W76)/SUM(K72:K76)</f>
        <v>0</v>
      </c>
      <c r="Y72" s="211">
        <v>0</v>
      </c>
      <c r="Z72" s="37">
        <v>0</v>
      </c>
      <c r="AA72" s="49">
        <f>SUM(U72:U76)-SUM(W72:W76)-SUM(Z72:Z76)-SUM(Y72:Y76)</f>
        <v>0</v>
      </c>
      <c r="AB72" s="49">
        <f>(SUM(K72:K76)-SUM(W72:W76)-SUM(Y72:Y76)-SUM(Z72:Z76)-SUM(AC72:AC76)-SUM(V72:V76))-AA72</f>
        <v>0</v>
      </c>
      <c r="AC72" s="37">
        <f>K72-T72</f>
        <v>0</v>
      </c>
      <c r="AD72" s="37">
        <f>+AM72+BA72</f>
        <v>0</v>
      </c>
      <c r="AE72" s="229" t="s">
        <v>384</v>
      </c>
      <c r="AF72" s="37">
        <v>0</v>
      </c>
      <c r="AG72" s="37"/>
      <c r="AH72" s="37"/>
      <c r="AI72" s="502"/>
      <c r="AJ72" s="37"/>
      <c r="AK72" s="37"/>
      <c r="AL72" s="37"/>
      <c r="AM72" s="37">
        <f t="shared" ref="AM72:AM76" si="22">SUM(AF72:AL72)+AT72+AV72+AX72</f>
        <v>0</v>
      </c>
      <c r="AN72" s="37"/>
      <c r="AO72" s="37"/>
      <c r="AP72" s="37"/>
      <c r="AQ72" s="37"/>
      <c r="AR72" s="37">
        <f>SUM(AN72:AQ72)</f>
        <v>0</v>
      </c>
      <c r="AS72" s="37"/>
      <c r="AT72" s="37"/>
      <c r="AU72" s="37"/>
      <c r="AV72" s="37"/>
      <c r="AW72" s="37"/>
      <c r="AX72" s="37"/>
      <c r="AY72" s="37"/>
      <c r="AZ72" s="37"/>
      <c r="BA72" s="37">
        <f>+AR72+AS72+AU72+AW72+AY72+AZ72</f>
        <v>0</v>
      </c>
      <c r="BB72" s="33">
        <v>0</v>
      </c>
      <c r="BC72" s="51"/>
      <c r="BD72" s="51"/>
      <c r="BE72" s="33"/>
      <c r="BF72" s="51"/>
    </row>
    <row r="73" spans="1:58" ht="12.95" customHeight="1">
      <c r="A73" s="40"/>
      <c r="B73" s="41"/>
      <c r="C73" s="414"/>
      <c r="D73" s="41"/>
      <c r="E73" s="42"/>
      <c r="F73" s="42"/>
      <c r="G73" s="499"/>
      <c r="H73" s="44"/>
      <c r="I73" s="45"/>
      <c r="J73" s="82"/>
      <c r="K73" s="82"/>
      <c r="L73" s="35"/>
      <c r="M73" s="35"/>
      <c r="N73" s="46"/>
      <c r="O73" s="47"/>
      <c r="P73" s="48"/>
      <c r="Q73" s="47"/>
      <c r="R73" s="500"/>
      <c r="S73" s="500"/>
      <c r="T73" s="37"/>
      <c r="U73" s="37"/>
      <c r="V73" s="37"/>
      <c r="W73" s="37"/>
      <c r="X73" s="38"/>
      <c r="Y73" s="211"/>
      <c r="Z73" s="37"/>
      <c r="AA73" s="37"/>
      <c r="AB73" s="37"/>
      <c r="AC73" s="37"/>
      <c r="AD73" s="37">
        <f>+AM73+BA73</f>
        <v>0</v>
      </c>
      <c r="AE73" s="229" t="s">
        <v>282</v>
      </c>
      <c r="AF73" s="37"/>
      <c r="AG73" s="37">
        <v>0</v>
      </c>
      <c r="AH73" s="37"/>
      <c r="AI73" s="502"/>
      <c r="AJ73" s="37"/>
      <c r="AK73" s="37"/>
      <c r="AL73" s="37"/>
      <c r="AM73" s="37">
        <f t="shared" si="22"/>
        <v>0</v>
      </c>
      <c r="AN73" s="83"/>
      <c r="AO73" s="37"/>
      <c r="AP73" s="37"/>
      <c r="AQ73" s="37"/>
      <c r="AR73" s="37">
        <f t="shared" ref="AR73:AR76" si="23">SUM(AN73:AQ73)</f>
        <v>0</v>
      </c>
      <c r="AS73" s="37"/>
      <c r="AT73" s="37"/>
      <c r="AU73" s="37"/>
      <c r="AV73" s="37"/>
      <c r="AW73" s="37"/>
      <c r="AX73" s="37"/>
      <c r="AY73" s="37"/>
      <c r="AZ73" s="37"/>
      <c r="BA73" s="37">
        <f>+AR73+AS73+AU73+AW73+AY73+AZ73</f>
        <v>0</v>
      </c>
      <c r="BB73" s="50"/>
      <c r="BC73" s="51">
        <v>0</v>
      </c>
      <c r="BD73" s="51"/>
      <c r="BE73" s="50"/>
      <c r="BF73" s="51"/>
    </row>
    <row r="74" spans="1:58" ht="12.95" customHeight="1">
      <c r="A74" s="40"/>
      <c r="B74" s="41"/>
      <c r="C74" s="414"/>
      <c r="D74" s="41"/>
      <c r="E74" s="42"/>
      <c r="F74" s="42"/>
      <c r="G74" s="43"/>
      <c r="H74" s="44"/>
      <c r="I74" s="45"/>
      <c r="J74" s="82"/>
      <c r="K74" s="82"/>
      <c r="L74" s="35"/>
      <c r="M74" s="35"/>
      <c r="N74" s="46"/>
      <c r="O74" s="47"/>
      <c r="P74" s="48"/>
      <c r="Q74" s="47"/>
      <c r="R74" s="500"/>
      <c r="S74" s="500"/>
      <c r="T74" s="37"/>
      <c r="U74" s="37"/>
      <c r="V74" s="37"/>
      <c r="W74" s="37"/>
      <c r="X74" s="38"/>
      <c r="Y74" s="211"/>
      <c r="Z74" s="37"/>
      <c r="AA74" s="37"/>
      <c r="AB74" s="37"/>
      <c r="AC74" s="37"/>
      <c r="AD74" s="37">
        <f>+AM74+BA74</f>
        <v>0</v>
      </c>
      <c r="AE74" s="229" t="s">
        <v>408</v>
      </c>
      <c r="AF74" s="33"/>
      <c r="AG74" s="33"/>
      <c r="AH74" s="33">
        <v>0</v>
      </c>
      <c r="AJ74" s="37"/>
      <c r="AK74" s="37"/>
      <c r="AL74" s="37"/>
      <c r="AM74" s="37">
        <f t="shared" si="22"/>
        <v>0</v>
      </c>
      <c r="AN74" s="37"/>
      <c r="AO74" s="37"/>
      <c r="AP74" s="37"/>
      <c r="AQ74" s="37"/>
      <c r="AR74" s="37">
        <f t="shared" si="23"/>
        <v>0</v>
      </c>
      <c r="AS74" s="37"/>
      <c r="AT74" s="37"/>
      <c r="AU74" s="37"/>
      <c r="AV74" s="37"/>
      <c r="AW74" s="37"/>
      <c r="AX74" s="37"/>
      <c r="AY74" s="37"/>
      <c r="AZ74" s="37"/>
      <c r="BA74" s="37">
        <f>+AR74+AS74+AU74+AW74+AY74+AZ74</f>
        <v>0</v>
      </c>
      <c r="BB74" s="33"/>
      <c r="BC74" s="503"/>
      <c r="BD74" s="503"/>
      <c r="BE74" s="33"/>
      <c r="BF74" s="503"/>
    </row>
    <row r="75" spans="1:58" ht="12.95" customHeight="1">
      <c r="A75" s="40"/>
      <c r="B75" s="41"/>
      <c r="C75" s="414"/>
      <c r="D75" s="41"/>
      <c r="E75" s="42"/>
      <c r="F75" s="42"/>
      <c r="G75" s="43"/>
      <c r="H75" s="44"/>
      <c r="I75" s="45"/>
      <c r="J75" s="82"/>
      <c r="K75" s="82"/>
      <c r="L75" s="35"/>
      <c r="M75" s="35"/>
      <c r="N75" s="46"/>
      <c r="O75" s="47"/>
      <c r="P75" s="48"/>
      <c r="Q75" s="34"/>
      <c r="R75" s="500"/>
      <c r="S75" s="500"/>
      <c r="T75" s="37"/>
      <c r="U75" s="37"/>
      <c r="V75" s="37"/>
      <c r="W75" s="37"/>
      <c r="X75" s="38"/>
      <c r="Y75" s="211"/>
      <c r="Z75" s="37"/>
      <c r="AA75" s="37"/>
      <c r="AB75" s="37"/>
      <c r="AC75" s="37"/>
      <c r="AD75" s="37">
        <f>+AM75+BA75</f>
        <v>0</v>
      </c>
      <c r="AE75" s="232" t="s">
        <v>377</v>
      </c>
      <c r="AF75" s="37"/>
      <c r="AG75" s="37"/>
      <c r="AH75" s="37"/>
      <c r="AI75" s="502">
        <v>0</v>
      </c>
      <c r="AJ75" s="37"/>
      <c r="AK75" s="37"/>
      <c r="AL75" s="37"/>
      <c r="AM75" s="37">
        <f t="shared" si="22"/>
        <v>0</v>
      </c>
      <c r="AN75" s="37"/>
      <c r="AO75" s="37"/>
      <c r="AP75" s="37"/>
      <c r="AQ75" s="37"/>
      <c r="AR75" s="37">
        <f t="shared" si="23"/>
        <v>0</v>
      </c>
      <c r="AS75" s="37"/>
      <c r="AT75" s="37"/>
      <c r="AU75" s="37"/>
      <c r="AV75" s="37"/>
      <c r="AW75" s="37"/>
      <c r="AX75" s="37"/>
      <c r="AY75" s="37"/>
      <c r="AZ75" s="37"/>
      <c r="BA75" s="37">
        <f>+AR75+AS75+AU75+AW75+AY75+AZ75</f>
        <v>0</v>
      </c>
      <c r="BB75" s="50"/>
      <c r="BC75" s="51"/>
      <c r="BD75" s="51"/>
      <c r="BE75" s="50"/>
      <c r="BF75" s="51"/>
    </row>
    <row r="76" spans="1:58" ht="12.95" customHeight="1">
      <c r="A76" s="40"/>
      <c r="B76" s="41"/>
      <c r="C76" s="414"/>
      <c r="D76" s="41"/>
      <c r="E76" s="42"/>
      <c r="F76" s="42"/>
      <c r="G76" s="43"/>
      <c r="H76" s="44"/>
      <c r="I76" s="45"/>
      <c r="J76" s="82"/>
      <c r="K76" s="82"/>
      <c r="L76" s="35"/>
      <c r="M76" s="35"/>
      <c r="N76" s="46"/>
      <c r="O76" s="47"/>
      <c r="P76" s="48"/>
      <c r="Q76" s="34"/>
      <c r="R76" s="500"/>
      <c r="S76" s="500"/>
      <c r="T76" s="37"/>
      <c r="U76" s="37"/>
      <c r="V76" s="37"/>
      <c r="W76" s="37"/>
      <c r="X76" s="38"/>
      <c r="Y76" s="211"/>
      <c r="Z76" s="37"/>
      <c r="AA76" s="37"/>
      <c r="AB76" s="37"/>
      <c r="AC76" s="37"/>
      <c r="AD76" s="37">
        <f>+AM76+BA76</f>
        <v>1440</v>
      </c>
      <c r="AE76" s="232" t="s">
        <v>409</v>
      </c>
      <c r="AF76" s="37"/>
      <c r="AG76" s="37"/>
      <c r="AH76" s="37"/>
      <c r="AI76" s="502"/>
      <c r="AJ76" s="37"/>
      <c r="AK76" s="37"/>
      <c r="AL76" s="37"/>
      <c r="AM76" s="37">
        <f t="shared" si="22"/>
        <v>0</v>
      </c>
      <c r="AN76" s="37"/>
      <c r="AO76" s="37"/>
      <c r="AP76" s="37"/>
      <c r="AQ76" s="37"/>
      <c r="AR76" s="37">
        <f t="shared" si="23"/>
        <v>0</v>
      </c>
      <c r="AS76" s="37"/>
      <c r="AT76" s="37"/>
      <c r="AU76" s="37"/>
      <c r="AV76" s="37"/>
      <c r="AW76" s="37"/>
      <c r="AX76" s="37"/>
      <c r="AY76" s="37"/>
      <c r="AZ76" s="37">
        <v>1440</v>
      </c>
      <c r="BA76" s="37">
        <f>+AR76+AS76+AU76+AW76+AY76+AZ76</f>
        <v>1440</v>
      </c>
      <c r="BB76" s="50"/>
      <c r="BC76" s="51"/>
      <c r="BD76" s="51"/>
      <c r="BE76" s="33"/>
      <c r="BF76" s="51"/>
    </row>
    <row r="77" spans="1:58" ht="12.95" customHeight="1">
      <c r="A77" s="40"/>
      <c r="B77" s="41"/>
      <c r="C77" s="414"/>
      <c r="D77" s="41"/>
      <c r="E77" s="42"/>
      <c r="F77" s="42"/>
      <c r="G77" s="43"/>
      <c r="H77" s="44"/>
      <c r="I77" s="45"/>
      <c r="J77" s="82"/>
      <c r="K77" s="82"/>
      <c r="L77" s="35"/>
      <c r="M77" s="35"/>
      <c r="N77" s="46"/>
      <c r="O77" s="47"/>
      <c r="P77" s="48"/>
      <c r="Q77" s="47"/>
      <c r="R77" s="500"/>
      <c r="S77" s="500"/>
      <c r="T77" s="37"/>
      <c r="U77" s="37"/>
      <c r="V77" s="37"/>
      <c r="W77" s="37"/>
      <c r="X77" s="38"/>
      <c r="Y77" s="211"/>
      <c r="Z77" s="37"/>
      <c r="AA77" s="49"/>
      <c r="AB77" s="49"/>
      <c r="AC77" s="37"/>
      <c r="AD77" s="37"/>
      <c r="AE77" s="232"/>
      <c r="AF77" s="37"/>
      <c r="AG77" s="37"/>
      <c r="AH77" s="37"/>
      <c r="AI77" s="37"/>
      <c r="AJ77" s="37"/>
      <c r="AK77" s="37"/>
      <c r="AL77" s="37"/>
      <c r="AM77" s="37"/>
      <c r="AN77" s="37"/>
      <c r="AO77" s="37"/>
      <c r="AP77" s="37"/>
      <c r="AQ77" s="37"/>
      <c r="AR77" s="37"/>
      <c r="AS77" s="37"/>
      <c r="AT77" s="37"/>
      <c r="AU77" s="37"/>
      <c r="AV77" s="37"/>
      <c r="AW77" s="37"/>
      <c r="AX77" s="37"/>
      <c r="AY77" s="37"/>
      <c r="AZ77" s="37"/>
      <c r="BA77" s="37"/>
      <c r="BB77" s="33"/>
      <c r="BC77" s="51"/>
      <c r="BD77" s="51"/>
      <c r="BE77" s="51"/>
      <c r="BF77" s="51"/>
    </row>
    <row r="78" spans="1:58" ht="12.75" customHeight="1">
      <c r="A78" s="40">
        <v>45974</v>
      </c>
      <c r="B78" s="41" t="s">
        <v>406</v>
      </c>
      <c r="C78" s="414">
        <f>(M78*E78*O78*Q78)/100000000</f>
        <v>43.297309439999999</v>
      </c>
      <c r="D78" s="41" t="s">
        <v>300</v>
      </c>
      <c r="E78" s="42">
        <v>12</v>
      </c>
      <c r="F78" s="42">
        <v>1</v>
      </c>
      <c r="G78" s="499">
        <v>1230</v>
      </c>
      <c r="H78" s="44">
        <f>+N78</f>
        <v>0.23417344173441734</v>
      </c>
      <c r="I78" s="45">
        <v>0.88</v>
      </c>
      <c r="J78" s="82">
        <f>E78*G78*(1-H78)*1440/1000000*2.74</f>
        <v>44.599484159999996</v>
      </c>
      <c r="K78" s="82">
        <f>(IF(G78&lt;L78,L78,G78)*(1-IF(H78&lt;N78,H78,N78))*E78*O78*Q78)/100000000</f>
        <v>43.297309439999999</v>
      </c>
      <c r="L78" s="35">
        <v>1230</v>
      </c>
      <c r="M78" s="35">
        <v>941.9666666666667</v>
      </c>
      <c r="N78" s="46">
        <f>1-(M78/L78)</f>
        <v>0.23417344173441734</v>
      </c>
      <c r="O78" s="47">
        <f>+'Trim Rwd'!H28</f>
        <v>266</v>
      </c>
      <c r="P78" s="48">
        <f>O78*(Q78-R78-S78)</f>
        <v>0</v>
      </c>
      <c r="Q78" s="47">
        <v>1440</v>
      </c>
      <c r="R78" s="500">
        <v>1440</v>
      </c>
      <c r="S78" s="500">
        <v>0</v>
      </c>
      <c r="T78" s="37">
        <f>E78*M78*O78*Q78/100000000</f>
        <v>43.297309439999999</v>
      </c>
      <c r="U78" s="37">
        <f>E78*M78*O78*(Q78-R78-S78)/100000000</f>
        <v>0</v>
      </c>
      <c r="V78" s="37">
        <f>E78*G78*(1-N78)*O78/100*(R78+S78)/1000000</f>
        <v>43.297309439999999</v>
      </c>
      <c r="W78" s="37">
        <v>0</v>
      </c>
      <c r="X78" s="501">
        <f>SUM(W78:W82)/SUM(K78:K82)</f>
        <v>0</v>
      </c>
      <c r="Y78" s="211">
        <v>0</v>
      </c>
      <c r="Z78" s="37">
        <v>0</v>
      </c>
      <c r="AA78" s="49">
        <f>SUM(U78:U82)-SUM(W78:W82)-SUM(Z78:Z82)-SUM(Y78:Y82)</f>
        <v>0</v>
      </c>
      <c r="AB78" s="49">
        <f>(SUM(K78:K82)-SUM(W78:W82)-SUM(Y78:Y82)-SUM(Z78:Z82)-SUM(AC78:AC82)-SUM(V78:V82))-AA78</f>
        <v>0</v>
      </c>
      <c r="AC78" s="37">
        <f>K78-T78</f>
        <v>0</v>
      </c>
      <c r="AD78" s="37">
        <f>+AM78+BA78</f>
        <v>0</v>
      </c>
      <c r="AE78" s="229" t="s">
        <v>384</v>
      </c>
      <c r="AF78" s="37">
        <v>0</v>
      </c>
      <c r="AG78" s="37"/>
      <c r="AH78" s="37"/>
      <c r="AI78" s="502"/>
      <c r="AJ78" s="37"/>
      <c r="AK78" s="37"/>
      <c r="AL78" s="37"/>
      <c r="AM78" s="37">
        <f t="shared" ref="AM78:AM82" si="24">SUM(AF78:AL78)+AT78+AV78+AX78</f>
        <v>0</v>
      </c>
      <c r="AN78" s="37"/>
      <c r="AO78" s="37"/>
      <c r="AP78" s="37"/>
      <c r="AQ78" s="37"/>
      <c r="AR78" s="37">
        <f>SUM(AN78:AQ78)</f>
        <v>0</v>
      </c>
      <c r="AS78" s="37"/>
      <c r="AT78" s="37"/>
      <c r="AU78" s="37"/>
      <c r="AV78" s="37"/>
      <c r="AW78" s="37"/>
      <c r="AX78" s="37"/>
      <c r="AY78" s="37"/>
      <c r="AZ78" s="37"/>
      <c r="BA78" s="37">
        <f>+AR78+AS78+AU78+AW78+AY78+AZ78</f>
        <v>0</v>
      </c>
      <c r="BB78" s="33">
        <v>0</v>
      </c>
      <c r="BC78" s="51"/>
      <c r="BD78" s="51"/>
      <c r="BE78" s="33"/>
      <c r="BF78" s="51"/>
    </row>
    <row r="79" spans="1:58" ht="12.95" customHeight="1">
      <c r="A79" s="40"/>
      <c r="B79" s="41"/>
      <c r="C79" s="414"/>
      <c r="D79" s="41"/>
      <c r="E79" s="42"/>
      <c r="F79" s="42"/>
      <c r="G79" s="499"/>
      <c r="H79" s="44"/>
      <c r="I79" s="45"/>
      <c r="J79" s="82"/>
      <c r="K79" s="82"/>
      <c r="L79" s="35"/>
      <c r="M79" s="35"/>
      <c r="N79" s="46"/>
      <c r="O79" s="47"/>
      <c r="P79" s="48"/>
      <c r="Q79" s="47"/>
      <c r="R79" s="500"/>
      <c r="S79" s="500"/>
      <c r="T79" s="37"/>
      <c r="U79" s="37"/>
      <c r="V79" s="37"/>
      <c r="W79" s="37"/>
      <c r="X79" s="38"/>
      <c r="Y79" s="211"/>
      <c r="Z79" s="37"/>
      <c r="AA79" s="37"/>
      <c r="AB79" s="37"/>
      <c r="AC79" s="37"/>
      <c r="AD79" s="37">
        <f>+AM79+BA79</f>
        <v>0</v>
      </c>
      <c r="AE79" s="229" t="s">
        <v>282</v>
      </c>
      <c r="AF79" s="37"/>
      <c r="AG79" s="37">
        <v>0</v>
      </c>
      <c r="AH79" s="37"/>
      <c r="AI79" s="502"/>
      <c r="AJ79" s="37"/>
      <c r="AK79" s="37"/>
      <c r="AL79" s="37"/>
      <c r="AM79" s="37">
        <f t="shared" si="24"/>
        <v>0</v>
      </c>
      <c r="AN79" s="83"/>
      <c r="AO79" s="37"/>
      <c r="AP79" s="37"/>
      <c r="AQ79" s="37"/>
      <c r="AR79" s="37">
        <f t="shared" ref="AR79:AR82" si="25">SUM(AN79:AQ79)</f>
        <v>0</v>
      </c>
      <c r="AS79" s="37"/>
      <c r="AT79" s="37"/>
      <c r="AU79" s="37"/>
      <c r="AV79" s="37"/>
      <c r="AW79" s="37"/>
      <c r="AX79" s="37"/>
      <c r="AY79" s="37"/>
      <c r="AZ79" s="37"/>
      <c r="BA79" s="37">
        <f>+AR79+AS79+AU79+AW79+AY79+AZ79</f>
        <v>0</v>
      </c>
      <c r="BB79" s="50"/>
      <c r="BC79" s="51">
        <v>0</v>
      </c>
      <c r="BD79" s="51"/>
      <c r="BE79" s="50"/>
      <c r="BF79" s="51"/>
    </row>
    <row r="80" spans="1:58" ht="12.95" customHeight="1">
      <c r="A80" s="40"/>
      <c r="B80" s="41"/>
      <c r="C80" s="414"/>
      <c r="D80" s="41"/>
      <c r="E80" s="42"/>
      <c r="F80" s="42"/>
      <c r="G80" s="43"/>
      <c r="H80" s="44"/>
      <c r="I80" s="45"/>
      <c r="J80" s="82"/>
      <c r="K80" s="82"/>
      <c r="L80" s="35"/>
      <c r="M80" s="35"/>
      <c r="N80" s="46"/>
      <c r="O80" s="47"/>
      <c r="P80" s="48"/>
      <c r="Q80" s="47"/>
      <c r="R80" s="500"/>
      <c r="S80" s="500"/>
      <c r="T80" s="37"/>
      <c r="U80" s="37"/>
      <c r="V80" s="37"/>
      <c r="W80" s="37"/>
      <c r="X80" s="38"/>
      <c r="Y80" s="211"/>
      <c r="Z80" s="37"/>
      <c r="AA80" s="37"/>
      <c r="AB80" s="37"/>
      <c r="AC80" s="37"/>
      <c r="AD80" s="37">
        <f>+AM80+BA80</f>
        <v>0</v>
      </c>
      <c r="AE80" s="229" t="s">
        <v>408</v>
      </c>
      <c r="AF80" s="33"/>
      <c r="AG80" s="33"/>
      <c r="AH80" s="33">
        <v>0</v>
      </c>
      <c r="AJ80" s="37"/>
      <c r="AK80" s="37"/>
      <c r="AL80" s="37"/>
      <c r="AM80" s="37">
        <f t="shared" si="24"/>
        <v>0</v>
      </c>
      <c r="AN80" s="37"/>
      <c r="AO80" s="37"/>
      <c r="AP80" s="37"/>
      <c r="AQ80" s="37"/>
      <c r="AR80" s="37">
        <f t="shared" si="25"/>
        <v>0</v>
      </c>
      <c r="AS80" s="37"/>
      <c r="AT80" s="37"/>
      <c r="AU80" s="37"/>
      <c r="AV80" s="37"/>
      <c r="AW80" s="37"/>
      <c r="AX80" s="37"/>
      <c r="AY80" s="37"/>
      <c r="AZ80" s="37"/>
      <c r="BA80" s="37">
        <f>+AR80+AS80+AU80+AW80+AY80+AZ80</f>
        <v>0</v>
      </c>
      <c r="BB80" s="33"/>
      <c r="BC80" s="503"/>
      <c r="BD80" s="503"/>
      <c r="BE80" s="33"/>
      <c r="BF80" s="503"/>
    </row>
    <row r="81" spans="1:58" ht="12.95" customHeight="1">
      <c r="A81" s="40"/>
      <c r="B81" s="41"/>
      <c r="C81" s="414"/>
      <c r="D81" s="41"/>
      <c r="E81" s="42"/>
      <c r="F81" s="42"/>
      <c r="G81" s="43"/>
      <c r="H81" s="44"/>
      <c r="I81" s="45"/>
      <c r="J81" s="82"/>
      <c r="K81" s="82"/>
      <c r="L81" s="35"/>
      <c r="M81" s="35"/>
      <c r="N81" s="46"/>
      <c r="O81" s="47"/>
      <c r="P81" s="48"/>
      <c r="Q81" s="34"/>
      <c r="R81" s="500"/>
      <c r="S81" s="500"/>
      <c r="T81" s="37"/>
      <c r="U81" s="37"/>
      <c r="V81" s="37"/>
      <c r="W81" s="37"/>
      <c r="X81" s="38"/>
      <c r="Y81" s="211"/>
      <c r="Z81" s="37"/>
      <c r="AA81" s="37"/>
      <c r="AB81" s="37"/>
      <c r="AC81" s="37"/>
      <c r="AD81" s="37">
        <f>+AM81+BA81</f>
        <v>0</v>
      </c>
      <c r="AE81" s="232" t="s">
        <v>377</v>
      </c>
      <c r="AF81" s="37"/>
      <c r="AG81" s="37"/>
      <c r="AH81" s="37"/>
      <c r="AI81" s="502">
        <v>0</v>
      </c>
      <c r="AJ81" s="37"/>
      <c r="AK81" s="37"/>
      <c r="AL81" s="37"/>
      <c r="AM81" s="37">
        <f t="shared" si="24"/>
        <v>0</v>
      </c>
      <c r="AN81" s="37"/>
      <c r="AO81" s="37"/>
      <c r="AP81" s="37"/>
      <c r="AQ81" s="37"/>
      <c r="AR81" s="37">
        <f t="shared" si="25"/>
        <v>0</v>
      </c>
      <c r="AS81" s="37"/>
      <c r="AT81" s="37"/>
      <c r="AU81" s="37"/>
      <c r="AV81" s="37"/>
      <c r="AW81" s="37"/>
      <c r="AX81" s="37"/>
      <c r="AY81" s="37"/>
      <c r="AZ81" s="37"/>
      <c r="BA81" s="37">
        <f>+AR81+AS81+AU81+AW81+AY81+AZ81</f>
        <v>0</v>
      </c>
      <c r="BB81" s="50"/>
      <c r="BC81" s="51"/>
      <c r="BD81" s="51"/>
      <c r="BE81" s="50"/>
      <c r="BF81" s="51"/>
    </row>
    <row r="82" spans="1:58" ht="12.95" customHeight="1">
      <c r="A82" s="40"/>
      <c r="B82" s="41"/>
      <c r="C82" s="414"/>
      <c r="D82" s="41"/>
      <c r="E82" s="42"/>
      <c r="F82" s="42"/>
      <c r="G82" s="43"/>
      <c r="H82" s="44"/>
      <c r="I82" s="45"/>
      <c r="J82" s="82"/>
      <c r="K82" s="82"/>
      <c r="L82" s="35"/>
      <c r="M82" s="35"/>
      <c r="N82" s="46"/>
      <c r="O82" s="47"/>
      <c r="P82" s="48"/>
      <c r="Q82" s="34"/>
      <c r="R82" s="500"/>
      <c r="S82" s="500"/>
      <c r="T82" s="37"/>
      <c r="U82" s="37"/>
      <c r="V82" s="37"/>
      <c r="W82" s="37"/>
      <c r="X82" s="38"/>
      <c r="Y82" s="211"/>
      <c r="Z82" s="37"/>
      <c r="AA82" s="37"/>
      <c r="AB82" s="37"/>
      <c r="AC82" s="37"/>
      <c r="AD82" s="37">
        <f>+AM82+BA82</f>
        <v>1440</v>
      </c>
      <c r="AE82" s="232" t="s">
        <v>409</v>
      </c>
      <c r="AF82" s="37"/>
      <c r="AG82" s="37"/>
      <c r="AH82" s="37"/>
      <c r="AI82" s="502"/>
      <c r="AJ82" s="37"/>
      <c r="AK82" s="37"/>
      <c r="AL82" s="37"/>
      <c r="AM82" s="37">
        <f t="shared" si="24"/>
        <v>0</v>
      </c>
      <c r="AN82" s="37"/>
      <c r="AO82" s="37"/>
      <c r="AP82" s="37"/>
      <c r="AQ82" s="37"/>
      <c r="AR82" s="37">
        <f t="shared" si="25"/>
        <v>0</v>
      </c>
      <c r="AS82" s="37"/>
      <c r="AT82" s="37"/>
      <c r="AU82" s="37"/>
      <c r="AV82" s="37"/>
      <c r="AW82" s="37"/>
      <c r="AX82" s="37"/>
      <c r="AY82" s="37"/>
      <c r="AZ82" s="37">
        <v>1440</v>
      </c>
      <c r="BA82" s="37">
        <f>+AR82+AS82+AU82+AW82+AY82+AZ82</f>
        <v>1440</v>
      </c>
      <c r="BB82" s="50"/>
      <c r="BC82" s="51"/>
      <c r="BD82" s="51"/>
      <c r="BE82" s="33"/>
      <c r="BF82" s="51"/>
    </row>
    <row r="83" spans="1:58" ht="13.5" customHeight="1">
      <c r="A83" s="40"/>
      <c r="B83" s="41"/>
      <c r="C83" s="414"/>
      <c r="D83" s="41"/>
      <c r="E83" s="42"/>
      <c r="F83" s="42"/>
      <c r="G83" s="499"/>
      <c r="H83" s="44"/>
      <c r="I83" s="45"/>
      <c r="J83" s="82"/>
      <c r="K83" s="82"/>
      <c r="L83" s="35"/>
      <c r="M83" s="35"/>
      <c r="N83" s="46"/>
      <c r="O83" s="47"/>
      <c r="P83" s="48"/>
      <c r="Q83" s="47"/>
      <c r="R83" s="500"/>
      <c r="S83" s="500"/>
      <c r="T83" s="37"/>
      <c r="U83" s="37"/>
      <c r="V83" s="37"/>
      <c r="W83" s="37"/>
      <c r="X83" s="501"/>
      <c r="Y83" s="211"/>
      <c r="Z83" s="37"/>
      <c r="AA83" s="49"/>
      <c r="AB83" s="49"/>
      <c r="AC83" s="37"/>
      <c r="AD83" s="37"/>
      <c r="AE83" s="229"/>
      <c r="AF83" s="37"/>
      <c r="AG83" s="37"/>
      <c r="AH83" s="37"/>
      <c r="AI83" s="502"/>
      <c r="AJ83" s="37"/>
      <c r="AK83" s="37"/>
      <c r="AL83" s="37"/>
      <c r="AM83" s="37"/>
      <c r="AN83" s="37"/>
      <c r="AO83" s="37"/>
      <c r="AP83" s="37"/>
      <c r="AQ83" s="37"/>
      <c r="AR83" s="37"/>
      <c r="AS83" s="37"/>
      <c r="AT83" s="37"/>
      <c r="AU83" s="37"/>
      <c r="AV83" s="37"/>
      <c r="AW83" s="37"/>
      <c r="AX83" s="37"/>
      <c r="AY83" s="37"/>
      <c r="AZ83" s="37"/>
      <c r="BA83" s="37"/>
      <c r="BB83" s="33"/>
      <c r="BC83" s="51"/>
      <c r="BD83" s="51"/>
      <c r="BE83" s="51"/>
      <c r="BF83" s="51"/>
    </row>
    <row r="84" spans="1:58" ht="12.75" customHeight="1">
      <c r="A84" s="40">
        <v>45975</v>
      </c>
      <c r="B84" s="41" t="s">
        <v>406</v>
      </c>
      <c r="C84" s="414">
        <f>(M84*E84*O84*Q84)/100000000</f>
        <v>43.297309439999999</v>
      </c>
      <c r="D84" s="41" t="s">
        <v>300</v>
      </c>
      <c r="E84" s="42">
        <v>12</v>
      </c>
      <c r="F84" s="42">
        <v>1</v>
      </c>
      <c r="G84" s="499">
        <v>1230</v>
      </c>
      <c r="H84" s="44">
        <f>+N84</f>
        <v>0.23417344173441734</v>
      </c>
      <c r="I84" s="45">
        <v>0.88</v>
      </c>
      <c r="J84" s="82">
        <f>E84*G84*(1-H84)*1440/1000000*2.74</f>
        <v>44.599484159999996</v>
      </c>
      <c r="K84" s="82">
        <f>(IF(G84&lt;L84,L84,G84)*(1-IF(H84&lt;N84,H84,N84))*E84*O84*Q84)/100000000</f>
        <v>43.297309439999999</v>
      </c>
      <c r="L84" s="35">
        <v>1230</v>
      </c>
      <c r="M84" s="35">
        <v>941.9666666666667</v>
      </c>
      <c r="N84" s="46">
        <f>1-(M84/L84)</f>
        <v>0.23417344173441734</v>
      </c>
      <c r="O84" s="47">
        <f>+'Trim Rwd'!H30</f>
        <v>266</v>
      </c>
      <c r="P84" s="48">
        <f>O84*(Q84-R84-S84)</f>
        <v>0</v>
      </c>
      <c r="Q84" s="47">
        <v>1440</v>
      </c>
      <c r="R84" s="500">
        <v>1440</v>
      </c>
      <c r="S84" s="500">
        <v>0</v>
      </c>
      <c r="T84" s="37">
        <f>E84*M84*O84*Q84/100000000</f>
        <v>43.297309439999999</v>
      </c>
      <c r="U84" s="37">
        <f>E84*M84*O84*(Q84-R84-S84)/100000000</f>
        <v>0</v>
      </c>
      <c r="V84" s="37">
        <f>E84*G84*(1-N84)*O84/100*(R84+S84)/1000000</f>
        <v>43.297309439999999</v>
      </c>
      <c r="W84" s="37">
        <v>0</v>
      </c>
      <c r="X84" s="501">
        <f>SUM(W84:W88)/SUM(K84:K88)</f>
        <v>0</v>
      </c>
      <c r="Y84" s="211">
        <v>0</v>
      </c>
      <c r="Z84" s="37">
        <v>0</v>
      </c>
      <c r="AA84" s="49">
        <f>SUM(U84:U88)-SUM(W84:W88)-SUM(Z84:Z88)-SUM(Y84:Y88)</f>
        <v>0</v>
      </c>
      <c r="AB84" s="49">
        <f>(SUM(K84:K88)-SUM(W84:W88)-SUM(Y84:Y88)-SUM(Z84:Z88)-SUM(AC84:AC88)-SUM(V84:V88))-AA84</f>
        <v>0</v>
      </c>
      <c r="AC84" s="37">
        <f>K84-T84</f>
        <v>0</v>
      </c>
      <c r="AD84" s="37">
        <f>+AM84+BA84</f>
        <v>0</v>
      </c>
      <c r="AE84" s="229" t="s">
        <v>384</v>
      </c>
      <c r="AF84" s="37">
        <v>0</v>
      </c>
      <c r="AG84" s="37"/>
      <c r="AH84" s="37"/>
      <c r="AI84" s="502"/>
      <c r="AJ84" s="37"/>
      <c r="AK84" s="37"/>
      <c r="AL84" s="37"/>
      <c r="AM84" s="37">
        <f t="shared" ref="AM84:AM88" si="26">SUM(AF84:AL84)+AT84+AV84+AX84</f>
        <v>0</v>
      </c>
      <c r="AN84" s="37"/>
      <c r="AO84" s="37"/>
      <c r="AP84" s="37"/>
      <c r="AQ84" s="37"/>
      <c r="AR84" s="37">
        <f>SUM(AN84:AQ84)</f>
        <v>0</v>
      </c>
      <c r="AS84" s="37"/>
      <c r="AT84" s="37"/>
      <c r="AU84" s="37"/>
      <c r="AV84" s="37"/>
      <c r="AW84" s="37"/>
      <c r="AX84" s="37"/>
      <c r="AY84" s="37"/>
      <c r="AZ84" s="37"/>
      <c r="BA84" s="37">
        <f>+AR84+AS84+AU84+AW84+AY84+AZ84</f>
        <v>0</v>
      </c>
      <c r="BB84" s="33">
        <v>0</v>
      </c>
      <c r="BC84" s="51"/>
      <c r="BD84" s="51"/>
      <c r="BE84" s="33"/>
      <c r="BF84" s="51"/>
    </row>
    <row r="85" spans="1:58" ht="12.95" customHeight="1">
      <c r="A85" s="40"/>
      <c r="B85" s="41"/>
      <c r="C85" s="414"/>
      <c r="D85" s="41"/>
      <c r="E85" s="42"/>
      <c r="F85" s="42"/>
      <c r="G85" s="499"/>
      <c r="H85" s="44"/>
      <c r="I85" s="45"/>
      <c r="J85" s="82"/>
      <c r="K85" s="82"/>
      <c r="L85" s="35"/>
      <c r="M85" s="35"/>
      <c r="N85" s="46"/>
      <c r="O85" s="47"/>
      <c r="P85" s="48"/>
      <c r="Q85" s="47"/>
      <c r="R85" s="500"/>
      <c r="S85" s="500"/>
      <c r="T85" s="37"/>
      <c r="U85" s="37"/>
      <c r="V85" s="37"/>
      <c r="W85" s="37"/>
      <c r="X85" s="38"/>
      <c r="Y85" s="211"/>
      <c r="Z85" s="37"/>
      <c r="AA85" s="37"/>
      <c r="AB85" s="37"/>
      <c r="AC85" s="37"/>
      <c r="AD85" s="37">
        <f>+AM85+BA85</f>
        <v>0</v>
      </c>
      <c r="AE85" s="229" t="s">
        <v>282</v>
      </c>
      <c r="AF85" s="37"/>
      <c r="AG85" s="37">
        <v>0</v>
      </c>
      <c r="AH85" s="37"/>
      <c r="AI85" s="502"/>
      <c r="AJ85" s="37"/>
      <c r="AK85" s="37"/>
      <c r="AL85" s="37"/>
      <c r="AM85" s="37">
        <f t="shared" si="26"/>
        <v>0</v>
      </c>
      <c r="AN85" s="83"/>
      <c r="AO85" s="37"/>
      <c r="AP85" s="37"/>
      <c r="AQ85" s="37"/>
      <c r="AR85" s="37">
        <f t="shared" ref="AR85:AR88" si="27">SUM(AN85:AQ85)</f>
        <v>0</v>
      </c>
      <c r="AS85" s="37"/>
      <c r="AT85" s="37"/>
      <c r="AU85" s="37"/>
      <c r="AV85" s="37"/>
      <c r="AW85" s="37"/>
      <c r="AX85" s="37"/>
      <c r="AY85" s="37"/>
      <c r="AZ85" s="37"/>
      <c r="BA85" s="37">
        <f>+AR85+AS85+AU85+AW85+AY85+AZ85</f>
        <v>0</v>
      </c>
      <c r="BB85" s="50"/>
      <c r="BC85" s="51">
        <v>0</v>
      </c>
      <c r="BD85" s="51"/>
      <c r="BE85" s="50"/>
      <c r="BF85" s="51"/>
    </row>
    <row r="86" spans="1:58" ht="12.95" customHeight="1">
      <c r="A86" s="40"/>
      <c r="B86" s="41"/>
      <c r="C86" s="414"/>
      <c r="D86" s="41"/>
      <c r="E86" s="42"/>
      <c r="F86" s="42"/>
      <c r="G86" s="43"/>
      <c r="H86" s="44"/>
      <c r="I86" s="45"/>
      <c r="J86" s="82"/>
      <c r="K86" s="82"/>
      <c r="L86" s="35"/>
      <c r="M86" s="35"/>
      <c r="N86" s="46"/>
      <c r="O86" s="47"/>
      <c r="P86" s="48"/>
      <c r="Q86" s="47"/>
      <c r="R86" s="500"/>
      <c r="S86" s="500"/>
      <c r="T86" s="37"/>
      <c r="U86" s="37"/>
      <c r="V86" s="37"/>
      <c r="W86" s="37"/>
      <c r="X86" s="38"/>
      <c r="Y86" s="211"/>
      <c r="Z86" s="37"/>
      <c r="AA86" s="37"/>
      <c r="AB86" s="37"/>
      <c r="AC86" s="37"/>
      <c r="AD86" s="37">
        <f>+AM86+BA86</f>
        <v>0</v>
      </c>
      <c r="AE86" s="229" t="s">
        <v>408</v>
      </c>
      <c r="AF86" s="33"/>
      <c r="AG86" s="33"/>
      <c r="AH86" s="33">
        <v>0</v>
      </c>
      <c r="AJ86" s="37"/>
      <c r="AK86" s="37"/>
      <c r="AL86" s="37"/>
      <c r="AM86" s="37">
        <f t="shared" si="26"/>
        <v>0</v>
      </c>
      <c r="AN86" s="37"/>
      <c r="AO86" s="37"/>
      <c r="AP86" s="37"/>
      <c r="AQ86" s="37"/>
      <c r="AR86" s="37">
        <f t="shared" si="27"/>
        <v>0</v>
      </c>
      <c r="AS86" s="37"/>
      <c r="AT86" s="37"/>
      <c r="AU86" s="37"/>
      <c r="AV86" s="37"/>
      <c r="AW86" s="37"/>
      <c r="AX86" s="37"/>
      <c r="AY86" s="37"/>
      <c r="AZ86" s="37"/>
      <c r="BA86" s="37">
        <f>+AR86+AS86+AU86+AW86+AY86+AZ86</f>
        <v>0</v>
      </c>
      <c r="BB86" s="33"/>
      <c r="BC86" s="503"/>
      <c r="BD86" s="503"/>
      <c r="BE86" s="33"/>
      <c r="BF86" s="503"/>
    </row>
    <row r="87" spans="1:58" ht="12.95" customHeight="1">
      <c r="A87" s="40"/>
      <c r="B87" s="41"/>
      <c r="C87" s="414"/>
      <c r="D87" s="41"/>
      <c r="E87" s="42"/>
      <c r="F87" s="42"/>
      <c r="G87" s="43"/>
      <c r="H87" s="44"/>
      <c r="I87" s="45"/>
      <c r="J87" s="82"/>
      <c r="K87" s="82"/>
      <c r="L87" s="35"/>
      <c r="M87" s="35"/>
      <c r="N87" s="46"/>
      <c r="O87" s="47"/>
      <c r="P87" s="48"/>
      <c r="Q87" s="34"/>
      <c r="R87" s="500"/>
      <c r="S87" s="500"/>
      <c r="T87" s="37"/>
      <c r="U87" s="37"/>
      <c r="V87" s="37"/>
      <c r="W87" s="37"/>
      <c r="X87" s="38"/>
      <c r="Y87" s="211"/>
      <c r="Z87" s="37"/>
      <c r="AA87" s="37"/>
      <c r="AB87" s="37"/>
      <c r="AC87" s="37"/>
      <c r="AD87" s="37">
        <f>+AM87+BA87</f>
        <v>0</v>
      </c>
      <c r="AE87" s="232" t="s">
        <v>377</v>
      </c>
      <c r="AF87" s="37"/>
      <c r="AG87" s="37"/>
      <c r="AH87" s="37"/>
      <c r="AI87" s="502">
        <v>0</v>
      </c>
      <c r="AJ87" s="37"/>
      <c r="AK87" s="37"/>
      <c r="AL87" s="37"/>
      <c r="AM87" s="37">
        <f t="shared" si="26"/>
        <v>0</v>
      </c>
      <c r="AN87" s="37"/>
      <c r="AO87" s="37"/>
      <c r="AP87" s="37"/>
      <c r="AQ87" s="37"/>
      <c r="AR87" s="37">
        <f t="shared" si="27"/>
        <v>0</v>
      </c>
      <c r="AS87" s="37"/>
      <c r="AT87" s="37"/>
      <c r="AU87" s="37"/>
      <c r="AV87" s="37"/>
      <c r="AW87" s="37"/>
      <c r="AX87" s="37"/>
      <c r="AY87" s="37"/>
      <c r="AZ87" s="37"/>
      <c r="BA87" s="37">
        <f>+AR87+AS87+AU87+AW87+AY87+AZ87</f>
        <v>0</v>
      </c>
      <c r="BB87" s="50"/>
      <c r="BC87" s="51"/>
      <c r="BD87" s="51"/>
      <c r="BE87" s="50"/>
      <c r="BF87" s="51"/>
    </row>
    <row r="88" spans="1:58" ht="12.95" customHeight="1">
      <c r="A88" s="40"/>
      <c r="B88" s="41"/>
      <c r="C88" s="414"/>
      <c r="D88" s="41"/>
      <c r="E88" s="42"/>
      <c r="F88" s="42"/>
      <c r="G88" s="43"/>
      <c r="H88" s="44"/>
      <c r="I88" s="45"/>
      <c r="J88" s="82"/>
      <c r="K88" s="82"/>
      <c r="L88" s="35"/>
      <c r="M88" s="35"/>
      <c r="N88" s="46"/>
      <c r="O88" s="47"/>
      <c r="P88" s="48"/>
      <c r="Q88" s="34"/>
      <c r="R88" s="500"/>
      <c r="S88" s="500"/>
      <c r="T88" s="37"/>
      <c r="U88" s="37"/>
      <c r="V88" s="37"/>
      <c r="W88" s="37"/>
      <c r="X88" s="38"/>
      <c r="Y88" s="211"/>
      <c r="Z88" s="37"/>
      <c r="AA88" s="37"/>
      <c r="AB88" s="37"/>
      <c r="AC88" s="37"/>
      <c r="AD88" s="37">
        <f>+AM88+BA88</f>
        <v>1440</v>
      </c>
      <c r="AE88" s="232" t="s">
        <v>409</v>
      </c>
      <c r="AF88" s="37"/>
      <c r="AG88" s="37"/>
      <c r="AH88" s="37"/>
      <c r="AI88" s="502"/>
      <c r="AJ88" s="37"/>
      <c r="AK88" s="37"/>
      <c r="AL88" s="37"/>
      <c r="AM88" s="37">
        <f t="shared" si="26"/>
        <v>0</v>
      </c>
      <c r="AN88" s="37"/>
      <c r="AO88" s="37"/>
      <c r="AP88" s="37"/>
      <c r="AQ88" s="37"/>
      <c r="AR88" s="37">
        <f t="shared" si="27"/>
        <v>0</v>
      </c>
      <c r="AS88" s="37"/>
      <c r="AT88" s="37"/>
      <c r="AU88" s="37"/>
      <c r="AV88" s="37"/>
      <c r="AW88" s="37"/>
      <c r="AX88" s="37"/>
      <c r="AY88" s="37"/>
      <c r="AZ88" s="37">
        <v>1440</v>
      </c>
      <c r="BA88" s="37">
        <f>+AR88+AS88+AU88+AW88+AY88+AZ88</f>
        <v>1440</v>
      </c>
      <c r="BB88" s="50"/>
      <c r="BC88" s="51"/>
      <c r="BD88" s="51"/>
      <c r="BE88" s="33"/>
      <c r="BF88" s="51"/>
    </row>
    <row r="89" spans="1:58" ht="12.95" customHeight="1">
      <c r="A89" s="40"/>
      <c r="B89" s="41"/>
      <c r="C89" s="414"/>
      <c r="D89" s="41"/>
      <c r="E89" s="42"/>
      <c r="F89" s="42"/>
      <c r="G89" s="499"/>
      <c r="H89" s="44"/>
      <c r="I89" s="45"/>
      <c r="J89" s="82"/>
      <c r="K89" s="82"/>
      <c r="L89" s="35"/>
      <c r="M89" s="35"/>
      <c r="N89" s="46"/>
      <c r="O89" s="47"/>
      <c r="P89" s="48"/>
      <c r="Q89" s="47"/>
      <c r="R89" s="500"/>
      <c r="S89" s="500"/>
      <c r="T89" s="37"/>
      <c r="U89" s="37"/>
      <c r="V89" s="37"/>
      <c r="W89" s="37"/>
      <c r="X89" s="38"/>
      <c r="Y89" s="211"/>
      <c r="Z89" s="37"/>
      <c r="AA89" s="37"/>
      <c r="AB89" s="37"/>
      <c r="AC89" s="37"/>
      <c r="AD89" s="37"/>
      <c r="AE89" s="229"/>
      <c r="AF89" s="37"/>
      <c r="AG89" s="37"/>
      <c r="AH89" s="37"/>
      <c r="AI89" s="502"/>
      <c r="AJ89" s="37"/>
      <c r="AK89" s="37"/>
      <c r="AL89" s="37"/>
      <c r="AM89" s="37"/>
      <c r="AN89" s="83"/>
      <c r="AO89" s="37"/>
      <c r="AP89" s="37"/>
      <c r="AQ89" s="37"/>
      <c r="AR89" s="37"/>
      <c r="AS89" s="37"/>
      <c r="AT89" s="37"/>
      <c r="AU89" s="37"/>
      <c r="AV89" s="37"/>
      <c r="AW89" s="37"/>
      <c r="AX89" s="37"/>
      <c r="AY89" s="37"/>
      <c r="AZ89" s="37"/>
      <c r="BA89" s="37"/>
      <c r="BB89" s="50"/>
      <c r="BC89" s="51"/>
      <c r="BD89" s="51"/>
      <c r="BE89" s="51"/>
      <c r="BF89" s="51"/>
    </row>
    <row r="90" spans="1:58" ht="12.75" customHeight="1">
      <c r="A90" s="40">
        <v>45976</v>
      </c>
      <c r="B90" s="41" t="s">
        <v>406</v>
      </c>
      <c r="C90" s="414">
        <f>(M90*E90*O90*Q90)/100000000</f>
        <v>43.297309439999999</v>
      </c>
      <c r="D90" s="41" t="s">
        <v>300</v>
      </c>
      <c r="E90" s="42">
        <v>12</v>
      </c>
      <c r="F90" s="42">
        <v>1</v>
      </c>
      <c r="G90" s="499">
        <v>1230</v>
      </c>
      <c r="H90" s="44">
        <f>+N90</f>
        <v>0.23417344173441734</v>
      </c>
      <c r="I90" s="45">
        <v>0.88</v>
      </c>
      <c r="J90" s="82">
        <f>E90*G90*(1-H90)*1440/1000000*2.74</f>
        <v>44.599484159999996</v>
      </c>
      <c r="K90" s="82">
        <f>(IF(G90&lt;L90,L90,G90)*(1-IF(H90&lt;N90,H90,N90))*E90*O90*Q90)/100000000</f>
        <v>43.297309439999999</v>
      </c>
      <c r="L90" s="35">
        <v>1230</v>
      </c>
      <c r="M90" s="35">
        <v>941.9666666666667</v>
      </c>
      <c r="N90" s="46">
        <f>1-(M90/L90)</f>
        <v>0.23417344173441734</v>
      </c>
      <c r="O90" s="47">
        <f>+'Trim Rwd'!H32</f>
        <v>266</v>
      </c>
      <c r="P90" s="48">
        <f>O90*(Q90-R90-S90)</f>
        <v>0</v>
      </c>
      <c r="Q90" s="47">
        <v>1440</v>
      </c>
      <c r="R90" s="500">
        <v>1440</v>
      </c>
      <c r="S90" s="500">
        <v>0</v>
      </c>
      <c r="T90" s="37">
        <f>E90*M90*O90*Q90/100000000</f>
        <v>43.297309439999999</v>
      </c>
      <c r="U90" s="37">
        <f>E90*M90*O90*(Q90-R90-S90)/100000000</f>
        <v>0</v>
      </c>
      <c r="V90" s="37">
        <f>E90*G90*(1-N90)*O90/100*(R90+S90)/1000000</f>
        <v>43.297309439999999</v>
      </c>
      <c r="W90" s="37">
        <v>0</v>
      </c>
      <c r="X90" s="501">
        <f>SUM(W90:W94)/SUM(K90:K94)</f>
        <v>0</v>
      </c>
      <c r="Y90" s="211">
        <v>0</v>
      </c>
      <c r="Z90" s="37">
        <v>0</v>
      </c>
      <c r="AA90" s="49">
        <f>SUM(U90:U94)-SUM(W90:W94)-SUM(Z90:Z94)-SUM(Y90:Y94)</f>
        <v>0</v>
      </c>
      <c r="AB90" s="49">
        <f>(SUM(K90:K94)-SUM(W90:W94)-SUM(Y90:Y94)-SUM(Z90:Z94)-SUM(AC90:AC94)-SUM(V90:V94))-AA90</f>
        <v>0</v>
      </c>
      <c r="AC90" s="37">
        <f>K90-T90</f>
        <v>0</v>
      </c>
      <c r="AD90" s="37">
        <f>+AM90+BA90</f>
        <v>0</v>
      </c>
      <c r="AE90" s="229" t="s">
        <v>384</v>
      </c>
      <c r="AF90" s="37">
        <v>0</v>
      </c>
      <c r="AG90" s="37"/>
      <c r="AH90" s="37"/>
      <c r="AI90" s="502"/>
      <c r="AJ90" s="37"/>
      <c r="AK90" s="37"/>
      <c r="AL90" s="37"/>
      <c r="AM90" s="37">
        <f t="shared" ref="AM90:AM94" si="28">SUM(AF90:AL90)+AT90+AV90+AX90</f>
        <v>0</v>
      </c>
      <c r="AN90" s="37"/>
      <c r="AO90" s="37"/>
      <c r="AP90" s="37"/>
      <c r="AQ90" s="37"/>
      <c r="AR90" s="37">
        <f>SUM(AN90:AQ90)</f>
        <v>0</v>
      </c>
      <c r="AS90" s="37"/>
      <c r="AT90" s="37"/>
      <c r="AU90" s="37"/>
      <c r="AV90" s="37"/>
      <c r="AW90" s="37"/>
      <c r="AX90" s="37"/>
      <c r="AY90" s="37"/>
      <c r="AZ90" s="37"/>
      <c r="BA90" s="37">
        <f>+AR90+AS90+AU90+AW90+AY90+AZ90</f>
        <v>0</v>
      </c>
      <c r="BB90" s="33">
        <v>0</v>
      </c>
      <c r="BC90" s="51"/>
      <c r="BD90" s="51"/>
      <c r="BE90" s="33"/>
      <c r="BF90" s="51"/>
    </row>
    <row r="91" spans="1:58" ht="12.95" customHeight="1">
      <c r="A91" s="40"/>
      <c r="B91" s="41"/>
      <c r="C91" s="414"/>
      <c r="D91" s="41"/>
      <c r="E91" s="42"/>
      <c r="F91" s="42"/>
      <c r="G91" s="499"/>
      <c r="H91" s="44"/>
      <c r="I91" s="45"/>
      <c r="J91" s="82"/>
      <c r="K91" s="82"/>
      <c r="L91" s="35"/>
      <c r="M91" s="35"/>
      <c r="N91" s="46"/>
      <c r="O91" s="47"/>
      <c r="P91" s="48"/>
      <c r="Q91" s="47"/>
      <c r="R91" s="500"/>
      <c r="S91" s="500"/>
      <c r="T91" s="37"/>
      <c r="U91" s="37"/>
      <c r="V91" s="37"/>
      <c r="W91" s="37"/>
      <c r="X91" s="38"/>
      <c r="Y91" s="211"/>
      <c r="Z91" s="37"/>
      <c r="AA91" s="37"/>
      <c r="AB91" s="37"/>
      <c r="AC91" s="37"/>
      <c r="AD91" s="37">
        <f>+AM91+BA91</f>
        <v>0</v>
      </c>
      <c r="AE91" s="229" t="s">
        <v>282</v>
      </c>
      <c r="AF91" s="37"/>
      <c r="AG91" s="37">
        <v>0</v>
      </c>
      <c r="AH91" s="37"/>
      <c r="AI91" s="502"/>
      <c r="AJ91" s="37"/>
      <c r="AK91" s="37"/>
      <c r="AL91" s="37"/>
      <c r="AM91" s="37">
        <f t="shared" si="28"/>
        <v>0</v>
      </c>
      <c r="AN91" s="83"/>
      <c r="AO91" s="37"/>
      <c r="AP91" s="37"/>
      <c r="AQ91" s="37"/>
      <c r="AR91" s="37">
        <f t="shared" ref="AR91:AR94" si="29">SUM(AN91:AQ91)</f>
        <v>0</v>
      </c>
      <c r="AS91" s="37"/>
      <c r="AT91" s="37"/>
      <c r="AU91" s="37"/>
      <c r="AV91" s="37"/>
      <c r="AW91" s="37"/>
      <c r="AX91" s="37"/>
      <c r="AY91" s="37"/>
      <c r="AZ91" s="37"/>
      <c r="BA91" s="37">
        <f>+AR91+AS91+AU91+AW91+AY91+AZ91</f>
        <v>0</v>
      </c>
      <c r="BB91" s="50"/>
      <c r="BC91" s="51">
        <v>0</v>
      </c>
      <c r="BD91" s="51"/>
      <c r="BE91" s="50"/>
      <c r="BF91" s="51"/>
    </row>
    <row r="92" spans="1:58" ht="12.95" customHeight="1">
      <c r="A92" s="40"/>
      <c r="B92" s="41"/>
      <c r="C92" s="414"/>
      <c r="D92" s="41"/>
      <c r="E92" s="42"/>
      <c r="F92" s="42"/>
      <c r="G92" s="43"/>
      <c r="H92" s="44"/>
      <c r="I92" s="45"/>
      <c r="J92" s="82"/>
      <c r="K92" s="82"/>
      <c r="L92" s="35"/>
      <c r="M92" s="35"/>
      <c r="N92" s="46"/>
      <c r="O92" s="47"/>
      <c r="P92" s="48"/>
      <c r="Q92" s="47"/>
      <c r="R92" s="500"/>
      <c r="S92" s="500"/>
      <c r="T92" s="37"/>
      <c r="U92" s="37"/>
      <c r="V92" s="37"/>
      <c r="W92" s="37"/>
      <c r="X92" s="38"/>
      <c r="Y92" s="211"/>
      <c r="Z92" s="37"/>
      <c r="AA92" s="37"/>
      <c r="AB92" s="37"/>
      <c r="AC92" s="37"/>
      <c r="AD92" s="37">
        <f>+AM92+BA92</f>
        <v>0</v>
      </c>
      <c r="AE92" s="229" t="s">
        <v>408</v>
      </c>
      <c r="AF92" s="33"/>
      <c r="AG92" s="33"/>
      <c r="AH92" s="33">
        <v>0</v>
      </c>
      <c r="AJ92" s="37"/>
      <c r="AK92" s="37"/>
      <c r="AL92" s="37"/>
      <c r="AM92" s="37">
        <f t="shared" si="28"/>
        <v>0</v>
      </c>
      <c r="AN92" s="37"/>
      <c r="AO92" s="37"/>
      <c r="AP92" s="37"/>
      <c r="AQ92" s="37"/>
      <c r="AR92" s="37">
        <f t="shared" si="29"/>
        <v>0</v>
      </c>
      <c r="AS92" s="37"/>
      <c r="AT92" s="37"/>
      <c r="AU92" s="37"/>
      <c r="AV92" s="37"/>
      <c r="AW92" s="37"/>
      <c r="AX92" s="37"/>
      <c r="AY92" s="37"/>
      <c r="AZ92" s="37"/>
      <c r="BA92" s="37">
        <f>+AR92+AS92+AU92+AW92+AY92+AZ92</f>
        <v>0</v>
      </c>
      <c r="BB92" s="33"/>
      <c r="BC92" s="503"/>
      <c r="BD92" s="503"/>
      <c r="BE92" s="33"/>
      <c r="BF92" s="503"/>
    </row>
    <row r="93" spans="1:58" ht="12.95" customHeight="1">
      <c r="A93" s="40"/>
      <c r="B93" s="41"/>
      <c r="C93" s="414"/>
      <c r="D93" s="41"/>
      <c r="E93" s="42"/>
      <c r="F93" s="42"/>
      <c r="G93" s="43"/>
      <c r="H93" s="44"/>
      <c r="I93" s="45"/>
      <c r="J93" s="82"/>
      <c r="K93" s="82"/>
      <c r="L93" s="35"/>
      <c r="M93" s="35"/>
      <c r="N93" s="46"/>
      <c r="O93" s="47"/>
      <c r="P93" s="48"/>
      <c r="Q93" s="34"/>
      <c r="R93" s="500"/>
      <c r="S93" s="500"/>
      <c r="T93" s="37"/>
      <c r="U93" s="37"/>
      <c r="V93" s="37"/>
      <c r="W93" s="37"/>
      <c r="X93" s="38"/>
      <c r="Y93" s="211"/>
      <c r="Z93" s="37"/>
      <c r="AA93" s="37"/>
      <c r="AB93" s="37"/>
      <c r="AC93" s="37"/>
      <c r="AD93" s="37">
        <f>+AM93+BA93</f>
        <v>0</v>
      </c>
      <c r="AE93" s="232" t="s">
        <v>377</v>
      </c>
      <c r="AF93" s="37"/>
      <c r="AG93" s="37"/>
      <c r="AH93" s="37"/>
      <c r="AI93" s="502">
        <v>0</v>
      </c>
      <c r="AJ93" s="37"/>
      <c r="AK93" s="37"/>
      <c r="AL93" s="37"/>
      <c r="AM93" s="37">
        <f t="shared" si="28"/>
        <v>0</v>
      </c>
      <c r="AN93" s="37"/>
      <c r="AO93" s="37"/>
      <c r="AP93" s="37"/>
      <c r="AQ93" s="37"/>
      <c r="AR93" s="37">
        <f t="shared" si="29"/>
        <v>0</v>
      </c>
      <c r="AS93" s="37"/>
      <c r="AT93" s="37"/>
      <c r="AU93" s="37"/>
      <c r="AV93" s="37"/>
      <c r="AW93" s="37"/>
      <c r="AX93" s="37"/>
      <c r="AY93" s="37"/>
      <c r="AZ93" s="37"/>
      <c r="BA93" s="37">
        <f>+AR93+AS93+AU93+AW93+AY93+AZ93</f>
        <v>0</v>
      </c>
      <c r="BB93" s="50"/>
      <c r="BC93" s="51"/>
      <c r="BD93" s="51"/>
      <c r="BE93" s="50"/>
      <c r="BF93" s="51"/>
    </row>
    <row r="94" spans="1:58" ht="12.95" customHeight="1">
      <c r="A94" s="40"/>
      <c r="B94" s="41"/>
      <c r="C94" s="414"/>
      <c r="D94" s="41"/>
      <c r="E94" s="42"/>
      <c r="F94" s="42"/>
      <c r="G94" s="43"/>
      <c r="H94" s="44"/>
      <c r="I94" s="45"/>
      <c r="J94" s="82"/>
      <c r="K94" s="82"/>
      <c r="L94" s="35"/>
      <c r="M94" s="35"/>
      <c r="N94" s="46"/>
      <c r="O94" s="47"/>
      <c r="P94" s="48"/>
      <c r="Q94" s="34"/>
      <c r="R94" s="500"/>
      <c r="S94" s="500"/>
      <c r="T94" s="37"/>
      <c r="U94" s="37"/>
      <c r="V94" s="37"/>
      <c r="W94" s="37"/>
      <c r="X94" s="38"/>
      <c r="Y94" s="211"/>
      <c r="Z94" s="37"/>
      <c r="AA94" s="37"/>
      <c r="AB94" s="37"/>
      <c r="AC94" s="37"/>
      <c r="AD94" s="37">
        <f>+AM94+BA94</f>
        <v>1440</v>
      </c>
      <c r="AE94" s="232" t="s">
        <v>409</v>
      </c>
      <c r="AF94" s="37"/>
      <c r="AG94" s="37"/>
      <c r="AH94" s="37"/>
      <c r="AI94" s="502"/>
      <c r="AJ94" s="37"/>
      <c r="AK94" s="37"/>
      <c r="AL94" s="37"/>
      <c r="AM94" s="37">
        <f t="shared" si="28"/>
        <v>0</v>
      </c>
      <c r="AN94" s="37"/>
      <c r="AO94" s="37"/>
      <c r="AP94" s="37"/>
      <c r="AQ94" s="37"/>
      <c r="AR94" s="37">
        <f t="shared" si="29"/>
        <v>0</v>
      </c>
      <c r="AS94" s="37"/>
      <c r="AT94" s="37"/>
      <c r="AU94" s="37"/>
      <c r="AV94" s="37"/>
      <c r="AW94" s="37"/>
      <c r="AX94" s="37"/>
      <c r="AY94" s="37"/>
      <c r="AZ94" s="37">
        <v>1440</v>
      </c>
      <c r="BA94" s="37">
        <f>+AR94+AS94+AU94+AW94+AY94+AZ94</f>
        <v>1440</v>
      </c>
      <c r="BB94" s="50"/>
      <c r="BC94" s="51"/>
      <c r="BD94" s="51"/>
      <c r="BE94" s="33"/>
      <c r="BF94" s="51"/>
    </row>
    <row r="95" spans="1:58" ht="12.95" customHeight="1">
      <c r="A95" s="40"/>
      <c r="B95" s="41"/>
      <c r="C95" s="414"/>
      <c r="D95" s="41"/>
      <c r="E95" s="42"/>
      <c r="F95" s="42"/>
      <c r="G95" s="43"/>
      <c r="H95" s="44"/>
      <c r="I95" s="45"/>
      <c r="J95" s="82"/>
      <c r="K95" s="82"/>
      <c r="L95" s="35"/>
      <c r="M95" s="35"/>
      <c r="N95" s="46"/>
      <c r="O95" s="47"/>
      <c r="P95" s="48"/>
      <c r="Q95" s="47"/>
      <c r="R95" s="500"/>
      <c r="S95" s="500"/>
      <c r="T95" s="37"/>
      <c r="U95" s="37"/>
      <c r="V95" s="37"/>
      <c r="W95" s="37"/>
      <c r="X95" s="38"/>
      <c r="Y95" s="211"/>
      <c r="Z95" s="37"/>
      <c r="AA95" s="37"/>
      <c r="AB95" s="37"/>
      <c r="AC95" s="37"/>
      <c r="AD95" s="37"/>
      <c r="AE95" s="229"/>
      <c r="AF95" s="33"/>
      <c r="AG95" s="33"/>
      <c r="AH95" s="33"/>
      <c r="AJ95" s="37"/>
      <c r="AK95" s="37"/>
      <c r="AL95" s="37"/>
      <c r="AM95" s="37"/>
      <c r="AN95" s="37"/>
      <c r="AO95" s="37"/>
      <c r="AP95" s="37"/>
      <c r="AQ95" s="37"/>
      <c r="AR95" s="37"/>
      <c r="AS95" s="37"/>
      <c r="AT95" s="37"/>
      <c r="AU95" s="37"/>
      <c r="AV95" s="37"/>
      <c r="AW95" s="37"/>
      <c r="AX95" s="37"/>
      <c r="AY95" s="37"/>
      <c r="AZ95" s="37"/>
      <c r="BA95" s="37"/>
      <c r="BB95" s="33"/>
      <c r="BC95" s="503"/>
      <c r="BD95" s="503"/>
      <c r="BE95" s="33"/>
      <c r="BF95" s="503"/>
    </row>
    <row r="96" spans="1:58" ht="12.75" customHeight="1">
      <c r="A96" s="40">
        <v>45977</v>
      </c>
      <c r="B96" s="41" t="s">
        <v>461</v>
      </c>
      <c r="C96" s="414">
        <f>(M96*E96*O96*Q96)/100000000</f>
        <v>29.886662088167053</v>
      </c>
      <c r="D96" s="41" t="s">
        <v>300</v>
      </c>
      <c r="E96" s="42">
        <v>12</v>
      </c>
      <c r="F96" s="42">
        <v>1</v>
      </c>
      <c r="G96" s="499">
        <v>1230</v>
      </c>
      <c r="H96" s="44">
        <f>+N96</f>
        <v>0.22999999999999998</v>
      </c>
      <c r="I96" s="45">
        <v>0.88</v>
      </c>
      <c r="J96" s="82">
        <f>E96*G96*(1-H96)*1440/1000000*2.74</f>
        <v>44.842533120000006</v>
      </c>
      <c r="K96" s="82">
        <f>(IF(G96&lt;L96,L96,G96)*(1-IF(H96&lt;N96,H96,N96))*E96*O96*Q96)/100000000</f>
        <v>42.960456000000001</v>
      </c>
      <c r="L96" s="35">
        <v>855.68445475638055</v>
      </c>
      <c r="M96" s="35">
        <v>658.87703016241301</v>
      </c>
      <c r="N96" s="46">
        <f>1-(M96/L96)</f>
        <v>0.22999999999999998</v>
      </c>
      <c r="O96" s="47">
        <f>+'Trim Rwd'!H34</f>
        <v>262.5</v>
      </c>
      <c r="P96" s="48">
        <f>O96*(Q96-R96-S96)</f>
        <v>323925</v>
      </c>
      <c r="Q96" s="47">
        <v>1440</v>
      </c>
      <c r="R96" s="500">
        <v>150</v>
      </c>
      <c r="S96" s="500">
        <v>56</v>
      </c>
      <c r="T96" s="37">
        <f>E96*M96*O96*Q96/100000000</f>
        <v>29.886662088167053</v>
      </c>
      <c r="U96" s="37">
        <f>E96*M96*O96*(Q96-R96-S96)/100000000</f>
        <v>25.611209039443153</v>
      </c>
      <c r="V96" s="37">
        <f>E96*G96*(1-N96)*O96/100*(R96+S96)/1000000</f>
        <v>6.1457319000000004</v>
      </c>
      <c r="W96" s="37">
        <f>+'16'!K7/1000</f>
        <v>22.440999999999999</v>
      </c>
      <c r="X96" s="501">
        <f>SUM(W96:W100)/SUM(K96:K100)</f>
        <v>0.52236410153560753</v>
      </c>
      <c r="Y96" s="211">
        <v>0</v>
      </c>
      <c r="Z96" s="37">
        <v>0</v>
      </c>
      <c r="AA96" s="49">
        <f>SUM(U96:U100)-SUM(W96:W100)-SUM(Z96:Z100)-SUM(Y96:Y100)</f>
        <v>3.1702090394431544</v>
      </c>
      <c r="AB96" s="49">
        <f>(SUM(K96:K100)-SUM(W96:W100)-SUM(Y96:Y100)-SUM(Z96:Z100)-SUM(AC96:AC100)-SUM(V96:V100))-AA96</f>
        <v>-1.8702788512761002</v>
      </c>
      <c r="AC96" s="37">
        <f>K96-T96</f>
        <v>13.073793911832947</v>
      </c>
      <c r="AD96" s="37">
        <f>+AM96+BA96</f>
        <v>9</v>
      </c>
      <c r="AE96" s="229" t="s">
        <v>460</v>
      </c>
      <c r="AF96" s="37">
        <v>9</v>
      </c>
      <c r="AG96" s="37"/>
      <c r="AH96" s="37"/>
      <c r="AI96" s="502"/>
      <c r="AJ96" s="37"/>
      <c r="AK96" s="37"/>
      <c r="AL96" s="37"/>
      <c r="AM96" s="37">
        <f t="shared" ref="AM96:AM100" si="30">SUM(AF96:AL96)+AT96+AV96+AX96</f>
        <v>9</v>
      </c>
      <c r="AN96" s="37"/>
      <c r="AO96" s="37"/>
      <c r="AP96" s="37"/>
      <c r="AQ96" s="37"/>
      <c r="AR96" s="37">
        <f>SUM(AN96:AQ96)</f>
        <v>0</v>
      </c>
      <c r="AS96" s="37"/>
      <c r="AT96" s="37"/>
      <c r="AU96" s="37"/>
      <c r="AV96" s="37"/>
      <c r="AW96" s="37"/>
      <c r="AX96" s="37"/>
      <c r="AY96" s="37"/>
      <c r="AZ96" s="37"/>
      <c r="BA96" s="37">
        <f>+AR96+AS96+AU96+AW96+AY96+AZ96</f>
        <v>0</v>
      </c>
      <c r="BB96" s="33">
        <v>3</v>
      </c>
      <c r="BC96" s="51"/>
      <c r="BD96" s="51"/>
      <c r="BE96" s="33"/>
      <c r="BF96" s="51"/>
    </row>
    <row r="97" spans="1:58" ht="12.95" customHeight="1">
      <c r="A97" s="40"/>
      <c r="B97" s="41"/>
      <c r="C97" s="414"/>
      <c r="D97" s="41"/>
      <c r="E97" s="42"/>
      <c r="F97" s="42"/>
      <c r="G97" s="499"/>
      <c r="H97" s="44"/>
      <c r="I97" s="45"/>
      <c r="J97" s="82"/>
      <c r="K97" s="82"/>
      <c r="L97" s="35"/>
      <c r="M97" s="35"/>
      <c r="N97" s="46"/>
      <c r="O97" s="47"/>
      <c r="P97" s="48"/>
      <c r="Q97" s="47"/>
      <c r="R97" s="500"/>
      <c r="S97" s="500"/>
      <c r="T97" s="37"/>
      <c r="U97" s="37"/>
      <c r="V97" s="37"/>
      <c r="W97" s="37"/>
      <c r="X97" s="38"/>
      <c r="Y97" s="211"/>
      <c r="Z97" s="37"/>
      <c r="AA97" s="37"/>
      <c r="AB97" s="37"/>
      <c r="AC97" s="37"/>
      <c r="AD97" s="37">
        <f>+AM97+BA97</f>
        <v>12</v>
      </c>
      <c r="AE97" s="229" t="s">
        <v>462</v>
      </c>
      <c r="AF97" s="37"/>
      <c r="AG97" s="37">
        <v>12</v>
      </c>
      <c r="AH97" s="37"/>
      <c r="AI97" s="502"/>
      <c r="AJ97" s="37"/>
      <c r="AK97" s="37"/>
      <c r="AL97" s="37"/>
      <c r="AM97" s="37">
        <f t="shared" si="30"/>
        <v>12</v>
      </c>
      <c r="AN97" s="83"/>
      <c r="AO97" s="37"/>
      <c r="AP97" s="37"/>
      <c r="AQ97" s="37"/>
      <c r="AR97" s="37">
        <f t="shared" ref="AR97:AR100" si="31">SUM(AN97:AQ97)</f>
        <v>0</v>
      </c>
      <c r="AS97" s="37"/>
      <c r="AT97" s="37"/>
      <c r="AU97" s="37"/>
      <c r="AV97" s="37"/>
      <c r="AW97" s="37"/>
      <c r="AX97" s="37"/>
      <c r="AY97" s="37"/>
      <c r="AZ97" s="37"/>
      <c r="BA97" s="37">
        <f>+AR97+AS97+AU97+AW97+AY97+AZ97</f>
        <v>0</v>
      </c>
      <c r="BB97" s="50"/>
      <c r="BC97" s="51">
        <v>6</v>
      </c>
      <c r="BD97" s="51"/>
      <c r="BE97" s="50"/>
      <c r="BF97" s="51"/>
    </row>
    <row r="98" spans="1:58" ht="12.95" customHeight="1">
      <c r="A98" s="40"/>
      <c r="B98" s="41"/>
      <c r="C98" s="414"/>
      <c r="D98" s="41"/>
      <c r="E98" s="42"/>
      <c r="F98" s="42"/>
      <c r="G98" s="43"/>
      <c r="H98" s="44"/>
      <c r="I98" s="45"/>
      <c r="J98" s="82"/>
      <c r="K98" s="82"/>
      <c r="L98" s="35"/>
      <c r="M98" s="35"/>
      <c r="N98" s="46"/>
      <c r="O98" s="47"/>
      <c r="P98" s="48"/>
      <c r="Q98" s="47"/>
      <c r="R98" s="500"/>
      <c r="S98" s="500"/>
      <c r="T98" s="37"/>
      <c r="U98" s="37"/>
      <c r="V98" s="37"/>
      <c r="W98" s="37"/>
      <c r="X98" s="38"/>
      <c r="Y98" s="211"/>
      <c r="Z98" s="37"/>
      <c r="AA98" s="37"/>
      <c r="AB98" s="37"/>
      <c r="AC98" s="37"/>
      <c r="AD98" s="37">
        <f>+AM98+BA98</f>
        <v>35</v>
      </c>
      <c r="AE98" s="229" t="s">
        <v>463</v>
      </c>
      <c r="AF98" s="33"/>
      <c r="AG98" s="33"/>
      <c r="AH98" s="33">
        <v>35</v>
      </c>
      <c r="AJ98" s="37"/>
      <c r="AK98" s="37"/>
      <c r="AL98" s="37"/>
      <c r="AM98" s="37">
        <f t="shared" si="30"/>
        <v>35</v>
      </c>
      <c r="AN98" s="37"/>
      <c r="AO98" s="37"/>
      <c r="AP98" s="37"/>
      <c r="AQ98" s="37"/>
      <c r="AR98" s="37">
        <f t="shared" si="31"/>
        <v>0</v>
      </c>
      <c r="AS98" s="37"/>
      <c r="AT98" s="37"/>
      <c r="AU98" s="37"/>
      <c r="AV98" s="37"/>
      <c r="AW98" s="37"/>
      <c r="AX98" s="37"/>
      <c r="AY98" s="37"/>
      <c r="AZ98" s="37"/>
      <c r="BA98" s="37">
        <f>+AR98+AS98+AU98+AW98+AY98+AZ98</f>
        <v>0</v>
      </c>
      <c r="BB98" s="33"/>
      <c r="BC98" s="503"/>
      <c r="BD98" s="503"/>
      <c r="BE98" s="33"/>
      <c r="BF98" s="503"/>
    </row>
    <row r="99" spans="1:58" ht="12.95" customHeight="1">
      <c r="A99" s="40"/>
      <c r="B99" s="41"/>
      <c r="C99" s="414"/>
      <c r="D99" s="41"/>
      <c r="E99" s="42"/>
      <c r="F99" s="42"/>
      <c r="G99" s="43"/>
      <c r="H99" s="44"/>
      <c r="I99" s="45"/>
      <c r="J99" s="82"/>
      <c r="K99" s="82"/>
      <c r="L99" s="35"/>
      <c r="M99" s="35"/>
      <c r="N99" s="46"/>
      <c r="O99" s="47"/>
      <c r="P99" s="48"/>
      <c r="Q99" s="34"/>
      <c r="R99" s="500"/>
      <c r="S99" s="500"/>
      <c r="T99" s="37"/>
      <c r="U99" s="37"/>
      <c r="V99" s="37"/>
      <c r="W99" s="37"/>
      <c r="X99" s="38"/>
      <c r="Y99" s="211"/>
      <c r="Z99" s="37"/>
      <c r="AA99" s="37"/>
      <c r="AB99" s="37"/>
      <c r="AC99" s="37"/>
      <c r="AD99" s="37">
        <f>+AM99+BA99</f>
        <v>0</v>
      </c>
      <c r="AE99" s="232" t="s">
        <v>377</v>
      </c>
      <c r="AF99" s="37"/>
      <c r="AG99" s="37"/>
      <c r="AH99" s="37"/>
      <c r="AI99" s="502">
        <v>0</v>
      </c>
      <c r="AJ99" s="37"/>
      <c r="AK99" s="37"/>
      <c r="AL99" s="37"/>
      <c r="AM99" s="37">
        <f t="shared" si="30"/>
        <v>0</v>
      </c>
      <c r="AN99" s="37"/>
      <c r="AO99" s="37"/>
      <c r="AP99" s="37"/>
      <c r="AQ99" s="37"/>
      <c r="AR99" s="37">
        <f t="shared" si="31"/>
        <v>0</v>
      </c>
      <c r="AS99" s="37"/>
      <c r="AT99" s="37"/>
      <c r="AU99" s="37"/>
      <c r="AV99" s="37"/>
      <c r="AW99" s="37"/>
      <c r="AX99" s="37"/>
      <c r="AY99" s="37"/>
      <c r="AZ99" s="37"/>
      <c r="BA99" s="37">
        <f>+AR99+AS99+AU99+AW99+AY99+AZ99</f>
        <v>0</v>
      </c>
      <c r="BB99" s="50"/>
      <c r="BC99" s="51"/>
      <c r="BD99" s="51"/>
      <c r="BE99" s="50"/>
      <c r="BF99" s="51"/>
    </row>
    <row r="100" spans="1:58" ht="12.95" customHeight="1">
      <c r="A100" s="40"/>
      <c r="B100" s="41"/>
      <c r="C100" s="414"/>
      <c r="D100" s="41"/>
      <c r="E100" s="42"/>
      <c r="F100" s="42"/>
      <c r="G100" s="43"/>
      <c r="H100" s="44"/>
      <c r="I100" s="45"/>
      <c r="J100" s="82"/>
      <c r="K100" s="82"/>
      <c r="L100" s="35"/>
      <c r="M100" s="35"/>
      <c r="N100" s="46"/>
      <c r="O100" s="47"/>
      <c r="P100" s="48"/>
      <c r="Q100" s="34"/>
      <c r="R100" s="500"/>
      <c r="S100" s="500"/>
      <c r="T100" s="37"/>
      <c r="U100" s="37"/>
      <c r="V100" s="37"/>
      <c r="W100" s="37"/>
      <c r="X100" s="38"/>
      <c r="Y100" s="211"/>
      <c r="Z100" s="37"/>
      <c r="AA100" s="37"/>
      <c r="AB100" s="37"/>
      <c r="AC100" s="37"/>
      <c r="AD100" s="37">
        <f>+AM100+BA100</f>
        <v>150</v>
      </c>
      <c r="AE100" s="232" t="s">
        <v>409</v>
      </c>
      <c r="AF100" s="37"/>
      <c r="AG100" s="37"/>
      <c r="AH100" s="37"/>
      <c r="AI100" s="502"/>
      <c r="AJ100" s="37"/>
      <c r="AK100" s="37"/>
      <c r="AL100" s="37"/>
      <c r="AM100" s="37">
        <f t="shared" si="30"/>
        <v>0</v>
      </c>
      <c r="AN100" s="37"/>
      <c r="AO100" s="37"/>
      <c r="AP100" s="37"/>
      <c r="AQ100" s="37"/>
      <c r="AR100" s="37">
        <f t="shared" si="31"/>
        <v>0</v>
      </c>
      <c r="AS100" s="37"/>
      <c r="AT100" s="37"/>
      <c r="AU100" s="37"/>
      <c r="AV100" s="37"/>
      <c r="AW100" s="37"/>
      <c r="AX100" s="37"/>
      <c r="AY100" s="37"/>
      <c r="AZ100" s="37">
        <v>150</v>
      </c>
      <c r="BA100" s="37">
        <f>+AR100+AS100+AU100+AW100+AY100+AZ100</f>
        <v>150</v>
      </c>
      <c r="BB100" s="50"/>
      <c r="BC100" s="51"/>
      <c r="BD100" s="51"/>
      <c r="BE100" s="33"/>
      <c r="BF100" s="51"/>
    </row>
    <row r="101" spans="1:58" ht="12.95" customHeight="1">
      <c r="A101" s="40"/>
      <c r="B101" s="41"/>
      <c r="C101" s="414"/>
      <c r="D101" s="41"/>
      <c r="E101" s="42"/>
      <c r="F101" s="42"/>
      <c r="G101" s="43"/>
      <c r="H101" s="44"/>
      <c r="I101" s="45"/>
      <c r="J101" s="82"/>
      <c r="K101" s="82"/>
      <c r="L101" s="35"/>
      <c r="M101" s="35"/>
      <c r="N101" s="46"/>
      <c r="O101" s="47"/>
      <c r="P101" s="48"/>
      <c r="Q101" s="34"/>
      <c r="R101" s="500"/>
      <c r="S101" s="500"/>
      <c r="T101" s="37"/>
      <c r="U101" s="37"/>
      <c r="V101" s="37"/>
      <c r="W101" s="37"/>
      <c r="X101" s="38"/>
      <c r="Y101" s="211"/>
      <c r="Z101" s="37"/>
      <c r="AA101" s="37"/>
      <c r="AB101" s="37"/>
      <c r="AC101" s="37"/>
      <c r="AD101" s="37"/>
      <c r="AE101" s="232"/>
      <c r="AF101" s="37"/>
      <c r="AG101" s="37"/>
      <c r="AH101" s="37"/>
      <c r="AI101" s="502"/>
      <c r="AJ101" s="37"/>
      <c r="AK101" s="37"/>
      <c r="AL101" s="37"/>
      <c r="AM101" s="37"/>
      <c r="AN101" s="37"/>
      <c r="AO101" s="37"/>
      <c r="AP101" s="37"/>
      <c r="AQ101" s="37"/>
      <c r="AR101" s="37"/>
      <c r="AS101" s="37"/>
      <c r="AT101" s="37"/>
      <c r="AU101" s="37"/>
      <c r="AV101" s="37"/>
      <c r="AW101" s="37"/>
      <c r="AX101" s="37"/>
      <c r="AY101" s="37"/>
      <c r="AZ101" s="37"/>
      <c r="BA101" s="37"/>
      <c r="BB101" s="50"/>
      <c r="BC101" s="51"/>
      <c r="BD101" s="51"/>
      <c r="BE101" s="51"/>
      <c r="BF101" s="51"/>
    </row>
    <row r="102" spans="1:58" ht="12.75" customHeight="1">
      <c r="A102" s="40">
        <v>45978</v>
      </c>
      <c r="B102" s="41" t="s">
        <v>461</v>
      </c>
      <c r="C102" s="414">
        <f>(M102*E102*O102*Q102)/100000000</f>
        <v>36.942305400000002</v>
      </c>
      <c r="D102" s="41" t="s">
        <v>300</v>
      </c>
      <c r="E102" s="42">
        <v>12</v>
      </c>
      <c r="F102" s="42">
        <v>1</v>
      </c>
      <c r="G102" s="499">
        <v>1230</v>
      </c>
      <c r="H102" s="44">
        <f>+N102</f>
        <v>0.22999999999999987</v>
      </c>
      <c r="I102" s="45">
        <v>0.88</v>
      </c>
      <c r="J102" s="82">
        <f>E102*G102*(1-H102)*1440/1000000*2.74</f>
        <v>44.84253312000002</v>
      </c>
      <c r="K102" s="82">
        <f>(IF(G102&lt;L102,L102,G102)*(1-IF(H102&lt;N102,H102,N102))*E102*O102*Q102)/100000000</f>
        <v>42.960456000000001</v>
      </c>
      <c r="L102" s="35">
        <v>1057.6944444444443</v>
      </c>
      <c r="M102" s="35">
        <v>814.42472222222227</v>
      </c>
      <c r="N102" s="46">
        <f>1-(M102/L102)</f>
        <v>0.22999999999999987</v>
      </c>
      <c r="O102" s="47">
        <f>+'Trim Rwd'!H36</f>
        <v>262.5</v>
      </c>
      <c r="P102" s="48">
        <f>O102*(Q102-R102-S102)</f>
        <v>360150</v>
      </c>
      <c r="Q102" s="47">
        <v>1440</v>
      </c>
      <c r="R102" s="500">
        <v>0</v>
      </c>
      <c r="S102" s="500">
        <v>68</v>
      </c>
      <c r="T102" s="37">
        <f>E102*M102*O102*Q102/100000000</f>
        <v>36.942305400000002</v>
      </c>
      <c r="U102" s="37">
        <f>E102*M102*O102*(Q102-R102-S102)/100000000</f>
        <v>35.197807645000005</v>
      </c>
      <c r="V102" s="37">
        <f>E102*G102*(1-N102)*O102/100*(R102+S102)/1000000</f>
        <v>2.0286882000000004</v>
      </c>
      <c r="W102" s="37">
        <f>+'17'!K7/1000</f>
        <v>25.547000000000001</v>
      </c>
      <c r="X102" s="501">
        <f>SUM(W102:W106)/SUM(K102:K106)</f>
        <v>0.59466314789582309</v>
      </c>
      <c r="Y102" s="211">
        <v>0</v>
      </c>
      <c r="Z102" s="37">
        <f>+'17'!D34/1000</f>
        <v>2.9119999999999999</v>
      </c>
      <c r="AA102" s="49">
        <f>SUM(U102:U106)-SUM(W102:W106)-SUM(Z102:Z106)-SUM(Y102:Y106)</f>
        <v>6.7388076450000041</v>
      </c>
      <c r="AB102" s="49">
        <f>(SUM(K102:K106)-SUM(W102:W106)-SUM(Y102:Y106)-SUM(Z102:Z106)-SUM(AC102:AC106)-SUM(V102:V106))-AA102</f>
        <v>-0.2841904450000019</v>
      </c>
      <c r="AC102" s="37">
        <f>K102-T102</f>
        <v>6.0181505999999985</v>
      </c>
      <c r="AD102" s="37">
        <f>+AM102+BA102</f>
        <v>24</v>
      </c>
      <c r="AE102" s="229" t="s">
        <v>481</v>
      </c>
      <c r="AF102" s="37">
        <v>24</v>
      </c>
      <c r="AG102" s="37"/>
      <c r="AH102" s="37"/>
      <c r="AI102" s="502"/>
      <c r="AJ102" s="37"/>
      <c r="AK102" s="37"/>
      <c r="AL102" s="37"/>
      <c r="AM102" s="37">
        <f t="shared" ref="AM102:AM105" si="32">SUM(AF102:AL102)+AT102+AV102+AX102</f>
        <v>24</v>
      </c>
      <c r="AN102" s="37"/>
      <c r="AO102" s="37"/>
      <c r="AP102" s="37"/>
      <c r="AQ102" s="37"/>
      <c r="AR102" s="37">
        <f>SUM(AN102:AQ102)</f>
        <v>0</v>
      </c>
      <c r="AS102" s="37"/>
      <c r="AT102" s="37"/>
      <c r="AU102" s="37"/>
      <c r="AV102" s="37"/>
      <c r="AW102" s="37"/>
      <c r="AX102" s="37"/>
      <c r="AY102" s="37"/>
      <c r="AZ102" s="37"/>
      <c r="BA102" s="37">
        <f>+AR102+AS102+AU102+AW102+AY102+AZ102</f>
        <v>0</v>
      </c>
      <c r="BB102" s="33">
        <v>8</v>
      </c>
      <c r="BC102" s="51"/>
      <c r="BD102" s="51"/>
      <c r="BE102" s="33"/>
      <c r="BF102" s="51"/>
    </row>
    <row r="103" spans="1:58" ht="12.95" customHeight="1">
      <c r="A103" s="40"/>
      <c r="B103" s="41"/>
      <c r="C103" s="414"/>
      <c r="D103" s="41"/>
      <c r="E103" s="42"/>
      <c r="F103" s="42"/>
      <c r="G103" s="499"/>
      <c r="H103" s="44"/>
      <c r="I103" s="45"/>
      <c r="J103" s="82"/>
      <c r="K103" s="82"/>
      <c r="L103" s="35"/>
      <c r="M103" s="35"/>
      <c r="N103" s="46"/>
      <c r="O103" s="47"/>
      <c r="P103" s="48"/>
      <c r="Q103" s="47"/>
      <c r="R103" s="500"/>
      <c r="S103" s="500"/>
      <c r="T103" s="37"/>
      <c r="U103" s="37"/>
      <c r="V103" s="37"/>
      <c r="W103" s="37"/>
      <c r="X103" s="38"/>
      <c r="Y103" s="211"/>
      <c r="Z103" s="37"/>
      <c r="AA103" s="37"/>
      <c r="AB103" s="37"/>
      <c r="AC103" s="37"/>
      <c r="AD103" s="37">
        <f>+AM103+BA103</f>
        <v>10</v>
      </c>
      <c r="AE103" s="229" t="s">
        <v>478</v>
      </c>
      <c r="AF103" s="37"/>
      <c r="AG103" s="37">
        <v>10</v>
      </c>
      <c r="AH103" s="37"/>
      <c r="AI103" s="502"/>
      <c r="AJ103" s="37"/>
      <c r="AK103" s="37"/>
      <c r="AL103" s="37"/>
      <c r="AM103" s="37">
        <f t="shared" si="32"/>
        <v>10</v>
      </c>
      <c r="AN103" s="83"/>
      <c r="AO103" s="37"/>
      <c r="AP103" s="37"/>
      <c r="AQ103" s="37"/>
      <c r="AR103" s="37">
        <f t="shared" ref="AR103:AR105" si="33">SUM(AN103:AQ103)</f>
        <v>0</v>
      </c>
      <c r="AS103" s="37"/>
      <c r="AT103" s="37"/>
      <c r="AU103" s="37"/>
      <c r="AV103" s="37"/>
      <c r="AW103" s="37"/>
      <c r="AX103" s="37"/>
      <c r="AY103" s="37"/>
      <c r="AZ103" s="37"/>
      <c r="BA103" s="37">
        <f>+AR103+AS103+AU103+AW103+AY103+AZ103</f>
        <v>0</v>
      </c>
      <c r="BB103" s="50"/>
      <c r="BC103" s="51">
        <v>7</v>
      </c>
      <c r="BD103" s="51"/>
      <c r="BE103" s="50"/>
      <c r="BF103" s="51"/>
    </row>
    <row r="104" spans="1:58" ht="12.95" customHeight="1">
      <c r="A104" s="40"/>
      <c r="B104" s="41"/>
      <c r="C104" s="414"/>
      <c r="D104" s="41"/>
      <c r="E104" s="42"/>
      <c r="F104" s="42"/>
      <c r="G104" s="43"/>
      <c r="H104" s="44"/>
      <c r="I104" s="45"/>
      <c r="J104" s="82"/>
      <c r="K104" s="82"/>
      <c r="L104" s="35"/>
      <c r="M104" s="35"/>
      <c r="N104" s="46"/>
      <c r="O104" s="47"/>
      <c r="P104" s="48"/>
      <c r="Q104" s="47"/>
      <c r="R104" s="500"/>
      <c r="S104" s="500"/>
      <c r="T104" s="37"/>
      <c r="U104" s="37"/>
      <c r="V104" s="37"/>
      <c r="W104" s="37"/>
      <c r="X104" s="38"/>
      <c r="Y104" s="211"/>
      <c r="Z104" s="37"/>
      <c r="AA104" s="37"/>
      <c r="AB104" s="37"/>
      <c r="AC104" s="37"/>
      <c r="AD104" s="37">
        <f>+AM104+BA104</f>
        <v>34</v>
      </c>
      <c r="AE104" s="229" t="s">
        <v>482</v>
      </c>
      <c r="AF104" s="33"/>
      <c r="AG104" s="33"/>
      <c r="AH104" s="33">
        <v>34</v>
      </c>
      <c r="AJ104" s="37"/>
      <c r="AK104" s="37"/>
      <c r="AL104" s="37"/>
      <c r="AM104" s="37">
        <f t="shared" si="32"/>
        <v>34</v>
      </c>
      <c r="AN104" s="37"/>
      <c r="AO104" s="37"/>
      <c r="AP104" s="37"/>
      <c r="AQ104" s="37"/>
      <c r="AR104" s="37">
        <f t="shared" si="33"/>
        <v>0</v>
      </c>
      <c r="AS104" s="37"/>
      <c r="AT104" s="37"/>
      <c r="AU104" s="37"/>
      <c r="AV104" s="37"/>
      <c r="AW104" s="37"/>
      <c r="AX104" s="37"/>
      <c r="AY104" s="37"/>
      <c r="AZ104" s="37"/>
      <c r="BA104" s="37">
        <f>+AR104+AS104+AU104+AW104+AY104+AZ104</f>
        <v>0</v>
      </c>
      <c r="BB104" s="33"/>
      <c r="BC104" s="503"/>
      <c r="BD104" s="503"/>
      <c r="BE104" s="33"/>
      <c r="BF104" s="503"/>
    </row>
    <row r="105" spans="1:58" ht="12.95" customHeight="1">
      <c r="A105" s="40"/>
      <c r="B105" s="41"/>
      <c r="C105" s="414"/>
      <c r="D105" s="41"/>
      <c r="E105" s="42"/>
      <c r="F105" s="42"/>
      <c r="G105" s="43"/>
      <c r="H105" s="44"/>
      <c r="I105" s="45"/>
      <c r="J105" s="82"/>
      <c r="K105" s="82"/>
      <c r="L105" s="35"/>
      <c r="M105" s="35"/>
      <c r="N105" s="46"/>
      <c r="O105" s="47"/>
      <c r="P105" s="48"/>
      <c r="Q105" s="34"/>
      <c r="R105" s="500"/>
      <c r="S105" s="500"/>
      <c r="T105" s="37"/>
      <c r="U105" s="37"/>
      <c r="V105" s="37"/>
      <c r="W105" s="37"/>
      <c r="X105" s="38"/>
      <c r="Y105" s="211"/>
      <c r="Z105" s="37"/>
      <c r="AA105" s="37"/>
      <c r="AB105" s="37"/>
      <c r="AC105" s="37"/>
      <c r="AD105" s="37">
        <f>+AM105+BA105</f>
        <v>0</v>
      </c>
      <c r="AE105" s="232" t="s">
        <v>377</v>
      </c>
      <c r="AF105" s="37"/>
      <c r="AG105" s="37"/>
      <c r="AH105" s="37"/>
      <c r="AI105" s="502">
        <v>0</v>
      </c>
      <c r="AJ105" s="37"/>
      <c r="AK105" s="37"/>
      <c r="AL105" s="37"/>
      <c r="AM105" s="37">
        <f t="shared" si="32"/>
        <v>0</v>
      </c>
      <c r="AN105" s="37"/>
      <c r="AO105" s="37"/>
      <c r="AP105" s="37"/>
      <c r="AQ105" s="37"/>
      <c r="AR105" s="37">
        <f t="shared" si="33"/>
        <v>0</v>
      </c>
      <c r="AS105" s="37"/>
      <c r="AT105" s="37"/>
      <c r="AU105" s="37"/>
      <c r="AV105" s="37"/>
      <c r="AW105" s="37"/>
      <c r="AX105" s="37"/>
      <c r="AY105" s="37"/>
      <c r="AZ105" s="37"/>
      <c r="BA105" s="37">
        <f>+AR105+AS105+AU105+AW105+AY105+AZ105</f>
        <v>0</v>
      </c>
      <c r="BB105" s="50"/>
      <c r="BC105" s="51"/>
      <c r="BD105" s="51"/>
      <c r="BE105" s="50"/>
      <c r="BF105" s="51"/>
    </row>
    <row r="106" spans="1:58" ht="12.95" customHeight="1">
      <c r="A106" s="40"/>
      <c r="B106" s="41"/>
      <c r="C106" s="414"/>
      <c r="D106" s="41"/>
      <c r="E106" s="42"/>
      <c r="F106" s="42"/>
      <c r="G106" s="43"/>
      <c r="H106" s="44"/>
      <c r="I106" s="45"/>
      <c r="J106" s="82"/>
      <c r="K106" s="82"/>
      <c r="L106" s="35"/>
      <c r="M106" s="35"/>
      <c r="N106" s="46"/>
      <c r="O106" s="47"/>
      <c r="P106" s="48"/>
      <c r="Q106" s="34"/>
      <c r="R106" s="500"/>
      <c r="S106" s="500"/>
      <c r="T106" s="37"/>
      <c r="U106" s="37"/>
      <c r="V106" s="37"/>
      <c r="W106" s="37"/>
      <c r="X106" s="38"/>
      <c r="Y106" s="211"/>
      <c r="Z106" s="37"/>
      <c r="AA106" s="37"/>
      <c r="AB106" s="37"/>
      <c r="AC106" s="37"/>
      <c r="AD106" s="37"/>
      <c r="AE106" s="232"/>
      <c r="AF106" s="37"/>
      <c r="AG106" s="37"/>
      <c r="AH106" s="37"/>
      <c r="AI106" s="502"/>
      <c r="AJ106" s="37"/>
      <c r="AK106" s="37"/>
      <c r="AL106" s="37"/>
      <c r="AM106" s="37"/>
      <c r="AN106" s="37"/>
      <c r="AO106" s="37"/>
      <c r="AP106" s="37"/>
      <c r="AQ106" s="37"/>
      <c r="AR106" s="37"/>
      <c r="AS106" s="37"/>
      <c r="AT106" s="37"/>
      <c r="AU106" s="37"/>
      <c r="AV106" s="37"/>
      <c r="AW106" s="37"/>
      <c r="AX106" s="37"/>
      <c r="AY106" s="37"/>
      <c r="AZ106" s="37"/>
      <c r="BA106" s="37"/>
      <c r="BB106" s="50"/>
      <c r="BC106" s="51"/>
      <c r="BD106" s="51"/>
      <c r="BE106" s="51"/>
      <c r="BF106" s="51"/>
    </row>
    <row r="107" spans="1:58" ht="12.75" customHeight="1">
      <c r="A107" s="40">
        <v>45979</v>
      </c>
      <c r="B107" s="41" t="s">
        <v>461</v>
      </c>
      <c r="C107" s="414">
        <f>(M107*E107*O107*Q107)/100000000</f>
        <v>40.328415678764607</v>
      </c>
      <c r="D107" s="41" t="s">
        <v>300</v>
      </c>
      <c r="E107" s="42">
        <v>12</v>
      </c>
      <c r="F107" s="42">
        <v>1</v>
      </c>
      <c r="G107" s="499">
        <v>1230</v>
      </c>
      <c r="H107" s="44">
        <f>+N107</f>
        <v>0.23362041006172307</v>
      </c>
      <c r="I107" s="45">
        <v>0.88</v>
      </c>
      <c r="J107" s="82">
        <f>E107*G107*(1-H107)*1440/1000000*2.74</f>
        <v>44.631691096492467</v>
      </c>
      <c r="K107" s="82">
        <f>(IF(G107&lt;L107,L107,G107)*(1-IF(H107&lt;N107,H107,N107))*E107*O107*Q107)/100000000</f>
        <v>41.591767975732282</v>
      </c>
      <c r="L107" s="35">
        <v>1192.6386806596702</v>
      </c>
      <c r="M107" s="35">
        <v>914.01394302848564</v>
      </c>
      <c r="N107" s="46">
        <f>1-(M107/L107)</f>
        <v>0.23362041006172307</v>
      </c>
      <c r="O107" s="47">
        <f>+'Trim Rwd'!H38</f>
        <v>261.88461538461536</v>
      </c>
      <c r="P107" s="48">
        <f>O107*(Q107-R107-S107)</f>
        <v>335997.9615384615</v>
      </c>
      <c r="Q107" s="47">
        <f>1334+70</f>
        <v>1404</v>
      </c>
      <c r="R107" s="500">
        <v>70</v>
      </c>
      <c r="S107" s="500">
        <f>56-5</f>
        <v>51</v>
      </c>
      <c r="T107" s="37">
        <f>E107*M107*O107*Q107/100000000</f>
        <v>40.328415678764607</v>
      </c>
      <c r="U107" s="37">
        <f>E107*M107*O107*(Q107-R107-S107)/100000000</f>
        <v>36.852818601036319</v>
      </c>
      <c r="V107" s="37">
        <f>E107*G107*(1-N107)*O107/100*(R107+S107)/1000000</f>
        <v>3.5844757301022834</v>
      </c>
      <c r="W107" s="37">
        <f>+'18'!K7/1000</f>
        <v>34.366999999999997</v>
      </c>
      <c r="X107" s="501">
        <f>SUM(W107:W111)/SUM(K107:K111)</f>
        <v>0.80760888974803402</v>
      </c>
      <c r="Y107" s="211">
        <v>0</v>
      </c>
      <c r="Z107" s="37">
        <f>+'17'!D39/1000</f>
        <v>0</v>
      </c>
      <c r="AA107" s="49">
        <f>SUM(U107:U111)-SUM(W107:W111)-SUM(Z107:Z111)-SUM(Y107:Y111)</f>
        <v>3.2738126672974346</v>
      </c>
      <c r="AB107" s="49">
        <f>(SUM(K107:K111)-SUM(W107:W111)-SUM(Y107:Y111)-SUM(Z107:Z111)-SUM(AC107:AC111)-SUM(V107:V111))-AA107</f>
        <v>-0.11542811623510651</v>
      </c>
      <c r="AC107" s="37">
        <f>K107-T107</f>
        <v>1.2633522969676747</v>
      </c>
      <c r="AD107" s="37">
        <f>+AM107+BA107</f>
        <v>24</v>
      </c>
      <c r="AE107" s="229" t="s">
        <v>499</v>
      </c>
      <c r="AF107" s="37">
        <v>24</v>
      </c>
      <c r="AG107" s="37"/>
      <c r="AH107" s="37"/>
      <c r="AI107" s="502"/>
      <c r="AJ107" s="37"/>
      <c r="AK107" s="37"/>
      <c r="AL107" s="37"/>
      <c r="AM107" s="37">
        <f t="shared" ref="AM107:AM110" si="34">SUM(AF107:AL107)+AT107+AV107+AX107</f>
        <v>24</v>
      </c>
      <c r="AN107" s="37"/>
      <c r="AO107" s="37"/>
      <c r="AP107" s="37"/>
      <c r="AQ107" s="37"/>
      <c r="AR107" s="37">
        <f>SUM(AN107:AQ107)</f>
        <v>0</v>
      </c>
      <c r="AS107" s="37"/>
      <c r="AT107" s="37"/>
      <c r="AU107" s="37"/>
      <c r="AV107" s="37"/>
      <c r="AW107" s="37"/>
      <c r="AX107" s="37"/>
      <c r="AY107" s="37"/>
      <c r="AZ107" s="37"/>
      <c r="BA107" s="37">
        <f>+AR107+AS107+AU107+AW107+AY107+AZ107</f>
        <v>0</v>
      </c>
      <c r="BB107" s="33">
        <v>9</v>
      </c>
      <c r="BC107" s="51"/>
      <c r="BD107" s="51"/>
      <c r="BE107" s="33"/>
      <c r="BF107" s="51"/>
    </row>
    <row r="108" spans="1:58" ht="12.95" customHeight="1">
      <c r="A108" s="40"/>
      <c r="B108" s="41" t="s">
        <v>461</v>
      </c>
      <c r="C108" s="414">
        <f t="shared" ref="C108" si="35">(M108*E108*O108*Q108)/100000000</f>
        <v>0.91508988340000008</v>
      </c>
      <c r="D108" s="41" t="s">
        <v>300</v>
      </c>
      <c r="E108" s="42">
        <v>10.3</v>
      </c>
      <c r="F108" s="42">
        <v>1</v>
      </c>
      <c r="G108" s="499">
        <v>1230</v>
      </c>
      <c r="H108" s="44">
        <f t="shared" ref="H108" si="36">+N108</f>
        <v>0.22999999999999998</v>
      </c>
      <c r="I108" s="45">
        <v>0.88</v>
      </c>
      <c r="J108" s="82">
        <f t="shared" ref="J108" si="37">E108*G108*(1-H108)*1440/1000000*2.74</f>
        <v>38.489840928000007</v>
      </c>
      <c r="K108" s="82">
        <f t="shared" ref="K108" si="38">(IF(G108&lt;L108,L108,G108)*(1-IF(H108&lt;N108,H108,N108))*E108*O108*Q108)/100000000</f>
        <v>0.96224602320000008</v>
      </c>
      <c r="L108" s="35">
        <v>1169.7222222222222</v>
      </c>
      <c r="M108" s="35">
        <v>900.68611111111113</v>
      </c>
      <c r="N108" s="46">
        <f t="shared" ref="N108" si="39">1-(M108/L108)</f>
        <v>0.22999999999999998</v>
      </c>
      <c r="O108" s="47">
        <v>274</v>
      </c>
      <c r="P108" s="48">
        <f t="shared" ref="P108" si="40">O108*(Q108-R108-S108)</f>
        <v>8494</v>
      </c>
      <c r="Q108" s="47">
        <v>36</v>
      </c>
      <c r="R108" s="500">
        <v>0</v>
      </c>
      <c r="S108" s="500">
        <v>5</v>
      </c>
      <c r="T108" s="37">
        <f t="shared" ref="T108" si="41">E108*M108*O108*Q108/100000000</f>
        <v>0.91508988340000008</v>
      </c>
      <c r="U108" s="37">
        <f t="shared" ref="U108" si="42">E108*M108*O108*(Q108-R108-S108)/100000000</f>
        <v>0.78799406626111124</v>
      </c>
      <c r="V108" s="37">
        <f t="shared" ref="V108" si="43">E108*G108*(1-N108)*O108/100*(R108+S108)/1000000</f>
        <v>0.133645281</v>
      </c>
      <c r="W108" s="37">
        <f>+'16'!K19/1000</f>
        <v>0</v>
      </c>
      <c r="X108" s="38"/>
      <c r="Y108" s="211"/>
      <c r="Z108" s="37"/>
      <c r="AA108" s="37"/>
      <c r="AB108" s="37"/>
      <c r="AC108" s="37">
        <f>K108-T108</f>
        <v>4.7156139799999996E-2</v>
      </c>
      <c r="AD108" s="37">
        <f>+AM108+BA108</f>
        <v>2</v>
      </c>
      <c r="AE108" s="229" t="s">
        <v>455</v>
      </c>
      <c r="AF108" s="37"/>
      <c r="AG108" s="37">
        <v>2</v>
      </c>
      <c r="AH108" s="37"/>
      <c r="AI108" s="502"/>
      <c r="AJ108" s="37"/>
      <c r="AK108" s="37"/>
      <c r="AL108" s="37"/>
      <c r="AM108" s="37">
        <f t="shared" si="34"/>
        <v>2</v>
      </c>
      <c r="AN108" s="83"/>
      <c r="AO108" s="37"/>
      <c r="AP108" s="37"/>
      <c r="AQ108" s="37"/>
      <c r="AR108" s="37">
        <f t="shared" ref="AR108:AR110" si="44">SUM(AN108:AQ108)</f>
        <v>0</v>
      </c>
      <c r="AS108" s="37"/>
      <c r="AT108" s="37"/>
      <c r="AU108" s="37"/>
      <c r="AV108" s="37"/>
      <c r="AW108" s="37"/>
      <c r="AX108" s="37"/>
      <c r="AY108" s="37"/>
      <c r="AZ108" s="37"/>
      <c r="BA108" s="37">
        <f>+AR108+AS108+AU108+AW108+AY108+AZ108</f>
        <v>0</v>
      </c>
      <c r="BB108" s="50"/>
      <c r="BC108" s="51">
        <v>1</v>
      </c>
      <c r="BD108" s="51"/>
      <c r="BE108" s="50"/>
      <c r="BF108" s="51"/>
    </row>
    <row r="109" spans="1:58" ht="12.95" customHeight="1">
      <c r="A109" s="40"/>
      <c r="B109" s="41"/>
      <c r="C109" s="414"/>
      <c r="D109" s="41"/>
      <c r="E109" s="42"/>
      <c r="F109" s="42"/>
      <c r="G109" s="499"/>
      <c r="H109" s="44"/>
      <c r="I109" s="45"/>
      <c r="J109" s="82"/>
      <c r="K109" s="82"/>
      <c r="L109" s="35"/>
      <c r="M109" s="35"/>
      <c r="N109" s="46"/>
      <c r="O109" s="47"/>
      <c r="P109" s="48"/>
      <c r="Q109" s="47"/>
      <c r="R109" s="500"/>
      <c r="S109" s="500"/>
      <c r="T109" s="37"/>
      <c r="U109" s="37"/>
      <c r="V109" s="37"/>
      <c r="W109" s="37"/>
      <c r="X109" s="38"/>
      <c r="Y109" s="211"/>
      <c r="Z109" s="37"/>
      <c r="AA109" s="37"/>
      <c r="AB109" s="37"/>
      <c r="AC109" s="37"/>
      <c r="AD109" s="37">
        <f>+AM109+BA109</f>
        <v>30</v>
      </c>
      <c r="AE109" s="229" t="s">
        <v>500</v>
      </c>
      <c r="AF109" s="33"/>
      <c r="AG109" s="33"/>
      <c r="AH109" s="33">
        <v>30</v>
      </c>
      <c r="AJ109" s="37"/>
      <c r="AK109" s="37"/>
      <c r="AL109" s="37"/>
      <c r="AM109" s="37">
        <f t="shared" si="34"/>
        <v>30</v>
      </c>
      <c r="AN109" s="37"/>
      <c r="AO109" s="37"/>
      <c r="AP109" s="37"/>
      <c r="AQ109" s="37"/>
      <c r="AR109" s="37">
        <f t="shared" si="44"/>
        <v>0</v>
      </c>
      <c r="AS109" s="37"/>
      <c r="AT109" s="37"/>
      <c r="AU109" s="37"/>
      <c r="AV109" s="37"/>
      <c r="AW109" s="37"/>
      <c r="AX109" s="37"/>
      <c r="AY109" s="37"/>
      <c r="AZ109" s="37"/>
      <c r="BA109" s="37">
        <f>+AR109+AS109+AU109+AW109+AY109+AZ109</f>
        <v>0</v>
      </c>
      <c r="BB109" s="33"/>
      <c r="BC109" s="503"/>
      <c r="BD109" s="503"/>
      <c r="BE109" s="33"/>
      <c r="BF109" s="503"/>
    </row>
    <row r="110" spans="1:58" ht="12.95" customHeight="1">
      <c r="A110" s="40"/>
      <c r="B110" s="41"/>
      <c r="C110" s="414"/>
      <c r="D110" s="41"/>
      <c r="E110" s="42"/>
      <c r="F110" s="42"/>
      <c r="G110" s="43"/>
      <c r="H110" s="44"/>
      <c r="I110" s="45"/>
      <c r="J110" s="82"/>
      <c r="K110" s="82"/>
      <c r="L110" s="35"/>
      <c r="M110" s="35"/>
      <c r="N110" s="46"/>
      <c r="O110" s="47"/>
      <c r="P110" s="48"/>
      <c r="Q110" s="34"/>
      <c r="R110" s="500"/>
      <c r="S110" s="500"/>
      <c r="T110" s="37"/>
      <c r="U110" s="37"/>
      <c r="V110" s="37"/>
      <c r="W110" s="37"/>
      <c r="X110" s="38"/>
      <c r="Y110" s="211"/>
      <c r="Z110" s="37"/>
      <c r="AA110" s="37"/>
      <c r="AB110" s="37"/>
      <c r="AC110" s="37"/>
      <c r="AD110" s="37">
        <f>+AM110+BA110</f>
        <v>70</v>
      </c>
      <c r="AE110" s="232" t="s">
        <v>501</v>
      </c>
      <c r="AF110" s="37"/>
      <c r="AG110" s="37"/>
      <c r="AH110" s="37"/>
      <c r="AI110" s="502">
        <v>0</v>
      </c>
      <c r="AJ110" s="37"/>
      <c r="AK110" s="37"/>
      <c r="AL110" s="37"/>
      <c r="AM110" s="37">
        <f t="shared" si="34"/>
        <v>0</v>
      </c>
      <c r="AN110" s="37"/>
      <c r="AO110" s="37"/>
      <c r="AP110" s="37"/>
      <c r="AQ110" s="37"/>
      <c r="AR110" s="37">
        <f t="shared" si="44"/>
        <v>0</v>
      </c>
      <c r="AS110" s="37"/>
      <c r="AT110" s="37"/>
      <c r="AU110" s="37"/>
      <c r="AV110" s="37"/>
      <c r="AW110" s="37"/>
      <c r="AX110" s="37"/>
      <c r="AY110" s="37"/>
      <c r="AZ110" s="37">
        <v>70</v>
      </c>
      <c r="BA110" s="37">
        <f>+AR110+AS110+AU110+AW110+AY110+AZ110</f>
        <v>70</v>
      </c>
      <c r="BB110" s="50"/>
      <c r="BC110" s="51"/>
      <c r="BD110" s="51"/>
      <c r="BE110" s="50"/>
      <c r="BF110" s="51"/>
    </row>
    <row r="111" spans="1:58" ht="12.95" customHeight="1">
      <c r="A111" s="40"/>
      <c r="B111" s="41"/>
      <c r="C111" s="414"/>
      <c r="D111" s="41"/>
      <c r="E111" s="42"/>
      <c r="F111" s="42"/>
      <c r="G111" s="43"/>
      <c r="H111" s="44"/>
      <c r="I111" s="45"/>
      <c r="J111" s="82"/>
      <c r="K111" s="82"/>
      <c r="L111" s="35"/>
      <c r="M111" s="35"/>
      <c r="N111" s="46"/>
      <c r="O111" s="47"/>
      <c r="P111" s="48"/>
      <c r="Q111" s="34"/>
      <c r="R111" s="500"/>
      <c r="S111" s="500"/>
      <c r="T111" s="37"/>
      <c r="U111" s="37"/>
      <c r="V111" s="37"/>
      <c r="W111" s="37"/>
      <c r="X111" s="38"/>
      <c r="Y111" s="211"/>
      <c r="Z111" s="37"/>
      <c r="AA111" s="37"/>
      <c r="AB111" s="37"/>
      <c r="AC111" s="37"/>
      <c r="AD111" s="37"/>
      <c r="AE111" s="232"/>
      <c r="AF111" s="37"/>
      <c r="AG111" s="37"/>
      <c r="AH111" s="37"/>
      <c r="AI111" s="502"/>
      <c r="AJ111" s="37"/>
      <c r="AK111" s="37"/>
      <c r="AL111" s="37"/>
      <c r="AM111" s="37"/>
      <c r="AN111" s="37"/>
      <c r="AO111" s="37"/>
      <c r="AP111" s="37"/>
      <c r="AQ111" s="37"/>
      <c r="AR111" s="37"/>
      <c r="AS111" s="37"/>
      <c r="AT111" s="37"/>
      <c r="AU111" s="37"/>
      <c r="AV111" s="37"/>
      <c r="AW111" s="37"/>
      <c r="AX111" s="37"/>
      <c r="AY111" s="37"/>
      <c r="AZ111" s="37"/>
      <c r="BA111" s="37"/>
      <c r="BB111" s="50"/>
      <c r="BC111" s="51"/>
      <c r="BD111" s="51"/>
      <c r="BE111" s="51"/>
      <c r="BF111" s="51"/>
    </row>
    <row r="112" spans="1:58" ht="12.75" customHeight="1">
      <c r="A112" s="40">
        <v>45980</v>
      </c>
      <c r="B112" s="41" t="s">
        <v>461</v>
      </c>
      <c r="C112" s="414">
        <f>(M112*E112*O112*Q112)/100000000</f>
        <v>42.025227448096679</v>
      </c>
      <c r="D112" s="41" t="s">
        <v>300</v>
      </c>
      <c r="E112" s="42">
        <v>12</v>
      </c>
      <c r="F112" s="42">
        <v>1</v>
      </c>
      <c r="G112" s="499">
        <v>1230</v>
      </c>
      <c r="H112" s="44">
        <f>+N112</f>
        <v>0.23390088945362153</v>
      </c>
      <c r="I112" s="45">
        <v>0.88</v>
      </c>
      <c r="J112" s="82">
        <f>E112*G112*(1-H112)*1440/1000000*2.74</f>
        <v>44.615356802439635</v>
      </c>
      <c r="K112" s="82">
        <f>(IF(G112&lt;L112,L112,G112)*(1-IF(H112&lt;N112,H112,N112))*E112*O112*Q112)/100000000</f>
        <v>42.025227448096679</v>
      </c>
      <c r="L112" s="35">
        <v>1230</v>
      </c>
      <c r="M112" s="35">
        <v>942.30190597204557</v>
      </c>
      <c r="N112" s="46">
        <f>1-(M112/L112)</f>
        <v>0.23390088945362153</v>
      </c>
      <c r="O112" s="47">
        <f>+'Trim Rwd'!H41</f>
        <v>258.09302325581393</v>
      </c>
      <c r="P112" s="48">
        <f>O112*(Q112-R112-S112)</f>
        <v>195634.51162790696</v>
      </c>
      <c r="Q112" s="47">
        <v>1440</v>
      </c>
      <c r="R112" s="500">
        <v>653</v>
      </c>
      <c r="S112" s="500">
        <v>29</v>
      </c>
      <c r="T112" s="37">
        <f>E112*M112*O112*Q112/100000000</f>
        <v>42.025227448096679</v>
      </c>
      <c r="U112" s="37">
        <f>E112*M112*O112*(Q112-R112-S112)/100000000</f>
        <v>22.121612781706443</v>
      </c>
      <c r="V112" s="37">
        <f>E112*G112*(1-N112)*O112/100*(R112+S112)/1000000</f>
        <v>19.903614666390229</v>
      </c>
      <c r="W112" s="37">
        <f>+'19'!K7/1000</f>
        <v>25.437000000000001</v>
      </c>
      <c r="X112" s="501">
        <f>SUM(W112:W116)/SUM(K112:K116)</f>
        <v>0.60527929400063352</v>
      </c>
      <c r="Y112" s="211">
        <v>0</v>
      </c>
      <c r="Z112" s="37">
        <f>+'17'!D44/1000</f>
        <v>0</v>
      </c>
      <c r="AA112" s="49">
        <f>SUM(U112:U116)-SUM(W112:W116)-SUM(Z112:Z116)-SUM(Y112:Y116)</f>
        <v>-3.3153872182935586</v>
      </c>
      <c r="AB112" s="49">
        <f>(SUM(K112:K116)-SUM(W112:W116)-SUM(Y112:Y116)-SUM(Z112:Z116)-SUM(AC112:AC116)-SUM(V112:V116))-AA112</f>
        <v>7.1054273576010019E-15</v>
      </c>
      <c r="AC112" s="37">
        <f>K112-T112</f>
        <v>0</v>
      </c>
      <c r="AD112" s="37">
        <f>+AM112+BA112</f>
        <v>9</v>
      </c>
      <c r="AE112" s="229" t="s">
        <v>460</v>
      </c>
      <c r="AF112" s="37">
        <v>9</v>
      </c>
      <c r="AG112" s="37"/>
      <c r="AH112" s="37"/>
      <c r="AI112" s="502"/>
      <c r="AJ112" s="37"/>
      <c r="AK112" s="37"/>
      <c r="AL112" s="37"/>
      <c r="AM112" s="37">
        <f t="shared" ref="AM112:AM115" si="45">SUM(AF112:AL112)+AT112+AV112+AX112</f>
        <v>9</v>
      </c>
      <c r="AN112" s="37"/>
      <c r="AO112" s="37"/>
      <c r="AP112" s="37"/>
      <c r="AQ112" s="37"/>
      <c r="AR112" s="37">
        <f>SUM(AN112:AQ112)</f>
        <v>0</v>
      </c>
      <c r="AS112" s="37"/>
      <c r="AT112" s="37"/>
      <c r="AU112" s="37"/>
      <c r="AV112" s="37"/>
      <c r="AW112" s="37"/>
      <c r="AX112" s="37"/>
      <c r="AY112" s="37"/>
      <c r="AZ112" s="37"/>
      <c r="BA112" s="37">
        <f>+AR112+AS112+AU112+AW112+AY112+AZ112</f>
        <v>0</v>
      </c>
      <c r="BB112" s="33">
        <v>3</v>
      </c>
      <c r="BC112" s="51"/>
      <c r="BD112" s="51"/>
      <c r="BE112" s="33"/>
      <c r="BF112" s="51"/>
    </row>
    <row r="113" spans="1:58" ht="12.95" customHeight="1">
      <c r="A113" s="40"/>
      <c r="B113" s="41"/>
      <c r="C113" s="414"/>
      <c r="D113" s="41"/>
      <c r="E113" s="42"/>
      <c r="F113" s="42"/>
      <c r="G113" s="499"/>
      <c r="H113" s="44"/>
      <c r="I113" s="45"/>
      <c r="J113" s="82"/>
      <c r="K113" s="82"/>
      <c r="L113" s="35"/>
      <c r="M113" s="35"/>
      <c r="N113" s="46"/>
      <c r="O113" s="47"/>
      <c r="P113" s="48"/>
      <c r="Q113" s="47"/>
      <c r="R113" s="500"/>
      <c r="S113" s="500"/>
      <c r="T113" s="37"/>
      <c r="U113" s="37"/>
      <c r="V113" s="37"/>
      <c r="W113" s="37"/>
      <c r="X113" s="38"/>
      <c r="Y113" s="211"/>
      <c r="Z113" s="37"/>
      <c r="AA113" s="37"/>
      <c r="AB113" s="37"/>
      <c r="AC113" s="37"/>
      <c r="AD113" s="37">
        <f>+AM113+BA113</f>
        <v>4</v>
      </c>
      <c r="AE113" s="229" t="s">
        <v>510</v>
      </c>
      <c r="AF113" s="37"/>
      <c r="AG113" s="37">
        <v>4</v>
      </c>
      <c r="AH113" s="37"/>
      <c r="AI113" s="502"/>
      <c r="AJ113" s="37"/>
      <c r="AK113" s="37"/>
      <c r="AL113" s="37"/>
      <c r="AM113" s="37">
        <f t="shared" si="45"/>
        <v>4</v>
      </c>
      <c r="AN113" s="83"/>
      <c r="AO113" s="37"/>
      <c r="AP113" s="37"/>
      <c r="AQ113" s="37"/>
      <c r="AR113" s="37">
        <f t="shared" ref="AR113:AR115" si="46">SUM(AN113:AQ113)</f>
        <v>0</v>
      </c>
      <c r="AS113" s="37"/>
      <c r="AT113" s="37"/>
      <c r="AU113" s="37"/>
      <c r="AV113" s="37"/>
      <c r="AW113" s="37"/>
      <c r="AX113" s="37"/>
      <c r="AY113" s="37"/>
      <c r="AZ113" s="37"/>
      <c r="BA113" s="37">
        <f>+AR113+AS113+AU113+AW113+AY113+AZ113</f>
        <v>0</v>
      </c>
      <c r="BB113" s="50"/>
      <c r="BC113" s="51">
        <v>2</v>
      </c>
      <c r="BD113" s="51"/>
      <c r="BE113" s="50"/>
      <c r="BF113" s="51"/>
    </row>
    <row r="114" spans="1:58" ht="12.95" customHeight="1">
      <c r="A114" s="40"/>
      <c r="B114" s="41"/>
      <c r="C114" s="414"/>
      <c r="D114" s="41"/>
      <c r="E114" s="42"/>
      <c r="F114" s="42"/>
      <c r="G114" s="499"/>
      <c r="H114" s="44"/>
      <c r="I114" s="45"/>
      <c r="J114" s="82"/>
      <c r="K114" s="82"/>
      <c r="L114" s="35"/>
      <c r="M114" s="35"/>
      <c r="N114" s="46"/>
      <c r="O114" s="47"/>
      <c r="P114" s="48"/>
      <c r="Q114" s="47"/>
      <c r="R114" s="500"/>
      <c r="S114" s="500"/>
      <c r="T114" s="37"/>
      <c r="U114" s="37"/>
      <c r="V114" s="37"/>
      <c r="W114" s="37"/>
      <c r="X114" s="38"/>
      <c r="Y114" s="211"/>
      <c r="Z114" s="37"/>
      <c r="AA114" s="37"/>
      <c r="AB114" s="37"/>
      <c r="AC114" s="37"/>
      <c r="AD114" s="37">
        <f>+AM114+BA114</f>
        <v>16</v>
      </c>
      <c r="AE114" s="229" t="s">
        <v>511</v>
      </c>
      <c r="AF114" s="33"/>
      <c r="AG114" s="33"/>
      <c r="AH114" s="33">
        <v>16</v>
      </c>
      <c r="AJ114" s="37"/>
      <c r="AK114" s="37"/>
      <c r="AL114" s="37"/>
      <c r="AM114" s="37">
        <f t="shared" si="45"/>
        <v>16</v>
      </c>
      <c r="AN114" s="37"/>
      <c r="AO114" s="37"/>
      <c r="AP114" s="37"/>
      <c r="AQ114" s="37"/>
      <c r="AR114" s="37">
        <f t="shared" si="46"/>
        <v>0</v>
      </c>
      <c r="AS114" s="37"/>
      <c r="AT114" s="37"/>
      <c r="AU114" s="37"/>
      <c r="AV114" s="37"/>
      <c r="AW114" s="37"/>
      <c r="AX114" s="37"/>
      <c r="AY114" s="37"/>
      <c r="AZ114" s="37"/>
      <c r="BA114" s="37">
        <f>+AR114+AS114+AU114+AW114+AY114+AZ114</f>
        <v>0</v>
      </c>
      <c r="BB114" s="33"/>
      <c r="BC114" s="503"/>
      <c r="BD114" s="503"/>
      <c r="BE114" s="33"/>
      <c r="BF114" s="503"/>
    </row>
    <row r="115" spans="1:58" ht="12.95" customHeight="1">
      <c r="A115" s="40"/>
      <c r="B115" s="41"/>
      <c r="C115" s="414"/>
      <c r="D115" s="41"/>
      <c r="E115" s="42"/>
      <c r="F115" s="42"/>
      <c r="G115" s="43"/>
      <c r="H115" s="44"/>
      <c r="I115" s="45"/>
      <c r="J115" s="82"/>
      <c r="K115" s="82"/>
      <c r="L115" s="35"/>
      <c r="M115" s="35"/>
      <c r="N115" s="46"/>
      <c r="O115" s="47"/>
      <c r="P115" s="48"/>
      <c r="Q115" s="34"/>
      <c r="R115" s="500"/>
      <c r="S115" s="500"/>
      <c r="T115" s="37"/>
      <c r="U115" s="37"/>
      <c r="V115" s="37"/>
      <c r="W115" s="37"/>
      <c r="X115" s="38"/>
      <c r="Y115" s="211"/>
      <c r="Z115" s="37"/>
      <c r="AA115" s="37"/>
      <c r="AB115" s="37"/>
      <c r="AC115" s="37"/>
      <c r="AD115" s="37">
        <f>+AM115+BA115</f>
        <v>653</v>
      </c>
      <c r="AE115" s="232" t="s">
        <v>512</v>
      </c>
      <c r="AF115" s="37"/>
      <c r="AG115" s="37"/>
      <c r="AH115" s="37"/>
      <c r="AI115" s="502">
        <v>0</v>
      </c>
      <c r="AJ115" s="37"/>
      <c r="AK115" s="37"/>
      <c r="AL115" s="37"/>
      <c r="AM115" s="37">
        <f t="shared" si="45"/>
        <v>0</v>
      </c>
      <c r="AN115" s="37"/>
      <c r="AO115" s="37"/>
      <c r="AP115" s="37"/>
      <c r="AQ115" s="37"/>
      <c r="AR115" s="37">
        <f t="shared" si="46"/>
        <v>0</v>
      </c>
      <c r="AS115" s="37"/>
      <c r="AT115" s="37"/>
      <c r="AU115" s="37"/>
      <c r="AV115" s="37"/>
      <c r="AW115" s="37"/>
      <c r="AX115" s="37"/>
      <c r="AY115" s="37"/>
      <c r="AZ115" s="37">
        <v>653</v>
      </c>
      <c r="BA115" s="37">
        <f>+AR115+AS115+AU115+AW115+AY115+AZ115</f>
        <v>653</v>
      </c>
      <c r="BB115" s="50"/>
      <c r="BC115" s="51"/>
      <c r="BD115" s="51"/>
      <c r="BE115" s="50"/>
      <c r="BF115" s="51"/>
    </row>
    <row r="116" spans="1:58" ht="12.95" customHeight="1">
      <c r="A116" s="40"/>
      <c r="B116" s="41"/>
      <c r="C116" s="414"/>
      <c r="D116" s="41"/>
      <c r="E116" s="42"/>
      <c r="F116" s="42"/>
      <c r="G116" s="43"/>
      <c r="H116" s="44"/>
      <c r="I116" s="45"/>
      <c r="J116" s="82"/>
      <c r="K116" s="82"/>
      <c r="L116" s="35"/>
      <c r="M116" s="35"/>
      <c r="N116" s="46"/>
      <c r="O116" s="47"/>
      <c r="P116" s="48"/>
      <c r="Q116" s="34"/>
      <c r="R116" s="500"/>
      <c r="S116" s="500"/>
      <c r="T116" s="37"/>
      <c r="U116" s="37"/>
      <c r="V116" s="37"/>
      <c r="W116" s="37"/>
      <c r="X116" s="38"/>
      <c r="Y116" s="211"/>
      <c r="Z116" s="37"/>
      <c r="AA116" s="37"/>
      <c r="AB116" s="37"/>
      <c r="AC116" s="37"/>
      <c r="AD116" s="37"/>
      <c r="AE116" s="232"/>
      <c r="AF116" s="37"/>
      <c r="AG116" s="37"/>
      <c r="AH116" s="37"/>
      <c r="AI116" s="502"/>
      <c r="AJ116" s="37"/>
      <c r="AK116" s="37"/>
      <c r="AL116" s="37"/>
      <c r="AM116" s="37"/>
      <c r="AN116" s="37"/>
      <c r="AO116" s="37"/>
      <c r="AP116" s="37"/>
      <c r="AQ116" s="37"/>
      <c r="AR116" s="37"/>
      <c r="AS116" s="37"/>
      <c r="AT116" s="37"/>
      <c r="AU116" s="37"/>
      <c r="AV116" s="37"/>
      <c r="AW116" s="37"/>
      <c r="AX116" s="37"/>
      <c r="AY116" s="37"/>
      <c r="AZ116" s="37"/>
      <c r="BA116" s="37"/>
      <c r="BB116" s="50"/>
      <c r="BC116" s="37"/>
      <c r="BD116" s="51"/>
      <c r="BE116" s="51"/>
      <c r="BF116" s="51"/>
    </row>
    <row r="117" spans="1:58" ht="12" customHeight="1">
      <c r="A117" s="40">
        <v>45981</v>
      </c>
      <c r="B117" s="41" t="s">
        <v>461</v>
      </c>
      <c r="C117" s="414">
        <f>(M117*E117*O117*Q117)/100000000</f>
        <v>38.611938810305084</v>
      </c>
      <c r="D117" s="41" t="s">
        <v>300</v>
      </c>
      <c r="E117" s="42">
        <v>13</v>
      </c>
      <c r="F117" s="42">
        <v>1</v>
      </c>
      <c r="G117" s="499">
        <v>1230</v>
      </c>
      <c r="H117" s="44">
        <f>+N117</f>
        <v>0.23180279180279184</v>
      </c>
      <c r="I117" s="45">
        <v>0.88</v>
      </c>
      <c r="J117" s="82">
        <f>E117*G117*(1-H117)*1440/1000000*2.74</f>
        <v>48.465672485559843</v>
      </c>
      <c r="K117" s="82">
        <f>(IF(G117&lt;L117,L117,G117)*(1-IF(H117&lt;N117,H117,N117))*E117*O117*Q117)/100000000</f>
        <v>41.610757342795367</v>
      </c>
      <c r="L117" s="35">
        <v>1141.3559322033898</v>
      </c>
      <c r="M117" s="35">
        <v>876.78644067796608</v>
      </c>
      <c r="N117" s="46">
        <f>1-(M117/L117)</f>
        <v>0.23180279180279184</v>
      </c>
      <c r="O117" s="47">
        <f>+'Trim Rwd'!H44</f>
        <v>258</v>
      </c>
      <c r="P117" s="48">
        <f>O117*(Q117-R117-S117)</f>
        <v>146802</v>
      </c>
      <c r="Q117" s="47">
        <f>590+723</f>
        <v>1313</v>
      </c>
      <c r="R117" s="500">
        <v>723</v>
      </c>
      <c r="S117" s="500">
        <v>21</v>
      </c>
      <c r="T117" s="37">
        <f>E117*M117*O117*Q117/100000000</f>
        <v>38.611938810305084</v>
      </c>
      <c r="U117" s="37">
        <f>E117*M117*O117*(Q117-R117-S117)/100000000</f>
        <v>16.73282039837288</v>
      </c>
      <c r="V117" s="37">
        <f>E117*G117*(1-N117)*O117/100*(R117+S117)/1000000</f>
        <v>23.57837278220849</v>
      </c>
      <c r="W117" s="37">
        <f>+'20'!K8/1000</f>
        <v>8.5809999999999995</v>
      </c>
      <c r="X117" s="501">
        <f>SUM(W117:W121)/SUM(K117:K121)</f>
        <v>0.25645272839111277</v>
      </c>
      <c r="Y117" s="211">
        <v>0</v>
      </c>
      <c r="Z117" s="37">
        <f>+'20'!D25/1000</f>
        <v>0.16800000000000001</v>
      </c>
      <c r="AA117" s="49">
        <f>SUM(U117:U121)-SUM(W117:W121)-SUM(Z117:Z121)-SUM(Y117:Y121)</f>
        <v>8.2646692734594964</v>
      </c>
      <c r="AB117" s="49">
        <f>(SUM(K117:K121)-SUM(W117:W121)-SUM(Y117:Y121)-SUM(Z117:Z121)-SUM(AC117:AC121)-SUM(V117:V121))-AA117</f>
        <v>-1.7478141573629031</v>
      </c>
      <c r="AC117" s="37">
        <f>K117-T117</f>
        <v>2.998818532490283</v>
      </c>
      <c r="AD117" s="37">
        <f>+AM117+BA117</f>
        <v>14</v>
      </c>
      <c r="AE117" s="229" t="s">
        <v>480</v>
      </c>
      <c r="AF117" s="37">
        <v>14</v>
      </c>
      <c r="AG117" s="37"/>
      <c r="AH117" s="37"/>
      <c r="AI117" s="502"/>
      <c r="AJ117" s="37"/>
      <c r="AK117" s="37"/>
      <c r="AL117" s="37"/>
      <c r="AM117" s="37">
        <f t="shared" ref="AM117:AM120" si="47">SUM(AF117:AL117)+AT117+AV117+AX117</f>
        <v>14</v>
      </c>
      <c r="AN117" s="37"/>
      <c r="AO117" s="37"/>
      <c r="AP117" s="37"/>
      <c r="AQ117" s="37"/>
      <c r="AR117" s="37">
        <f>SUM(AN117:AQ117)</f>
        <v>0</v>
      </c>
      <c r="AS117" s="37"/>
      <c r="AT117" s="37"/>
      <c r="AU117" s="37"/>
      <c r="AV117" s="37"/>
      <c r="AW117" s="37"/>
      <c r="AX117" s="37"/>
      <c r="AY117" s="37"/>
      <c r="AZ117" s="37"/>
      <c r="BA117" s="37">
        <f>+AR117+AS117+AU117+AW117+AY117+AZ117</f>
        <v>0</v>
      </c>
      <c r="BB117" s="33">
        <v>5</v>
      </c>
      <c r="BC117" s="51"/>
      <c r="BD117" s="51"/>
      <c r="BE117" s="33"/>
      <c r="BF117" s="51"/>
    </row>
    <row r="118" spans="1:58" ht="12.95" customHeight="1">
      <c r="A118" s="40"/>
      <c r="B118" s="41" t="s">
        <v>461</v>
      </c>
      <c r="C118" s="414">
        <f>(M118*E118*O118*Q118)/100000000</f>
        <v>3.8044086080000001</v>
      </c>
      <c r="D118" s="41" t="s">
        <v>300</v>
      </c>
      <c r="E118" s="42">
        <v>14</v>
      </c>
      <c r="F118" s="42">
        <v>1</v>
      </c>
      <c r="G118" s="499">
        <v>1230</v>
      </c>
      <c r="H118" s="44">
        <f>+N118</f>
        <v>0.24</v>
      </c>
      <c r="I118" s="45">
        <v>0.88</v>
      </c>
      <c r="J118" s="82">
        <f>E118*G118*(1-H118)*1440/1000000*2.74</f>
        <v>51.636856320000007</v>
      </c>
      <c r="K118" s="82">
        <f>(IF(G118&lt;L118,L118,G118)*(1-IF(H118&lt;N118,H118,N118))*E118*O118*Q118)/100000000</f>
        <v>4.4211179039999999</v>
      </c>
      <c r="L118" s="35">
        <v>1058.4251968503936</v>
      </c>
      <c r="M118" s="35">
        <v>804.40314960629917</v>
      </c>
      <c r="N118" s="46">
        <f>1-(M118/L118)</f>
        <v>0.24</v>
      </c>
      <c r="O118" s="47">
        <f>+'Trim Rwd'!H45</f>
        <v>266</v>
      </c>
      <c r="P118" s="48">
        <f>O118*(Q118-R118-S118)</f>
        <v>31122</v>
      </c>
      <c r="Q118" s="47">
        <v>127</v>
      </c>
      <c r="R118" s="500">
        <v>0</v>
      </c>
      <c r="S118" s="500">
        <v>10</v>
      </c>
      <c r="T118" s="37">
        <f>E118*M118*O118*Q118/100000000</f>
        <v>3.8044086080000001</v>
      </c>
      <c r="U118" s="37">
        <f>E118*M118*O118*(Q118-R118-S118)/100000000</f>
        <v>3.5048488750866147</v>
      </c>
      <c r="V118" s="37">
        <f>E118*G118*(1-N118)*O118/100*(R118+S118)/1000000</f>
        <v>0.34811952000000002</v>
      </c>
      <c r="W118" s="37">
        <f>+'20'!K9/1000</f>
        <v>3.2240000000000002</v>
      </c>
      <c r="X118" s="38"/>
      <c r="Y118" s="211"/>
      <c r="Z118" s="37"/>
      <c r="AA118" s="37"/>
      <c r="AB118" s="37"/>
      <c r="AC118" s="37">
        <f>K118-T118</f>
        <v>0.6167092959999998</v>
      </c>
      <c r="AD118" s="37">
        <f>+AM118+BA118</f>
        <v>0</v>
      </c>
      <c r="AE118" s="229" t="s">
        <v>282</v>
      </c>
      <c r="AF118" s="37"/>
      <c r="AG118" s="37">
        <v>0</v>
      </c>
      <c r="AH118" s="37"/>
      <c r="AI118" s="502"/>
      <c r="AJ118" s="37"/>
      <c r="AK118" s="37"/>
      <c r="AL118" s="37"/>
      <c r="AM118" s="37">
        <f t="shared" si="47"/>
        <v>0</v>
      </c>
      <c r="AN118" s="83"/>
      <c r="AO118" s="37"/>
      <c r="AP118" s="37"/>
      <c r="AQ118" s="37"/>
      <c r="AR118" s="37">
        <f t="shared" ref="AR118:AR120" si="48">SUM(AN118:AQ118)</f>
        <v>0</v>
      </c>
      <c r="AS118" s="37"/>
      <c r="AT118" s="37"/>
      <c r="AU118" s="37"/>
      <c r="AV118" s="37"/>
      <c r="AW118" s="37"/>
      <c r="AX118" s="37"/>
      <c r="AY118" s="37"/>
      <c r="AZ118" s="37"/>
      <c r="BA118" s="37">
        <f>+AR118+AS118+AU118+AW118+AY118+AZ118</f>
        <v>0</v>
      </c>
      <c r="BB118" s="50"/>
      <c r="BC118" s="51">
        <v>0</v>
      </c>
      <c r="BD118" s="51"/>
      <c r="BE118" s="50"/>
      <c r="BF118" s="51"/>
    </row>
    <row r="119" spans="1:58" ht="12.95" customHeight="1">
      <c r="A119" s="40"/>
      <c r="B119" s="41"/>
      <c r="C119" s="414"/>
      <c r="D119" s="41"/>
      <c r="E119" s="42"/>
      <c r="F119" s="42"/>
      <c r="G119" s="499"/>
      <c r="H119" s="44"/>
      <c r="I119" s="45"/>
      <c r="J119" s="82"/>
      <c r="K119" s="82"/>
      <c r="L119" s="35"/>
      <c r="M119" s="35"/>
      <c r="N119" s="46"/>
      <c r="O119" s="47"/>
      <c r="P119" s="48"/>
      <c r="Q119" s="47"/>
      <c r="R119" s="500"/>
      <c r="S119" s="500"/>
      <c r="T119" s="37"/>
      <c r="U119" s="37"/>
      <c r="V119" s="37"/>
      <c r="W119" s="37"/>
      <c r="X119" s="38"/>
      <c r="Y119" s="211"/>
      <c r="Z119" s="37"/>
      <c r="AA119" s="37"/>
      <c r="AB119" s="37"/>
      <c r="AC119" s="37"/>
      <c r="AD119" s="37">
        <f>+AM119+BA119</f>
        <v>17</v>
      </c>
      <c r="AE119" s="229" t="s">
        <v>527</v>
      </c>
      <c r="AF119" s="33"/>
      <c r="AG119" s="33"/>
      <c r="AH119" s="33">
        <v>17</v>
      </c>
      <c r="AJ119" s="37"/>
      <c r="AK119" s="37"/>
      <c r="AL119" s="37"/>
      <c r="AM119" s="37">
        <f t="shared" si="47"/>
        <v>17</v>
      </c>
      <c r="AN119" s="37"/>
      <c r="AO119" s="37"/>
      <c r="AP119" s="37"/>
      <c r="AQ119" s="37"/>
      <c r="AR119" s="37">
        <f t="shared" si="48"/>
        <v>0</v>
      </c>
      <c r="AS119" s="37"/>
      <c r="AT119" s="37"/>
      <c r="AU119" s="37"/>
      <c r="AV119" s="37"/>
      <c r="AW119" s="37"/>
      <c r="AX119" s="37"/>
      <c r="AY119" s="37"/>
      <c r="AZ119" s="37"/>
      <c r="BA119" s="37">
        <f>+AR119+AS119+AU119+AW119+AY119+AZ119</f>
        <v>0</v>
      </c>
      <c r="BB119" s="33"/>
      <c r="BC119" s="503"/>
      <c r="BD119" s="503"/>
      <c r="BE119" s="33"/>
      <c r="BF119" s="503"/>
    </row>
    <row r="120" spans="1:58" ht="12.95" customHeight="1">
      <c r="A120" s="40"/>
      <c r="B120" s="41"/>
      <c r="C120" s="414"/>
      <c r="D120" s="41"/>
      <c r="E120" s="42"/>
      <c r="F120" s="42"/>
      <c r="G120" s="43"/>
      <c r="H120" s="44"/>
      <c r="I120" s="45"/>
      <c r="J120" s="82"/>
      <c r="K120" s="82"/>
      <c r="L120" s="35"/>
      <c r="M120" s="35"/>
      <c r="N120" s="46"/>
      <c r="O120" s="47"/>
      <c r="P120" s="48"/>
      <c r="Q120" s="34"/>
      <c r="R120" s="500"/>
      <c r="S120" s="500"/>
      <c r="T120" s="37"/>
      <c r="U120" s="37"/>
      <c r="V120" s="37"/>
      <c r="W120" s="37"/>
      <c r="X120" s="38"/>
      <c r="Y120" s="211"/>
      <c r="Z120" s="37"/>
      <c r="AA120" s="37"/>
      <c r="AB120" s="37"/>
      <c r="AC120" s="37"/>
      <c r="AD120" s="37">
        <f>+AM120+BA120</f>
        <v>723</v>
      </c>
      <c r="AE120" s="232" t="s">
        <v>526</v>
      </c>
      <c r="AF120" s="37"/>
      <c r="AG120" s="37"/>
      <c r="AH120" s="37"/>
      <c r="AI120" s="502">
        <v>0</v>
      </c>
      <c r="AJ120" s="37"/>
      <c r="AK120" s="37"/>
      <c r="AL120" s="37"/>
      <c r="AM120" s="37">
        <f t="shared" si="47"/>
        <v>0</v>
      </c>
      <c r="AN120" s="37"/>
      <c r="AO120" s="37"/>
      <c r="AP120" s="37"/>
      <c r="AQ120" s="37"/>
      <c r="AR120" s="37">
        <f t="shared" si="48"/>
        <v>0</v>
      </c>
      <c r="AS120" s="37"/>
      <c r="AT120" s="37"/>
      <c r="AU120" s="37"/>
      <c r="AV120" s="37"/>
      <c r="AW120" s="37"/>
      <c r="AX120" s="37"/>
      <c r="AY120" s="37"/>
      <c r="AZ120" s="37">
        <v>723</v>
      </c>
      <c r="BA120" s="37">
        <f>+AR120+AS120+AU120+AW120+AY120+AZ120</f>
        <v>723</v>
      </c>
      <c r="BB120" s="50"/>
      <c r="BC120" s="51"/>
      <c r="BD120" s="51"/>
      <c r="BE120" s="50"/>
      <c r="BF120" s="51"/>
    </row>
    <row r="121" spans="1:58" ht="12.95" customHeight="1">
      <c r="A121" s="40"/>
      <c r="B121" s="41"/>
      <c r="C121" s="414"/>
      <c r="D121" s="41"/>
      <c r="E121" s="42"/>
      <c r="F121" s="42"/>
      <c r="G121" s="43"/>
      <c r="H121" s="44"/>
      <c r="I121" s="45"/>
      <c r="J121" s="82"/>
      <c r="K121" s="82"/>
      <c r="L121" s="35"/>
      <c r="M121" s="35"/>
      <c r="N121" s="46"/>
      <c r="O121" s="47"/>
      <c r="P121" s="48"/>
      <c r="Q121" s="34"/>
      <c r="R121" s="500"/>
      <c r="S121" s="500"/>
      <c r="T121" s="37"/>
      <c r="U121" s="37"/>
      <c r="V121" s="37"/>
      <c r="W121" s="37"/>
      <c r="X121" s="38"/>
      <c r="Y121" s="211"/>
      <c r="Z121" s="37"/>
      <c r="AA121" s="37"/>
      <c r="AB121" s="37"/>
      <c r="AC121" s="37"/>
      <c r="AD121" s="37"/>
      <c r="AE121" s="232"/>
      <c r="AF121" s="37"/>
      <c r="AG121" s="37"/>
      <c r="AH121" s="37"/>
      <c r="AI121" s="502"/>
      <c r="AJ121" s="37"/>
      <c r="AK121" s="37"/>
      <c r="AL121" s="37"/>
      <c r="AM121" s="37"/>
      <c r="AN121" s="37"/>
      <c r="AO121" s="37"/>
      <c r="AP121" s="37"/>
      <c r="AQ121" s="37"/>
      <c r="AR121" s="37"/>
      <c r="AS121" s="37"/>
      <c r="AT121" s="37"/>
      <c r="AU121" s="37"/>
      <c r="AV121" s="37"/>
      <c r="AW121" s="37"/>
      <c r="AX121" s="37"/>
      <c r="AY121" s="37"/>
      <c r="AZ121" s="37"/>
      <c r="BA121" s="37"/>
      <c r="BB121" s="50"/>
      <c r="BC121" s="51"/>
      <c r="BD121" s="51"/>
      <c r="BE121" s="51"/>
      <c r="BF121" s="51"/>
    </row>
    <row r="122" spans="1:58" ht="12" customHeight="1">
      <c r="A122" s="40">
        <v>45982</v>
      </c>
      <c r="B122" s="41" t="s">
        <v>461</v>
      </c>
      <c r="C122" s="414">
        <f>(M122*E122*O122*Q122)/100000000</f>
        <v>3.5846210399999996</v>
      </c>
      <c r="D122" s="41" t="s">
        <v>300</v>
      </c>
      <c r="E122" s="42">
        <v>13</v>
      </c>
      <c r="F122" s="42">
        <v>1</v>
      </c>
      <c r="G122" s="499">
        <v>1230</v>
      </c>
      <c r="H122" s="44">
        <f>+N122</f>
        <v>0.23000000000000009</v>
      </c>
      <c r="I122" s="45">
        <v>0.88</v>
      </c>
      <c r="J122" s="82">
        <f>E122*G122*(1-H122)*1440/1000000*2.74</f>
        <v>48.579410880000005</v>
      </c>
      <c r="K122" s="82">
        <f>(IF(G122&lt;L122,L122,G122)*(1-IF(H122&lt;N122,H122,N122))*E122*O122*Q122)/100000000</f>
        <v>3.875419548</v>
      </c>
      <c r="L122" s="35">
        <v>1137.704918032787</v>
      </c>
      <c r="M122" s="35">
        <v>876.03278688524586</v>
      </c>
      <c r="N122" s="46">
        <f>1-(M122/L122)</f>
        <v>0.23000000000000009</v>
      </c>
      <c r="O122" s="47">
        <f>+'Trim Rwd'!H47</f>
        <v>258</v>
      </c>
      <c r="P122" s="48">
        <f>O122*(Q122-R122-S122)</f>
        <v>19608</v>
      </c>
      <c r="Q122" s="47">
        <v>122</v>
      </c>
      <c r="R122" s="500">
        <v>0</v>
      </c>
      <c r="S122" s="500">
        <f>12+34</f>
        <v>46</v>
      </c>
      <c r="T122" s="37">
        <f>E122*M122*O122*Q122/100000000</f>
        <v>3.5846210399999996</v>
      </c>
      <c r="U122" s="37">
        <f>E122*M122*O122*(Q122-R122-S122)/100000000</f>
        <v>2.2330426150819669</v>
      </c>
      <c r="V122" s="37">
        <f>E122*G122*(1-N122)*O122/100*(R122+S122)/1000000</f>
        <v>1.4612237639999999</v>
      </c>
      <c r="W122" s="37">
        <f>+'21'!K8/1000</f>
        <v>8.5169999999999995</v>
      </c>
      <c r="X122" s="501">
        <f>SUM(W122:W126)/SUM(K122:K126)</f>
        <v>0.92279177112584931</v>
      </c>
      <c r="Y122" s="211">
        <v>0</v>
      </c>
      <c r="Z122" s="37">
        <f>+'21'!D7/1000</f>
        <v>0.19700000000000001</v>
      </c>
      <c r="AA122" s="49">
        <f>SUM(U122:U126)-SUM(W122:W126)-SUM(Z122:Z126)-SUM(Y122:Y126)</f>
        <v>-3.2657257540983573</v>
      </c>
      <c r="AB122" s="49">
        <f>(SUM(K122:K126)-SUM(W122:W126)-SUM(Y122:Y126)-SUM(Z122:Z126)-SUM(AC122:AC126)-SUM(V122:V126))-AA122</f>
        <v>-0.23350271531147326</v>
      </c>
      <c r="AC122" s="37">
        <f>K122-T122</f>
        <v>0.2907985080000004</v>
      </c>
      <c r="AD122" s="37">
        <f>+AM122+BA122</f>
        <v>21</v>
      </c>
      <c r="AE122" s="229" t="s">
        <v>499</v>
      </c>
      <c r="AF122" s="37">
        <v>21</v>
      </c>
      <c r="AG122" s="37"/>
      <c r="AH122" s="37"/>
      <c r="AI122" s="502"/>
      <c r="AJ122" s="37"/>
      <c r="AK122" s="37"/>
      <c r="AL122" s="37"/>
      <c r="AM122" s="37">
        <f t="shared" ref="AM122:AM130" si="49">SUM(AF122:AL122)+AT122+AV122+AX122</f>
        <v>21</v>
      </c>
      <c r="AN122" s="37"/>
      <c r="AO122" s="37"/>
      <c r="AP122" s="37"/>
      <c r="AQ122" s="37"/>
      <c r="AR122" s="37">
        <f>SUM(AN122:AQ122)</f>
        <v>0</v>
      </c>
      <c r="AS122" s="37"/>
      <c r="AT122" s="37"/>
      <c r="AU122" s="37"/>
      <c r="AV122" s="37"/>
      <c r="AW122" s="37"/>
      <c r="AX122" s="37"/>
      <c r="AY122" s="37"/>
      <c r="AZ122" s="37"/>
      <c r="BA122" s="37">
        <f t="shared" ref="BA122:BA130" si="50">+AR122+AS122+AU122+AW122+AY122+AZ122</f>
        <v>0</v>
      </c>
      <c r="BB122" s="33">
        <v>9</v>
      </c>
      <c r="BC122" s="51"/>
      <c r="BD122" s="51"/>
      <c r="BE122" s="33"/>
      <c r="BF122" s="51"/>
    </row>
    <row r="123" spans="1:58" ht="12.95" customHeight="1">
      <c r="A123" s="40"/>
      <c r="B123" s="41" t="s">
        <v>461</v>
      </c>
      <c r="C123" s="414">
        <f>(M123*E123*O123*Q123)/100000000</f>
        <v>12.281449179999999</v>
      </c>
      <c r="D123" s="41" t="s">
        <v>300</v>
      </c>
      <c r="E123" s="42">
        <v>14</v>
      </c>
      <c r="F123" s="42">
        <v>1</v>
      </c>
      <c r="G123" s="499">
        <v>1230</v>
      </c>
      <c r="H123" s="44">
        <f>+N123</f>
        <v>0.22999999999999998</v>
      </c>
      <c r="I123" s="45">
        <v>0.88</v>
      </c>
      <c r="J123" s="82">
        <f>E123*G123*(1-H123)*1440/1000000*2.74</f>
        <v>52.316288640000003</v>
      </c>
      <c r="K123" s="82">
        <f>(IF(G123&lt;L123,L123,G123)*(1-IF(H123&lt;N123,H123,N123))*E123*O123*Q123)/100000000</f>
        <v>13.732893173999999</v>
      </c>
      <c r="L123" s="35">
        <v>1100</v>
      </c>
      <c r="M123" s="35">
        <v>847</v>
      </c>
      <c r="N123" s="46">
        <f>1-(M123/L123)</f>
        <v>0.22999999999999998</v>
      </c>
      <c r="O123" s="47">
        <f>+'Trim Rwd'!H48</f>
        <v>257</v>
      </c>
      <c r="P123" s="48">
        <f>O123*(Q123-R123-S123)</f>
        <v>97146</v>
      </c>
      <c r="Q123" s="47">
        <v>403</v>
      </c>
      <c r="R123" s="500">
        <v>0</v>
      </c>
      <c r="S123" s="500">
        <v>25</v>
      </c>
      <c r="T123" s="37">
        <f>E123*M123*O123*Q123/100000000</f>
        <v>12.281449179999999</v>
      </c>
      <c r="U123" s="37">
        <f>E123*M123*O123*(Q123-R123-S123)/100000000</f>
        <v>11.51957268</v>
      </c>
      <c r="V123" s="37">
        <f>E123*G123*(1-N123)*O123/100*(R123+S123)/1000000</f>
        <v>0.85191644999999994</v>
      </c>
      <c r="W123" s="37">
        <f>+'21'!K9/1000</f>
        <v>22.401</v>
      </c>
      <c r="X123" s="38"/>
      <c r="Y123" s="211"/>
      <c r="Z123" s="37">
        <f>+'21'!D25/1000</f>
        <v>0.56000000000000005</v>
      </c>
      <c r="AA123" s="37"/>
      <c r="AB123" s="37"/>
      <c r="AC123" s="37">
        <f>K123-T123</f>
        <v>1.4514439939999999</v>
      </c>
      <c r="AD123" s="37">
        <f>+AM123+BA123</f>
        <v>12</v>
      </c>
      <c r="AE123" s="229" t="s">
        <v>543</v>
      </c>
      <c r="AF123" s="37"/>
      <c r="AG123" s="37">
        <v>12</v>
      </c>
      <c r="AH123" s="37"/>
      <c r="AI123" s="502"/>
      <c r="AJ123" s="37"/>
      <c r="AK123" s="37"/>
      <c r="AL123" s="37"/>
      <c r="AM123" s="37">
        <f t="shared" si="49"/>
        <v>12</v>
      </c>
      <c r="AN123" s="83"/>
      <c r="AO123" s="37"/>
      <c r="AP123" s="37"/>
      <c r="AQ123" s="37"/>
      <c r="AR123" s="37">
        <f t="shared" ref="AR123:AR124" si="51">SUM(AN123:AQ123)</f>
        <v>0</v>
      </c>
      <c r="AS123" s="37"/>
      <c r="AT123" s="37"/>
      <c r="AU123" s="37"/>
      <c r="AV123" s="37"/>
      <c r="AW123" s="37"/>
      <c r="AX123" s="37"/>
      <c r="AY123" s="37"/>
      <c r="AZ123" s="37"/>
      <c r="BA123" s="37">
        <f t="shared" si="50"/>
        <v>0</v>
      </c>
      <c r="BB123" s="50"/>
      <c r="BC123" s="51">
        <v>4</v>
      </c>
      <c r="BD123" s="51"/>
      <c r="BE123" s="50"/>
      <c r="BF123" s="51"/>
    </row>
    <row r="124" spans="1:58" ht="12.95" customHeight="1">
      <c r="A124" s="40"/>
      <c r="B124" s="41" t="s">
        <v>461</v>
      </c>
      <c r="C124" s="414">
        <f>(M124*E124*O124*Q124)/100000000</f>
        <v>24.754356000000001</v>
      </c>
      <c r="D124" s="41" t="s">
        <v>300</v>
      </c>
      <c r="E124" s="42">
        <v>11</v>
      </c>
      <c r="F124" s="42">
        <v>1</v>
      </c>
      <c r="G124" s="499">
        <v>1230</v>
      </c>
      <c r="H124" s="44">
        <f>+N124</f>
        <v>0.23524590163934433</v>
      </c>
      <c r="I124" s="45">
        <v>0.88</v>
      </c>
      <c r="J124" s="82">
        <f>E124*G124*(1-H124)*1440/1000000*2.74</f>
        <v>40.825608314754099</v>
      </c>
      <c r="K124" s="82">
        <f>(IF(G124&lt;L124,L124,G124)*(1-IF(H124&lt;N124,H124,N124))*E124*O124*Q124)/100000000</f>
        <v>25.373214900000001</v>
      </c>
      <c r="L124" s="35">
        <v>1200</v>
      </c>
      <c r="M124" s="35">
        <v>917.70491803278685</v>
      </c>
      <c r="N124" s="46">
        <f>1-(M124/L124)</f>
        <v>0.23524590163934433</v>
      </c>
      <c r="O124" s="47">
        <f>+'Trim Rwd'!H49</f>
        <v>268</v>
      </c>
      <c r="P124" s="48">
        <f>O124*(Q124-R124-S124)</f>
        <v>231820</v>
      </c>
      <c r="Q124" s="47">
        <v>915</v>
      </c>
      <c r="R124" s="500">
        <v>0</v>
      </c>
      <c r="S124" s="500">
        <v>50</v>
      </c>
      <c r="T124" s="37">
        <f>E124*M124*O124*Q124/100000000</f>
        <v>24.754356000000001</v>
      </c>
      <c r="U124" s="37">
        <f>E124*M124*O124*(Q124-R124-S124)/100000000</f>
        <v>23.401658950819673</v>
      </c>
      <c r="V124" s="37">
        <f>E124*G124*(1-N124)*O124/100*(R124+S124)/1000000</f>
        <v>1.386514475409836</v>
      </c>
      <c r="W124" s="37">
        <f>+'21'!K10/1000</f>
        <v>8.7449999999999992</v>
      </c>
      <c r="X124" s="38"/>
      <c r="Y124" s="211"/>
      <c r="Z124" s="37"/>
      <c r="AA124" s="37"/>
      <c r="AB124" s="37"/>
      <c r="AC124" s="37">
        <f>K124-T124</f>
        <v>0.61885889999999932</v>
      </c>
      <c r="AD124" s="37">
        <f>+AM124+BA124</f>
        <v>33</v>
      </c>
      <c r="AE124" s="229" t="s">
        <v>544</v>
      </c>
      <c r="AF124" s="33"/>
      <c r="AG124" s="33"/>
      <c r="AH124" s="33">
        <v>33</v>
      </c>
      <c r="AJ124" s="37"/>
      <c r="AK124" s="37"/>
      <c r="AL124" s="37"/>
      <c r="AM124" s="37">
        <f t="shared" si="49"/>
        <v>33</v>
      </c>
      <c r="AN124" s="37"/>
      <c r="AO124" s="37"/>
      <c r="AP124" s="37"/>
      <c r="AQ124" s="37"/>
      <c r="AR124" s="37">
        <f t="shared" si="51"/>
        <v>0</v>
      </c>
      <c r="AS124" s="37"/>
      <c r="AT124" s="37"/>
      <c r="AU124" s="37"/>
      <c r="AV124" s="37"/>
      <c r="AW124" s="37"/>
      <c r="AX124" s="37"/>
      <c r="AY124" s="37"/>
      <c r="AZ124" s="37"/>
      <c r="BA124" s="37">
        <f t="shared" si="50"/>
        <v>0</v>
      </c>
      <c r="BB124" s="33"/>
      <c r="BC124" s="503"/>
      <c r="BD124" s="503"/>
      <c r="BE124" s="33"/>
      <c r="BF124" s="503"/>
    </row>
    <row r="125" spans="1:58" ht="12.95" customHeight="1">
      <c r="A125" s="40"/>
      <c r="B125" s="41"/>
      <c r="C125" s="414"/>
      <c r="D125" s="41"/>
      <c r="E125" s="42"/>
      <c r="F125" s="42"/>
      <c r="G125" s="43"/>
      <c r="H125" s="44"/>
      <c r="I125" s="45"/>
      <c r="J125" s="82"/>
      <c r="K125" s="82"/>
      <c r="L125" s="35"/>
      <c r="M125" s="35"/>
      <c r="N125" s="46"/>
      <c r="O125" s="47"/>
      <c r="P125" s="48"/>
      <c r="Q125" s="34"/>
      <c r="R125" s="500"/>
      <c r="S125" s="500"/>
      <c r="T125" s="37"/>
      <c r="U125" s="37"/>
      <c r="V125" s="37"/>
      <c r="W125" s="37"/>
      <c r="X125" s="38"/>
      <c r="Y125" s="211"/>
      <c r="Z125" s="37"/>
      <c r="AA125" s="37"/>
      <c r="AB125" s="37"/>
      <c r="AC125" s="37"/>
      <c r="AD125" s="37">
        <f>+AM125+BA125</f>
        <v>55</v>
      </c>
      <c r="AE125" s="232" t="s">
        <v>545</v>
      </c>
      <c r="AF125" s="37"/>
      <c r="AG125" s="37"/>
      <c r="AH125" s="37"/>
      <c r="AI125" s="502">
        <v>0</v>
      </c>
      <c r="AJ125" s="37"/>
      <c r="AK125" s="37">
        <v>55</v>
      </c>
      <c r="AL125" s="37"/>
      <c r="AM125" s="37">
        <f t="shared" si="49"/>
        <v>55</v>
      </c>
      <c r="AN125" s="37"/>
      <c r="AO125" s="37"/>
      <c r="AP125" s="37"/>
      <c r="AQ125" s="37"/>
      <c r="AR125" s="37">
        <f t="shared" ref="AR125:AR126" si="52">SUM(AN125:AQ125)</f>
        <v>0</v>
      </c>
      <c r="AS125" s="37"/>
      <c r="AT125" s="37"/>
      <c r="AU125" s="37"/>
      <c r="AV125" s="37"/>
      <c r="AW125" s="37"/>
      <c r="AX125" s="37"/>
      <c r="AY125" s="37"/>
      <c r="AZ125" s="37"/>
      <c r="BA125" s="37">
        <f t="shared" si="50"/>
        <v>0</v>
      </c>
      <c r="BB125" s="50"/>
      <c r="BC125" s="51"/>
      <c r="BD125" s="51"/>
      <c r="BE125" s="50"/>
      <c r="BF125" s="51"/>
    </row>
    <row r="126" spans="1:58" ht="12.95" customHeight="1">
      <c r="A126" s="40"/>
      <c r="B126" s="41"/>
      <c r="C126" s="414"/>
      <c r="D126" s="41"/>
      <c r="E126" s="42"/>
      <c r="F126" s="42"/>
      <c r="G126" s="43"/>
      <c r="H126" s="44"/>
      <c r="I126" s="45"/>
      <c r="J126" s="82"/>
      <c r="K126" s="82"/>
      <c r="L126" s="35"/>
      <c r="M126" s="35"/>
      <c r="N126" s="46"/>
      <c r="O126" s="47"/>
      <c r="P126" s="48"/>
      <c r="Q126" s="34"/>
      <c r="R126" s="500"/>
      <c r="S126" s="500"/>
      <c r="T126" s="37"/>
      <c r="U126" s="37"/>
      <c r="V126" s="37"/>
      <c r="W126" s="37"/>
      <c r="X126" s="38"/>
      <c r="Y126" s="211"/>
      <c r="Z126" s="37"/>
      <c r="AA126" s="37"/>
      <c r="AB126" s="37"/>
      <c r="AC126" s="37"/>
      <c r="AD126" s="37"/>
      <c r="AE126" s="232"/>
      <c r="AF126" s="37"/>
      <c r="AG126" s="37"/>
      <c r="AH126" s="37"/>
      <c r="AI126" s="502"/>
      <c r="AJ126" s="37"/>
      <c r="AK126" s="37"/>
      <c r="AL126" s="37"/>
      <c r="AM126" s="37">
        <f t="shared" si="49"/>
        <v>0</v>
      </c>
      <c r="AN126" s="37"/>
      <c r="AO126" s="37"/>
      <c r="AP126" s="37"/>
      <c r="AQ126" s="37"/>
      <c r="AR126" s="37">
        <f t="shared" si="52"/>
        <v>0</v>
      </c>
      <c r="AS126" s="37"/>
      <c r="AT126" s="37"/>
      <c r="AU126" s="37"/>
      <c r="AV126" s="37"/>
      <c r="AW126" s="37"/>
      <c r="AX126" s="37"/>
      <c r="AY126" s="37"/>
      <c r="AZ126" s="37"/>
      <c r="BA126" s="37">
        <f t="shared" si="50"/>
        <v>0</v>
      </c>
      <c r="BB126" s="50"/>
      <c r="BC126" s="51"/>
      <c r="BD126" s="51"/>
      <c r="BE126" s="51"/>
      <c r="BF126" s="51"/>
    </row>
    <row r="127" spans="1:58" ht="12" customHeight="1">
      <c r="A127" s="40">
        <v>45983</v>
      </c>
      <c r="B127" s="41" t="s">
        <v>461</v>
      </c>
      <c r="C127" s="414">
        <f>(M127*E127*O127*Q127)/100000000</f>
        <v>24.692436342365593</v>
      </c>
      <c r="D127" s="41" t="s">
        <v>300</v>
      </c>
      <c r="E127" s="42">
        <v>11</v>
      </c>
      <c r="F127" s="42">
        <v>1</v>
      </c>
      <c r="G127" s="499">
        <v>1230</v>
      </c>
      <c r="H127" s="44">
        <f>+N127</f>
        <v>0.23516129032258071</v>
      </c>
      <c r="I127" s="45">
        <v>0.88</v>
      </c>
      <c r="J127" s="82">
        <f>E127*G127*(1-H127)*1440/1000000*2.74</f>
        <v>40.830125202580646</v>
      </c>
      <c r="K127" s="82">
        <f>(IF(G127&lt;L127,L127,G127)*(1-IF(H127&lt;N127,H127,N127))*E127*O127*Q127)/100000000</f>
        <v>25.309747250924726</v>
      </c>
      <c r="L127" s="35">
        <v>1200</v>
      </c>
      <c r="M127" s="35">
        <v>917.80645161290317</v>
      </c>
      <c r="N127" s="46">
        <f>1-(M127/L127)</f>
        <v>0.23516129032258071</v>
      </c>
      <c r="O127" s="47">
        <f>+'Trim Rwd'!H51</f>
        <v>263.55555555555554</v>
      </c>
      <c r="P127" s="48">
        <f>O127*(Q127-R127-S127)</f>
        <v>217696.88888888888</v>
      </c>
      <c r="Q127" s="47">
        <f>868+60</f>
        <v>928</v>
      </c>
      <c r="R127" s="500">
        <v>60</v>
      </c>
      <c r="S127" s="500">
        <v>42</v>
      </c>
      <c r="T127" s="37">
        <f>E127*M127*O127*Q127/100000000</f>
        <v>24.692436342365593</v>
      </c>
      <c r="U127" s="37">
        <f>E127*M127*O127*(Q127-R127-S127)/100000000</f>
        <v>21.978397003010755</v>
      </c>
      <c r="V127" s="37">
        <f>E127*G127*(1-N127)*O127/100*(R127+S127)/1000000</f>
        <v>2.7818903228387093</v>
      </c>
      <c r="W127" s="37">
        <f>+'22'!K10/1000</f>
        <v>24.768000000000001</v>
      </c>
      <c r="X127" s="501">
        <f>SUM(W127:W131)/SUM(K127:K131)</f>
        <v>0.83116241400620816</v>
      </c>
      <c r="Y127" s="211">
        <v>0</v>
      </c>
      <c r="Z127" s="37">
        <f>+'20'!D35/1000</f>
        <v>1.4031571034828364E-5</v>
      </c>
      <c r="AA127" s="49">
        <f>SUM(U127:U131)-SUM(W127:W131)-SUM(Z127:Z131)-SUM(Y127:Y131)</f>
        <v>2.0190742914397211</v>
      </c>
      <c r="AB127" s="49">
        <f>(SUM(K127:K131)-SUM(W127:W131)-SUM(Y127:Y131)-SUM(Z127:Z131)-SUM(AC127:AC131)-SUM(V127:V131))-AA127</f>
        <v>-0.10853162348387091</v>
      </c>
      <c r="AC127" s="37">
        <f>K127-T127</f>
        <v>0.61731090855913351</v>
      </c>
      <c r="AD127" s="37">
        <f>+AM127+BA127</f>
        <v>9</v>
      </c>
      <c r="AE127" s="229" t="s">
        <v>460</v>
      </c>
      <c r="AF127" s="37">
        <v>9</v>
      </c>
      <c r="AG127" s="37"/>
      <c r="AH127" s="37"/>
      <c r="AI127" s="502"/>
      <c r="AJ127" s="37"/>
      <c r="AK127" s="37"/>
      <c r="AL127" s="37"/>
      <c r="AM127" s="37">
        <f t="shared" si="49"/>
        <v>9</v>
      </c>
      <c r="AN127" s="37"/>
      <c r="AO127" s="37"/>
      <c r="AP127" s="37"/>
      <c r="AQ127" s="37"/>
      <c r="AR127" s="37">
        <f>SUM(AN127:AQ127)</f>
        <v>0</v>
      </c>
      <c r="AS127" s="37"/>
      <c r="AT127" s="37"/>
      <c r="AU127" s="37"/>
      <c r="AV127" s="37"/>
      <c r="AW127" s="37"/>
      <c r="AX127" s="37"/>
      <c r="AY127" s="37"/>
      <c r="AZ127" s="37"/>
      <c r="BA127" s="37">
        <f t="shared" si="50"/>
        <v>0</v>
      </c>
      <c r="BB127" s="33">
        <v>3</v>
      </c>
      <c r="BC127" s="51"/>
      <c r="BD127" s="51"/>
      <c r="BE127" s="33"/>
      <c r="BF127" s="51"/>
    </row>
    <row r="128" spans="1:58" ht="12.95" customHeight="1">
      <c r="A128" s="40"/>
      <c r="B128" s="41" t="s">
        <v>461</v>
      </c>
      <c r="C128" s="414">
        <f>(M128*E128*O128*Q128)/100000000</f>
        <v>14.970475520000001</v>
      </c>
      <c r="D128" s="41" t="s">
        <v>300</v>
      </c>
      <c r="E128" s="42">
        <v>13</v>
      </c>
      <c r="F128" s="42">
        <v>1</v>
      </c>
      <c r="G128" s="499">
        <v>1230</v>
      </c>
      <c r="H128" s="44">
        <f>+N128</f>
        <v>0.22999999999999998</v>
      </c>
      <c r="I128" s="45">
        <v>0.88</v>
      </c>
      <c r="J128" s="82">
        <f>E128*G128*(1-H128)*1440/1000000*2.74</f>
        <v>48.579410880000005</v>
      </c>
      <c r="K128" s="82">
        <f>(IF(G128&lt;L128,L128,G128)*(1-IF(H128&lt;N128,H128,N128))*E128*O128*Q128)/100000000</f>
        <v>16.011899904</v>
      </c>
      <c r="L128" s="35">
        <v>1150</v>
      </c>
      <c r="M128" s="35">
        <v>885.5</v>
      </c>
      <c r="N128" s="46">
        <f>1-(M128/L128)</f>
        <v>0.22999999999999998</v>
      </c>
      <c r="O128" s="47">
        <f>+'Trim Rwd'!H53</f>
        <v>254</v>
      </c>
      <c r="P128" s="48">
        <f>O128*(Q128-R128-S128)</f>
        <v>124968</v>
      </c>
      <c r="Q128" s="47">
        <v>512</v>
      </c>
      <c r="R128" s="500">
        <v>0</v>
      </c>
      <c r="S128" s="500">
        <v>20</v>
      </c>
      <c r="T128" s="37">
        <f>E128*M128*O128*Q128/100000000</f>
        <v>14.970475520000001</v>
      </c>
      <c r="U128" s="37">
        <f>E128*M128*O128*(Q128-R128-S128)/100000000</f>
        <v>14.385691319999999</v>
      </c>
      <c r="V128" s="37">
        <f>E128*G128*(1-N128)*O128/100*(R128+S128)/1000000</f>
        <v>0.62546484000000013</v>
      </c>
      <c r="W128" s="37">
        <f>+'22'!K8/1000</f>
        <v>9.577</v>
      </c>
      <c r="X128" s="38"/>
      <c r="Y128" s="211"/>
      <c r="Z128" s="37"/>
      <c r="AA128" s="37"/>
      <c r="AB128" s="37"/>
      <c r="AC128" s="37">
        <f>K128-T128</f>
        <v>1.041424383999999</v>
      </c>
      <c r="AD128" s="37">
        <f>+AM128+BA128</f>
        <v>10</v>
      </c>
      <c r="AE128" s="229" t="s">
        <v>543</v>
      </c>
      <c r="AF128" s="37"/>
      <c r="AG128" s="37">
        <v>10</v>
      </c>
      <c r="AH128" s="37"/>
      <c r="AI128" s="502"/>
      <c r="AJ128" s="37"/>
      <c r="AK128" s="37"/>
      <c r="AL128" s="37"/>
      <c r="AM128" s="37">
        <f t="shared" si="49"/>
        <v>10</v>
      </c>
      <c r="AN128" s="83"/>
      <c r="AO128" s="37"/>
      <c r="AP128" s="37"/>
      <c r="AQ128" s="37"/>
      <c r="AR128" s="37">
        <f t="shared" ref="AR128:AR130" si="53">SUM(AN128:AQ128)</f>
        <v>0</v>
      </c>
      <c r="AS128" s="37"/>
      <c r="AT128" s="37"/>
      <c r="AU128" s="37"/>
      <c r="AV128" s="37"/>
      <c r="AW128" s="37"/>
      <c r="AX128" s="37"/>
      <c r="AY128" s="37"/>
      <c r="AZ128" s="37"/>
      <c r="BA128" s="37">
        <f t="shared" si="50"/>
        <v>0</v>
      </c>
      <c r="BB128" s="50"/>
      <c r="BC128" s="51">
        <v>4</v>
      </c>
      <c r="BD128" s="51"/>
      <c r="BE128" s="50"/>
      <c r="BF128" s="51"/>
    </row>
    <row r="129" spans="1:58" ht="12.95" customHeight="1">
      <c r="A129" s="40"/>
      <c r="B129" s="41"/>
      <c r="C129" s="414"/>
      <c r="D129" s="41"/>
      <c r="E129" s="42"/>
      <c r="F129" s="42"/>
      <c r="G129" s="499"/>
      <c r="H129" s="44"/>
      <c r="I129" s="45"/>
      <c r="J129" s="82"/>
      <c r="K129" s="82"/>
      <c r="L129" s="35"/>
      <c r="M129" s="35"/>
      <c r="N129" s="46"/>
      <c r="O129" s="47"/>
      <c r="P129" s="48"/>
      <c r="Q129" s="47"/>
      <c r="R129" s="500"/>
      <c r="S129" s="500"/>
      <c r="T129" s="37"/>
      <c r="U129" s="37"/>
      <c r="V129" s="37"/>
      <c r="W129" s="37"/>
      <c r="X129" s="38"/>
      <c r="Y129" s="211"/>
      <c r="Z129" s="37"/>
      <c r="AA129" s="37"/>
      <c r="AB129" s="37"/>
      <c r="AC129" s="37"/>
      <c r="AD129" s="37">
        <f>+AM129+BA129</f>
        <v>43</v>
      </c>
      <c r="AE129" s="229" t="s">
        <v>482</v>
      </c>
      <c r="AF129" s="33"/>
      <c r="AG129" s="33"/>
      <c r="AH129" s="33">
        <v>43</v>
      </c>
      <c r="AJ129" s="37"/>
      <c r="AK129" s="37"/>
      <c r="AL129" s="37"/>
      <c r="AM129" s="37">
        <f t="shared" si="49"/>
        <v>43</v>
      </c>
      <c r="AN129" s="37"/>
      <c r="AO129" s="37"/>
      <c r="AP129" s="37"/>
      <c r="AQ129" s="37"/>
      <c r="AR129" s="37">
        <f t="shared" si="53"/>
        <v>0</v>
      </c>
      <c r="AS129" s="37"/>
      <c r="AT129" s="37"/>
      <c r="AU129" s="37"/>
      <c r="AV129" s="37"/>
      <c r="AW129" s="37"/>
      <c r="AX129" s="37"/>
      <c r="AY129" s="37"/>
      <c r="AZ129" s="37"/>
      <c r="BA129" s="37">
        <f t="shared" si="50"/>
        <v>0</v>
      </c>
      <c r="BB129" s="33"/>
      <c r="BC129" s="503"/>
      <c r="BD129" s="503"/>
      <c r="BE129" s="33"/>
      <c r="BF129" s="503"/>
    </row>
    <row r="130" spans="1:58" ht="12.95" customHeight="1">
      <c r="A130" s="40"/>
      <c r="B130" s="41"/>
      <c r="C130" s="414"/>
      <c r="D130" s="41"/>
      <c r="E130" s="42"/>
      <c r="F130" s="42"/>
      <c r="G130" s="43"/>
      <c r="H130" s="44"/>
      <c r="I130" s="45"/>
      <c r="J130" s="82"/>
      <c r="K130" s="82"/>
      <c r="L130" s="35"/>
      <c r="M130" s="35"/>
      <c r="N130" s="46"/>
      <c r="O130" s="47"/>
      <c r="P130" s="48"/>
      <c r="Q130" s="34"/>
      <c r="R130" s="500"/>
      <c r="S130" s="500"/>
      <c r="T130" s="37"/>
      <c r="U130" s="37"/>
      <c r="V130" s="37"/>
      <c r="W130" s="37"/>
      <c r="X130" s="38"/>
      <c r="Y130" s="211"/>
      <c r="Z130" s="37"/>
      <c r="AA130" s="37"/>
      <c r="AB130" s="37"/>
      <c r="AC130" s="37"/>
      <c r="AD130" s="37">
        <f>+AM130+BA130</f>
        <v>60</v>
      </c>
      <c r="AE130" s="232" t="s">
        <v>577</v>
      </c>
      <c r="AF130" s="37"/>
      <c r="AG130" s="37"/>
      <c r="AH130" s="37"/>
      <c r="AI130" s="502">
        <v>0</v>
      </c>
      <c r="AJ130" s="37"/>
      <c r="AK130" s="37"/>
      <c r="AL130" s="37"/>
      <c r="AM130" s="37">
        <f t="shared" si="49"/>
        <v>0</v>
      </c>
      <c r="AN130" s="37">
        <v>60</v>
      </c>
      <c r="AO130" s="37"/>
      <c r="AP130" s="37"/>
      <c r="AQ130" s="37"/>
      <c r="AR130" s="37">
        <f t="shared" si="53"/>
        <v>60</v>
      </c>
      <c r="AS130" s="37"/>
      <c r="AT130" s="37"/>
      <c r="AU130" s="37"/>
      <c r="AV130" s="37"/>
      <c r="AW130" s="37"/>
      <c r="AX130" s="37"/>
      <c r="AY130" s="37"/>
      <c r="AZ130" s="37"/>
      <c r="BA130" s="37">
        <f t="shared" si="50"/>
        <v>60</v>
      </c>
      <c r="BB130" s="50"/>
      <c r="BC130" s="51"/>
      <c r="BD130" s="51"/>
      <c r="BE130" s="50"/>
      <c r="BF130" s="51"/>
    </row>
    <row r="131" spans="1:58" ht="12.95" customHeight="1">
      <c r="A131" s="40"/>
      <c r="B131" s="41"/>
      <c r="C131" s="414"/>
      <c r="D131" s="41"/>
      <c r="E131" s="42"/>
      <c r="F131" s="42"/>
      <c r="G131" s="43"/>
      <c r="H131" s="44"/>
      <c r="I131" s="45"/>
      <c r="J131" s="82"/>
      <c r="K131" s="82"/>
      <c r="L131" s="35"/>
      <c r="M131" s="35"/>
      <c r="N131" s="46"/>
      <c r="O131" s="47"/>
      <c r="P131" s="48"/>
      <c r="Q131" s="34"/>
      <c r="R131" s="500"/>
      <c r="S131" s="500"/>
      <c r="T131" s="37"/>
      <c r="U131" s="37"/>
      <c r="V131" s="37"/>
      <c r="W131" s="37"/>
      <c r="X131" s="38"/>
      <c r="Y131" s="211"/>
      <c r="Z131" s="37"/>
      <c r="AA131" s="37"/>
      <c r="AB131" s="37"/>
      <c r="AC131" s="37"/>
      <c r="AD131" s="37"/>
      <c r="AE131" s="232"/>
      <c r="AF131" s="37"/>
      <c r="AG131" s="37"/>
      <c r="AH131" s="37"/>
      <c r="AI131" s="502"/>
      <c r="AJ131" s="37"/>
      <c r="AK131" s="37"/>
      <c r="AL131" s="37"/>
      <c r="AM131" s="37"/>
      <c r="AN131" s="37"/>
      <c r="AO131" s="37"/>
      <c r="AP131" s="37"/>
      <c r="AQ131" s="37"/>
      <c r="AR131" s="37"/>
      <c r="AS131" s="37"/>
      <c r="AT131" s="37"/>
      <c r="AU131" s="37"/>
      <c r="AV131" s="37"/>
      <c r="AW131" s="37"/>
      <c r="AX131" s="37"/>
      <c r="AY131" s="37"/>
      <c r="AZ131" s="37"/>
      <c r="BA131" s="37"/>
      <c r="BB131" s="50"/>
      <c r="BC131" s="51"/>
      <c r="BD131" s="51"/>
      <c r="BE131" s="51"/>
      <c r="BF131" s="51"/>
    </row>
    <row r="132" spans="1:58" ht="12" customHeight="1">
      <c r="A132" s="40">
        <v>45984</v>
      </c>
      <c r="B132" s="41" t="s">
        <v>461</v>
      </c>
      <c r="C132" s="414">
        <f>(M132*E132*O132*Q132)/100000000</f>
        <v>34.023761772</v>
      </c>
      <c r="D132" s="41" t="s">
        <v>300</v>
      </c>
      <c r="E132" s="42">
        <v>13</v>
      </c>
      <c r="F132" s="42">
        <v>1</v>
      </c>
      <c r="G132" s="499">
        <v>1230</v>
      </c>
      <c r="H132" s="44">
        <f>+N132</f>
        <v>0.22999999999999998</v>
      </c>
      <c r="I132" s="45">
        <v>0.88</v>
      </c>
      <c r="J132" s="82">
        <f>E132*G132*(1-H132)*1440/1000000*2.74</f>
        <v>48.579410880000005</v>
      </c>
      <c r="K132" s="82">
        <f>(IF(G132&lt;L132,L132,G132)*(1-IF(H132&lt;N132,H132,N132))*E132*O132*Q132)/100000000</f>
        <v>36.183140993999999</v>
      </c>
      <c r="L132" s="35">
        <v>1156.5946413137424</v>
      </c>
      <c r="M132" s="35">
        <v>890.57787381158164</v>
      </c>
      <c r="N132" s="46">
        <f>1-(M132/L132)</f>
        <v>0.22999999999999998</v>
      </c>
      <c r="O132" s="47">
        <f>+'Trim Rwd'!H55</f>
        <v>254</v>
      </c>
      <c r="P132" s="48">
        <f>O132*(Q132-R132-S132)</f>
        <v>283210</v>
      </c>
      <c r="Q132" s="47">
        <v>1157</v>
      </c>
      <c r="R132" s="500">
        <v>0</v>
      </c>
      <c r="S132" s="500">
        <v>42</v>
      </c>
      <c r="T132" s="37">
        <f>E132*M132*O132*Q132/100000000</f>
        <v>34.023761772</v>
      </c>
      <c r="U132" s="37">
        <f>E132*M132*O132*(Q132-R132-S132)/100000000</f>
        <v>32.788672753483148</v>
      </c>
      <c r="V132" s="37">
        <f>E132*G132*(1-N132)*O132/100*(R132+S132)/1000000</f>
        <v>1.3134761640000001</v>
      </c>
      <c r="W132" s="37">
        <f>+'23'!K8/1000</f>
        <v>33.417000000000002</v>
      </c>
      <c r="X132" s="501">
        <f>SUM(W132:W134)/SUM(K132:K136)</f>
        <v>0.39547760866506132</v>
      </c>
      <c r="Y132" s="211">
        <v>0</v>
      </c>
      <c r="Z132" s="37">
        <f>+'23'!D7/1000</f>
        <v>0.9</v>
      </c>
      <c r="AA132" s="49">
        <f>SUM(U132:U134)-SUM(W132:W134)-SUM(Z132:Z134)-SUM(Y132:Y134)</f>
        <v>1.3921530293092361</v>
      </c>
      <c r="AB132" s="49">
        <f>(SUM(K132:K134)-SUM(W132:W134)-SUM(Y132:Y134)-SUM(Z132:Z134)-SUM(AC132:AC134)-SUM(V132:V134))-AA132</f>
        <v>-0.20747806730922869</v>
      </c>
      <c r="AC132" s="37">
        <f>K132-T132</f>
        <v>2.1593792219999983</v>
      </c>
      <c r="AD132" s="37">
        <f>+AM132+BA132</f>
        <v>18</v>
      </c>
      <c r="AE132" s="229" t="s">
        <v>575</v>
      </c>
      <c r="AF132" s="37">
        <v>18</v>
      </c>
      <c r="AG132" s="37"/>
      <c r="AH132" s="37"/>
      <c r="AI132" s="502"/>
      <c r="AJ132" s="37"/>
      <c r="AK132" s="37"/>
      <c r="AL132" s="37"/>
      <c r="AM132" s="37">
        <f t="shared" ref="AM132:AM134" si="54">SUM(AF132:AL132)+AT132+AV132+AX132</f>
        <v>18</v>
      </c>
      <c r="AN132" s="37"/>
      <c r="AO132" s="37"/>
      <c r="AP132" s="37"/>
      <c r="AQ132" s="37"/>
      <c r="AR132" s="37">
        <f>SUM(AN132:AQ132)</f>
        <v>0</v>
      </c>
      <c r="AS132" s="37"/>
      <c r="AT132" s="37"/>
      <c r="AU132" s="37"/>
      <c r="AV132" s="37"/>
      <c r="AW132" s="37"/>
      <c r="AX132" s="37"/>
      <c r="AY132" s="37"/>
      <c r="AZ132" s="37"/>
      <c r="BA132" s="37">
        <f>+AR132+AS132+AU132+AW132+AY132+AZ132</f>
        <v>0</v>
      </c>
      <c r="BB132" s="33">
        <v>6</v>
      </c>
      <c r="BC132" s="51"/>
      <c r="BD132" s="51"/>
      <c r="BE132" s="33"/>
      <c r="BF132" s="51"/>
    </row>
    <row r="133" spans="1:58" ht="12.95" customHeight="1">
      <c r="A133" s="40"/>
      <c r="B133" s="41" t="s">
        <v>461</v>
      </c>
      <c r="C133" s="414">
        <f>(M133*E133*O133*Q133)/100000000</f>
        <v>3.2373849200000002</v>
      </c>
      <c r="D133" s="41" t="s">
        <v>300</v>
      </c>
      <c r="E133" s="42">
        <v>14</v>
      </c>
      <c r="F133" s="42">
        <v>1</v>
      </c>
      <c r="G133" s="499">
        <v>1230</v>
      </c>
      <c r="H133" s="44">
        <f>+N133</f>
        <v>0.23000000000000009</v>
      </c>
      <c r="I133" s="45">
        <v>0.88</v>
      </c>
      <c r="J133" s="82">
        <f>E133*G133*(1-H133)*1440/1000000*2.74</f>
        <v>52.316288639999996</v>
      </c>
      <c r="K133" s="82">
        <f>(IF(G133&lt;L133,L133,G133)*(1-IF(H133&lt;N133,H133,N133))*E133*O133*Q133)/100000000</f>
        <v>4.0560504599999998</v>
      </c>
      <c r="L133" s="35">
        <v>981.73913043478262</v>
      </c>
      <c r="M133" s="35">
        <v>755.93913043478256</v>
      </c>
      <c r="N133" s="46">
        <f>1-(M133/L133)</f>
        <v>0.23000000000000009</v>
      </c>
      <c r="O133" s="47">
        <f>+'Trim Rwd'!H56</f>
        <v>266</v>
      </c>
      <c r="P133" s="48">
        <f>O133*(Q133-R133-S133)</f>
        <v>27930</v>
      </c>
      <c r="Q133" s="47">
        <v>115</v>
      </c>
      <c r="R133" s="500">
        <v>0</v>
      </c>
      <c r="S133" s="500">
        <f>63-S132-S134</f>
        <v>10</v>
      </c>
      <c r="T133" s="37">
        <f>E133*M133*O133*Q133/100000000</f>
        <v>3.2373849200000002</v>
      </c>
      <c r="U133" s="37">
        <f>E133*M133*O133*(Q133-R133-S133)/100000000</f>
        <v>2.9558731878260871</v>
      </c>
      <c r="V133" s="37">
        <f>E133*G133*(1-N133)*O133/100*(R133+S133)/1000000</f>
        <v>0.35270003999999994</v>
      </c>
      <c r="W133" s="37">
        <f>+'23'!K9/1000</f>
        <v>2.6259999999999999</v>
      </c>
      <c r="X133" s="38"/>
      <c r="Y133" s="211"/>
      <c r="Z133" s="37">
        <f>+'23'!D26/1000</f>
        <v>0.39200000000000002</v>
      </c>
      <c r="AA133" s="37"/>
      <c r="AB133" s="37"/>
      <c r="AC133" s="37">
        <f>K133-T133</f>
        <v>0.81866553999999958</v>
      </c>
      <c r="AD133" s="37">
        <f>+AM133+BA133</f>
        <v>9</v>
      </c>
      <c r="AE133" s="229" t="s">
        <v>543</v>
      </c>
      <c r="AF133" s="37"/>
      <c r="AG133" s="37">
        <v>9</v>
      </c>
      <c r="AH133" s="37"/>
      <c r="AI133" s="502"/>
      <c r="AJ133" s="37"/>
      <c r="AK133" s="37"/>
      <c r="AL133" s="37"/>
      <c r="AM133" s="37">
        <f t="shared" si="54"/>
        <v>9</v>
      </c>
      <c r="AN133" s="83"/>
      <c r="AO133" s="37"/>
      <c r="AP133" s="37"/>
      <c r="AQ133" s="37"/>
      <c r="AR133" s="37">
        <f t="shared" ref="AR133:AR134" si="55">SUM(AN133:AQ133)</f>
        <v>0</v>
      </c>
      <c r="AS133" s="37"/>
      <c r="AT133" s="37"/>
      <c r="AU133" s="37"/>
      <c r="AV133" s="37"/>
      <c r="AW133" s="37"/>
      <c r="AX133" s="37"/>
      <c r="AY133" s="37"/>
      <c r="AZ133" s="37"/>
      <c r="BA133" s="37">
        <f>+AR133+AS133+AU133+AW133+AY133+AZ133</f>
        <v>0</v>
      </c>
      <c r="BB133" s="50"/>
      <c r="BC133" s="51">
        <v>4</v>
      </c>
      <c r="BD133" s="51"/>
      <c r="BE133" s="50"/>
      <c r="BF133" s="51"/>
    </row>
    <row r="134" spans="1:58" ht="12.95" customHeight="1">
      <c r="A134" s="40"/>
      <c r="B134" s="41" t="s">
        <v>574</v>
      </c>
      <c r="C134" s="414">
        <f>(M134*E134*O134*Q134)/100000000</f>
        <v>4.8405477120000002</v>
      </c>
      <c r="D134" s="41" t="s">
        <v>300</v>
      </c>
      <c r="E134" s="42">
        <v>14</v>
      </c>
      <c r="F134" s="42">
        <v>1</v>
      </c>
      <c r="G134" s="499">
        <v>1230</v>
      </c>
      <c r="H134" s="44">
        <f>+N134</f>
        <v>0.23000000000000009</v>
      </c>
      <c r="I134" s="45">
        <v>0.88</v>
      </c>
      <c r="J134" s="82">
        <f>E134*G134*(1-H134)*1440/1000000*2.74</f>
        <v>52.316288639999996</v>
      </c>
      <c r="K134" s="82">
        <f>(IF(G134&lt;L134,L134,G134)*(1-IF(H134&lt;N134,H134,N134))*E134*O134*Q134)/100000000</f>
        <v>5.7248785439999983</v>
      </c>
      <c r="L134" s="35">
        <v>1040</v>
      </c>
      <c r="M134" s="35">
        <v>800.8</v>
      </c>
      <c r="N134" s="46">
        <f>1-(M134/L134)</f>
        <v>0.23000000000000009</v>
      </c>
      <c r="O134" s="47">
        <f>+'Trim Rwd'!H57</f>
        <v>257</v>
      </c>
      <c r="P134" s="48">
        <f>O134*(Q134-R134-S134)</f>
        <v>40349</v>
      </c>
      <c r="Q134" s="47">
        <v>168</v>
      </c>
      <c r="R134" s="500">
        <v>0</v>
      </c>
      <c r="S134" s="500">
        <v>11</v>
      </c>
      <c r="T134" s="37">
        <f>E134*M134*O134*Q134/100000000</f>
        <v>4.8405477120000002</v>
      </c>
      <c r="U134" s="37">
        <f>E134*M134*O134*(Q134-R134-S134)/100000000</f>
        <v>4.5236070880000003</v>
      </c>
      <c r="V134" s="37">
        <f>E134*G134*(1-N134)*O134/100*(R134+S134)/1000000</f>
        <v>0.37484323799999997</v>
      </c>
      <c r="W134" s="37">
        <f>+'23'!K11/1000</f>
        <v>1.5409999999999999</v>
      </c>
      <c r="X134" s="38"/>
      <c r="Y134" s="211"/>
      <c r="Z134" s="37"/>
      <c r="AA134" s="37"/>
      <c r="AB134" s="37"/>
      <c r="AC134" s="37">
        <f>K134-T134</f>
        <v>0.88433083199999807</v>
      </c>
      <c r="AD134" s="37">
        <f>+AM134+BA134</f>
        <v>36</v>
      </c>
      <c r="AE134" s="229" t="s">
        <v>576</v>
      </c>
      <c r="AF134" s="33"/>
      <c r="AG134" s="33"/>
      <c r="AH134" s="33">
        <v>36</v>
      </c>
      <c r="AJ134" s="37"/>
      <c r="AK134" s="37"/>
      <c r="AL134" s="37"/>
      <c r="AM134" s="37">
        <f t="shared" si="54"/>
        <v>36</v>
      </c>
      <c r="AN134" s="37"/>
      <c r="AO134" s="37"/>
      <c r="AP134" s="37"/>
      <c r="AQ134" s="37"/>
      <c r="AR134" s="37">
        <f t="shared" si="55"/>
        <v>0</v>
      </c>
      <c r="AS134" s="37"/>
      <c r="AT134" s="37"/>
      <c r="AU134" s="37"/>
      <c r="AV134" s="37"/>
      <c r="AW134" s="37"/>
      <c r="AX134" s="37"/>
      <c r="AY134" s="37"/>
      <c r="AZ134" s="37"/>
      <c r="BA134" s="37">
        <f>+AR134+AS134+AU134+AW134+AY134+AZ134</f>
        <v>0</v>
      </c>
      <c r="BB134" s="33"/>
      <c r="BC134" s="503"/>
      <c r="BD134" s="503"/>
      <c r="BE134" s="33"/>
      <c r="BF134" s="503"/>
    </row>
    <row r="135" spans="1:58" ht="12.95" customHeight="1">
      <c r="A135" s="40"/>
      <c r="B135" s="41"/>
      <c r="C135" s="414"/>
      <c r="D135" s="41"/>
      <c r="E135" s="42"/>
      <c r="F135" s="42"/>
      <c r="G135" s="43"/>
      <c r="H135" s="44"/>
      <c r="I135" s="45"/>
      <c r="J135" s="82"/>
      <c r="K135" s="82"/>
      <c r="L135" s="35"/>
      <c r="M135" s="35"/>
      <c r="N135" s="46"/>
      <c r="O135" s="47"/>
      <c r="P135" s="48"/>
      <c r="Q135" s="47"/>
      <c r="R135" s="500"/>
      <c r="S135" s="500"/>
      <c r="T135" s="37"/>
      <c r="U135" s="37"/>
      <c r="V135" s="37"/>
      <c r="W135" s="37"/>
      <c r="X135" s="38"/>
      <c r="Y135" s="211"/>
      <c r="Z135" s="37"/>
      <c r="AA135" s="37"/>
      <c r="AB135" s="37"/>
      <c r="AC135" s="37"/>
      <c r="AD135" s="37"/>
      <c r="AE135" s="229"/>
      <c r="AF135" s="33"/>
      <c r="AG135" s="33"/>
      <c r="AH135" s="33"/>
      <c r="AJ135" s="37"/>
      <c r="AK135" s="37"/>
      <c r="AL135" s="37"/>
      <c r="AM135" s="37"/>
      <c r="AN135" s="37"/>
      <c r="AO135" s="37"/>
      <c r="AP135" s="37"/>
      <c r="AQ135" s="37"/>
      <c r="AR135" s="37"/>
      <c r="AS135" s="37"/>
      <c r="AT135" s="37"/>
      <c r="AU135" s="37"/>
      <c r="AV135" s="37"/>
      <c r="AW135" s="37"/>
      <c r="AX135" s="37"/>
      <c r="AY135" s="37"/>
      <c r="AZ135" s="37"/>
      <c r="BA135" s="37"/>
      <c r="BB135" s="33"/>
      <c r="BC135" s="503"/>
      <c r="BD135" s="51"/>
      <c r="BE135" s="51"/>
      <c r="BF135" s="51"/>
    </row>
    <row r="136" spans="1:58" ht="12" customHeight="1">
      <c r="A136" s="40">
        <v>45985</v>
      </c>
      <c r="B136" s="41" t="s">
        <v>574</v>
      </c>
      <c r="C136" s="414">
        <f>(M136*E136*O136*Q136)/100000000</f>
        <v>42.391350284280442</v>
      </c>
      <c r="D136" s="41" t="s">
        <v>300</v>
      </c>
      <c r="E136" s="42">
        <v>14</v>
      </c>
      <c r="F136" s="42">
        <v>1</v>
      </c>
      <c r="G136" s="499">
        <v>1230</v>
      </c>
      <c r="H136" s="44">
        <f>+N136</f>
        <v>0.22999999999999998</v>
      </c>
      <c r="I136" s="45">
        <v>0.88</v>
      </c>
      <c r="J136" s="82">
        <f>E136*G136*(1-H136)*1440/1000000*2.74</f>
        <v>52.316288640000003</v>
      </c>
      <c r="K136" s="82">
        <f>(IF(G136&lt;L136,L136,G136)*(1-IF(H136&lt;N136,H136,N136))*E136*O136*Q136)/100000000</f>
        <v>49.070387519999997</v>
      </c>
      <c r="L136" s="35">
        <v>1062.5830258302583</v>
      </c>
      <c r="M136" s="35">
        <v>818.18892988929895</v>
      </c>
      <c r="N136" s="46">
        <f>1-(M136/L136)</f>
        <v>0.22999999999999998</v>
      </c>
      <c r="O136" s="47">
        <f>+'Trim Rwd'!H59</f>
        <v>257</v>
      </c>
      <c r="P136" s="48">
        <f>O136*(Q136-R136-S136)</f>
        <v>333329</v>
      </c>
      <c r="Q136" s="47">
        <v>1440</v>
      </c>
      <c r="R136" s="500">
        <v>85</v>
      </c>
      <c r="S136" s="500">
        <v>58</v>
      </c>
      <c r="T136" s="37">
        <f>E136*M136*O136*Q136/100000000</f>
        <v>42.391350284280442</v>
      </c>
      <c r="U136" s="37">
        <f>E136*M136*O136*(Q136-R136-S136)/100000000</f>
        <v>38.181653693549812</v>
      </c>
      <c r="V136" s="37">
        <f>E136*G136*(1-N136)*O136/100*(R136+S136)/1000000</f>
        <v>4.8729620939999991</v>
      </c>
      <c r="W136" s="37">
        <f>+'24'!K11/1000</f>
        <v>35.371000000000002</v>
      </c>
      <c r="X136" s="501">
        <f>SUM(W136:W140)/SUM(K136:K140)</f>
        <v>0.72082169690597142</v>
      </c>
      <c r="Y136" s="211">
        <v>0</v>
      </c>
      <c r="Z136" s="37">
        <f>+'21'!D21/1000</f>
        <v>0</v>
      </c>
      <c r="AA136" s="49">
        <f>SUM(U136:U140)-SUM(W136:W140)-SUM(Z136:Z140)-SUM(Y136:Y140)</f>
        <v>2.8106536935498099</v>
      </c>
      <c r="AB136" s="49">
        <f>(SUM(K136:K140)-SUM(W136:W140)-SUM(Y136:Y140)-SUM(Z136:Z140)-SUM(AC136:AC140)-SUM(V136:V140))-AA136</f>
        <v>-0.66326550326936928</v>
      </c>
      <c r="AC136" s="37">
        <f>K136-T136</f>
        <v>6.6790372357195551</v>
      </c>
      <c r="AD136" s="37">
        <f>+AM136+BA136</f>
        <v>9</v>
      </c>
      <c r="AE136" s="229" t="s">
        <v>460</v>
      </c>
      <c r="AF136" s="37">
        <v>9</v>
      </c>
      <c r="AG136" s="37"/>
      <c r="AH136" s="37"/>
      <c r="AI136" s="502"/>
      <c r="AJ136" s="37"/>
      <c r="AK136" s="37"/>
      <c r="AL136" s="37"/>
      <c r="AM136" s="37">
        <f t="shared" ref="AM136:AM139" si="56">SUM(AF136:AL136)+AT136+AV136+AX136</f>
        <v>9</v>
      </c>
      <c r="AN136" s="37"/>
      <c r="AO136" s="37"/>
      <c r="AP136" s="37"/>
      <c r="AQ136" s="37"/>
      <c r="AR136" s="37">
        <f>SUM(AN136:AQ136)</f>
        <v>0</v>
      </c>
      <c r="AS136" s="37"/>
      <c r="AT136" s="37"/>
      <c r="AU136" s="37"/>
      <c r="AV136" s="37"/>
      <c r="AW136" s="37"/>
      <c r="AX136" s="37"/>
      <c r="AY136" s="37"/>
      <c r="AZ136" s="37"/>
      <c r="BA136" s="37">
        <f t="shared" ref="BA136:BA139" si="57">+AR136+AS136+AU136+AW136+AY136+AZ136</f>
        <v>0</v>
      </c>
      <c r="BB136" s="33">
        <v>3</v>
      </c>
      <c r="BC136" s="51"/>
      <c r="BD136" s="51"/>
      <c r="BE136" s="33"/>
      <c r="BF136" s="51"/>
    </row>
    <row r="137" spans="1:58" ht="12.95" customHeight="1">
      <c r="A137" s="40"/>
      <c r="B137" s="41"/>
      <c r="C137" s="414"/>
      <c r="D137" s="41"/>
      <c r="E137" s="42"/>
      <c r="F137" s="42"/>
      <c r="G137" s="499"/>
      <c r="H137" s="44"/>
      <c r="I137" s="45"/>
      <c r="J137" s="82"/>
      <c r="K137" s="82"/>
      <c r="L137" s="35"/>
      <c r="M137" s="35"/>
      <c r="N137" s="46"/>
      <c r="O137" s="47"/>
      <c r="P137" s="48"/>
      <c r="Q137" s="47"/>
      <c r="R137" s="500"/>
      <c r="S137" s="500"/>
      <c r="T137" s="37"/>
      <c r="U137" s="37"/>
      <c r="V137" s="37"/>
      <c r="W137" s="37"/>
      <c r="X137" s="38"/>
      <c r="Y137" s="211"/>
      <c r="Z137" s="37">
        <f>+'21'!D39/1000</f>
        <v>0</v>
      </c>
      <c r="AA137" s="37"/>
      <c r="AB137" s="37"/>
      <c r="AC137" s="37">
        <f>K137-T137</f>
        <v>0</v>
      </c>
      <c r="AD137" s="37">
        <f>+AM137+BA137</f>
        <v>15</v>
      </c>
      <c r="AE137" s="229" t="s">
        <v>591</v>
      </c>
      <c r="AF137" s="37"/>
      <c r="AG137" s="37">
        <v>15</v>
      </c>
      <c r="AH137" s="37"/>
      <c r="AI137" s="502"/>
      <c r="AJ137" s="37"/>
      <c r="AK137" s="37"/>
      <c r="AL137" s="37"/>
      <c r="AM137" s="37">
        <f t="shared" si="56"/>
        <v>15</v>
      </c>
      <c r="AN137" s="83"/>
      <c r="AO137" s="37"/>
      <c r="AP137" s="37"/>
      <c r="AQ137" s="37"/>
      <c r="AR137" s="37">
        <f t="shared" ref="AR137:AR139" si="58">SUM(AN137:AQ137)</f>
        <v>0</v>
      </c>
      <c r="AS137" s="37"/>
      <c r="AT137" s="37"/>
      <c r="AU137" s="37"/>
      <c r="AV137" s="37"/>
      <c r="AW137" s="37"/>
      <c r="AX137" s="37"/>
      <c r="AY137" s="37"/>
      <c r="AZ137" s="37"/>
      <c r="BA137" s="37">
        <f t="shared" si="57"/>
        <v>0</v>
      </c>
      <c r="BB137" s="50"/>
      <c r="BC137" s="51">
        <v>10</v>
      </c>
      <c r="BD137" s="51"/>
      <c r="BE137" s="50"/>
      <c r="BF137" s="51"/>
    </row>
    <row r="138" spans="1:58" ht="12.95" customHeight="1">
      <c r="A138" s="40"/>
      <c r="B138" s="41"/>
      <c r="C138" s="414"/>
      <c r="D138" s="41"/>
      <c r="E138" s="42"/>
      <c r="F138" s="42"/>
      <c r="G138" s="499"/>
      <c r="H138" s="44"/>
      <c r="I138" s="45"/>
      <c r="J138" s="82"/>
      <c r="K138" s="82"/>
      <c r="L138" s="35"/>
      <c r="M138" s="35"/>
      <c r="N138" s="46"/>
      <c r="O138" s="47"/>
      <c r="P138" s="48"/>
      <c r="Q138" s="47"/>
      <c r="R138" s="500"/>
      <c r="S138" s="500"/>
      <c r="T138" s="37"/>
      <c r="U138" s="37"/>
      <c r="V138" s="37"/>
      <c r="W138" s="37"/>
      <c r="X138" s="38"/>
      <c r="Y138" s="211"/>
      <c r="Z138" s="37"/>
      <c r="AA138" s="37"/>
      <c r="AB138" s="37"/>
      <c r="AC138" s="37">
        <f>K138-T138</f>
        <v>0</v>
      </c>
      <c r="AD138" s="37">
        <f>+AM138+BA138</f>
        <v>34</v>
      </c>
      <c r="AE138" s="229" t="s">
        <v>482</v>
      </c>
      <c r="AF138" s="33"/>
      <c r="AG138" s="33"/>
      <c r="AH138" s="33">
        <v>34</v>
      </c>
      <c r="AJ138" s="37"/>
      <c r="AK138" s="37"/>
      <c r="AL138" s="37"/>
      <c r="AM138" s="37">
        <f t="shared" si="56"/>
        <v>34</v>
      </c>
      <c r="AN138" s="37"/>
      <c r="AO138" s="37"/>
      <c r="AP138" s="37"/>
      <c r="AQ138" s="37"/>
      <c r="AR138" s="37">
        <f t="shared" si="58"/>
        <v>0</v>
      </c>
      <c r="AS138" s="37"/>
      <c r="AT138" s="37"/>
      <c r="AU138" s="37"/>
      <c r="AV138" s="37"/>
      <c r="AW138" s="37"/>
      <c r="AX138" s="37"/>
      <c r="AY138" s="37"/>
      <c r="AZ138" s="37"/>
      <c r="BA138" s="37">
        <f t="shared" si="57"/>
        <v>0</v>
      </c>
      <c r="BB138" s="33"/>
      <c r="BC138" s="503"/>
      <c r="BD138" s="503"/>
      <c r="BE138" s="33"/>
      <c r="BF138" s="503"/>
    </row>
    <row r="139" spans="1:58" ht="12.95" customHeight="1">
      <c r="A139" s="40"/>
      <c r="B139" s="41"/>
      <c r="C139" s="414"/>
      <c r="D139" s="41"/>
      <c r="E139" s="42"/>
      <c r="F139" s="42"/>
      <c r="G139" s="43"/>
      <c r="H139" s="44"/>
      <c r="I139" s="45"/>
      <c r="J139" s="82"/>
      <c r="K139" s="82"/>
      <c r="L139" s="35"/>
      <c r="M139" s="35"/>
      <c r="N139" s="46"/>
      <c r="O139" s="47"/>
      <c r="P139" s="48"/>
      <c r="Q139" s="34"/>
      <c r="R139" s="500"/>
      <c r="S139" s="500"/>
      <c r="T139" s="37"/>
      <c r="U139" s="37"/>
      <c r="V139" s="37"/>
      <c r="W139" s="37"/>
      <c r="X139" s="38"/>
      <c r="Y139" s="211"/>
      <c r="Z139" s="37"/>
      <c r="AA139" s="37"/>
      <c r="AB139" s="37"/>
      <c r="AC139" s="37"/>
      <c r="AD139" s="37">
        <f>+AM139+BA139</f>
        <v>85</v>
      </c>
      <c r="AE139" s="232" t="s">
        <v>592</v>
      </c>
      <c r="AF139" s="37"/>
      <c r="AG139" s="37"/>
      <c r="AH139" s="37"/>
      <c r="AI139" s="502">
        <v>0</v>
      </c>
      <c r="AJ139" s="37"/>
      <c r="AK139" s="37"/>
      <c r="AL139" s="37"/>
      <c r="AM139" s="37">
        <f t="shared" si="56"/>
        <v>0</v>
      </c>
      <c r="AN139" s="37"/>
      <c r="AO139" s="37"/>
      <c r="AP139" s="37">
        <v>85</v>
      </c>
      <c r="AQ139" s="37"/>
      <c r="AR139" s="37">
        <f t="shared" si="58"/>
        <v>85</v>
      </c>
      <c r="AS139" s="37"/>
      <c r="AT139" s="37"/>
      <c r="AU139" s="37"/>
      <c r="AV139" s="37"/>
      <c r="AW139" s="37"/>
      <c r="AX139" s="37"/>
      <c r="AY139" s="37"/>
      <c r="AZ139" s="37"/>
      <c r="BA139" s="37">
        <f t="shared" si="57"/>
        <v>85</v>
      </c>
      <c r="BB139" s="50"/>
      <c r="BC139" s="51"/>
      <c r="BD139" s="51"/>
      <c r="BE139" s="50"/>
      <c r="BF139" s="51"/>
    </row>
    <row r="140" spans="1:58" ht="12.95" customHeight="1">
      <c r="A140" s="40"/>
      <c r="B140" s="41"/>
      <c r="C140" s="414"/>
      <c r="D140" s="41"/>
      <c r="E140" s="42"/>
      <c r="F140" s="42"/>
      <c r="G140" s="43"/>
      <c r="H140" s="44"/>
      <c r="I140" s="45"/>
      <c r="J140" s="82"/>
      <c r="K140" s="82"/>
      <c r="L140" s="35"/>
      <c r="M140" s="35"/>
      <c r="N140" s="46"/>
      <c r="O140" s="47"/>
      <c r="P140" s="48"/>
      <c r="Q140" s="47"/>
      <c r="R140" s="500"/>
      <c r="S140" s="500"/>
      <c r="T140" s="37"/>
      <c r="U140" s="37"/>
      <c r="V140" s="37"/>
      <c r="W140" s="37"/>
      <c r="X140" s="38"/>
      <c r="Y140" s="211"/>
      <c r="Z140" s="37"/>
      <c r="AA140" s="37"/>
      <c r="AB140" s="37"/>
      <c r="AC140" s="37"/>
      <c r="AD140" s="37"/>
      <c r="AE140" s="229"/>
      <c r="AF140" s="33"/>
      <c r="AG140" s="33"/>
      <c r="AH140" s="33"/>
      <c r="AJ140" s="37"/>
      <c r="AK140" s="37"/>
      <c r="AL140" s="37"/>
      <c r="AM140" s="37"/>
      <c r="AN140" s="37"/>
      <c r="AO140" s="37"/>
      <c r="AP140" s="37"/>
      <c r="AQ140" s="37"/>
      <c r="AR140" s="37"/>
      <c r="AS140" s="37"/>
      <c r="AT140" s="37"/>
      <c r="AU140" s="37"/>
      <c r="AV140" s="37"/>
      <c r="AW140" s="37"/>
      <c r="AX140" s="37"/>
      <c r="AY140" s="37"/>
      <c r="AZ140" s="37"/>
      <c r="BA140" s="37"/>
      <c r="BB140" s="33"/>
      <c r="BC140" s="503"/>
      <c r="BD140" s="51"/>
      <c r="BE140" s="51"/>
      <c r="BF140" s="51"/>
    </row>
    <row r="141" spans="1:58" ht="12" customHeight="1">
      <c r="A141" s="40">
        <v>45986</v>
      </c>
      <c r="B141" s="41" t="s">
        <v>574</v>
      </c>
      <c r="C141" s="414">
        <f>(M141*E141*O141*Q141)/100000000</f>
        <v>15.194587869999999</v>
      </c>
      <c r="D141" s="41" t="s">
        <v>300</v>
      </c>
      <c r="E141" s="42">
        <v>14</v>
      </c>
      <c r="F141" s="42">
        <v>1</v>
      </c>
      <c r="G141" s="499">
        <v>1230</v>
      </c>
      <c r="H141" s="44">
        <f>+N141</f>
        <v>0.23000000000000009</v>
      </c>
      <c r="I141" s="45">
        <v>0.88</v>
      </c>
      <c r="J141" s="82">
        <f>E141*G141*(1-H141)*1440/1000000*2.74</f>
        <v>52.316288639999996</v>
      </c>
      <c r="K141" s="82">
        <f>(IF(G141&lt;L141,L141,G141)*(1-IF(H141&lt;N141,H141,N141))*E141*O141*Q141)/100000000</f>
        <v>17.379095579999998</v>
      </c>
      <c r="L141" s="35">
        <v>1075.3921568627452</v>
      </c>
      <c r="M141" s="35">
        <v>828.05196078431368</v>
      </c>
      <c r="N141" s="46">
        <f>1-(M141/L141)</f>
        <v>0.23000000000000009</v>
      </c>
      <c r="O141" s="47">
        <f>+'Trim Rwd'!H61</f>
        <v>257</v>
      </c>
      <c r="P141" s="48">
        <f>O141*(Q141-R141-S141)</f>
        <v>122075</v>
      </c>
      <c r="Q141" s="47">
        <v>510</v>
      </c>
      <c r="R141" s="500">
        <v>0</v>
      </c>
      <c r="S141" s="500">
        <f>25+10</f>
        <v>35</v>
      </c>
      <c r="T141" s="37">
        <f>E141*M141*O141*Q141/100000000</f>
        <v>15.194587869999999</v>
      </c>
      <c r="U141" s="37">
        <f>E141*M141*O141*(Q141-R141-S141)/100000000</f>
        <v>14.151822035784313</v>
      </c>
      <c r="V141" s="37">
        <f>E141*G141*(1-N141)*O141/100*(R141+S141)/1000000</f>
        <v>1.1926830299999998</v>
      </c>
      <c r="W141" s="37">
        <f>+'25'!K11/1000</f>
        <v>17.248000000000001</v>
      </c>
      <c r="X141" s="501">
        <f>SUM(W141:W145)/SUM(K141:K145)</f>
        <v>0.75741496713922296</v>
      </c>
      <c r="Y141" s="211">
        <v>0</v>
      </c>
      <c r="Z141" s="37">
        <f>+'21'!D26/1000</f>
        <v>0</v>
      </c>
      <c r="AA141" s="49">
        <f>SUM(U141:U145)-SUM(W141:W145)-SUM(Z141:Z145)-SUM(Y141:Y145)</f>
        <v>1.7417356674939881</v>
      </c>
      <c r="AB141" s="49">
        <f>(SUM(K141:K145)-SUM(W141:W145)-SUM(Y141:Y145)-SUM(Z141:Z145)-SUM(AC141:AC145)-SUM(V141:V145))-AA141</f>
        <v>-0.5270968124939921</v>
      </c>
      <c r="AC141" s="37">
        <f>K141-T141</f>
        <v>2.1845077099999983</v>
      </c>
      <c r="AD141" s="37">
        <f>+AM141+BA141</f>
        <v>24</v>
      </c>
      <c r="AE141" s="229" t="s">
        <v>575</v>
      </c>
      <c r="AF141" s="37">
        <v>24</v>
      </c>
      <c r="AG141" s="37"/>
      <c r="AH141" s="37"/>
      <c r="AI141" s="502"/>
      <c r="AJ141" s="37"/>
      <c r="AK141" s="37"/>
      <c r="AL141" s="37"/>
      <c r="AM141" s="37">
        <f t="shared" ref="AM141:AM144" si="59">SUM(AF141:AL141)+AT141+AV141+AX141</f>
        <v>24</v>
      </c>
      <c r="AN141" s="37"/>
      <c r="AO141" s="37"/>
      <c r="AP141" s="37"/>
      <c r="AQ141" s="37"/>
      <c r="AR141" s="37">
        <f>SUM(AN141:AQ141)</f>
        <v>0</v>
      </c>
      <c r="AS141" s="37"/>
      <c r="AT141" s="37"/>
      <c r="AU141" s="37"/>
      <c r="AV141" s="37"/>
      <c r="AW141" s="37"/>
      <c r="AX141" s="37"/>
      <c r="AY141" s="37"/>
      <c r="AZ141" s="37"/>
      <c r="BA141" s="37">
        <f t="shared" ref="BA141:BA144" si="60">+AR141+AS141+AU141+AW141+AY141+AZ141</f>
        <v>0</v>
      </c>
      <c r="BB141" s="33">
        <v>6</v>
      </c>
      <c r="BC141" s="51"/>
      <c r="BD141" s="51"/>
      <c r="BE141" s="33"/>
      <c r="BF141" s="51"/>
    </row>
    <row r="142" spans="1:58" ht="12.95" customHeight="1">
      <c r="A142" s="40"/>
      <c r="B142" s="41" t="s">
        <v>574</v>
      </c>
      <c r="C142" s="414">
        <f>(M142*E142*O142*Q142)/100000000</f>
        <v>28.597677569999998</v>
      </c>
      <c r="D142" s="41" t="s">
        <v>300</v>
      </c>
      <c r="E142" s="42">
        <v>15</v>
      </c>
      <c r="F142" s="42">
        <v>1</v>
      </c>
      <c r="G142" s="499">
        <v>1210</v>
      </c>
      <c r="H142" s="44">
        <f>+N142</f>
        <v>0.22999999999999998</v>
      </c>
      <c r="I142" s="45">
        <v>0.88</v>
      </c>
      <c r="J142" s="82">
        <f>E142*G142*(1-H142)*1440/1000000*2.74</f>
        <v>55.141732800000007</v>
      </c>
      <c r="K142" s="82">
        <f>(IF(G142&lt;L142,L142,G142)*(1-IF(H142&lt;N142,H142,N142))*E142*O142*Q142)/100000000</f>
        <v>33.402842550000003</v>
      </c>
      <c r="L142" s="35">
        <v>1035.9354838709678</v>
      </c>
      <c r="M142" s="35">
        <v>797.67032258064523</v>
      </c>
      <c r="N142" s="46">
        <f>1-(M142/L142)</f>
        <v>0.22999999999999998</v>
      </c>
      <c r="O142" s="47">
        <f>+'Trim Rwd'!H62</f>
        <v>257</v>
      </c>
      <c r="P142" s="48">
        <f>O142*(Q142-R142-S142)</f>
        <v>220249</v>
      </c>
      <c r="Q142" s="47">
        <v>930</v>
      </c>
      <c r="R142" s="500">
        <v>0</v>
      </c>
      <c r="S142" s="500">
        <f>48+25</f>
        <v>73</v>
      </c>
      <c r="T142" s="37">
        <f>E142*M142*O142*Q142/100000000</f>
        <v>28.597677569999998</v>
      </c>
      <c r="U142" s="37">
        <f>E142*M142*O142*(Q142-R142-S142)/100000000</f>
        <v>26.352913631709679</v>
      </c>
      <c r="V142" s="37">
        <f>E142*G142*(1-N142)*O142/100*(R142+S142)/1000000</f>
        <v>2.6219435550000001</v>
      </c>
      <c r="W142" s="37">
        <f>+'25'!K12/1000</f>
        <v>21.215</v>
      </c>
      <c r="X142" s="38"/>
      <c r="Y142" s="211"/>
      <c r="Z142" s="37">
        <f>+'25'!D25/1000</f>
        <v>0.3</v>
      </c>
      <c r="AA142" s="37"/>
      <c r="AB142" s="37"/>
      <c r="AC142" s="37">
        <f>K142-T142</f>
        <v>4.8051649800000042</v>
      </c>
      <c r="AD142" s="37">
        <f>+AM142+BA142</f>
        <v>8</v>
      </c>
      <c r="AE142" s="229" t="s">
        <v>462</v>
      </c>
      <c r="AF142" s="37"/>
      <c r="AG142" s="37">
        <v>8</v>
      </c>
      <c r="AH142" s="37"/>
      <c r="AI142" s="502"/>
      <c r="AJ142" s="37"/>
      <c r="AK142" s="37"/>
      <c r="AL142" s="37"/>
      <c r="AM142" s="37">
        <f t="shared" si="59"/>
        <v>8</v>
      </c>
      <c r="AN142" s="83"/>
      <c r="AO142" s="37"/>
      <c r="AP142" s="37"/>
      <c r="AQ142" s="37"/>
      <c r="AR142" s="37">
        <f t="shared" ref="AR142:AR144" si="61">SUM(AN142:AQ142)</f>
        <v>0</v>
      </c>
      <c r="AS142" s="37"/>
      <c r="AT142" s="37"/>
      <c r="AU142" s="37"/>
      <c r="AV142" s="37"/>
      <c r="AW142" s="37"/>
      <c r="AX142" s="37"/>
      <c r="AY142" s="37"/>
      <c r="AZ142" s="37"/>
      <c r="BA142" s="37">
        <f t="shared" si="60"/>
        <v>0</v>
      </c>
      <c r="BB142" s="50"/>
      <c r="BC142" s="51">
        <v>6</v>
      </c>
      <c r="BD142" s="51"/>
      <c r="BE142" s="50"/>
      <c r="BF142" s="51"/>
    </row>
    <row r="143" spans="1:58" ht="12.95" customHeight="1">
      <c r="A143" s="40"/>
      <c r="B143" s="41"/>
      <c r="C143" s="414"/>
      <c r="D143" s="41"/>
      <c r="E143" s="42"/>
      <c r="F143" s="42"/>
      <c r="G143" s="499"/>
      <c r="H143" s="44"/>
      <c r="I143" s="45"/>
      <c r="J143" s="82"/>
      <c r="K143" s="82"/>
      <c r="L143" s="35"/>
      <c r="M143" s="35"/>
      <c r="N143" s="46"/>
      <c r="O143" s="47"/>
      <c r="P143" s="48"/>
      <c r="Q143" s="47"/>
      <c r="R143" s="500"/>
      <c r="S143" s="500"/>
      <c r="T143" s="37"/>
      <c r="U143" s="37"/>
      <c r="V143" s="37"/>
      <c r="W143" s="37"/>
      <c r="X143" s="38"/>
      <c r="Y143" s="211"/>
      <c r="Z143" s="37"/>
      <c r="AA143" s="37"/>
      <c r="AB143" s="37"/>
      <c r="AC143" s="37">
        <f>K143-T143</f>
        <v>0</v>
      </c>
      <c r="AD143" s="37">
        <f>+AM143+BA143</f>
        <v>41</v>
      </c>
      <c r="AE143" s="229" t="s">
        <v>576</v>
      </c>
      <c r="AF143" s="33"/>
      <c r="AG143" s="33"/>
      <c r="AH143" s="33">
        <v>41</v>
      </c>
      <c r="AJ143" s="37"/>
      <c r="AK143" s="37"/>
      <c r="AL143" s="37"/>
      <c r="AM143" s="37">
        <f t="shared" si="59"/>
        <v>41</v>
      </c>
      <c r="AN143" s="37"/>
      <c r="AO143" s="37"/>
      <c r="AP143" s="37"/>
      <c r="AQ143" s="37"/>
      <c r="AR143" s="37">
        <f t="shared" si="61"/>
        <v>0</v>
      </c>
      <c r="AS143" s="37"/>
      <c r="AT143" s="37"/>
      <c r="AU143" s="37"/>
      <c r="AV143" s="37"/>
      <c r="AW143" s="37"/>
      <c r="AX143" s="37"/>
      <c r="AY143" s="37"/>
      <c r="AZ143" s="37"/>
      <c r="BA143" s="37">
        <f t="shared" si="60"/>
        <v>0</v>
      </c>
      <c r="BB143" s="33"/>
      <c r="BC143" s="503"/>
      <c r="BD143" s="503"/>
      <c r="BE143" s="33"/>
      <c r="BF143" s="503"/>
    </row>
    <row r="144" spans="1:58" ht="25.5">
      <c r="A144" s="40"/>
      <c r="B144" s="41"/>
      <c r="C144" s="414"/>
      <c r="D144" s="41"/>
      <c r="E144" s="42"/>
      <c r="F144" s="42"/>
      <c r="G144" s="499"/>
      <c r="H144" s="44"/>
      <c r="I144" s="45"/>
      <c r="J144" s="82"/>
      <c r="K144" s="82"/>
      <c r="L144" s="35"/>
      <c r="M144" s="35"/>
      <c r="N144" s="46"/>
      <c r="O144" s="47"/>
      <c r="P144" s="48"/>
      <c r="Q144" s="47"/>
      <c r="R144" s="500"/>
      <c r="S144" s="500"/>
      <c r="T144" s="37"/>
      <c r="U144" s="37"/>
      <c r="V144" s="37"/>
      <c r="W144" s="37"/>
      <c r="X144" s="501"/>
      <c r="Y144" s="211"/>
      <c r="Z144" s="37"/>
      <c r="AA144" s="49"/>
      <c r="AB144" s="49"/>
      <c r="AC144" s="37"/>
      <c r="AD144" s="37">
        <f>+AM144+BA144</f>
        <v>35</v>
      </c>
      <c r="AE144" s="232" t="s">
        <v>612</v>
      </c>
      <c r="AF144" s="37"/>
      <c r="AG144" s="37"/>
      <c r="AH144" s="37"/>
      <c r="AI144" s="502"/>
      <c r="AJ144" s="37"/>
      <c r="AK144" s="37">
        <v>35</v>
      </c>
      <c r="AL144" s="37"/>
      <c r="AM144" s="37">
        <f t="shared" si="59"/>
        <v>35</v>
      </c>
      <c r="AN144" s="37"/>
      <c r="AO144" s="37"/>
      <c r="AP144" s="37"/>
      <c r="AQ144" s="37"/>
      <c r="AR144" s="37">
        <f t="shared" si="61"/>
        <v>0</v>
      </c>
      <c r="AS144" s="37"/>
      <c r="AT144" s="37"/>
      <c r="AU144" s="37"/>
      <c r="AV144" s="37"/>
      <c r="AW144" s="37"/>
      <c r="AX144" s="37"/>
      <c r="AY144" s="37"/>
      <c r="AZ144" s="37"/>
      <c r="BA144" s="37">
        <f t="shared" si="60"/>
        <v>0</v>
      </c>
      <c r="BB144" s="33"/>
      <c r="BC144" s="51"/>
      <c r="BD144" s="51"/>
      <c r="BE144" s="51"/>
      <c r="BF144" s="51"/>
    </row>
    <row r="145" spans="1:58" ht="12.95" customHeight="1">
      <c r="A145" s="40"/>
      <c r="B145" s="41"/>
      <c r="C145" s="414"/>
      <c r="D145" s="41"/>
      <c r="E145" s="42"/>
      <c r="F145" s="42"/>
      <c r="G145" s="499"/>
      <c r="H145" s="44"/>
      <c r="I145" s="45"/>
      <c r="J145" s="82"/>
      <c r="K145" s="82"/>
      <c r="L145" s="35"/>
      <c r="M145" s="35"/>
      <c r="N145" s="46"/>
      <c r="O145" s="47"/>
      <c r="P145" s="48"/>
      <c r="Q145" s="47"/>
      <c r="R145" s="500"/>
      <c r="S145" s="500"/>
      <c r="T145" s="37"/>
      <c r="U145" s="37"/>
      <c r="V145" s="37"/>
      <c r="W145" s="37"/>
      <c r="X145" s="38"/>
      <c r="Y145" s="211"/>
      <c r="Z145" s="37"/>
      <c r="AA145" s="37"/>
      <c r="AB145" s="37"/>
      <c r="AC145" s="37"/>
      <c r="AD145" s="37"/>
      <c r="AE145" s="229"/>
      <c r="AF145" s="37"/>
      <c r="AG145" s="37"/>
      <c r="AH145" s="37"/>
      <c r="AI145" s="502"/>
      <c r="AJ145" s="37"/>
      <c r="AK145" s="37"/>
      <c r="AL145" s="37"/>
      <c r="AM145" s="37"/>
      <c r="AN145" s="83"/>
      <c r="AO145" s="37"/>
      <c r="AP145" s="37"/>
      <c r="AQ145" s="37"/>
      <c r="AR145" s="37"/>
      <c r="AS145" s="37"/>
      <c r="AT145" s="37"/>
      <c r="AU145" s="37"/>
      <c r="AV145" s="37"/>
      <c r="AW145" s="37"/>
      <c r="AX145" s="37"/>
      <c r="AY145" s="37"/>
      <c r="AZ145" s="37"/>
      <c r="BA145" s="37"/>
      <c r="BB145" s="50"/>
      <c r="BC145" s="51"/>
      <c r="BD145" s="51"/>
      <c r="BE145" s="51"/>
      <c r="BF145" s="51"/>
    </row>
    <row r="146" spans="1:58" ht="12" customHeight="1">
      <c r="A146" s="40">
        <v>45987</v>
      </c>
      <c r="B146" s="41" t="s">
        <v>574</v>
      </c>
      <c r="C146" s="414">
        <f>(M146*E146*O146*Q146)/100000000</f>
        <v>48.291011150735301</v>
      </c>
      <c r="D146" s="41" t="s">
        <v>300</v>
      </c>
      <c r="E146" s="42">
        <v>15</v>
      </c>
      <c r="F146" s="42">
        <v>1</v>
      </c>
      <c r="G146" s="499">
        <v>1210</v>
      </c>
      <c r="H146" s="44">
        <f>+N146</f>
        <v>0.22999999999999998</v>
      </c>
      <c r="I146" s="45">
        <v>0.88</v>
      </c>
      <c r="J146" s="82">
        <f>E146*G146*(1-H146)*1440/1000000*2.74</f>
        <v>55.141732800000007</v>
      </c>
      <c r="K146" s="82">
        <f>(IF(G146&lt;L146,L146,G146)*(1-IF(H146&lt;N146,H146,N146))*E146*O146*Q146)/100000000</f>
        <v>52.664616529411767</v>
      </c>
      <c r="L146" s="35">
        <v>1109.5138888888889</v>
      </c>
      <c r="M146" s="35">
        <v>854.32569444444448</v>
      </c>
      <c r="N146" s="46">
        <f>1-(M146/L146)</f>
        <v>0.22999999999999998</v>
      </c>
      <c r="O146" s="47">
        <f>+'Trim Rwd'!H64</f>
        <v>261.69117647058823</v>
      </c>
      <c r="P146" s="48">
        <f>O146*(Q146-R146-S146)</f>
        <v>359040.29411764705</v>
      </c>
      <c r="Q146" s="47">
        <v>1440</v>
      </c>
      <c r="R146" s="500">
        <v>0</v>
      </c>
      <c r="S146" s="500">
        <v>68</v>
      </c>
      <c r="T146" s="37">
        <f>E146*M146*O146*Q146/100000000</f>
        <v>48.291011150735301</v>
      </c>
      <c r="U146" s="37">
        <f>E146*M146*O146*(Q146-R146-S146)/100000000</f>
        <v>46.010602290839465</v>
      </c>
      <c r="V146" s="37">
        <f>E146*G146*(1-N146)*O146/100*(R146+S146)/1000000</f>
        <v>2.4869402250000001</v>
      </c>
      <c r="W146" s="37">
        <f>+'26'!K12/1000</f>
        <v>38.930999999999997</v>
      </c>
      <c r="X146" s="501">
        <f>SUM(W146:W149)/SUM(K146:K150)</f>
        <v>0.65949139565827919</v>
      </c>
      <c r="Y146" s="211">
        <v>0</v>
      </c>
      <c r="Z146" s="37">
        <f>+'26'!D34/1000</f>
        <v>1.472</v>
      </c>
      <c r="AA146" s="49">
        <f>SUM(U146:U149)-SUM(W146:W149)-SUM(Z146:Z149)-SUM(Y146:Y149)</f>
        <v>5.607602290839468</v>
      </c>
      <c r="AB146" s="49">
        <f>(SUM(K146:K149)-SUM(W146:W149)-SUM(Y146:Y149)-SUM(Z146:Z149)-SUM(AC146:AC149)-SUM(V146:V149))-AA146</f>
        <v>-0.20653136510416381</v>
      </c>
      <c r="AC146" s="37">
        <f>K146-T146</f>
        <v>4.3736053786764657</v>
      </c>
      <c r="AD146" s="37">
        <f>+AM146+BA146</f>
        <v>27</v>
      </c>
      <c r="AE146" s="229" t="s">
        <v>624</v>
      </c>
      <c r="AF146" s="37">
        <v>27</v>
      </c>
      <c r="AG146" s="37"/>
      <c r="AH146" s="37"/>
      <c r="AI146" s="502"/>
      <c r="AJ146" s="37"/>
      <c r="AK146" s="37"/>
      <c r="AL146" s="37"/>
      <c r="AM146" s="37">
        <f t="shared" ref="AM146:AM148" si="62">SUM(AF146:AL146)+AT146+AV146+AX146</f>
        <v>27</v>
      </c>
      <c r="AN146" s="37"/>
      <c r="AO146" s="37"/>
      <c r="AP146" s="37"/>
      <c r="AQ146" s="37"/>
      <c r="AR146" s="37">
        <f>SUM(AN146:AQ146)</f>
        <v>0</v>
      </c>
      <c r="AS146" s="37"/>
      <c r="AT146" s="37"/>
      <c r="AU146" s="37"/>
      <c r="AV146" s="37"/>
      <c r="AW146" s="37"/>
      <c r="AX146" s="37"/>
      <c r="AY146" s="37"/>
      <c r="AZ146" s="37"/>
      <c r="BA146" s="37">
        <f t="shared" ref="BA146:BA148" si="63">+AR146+AS146+AU146+AW146+AY146+AZ146</f>
        <v>0</v>
      </c>
      <c r="BB146" s="33">
        <v>10</v>
      </c>
      <c r="BC146" s="51"/>
      <c r="BD146" s="51"/>
      <c r="BE146" s="33"/>
      <c r="BF146" s="51"/>
    </row>
    <row r="147" spans="1:58" ht="12.95" customHeight="1">
      <c r="A147" s="40"/>
      <c r="B147" s="41"/>
      <c r="C147" s="414"/>
      <c r="D147" s="41"/>
      <c r="E147" s="42"/>
      <c r="F147" s="42"/>
      <c r="G147" s="499"/>
      <c r="H147" s="44"/>
      <c r="I147" s="45"/>
      <c r="J147" s="82"/>
      <c r="K147" s="82"/>
      <c r="L147" s="35"/>
      <c r="M147" s="35"/>
      <c r="N147" s="46"/>
      <c r="O147" s="47"/>
      <c r="P147" s="48"/>
      <c r="Q147" s="47"/>
      <c r="R147" s="500"/>
      <c r="S147" s="500"/>
      <c r="T147" s="37"/>
      <c r="U147" s="37"/>
      <c r="V147" s="37"/>
      <c r="W147" s="37"/>
      <c r="X147" s="38"/>
      <c r="Y147" s="211"/>
      <c r="Z147" s="37"/>
      <c r="AA147" s="37"/>
      <c r="AB147" s="37"/>
      <c r="AC147" s="37">
        <f>K147-T147</f>
        <v>0</v>
      </c>
      <c r="AD147" s="37">
        <f>+AM147+BA147</f>
        <v>0</v>
      </c>
      <c r="AE147" s="229" t="s">
        <v>282</v>
      </c>
      <c r="AF147" s="37"/>
      <c r="AG147" s="37">
        <v>0</v>
      </c>
      <c r="AH147" s="37"/>
      <c r="AI147" s="502"/>
      <c r="AJ147" s="37"/>
      <c r="AK147" s="37"/>
      <c r="AL147" s="37"/>
      <c r="AM147" s="37">
        <f t="shared" si="62"/>
        <v>0</v>
      </c>
      <c r="AN147" s="83"/>
      <c r="AO147" s="37"/>
      <c r="AP147" s="37"/>
      <c r="AQ147" s="37"/>
      <c r="AR147" s="37">
        <f t="shared" ref="AR147:AR148" si="64">SUM(AN147:AQ147)</f>
        <v>0</v>
      </c>
      <c r="AS147" s="37"/>
      <c r="AT147" s="37"/>
      <c r="AU147" s="37"/>
      <c r="AV147" s="37"/>
      <c r="AW147" s="37"/>
      <c r="AX147" s="37"/>
      <c r="AY147" s="37"/>
      <c r="AZ147" s="37"/>
      <c r="BA147" s="37">
        <f t="shared" si="63"/>
        <v>0</v>
      </c>
      <c r="BB147" s="50"/>
      <c r="BC147" s="51">
        <v>0</v>
      </c>
      <c r="BD147" s="51"/>
      <c r="BE147" s="50"/>
      <c r="BF147" s="51"/>
    </row>
    <row r="148" spans="1:58" ht="12.95" customHeight="1">
      <c r="A148" s="40"/>
      <c r="B148" s="41"/>
      <c r="C148" s="414"/>
      <c r="D148" s="41"/>
      <c r="E148" s="42"/>
      <c r="F148" s="42"/>
      <c r="G148" s="499"/>
      <c r="H148" s="44"/>
      <c r="I148" s="45"/>
      <c r="J148" s="82"/>
      <c r="K148" s="82"/>
      <c r="L148" s="35"/>
      <c r="M148" s="35"/>
      <c r="N148" s="46"/>
      <c r="O148" s="47"/>
      <c r="P148" s="48"/>
      <c r="Q148" s="47"/>
      <c r="R148" s="500"/>
      <c r="S148" s="500"/>
      <c r="T148" s="37"/>
      <c r="U148" s="37"/>
      <c r="V148" s="37"/>
      <c r="W148" s="37"/>
      <c r="X148" s="38"/>
      <c r="Y148" s="211"/>
      <c r="Z148" s="37"/>
      <c r="AA148" s="37"/>
      <c r="AB148" s="37"/>
      <c r="AC148" s="37">
        <f>K148-T148</f>
        <v>0</v>
      </c>
      <c r="AD148" s="37">
        <f>+AM148+BA148</f>
        <v>41</v>
      </c>
      <c r="AE148" s="229" t="s">
        <v>544</v>
      </c>
      <c r="AF148" s="33"/>
      <c r="AG148" s="33"/>
      <c r="AH148" s="33">
        <v>41</v>
      </c>
      <c r="AJ148" s="37"/>
      <c r="AK148" s="37"/>
      <c r="AL148" s="37"/>
      <c r="AM148" s="37">
        <f t="shared" si="62"/>
        <v>41</v>
      </c>
      <c r="AN148" s="37"/>
      <c r="AO148" s="37"/>
      <c r="AP148" s="37"/>
      <c r="AQ148" s="37"/>
      <c r="AR148" s="37">
        <f t="shared" si="64"/>
        <v>0</v>
      </c>
      <c r="AS148" s="37"/>
      <c r="AT148" s="37"/>
      <c r="AU148" s="37"/>
      <c r="AV148" s="37"/>
      <c r="AW148" s="37"/>
      <c r="AX148" s="37"/>
      <c r="AY148" s="37"/>
      <c r="AZ148" s="37"/>
      <c r="BA148" s="37">
        <f t="shared" si="63"/>
        <v>0</v>
      </c>
      <c r="BB148" s="33"/>
      <c r="BC148" s="503"/>
      <c r="BD148" s="503"/>
      <c r="BE148" s="33"/>
      <c r="BF148" s="503"/>
    </row>
    <row r="149" spans="1:58" ht="16.5" customHeight="1">
      <c r="A149" s="40"/>
      <c r="B149" s="41"/>
      <c r="C149" s="414"/>
      <c r="D149" s="41"/>
      <c r="E149" s="42"/>
      <c r="F149" s="42"/>
      <c r="G149" s="499"/>
      <c r="H149" s="44"/>
      <c r="I149" s="45"/>
      <c r="J149" s="82"/>
      <c r="K149" s="82"/>
      <c r="L149" s="35"/>
      <c r="M149" s="35"/>
      <c r="N149" s="46"/>
      <c r="O149" s="47"/>
      <c r="P149" s="48"/>
      <c r="Q149" s="47"/>
      <c r="R149" s="500"/>
      <c r="S149" s="500"/>
      <c r="T149" s="37"/>
      <c r="U149" s="37"/>
      <c r="V149" s="37"/>
      <c r="W149" s="37"/>
      <c r="X149" s="501"/>
      <c r="Y149" s="211"/>
      <c r="Z149" s="37"/>
      <c r="AA149" s="49"/>
      <c r="AB149" s="49"/>
      <c r="AC149" s="37"/>
      <c r="AD149" s="37"/>
      <c r="AE149" s="229"/>
      <c r="AF149" s="37"/>
      <c r="AG149" s="37"/>
      <c r="AH149" s="37"/>
      <c r="AI149" s="502"/>
      <c r="AJ149" s="37"/>
      <c r="AK149" s="37"/>
      <c r="AL149" s="37"/>
      <c r="AM149" s="37"/>
      <c r="AN149" s="37"/>
      <c r="AO149" s="37"/>
      <c r="AP149" s="37"/>
      <c r="AQ149" s="37"/>
      <c r="AR149" s="37"/>
      <c r="AS149" s="37"/>
      <c r="AT149" s="37"/>
      <c r="AU149" s="37"/>
      <c r="AV149" s="37"/>
      <c r="AW149" s="37"/>
      <c r="AX149" s="37"/>
      <c r="AY149" s="37"/>
      <c r="AZ149" s="37"/>
      <c r="BA149" s="37"/>
      <c r="BB149" s="33"/>
      <c r="BC149" s="51"/>
      <c r="BD149" s="51"/>
      <c r="BE149" s="51"/>
      <c r="BF149" s="51"/>
    </row>
    <row r="150" spans="1:58" ht="12" customHeight="1">
      <c r="A150" s="40">
        <v>45988</v>
      </c>
      <c r="B150" s="41" t="s">
        <v>574</v>
      </c>
      <c r="C150" s="414">
        <f>(M150*E150*O150*Q150)/100000000</f>
        <v>5.5252889999999999</v>
      </c>
      <c r="D150" s="41" t="s">
        <v>300</v>
      </c>
      <c r="E150" s="42">
        <v>15</v>
      </c>
      <c r="F150" s="42">
        <v>1</v>
      </c>
      <c r="G150" s="499">
        <v>1210</v>
      </c>
      <c r="H150" s="44">
        <f>+N150</f>
        <v>0.22999999999999998</v>
      </c>
      <c r="I150" s="45">
        <v>0.88</v>
      </c>
      <c r="J150" s="82">
        <f>E150*G150*(1-H150)*1440/1000000*2.74</f>
        <v>55.141732800000007</v>
      </c>
      <c r="K150" s="82">
        <f>(IF(G150&lt;L150,L150,G150)*(1-IF(H150&lt;N150,H150,N150))*E150*O150*Q150)/100000000</f>
        <v>6.3672377999999998</v>
      </c>
      <c r="L150" s="35">
        <v>1050</v>
      </c>
      <c r="M150" s="35">
        <v>808.5</v>
      </c>
      <c r="N150" s="46">
        <f>1-(M150/L150)</f>
        <v>0.22999999999999998</v>
      </c>
      <c r="O150" s="47">
        <f>+'Trim Rwd'!H67</f>
        <v>268</v>
      </c>
      <c r="P150" s="48">
        <f>O150*(Q150-R150-S150)</f>
        <v>42076</v>
      </c>
      <c r="Q150" s="47">
        <v>170</v>
      </c>
      <c r="R150" s="500">
        <v>0</v>
      </c>
      <c r="S150" s="500">
        <v>13</v>
      </c>
      <c r="T150" s="37">
        <f>E150*M150*O150*Q150/100000000</f>
        <v>5.5252889999999999</v>
      </c>
      <c r="U150" s="37">
        <f>E150*M150*O150*(Q150-R150-S150)/100000000</f>
        <v>5.1027668999999998</v>
      </c>
      <c r="V150" s="37">
        <f>E150*G150*(1-N150)*O150/100*(R150+S150)/1000000</f>
        <v>0.48690641999999995</v>
      </c>
      <c r="W150" s="37">
        <f>+'27'!K12/1000</f>
        <v>8.4529999999999994</v>
      </c>
      <c r="X150" s="501">
        <f>SUM(W150:W153)/SUM(K150:K154)</f>
        <v>0.57457281279424965</v>
      </c>
      <c r="Y150" s="211">
        <v>0</v>
      </c>
      <c r="Z150" s="37">
        <v>0</v>
      </c>
      <c r="AA150" s="49">
        <f>SUM(U150:U153)-SUM(W150:W153)-SUM(Z150:Z153)-SUM(Y150:Y153)</f>
        <v>0.46074029027559571</v>
      </c>
      <c r="AB150" s="49">
        <f>(SUM(K150:K153)-SUM(W150:W153)-SUM(Y150:Y153)-SUM(Z150:Z153)-SUM(AC150:AC153)-SUM(V150:V153))-AA150</f>
        <v>-0.19466671027559213</v>
      </c>
      <c r="AC150" s="37">
        <f>K150-T150</f>
        <v>0.84194879999999994</v>
      </c>
      <c r="AD150" s="37">
        <f>+AM150+BA150</f>
        <v>24</v>
      </c>
      <c r="AE150" s="229" t="s">
        <v>499</v>
      </c>
      <c r="AF150" s="37">
        <v>24</v>
      </c>
      <c r="AG150" s="37"/>
      <c r="AH150" s="37"/>
      <c r="AI150" s="502"/>
      <c r="AJ150" s="37"/>
      <c r="AK150" s="37"/>
      <c r="AL150" s="37"/>
      <c r="AM150" s="37">
        <f t="shared" ref="AM150:AM152" si="65">SUM(AF150:AL150)+AT150+AV150+AX150</f>
        <v>24</v>
      </c>
      <c r="AN150" s="37"/>
      <c r="AO150" s="37"/>
      <c r="AP150" s="37"/>
      <c r="AQ150" s="37"/>
      <c r="AR150" s="37">
        <f>SUM(AN150:AQ150)</f>
        <v>0</v>
      </c>
      <c r="AS150" s="37"/>
      <c r="AT150" s="37"/>
      <c r="AU150" s="37"/>
      <c r="AV150" s="37"/>
      <c r="AW150" s="37"/>
      <c r="AX150" s="37"/>
      <c r="AY150" s="37"/>
      <c r="AZ150" s="37"/>
      <c r="BA150" s="37">
        <f t="shared" ref="BA150:BA152" si="66">+AR150+AS150+AU150+AW150+AY150+AZ150</f>
        <v>0</v>
      </c>
      <c r="BB150" s="33">
        <v>9</v>
      </c>
      <c r="BC150" s="51"/>
      <c r="BD150" s="51"/>
      <c r="BE150" s="33"/>
      <c r="BF150" s="51"/>
    </row>
    <row r="151" spans="1:58" ht="12.95" customHeight="1">
      <c r="A151" s="40"/>
      <c r="B151" s="41" t="s">
        <v>461</v>
      </c>
      <c r="C151" s="414">
        <f>(M151*E151*O151*Q151)/100000000</f>
        <v>34.766874450000003</v>
      </c>
      <c r="D151" s="41" t="s">
        <v>300</v>
      </c>
      <c r="E151" s="42">
        <v>12</v>
      </c>
      <c r="F151" s="42">
        <v>1</v>
      </c>
      <c r="G151" s="499">
        <v>1230</v>
      </c>
      <c r="H151" s="44">
        <f>+N151</f>
        <v>0.22999999999999998</v>
      </c>
      <c r="I151" s="45">
        <v>0.88</v>
      </c>
      <c r="J151" s="82">
        <f>E151*G151*(1-H151)*1440/1000000*2.74</f>
        <v>44.842533120000006</v>
      </c>
      <c r="K151" s="82">
        <f>(IF(G151&lt;L151,L151,G151)*(1-IF(H151&lt;N151,H151,N151))*E151*O151*Q151)/100000000</f>
        <v>37.888735500000003</v>
      </c>
      <c r="L151" s="35">
        <v>1128.6535433070867</v>
      </c>
      <c r="M151" s="35">
        <v>869.06322834645675</v>
      </c>
      <c r="N151" s="46">
        <f>1-(M151/L151)</f>
        <v>0.22999999999999998</v>
      </c>
      <c r="O151" s="47">
        <f>+'Trim Rwd'!H68</f>
        <v>262.5</v>
      </c>
      <c r="P151" s="48">
        <f>O151*(Q151-R151-S151)</f>
        <v>319462.5</v>
      </c>
      <c r="Q151" s="47">
        <v>1270</v>
      </c>
      <c r="R151" s="500">
        <v>0</v>
      </c>
      <c r="S151" s="500">
        <f>66-S150</f>
        <v>53</v>
      </c>
      <c r="T151" s="37">
        <f>E151*M151*O151*Q151/100000000</f>
        <v>34.766874450000003</v>
      </c>
      <c r="U151" s="37">
        <f>E151*M151*O151*(Q151-R151-S151)/100000000</f>
        <v>33.315973390275595</v>
      </c>
      <c r="V151" s="37">
        <f>E151*G151*(1-N151)*O151/100*(R151+S151)/1000000</f>
        <v>1.5811834500000002</v>
      </c>
      <c r="W151" s="37">
        <f>+'27'!K7/1000</f>
        <v>28.986999999999998</v>
      </c>
      <c r="X151" s="38"/>
      <c r="Y151" s="211"/>
      <c r="Z151" s="37">
        <f>+'27'!D25/1000</f>
        <v>0.51800000000000002</v>
      </c>
      <c r="AA151" s="37"/>
      <c r="AB151" s="37"/>
      <c r="AC151" s="37">
        <f>K151-T151</f>
        <v>3.1218610499999997</v>
      </c>
      <c r="AD151" s="37">
        <f>+AM151+BA151</f>
        <v>2</v>
      </c>
      <c r="AE151" s="229" t="s">
        <v>455</v>
      </c>
      <c r="AF151" s="37"/>
      <c r="AG151" s="37">
        <v>2</v>
      </c>
      <c r="AH151" s="37"/>
      <c r="AI151" s="502"/>
      <c r="AJ151" s="37"/>
      <c r="AK151" s="37"/>
      <c r="AL151" s="37"/>
      <c r="AM151" s="37">
        <f t="shared" si="65"/>
        <v>2</v>
      </c>
      <c r="AN151" s="83"/>
      <c r="AO151" s="37"/>
      <c r="AP151" s="37"/>
      <c r="AQ151" s="37"/>
      <c r="AR151" s="37">
        <f t="shared" ref="AR151:AR152" si="67">SUM(AN151:AQ151)</f>
        <v>0</v>
      </c>
      <c r="AS151" s="37"/>
      <c r="AT151" s="37"/>
      <c r="AU151" s="37"/>
      <c r="AV151" s="37"/>
      <c r="AW151" s="37"/>
      <c r="AX151" s="37"/>
      <c r="AY151" s="37"/>
      <c r="AZ151" s="37"/>
      <c r="BA151" s="37">
        <f t="shared" si="66"/>
        <v>0</v>
      </c>
      <c r="BB151" s="50"/>
      <c r="BC151" s="51">
        <v>1</v>
      </c>
      <c r="BD151" s="51"/>
      <c r="BE151" s="50"/>
      <c r="BF151" s="51"/>
    </row>
    <row r="152" spans="1:58" ht="12.95" customHeight="1">
      <c r="A152" s="40"/>
      <c r="B152" s="41"/>
      <c r="C152" s="414"/>
      <c r="D152" s="41"/>
      <c r="E152" s="42"/>
      <c r="F152" s="42"/>
      <c r="G152" s="499"/>
      <c r="H152" s="44"/>
      <c r="I152" s="45"/>
      <c r="J152" s="82"/>
      <c r="K152" s="82"/>
      <c r="L152" s="35"/>
      <c r="M152" s="35"/>
      <c r="N152" s="46"/>
      <c r="O152" s="47"/>
      <c r="P152" s="48"/>
      <c r="Q152" s="47"/>
      <c r="R152" s="500"/>
      <c r="S152" s="500"/>
      <c r="T152" s="37"/>
      <c r="U152" s="37"/>
      <c r="V152" s="37"/>
      <c r="W152" s="37"/>
      <c r="X152" s="38"/>
      <c r="Y152" s="211"/>
      <c r="Z152" s="37"/>
      <c r="AA152" s="37"/>
      <c r="AB152" s="37"/>
      <c r="AC152" s="37">
        <f>K152-T152</f>
        <v>0</v>
      </c>
      <c r="AD152" s="37">
        <f>+AM152+BA152</f>
        <v>40</v>
      </c>
      <c r="AE152" s="229" t="s">
        <v>500</v>
      </c>
      <c r="AF152" s="33"/>
      <c r="AG152" s="33"/>
      <c r="AH152" s="33">
        <v>40</v>
      </c>
      <c r="AJ152" s="37"/>
      <c r="AK152" s="37"/>
      <c r="AL152" s="37"/>
      <c r="AM152" s="37">
        <f t="shared" si="65"/>
        <v>40</v>
      </c>
      <c r="AN152" s="37"/>
      <c r="AO152" s="37"/>
      <c r="AP152" s="37"/>
      <c r="AQ152" s="37"/>
      <c r="AR152" s="37">
        <f t="shared" si="67"/>
        <v>0</v>
      </c>
      <c r="AS152" s="37"/>
      <c r="AT152" s="37"/>
      <c r="AU152" s="37"/>
      <c r="AV152" s="37"/>
      <c r="AW152" s="37"/>
      <c r="AX152" s="37"/>
      <c r="AY152" s="37"/>
      <c r="AZ152" s="37"/>
      <c r="BA152" s="37">
        <f t="shared" si="66"/>
        <v>0</v>
      </c>
      <c r="BB152" s="33"/>
      <c r="BC152" s="503"/>
      <c r="BD152" s="503"/>
      <c r="BE152" s="33"/>
      <c r="BF152" s="503"/>
    </row>
    <row r="153" spans="1:58" ht="16.5" customHeight="1">
      <c r="A153" s="40"/>
      <c r="B153" s="41"/>
      <c r="C153" s="414"/>
      <c r="D153" s="41"/>
      <c r="E153" s="42"/>
      <c r="F153" s="42"/>
      <c r="G153" s="499"/>
      <c r="H153" s="44"/>
      <c r="I153" s="45"/>
      <c r="J153" s="82"/>
      <c r="K153" s="82"/>
      <c r="L153" s="35"/>
      <c r="M153" s="35"/>
      <c r="N153" s="46"/>
      <c r="O153" s="47"/>
      <c r="P153" s="48"/>
      <c r="Q153" s="47"/>
      <c r="R153" s="500"/>
      <c r="S153" s="500"/>
      <c r="T153" s="37"/>
      <c r="U153" s="37"/>
      <c r="V153" s="37"/>
      <c r="W153" s="37"/>
      <c r="X153" s="501"/>
      <c r="Y153" s="211"/>
      <c r="Z153" s="37"/>
      <c r="AA153" s="49"/>
      <c r="AB153" s="49"/>
      <c r="AC153" s="37"/>
      <c r="AD153" s="37"/>
      <c r="AE153" s="229"/>
      <c r="AF153" s="37"/>
      <c r="AG153" s="37"/>
      <c r="AH153" s="37"/>
      <c r="AI153" s="502"/>
      <c r="AJ153" s="37"/>
      <c r="AK153" s="37"/>
      <c r="AL153" s="37"/>
      <c r="AM153" s="37"/>
      <c r="AN153" s="37"/>
      <c r="AO153" s="37"/>
      <c r="AP153" s="37"/>
      <c r="AQ153" s="37"/>
      <c r="AR153" s="37"/>
      <c r="AS153" s="37"/>
      <c r="AT153" s="37"/>
      <c r="AU153" s="37"/>
      <c r="AV153" s="37"/>
      <c r="AW153" s="37"/>
      <c r="AX153" s="37"/>
      <c r="AY153" s="37"/>
      <c r="AZ153" s="37"/>
      <c r="BA153" s="37"/>
      <c r="BB153" s="33"/>
      <c r="BC153" s="51"/>
      <c r="BD153" s="51"/>
      <c r="BE153" s="51"/>
      <c r="BF153" s="51"/>
    </row>
    <row r="154" spans="1:58" ht="12" customHeight="1">
      <c r="A154" s="40">
        <v>45989</v>
      </c>
      <c r="B154" s="41" t="s">
        <v>461</v>
      </c>
      <c r="C154" s="414">
        <f t="shared" ref="C154:C155" si="68">(M154*E154*O154*Q154)/100000000</f>
        <v>20.860001390366968</v>
      </c>
      <c r="D154" s="41" t="s">
        <v>300</v>
      </c>
      <c r="E154" s="42">
        <v>12</v>
      </c>
      <c r="F154" s="42">
        <v>1</v>
      </c>
      <c r="G154" s="499">
        <v>1230</v>
      </c>
      <c r="H154" s="44">
        <f t="shared" ref="H154:H155" si="69">+N154</f>
        <v>0.23029115327594163</v>
      </c>
      <c r="I154" s="45">
        <v>0.88</v>
      </c>
      <c r="J154" s="82">
        <f t="shared" ref="J154:J155" si="70">E154*G154*(1-H154)*1440/1000000*2.74</f>
        <v>44.825577210364401</v>
      </c>
      <c r="K154" s="82">
        <f t="shared" ref="K154:K155" si="71">(IF(G154&lt;L154,L154,G154)*(1-IF(H154&lt;N154,H154,N154))*E154*O154*Q154)/100000000</f>
        <v>20.905480855692872</v>
      </c>
      <c r="L154" s="35">
        <v>1227.3241590214068</v>
      </c>
      <c r="M154" s="35">
        <v>944.68226299694186</v>
      </c>
      <c r="N154" s="46">
        <f t="shared" ref="N154:N155" si="72">1-(M154/L154)</f>
        <v>0.23029115327594163</v>
      </c>
      <c r="O154" s="47">
        <f>+'Trim Rwd'!H70</f>
        <v>262.5</v>
      </c>
      <c r="P154" s="48">
        <f t="shared" ref="P154:P155" si="73">O154*(Q154-R154-S154)</f>
        <v>162225</v>
      </c>
      <c r="Q154" s="47">
        <f>654+47</f>
        <v>701</v>
      </c>
      <c r="R154" s="500">
        <v>47</v>
      </c>
      <c r="S154" s="500">
        <v>36</v>
      </c>
      <c r="T154" s="37">
        <f t="shared" ref="T154:T155" si="74">E154*M154*O154*Q154/100000000</f>
        <v>20.860001390366968</v>
      </c>
      <c r="U154" s="37">
        <f t="shared" ref="U154:U155" si="75">E154*M154*O154*(Q154-R154-S154)/100000000</f>
        <v>18.390129613761466</v>
      </c>
      <c r="V154" s="37">
        <f t="shared" ref="V154:V155" si="76">E154*G154*(1-N154)*O154/100*(R154+S154)/1000000</f>
        <v>2.4752566491048622</v>
      </c>
      <c r="W154" s="37">
        <f>+'28'!K7/1000</f>
        <v>18.027999999999999</v>
      </c>
      <c r="X154" s="501">
        <f>SUM(W154:W158)/SUM(K154:K158)</f>
        <v>0.88846416455897692</v>
      </c>
      <c r="Y154" s="211">
        <v>0</v>
      </c>
      <c r="Z154" s="37">
        <f>+'28'!D16/1000</f>
        <v>0.53500000000000003</v>
      </c>
      <c r="AA154" s="49">
        <f>SUM(U154:U158)-SUM(W154:W158)-SUM(Z154:Z158)-SUM(Y154:Y158)</f>
        <v>0.66136944939340137</v>
      </c>
      <c r="AB154" s="49">
        <f>(SUM(K154:K158)-SUM(W154:W158)-SUM(Y154:Y158)-SUM(Z154:Z158)-SUM(AC154:AC158)-SUM(V154:V158))-AA154</f>
        <v>-7.5234961312943271E-3</v>
      </c>
      <c r="AC154" s="37">
        <f>K154-T154</f>
        <v>4.54794653259043E-2</v>
      </c>
      <c r="AD154" s="37">
        <f>+AM154+BA154</f>
        <v>27</v>
      </c>
      <c r="AE154" s="229" t="s">
        <v>499</v>
      </c>
      <c r="AF154" s="37">
        <v>27</v>
      </c>
      <c r="AG154" s="37"/>
      <c r="AH154" s="37"/>
      <c r="AI154" s="502"/>
      <c r="AJ154" s="37"/>
      <c r="AK154" s="37"/>
      <c r="AL154" s="37"/>
      <c r="AM154" s="37">
        <f t="shared" ref="AM154:AM156" si="77">SUM(AF154:AL154)+AT154+AV154+AX154</f>
        <v>27</v>
      </c>
      <c r="AN154" s="37"/>
      <c r="AO154" s="37"/>
      <c r="AP154" s="37"/>
      <c r="AQ154" s="37"/>
      <c r="AR154" s="37">
        <f>SUM(AN154:AQ154)</f>
        <v>0</v>
      </c>
      <c r="AS154" s="37"/>
      <c r="AT154" s="37"/>
      <c r="AU154" s="37"/>
      <c r="AV154" s="37"/>
      <c r="AW154" s="37"/>
      <c r="AX154" s="37"/>
      <c r="AY154" s="37"/>
      <c r="AZ154" s="37"/>
      <c r="BA154" s="37">
        <f t="shared" ref="BA154:BA156" si="78">+AR154+AS154+AU154+AW154+AY154+AZ154</f>
        <v>0</v>
      </c>
      <c r="BB154" s="33">
        <v>9</v>
      </c>
      <c r="BC154" s="51"/>
      <c r="BD154" s="51"/>
      <c r="BE154" s="33"/>
      <c r="BF154" s="51"/>
    </row>
    <row r="155" spans="1:58" ht="12.95" customHeight="1">
      <c r="A155" s="40"/>
      <c r="B155" s="41" t="s">
        <v>461</v>
      </c>
      <c r="C155" s="414">
        <f t="shared" si="68"/>
        <v>23.068211165999998</v>
      </c>
      <c r="D155" s="41" t="s">
        <v>300</v>
      </c>
      <c r="E155" s="42">
        <v>13</v>
      </c>
      <c r="F155" s="42">
        <v>1</v>
      </c>
      <c r="G155" s="499">
        <v>1230</v>
      </c>
      <c r="H155" s="44">
        <f t="shared" si="69"/>
        <v>0.23000000000000009</v>
      </c>
      <c r="I155" s="45">
        <v>0.88</v>
      </c>
      <c r="J155" s="82">
        <f t="shared" si="70"/>
        <v>48.579410880000005</v>
      </c>
      <c r="K155" s="82">
        <f t="shared" si="71"/>
        <v>23.110925837999996</v>
      </c>
      <c r="L155" s="35">
        <v>1227.726657645467</v>
      </c>
      <c r="M155" s="35">
        <v>945.3495263870094</v>
      </c>
      <c r="N155" s="46">
        <f t="shared" si="72"/>
        <v>0.23000000000000009</v>
      </c>
      <c r="O155" s="47">
        <f>+'Trim Rwd'!H71</f>
        <v>254</v>
      </c>
      <c r="P155" s="48">
        <f t="shared" si="73"/>
        <v>178308</v>
      </c>
      <c r="Q155" s="47">
        <v>739</v>
      </c>
      <c r="R155" s="500">
        <v>0</v>
      </c>
      <c r="S155" s="500">
        <v>37</v>
      </c>
      <c r="T155" s="37">
        <f t="shared" si="74"/>
        <v>23.068211165999998</v>
      </c>
      <c r="U155" s="37">
        <f t="shared" si="75"/>
        <v>21.913239835631934</v>
      </c>
      <c r="V155" s="37">
        <f t="shared" si="76"/>
        <v>1.1571099539999998</v>
      </c>
      <c r="W155" s="37">
        <f>+'28'!K8/1000</f>
        <v>21.079000000000001</v>
      </c>
      <c r="X155" s="38"/>
      <c r="Y155" s="211"/>
      <c r="Z155" s="37">
        <f>+'27'!D29/1000</f>
        <v>0</v>
      </c>
      <c r="AA155" s="37"/>
      <c r="AB155" s="37"/>
      <c r="AC155" s="37">
        <f>K155-T155</f>
        <v>4.2714671999998899E-2</v>
      </c>
      <c r="AD155" s="37">
        <f>+AM155+BA155</f>
        <v>2</v>
      </c>
      <c r="AE155" s="229" t="s">
        <v>455</v>
      </c>
      <c r="AF155" s="37"/>
      <c r="AG155" s="37">
        <v>2</v>
      </c>
      <c r="AH155" s="37"/>
      <c r="AI155" s="502"/>
      <c r="AJ155" s="37"/>
      <c r="AK155" s="37"/>
      <c r="AL155" s="37"/>
      <c r="AM155" s="37">
        <f t="shared" si="77"/>
        <v>2</v>
      </c>
      <c r="AN155" s="83"/>
      <c r="AO155" s="37"/>
      <c r="AP155" s="37"/>
      <c r="AQ155" s="37"/>
      <c r="AR155" s="37">
        <f t="shared" ref="AR155:AR156" si="79">SUM(AN155:AQ155)</f>
        <v>0</v>
      </c>
      <c r="AS155" s="37"/>
      <c r="AT155" s="37"/>
      <c r="AU155" s="37"/>
      <c r="AV155" s="37"/>
      <c r="AW155" s="37"/>
      <c r="AX155" s="37"/>
      <c r="AY155" s="37"/>
      <c r="AZ155" s="37"/>
      <c r="BA155" s="37">
        <f t="shared" si="78"/>
        <v>0</v>
      </c>
      <c r="BB155" s="50"/>
      <c r="BC155" s="51">
        <v>1</v>
      </c>
      <c r="BD155" s="51"/>
      <c r="BE155" s="50"/>
      <c r="BF155" s="51"/>
    </row>
    <row r="156" spans="1:58" ht="12.95" customHeight="1">
      <c r="A156" s="40"/>
      <c r="B156" s="41"/>
      <c r="C156" s="414"/>
      <c r="D156" s="41"/>
      <c r="E156" s="42"/>
      <c r="F156" s="42"/>
      <c r="G156" s="499"/>
      <c r="H156" s="44"/>
      <c r="I156" s="45"/>
      <c r="J156" s="82"/>
      <c r="K156" s="82"/>
      <c r="L156" s="35"/>
      <c r="M156" s="35"/>
      <c r="N156" s="46"/>
      <c r="O156" s="47"/>
      <c r="P156" s="48"/>
      <c r="Q156" s="47"/>
      <c r="R156" s="500"/>
      <c r="S156" s="500"/>
      <c r="T156" s="37"/>
      <c r="U156" s="37"/>
      <c r="V156" s="37"/>
      <c r="W156" s="37"/>
      <c r="X156" s="38"/>
      <c r="Y156" s="211"/>
      <c r="Z156" s="37"/>
      <c r="AA156" s="37"/>
      <c r="AB156" s="37"/>
      <c r="AC156" s="37">
        <f>K156-T156</f>
        <v>0</v>
      </c>
      <c r="AD156" s="37">
        <f>+AM156+BA156</f>
        <v>44</v>
      </c>
      <c r="AE156" s="229" t="s">
        <v>647</v>
      </c>
      <c r="AF156" s="33"/>
      <c r="AG156" s="33"/>
      <c r="AH156" s="33">
        <v>44</v>
      </c>
      <c r="AJ156" s="37"/>
      <c r="AK156" s="37"/>
      <c r="AL156" s="37"/>
      <c r="AM156" s="37">
        <f t="shared" si="77"/>
        <v>44</v>
      </c>
      <c r="AN156" s="37"/>
      <c r="AO156" s="37"/>
      <c r="AP156" s="37"/>
      <c r="AQ156" s="37"/>
      <c r="AR156" s="37">
        <f t="shared" si="79"/>
        <v>0</v>
      </c>
      <c r="AS156" s="37"/>
      <c r="AT156" s="37"/>
      <c r="AU156" s="37"/>
      <c r="AV156" s="37"/>
      <c r="AW156" s="37"/>
      <c r="AX156" s="37"/>
      <c r="AY156" s="37"/>
      <c r="AZ156" s="37"/>
      <c r="BA156" s="37">
        <f t="shared" si="78"/>
        <v>0</v>
      </c>
      <c r="BB156" s="33"/>
      <c r="BC156" s="503"/>
      <c r="BD156" s="503"/>
      <c r="BE156" s="33"/>
      <c r="BF156" s="503"/>
    </row>
    <row r="157" spans="1:58" ht="12.95" customHeight="1">
      <c r="A157" s="40"/>
      <c r="B157" s="41"/>
      <c r="C157" s="414"/>
      <c r="D157" s="41"/>
      <c r="E157" s="42"/>
      <c r="F157" s="42"/>
      <c r="G157" s="499"/>
      <c r="H157" s="44"/>
      <c r="I157" s="45"/>
      <c r="J157" s="82"/>
      <c r="K157" s="82"/>
      <c r="L157" s="35"/>
      <c r="M157" s="35"/>
      <c r="N157" s="46"/>
      <c r="O157" s="47"/>
      <c r="P157" s="48"/>
      <c r="Q157" s="47"/>
      <c r="R157" s="500"/>
      <c r="S157" s="500"/>
      <c r="T157" s="37"/>
      <c r="U157" s="37"/>
      <c r="V157" s="37"/>
      <c r="W157" s="37"/>
      <c r="X157" s="38"/>
      <c r="Y157" s="211"/>
      <c r="Z157" s="37"/>
      <c r="AA157" s="37"/>
      <c r="AB157" s="37"/>
      <c r="AC157" s="37">
        <f>K157-T157</f>
        <v>0</v>
      </c>
      <c r="AD157" s="37">
        <f>+AM157+BA157</f>
        <v>47</v>
      </c>
      <c r="AE157" s="229" t="s">
        <v>649</v>
      </c>
      <c r="AF157" s="33"/>
      <c r="AG157" s="33"/>
      <c r="AH157" s="33"/>
      <c r="AJ157" s="37"/>
      <c r="AK157" s="37"/>
      <c r="AL157" s="37"/>
      <c r="AM157" s="37">
        <f t="shared" ref="AM157" si="80">SUM(AF157:AL157)+AT157+AV157+AX157</f>
        <v>0</v>
      </c>
      <c r="AN157" s="37">
        <v>47</v>
      </c>
      <c r="AO157" s="37"/>
      <c r="AP157" s="37"/>
      <c r="AQ157" s="37"/>
      <c r="AR157" s="37">
        <f t="shared" ref="AR157" si="81">SUM(AN157:AQ157)</f>
        <v>47</v>
      </c>
      <c r="AS157" s="37"/>
      <c r="AT157" s="37"/>
      <c r="AU157" s="37"/>
      <c r="AV157" s="37"/>
      <c r="AW157" s="37"/>
      <c r="AX157" s="37"/>
      <c r="AY157" s="37"/>
      <c r="AZ157" s="37"/>
      <c r="BA157" s="37">
        <f t="shared" ref="BA157" si="82">+AR157+AS157+AU157+AW157+AY157+AZ157</f>
        <v>47</v>
      </c>
      <c r="BB157" s="33"/>
      <c r="BC157" s="503"/>
      <c r="BD157" s="503"/>
      <c r="BE157" s="33"/>
      <c r="BF157" s="503"/>
    </row>
    <row r="158" spans="1:58" ht="12.75" customHeight="1">
      <c r="A158" s="40"/>
      <c r="B158" s="3"/>
      <c r="C158" s="414"/>
      <c r="D158" s="41"/>
      <c r="E158" s="42"/>
      <c r="F158" s="42"/>
      <c r="G158" s="43"/>
      <c r="H158" s="44"/>
      <c r="I158" s="45"/>
      <c r="J158" s="82"/>
      <c r="K158" s="82"/>
      <c r="L158" s="35"/>
      <c r="M158" s="35"/>
      <c r="N158" s="46"/>
      <c r="O158" s="47"/>
      <c r="P158" s="48"/>
      <c r="Q158" s="34"/>
      <c r="R158" s="500"/>
      <c r="S158" s="500"/>
      <c r="T158" s="37"/>
      <c r="U158" s="37"/>
      <c r="V158" s="37"/>
      <c r="W158" s="37"/>
      <c r="X158" s="38"/>
      <c r="Y158" s="38"/>
      <c r="Z158" s="37"/>
      <c r="AA158" s="49"/>
      <c r="AB158" s="49"/>
      <c r="AC158" s="37"/>
      <c r="AD158" s="37"/>
      <c r="AE158" s="229"/>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3"/>
      <c r="BC158" s="51"/>
      <c r="BD158" s="51"/>
      <c r="BE158" s="51"/>
      <c r="BF158" s="51"/>
    </row>
    <row r="159" spans="1:58" ht="12" customHeight="1">
      <c r="A159" s="40">
        <v>45990</v>
      </c>
      <c r="B159" s="41" t="s">
        <v>461</v>
      </c>
      <c r="C159" s="414">
        <f t="shared" ref="C159" si="83">(M159*E159*O159*Q159)/100000000</f>
        <v>7.5324849599999997</v>
      </c>
      <c r="D159" s="41" t="s">
        <v>300</v>
      </c>
      <c r="E159" s="42">
        <v>12</v>
      </c>
      <c r="F159" s="42">
        <v>1</v>
      </c>
      <c r="G159" s="499">
        <v>1230</v>
      </c>
      <c r="H159" s="44">
        <f t="shared" ref="H159" si="84">+N159</f>
        <v>0.22999999999999998</v>
      </c>
      <c r="I159" s="45">
        <v>0.88</v>
      </c>
      <c r="J159" s="82">
        <f t="shared" ref="J159" si="85">E159*G159*(1-H159)*1440/1000000*2.74</f>
        <v>44.842533120000006</v>
      </c>
      <c r="K159" s="82">
        <f t="shared" ref="K159" si="86">(IF(G159&lt;L159,L159,G159)*(1-IF(H159&lt;N159,H159,N159))*E159*O159*Q159)/100000000</f>
        <v>7.5942266399999996</v>
      </c>
      <c r="L159" s="35">
        <v>1220</v>
      </c>
      <c r="M159" s="35">
        <v>939.4</v>
      </c>
      <c r="N159" s="46">
        <f t="shared" ref="N159" si="87">1-(M159/L159)</f>
        <v>0.22999999999999998</v>
      </c>
      <c r="O159" s="47">
        <f>+'Trim Rwd'!H73</f>
        <v>260</v>
      </c>
      <c r="P159" s="48">
        <f t="shared" ref="P159" si="88">O159*(Q159-R159-S159)</f>
        <v>62660</v>
      </c>
      <c r="Q159" s="47">
        <v>257</v>
      </c>
      <c r="R159" s="500">
        <v>0</v>
      </c>
      <c r="S159" s="500">
        <v>16</v>
      </c>
      <c r="T159" s="37">
        <f t="shared" ref="T159" si="89">E159*M159*O159*Q159/100000000</f>
        <v>7.5324849599999997</v>
      </c>
      <c r="U159" s="37">
        <f t="shared" ref="U159" si="90">E159*M159*O159*(Q159-R159-S159)/100000000</f>
        <v>7.0635364799999998</v>
      </c>
      <c r="V159" s="37">
        <f t="shared" ref="V159" si="91">E159*G159*(1-N159)*O159/100*(R159+S159)/1000000</f>
        <v>0.47279231999999999</v>
      </c>
      <c r="W159" s="37">
        <f>+'29'!K7/1000</f>
        <v>9.76</v>
      </c>
      <c r="X159" s="501">
        <f>SUM(W159:W162)/SUM(K159:K162)</f>
        <v>0.80833331055278401</v>
      </c>
      <c r="Y159" s="211">
        <v>0</v>
      </c>
      <c r="Z159" s="37">
        <f>+'26'!D47/1000</f>
        <v>0</v>
      </c>
      <c r="AA159" s="49">
        <f>SUM(U159:U162)-SUM(W159:W162)-SUM(Z159:Z162)-SUM(Y159:Y162)</f>
        <v>3.4910459200000119</v>
      </c>
      <c r="AB159" s="49">
        <f>(SUM(K159:K162)-SUM(W159:W162)-SUM(Y159:Y162)-SUM(Z159:Z162)-SUM(AC159:AC162)-SUM(V159:V162))-AA159</f>
        <v>-0.1559958400000041</v>
      </c>
      <c r="AC159" s="37">
        <f>K159-T159</f>
        <v>6.174167999999991E-2</v>
      </c>
      <c r="AD159" s="37">
        <f>+AM159+BA159</f>
        <v>9</v>
      </c>
      <c r="AE159" s="229" t="s">
        <v>460</v>
      </c>
      <c r="AF159" s="37">
        <v>9</v>
      </c>
      <c r="AG159" s="37"/>
      <c r="AH159" s="37"/>
      <c r="AI159" s="502"/>
      <c r="AJ159" s="37"/>
      <c r="AK159" s="37"/>
      <c r="AL159" s="37"/>
      <c r="AM159" s="37">
        <f t="shared" ref="AM159:AM161" si="92">SUM(AF159:AL159)+AT159+AV159+AX159</f>
        <v>9</v>
      </c>
      <c r="AN159" s="37"/>
      <c r="AO159" s="37"/>
      <c r="AP159" s="37"/>
      <c r="AQ159" s="37"/>
      <c r="AR159" s="37">
        <f>SUM(AN159:AQ159)</f>
        <v>0</v>
      </c>
      <c r="AS159" s="37"/>
      <c r="AT159" s="37"/>
      <c r="AU159" s="37"/>
      <c r="AV159" s="37"/>
      <c r="AW159" s="37"/>
      <c r="AX159" s="37"/>
      <c r="AY159" s="37"/>
      <c r="AZ159" s="37"/>
      <c r="BA159" s="37">
        <f t="shared" ref="BA159:BA161" si="93">+AR159+AS159+AU159+AW159+AY159+AZ159</f>
        <v>0</v>
      </c>
      <c r="BB159" s="33">
        <v>3</v>
      </c>
      <c r="BC159" s="51"/>
      <c r="BD159" s="51"/>
      <c r="BE159" s="33"/>
      <c r="BF159" s="51"/>
    </row>
    <row r="160" spans="1:58" ht="12.95" customHeight="1">
      <c r="A160" s="40"/>
      <c r="B160" s="41" t="s">
        <v>461</v>
      </c>
      <c r="C160" s="414">
        <f t="shared" ref="C160" si="94">(M160*E160*O160*Q160)/100000000</f>
        <v>36.653693440000005</v>
      </c>
      <c r="D160" s="41" t="s">
        <v>300</v>
      </c>
      <c r="E160" s="42">
        <v>14</v>
      </c>
      <c r="F160" s="42">
        <v>1</v>
      </c>
      <c r="G160" s="499">
        <v>1230</v>
      </c>
      <c r="H160" s="44">
        <f t="shared" ref="H160" si="95">+N160</f>
        <v>0.24</v>
      </c>
      <c r="I160" s="45">
        <v>0.88</v>
      </c>
      <c r="J160" s="82">
        <f t="shared" ref="J160" si="96">E160*G160*(1-H160)*1440/1000000*2.74</f>
        <v>51.636856320000007</v>
      </c>
      <c r="K160" s="82">
        <f t="shared" ref="K160" si="97">(IF(G160&lt;L160,L160,G160)*(1-IF(H160&lt;N160,H160,N160))*E160*O160*Q160)/100000000</f>
        <v>40.253609759999996</v>
      </c>
      <c r="L160" s="35">
        <v>1120</v>
      </c>
      <c r="M160" s="35">
        <v>851.2</v>
      </c>
      <c r="N160" s="46">
        <f t="shared" ref="N160" si="98">1-(M160/L160)</f>
        <v>0.24</v>
      </c>
      <c r="O160" s="47">
        <f>+'Trim Rwd'!H74</f>
        <v>260</v>
      </c>
      <c r="P160" s="48">
        <f t="shared" ref="P160" si="99">O160*(Q160-R160-S160)</f>
        <v>294580</v>
      </c>
      <c r="Q160" s="47">
        <v>1183</v>
      </c>
      <c r="R160" s="500">
        <v>0</v>
      </c>
      <c r="S160" s="500">
        <v>50</v>
      </c>
      <c r="T160" s="37">
        <f t="shared" ref="T160" si="100">E160*M160*O160*Q160/100000000</f>
        <v>36.653693440000005</v>
      </c>
      <c r="U160" s="37">
        <f t="shared" ref="U160" si="101">E160*M160*O160*(Q160-R160-S160)/100000000</f>
        <v>35.104509440000008</v>
      </c>
      <c r="V160" s="37">
        <f t="shared" ref="V160" si="102">E160*G160*(1-N160)*O160/100*(R160+S160)/1000000</f>
        <v>1.701336</v>
      </c>
      <c r="W160" s="37">
        <f>+'29'!K8/1000</f>
        <v>28.917000000000002</v>
      </c>
      <c r="X160" s="38"/>
      <c r="Y160" s="211"/>
      <c r="Z160" s="37"/>
      <c r="AA160" s="37"/>
      <c r="AB160" s="37"/>
      <c r="AC160" s="37">
        <f>K160-T160</f>
        <v>3.5999163199999913</v>
      </c>
      <c r="AD160" s="37">
        <f>+AM160+BA160</f>
        <v>16</v>
      </c>
      <c r="AE160" s="229" t="s">
        <v>591</v>
      </c>
      <c r="AF160" s="37"/>
      <c r="AG160" s="37">
        <v>16</v>
      </c>
      <c r="AH160" s="37"/>
      <c r="AI160" s="502"/>
      <c r="AJ160" s="37"/>
      <c r="AK160" s="37"/>
      <c r="AL160" s="37"/>
      <c r="AM160" s="37">
        <f t="shared" si="92"/>
        <v>16</v>
      </c>
      <c r="AN160" s="83"/>
      <c r="AO160" s="37"/>
      <c r="AP160" s="37"/>
      <c r="AQ160" s="37"/>
      <c r="AR160" s="37">
        <f t="shared" ref="AR160:AR161" si="103">SUM(AN160:AQ160)</f>
        <v>0</v>
      </c>
      <c r="AS160" s="37"/>
      <c r="AT160" s="37"/>
      <c r="AU160" s="37"/>
      <c r="AV160" s="37"/>
      <c r="AW160" s="37"/>
      <c r="AX160" s="37"/>
      <c r="AY160" s="37"/>
      <c r="AZ160" s="37"/>
      <c r="BA160" s="37">
        <f t="shared" si="93"/>
        <v>0</v>
      </c>
      <c r="BB160" s="50"/>
      <c r="BC160" s="51">
        <v>10</v>
      </c>
      <c r="BD160" s="51"/>
      <c r="BE160" s="50"/>
      <c r="BF160" s="51"/>
    </row>
    <row r="161" spans="1:58" ht="12.95" customHeight="1">
      <c r="A161" s="40"/>
      <c r="B161" s="41"/>
      <c r="C161" s="414"/>
      <c r="D161" s="41"/>
      <c r="E161" s="42"/>
      <c r="F161" s="42"/>
      <c r="G161" s="499"/>
      <c r="H161" s="44"/>
      <c r="I161" s="45"/>
      <c r="J161" s="82"/>
      <c r="K161" s="82"/>
      <c r="L161" s="35"/>
      <c r="M161" s="35"/>
      <c r="N161" s="46"/>
      <c r="O161" s="47"/>
      <c r="P161" s="48"/>
      <c r="Q161" s="47"/>
      <c r="R161" s="500"/>
      <c r="S161" s="500"/>
      <c r="T161" s="37"/>
      <c r="U161" s="37"/>
      <c r="V161" s="37"/>
      <c r="W161" s="37"/>
      <c r="X161" s="38"/>
      <c r="Y161" s="211"/>
      <c r="Z161" s="37"/>
      <c r="AA161" s="37"/>
      <c r="AB161" s="37"/>
      <c r="AC161" s="37">
        <f>K161-T161</f>
        <v>0</v>
      </c>
      <c r="AD161" s="37">
        <f>+AM161+BA161</f>
        <v>41</v>
      </c>
      <c r="AE161" s="229" t="s">
        <v>544</v>
      </c>
      <c r="AF161" s="33"/>
      <c r="AG161" s="33"/>
      <c r="AH161" s="33">
        <v>41</v>
      </c>
      <c r="AJ161" s="37"/>
      <c r="AK161" s="37"/>
      <c r="AL161" s="37"/>
      <c r="AM161" s="37">
        <f t="shared" si="92"/>
        <v>41</v>
      </c>
      <c r="AN161" s="37"/>
      <c r="AO161" s="37"/>
      <c r="AP161" s="37"/>
      <c r="AQ161" s="37"/>
      <c r="AR161" s="37">
        <f t="shared" si="103"/>
        <v>0</v>
      </c>
      <c r="AS161" s="37"/>
      <c r="AT161" s="37"/>
      <c r="AU161" s="37"/>
      <c r="AV161" s="37"/>
      <c r="AW161" s="37"/>
      <c r="AX161" s="37"/>
      <c r="AY161" s="37"/>
      <c r="AZ161" s="37"/>
      <c r="BA161" s="37">
        <f t="shared" si="93"/>
        <v>0</v>
      </c>
      <c r="BB161" s="33"/>
      <c r="BC161" s="503"/>
      <c r="BD161" s="503"/>
      <c r="BE161" s="33"/>
      <c r="BF161" s="503"/>
    </row>
    <row r="162" spans="1:58" ht="16.5" customHeight="1">
      <c r="A162" s="40"/>
      <c r="B162" s="41"/>
      <c r="C162" s="414"/>
      <c r="D162" s="41"/>
      <c r="E162" s="42"/>
      <c r="F162" s="42"/>
      <c r="G162" s="499"/>
      <c r="H162" s="44"/>
      <c r="I162" s="45"/>
      <c r="J162" s="82"/>
      <c r="K162" s="82"/>
      <c r="L162" s="35"/>
      <c r="M162" s="35"/>
      <c r="N162" s="46"/>
      <c r="O162" s="47"/>
      <c r="P162" s="48"/>
      <c r="Q162" s="47"/>
      <c r="R162" s="500"/>
      <c r="S162" s="500"/>
      <c r="T162" s="37"/>
      <c r="U162" s="37"/>
      <c r="V162" s="37"/>
      <c r="W162" s="37"/>
      <c r="X162" s="501"/>
      <c r="Y162" s="211"/>
      <c r="Z162" s="37"/>
      <c r="AA162" s="49"/>
      <c r="AB162" s="49"/>
      <c r="AC162" s="37"/>
      <c r="AD162" s="37"/>
      <c r="AE162" s="229"/>
      <c r="AF162" s="37"/>
      <c r="AG162" s="37"/>
      <c r="AH162" s="37"/>
      <c r="AI162" s="502"/>
      <c r="AJ162" s="37"/>
      <c r="AK162" s="37"/>
      <c r="AL162" s="37"/>
      <c r="AM162" s="37"/>
      <c r="AN162" s="37"/>
      <c r="AO162" s="37"/>
      <c r="AP162" s="37"/>
      <c r="AQ162" s="37"/>
      <c r="AR162" s="37"/>
      <c r="AS162" s="37"/>
      <c r="AT162" s="37"/>
      <c r="AU162" s="37"/>
      <c r="AV162" s="37"/>
      <c r="AW162" s="37"/>
      <c r="AX162" s="37"/>
      <c r="AY162" s="37"/>
      <c r="AZ162" s="37"/>
      <c r="BA162" s="37"/>
      <c r="BB162" s="33"/>
      <c r="BC162" s="51"/>
      <c r="BD162" s="51"/>
      <c r="BE162" s="51"/>
      <c r="BF162" s="51"/>
    </row>
    <row r="163" spans="1:58" ht="12" customHeight="1">
      <c r="A163" s="40">
        <v>45991</v>
      </c>
      <c r="B163" s="41" t="s">
        <v>461</v>
      </c>
      <c r="C163" s="414">
        <f t="shared" ref="C163" si="104">(M163*E163*O163*Q163)/100000000</f>
        <v>44.616499200000007</v>
      </c>
      <c r="D163" s="41" t="s">
        <v>300</v>
      </c>
      <c r="E163" s="42">
        <v>14</v>
      </c>
      <c r="F163" s="42">
        <v>1</v>
      </c>
      <c r="G163" s="499">
        <v>1230</v>
      </c>
      <c r="H163" s="44">
        <f t="shared" ref="H163" si="105">+N163</f>
        <v>0.24</v>
      </c>
      <c r="I163" s="45">
        <v>0.88</v>
      </c>
      <c r="J163" s="82">
        <f t="shared" ref="J163" si="106">E163*G163*(1-H163)*1440/1000000*2.74</f>
        <v>51.636856320000007</v>
      </c>
      <c r="K163" s="82">
        <f t="shared" ref="K163" si="107">(IF(G163&lt;L163,L163,G163)*(1-IF(H163&lt;N163,H163,N163))*E163*O163*Q163)/100000000</f>
        <v>48.998476799999992</v>
      </c>
      <c r="L163" s="35">
        <v>1120</v>
      </c>
      <c r="M163" s="35">
        <v>851.2</v>
      </c>
      <c r="N163" s="46">
        <f t="shared" ref="N163" si="108">1-(M163/L163)</f>
        <v>0.24</v>
      </c>
      <c r="O163" s="47">
        <f>+'Trim Rwd'!H77</f>
        <v>260</v>
      </c>
      <c r="P163" s="48">
        <f t="shared" ref="P163" si="109">O163*(Q163-R163-S163)</f>
        <v>357240</v>
      </c>
      <c r="Q163" s="47">
        <v>1440</v>
      </c>
      <c r="R163" s="500">
        <v>0</v>
      </c>
      <c r="S163" s="500">
        <v>66</v>
      </c>
      <c r="T163" s="37">
        <f t="shared" ref="T163" si="110">E163*M163*O163*Q163/100000000</f>
        <v>44.616499200000007</v>
      </c>
      <c r="U163" s="37">
        <f t="shared" ref="U163" si="111">E163*M163*O163*(Q163-R163-S163)/100000000</f>
        <v>42.571576320000005</v>
      </c>
      <c r="V163" s="37">
        <f t="shared" ref="V163" si="112">E163*G163*(1-N163)*O163/100*(R163+S163)/1000000</f>
        <v>2.2457635200000001</v>
      </c>
      <c r="W163" s="37">
        <f>+'30'!K9/1000</f>
        <v>41.048999999999999</v>
      </c>
      <c r="X163" s="501">
        <f>SUM(W163:W166)/SUM(K163:K166)</f>
        <v>0.83776073626843861</v>
      </c>
      <c r="Y163" s="211">
        <f>+SUM(RBP!AG3:AG4)</f>
        <v>3.7170000000000001</v>
      </c>
      <c r="Z163" s="37">
        <f>+'26'!D51/1000</f>
        <v>0</v>
      </c>
      <c r="AA163" s="49">
        <f>SUM(U163:U166)-SUM(W163:W166)-SUM(Z163:Z166)-SUM(Y163:Y166)</f>
        <v>-2.1944236799999941</v>
      </c>
      <c r="AB163" s="49">
        <f>(SUM(K163:K166)-SUM(W163:W166)-SUM(Y163:Y166)-SUM(Z163:Z166)-SUM(AC163:AC166)-SUM(V163:V166))-AA163</f>
        <v>-0.20084063999999913</v>
      </c>
      <c r="AC163" s="37">
        <f>K163-T163</f>
        <v>4.3819775999999848</v>
      </c>
      <c r="AD163" s="37">
        <f>+AM163+BA163</f>
        <v>9</v>
      </c>
      <c r="AE163" s="229" t="s">
        <v>460</v>
      </c>
      <c r="AF163" s="37">
        <v>9</v>
      </c>
      <c r="AG163" s="37"/>
      <c r="AH163" s="37"/>
      <c r="AI163" s="502"/>
      <c r="AJ163" s="37"/>
      <c r="AK163" s="37"/>
      <c r="AL163" s="37"/>
      <c r="AM163" s="37">
        <f t="shared" ref="AM163:AM165" si="113">SUM(AF163:AL163)+AT163+AV163+AX163</f>
        <v>9</v>
      </c>
      <c r="AN163" s="37"/>
      <c r="AO163" s="37"/>
      <c r="AP163" s="37"/>
      <c r="AQ163" s="37"/>
      <c r="AR163" s="37">
        <f>SUM(AN163:AQ163)</f>
        <v>0</v>
      </c>
      <c r="AS163" s="37"/>
      <c r="AT163" s="37"/>
      <c r="AU163" s="37"/>
      <c r="AV163" s="37"/>
      <c r="AW163" s="37"/>
      <c r="AX163" s="37"/>
      <c r="AY163" s="37"/>
      <c r="AZ163" s="37"/>
      <c r="BA163" s="37">
        <f t="shared" ref="BA163:BA165" si="114">+AR163+AS163+AU163+AW163+AY163+AZ163</f>
        <v>0</v>
      </c>
      <c r="BB163" s="33">
        <v>3</v>
      </c>
      <c r="BC163" s="51"/>
      <c r="BD163" s="51"/>
      <c r="BE163" s="33"/>
      <c r="BF163" s="51"/>
    </row>
    <row r="164" spans="1:58" ht="12.95" customHeight="1">
      <c r="A164" s="40"/>
      <c r="B164" s="41"/>
      <c r="C164" s="414"/>
      <c r="D164" s="41"/>
      <c r="E164" s="42"/>
      <c r="F164" s="42"/>
      <c r="G164" s="499"/>
      <c r="H164" s="44"/>
      <c r="I164" s="45"/>
      <c r="J164" s="82"/>
      <c r="K164" s="82"/>
      <c r="L164" s="35"/>
      <c r="M164" s="35"/>
      <c r="N164" s="46"/>
      <c r="O164" s="47"/>
      <c r="P164" s="48"/>
      <c r="Q164" s="47"/>
      <c r="R164" s="500"/>
      <c r="S164" s="500"/>
      <c r="T164" s="37"/>
      <c r="U164" s="37"/>
      <c r="V164" s="37"/>
      <c r="W164" s="37"/>
      <c r="X164" s="38"/>
      <c r="Y164" s="211"/>
      <c r="Z164" s="37"/>
      <c r="AA164" s="37"/>
      <c r="AB164" s="37"/>
      <c r="AC164" s="37">
        <f>K164-T164</f>
        <v>0</v>
      </c>
      <c r="AD164" s="37">
        <f>+AM164+BA164</f>
        <v>13</v>
      </c>
      <c r="AE164" s="229" t="s">
        <v>591</v>
      </c>
      <c r="AF164" s="37"/>
      <c r="AG164" s="37">
        <v>13</v>
      </c>
      <c r="AH164" s="37"/>
      <c r="AI164" s="502"/>
      <c r="AJ164" s="37"/>
      <c r="AK164" s="37"/>
      <c r="AL164" s="37"/>
      <c r="AM164" s="37">
        <f t="shared" si="113"/>
        <v>13</v>
      </c>
      <c r="AN164" s="83"/>
      <c r="AO164" s="37"/>
      <c r="AP164" s="37"/>
      <c r="AQ164" s="37"/>
      <c r="AR164" s="37">
        <f t="shared" ref="AR164:AR165" si="115">SUM(AN164:AQ164)</f>
        <v>0</v>
      </c>
      <c r="AS164" s="37"/>
      <c r="AT164" s="37"/>
      <c r="AU164" s="37"/>
      <c r="AV164" s="37"/>
      <c r="AW164" s="37"/>
      <c r="AX164" s="37"/>
      <c r="AY164" s="37"/>
      <c r="AZ164" s="37"/>
      <c r="BA164" s="37">
        <f t="shared" si="114"/>
        <v>0</v>
      </c>
      <c r="BB164" s="50"/>
      <c r="BC164" s="51">
        <v>10</v>
      </c>
      <c r="BD164" s="51"/>
      <c r="BE164" s="50"/>
      <c r="BF164" s="51"/>
    </row>
    <row r="165" spans="1:58" ht="12.95" customHeight="1">
      <c r="A165" s="40"/>
      <c r="B165" s="41"/>
      <c r="C165" s="414"/>
      <c r="D165" s="41"/>
      <c r="E165" s="42"/>
      <c r="F165" s="42"/>
      <c r="G165" s="499"/>
      <c r="H165" s="44"/>
      <c r="I165" s="45"/>
      <c r="J165" s="82"/>
      <c r="K165" s="82"/>
      <c r="L165" s="35"/>
      <c r="M165" s="35"/>
      <c r="N165" s="46"/>
      <c r="O165" s="47"/>
      <c r="P165" s="48"/>
      <c r="Q165" s="47"/>
      <c r="R165" s="500"/>
      <c r="S165" s="500"/>
      <c r="T165" s="37"/>
      <c r="U165" s="37"/>
      <c r="V165" s="37"/>
      <c r="W165" s="37"/>
      <c r="X165" s="38"/>
      <c r="Y165" s="211"/>
      <c r="Z165" s="37"/>
      <c r="AA165" s="37"/>
      <c r="AB165" s="37"/>
      <c r="AC165" s="37">
        <f>K165-T165</f>
        <v>0</v>
      </c>
      <c r="AD165" s="37">
        <f>+AM165+BA165</f>
        <v>44</v>
      </c>
      <c r="AE165" s="229" t="s">
        <v>544</v>
      </c>
      <c r="AF165" s="33"/>
      <c r="AG165" s="33"/>
      <c r="AH165" s="33">
        <v>44</v>
      </c>
      <c r="AJ165" s="37"/>
      <c r="AK165" s="37"/>
      <c r="AL165" s="37"/>
      <c r="AM165" s="37">
        <f t="shared" si="113"/>
        <v>44</v>
      </c>
      <c r="AN165" s="37"/>
      <c r="AO165" s="37"/>
      <c r="AP165" s="37"/>
      <c r="AQ165" s="37"/>
      <c r="AR165" s="37">
        <f t="shared" si="115"/>
        <v>0</v>
      </c>
      <c r="AS165" s="37"/>
      <c r="AT165" s="37"/>
      <c r="AU165" s="37"/>
      <c r="AV165" s="37"/>
      <c r="AW165" s="37"/>
      <c r="AX165" s="37"/>
      <c r="AY165" s="37"/>
      <c r="AZ165" s="37"/>
      <c r="BA165" s="37">
        <f t="shared" si="114"/>
        <v>0</v>
      </c>
      <c r="BB165" s="33"/>
      <c r="BC165" s="503"/>
      <c r="BD165" s="503"/>
      <c r="BE165" s="33"/>
      <c r="BF165" s="503"/>
    </row>
    <row r="166" spans="1:58" ht="16.5" customHeight="1">
      <c r="A166" s="40"/>
      <c r="B166" s="41"/>
      <c r="C166" s="414"/>
      <c r="D166" s="41"/>
      <c r="E166" s="42"/>
      <c r="F166" s="42"/>
      <c r="G166" s="499"/>
      <c r="H166" s="44"/>
      <c r="I166" s="45"/>
      <c r="J166" s="82"/>
      <c r="K166" s="82"/>
      <c r="L166" s="35"/>
      <c r="M166" s="35"/>
      <c r="N166" s="46"/>
      <c r="O166" s="47"/>
      <c r="P166" s="48"/>
      <c r="Q166" s="47"/>
      <c r="R166" s="500"/>
      <c r="S166" s="500"/>
      <c r="T166" s="37"/>
      <c r="U166" s="37"/>
      <c r="V166" s="37"/>
      <c r="W166" s="37"/>
      <c r="X166" s="501"/>
      <c r="Y166" s="211"/>
      <c r="Z166" s="37"/>
      <c r="AA166" s="49"/>
      <c r="AB166" s="49"/>
      <c r="AC166" s="37"/>
      <c r="AD166" s="37"/>
      <c r="AE166" s="229"/>
      <c r="AF166" s="37"/>
      <c r="AG166" s="37"/>
      <c r="AH166" s="37"/>
      <c r="AI166" s="502"/>
      <c r="AJ166" s="37"/>
      <c r="AK166" s="37"/>
      <c r="AL166" s="37"/>
      <c r="AM166" s="37"/>
      <c r="AN166" s="37"/>
      <c r="AO166" s="37"/>
      <c r="AP166" s="37"/>
      <c r="AQ166" s="37"/>
      <c r="AR166" s="37"/>
      <c r="AS166" s="37"/>
      <c r="AT166" s="37"/>
      <c r="AU166" s="37"/>
      <c r="AV166" s="37"/>
      <c r="AW166" s="37"/>
      <c r="AX166" s="37"/>
      <c r="AY166" s="37"/>
      <c r="AZ166" s="37"/>
      <c r="BA166" s="37"/>
      <c r="BB166" s="33"/>
      <c r="BC166" s="51"/>
      <c r="BD166" s="51"/>
      <c r="BE166" s="51"/>
      <c r="BF166" s="51"/>
    </row>
    <row r="167" spans="1:58">
      <c r="R167" s="504"/>
      <c r="S167" s="504"/>
      <c r="AA167" s="246">
        <f>U167-W167-Z167</f>
        <v>0</v>
      </c>
      <c r="AB167" s="246"/>
      <c r="AC167" s="247">
        <f>K167-T167</f>
        <v>0</v>
      </c>
      <c r="AD167" s="37"/>
      <c r="AF167" s="52"/>
      <c r="AG167" s="52"/>
      <c r="AH167" s="52"/>
      <c r="AI167" s="52"/>
      <c r="AJ167" s="52"/>
      <c r="AK167" s="52"/>
      <c r="AL167" s="52"/>
      <c r="AM167" s="37">
        <f t="shared" ref="AM167" si="116">SUM(AF167:AL167)</f>
        <v>0</v>
      </c>
      <c r="AN167" s="52"/>
      <c r="AO167" s="52"/>
      <c r="AP167" s="52"/>
      <c r="AQ167" s="52"/>
      <c r="AR167" s="37">
        <f t="shared" ref="AR167" si="117">SUM(AN167:AQ167)</f>
        <v>0</v>
      </c>
      <c r="AS167" s="52"/>
      <c r="AT167" s="52"/>
      <c r="AU167" s="52"/>
      <c r="AV167" s="52"/>
      <c r="AW167" s="52"/>
      <c r="AX167" s="52"/>
      <c r="AY167" s="52"/>
      <c r="AZ167" s="52"/>
      <c r="BA167" s="37"/>
      <c r="BB167" s="33"/>
      <c r="BC167" s="51"/>
      <c r="BD167" s="51"/>
      <c r="BE167" s="51"/>
      <c r="BF167" s="51"/>
    </row>
    <row r="168" spans="1:58" s="27" customFormat="1" ht="12.95" customHeight="1">
      <c r="A168" s="56"/>
      <c r="B168" s="57"/>
      <c r="C168" s="415">
        <f>SUM(C6:C166)</f>
        <v>1271.8564024844818</v>
      </c>
      <c r="D168" s="57"/>
      <c r="E168" s="58"/>
      <c r="F168" s="58"/>
      <c r="G168" s="59"/>
      <c r="H168" s="59"/>
      <c r="I168" s="60">
        <v>0.85</v>
      </c>
      <c r="J168" s="82"/>
      <c r="K168" s="84">
        <f>SUM(K6:K166)</f>
        <v>1333.8945504418539</v>
      </c>
      <c r="L168" s="62"/>
      <c r="M168" s="62"/>
      <c r="N168" s="63"/>
      <c r="O168" s="64">
        <f>P168/(Q168-R168-S168)</f>
        <v>260.14017088214786</v>
      </c>
      <c r="P168" s="61">
        <f>SUM(P6:P166)</f>
        <v>4896098.1561729051</v>
      </c>
      <c r="Q168" s="332">
        <f>SUM(Q6:Q167)</f>
        <v>43200</v>
      </c>
      <c r="R168" s="61">
        <f t="shared" ref="R168:W168" si="118">SUM(R6:R166)</f>
        <v>23388</v>
      </c>
      <c r="S168" s="61">
        <f t="shared" si="118"/>
        <v>991</v>
      </c>
      <c r="T168" s="61">
        <f t="shared" si="118"/>
        <v>1271.8564024844818</v>
      </c>
      <c r="U168" s="61">
        <f t="shared" si="118"/>
        <v>542.75435063668044</v>
      </c>
      <c r="V168" s="356">
        <f t="shared" si="118"/>
        <v>735.62519619105456</v>
      </c>
      <c r="W168" s="446">
        <f t="shared" si="118"/>
        <v>500.22699999999998</v>
      </c>
      <c r="X168" s="495">
        <f>W168/K168</f>
        <v>0.37501240246787071</v>
      </c>
      <c r="Y168" s="357">
        <f>SUM(Y6:Y166)</f>
        <v>3.7170000000000001</v>
      </c>
      <c r="Z168" s="446">
        <f>SUM(Z6:Z166)</f>
        <v>7.9540140315710355</v>
      </c>
      <c r="AA168" s="61">
        <f>SUM(AA6:AA166)</f>
        <v>30.856336605109412</v>
      </c>
      <c r="AB168" s="61">
        <f>SUM(AB6:AB166)</f>
        <v>-6.523144343253092</v>
      </c>
      <c r="AC168" s="61">
        <f>SUM(AC6:AC166)</f>
        <v>62.038147957371919</v>
      </c>
      <c r="AD168" s="37">
        <f>SUM(AD6:AD167)</f>
        <v>24379</v>
      </c>
      <c r="AE168" s="65"/>
      <c r="AF168" s="61">
        <f t="shared" ref="AF168:BF168" si="119">SUM(AF6:AF167)</f>
        <v>257</v>
      </c>
      <c r="AG168" s="61">
        <f t="shared" si="119"/>
        <v>115</v>
      </c>
      <c r="AH168" s="61">
        <f t="shared" si="119"/>
        <v>529</v>
      </c>
      <c r="AI168" s="61">
        <f t="shared" si="119"/>
        <v>0</v>
      </c>
      <c r="AJ168" s="61">
        <f t="shared" si="119"/>
        <v>0</v>
      </c>
      <c r="AK168" s="61">
        <f t="shared" si="119"/>
        <v>90</v>
      </c>
      <c r="AL168" s="61">
        <f t="shared" si="119"/>
        <v>0</v>
      </c>
      <c r="AM168" s="61">
        <f t="shared" si="119"/>
        <v>991</v>
      </c>
      <c r="AN168" s="52">
        <f t="shared" si="119"/>
        <v>107</v>
      </c>
      <c r="AO168" s="52">
        <f t="shared" si="119"/>
        <v>0</v>
      </c>
      <c r="AP168" s="52">
        <f t="shared" si="119"/>
        <v>85</v>
      </c>
      <c r="AQ168" s="52">
        <f t="shared" si="119"/>
        <v>0</v>
      </c>
      <c r="AR168" s="61">
        <f t="shared" si="119"/>
        <v>192</v>
      </c>
      <c r="AS168" s="61">
        <f t="shared" si="119"/>
        <v>0</v>
      </c>
      <c r="AT168" s="61">
        <f t="shared" si="119"/>
        <v>0</v>
      </c>
      <c r="AU168" s="61">
        <f t="shared" si="119"/>
        <v>0</v>
      </c>
      <c r="AV168" s="61">
        <f t="shared" si="119"/>
        <v>0</v>
      </c>
      <c r="AW168" s="61">
        <f t="shared" si="119"/>
        <v>0</v>
      </c>
      <c r="AX168" s="61">
        <f t="shared" si="119"/>
        <v>0</v>
      </c>
      <c r="AY168" s="61">
        <f t="shared" si="119"/>
        <v>0</v>
      </c>
      <c r="AZ168" s="61">
        <f t="shared" si="119"/>
        <v>23196</v>
      </c>
      <c r="BA168" s="61">
        <f t="shared" si="119"/>
        <v>23388</v>
      </c>
      <c r="BB168" s="52">
        <f t="shared" si="119"/>
        <v>89</v>
      </c>
      <c r="BC168" s="52">
        <f t="shared" si="119"/>
        <v>66</v>
      </c>
      <c r="BD168" s="52">
        <f t="shared" si="119"/>
        <v>0</v>
      </c>
      <c r="BE168" s="52">
        <f t="shared" si="119"/>
        <v>0</v>
      </c>
      <c r="BF168" s="52">
        <f t="shared" si="119"/>
        <v>0</v>
      </c>
    </row>
    <row r="169" spans="1:58" s="27" customFormat="1" ht="12.95" customHeight="1">
      <c r="A169" s="56"/>
      <c r="B169" s="57"/>
      <c r="C169" s="57"/>
      <c r="D169" s="57"/>
      <c r="E169" s="58"/>
      <c r="F169" s="58"/>
      <c r="G169" s="59"/>
      <c r="H169" s="59"/>
      <c r="I169" s="59"/>
      <c r="J169" s="85"/>
      <c r="K169" s="85"/>
      <c r="L169" s="62"/>
      <c r="M169" s="62"/>
      <c r="N169" s="63"/>
      <c r="O169" s="693"/>
      <c r="P169" s="694"/>
      <c r="Q169" s="59">
        <f>30*1440-Q168</f>
        <v>0</v>
      </c>
      <c r="R169" s="66">
        <f>R168/Q168</f>
        <v>0.54138888888888892</v>
      </c>
      <c r="S169" s="66">
        <f>S168/Q168</f>
        <v>2.2939814814814816E-2</v>
      </c>
      <c r="T169" s="343"/>
      <c r="U169" s="343"/>
      <c r="V169" s="345">
        <f>V168/K168</f>
        <v>0.55148676928575646</v>
      </c>
      <c r="W169" s="361" t="s">
        <v>169</v>
      </c>
      <c r="X169" s="496">
        <v>0.85</v>
      </c>
      <c r="Y169" s="358">
        <f>Y168/K168</f>
        <v>2.7865770939455E-3</v>
      </c>
      <c r="Z169" s="67">
        <f>Z168/K168</f>
        <v>5.9630006202036441E-3</v>
      </c>
      <c r="AA169" s="67">
        <f>AA168/K168</f>
        <v>2.313251568115952E-2</v>
      </c>
      <c r="AB169" s="67">
        <f>AB168/K168</f>
        <v>-4.8902998674762513E-3</v>
      </c>
      <c r="AC169" s="497">
        <f>AC168/K168</f>
        <v>4.6509034718540322E-2</v>
      </c>
      <c r="AD169" s="346"/>
      <c r="AE169" s="39"/>
      <c r="AF169" s="67">
        <f>AF168/$AD$168*$V$169</f>
        <v>5.8136962019130984E-3</v>
      </c>
      <c r="AG169" s="67">
        <f>AG168/$AD$168*$V$169</f>
        <v>2.6014593899611137E-3</v>
      </c>
      <c r="AH169" s="67">
        <f>AH168/$AD$168*$V$169</f>
        <v>1.1966713193821124E-2</v>
      </c>
      <c r="AI169" s="67">
        <f>AI168/$AD$168*$V$169</f>
        <v>0</v>
      </c>
      <c r="AJ169" s="67">
        <f t="shared" ref="AJ169:BA169" si="120">AJ168/$AD$168*$V$169</f>
        <v>0</v>
      </c>
      <c r="AK169" s="67">
        <f t="shared" si="120"/>
        <v>2.0359247399695671E-3</v>
      </c>
      <c r="AL169" s="67">
        <f t="shared" si="120"/>
        <v>0</v>
      </c>
      <c r="AM169" s="67">
        <f t="shared" si="120"/>
        <v>2.2417793525664902E-2</v>
      </c>
      <c r="AN169" s="67">
        <f t="shared" si="120"/>
        <v>2.4204883019638187E-3</v>
      </c>
      <c r="AO169" s="67">
        <f t="shared" si="120"/>
        <v>0</v>
      </c>
      <c r="AP169" s="67">
        <f t="shared" si="120"/>
        <v>1.9228178099712581E-3</v>
      </c>
      <c r="AQ169" s="67">
        <f t="shared" si="120"/>
        <v>0</v>
      </c>
      <c r="AR169" s="67">
        <f t="shared" si="120"/>
        <v>4.3433061119350766E-3</v>
      </c>
      <c r="AS169" s="67">
        <f t="shared" si="120"/>
        <v>0</v>
      </c>
      <c r="AT169" s="67">
        <f t="shared" si="120"/>
        <v>0</v>
      </c>
      <c r="AU169" s="67">
        <f t="shared" si="120"/>
        <v>0</v>
      </c>
      <c r="AV169" s="67">
        <f>AV168/$AD$168*$V$169</f>
        <v>0</v>
      </c>
      <c r="AW169" s="67">
        <f t="shared" ref="AW169:AZ169" si="121">AW168/$AD$168*$V$169</f>
        <v>0</v>
      </c>
      <c r="AX169" s="67">
        <f t="shared" si="121"/>
        <v>0</v>
      </c>
      <c r="AY169" s="67">
        <f t="shared" si="121"/>
        <v>0</v>
      </c>
      <c r="AZ169" s="67">
        <f t="shared" si="121"/>
        <v>0.52472566964815648</v>
      </c>
      <c r="BA169" s="67">
        <f t="shared" si="120"/>
        <v>0.52906897576009149</v>
      </c>
      <c r="BB169" s="34" t="s">
        <v>168</v>
      </c>
      <c r="BC169" s="34" t="s">
        <v>168</v>
      </c>
      <c r="BD169" s="34" t="s">
        <v>397</v>
      </c>
      <c r="BE169" s="34" t="s">
        <v>397</v>
      </c>
      <c r="BF169" s="34" t="s">
        <v>397</v>
      </c>
    </row>
    <row r="170" spans="1:58" ht="12.95" customHeight="1">
      <c r="A170" s="56"/>
      <c r="B170" s="57"/>
      <c r="C170" s="57"/>
      <c r="D170" s="57"/>
      <c r="E170" s="58"/>
      <c r="F170" s="58"/>
      <c r="G170" s="34"/>
      <c r="H170" s="34"/>
      <c r="I170" s="34"/>
      <c r="J170" s="82"/>
      <c r="K170" s="82"/>
      <c r="L170" s="35"/>
      <c r="M170" s="35"/>
      <c r="N170" s="33"/>
      <c r="O170" s="36"/>
      <c r="P170" s="28"/>
      <c r="Q170" s="34"/>
      <c r="R170" s="37">
        <f>R168-(BA168)</f>
        <v>0</v>
      </c>
      <c r="S170" s="37">
        <f>S168-SUM(AF168:AL168)</f>
        <v>0</v>
      </c>
      <c r="T170" s="33"/>
      <c r="U170" s="33"/>
      <c r="V170" s="33"/>
      <c r="W170" s="359"/>
      <c r="X170" s="360"/>
      <c r="Y170" s="68">
        <f>+Y168-(SUM(RBP!AG3:AG4))</f>
        <v>0</v>
      </c>
      <c r="Z170" s="37"/>
      <c r="AA170" s="33"/>
      <c r="AB170" s="33"/>
      <c r="AC170" s="33"/>
      <c r="AD170" s="33"/>
      <c r="AE170" s="39"/>
      <c r="AF170" s="333"/>
      <c r="AG170" s="333"/>
      <c r="AH170" s="333"/>
      <c r="AI170" s="333"/>
      <c r="AJ170" s="77"/>
      <c r="AK170" s="77"/>
      <c r="AL170" s="77"/>
      <c r="AM170" s="77"/>
      <c r="AN170" s="77"/>
      <c r="AO170" s="77"/>
      <c r="AP170" s="77"/>
      <c r="AQ170" s="77"/>
      <c r="AR170" s="77"/>
      <c r="AS170" s="77"/>
      <c r="AT170" s="77"/>
      <c r="AU170" s="77"/>
      <c r="AV170" s="77"/>
      <c r="AW170" s="77"/>
      <c r="AX170" s="77"/>
      <c r="AY170" s="77"/>
      <c r="AZ170" s="77"/>
      <c r="BA170" s="77"/>
      <c r="BB170" s="505">
        <f>BB168/($Q$168/1440)/2</f>
        <v>1.4833333333333334</v>
      </c>
      <c r="BC170" s="505">
        <f>BC168/($Q$168/1440)/2</f>
        <v>1.1000000000000001</v>
      </c>
      <c r="BD170" s="505">
        <f>BD168/($Q$168/1440)</f>
        <v>0</v>
      </c>
      <c r="BE170" s="505">
        <f t="shared" ref="BE170:BF170" si="122">BE168/($Q$168/1440)</f>
        <v>0</v>
      </c>
      <c r="BF170" s="505">
        <f t="shared" si="122"/>
        <v>0</v>
      </c>
    </row>
    <row r="171" spans="1:58">
      <c r="A171" s="69"/>
      <c r="B171" s="70"/>
      <c r="C171" s="70"/>
      <c r="D171" s="70"/>
      <c r="E171" s="71"/>
      <c r="F171" s="71"/>
      <c r="G171" s="72"/>
      <c r="H171" s="72"/>
      <c r="I171" s="72"/>
      <c r="J171" s="86"/>
      <c r="K171" s="86"/>
      <c r="O171" s="73"/>
      <c r="P171" s="74"/>
      <c r="Q171" s="72"/>
      <c r="R171" s="53"/>
      <c r="S171" s="53"/>
      <c r="U171" s="75"/>
      <c r="V171" s="75"/>
      <c r="W171" s="76" t="s">
        <v>118</v>
      </c>
      <c r="X171" s="498">
        <f>W168/U168</f>
        <v>0.92164530678235268</v>
      </c>
      <c r="Y171" s="498"/>
      <c r="Z171" s="53"/>
      <c r="AD171" s="83"/>
      <c r="AE171" s="78"/>
      <c r="AF171" s="79"/>
      <c r="AG171" s="79"/>
      <c r="AH171" s="79"/>
      <c r="AI171" s="79"/>
      <c r="AJ171" s="79"/>
      <c r="AK171" s="79"/>
      <c r="AL171" s="79"/>
      <c r="AM171" s="79"/>
      <c r="AN171" s="77"/>
      <c r="AO171" s="77"/>
      <c r="AP171" s="77"/>
      <c r="AQ171" s="77"/>
      <c r="AR171" s="77"/>
      <c r="AS171" s="79"/>
      <c r="AT171" s="79"/>
      <c r="AU171" s="79"/>
      <c r="AV171" s="79"/>
      <c r="AW171" s="79"/>
      <c r="AX171" s="79"/>
      <c r="AY171" s="79"/>
      <c r="AZ171" s="79"/>
      <c r="BA171" s="77"/>
      <c r="BB171" s="27"/>
      <c r="BC171" s="77"/>
      <c r="BD171" s="77"/>
      <c r="BE171" s="27"/>
      <c r="BF171" s="77"/>
    </row>
    <row r="172" spans="1:58">
      <c r="A172" s="69"/>
      <c r="B172" s="70"/>
      <c r="C172" s="70"/>
      <c r="D172" s="70"/>
      <c r="E172" s="71"/>
      <c r="F172" s="71"/>
      <c r="G172" s="72"/>
      <c r="H172" s="72"/>
      <c r="I172" s="72"/>
      <c r="J172" s="86"/>
      <c r="K172" s="86"/>
      <c r="O172" s="73"/>
      <c r="P172" s="74"/>
      <c r="Q172" s="72"/>
      <c r="R172" s="53"/>
      <c r="S172" s="53"/>
      <c r="U172" s="75"/>
      <c r="V172" s="75"/>
      <c r="W172" s="76"/>
      <c r="X172" s="77"/>
      <c r="Y172" s="77"/>
      <c r="Z172" s="53"/>
      <c r="AA172" s="89"/>
      <c r="AB172" s="89"/>
      <c r="AD172" s="83"/>
      <c r="AE172" s="78"/>
      <c r="AF172" s="79"/>
      <c r="AG172" s="79"/>
      <c r="AH172" s="79"/>
      <c r="AI172" s="79"/>
      <c r="AJ172" s="79"/>
      <c r="AK172" s="79"/>
      <c r="AL172" s="79"/>
      <c r="AM172" s="79"/>
      <c r="AN172" s="79"/>
      <c r="AO172" s="77"/>
      <c r="AP172" s="77"/>
      <c r="AQ172" s="77"/>
      <c r="AR172" s="79"/>
      <c r="AS172" s="77"/>
      <c r="AT172" s="77"/>
      <c r="AU172" s="77"/>
      <c r="AV172" s="77"/>
      <c r="AW172" s="77"/>
      <c r="AX172" s="77"/>
      <c r="AY172" s="77"/>
      <c r="AZ172" s="77"/>
      <c r="BA172" s="77"/>
      <c r="BB172" s="27"/>
      <c r="BC172" s="77"/>
      <c r="BD172" s="77"/>
      <c r="BE172" s="27"/>
      <c r="BF172" s="77"/>
    </row>
    <row r="173" spans="1:58">
      <c r="A173" s="69"/>
      <c r="B173" s="70"/>
      <c r="C173" s="70"/>
      <c r="D173" s="70"/>
      <c r="E173" s="71"/>
      <c r="F173" s="71"/>
      <c r="G173" s="72"/>
      <c r="H173" s="72"/>
      <c r="I173" s="72"/>
      <c r="J173" s="86"/>
      <c r="K173" s="86"/>
      <c r="O173" s="73"/>
      <c r="P173" s="74"/>
      <c r="Q173" s="72"/>
      <c r="R173" s="344"/>
      <c r="S173" s="53"/>
      <c r="U173" s="75"/>
      <c r="V173" s="75"/>
      <c r="W173" s="76" t="s">
        <v>142</v>
      </c>
      <c r="X173" s="333">
        <f>+W168+Y168</f>
        <v>503.94399999999996</v>
      </c>
      <c r="Y173" s="77"/>
      <c r="Z173" s="53"/>
      <c r="AD173" s="83"/>
      <c r="AE173" s="78"/>
      <c r="AF173" s="83"/>
      <c r="AG173" s="83"/>
      <c r="AH173" s="83"/>
      <c r="AI173" s="83"/>
      <c r="AJ173" s="77"/>
      <c r="AK173" s="77"/>
      <c r="AL173" s="77"/>
      <c r="AM173" s="79"/>
      <c r="AN173" s="77"/>
      <c r="AO173" s="77"/>
      <c r="AP173" s="77"/>
      <c r="AQ173" s="77"/>
      <c r="AR173" s="79"/>
      <c r="AS173" s="77"/>
      <c r="AT173" s="77"/>
      <c r="AU173" s="77"/>
      <c r="AV173" s="77"/>
      <c r="AW173" s="77"/>
      <c r="AX173" s="77"/>
      <c r="AY173" s="77"/>
      <c r="AZ173" s="77"/>
      <c r="BA173" s="77"/>
      <c r="BB173" s="27"/>
      <c r="BC173" s="77"/>
      <c r="BD173" s="77"/>
      <c r="BE173" s="27"/>
      <c r="BF173" s="77"/>
    </row>
    <row r="174" spans="1:58">
      <c r="A174" s="69"/>
      <c r="C174" s="70" t="s">
        <v>296</v>
      </c>
      <c r="D174" s="70"/>
      <c r="E174" s="71"/>
      <c r="F174" s="71"/>
      <c r="G174" s="72"/>
      <c r="H174" s="72"/>
      <c r="I174" s="72"/>
      <c r="J174" s="86"/>
      <c r="K174" s="86"/>
      <c r="O174" s="73"/>
      <c r="P174" s="74"/>
      <c r="Q174" s="72"/>
      <c r="R174" s="344"/>
      <c r="S174" s="53"/>
      <c r="U174" s="75"/>
      <c r="V174" s="354"/>
      <c r="W174" s="355"/>
      <c r="X174" s="349"/>
      <c r="Y174" s="355"/>
      <c r="Z174" s="349"/>
      <c r="AD174" s="342"/>
      <c r="AE174" s="78"/>
      <c r="AF174" s="342"/>
      <c r="AG174" s="342"/>
      <c r="AH174" s="342"/>
      <c r="AI174" s="342"/>
      <c r="AJ174" s="77"/>
      <c r="AK174" s="77"/>
      <c r="AL174" s="77"/>
      <c r="AM174" s="77"/>
      <c r="AN174" s="77"/>
      <c r="AO174" s="77"/>
      <c r="AP174" s="77"/>
      <c r="AQ174" s="77"/>
      <c r="AR174" s="77"/>
      <c r="AS174" s="77"/>
      <c r="AT174" s="77"/>
      <c r="AU174" s="77"/>
      <c r="AV174" s="77"/>
      <c r="AW174" s="77"/>
      <c r="AX174" s="77"/>
      <c r="AY174" s="77"/>
      <c r="AZ174" s="77"/>
      <c r="BA174" s="77"/>
      <c r="BB174" s="27"/>
      <c r="BC174" s="77"/>
      <c r="BD174" s="77"/>
      <c r="BE174" s="27"/>
      <c r="BF174" s="77"/>
    </row>
    <row r="175" spans="1:58">
      <c r="A175" s="69"/>
      <c r="B175" s="70"/>
      <c r="C175" s="70" t="s">
        <v>297</v>
      </c>
      <c r="D175" s="70"/>
      <c r="E175" s="71"/>
      <c r="F175" s="71"/>
      <c r="G175" s="72"/>
      <c r="H175" s="72"/>
      <c r="I175" s="72"/>
      <c r="J175" s="86"/>
      <c r="K175" s="86"/>
      <c r="O175" s="73"/>
      <c r="P175" s="74"/>
      <c r="Q175" s="72"/>
      <c r="R175" s="344"/>
      <c r="S175" s="53"/>
      <c r="V175" s="347"/>
      <c r="W175" s="348" t="s">
        <v>303</v>
      </c>
      <c r="X175" s="347"/>
      <c r="Y175" s="347"/>
      <c r="Z175" s="349"/>
      <c r="AE175" s="78"/>
      <c r="AF175" s="53"/>
      <c r="AG175" s="53"/>
      <c r="AH175" s="53"/>
      <c r="AI175" s="53"/>
      <c r="AJ175" s="53"/>
      <c r="AK175" s="53"/>
      <c r="AL175" s="53"/>
      <c r="AM175" s="53"/>
      <c r="AN175" s="53"/>
      <c r="AO175" s="53"/>
      <c r="AP175" s="53"/>
      <c r="AQ175" s="53"/>
      <c r="AS175" s="53"/>
      <c r="AT175" s="53"/>
      <c r="AU175" s="53"/>
      <c r="AV175" s="53"/>
      <c r="AW175" s="53"/>
      <c r="AX175" s="53"/>
      <c r="AY175" s="53"/>
      <c r="AZ175" s="53"/>
      <c r="BA175" s="53"/>
      <c r="BB175" s="27"/>
      <c r="BE175" s="27"/>
    </row>
    <row r="176" spans="1:58">
      <c r="A176" s="69"/>
      <c r="B176" s="70"/>
      <c r="C176" s="70"/>
      <c r="D176" s="70"/>
      <c r="E176" s="71"/>
      <c r="F176" s="71"/>
      <c r="G176" s="72"/>
      <c r="H176" s="72"/>
      <c r="I176" s="72"/>
      <c r="J176" s="86"/>
      <c r="K176" s="86"/>
      <c r="O176" s="73"/>
      <c r="P176" s="74"/>
      <c r="Q176" s="72"/>
      <c r="R176" s="344"/>
      <c r="S176" s="53"/>
      <c r="V176" s="347"/>
      <c r="W176" s="350" t="s">
        <v>292</v>
      </c>
      <c r="X176" s="506">
        <f>Y169</f>
        <v>2.7865770939455E-3</v>
      </c>
      <c r="Y176" s="351"/>
      <c r="Z176" s="349"/>
      <c r="AE176" s="78"/>
      <c r="AF176" s="53"/>
      <c r="AG176" s="53"/>
      <c r="AH176" s="53"/>
      <c r="AI176" s="53"/>
      <c r="AJ176" s="53"/>
      <c r="AK176" s="53"/>
      <c r="AL176" s="53"/>
      <c r="AM176" s="53"/>
      <c r="AN176" s="53"/>
      <c r="AO176" s="53"/>
      <c r="AP176" s="53"/>
      <c r="AQ176" s="53"/>
      <c r="AS176" s="53"/>
      <c r="AT176" s="53"/>
      <c r="AU176" s="53"/>
      <c r="AV176" s="53"/>
      <c r="AW176" s="53"/>
      <c r="AX176" s="53"/>
      <c r="AY176" s="53"/>
      <c r="AZ176" s="53"/>
      <c r="BA176" s="53"/>
      <c r="BB176" s="27"/>
      <c r="BE176" s="27"/>
    </row>
    <row r="177" spans="18:26">
      <c r="R177" s="89"/>
      <c r="V177" s="347"/>
      <c r="W177" s="350" t="s">
        <v>148</v>
      </c>
      <c r="X177" s="353">
        <f>Z169</f>
        <v>5.9630006202036441E-3</v>
      </c>
      <c r="Y177" s="352"/>
      <c r="Z177" s="347"/>
    </row>
    <row r="178" spans="18:26">
      <c r="R178" s="89"/>
      <c r="V178" s="347"/>
      <c r="W178" s="350" t="s">
        <v>149</v>
      </c>
      <c r="X178" s="353">
        <f>AC169</f>
        <v>4.6509034718540322E-2</v>
      </c>
      <c r="Y178" s="353"/>
      <c r="Z178" s="347"/>
    </row>
    <row r="179" spans="18:26">
      <c r="R179" s="89"/>
      <c r="V179" s="347"/>
      <c r="W179" s="350" t="s">
        <v>150</v>
      </c>
      <c r="X179" s="353">
        <f>AA169</f>
        <v>2.313251568115952E-2</v>
      </c>
      <c r="Y179" s="352"/>
      <c r="Z179" s="347"/>
    </row>
    <row r="180" spans="18:26">
      <c r="V180" s="347"/>
      <c r="W180" s="350" t="s">
        <v>166</v>
      </c>
      <c r="X180" s="353">
        <f>AB169</f>
        <v>-4.8902998674762513E-3</v>
      </c>
      <c r="Y180" s="352" t="s">
        <v>164</v>
      </c>
      <c r="Z180" s="347"/>
    </row>
    <row r="181" spans="18:26">
      <c r="V181" s="347"/>
      <c r="W181" s="350" t="s">
        <v>220</v>
      </c>
      <c r="X181" s="353">
        <f>AF169</f>
        <v>5.8136962019130984E-3</v>
      </c>
      <c r="Y181" s="352"/>
      <c r="Z181" s="347"/>
    </row>
    <row r="182" spans="18:26">
      <c r="V182" s="347"/>
      <c r="W182" s="350" t="s">
        <v>221</v>
      </c>
      <c r="X182" s="353">
        <f>+AG169</f>
        <v>2.6014593899611137E-3</v>
      </c>
      <c r="Y182" s="352"/>
      <c r="Z182" s="347"/>
    </row>
    <row r="183" spans="18:26">
      <c r="V183" s="347"/>
      <c r="W183" s="350" t="s">
        <v>298</v>
      </c>
      <c r="X183" s="353">
        <f>+AH169</f>
        <v>1.1966713193821124E-2</v>
      </c>
      <c r="Y183" s="352"/>
      <c r="Z183" s="347"/>
    </row>
    <row r="184" spans="18:26">
      <c r="V184" s="347"/>
      <c r="W184" s="350" t="s">
        <v>222</v>
      </c>
      <c r="X184" s="353">
        <f>+AI169</f>
        <v>0</v>
      </c>
      <c r="Y184" s="352"/>
      <c r="Z184" s="347"/>
    </row>
    <row r="185" spans="18:26">
      <c r="V185" s="347"/>
      <c r="W185" s="350" t="s">
        <v>157</v>
      </c>
      <c r="X185" s="353">
        <f>+AJ169</f>
        <v>0</v>
      </c>
      <c r="Y185" s="352"/>
      <c r="Z185" s="347"/>
    </row>
    <row r="186" spans="18:26">
      <c r="V186" s="347"/>
      <c r="W186" s="350" t="s">
        <v>159</v>
      </c>
      <c r="X186" s="353">
        <f>+AK169</f>
        <v>2.0359247399695671E-3</v>
      </c>
      <c r="Y186" s="352"/>
      <c r="Z186" s="347"/>
    </row>
    <row r="187" spans="18:26">
      <c r="V187" s="347"/>
      <c r="W187" s="350" t="s">
        <v>158</v>
      </c>
      <c r="X187" s="353">
        <f>+AL169</f>
        <v>0</v>
      </c>
      <c r="Y187" s="352"/>
      <c r="Z187" s="347"/>
    </row>
    <row r="188" spans="18:26">
      <c r="V188" s="347"/>
      <c r="W188" s="350" t="s">
        <v>151</v>
      </c>
      <c r="X188" s="353">
        <f>+AN169</f>
        <v>2.4204883019638187E-3</v>
      </c>
      <c r="Y188" s="352"/>
      <c r="Z188" s="347"/>
    </row>
    <row r="189" spans="18:26">
      <c r="V189" s="347"/>
      <c r="W189" s="350" t="s">
        <v>161</v>
      </c>
      <c r="X189" s="353">
        <f>+AO169</f>
        <v>0</v>
      </c>
      <c r="Y189" s="352"/>
      <c r="Z189" s="347"/>
    </row>
    <row r="190" spans="18:26">
      <c r="V190" s="347"/>
      <c r="W190" s="350" t="s">
        <v>152</v>
      </c>
      <c r="X190" s="353">
        <f>+AP169</f>
        <v>1.9228178099712581E-3</v>
      </c>
      <c r="Y190" s="352"/>
      <c r="Z190" s="347"/>
    </row>
    <row r="191" spans="18:26">
      <c r="V191" s="347"/>
      <c r="W191" s="350" t="s">
        <v>160</v>
      </c>
      <c r="X191" s="353">
        <f>+AQ169</f>
        <v>0</v>
      </c>
      <c r="Y191" s="352"/>
      <c r="Z191" s="347"/>
    </row>
    <row r="192" spans="18:26">
      <c r="V192" s="347"/>
      <c r="W192" s="350" t="s">
        <v>163</v>
      </c>
      <c r="X192" s="353">
        <f>+AS169</f>
        <v>0</v>
      </c>
      <c r="Y192" s="352"/>
      <c r="Z192" s="347"/>
    </row>
    <row r="193" spans="22:26">
      <c r="V193" s="347"/>
      <c r="W193" s="350" t="s">
        <v>299</v>
      </c>
      <c r="X193" s="353">
        <f>+AT169</f>
        <v>0</v>
      </c>
      <c r="Y193" s="352"/>
      <c r="Z193" s="347"/>
    </row>
    <row r="194" spans="22:26">
      <c r="V194" s="347"/>
      <c r="W194" s="350" t="s">
        <v>235</v>
      </c>
      <c r="X194" s="353">
        <f>+AU169</f>
        <v>0</v>
      </c>
      <c r="Y194" s="352"/>
      <c r="Z194" s="347"/>
    </row>
    <row r="195" spans="22:26">
      <c r="V195" s="347"/>
      <c r="W195" s="350" t="s">
        <v>305</v>
      </c>
      <c r="X195" s="353">
        <f>+AW169</f>
        <v>0</v>
      </c>
      <c r="Y195" s="352"/>
      <c r="Z195" s="347"/>
    </row>
    <row r="196" spans="22:26">
      <c r="V196" s="347"/>
      <c r="W196" s="350" t="s">
        <v>306</v>
      </c>
      <c r="X196" s="353">
        <f>+AV169</f>
        <v>0</v>
      </c>
      <c r="Y196" s="352"/>
      <c r="Z196" s="347"/>
    </row>
    <row r="197" spans="22:26">
      <c r="V197" s="347"/>
      <c r="W197" s="347" t="s">
        <v>162</v>
      </c>
      <c r="X197" s="353">
        <f>+AX169+AY169</f>
        <v>0</v>
      </c>
      <c r="Y197" s="353"/>
      <c r="Z197" s="347"/>
    </row>
    <row r="198" spans="22:26">
      <c r="V198" s="347"/>
      <c r="W198" s="347" t="s">
        <v>304</v>
      </c>
      <c r="X198" s="353">
        <f>+AZ169</f>
        <v>0.52472566964815648</v>
      </c>
      <c r="Y198" s="347"/>
      <c r="Z198" s="347"/>
    </row>
    <row r="199" spans="22:26">
      <c r="V199" s="347"/>
      <c r="W199" s="347"/>
      <c r="X199" s="519">
        <f>SUM(X176:X198)</f>
        <v>0.62498759753212918</v>
      </c>
      <c r="Y199" s="347"/>
      <c r="Z199" s="347"/>
    </row>
    <row r="202" spans="22:26">
      <c r="X202" s="89">
        <f>+X199+X168</f>
        <v>0.99999999999999989</v>
      </c>
    </row>
  </sheetData>
  <mergeCells count="50">
    <mergeCell ref="AJ4:AJ5"/>
    <mergeCell ref="V3:V5"/>
    <mergeCell ref="U3:U5"/>
    <mergeCell ref="AV3:AW3"/>
    <mergeCell ref="AX3:AY3"/>
    <mergeCell ref="AN3:AR3"/>
    <mergeCell ref="AS3:AS5"/>
    <mergeCell ref="AQ4:AQ5"/>
    <mergeCell ref="AZ3:AZ5"/>
    <mergeCell ref="O169:P169"/>
    <mergeCell ref="BA3:BA5"/>
    <mergeCell ref="AT3:AU4"/>
    <mergeCell ref="P3:P5"/>
    <mergeCell ref="AK4:AK5"/>
    <mergeCell ref="AA3:AA5"/>
    <mergeCell ref="AL4:AL5"/>
    <mergeCell ref="AM3:AM5"/>
    <mergeCell ref="Q3:Q5"/>
    <mergeCell ref="AC3:AC5"/>
    <mergeCell ref="AE3:AE5"/>
    <mergeCell ref="AD3:AD5"/>
    <mergeCell ref="AF3:AL3"/>
    <mergeCell ref="AO4:AO5"/>
    <mergeCell ref="AR4:AR5"/>
    <mergeCell ref="A3:A5"/>
    <mergeCell ref="B3:B5"/>
    <mergeCell ref="D3:D5"/>
    <mergeCell ref="E3:E5"/>
    <mergeCell ref="F3:F5"/>
    <mergeCell ref="G3:K4"/>
    <mergeCell ref="C3:C5"/>
    <mergeCell ref="L3:N4"/>
    <mergeCell ref="O3:O5"/>
    <mergeCell ref="R3:R5"/>
    <mergeCell ref="BD3:BD5"/>
    <mergeCell ref="BE3:BE5"/>
    <mergeCell ref="BF3:BF5"/>
    <mergeCell ref="S3:S5"/>
    <mergeCell ref="T3:T5"/>
    <mergeCell ref="AF4:AH4"/>
    <mergeCell ref="W3:W5"/>
    <mergeCell ref="X3:X5"/>
    <mergeCell ref="Z3:Z5"/>
    <mergeCell ref="Y3:Y5"/>
    <mergeCell ref="AI4:AI5"/>
    <mergeCell ref="AB3:AB5"/>
    <mergeCell ref="BB3:BB5"/>
    <mergeCell ref="BC3:BC5"/>
    <mergeCell ref="AN4:AN5"/>
    <mergeCell ref="AP4:AP5"/>
  </mergeCells>
  <phoneticPr fontId="32" type="noConversion"/>
  <conditionalFormatting sqref="B6:C6 B8:C8 B59:C59 B77:C77 B158:C158 C169 B10:C10 C167 B167:B169">
    <cfRule type="cellIs" dxfId="1301" priority="1701" stopIfTrue="1" operator="equal">
      <formula>"Towel"</formula>
    </cfRule>
    <cfRule type="cellIs" dxfId="1300" priority="1702" stopIfTrue="1" operator="equal">
      <formula>"Napkin Hs"</formula>
    </cfRule>
  </conditionalFormatting>
  <conditionalFormatting sqref="B7:C7">
    <cfRule type="cellIs" dxfId="1299" priority="1241" stopIfTrue="1" operator="equal">
      <formula>"Towel"</formula>
    </cfRule>
    <cfRule type="cellIs" dxfId="1298" priority="1242" stopIfTrue="1" operator="equal">
      <formula>"Napkin Hs"</formula>
    </cfRule>
  </conditionalFormatting>
  <conditionalFormatting sqref="B11:C11">
    <cfRule type="cellIs" dxfId="1297" priority="1235" stopIfTrue="1" operator="equal">
      <formula>"Towel"</formula>
    </cfRule>
    <cfRule type="cellIs" dxfId="1296" priority="1236" stopIfTrue="1" operator="equal">
      <formula>"Napkin Hs"</formula>
    </cfRule>
  </conditionalFormatting>
  <conditionalFormatting sqref="B17:C17">
    <cfRule type="cellIs" dxfId="1295" priority="1259" stopIfTrue="1" operator="equal">
      <formula>"Towel"</formula>
    </cfRule>
    <cfRule type="cellIs" dxfId="1294" priority="1260" stopIfTrue="1" operator="equal">
      <formula>"Napkin Hs"</formula>
    </cfRule>
  </conditionalFormatting>
  <conditionalFormatting sqref="B65:C65">
    <cfRule type="cellIs" dxfId="1293" priority="1545" stopIfTrue="1" operator="equal">
      <formula>"Towel"</formula>
    </cfRule>
    <cfRule type="cellIs" dxfId="1292" priority="1546" stopIfTrue="1" operator="equal">
      <formula>"Napkin Hs"</formula>
    </cfRule>
  </conditionalFormatting>
  <conditionalFormatting sqref="C71">
    <cfRule type="cellIs" dxfId="1291" priority="1511" stopIfTrue="1" operator="equal">
      <formula>"Towel"</formula>
    </cfRule>
    <cfRule type="cellIs" dxfId="1290" priority="1512" stopIfTrue="1" operator="equal">
      <formula>"Napkin Hs"</formula>
    </cfRule>
  </conditionalFormatting>
  <conditionalFormatting sqref="B71:C71">
    <cfRule type="cellIs" dxfId="1289" priority="1519" stopIfTrue="1" operator="equal">
      <formula>"Towel"</formula>
    </cfRule>
    <cfRule type="cellIs" dxfId="1288" priority="1520" stopIfTrue="1" operator="equal">
      <formula>"Napkin Hs"</formula>
    </cfRule>
  </conditionalFormatting>
  <conditionalFormatting sqref="C6 C8 C59 C77 C158 C10">
    <cfRule type="cellIs" dxfId="1287" priority="1700" stopIfTrue="1" operator="equal">
      <formula>"Napkin Hs"</formula>
    </cfRule>
  </conditionalFormatting>
  <conditionalFormatting sqref="C6:C8 C10">
    <cfRule type="cellIs" dxfId="1286" priority="1239" stopIfTrue="1" operator="equal">
      <formula>"Towel"</formula>
    </cfRule>
    <cfRule type="cellIs" dxfId="1285" priority="1240" stopIfTrue="1" operator="equal">
      <formula>"Napkin Hs"</formula>
    </cfRule>
  </conditionalFormatting>
  <conditionalFormatting sqref="C7">
    <cfRule type="cellIs" dxfId="1284" priority="1237" stopIfTrue="1" operator="equal">
      <formula>"Towel"</formula>
    </cfRule>
    <cfRule type="cellIs" dxfId="1283" priority="1238" stopIfTrue="1" operator="equal">
      <formula>"Napkin Hs"</formula>
    </cfRule>
  </conditionalFormatting>
  <conditionalFormatting sqref="C11 C17">
    <cfRule type="cellIs" dxfId="1282" priority="1233" stopIfTrue="1" operator="equal">
      <formula>"Towel"</formula>
    </cfRule>
    <cfRule type="cellIs" dxfId="1281" priority="1234" stopIfTrue="1" operator="equal">
      <formula>"Napkin Hs"</formula>
    </cfRule>
  </conditionalFormatting>
  <conditionalFormatting sqref="C11">
    <cfRule type="cellIs" dxfId="1280" priority="1227" stopIfTrue="1" operator="equal">
      <formula>"Towel"</formula>
    </cfRule>
    <cfRule type="cellIs" dxfId="1279" priority="1228" stopIfTrue="1" operator="equal">
      <formula>"Napkin Hs"</formula>
    </cfRule>
  </conditionalFormatting>
  <conditionalFormatting sqref="C17">
    <cfRule type="cellIs" dxfId="1278" priority="1257" stopIfTrue="1" operator="equal">
      <formula>"Towel"</formula>
    </cfRule>
    <cfRule type="cellIs" dxfId="1277" priority="1258" stopIfTrue="1" operator="equal">
      <formula>"Napkin Hs"</formula>
    </cfRule>
  </conditionalFormatting>
  <conditionalFormatting sqref="C59 C77 C158 C6 C8 C10">
    <cfRule type="cellIs" dxfId="1276" priority="1699" stopIfTrue="1" operator="equal">
      <formula>"Towel"</formula>
    </cfRule>
  </conditionalFormatting>
  <conditionalFormatting sqref="C59">
    <cfRule type="cellIs" dxfId="1275" priority="1561" stopIfTrue="1" operator="equal">
      <formula>"Towel"</formula>
    </cfRule>
    <cfRule type="cellIs" dxfId="1274" priority="1562" stopIfTrue="1" operator="equal">
      <formula>"Napkin Hs"</formula>
    </cfRule>
  </conditionalFormatting>
  <conditionalFormatting sqref="C77">
    <cfRule type="cellIs" dxfId="1273" priority="1505" stopIfTrue="1" operator="equal">
      <formula>"Towel"</formula>
    </cfRule>
    <cfRule type="cellIs" dxfId="1272" priority="1506" stopIfTrue="1" operator="equal">
      <formula>"Napkin Hs"</formula>
    </cfRule>
  </conditionalFormatting>
  <conditionalFormatting sqref="C65">
    <cfRule type="cellIs" dxfId="1271" priority="1543" stopIfTrue="1" operator="equal">
      <formula>"Towel"</formula>
    </cfRule>
    <cfRule type="cellIs" dxfId="1270" priority="1544" stopIfTrue="1" operator="equal">
      <formula>"Napkin Hs"</formula>
    </cfRule>
  </conditionalFormatting>
  <conditionalFormatting sqref="C65">
    <cfRule type="cellIs" dxfId="1269" priority="1537" stopIfTrue="1" operator="equal">
      <formula>"Towel"</formula>
    </cfRule>
    <cfRule type="cellIs" dxfId="1268" priority="1538" stopIfTrue="1" operator="equal">
      <formula>"Napkin Hs"</formula>
    </cfRule>
  </conditionalFormatting>
  <conditionalFormatting sqref="C71">
    <cfRule type="cellIs" dxfId="1267" priority="1517" stopIfTrue="1" operator="equal">
      <formula>"Towel"</formula>
    </cfRule>
    <cfRule type="cellIs" dxfId="1266" priority="1518" stopIfTrue="1" operator="equal">
      <formula>"Napkin Hs"</formula>
    </cfRule>
  </conditionalFormatting>
  <conditionalFormatting sqref="C158">
    <cfRule type="cellIs" dxfId="1265" priority="1283" stopIfTrue="1" operator="equal">
      <formula>"Towel"</formula>
    </cfRule>
    <cfRule type="cellIs" dxfId="1264" priority="1284" stopIfTrue="1" operator="equal">
      <formula>"Napkin Hs"</formula>
    </cfRule>
  </conditionalFormatting>
  <conditionalFormatting sqref="B9:C9">
    <cfRule type="cellIs" dxfId="1263" priority="1213" stopIfTrue="1" operator="equal">
      <formula>"Towel"</formula>
    </cfRule>
    <cfRule type="cellIs" dxfId="1262" priority="1214" stopIfTrue="1" operator="equal">
      <formula>"Napkin Hs"</formula>
    </cfRule>
  </conditionalFormatting>
  <conditionalFormatting sqref="C9">
    <cfRule type="cellIs" dxfId="1261" priority="1209" stopIfTrue="1" operator="equal">
      <formula>"Towel"</formula>
    </cfRule>
    <cfRule type="cellIs" dxfId="1260" priority="1210" stopIfTrue="1" operator="equal">
      <formula>"Napkin Hs"</formula>
    </cfRule>
  </conditionalFormatting>
  <conditionalFormatting sqref="C9">
    <cfRule type="cellIs" dxfId="1259" priority="1212" stopIfTrue="1" operator="equal">
      <formula>"Napkin Hs"</formula>
    </cfRule>
  </conditionalFormatting>
  <conditionalFormatting sqref="C9">
    <cfRule type="cellIs" dxfId="1258" priority="1211" stopIfTrue="1" operator="equal">
      <formula>"Towel"</formula>
    </cfRule>
  </conditionalFormatting>
  <conditionalFormatting sqref="B41:C41">
    <cfRule type="cellIs" dxfId="1257" priority="1167" stopIfTrue="1" operator="equal">
      <formula>"Towel"</formula>
    </cfRule>
    <cfRule type="cellIs" dxfId="1256" priority="1168" stopIfTrue="1" operator="equal">
      <formula>"Napkin Hs"</formula>
    </cfRule>
  </conditionalFormatting>
  <conditionalFormatting sqref="C41">
    <cfRule type="cellIs" dxfId="1255" priority="1166" stopIfTrue="1" operator="equal">
      <formula>"Napkin Hs"</formula>
    </cfRule>
  </conditionalFormatting>
  <conditionalFormatting sqref="C41">
    <cfRule type="cellIs" dxfId="1254" priority="1161" stopIfTrue="1" operator="equal">
      <formula>"Towel"</formula>
    </cfRule>
    <cfRule type="cellIs" dxfId="1253" priority="1162" stopIfTrue="1" operator="equal">
      <formula>"Napkin Hs"</formula>
    </cfRule>
  </conditionalFormatting>
  <conditionalFormatting sqref="C41">
    <cfRule type="cellIs" dxfId="1252" priority="1165" stopIfTrue="1" operator="equal">
      <formula>"Towel"</formula>
    </cfRule>
  </conditionalFormatting>
  <conditionalFormatting sqref="B47:C47">
    <cfRule type="cellIs" dxfId="1251" priority="1151" stopIfTrue="1" operator="equal">
      <formula>"Towel"</formula>
    </cfRule>
    <cfRule type="cellIs" dxfId="1250" priority="1152" stopIfTrue="1" operator="equal">
      <formula>"Napkin Hs"</formula>
    </cfRule>
  </conditionalFormatting>
  <conditionalFormatting sqref="C47">
    <cfRule type="cellIs" dxfId="1249" priority="1150" stopIfTrue="1" operator="equal">
      <formula>"Napkin Hs"</formula>
    </cfRule>
  </conditionalFormatting>
  <conditionalFormatting sqref="C47">
    <cfRule type="cellIs" dxfId="1248" priority="1145" stopIfTrue="1" operator="equal">
      <formula>"Towel"</formula>
    </cfRule>
    <cfRule type="cellIs" dxfId="1247" priority="1146" stopIfTrue="1" operator="equal">
      <formula>"Napkin Hs"</formula>
    </cfRule>
  </conditionalFormatting>
  <conditionalFormatting sqref="C47">
    <cfRule type="cellIs" dxfId="1246" priority="1149" stopIfTrue="1" operator="equal">
      <formula>"Towel"</formula>
    </cfRule>
  </conditionalFormatting>
  <conditionalFormatting sqref="B53:C53">
    <cfRule type="cellIs" dxfId="1245" priority="1135" stopIfTrue="1" operator="equal">
      <formula>"Towel"</formula>
    </cfRule>
    <cfRule type="cellIs" dxfId="1244" priority="1136" stopIfTrue="1" operator="equal">
      <formula>"Napkin Hs"</formula>
    </cfRule>
  </conditionalFormatting>
  <conditionalFormatting sqref="C53">
    <cfRule type="cellIs" dxfId="1243" priority="1134" stopIfTrue="1" operator="equal">
      <formula>"Napkin Hs"</formula>
    </cfRule>
  </conditionalFormatting>
  <conditionalFormatting sqref="C53">
    <cfRule type="cellIs" dxfId="1242" priority="1129" stopIfTrue="1" operator="equal">
      <formula>"Towel"</formula>
    </cfRule>
    <cfRule type="cellIs" dxfId="1241" priority="1130" stopIfTrue="1" operator="equal">
      <formula>"Napkin Hs"</formula>
    </cfRule>
  </conditionalFormatting>
  <conditionalFormatting sqref="C53">
    <cfRule type="cellIs" dxfId="1240" priority="1133" stopIfTrue="1" operator="equal">
      <formula>"Towel"</formula>
    </cfRule>
  </conditionalFormatting>
  <conditionalFormatting sqref="B83:C83">
    <cfRule type="cellIs" dxfId="1239" priority="983" stopIfTrue="1" operator="equal">
      <formula>"Towel"</formula>
    </cfRule>
    <cfRule type="cellIs" dxfId="1238" priority="984" stopIfTrue="1" operator="equal">
      <formula>"Napkin Hs"</formula>
    </cfRule>
  </conditionalFormatting>
  <conditionalFormatting sqref="C83">
    <cfRule type="cellIs" dxfId="1237" priority="979" stopIfTrue="1" operator="equal">
      <formula>"Towel"</formula>
    </cfRule>
    <cfRule type="cellIs" dxfId="1236" priority="980" stopIfTrue="1" operator="equal">
      <formula>"Napkin Hs"</formula>
    </cfRule>
  </conditionalFormatting>
  <conditionalFormatting sqref="C83">
    <cfRule type="cellIs" dxfId="1235" priority="982" stopIfTrue="1" operator="equal">
      <formula>"Napkin Hs"</formula>
    </cfRule>
  </conditionalFormatting>
  <conditionalFormatting sqref="C83">
    <cfRule type="cellIs" dxfId="1234" priority="981" stopIfTrue="1" operator="equal">
      <formula>"Towel"</formula>
    </cfRule>
  </conditionalFormatting>
  <conditionalFormatting sqref="B89:C89">
    <cfRule type="cellIs" dxfId="1233" priority="971" stopIfTrue="1" operator="equal">
      <formula>"Towel"</formula>
    </cfRule>
    <cfRule type="cellIs" dxfId="1232" priority="972" stopIfTrue="1" operator="equal">
      <formula>"Napkin Hs"</formula>
    </cfRule>
  </conditionalFormatting>
  <conditionalFormatting sqref="C89">
    <cfRule type="cellIs" dxfId="1231" priority="970" stopIfTrue="1" operator="equal">
      <formula>"Napkin Hs"</formula>
    </cfRule>
  </conditionalFormatting>
  <conditionalFormatting sqref="C89">
    <cfRule type="cellIs" dxfId="1230" priority="967" stopIfTrue="1" operator="equal">
      <formula>"Towel"</formula>
    </cfRule>
    <cfRule type="cellIs" dxfId="1229" priority="968" stopIfTrue="1" operator="equal">
      <formula>"Napkin Hs"</formula>
    </cfRule>
  </conditionalFormatting>
  <conditionalFormatting sqref="C89">
    <cfRule type="cellIs" dxfId="1228" priority="969" stopIfTrue="1" operator="equal">
      <formula>"Towel"</formula>
    </cfRule>
  </conditionalFormatting>
  <conditionalFormatting sqref="B95:C95">
    <cfRule type="cellIs" dxfId="1227" priority="959" stopIfTrue="1" operator="equal">
      <formula>"Towel"</formula>
    </cfRule>
    <cfRule type="cellIs" dxfId="1226" priority="960" stopIfTrue="1" operator="equal">
      <formula>"Napkin Hs"</formula>
    </cfRule>
  </conditionalFormatting>
  <conditionalFormatting sqref="C95">
    <cfRule type="cellIs" dxfId="1225" priority="958" stopIfTrue="1" operator="equal">
      <formula>"Napkin Hs"</formula>
    </cfRule>
  </conditionalFormatting>
  <conditionalFormatting sqref="C95">
    <cfRule type="cellIs" dxfId="1224" priority="955" stopIfTrue="1" operator="equal">
      <formula>"Towel"</formula>
    </cfRule>
    <cfRule type="cellIs" dxfId="1223" priority="956" stopIfTrue="1" operator="equal">
      <formula>"Napkin Hs"</formula>
    </cfRule>
  </conditionalFormatting>
  <conditionalFormatting sqref="C95">
    <cfRule type="cellIs" dxfId="1222" priority="957" stopIfTrue="1" operator="equal">
      <formula>"Towel"</formula>
    </cfRule>
  </conditionalFormatting>
  <conditionalFormatting sqref="B101:C101">
    <cfRule type="cellIs" dxfId="1221" priority="935" stopIfTrue="1" operator="equal">
      <formula>"Towel"</formula>
    </cfRule>
    <cfRule type="cellIs" dxfId="1220" priority="936" stopIfTrue="1" operator="equal">
      <formula>"Napkin Hs"</formula>
    </cfRule>
  </conditionalFormatting>
  <conditionalFormatting sqref="C101">
    <cfRule type="cellIs" dxfId="1219" priority="934" stopIfTrue="1" operator="equal">
      <formula>"Napkin Hs"</formula>
    </cfRule>
  </conditionalFormatting>
  <conditionalFormatting sqref="C101">
    <cfRule type="cellIs" dxfId="1218" priority="931" stopIfTrue="1" operator="equal">
      <formula>"Towel"</formula>
    </cfRule>
    <cfRule type="cellIs" dxfId="1217" priority="932" stopIfTrue="1" operator="equal">
      <formula>"Napkin Hs"</formula>
    </cfRule>
  </conditionalFormatting>
  <conditionalFormatting sqref="C101">
    <cfRule type="cellIs" dxfId="1216" priority="933" stopIfTrue="1" operator="equal">
      <formula>"Towel"</formula>
    </cfRule>
  </conditionalFormatting>
  <conditionalFormatting sqref="B106:C106">
    <cfRule type="cellIs" dxfId="1215" priority="917" stopIfTrue="1" operator="equal">
      <formula>"Towel"</formula>
    </cfRule>
    <cfRule type="cellIs" dxfId="1214" priority="918" stopIfTrue="1" operator="equal">
      <formula>"Napkin Hs"</formula>
    </cfRule>
  </conditionalFormatting>
  <conditionalFormatting sqref="C106">
    <cfRule type="cellIs" dxfId="1213" priority="916" stopIfTrue="1" operator="equal">
      <formula>"Napkin Hs"</formula>
    </cfRule>
  </conditionalFormatting>
  <conditionalFormatting sqref="C106">
    <cfRule type="cellIs" dxfId="1212" priority="913" stopIfTrue="1" operator="equal">
      <formula>"Towel"</formula>
    </cfRule>
    <cfRule type="cellIs" dxfId="1211" priority="914" stopIfTrue="1" operator="equal">
      <formula>"Napkin Hs"</formula>
    </cfRule>
  </conditionalFormatting>
  <conditionalFormatting sqref="C106">
    <cfRule type="cellIs" dxfId="1210" priority="915" stopIfTrue="1" operator="equal">
      <formula>"Towel"</formula>
    </cfRule>
  </conditionalFormatting>
  <conditionalFormatting sqref="B111:C111">
    <cfRule type="cellIs" dxfId="1209" priority="899" stopIfTrue="1" operator="equal">
      <formula>"Towel"</formula>
    </cfRule>
    <cfRule type="cellIs" dxfId="1208" priority="900" stopIfTrue="1" operator="equal">
      <formula>"Napkin Hs"</formula>
    </cfRule>
  </conditionalFormatting>
  <conditionalFormatting sqref="C111">
    <cfRule type="cellIs" dxfId="1207" priority="898" stopIfTrue="1" operator="equal">
      <formula>"Napkin Hs"</formula>
    </cfRule>
  </conditionalFormatting>
  <conditionalFormatting sqref="C111">
    <cfRule type="cellIs" dxfId="1206" priority="895" stopIfTrue="1" operator="equal">
      <formula>"Towel"</formula>
    </cfRule>
    <cfRule type="cellIs" dxfId="1205" priority="896" stopIfTrue="1" operator="equal">
      <formula>"Napkin Hs"</formula>
    </cfRule>
  </conditionalFormatting>
  <conditionalFormatting sqref="C111">
    <cfRule type="cellIs" dxfId="1204" priority="897" stopIfTrue="1" operator="equal">
      <formula>"Towel"</formula>
    </cfRule>
  </conditionalFormatting>
  <conditionalFormatting sqref="B116:C116">
    <cfRule type="cellIs" dxfId="1203" priority="875" stopIfTrue="1" operator="equal">
      <formula>"Towel"</formula>
    </cfRule>
    <cfRule type="cellIs" dxfId="1202" priority="876" stopIfTrue="1" operator="equal">
      <formula>"Napkin Hs"</formula>
    </cfRule>
  </conditionalFormatting>
  <conditionalFormatting sqref="C116">
    <cfRule type="cellIs" dxfId="1201" priority="874" stopIfTrue="1" operator="equal">
      <formula>"Napkin Hs"</formula>
    </cfRule>
  </conditionalFormatting>
  <conditionalFormatting sqref="C116">
    <cfRule type="cellIs" dxfId="1200" priority="871" stopIfTrue="1" operator="equal">
      <formula>"Towel"</formula>
    </cfRule>
    <cfRule type="cellIs" dxfId="1199" priority="872" stopIfTrue="1" operator="equal">
      <formula>"Napkin Hs"</formula>
    </cfRule>
  </conditionalFormatting>
  <conditionalFormatting sqref="C116">
    <cfRule type="cellIs" dxfId="1198" priority="873" stopIfTrue="1" operator="equal">
      <formula>"Towel"</formula>
    </cfRule>
  </conditionalFormatting>
  <conditionalFormatting sqref="B121:C121">
    <cfRule type="cellIs" dxfId="1197" priority="857" stopIfTrue="1" operator="equal">
      <formula>"Towel"</formula>
    </cfRule>
    <cfRule type="cellIs" dxfId="1196" priority="858" stopIfTrue="1" operator="equal">
      <formula>"Napkin Hs"</formula>
    </cfRule>
  </conditionalFormatting>
  <conditionalFormatting sqref="C121">
    <cfRule type="cellIs" dxfId="1195" priority="856" stopIfTrue="1" operator="equal">
      <formula>"Napkin Hs"</formula>
    </cfRule>
  </conditionalFormatting>
  <conditionalFormatting sqref="C121">
    <cfRule type="cellIs" dxfId="1194" priority="853" stopIfTrue="1" operator="equal">
      <formula>"Towel"</formula>
    </cfRule>
    <cfRule type="cellIs" dxfId="1193" priority="854" stopIfTrue="1" operator="equal">
      <formula>"Napkin Hs"</formula>
    </cfRule>
  </conditionalFormatting>
  <conditionalFormatting sqref="C121">
    <cfRule type="cellIs" dxfId="1192" priority="855" stopIfTrue="1" operator="equal">
      <formula>"Towel"</formula>
    </cfRule>
  </conditionalFormatting>
  <conditionalFormatting sqref="B126:C126">
    <cfRule type="cellIs" dxfId="1191" priority="839" stopIfTrue="1" operator="equal">
      <formula>"Towel"</formula>
    </cfRule>
    <cfRule type="cellIs" dxfId="1190" priority="840" stopIfTrue="1" operator="equal">
      <formula>"Napkin Hs"</formula>
    </cfRule>
  </conditionalFormatting>
  <conditionalFormatting sqref="C126">
    <cfRule type="cellIs" dxfId="1189" priority="838" stopIfTrue="1" operator="equal">
      <formula>"Napkin Hs"</formula>
    </cfRule>
  </conditionalFormatting>
  <conditionalFormatting sqref="C126">
    <cfRule type="cellIs" dxfId="1188" priority="835" stopIfTrue="1" operator="equal">
      <formula>"Towel"</formula>
    </cfRule>
    <cfRule type="cellIs" dxfId="1187" priority="836" stopIfTrue="1" operator="equal">
      <formula>"Napkin Hs"</formula>
    </cfRule>
  </conditionalFormatting>
  <conditionalFormatting sqref="C126">
    <cfRule type="cellIs" dxfId="1186" priority="837" stopIfTrue="1" operator="equal">
      <formula>"Towel"</formula>
    </cfRule>
  </conditionalFormatting>
  <conditionalFormatting sqref="B131:C131">
    <cfRule type="cellIs" dxfId="1185" priority="821" stopIfTrue="1" operator="equal">
      <formula>"Towel"</formula>
    </cfRule>
    <cfRule type="cellIs" dxfId="1184" priority="822" stopIfTrue="1" operator="equal">
      <formula>"Napkin Hs"</formula>
    </cfRule>
  </conditionalFormatting>
  <conditionalFormatting sqref="C131">
    <cfRule type="cellIs" dxfId="1183" priority="820" stopIfTrue="1" operator="equal">
      <formula>"Napkin Hs"</formula>
    </cfRule>
  </conditionalFormatting>
  <conditionalFormatting sqref="C131">
    <cfRule type="cellIs" dxfId="1182" priority="817" stopIfTrue="1" operator="equal">
      <formula>"Towel"</formula>
    </cfRule>
    <cfRule type="cellIs" dxfId="1181" priority="818" stopIfTrue="1" operator="equal">
      <formula>"Napkin Hs"</formula>
    </cfRule>
  </conditionalFormatting>
  <conditionalFormatting sqref="C131">
    <cfRule type="cellIs" dxfId="1180" priority="819" stopIfTrue="1" operator="equal">
      <formula>"Towel"</formula>
    </cfRule>
  </conditionalFormatting>
  <conditionalFormatting sqref="B135:C135">
    <cfRule type="cellIs" dxfId="1179" priority="797" stopIfTrue="1" operator="equal">
      <formula>"Towel"</formula>
    </cfRule>
    <cfRule type="cellIs" dxfId="1178" priority="798" stopIfTrue="1" operator="equal">
      <formula>"Napkin Hs"</formula>
    </cfRule>
  </conditionalFormatting>
  <conditionalFormatting sqref="C135">
    <cfRule type="cellIs" dxfId="1177" priority="796" stopIfTrue="1" operator="equal">
      <formula>"Napkin Hs"</formula>
    </cfRule>
  </conditionalFormatting>
  <conditionalFormatting sqref="C135">
    <cfRule type="cellIs" dxfId="1176" priority="793" stopIfTrue="1" operator="equal">
      <formula>"Towel"</formula>
    </cfRule>
    <cfRule type="cellIs" dxfId="1175" priority="794" stopIfTrue="1" operator="equal">
      <formula>"Napkin Hs"</formula>
    </cfRule>
  </conditionalFormatting>
  <conditionalFormatting sqref="C135">
    <cfRule type="cellIs" dxfId="1174" priority="795" stopIfTrue="1" operator="equal">
      <formula>"Towel"</formula>
    </cfRule>
  </conditionalFormatting>
  <conditionalFormatting sqref="B140:C140">
    <cfRule type="cellIs" dxfId="1173" priority="773" stopIfTrue="1" operator="equal">
      <formula>"Towel"</formula>
    </cfRule>
    <cfRule type="cellIs" dxfId="1172" priority="774" stopIfTrue="1" operator="equal">
      <formula>"Napkin Hs"</formula>
    </cfRule>
  </conditionalFormatting>
  <conditionalFormatting sqref="C140">
    <cfRule type="cellIs" dxfId="1171" priority="772" stopIfTrue="1" operator="equal">
      <formula>"Napkin Hs"</formula>
    </cfRule>
  </conditionalFormatting>
  <conditionalFormatting sqref="C140">
    <cfRule type="cellIs" dxfId="1170" priority="769" stopIfTrue="1" operator="equal">
      <formula>"Towel"</formula>
    </cfRule>
    <cfRule type="cellIs" dxfId="1169" priority="770" stopIfTrue="1" operator="equal">
      <formula>"Napkin Hs"</formula>
    </cfRule>
  </conditionalFormatting>
  <conditionalFormatting sqref="C140">
    <cfRule type="cellIs" dxfId="1168" priority="771" stopIfTrue="1" operator="equal">
      <formula>"Towel"</formula>
    </cfRule>
  </conditionalFormatting>
  <conditionalFormatting sqref="B145:C145">
    <cfRule type="cellIs" dxfId="1167" priority="737" stopIfTrue="1" operator="equal">
      <formula>"Towel"</formula>
    </cfRule>
    <cfRule type="cellIs" dxfId="1166" priority="738" stopIfTrue="1" operator="equal">
      <formula>"Napkin Hs"</formula>
    </cfRule>
  </conditionalFormatting>
  <conditionalFormatting sqref="C145">
    <cfRule type="cellIs" dxfId="1165" priority="736" stopIfTrue="1" operator="equal">
      <formula>"Napkin Hs"</formula>
    </cfRule>
  </conditionalFormatting>
  <conditionalFormatting sqref="C145">
    <cfRule type="cellIs" dxfId="1164" priority="733" stopIfTrue="1" operator="equal">
      <formula>"Towel"</formula>
    </cfRule>
    <cfRule type="cellIs" dxfId="1163" priority="734" stopIfTrue="1" operator="equal">
      <formula>"Napkin Hs"</formula>
    </cfRule>
  </conditionalFormatting>
  <conditionalFormatting sqref="C145">
    <cfRule type="cellIs" dxfId="1162" priority="735" stopIfTrue="1" operator="equal">
      <formula>"Towel"</formula>
    </cfRule>
  </conditionalFormatting>
  <conditionalFormatting sqref="B144:C144">
    <cfRule type="cellIs" dxfId="1161" priority="725" stopIfTrue="1" operator="equal">
      <formula>"Towel"</formula>
    </cfRule>
    <cfRule type="cellIs" dxfId="1160" priority="726" stopIfTrue="1" operator="equal">
      <formula>"Napkin Hs"</formula>
    </cfRule>
  </conditionalFormatting>
  <conditionalFormatting sqref="C144">
    <cfRule type="cellIs" dxfId="1159" priority="724" stopIfTrue="1" operator="equal">
      <formula>"Napkin Hs"</formula>
    </cfRule>
  </conditionalFormatting>
  <conditionalFormatting sqref="C144">
    <cfRule type="cellIs" dxfId="1158" priority="721" stopIfTrue="1" operator="equal">
      <formula>"Towel"</formula>
    </cfRule>
    <cfRule type="cellIs" dxfId="1157" priority="722" stopIfTrue="1" operator="equal">
      <formula>"Napkin Hs"</formula>
    </cfRule>
  </conditionalFormatting>
  <conditionalFormatting sqref="C144">
    <cfRule type="cellIs" dxfId="1156" priority="723" stopIfTrue="1" operator="equal">
      <formula>"Towel"</formula>
    </cfRule>
  </conditionalFormatting>
  <conditionalFormatting sqref="C149">
    <cfRule type="cellIs" dxfId="1155" priority="703" stopIfTrue="1" operator="equal">
      <formula>"Towel"</formula>
    </cfRule>
    <cfRule type="cellIs" dxfId="1154" priority="704" stopIfTrue="1" operator="equal">
      <formula>"Napkin Hs"</formula>
    </cfRule>
  </conditionalFormatting>
  <conditionalFormatting sqref="B149:C149">
    <cfRule type="cellIs" dxfId="1153" priority="707" stopIfTrue="1" operator="equal">
      <formula>"Towel"</formula>
    </cfRule>
    <cfRule type="cellIs" dxfId="1152" priority="708" stopIfTrue="1" operator="equal">
      <formula>"Napkin Hs"</formula>
    </cfRule>
  </conditionalFormatting>
  <conditionalFormatting sqref="C149">
    <cfRule type="cellIs" dxfId="1151" priority="706" stopIfTrue="1" operator="equal">
      <formula>"Napkin Hs"</formula>
    </cfRule>
  </conditionalFormatting>
  <conditionalFormatting sqref="C149">
    <cfRule type="cellIs" dxfId="1150" priority="705" stopIfTrue="1" operator="equal">
      <formula>"Towel"</formula>
    </cfRule>
  </conditionalFormatting>
  <conditionalFormatting sqref="B17:C17">
    <cfRule type="cellIs" dxfId="1149" priority="673" stopIfTrue="1" operator="equal">
      <formula>"Towel"</formula>
    </cfRule>
    <cfRule type="cellIs" dxfId="1148" priority="674" stopIfTrue="1" operator="equal">
      <formula>"Napkin Hs"</formula>
    </cfRule>
  </conditionalFormatting>
  <conditionalFormatting sqref="C17">
    <cfRule type="cellIs" dxfId="1147" priority="671" stopIfTrue="1" operator="equal">
      <formula>"Towel"</formula>
    </cfRule>
    <cfRule type="cellIs" dxfId="1146" priority="672" stopIfTrue="1" operator="equal">
      <formula>"Napkin Hs"</formula>
    </cfRule>
  </conditionalFormatting>
  <conditionalFormatting sqref="B23:C23">
    <cfRule type="cellIs" dxfId="1145" priority="605" stopIfTrue="1" operator="equal">
      <formula>"Towel"</formula>
    </cfRule>
    <cfRule type="cellIs" dxfId="1144" priority="606" stopIfTrue="1" operator="equal">
      <formula>"Napkin Hs"</formula>
    </cfRule>
  </conditionalFormatting>
  <conditionalFormatting sqref="C23">
    <cfRule type="cellIs" dxfId="1143" priority="604" stopIfTrue="1" operator="equal">
      <formula>"Napkin Hs"</formula>
    </cfRule>
  </conditionalFormatting>
  <conditionalFormatting sqref="C23">
    <cfRule type="cellIs" dxfId="1142" priority="601" stopIfTrue="1" operator="equal">
      <formula>"Towel"</formula>
    </cfRule>
    <cfRule type="cellIs" dxfId="1141" priority="602" stopIfTrue="1" operator="equal">
      <formula>"Napkin Hs"</formula>
    </cfRule>
  </conditionalFormatting>
  <conditionalFormatting sqref="C23">
    <cfRule type="cellIs" dxfId="1140" priority="603" stopIfTrue="1" operator="equal">
      <formula>"Towel"</formula>
    </cfRule>
  </conditionalFormatting>
  <conditionalFormatting sqref="B23:C23">
    <cfRule type="cellIs" dxfId="1139" priority="599" stopIfTrue="1" operator="equal">
      <formula>"Towel"</formula>
    </cfRule>
    <cfRule type="cellIs" dxfId="1138" priority="600" stopIfTrue="1" operator="equal">
      <formula>"Napkin Hs"</formula>
    </cfRule>
  </conditionalFormatting>
  <conditionalFormatting sqref="C23">
    <cfRule type="cellIs" dxfId="1137" priority="598" stopIfTrue="1" operator="equal">
      <formula>"Napkin Hs"</formula>
    </cfRule>
  </conditionalFormatting>
  <conditionalFormatting sqref="C23">
    <cfRule type="cellIs" dxfId="1136" priority="595" stopIfTrue="1" operator="equal">
      <formula>"Towel"</formula>
    </cfRule>
    <cfRule type="cellIs" dxfId="1135" priority="596" stopIfTrue="1" operator="equal">
      <formula>"Napkin Hs"</formula>
    </cfRule>
  </conditionalFormatting>
  <conditionalFormatting sqref="C23">
    <cfRule type="cellIs" dxfId="1134" priority="597" stopIfTrue="1" operator="equal">
      <formula>"Towel"</formula>
    </cfRule>
  </conditionalFormatting>
  <conditionalFormatting sqref="B29:C29">
    <cfRule type="cellIs" dxfId="1133" priority="549" stopIfTrue="1" operator="equal">
      <formula>"Towel"</formula>
    </cfRule>
    <cfRule type="cellIs" dxfId="1132" priority="550" stopIfTrue="1" operator="equal">
      <formula>"Napkin Hs"</formula>
    </cfRule>
  </conditionalFormatting>
  <conditionalFormatting sqref="C29">
    <cfRule type="cellIs" dxfId="1131" priority="548" stopIfTrue="1" operator="equal">
      <formula>"Napkin Hs"</formula>
    </cfRule>
  </conditionalFormatting>
  <conditionalFormatting sqref="C29">
    <cfRule type="cellIs" dxfId="1130" priority="545" stopIfTrue="1" operator="equal">
      <formula>"Towel"</formula>
    </cfRule>
    <cfRule type="cellIs" dxfId="1129" priority="546" stopIfTrue="1" operator="equal">
      <formula>"Napkin Hs"</formula>
    </cfRule>
  </conditionalFormatting>
  <conditionalFormatting sqref="C29">
    <cfRule type="cellIs" dxfId="1128" priority="547" stopIfTrue="1" operator="equal">
      <formula>"Towel"</formula>
    </cfRule>
  </conditionalFormatting>
  <conditionalFormatting sqref="B29:C29">
    <cfRule type="cellIs" dxfId="1127" priority="543" stopIfTrue="1" operator="equal">
      <formula>"Towel"</formula>
    </cfRule>
    <cfRule type="cellIs" dxfId="1126" priority="544" stopIfTrue="1" operator="equal">
      <formula>"Napkin Hs"</formula>
    </cfRule>
  </conditionalFormatting>
  <conditionalFormatting sqref="C29">
    <cfRule type="cellIs" dxfId="1125" priority="542" stopIfTrue="1" operator="equal">
      <formula>"Napkin Hs"</formula>
    </cfRule>
  </conditionalFormatting>
  <conditionalFormatting sqref="C29">
    <cfRule type="cellIs" dxfId="1124" priority="539" stopIfTrue="1" operator="equal">
      <formula>"Towel"</formula>
    </cfRule>
    <cfRule type="cellIs" dxfId="1123" priority="540" stopIfTrue="1" operator="equal">
      <formula>"Napkin Hs"</formula>
    </cfRule>
  </conditionalFormatting>
  <conditionalFormatting sqref="C29">
    <cfRule type="cellIs" dxfId="1122" priority="541" stopIfTrue="1" operator="equal">
      <formula>"Towel"</formula>
    </cfRule>
  </conditionalFormatting>
  <conditionalFormatting sqref="B35:C35">
    <cfRule type="cellIs" dxfId="1121" priority="537" stopIfTrue="1" operator="equal">
      <formula>"Towel"</formula>
    </cfRule>
    <cfRule type="cellIs" dxfId="1120" priority="538" stopIfTrue="1" operator="equal">
      <formula>"Napkin Hs"</formula>
    </cfRule>
  </conditionalFormatting>
  <conditionalFormatting sqref="C35">
    <cfRule type="cellIs" dxfId="1119" priority="536" stopIfTrue="1" operator="equal">
      <formula>"Napkin Hs"</formula>
    </cfRule>
  </conditionalFormatting>
  <conditionalFormatting sqref="C35">
    <cfRule type="cellIs" dxfId="1118" priority="531" stopIfTrue="1" operator="equal">
      <formula>"Towel"</formula>
    </cfRule>
    <cfRule type="cellIs" dxfId="1117" priority="532" stopIfTrue="1" operator="equal">
      <formula>"Napkin Hs"</formula>
    </cfRule>
  </conditionalFormatting>
  <conditionalFormatting sqref="C35">
    <cfRule type="cellIs" dxfId="1116" priority="535" stopIfTrue="1" operator="equal">
      <formula>"Towel"</formula>
    </cfRule>
  </conditionalFormatting>
  <conditionalFormatting sqref="B35:C35">
    <cfRule type="cellIs" dxfId="1115" priority="527" stopIfTrue="1" operator="equal">
      <formula>"Towel"</formula>
    </cfRule>
    <cfRule type="cellIs" dxfId="1114" priority="528" stopIfTrue="1" operator="equal">
      <formula>"Napkin Hs"</formula>
    </cfRule>
  </conditionalFormatting>
  <conditionalFormatting sqref="C35">
    <cfRule type="cellIs" dxfId="1113" priority="526" stopIfTrue="1" operator="equal">
      <formula>"Napkin Hs"</formula>
    </cfRule>
  </conditionalFormatting>
  <conditionalFormatting sqref="C35">
    <cfRule type="cellIs" dxfId="1112" priority="521" stopIfTrue="1" operator="equal">
      <formula>"Towel"</formula>
    </cfRule>
    <cfRule type="cellIs" dxfId="1111" priority="522" stopIfTrue="1" operator="equal">
      <formula>"Napkin Hs"</formula>
    </cfRule>
  </conditionalFormatting>
  <conditionalFormatting sqref="C35">
    <cfRule type="cellIs" dxfId="1110" priority="525" stopIfTrue="1" operator="equal">
      <formula>"Towel"</formula>
    </cfRule>
  </conditionalFormatting>
  <conditionalFormatting sqref="B12:C12 B14:C14 B16:C16">
    <cfRule type="cellIs" dxfId="1109" priority="487" stopIfTrue="1" operator="equal">
      <formula>"Towel"</formula>
    </cfRule>
    <cfRule type="cellIs" dxfId="1108" priority="488" stopIfTrue="1" operator="equal">
      <formula>"Napkin Hs"</formula>
    </cfRule>
  </conditionalFormatting>
  <conditionalFormatting sqref="B13:C13">
    <cfRule type="cellIs" dxfId="1107" priority="483" stopIfTrue="1" operator="equal">
      <formula>"Towel"</formula>
    </cfRule>
    <cfRule type="cellIs" dxfId="1106" priority="484" stopIfTrue="1" operator="equal">
      <formula>"Napkin Hs"</formula>
    </cfRule>
  </conditionalFormatting>
  <conditionalFormatting sqref="C12 C14 C16">
    <cfRule type="cellIs" dxfId="1105" priority="486" stopIfTrue="1" operator="equal">
      <formula>"Napkin Hs"</formula>
    </cfRule>
  </conditionalFormatting>
  <conditionalFormatting sqref="C12:C14 C16">
    <cfRule type="cellIs" dxfId="1104" priority="481" stopIfTrue="1" operator="equal">
      <formula>"Towel"</formula>
    </cfRule>
    <cfRule type="cellIs" dxfId="1103" priority="482" stopIfTrue="1" operator="equal">
      <formula>"Napkin Hs"</formula>
    </cfRule>
  </conditionalFormatting>
  <conditionalFormatting sqref="C13">
    <cfRule type="cellIs" dxfId="1102" priority="479" stopIfTrue="1" operator="equal">
      <formula>"Towel"</formula>
    </cfRule>
    <cfRule type="cellIs" dxfId="1101" priority="480" stopIfTrue="1" operator="equal">
      <formula>"Napkin Hs"</formula>
    </cfRule>
  </conditionalFormatting>
  <conditionalFormatting sqref="C12 C14 C16">
    <cfRule type="cellIs" dxfId="1100" priority="485" stopIfTrue="1" operator="equal">
      <formula>"Towel"</formula>
    </cfRule>
  </conditionalFormatting>
  <conditionalFormatting sqref="B15:C15">
    <cfRule type="cellIs" dxfId="1099" priority="477" stopIfTrue="1" operator="equal">
      <formula>"Towel"</formula>
    </cfRule>
    <cfRule type="cellIs" dxfId="1098" priority="478" stopIfTrue="1" operator="equal">
      <formula>"Napkin Hs"</formula>
    </cfRule>
  </conditionalFormatting>
  <conditionalFormatting sqref="C15">
    <cfRule type="cellIs" dxfId="1097" priority="473" stopIfTrue="1" operator="equal">
      <formula>"Towel"</formula>
    </cfRule>
    <cfRule type="cellIs" dxfId="1096" priority="474" stopIfTrue="1" operator="equal">
      <formula>"Napkin Hs"</formula>
    </cfRule>
  </conditionalFormatting>
  <conditionalFormatting sqref="C15">
    <cfRule type="cellIs" dxfId="1095" priority="476" stopIfTrue="1" operator="equal">
      <formula>"Napkin Hs"</formula>
    </cfRule>
  </conditionalFormatting>
  <conditionalFormatting sqref="C15">
    <cfRule type="cellIs" dxfId="1094" priority="475" stopIfTrue="1" operator="equal">
      <formula>"Towel"</formula>
    </cfRule>
  </conditionalFormatting>
  <conditionalFormatting sqref="B18:C18 B20:C20 B22:C22">
    <cfRule type="cellIs" dxfId="1093" priority="471" stopIfTrue="1" operator="equal">
      <formula>"Towel"</formula>
    </cfRule>
    <cfRule type="cellIs" dxfId="1092" priority="472" stopIfTrue="1" operator="equal">
      <formula>"Napkin Hs"</formula>
    </cfRule>
  </conditionalFormatting>
  <conditionalFormatting sqref="B19:C19">
    <cfRule type="cellIs" dxfId="1091" priority="467" stopIfTrue="1" operator="equal">
      <formula>"Towel"</formula>
    </cfRule>
    <cfRule type="cellIs" dxfId="1090" priority="468" stopIfTrue="1" operator="equal">
      <formula>"Napkin Hs"</formula>
    </cfRule>
  </conditionalFormatting>
  <conditionalFormatting sqref="C18 C20 C22">
    <cfRule type="cellIs" dxfId="1089" priority="470" stopIfTrue="1" operator="equal">
      <formula>"Napkin Hs"</formula>
    </cfRule>
  </conditionalFormatting>
  <conditionalFormatting sqref="C18:C20 C22">
    <cfRule type="cellIs" dxfId="1088" priority="465" stopIfTrue="1" operator="equal">
      <formula>"Towel"</formula>
    </cfRule>
    <cfRule type="cellIs" dxfId="1087" priority="466" stopIfTrue="1" operator="equal">
      <formula>"Napkin Hs"</formula>
    </cfRule>
  </conditionalFormatting>
  <conditionalFormatting sqref="C19">
    <cfRule type="cellIs" dxfId="1086" priority="463" stopIfTrue="1" operator="equal">
      <formula>"Towel"</formula>
    </cfRule>
    <cfRule type="cellIs" dxfId="1085" priority="464" stopIfTrue="1" operator="equal">
      <formula>"Napkin Hs"</formula>
    </cfRule>
  </conditionalFormatting>
  <conditionalFormatting sqref="C18 C20 C22">
    <cfRule type="cellIs" dxfId="1084" priority="469" stopIfTrue="1" operator="equal">
      <formula>"Towel"</formula>
    </cfRule>
  </conditionalFormatting>
  <conditionalFormatting sqref="B21:C21">
    <cfRule type="cellIs" dxfId="1083" priority="461" stopIfTrue="1" operator="equal">
      <formula>"Towel"</formula>
    </cfRule>
    <cfRule type="cellIs" dxfId="1082" priority="462" stopIfTrue="1" operator="equal">
      <formula>"Napkin Hs"</formula>
    </cfRule>
  </conditionalFormatting>
  <conditionalFormatting sqref="C21">
    <cfRule type="cellIs" dxfId="1081" priority="457" stopIfTrue="1" operator="equal">
      <formula>"Towel"</formula>
    </cfRule>
    <cfRule type="cellIs" dxfId="1080" priority="458" stopIfTrue="1" operator="equal">
      <formula>"Napkin Hs"</formula>
    </cfRule>
  </conditionalFormatting>
  <conditionalFormatting sqref="C21">
    <cfRule type="cellIs" dxfId="1079" priority="460" stopIfTrue="1" operator="equal">
      <formula>"Napkin Hs"</formula>
    </cfRule>
  </conditionalFormatting>
  <conditionalFormatting sqref="C21">
    <cfRule type="cellIs" dxfId="1078" priority="459" stopIfTrue="1" operator="equal">
      <formula>"Towel"</formula>
    </cfRule>
  </conditionalFormatting>
  <conditionalFormatting sqref="B24:C24 B26:C26 B28:C28">
    <cfRule type="cellIs" dxfId="1077" priority="455" stopIfTrue="1" operator="equal">
      <formula>"Towel"</formula>
    </cfRule>
    <cfRule type="cellIs" dxfId="1076" priority="456" stopIfTrue="1" operator="equal">
      <formula>"Napkin Hs"</formula>
    </cfRule>
  </conditionalFormatting>
  <conditionalFormatting sqref="B25:C25">
    <cfRule type="cellIs" dxfId="1075" priority="451" stopIfTrue="1" operator="equal">
      <formula>"Towel"</formula>
    </cfRule>
    <cfRule type="cellIs" dxfId="1074" priority="452" stopIfTrue="1" operator="equal">
      <formula>"Napkin Hs"</formula>
    </cfRule>
  </conditionalFormatting>
  <conditionalFormatting sqref="C24 C26 C28">
    <cfRule type="cellIs" dxfId="1073" priority="454" stopIfTrue="1" operator="equal">
      <formula>"Napkin Hs"</formula>
    </cfRule>
  </conditionalFormatting>
  <conditionalFormatting sqref="C24:C26 C28">
    <cfRule type="cellIs" dxfId="1072" priority="449" stopIfTrue="1" operator="equal">
      <formula>"Towel"</formula>
    </cfRule>
    <cfRule type="cellIs" dxfId="1071" priority="450" stopIfTrue="1" operator="equal">
      <formula>"Napkin Hs"</formula>
    </cfRule>
  </conditionalFormatting>
  <conditionalFormatting sqref="C25">
    <cfRule type="cellIs" dxfId="1070" priority="447" stopIfTrue="1" operator="equal">
      <formula>"Towel"</formula>
    </cfRule>
    <cfRule type="cellIs" dxfId="1069" priority="448" stopIfTrue="1" operator="equal">
      <formula>"Napkin Hs"</formula>
    </cfRule>
  </conditionalFormatting>
  <conditionalFormatting sqref="C24 C26 C28">
    <cfRule type="cellIs" dxfId="1068" priority="453" stopIfTrue="1" operator="equal">
      <formula>"Towel"</formula>
    </cfRule>
  </conditionalFormatting>
  <conditionalFormatting sqref="B27:C27">
    <cfRule type="cellIs" dxfId="1067" priority="445" stopIfTrue="1" operator="equal">
      <formula>"Towel"</formula>
    </cfRule>
    <cfRule type="cellIs" dxfId="1066" priority="446" stopIfTrue="1" operator="equal">
      <formula>"Napkin Hs"</formula>
    </cfRule>
  </conditionalFormatting>
  <conditionalFormatting sqref="C27">
    <cfRule type="cellIs" dxfId="1065" priority="441" stopIfTrue="1" operator="equal">
      <formula>"Towel"</formula>
    </cfRule>
    <cfRule type="cellIs" dxfId="1064" priority="442" stopIfTrue="1" operator="equal">
      <formula>"Napkin Hs"</formula>
    </cfRule>
  </conditionalFormatting>
  <conditionalFormatting sqref="C27">
    <cfRule type="cellIs" dxfId="1063" priority="444" stopIfTrue="1" operator="equal">
      <formula>"Napkin Hs"</formula>
    </cfRule>
  </conditionalFormatting>
  <conditionalFormatting sqref="C27">
    <cfRule type="cellIs" dxfId="1062" priority="443" stopIfTrue="1" operator="equal">
      <formula>"Towel"</formula>
    </cfRule>
  </conditionalFormatting>
  <conditionalFormatting sqref="B30:C30 B32:C32 B34:C34">
    <cfRule type="cellIs" dxfId="1061" priority="439" stopIfTrue="1" operator="equal">
      <formula>"Towel"</formula>
    </cfRule>
    <cfRule type="cellIs" dxfId="1060" priority="440" stopIfTrue="1" operator="equal">
      <formula>"Napkin Hs"</formula>
    </cfRule>
  </conditionalFormatting>
  <conditionalFormatting sqref="B31:C31">
    <cfRule type="cellIs" dxfId="1059" priority="435" stopIfTrue="1" operator="equal">
      <formula>"Towel"</formula>
    </cfRule>
    <cfRule type="cellIs" dxfId="1058" priority="436" stopIfTrue="1" operator="equal">
      <formula>"Napkin Hs"</formula>
    </cfRule>
  </conditionalFormatting>
  <conditionalFormatting sqref="C30 C32 C34">
    <cfRule type="cellIs" dxfId="1057" priority="438" stopIfTrue="1" operator="equal">
      <formula>"Napkin Hs"</formula>
    </cfRule>
  </conditionalFormatting>
  <conditionalFormatting sqref="C30:C32 C34">
    <cfRule type="cellIs" dxfId="1056" priority="433" stopIfTrue="1" operator="equal">
      <formula>"Towel"</formula>
    </cfRule>
    <cfRule type="cellIs" dxfId="1055" priority="434" stopIfTrue="1" operator="equal">
      <formula>"Napkin Hs"</formula>
    </cfRule>
  </conditionalFormatting>
  <conditionalFormatting sqref="C31">
    <cfRule type="cellIs" dxfId="1054" priority="431" stopIfTrue="1" operator="equal">
      <formula>"Towel"</formula>
    </cfRule>
    <cfRule type="cellIs" dxfId="1053" priority="432" stopIfTrue="1" operator="equal">
      <formula>"Napkin Hs"</formula>
    </cfRule>
  </conditionalFormatting>
  <conditionalFormatting sqref="C30 C32 C34">
    <cfRule type="cellIs" dxfId="1052" priority="437" stopIfTrue="1" operator="equal">
      <formula>"Towel"</formula>
    </cfRule>
  </conditionalFormatting>
  <conditionalFormatting sqref="B33:C33">
    <cfRule type="cellIs" dxfId="1051" priority="429" stopIfTrue="1" operator="equal">
      <formula>"Towel"</formula>
    </cfRule>
    <cfRule type="cellIs" dxfId="1050" priority="430" stopIfTrue="1" operator="equal">
      <formula>"Napkin Hs"</formula>
    </cfRule>
  </conditionalFormatting>
  <conditionalFormatting sqref="C33">
    <cfRule type="cellIs" dxfId="1049" priority="425" stopIfTrue="1" operator="equal">
      <formula>"Towel"</formula>
    </cfRule>
    <cfRule type="cellIs" dxfId="1048" priority="426" stopIfTrue="1" operator="equal">
      <formula>"Napkin Hs"</formula>
    </cfRule>
  </conditionalFormatting>
  <conditionalFormatting sqref="C33">
    <cfRule type="cellIs" dxfId="1047" priority="428" stopIfTrue="1" operator="equal">
      <formula>"Napkin Hs"</formula>
    </cfRule>
  </conditionalFormatting>
  <conditionalFormatting sqref="C33">
    <cfRule type="cellIs" dxfId="1046" priority="427" stopIfTrue="1" operator="equal">
      <formula>"Towel"</formula>
    </cfRule>
  </conditionalFormatting>
  <conditionalFormatting sqref="B36:C36 B38:C38 B40:C40">
    <cfRule type="cellIs" dxfId="1045" priority="423" stopIfTrue="1" operator="equal">
      <formula>"Towel"</formula>
    </cfRule>
    <cfRule type="cellIs" dxfId="1044" priority="424" stopIfTrue="1" operator="equal">
      <formula>"Napkin Hs"</formula>
    </cfRule>
  </conditionalFormatting>
  <conditionalFormatting sqref="B37:C37">
    <cfRule type="cellIs" dxfId="1043" priority="419" stopIfTrue="1" operator="equal">
      <formula>"Towel"</formula>
    </cfRule>
    <cfRule type="cellIs" dxfId="1042" priority="420" stopIfTrue="1" operator="equal">
      <formula>"Napkin Hs"</formula>
    </cfRule>
  </conditionalFormatting>
  <conditionalFormatting sqref="C36 C38 C40">
    <cfRule type="cellIs" dxfId="1041" priority="422" stopIfTrue="1" operator="equal">
      <formula>"Napkin Hs"</formula>
    </cfRule>
  </conditionalFormatting>
  <conditionalFormatting sqref="C36:C38 C40">
    <cfRule type="cellIs" dxfId="1040" priority="417" stopIfTrue="1" operator="equal">
      <formula>"Towel"</formula>
    </cfRule>
    <cfRule type="cellIs" dxfId="1039" priority="418" stopIfTrue="1" operator="equal">
      <formula>"Napkin Hs"</formula>
    </cfRule>
  </conditionalFormatting>
  <conditionalFormatting sqref="C37">
    <cfRule type="cellIs" dxfId="1038" priority="415" stopIfTrue="1" operator="equal">
      <formula>"Towel"</formula>
    </cfRule>
    <cfRule type="cellIs" dxfId="1037" priority="416" stopIfTrue="1" operator="equal">
      <formula>"Napkin Hs"</formula>
    </cfRule>
  </conditionalFormatting>
  <conditionalFormatting sqref="C36 C38 C40">
    <cfRule type="cellIs" dxfId="1036" priority="421" stopIfTrue="1" operator="equal">
      <formula>"Towel"</formula>
    </cfRule>
  </conditionalFormatting>
  <conditionalFormatting sqref="B39:C39">
    <cfRule type="cellIs" dxfId="1035" priority="413" stopIfTrue="1" operator="equal">
      <formula>"Towel"</formula>
    </cfRule>
    <cfRule type="cellIs" dxfId="1034" priority="414" stopIfTrue="1" operator="equal">
      <formula>"Napkin Hs"</formula>
    </cfRule>
  </conditionalFormatting>
  <conditionalFormatting sqref="C39">
    <cfRule type="cellIs" dxfId="1033" priority="409" stopIfTrue="1" operator="equal">
      <formula>"Towel"</formula>
    </cfRule>
    <cfRule type="cellIs" dxfId="1032" priority="410" stopIfTrue="1" operator="equal">
      <formula>"Napkin Hs"</formula>
    </cfRule>
  </conditionalFormatting>
  <conditionalFormatting sqref="C39">
    <cfRule type="cellIs" dxfId="1031" priority="412" stopIfTrue="1" operator="equal">
      <formula>"Napkin Hs"</formula>
    </cfRule>
  </conditionalFormatting>
  <conditionalFormatting sqref="C39">
    <cfRule type="cellIs" dxfId="1030" priority="411" stopIfTrue="1" operator="equal">
      <formula>"Towel"</formula>
    </cfRule>
  </conditionalFormatting>
  <conditionalFormatting sqref="B42:C42 B44:C44 B46:C46">
    <cfRule type="cellIs" dxfId="1029" priority="407" stopIfTrue="1" operator="equal">
      <formula>"Towel"</formula>
    </cfRule>
    <cfRule type="cellIs" dxfId="1028" priority="408" stopIfTrue="1" operator="equal">
      <formula>"Napkin Hs"</formula>
    </cfRule>
  </conditionalFormatting>
  <conditionalFormatting sqref="B43:C43">
    <cfRule type="cellIs" dxfId="1027" priority="403" stopIfTrue="1" operator="equal">
      <formula>"Towel"</formula>
    </cfRule>
    <cfRule type="cellIs" dxfId="1026" priority="404" stopIfTrue="1" operator="equal">
      <formula>"Napkin Hs"</formula>
    </cfRule>
  </conditionalFormatting>
  <conditionalFormatting sqref="C42 C44 C46">
    <cfRule type="cellIs" dxfId="1025" priority="406" stopIfTrue="1" operator="equal">
      <formula>"Napkin Hs"</formula>
    </cfRule>
  </conditionalFormatting>
  <conditionalFormatting sqref="C42:C44 C46">
    <cfRule type="cellIs" dxfId="1024" priority="401" stopIfTrue="1" operator="equal">
      <formula>"Towel"</formula>
    </cfRule>
    <cfRule type="cellIs" dxfId="1023" priority="402" stopIfTrue="1" operator="equal">
      <formula>"Napkin Hs"</formula>
    </cfRule>
  </conditionalFormatting>
  <conditionalFormatting sqref="C43">
    <cfRule type="cellIs" dxfId="1022" priority="399" stopIfTrue="1" operator="equal">
      <formula>"Towel"</formula>
    </cfRule>
    <cfRule type="cellIs" dxfId="1021" priority="400" stopIfTrue="1" operator="equal">
      <formula>"Napkin Hs"</formula>
    </cfRule>
  </conditionalFormatting>
  <conditionalFormatting sqref="C42 C44 C46">
    <cfRule type="cellIs" dxfId="1020" priority="405" stopIfTrue="1" operator="equal">
      <formula>"Towel"</formula>
    </cfRule>
  </conditionalFormatting>
  <conditionalFormatting sqref="B45:C45">
    <cfRule type="cellIs" dxfId="1019" priority="397" stopIfTrue="1" operator="equal">
      <formula>"Towel"</formula>
    </cfRule>
    <cfRule type="cellIs" dxfId="1018" priority="398" stopIfTrue="1" operator="equal">
      <formula>"Napkin Hs"</formula>
    </cfRule>
  </conditionalFormatting>
  <conditionalFormatting sqref="C45">
    <cfRule type="cellIs" dxfId="1017" priority="393" stopIfTrue="1" operator="equal">
      <formula>"Towel"</formula>
    </cfRule>
    <cfRule type="cellIs" dxfId="1016" priority="394" stopIfTrue="1" operator="equal">
      <formula>"Napkin Hs"</formula>
    </cfRule>
  </conditionalFormatting>
  <conditionalFormatting sqref="C45">
    <cfRule type="cellIs" dxfId="1015" priority="396" stopIfTrue="1" operator="equal">
      <formula>"Napkin Hs"</formula>
    </cfRule>
  </conditionalFormatting>
  <conditionalFormatting sqref="C45">
    <cfRule type="cellIs" dxfId="1014" priority="395" stopIfTrue="1" operator="equal">
      <formula>"Towel"</formula>
    </cfRule>
  </conditionalFormatting>
  <conditionalFormatting sqref="B48:C48 B50:C50 B52:C52">
    <cfRule type="cellIs" dxfId="1013" priority="391" stopIfTrue="1" operator="equal">
      <formula>"Towel"</formula>
    </cfRule>
    <cfRule type="cellIs" dxfId="1012" priority="392" stopIfTrue="1" operator="equal">
      <formula>"Napkin Hs"</formula>
    </cfRule>
  </conditionalFormatting>
  <conditionalFormatting sqref="B49:C49">
    <cfRule type="cellIs" dxfId="1011" priority="387" stopIfTrue="1" operator="equal">
      <formula>"Towel"</formula>
    </cfRule>
    <cfRule type="cellIs" dxfId="1010" priority="388" stopIfTrue="1" operator="equal">
      <formula>"Napkin Hs"</formula>
    </cfRule>
  </conditionalFormatting>
  <conditionalFormatting sqref="C48 C50 C52">
    <cfRule type="cellIs" dxfId="1009" priority="390" stopIfTrue="1" operator="equal">
      <formula>"Napkin Hs"</formula>
    </cfRule>
  </conditionalFormatting>
  <conditionalFormatting sqref="C48:C50 C52">
    <cfRule type="cellIs" dxfId="1008" priority="385" stopIfTrue="1" operator="equal">
      <formula>"Towel"</formula>
    </cfRule>
    <cfRule type="cellIs" dxfId="1007" priority="386" stopIfTrue="1" operator="equal">
      <formula>"Napkin Hs"</formula>
    </cfRule>
  </conditionalFormatting>
  <conditionalFormatting sqref="C49">
    <cfRule type="cellIs" dxfId="1006" priority="383" stopIfTrue="1" operator="equal">
      <formula>"Towel"</formula>
    </cfRule>
    <cfRule type="cellIs" dxfId="1005" priority="384" stopIfTrue="1" operator="equal">
      <formula>"Napkin Hs"</formula>
    </cfRule>
  </conditionalFormatting>
  <conditionalFormatting sqref="C48 C50 C52">
    <cfRule type="cellIs" dxfId="1004" priority="389" stopIfTrue="1" operator="equal">
      <formula>"Towel"</formula>
    </cfRule>
  </conditionalFormatting>
  <conditionalFormatting sqref="B51:C51">
    <cfRule type="cellIs" dxfId="1003" priority="381" stopIfTrue="1" operator="equal">
      <formula>"Towel"</formula>
    </cfRule>
    <cfRule type="cellIs" dxfId="1002" priority="382" stopIfTrue="1" operator="equal">
      <formula>"Napkin Hs"</formula>
    </cfRule>
  </conditionalFormatting>
  <conditionalFormatting sqref="C51">
    <cfRule type="cellIs" dxfId="1001" priority="377" stopIfTrue="1" operator="equal">
      <formula>"Towel"</formula>
    </cfRule>
    <cfRule type="cellIs" dxfId="1000" priority="378" stopIfTrue="1" operator="equal">
      <formula>"Napkin Hs"</formula>
    </cfRule>
  </conditionalFormatting>
  <conditionalFormatting sqref="C51">
    <cfRule type="cellIs" dxfId="999" priority="380" stopIfTrue="1" operator="equal">
      <formula>"Napkin Hs"</formula>
    </cfRule>
  </conditionalFormatting>
  <conditionalFormatting sqref="C51">
    <cfRule type="cellIs" dxfId="998" priority="379" stopIfTrue="1" operator="equal">
      <formula>"Towel"</formula>
    </cfRule>
  </conditionalFormatting>
  <conditionalFormatting sqref="B54:C54 B56:C56 B58:C58">
    <cfRule type="cellIs" dxfId="997" priority="375" stopIfTrue="1" operator="equal">
      <formula>"Towel"</formula>
    </cfRule>
    <cfRule type="cellIs" dxfId="996" priority="376" stopIfTrue="1" operator="equal">
      <formula>"Napkin Hs"</formula>
    </cfRule>
  </conditionalFormatting>
  <conditionalFormatting sqref="B55:C55">
    <cfRule type="cellIs" dxfId="995" priority="371" stopIfTrue="1" operator="equal">
      <formula>"Towel"</formula>
    </cfRule>
    <cfRule type="cellIs" dxfId="994" priority="372" stopIfTrue="1" operator="equal">
      <formula>"Napkin Hs"</formula>
    </cfRule>
  </conditionalFormatting>
  <conditionalFormatting sqref="C54 C56 C58">
    <cfRule type="cellIs" dxfId="993" priority="374" stopIfTrue="1" operator="equal">
      <formula>"Napkin Hs"</formula>
    </cfRule>
  </conditionalFormatting>
  <conditionalFormatting sqref="C54:C56 C58">
    <cfRule type="cellIs" dxfId="992" priority="369" stopIfTrue="1" operator="equal">
      <formula>"Towel"</formula>
    </cfRule>
    <cfRule type="cellIs" dxfId="991" priority="370" stopIfTrue="1" operator="equal">
      <formula>"Napkin Hs"</formula>
    </cfRule>
  </conditionalFormatting>
  <conditionalFormatting sqref="C55">
    <cfRule type="cellIs" dxfId="990" priority="367" stopIfTrue="1" operator="equal">
      <formula>"Towel"</formula>
    </cfRule>
    <cfRule type="cellIs" dxfId="989" priority="368" stopIfTrue="1" operator="equal">
      <formula>"Napkin Hs"</formula>
    </cfRule>
  </conditionalFormatting>
  <conditionalFormatting sqref="C54 C56 C58">
    <cfRule type="cellIs" dxfId="988" priority="373" stopIfTrue="1" operator="equal">
      <formula>"Towel"</formula>
    </cfRule>
  </conditionalFormatting>
  <conditionalFormatting sqref="B57:C57">
    <cfRule type="cellIs" dxfId="987" priority="365" stopIfTrue="1" operator="equal">
      <formula>"Towel"</formula>
    </cfRule>
    <cfRule type="cellIs" dxfId="986" priority="366" stopIfTrue="1" operator="equal">
      <formula>"Napkin Hs"</formula>
    </cfRule>
  </conditionalFormatting>
  <conditionalFormatting sqref="C57">
    <cfRule type="cellIs" dxfId="985" priority="361" stopIfTrue="1" operator="equal">
      <formula>"Towel"</formula>
    </cfRule>
    <cfRule type="cellIs" dxfId="984" priority="362" stopIfTrue="1" operator="equal">
      <formula>"Napkin Hs"</formula>
    </cfRule>
  </conditionalFormatting>
  <conditionalFormatting sqref="C57">
    <cfRule type="cellIs" dxfId="983" priority="364" stopIfTrue="1" operator="equal">
      <formula>"Napkin Hs"</formula>
    </cfRule>
  </conditionalFormatting>
  <conditionalFormatting sqref="C57">
    <cfRule type="cellIs" dxfId="982" priority="363" stopIfTrue="1" operator="equal">
      <formula>"Towel"</formula>
    </cfRule>
  </conditionalFormatting>
  <conditionalFormatting sqref="B60:C60 B62:C62 B64:C64">
    <cfRule type="cellIs" dxfId="981" priority="359" stopIfTrue="1" operator="equal">
      <formula>"Towel"</formula>
    </cfRule>
    <cfRule type="cellIs" dxfId="980" priority="360" stopIfTrue="1" operator="equal">
      <formula>"Napkin Hs"</formula>
    </cfRule>
  </conditionalFormatting>
  <conditionalFormatting sqref="B61:C61">
    <cfRule type="cellIs" dxfId="979" priority="355" stopIfTrue="1" operator="equal">
      <formula>"Towel"</formula>
    </cfRule>
    <cfRule type="cellIs" dxfId="978" priority="356" stopIfTrue="1" operator="equal">
      <formula>"Napkin Hs"</formula>
    </cfRule>
  </conditionalFormatting>
  <conditionalFormatting sqref="C60 C62 C64">
    <cfRule type="cellIs" dxfId="977" priority="358" stopIfTrue="1" operator="equal">
      <formula>"Napkin Hs"</formula>
    </cfRule>
  </conditionalFormatting>
  <conditionalFormatting sqref="C60:C62 C64">
    <cfRule type="cellIs" dxfId="976" priority="353" stopIfTrue="1" operator="equal">
      <formula>"Towel"</formula>
    </cfRule>
    <cfRule type="cellIs" dxfId="975" priority="354" stopIfTrue="1" operator="equal">
      <formula>"Napkin Hs"</formula>
    </cfRule>
  </conditionalFormatting>
  <conditionalFormatting sqref="C61">
    <cfRule type="cellIs" dxfId="974" priority="351" stopIfTrue="1" operator="equal">
      <formula>"Towel"</formula>
    </cfRule>
    <cfRule type="cellIs" dxfId="973" priority="352" stopIfTrue="1" operator="equal">
      <formula>"Napkin Hs"</formula>
    </cfRule>
  </conditionalFormatting>
  <conditionalFormatting sqref="C60 C62 C64">
    <cfRule type="cellIs" dxfId="972" priority="357" stopIfTrue="1" operator="equal">
      <formula>"Towel"</formula>
    </cfRule>
  </conditionalFormatting>
  <conditionalFormatting sqref="B63:C63">
    <cfRule type="cellIs" dxfId="971" priority="349" stopIfTrue="1" operator="equal">
      <formula>"Towel"</formula>
    </cfRule>
    <cfRule type="cellIs" dxfId="970" priority="350" stopIfTrue="1" operator="equal">
      <formula>"Napkin Hs"</formula>
    </cfRule>
  </conditionalFormatting>
  <conditionalFormatting sqref="C63">
    <cfRule type="cellIs" dxfId="969" priority="345" stopIfTrue="1" operator="equal">
      <formula>"Towel"</formula>
    </cfRule>
    <cfRule type="cellIs" dxfId="968" priority="346" stopIfTrue="1" operator="equal">
      <formula>"Napkin Hs"</formula>
    </cfRule>
  </conditionalFormatting>
  <conditionalFormatting sqref="C63">
    <cfRule type="cellIs" dxfId="967" priority="348" stopIfTrue="1" operator="equal">
      <formula>"Napkin Hs"</formula>
    </cfRule>
  </conditionalFormatting>
  <conditionalFormatting sqref="C63">
    <cfRule type="cellIs" dxfId="966" priority="347" stopIfTrue="1" operator="equal">
      <formula>"Towel"</formula>
    </cfRule>
  </conditionalFormatting>
  <conditionalFormatting sqref="B66:C66 B68:C68 B70:C70">
    <cfRule type="cellIs" dxfId="965" priority="343" stopIfTrue="1" operator="equal">
      <formula>"Towel"</formula>
    </cfRule>
    <cfRule type="cellIs" dxfId="964" priority="344" stopIfTrue="1" operator="equal">
      <formula>"Napkin Hs"</formula>
    </cfRule>
  </conditionalFormatting>
  <conditionalFormatting sqref="B67:C67">
    <cfRule type="cellIs" dxfId="963" priority="339" stopIfTrue="1" operator="equal">
      <formula>"Towel"</formula>
    </cfRule>
    <cfRule type="cellIs" dxfId="962" priority="340" stopIfTrue="1" operator="equal">
      <formula>"Napkin Hs"</formula>
    </cfRule>
  </conditionalFormatting>
  <conditionalFormatting sqref="C66 C68 C70">
    <cfRule type="cellIs" dxfId="961" priority="342" stopIfTrue="1" operator="equal">
      <formula>"Napkin Hs"</formula>
    </cfRule>
  </conditionalFormatting>
  <conditionalFormatting sqref="C66:C68 C70">
    <cfRule type="cellIs" dxfId="960" priority="337" stopIfTrue="1" operator="equal">
      <formula>"Towel"</formula>
    </cfRule>
    <cfRule type="cellIs" dxfId="959" priority="338" stopIfTrue="1" operator="equal">
      <formula>"Napkin Hs"</formula>
    </cfRule>
  </conditionalFormatting>
  <conditionalFormatting sqref="C67">
    <cfRule type="cellIs" dxfId="958" priority="335" stopIfTrue="1" operator="equal">
      <formula>"Towel"</formula>
    </cfRule>
    <cfRule type="cellIs" dxfId="957" priority="336" stopIfTrue="1" operator="equal">
      <formula>"Napkin Hs"</formula>
    </cfRule>
  </conditionalFormatting>
  <conditionalFormatting sqref="C66 C68 C70">
    <cfRule type="cellIs" dxfId="956" priority="341" stopIfTrue="1" operator="equal">
      <formula>"Towel"</formula>
    </cfRule>
  </conditionalFormatting>
  <conditionalFormatting sqref="B69:C69">
    <cfRule type="cellIs" dxfId="955" priority="333" stopIfTrue="1" operator="equal">
      <formula>"Towel"</formula>
    </cfRule>
    <cfRule type="cellIs" dxfId="954" priority="334" stopIfTrue="1" operator="equal">
      <formula>"Napkin Hs"</formula>
    </cfRule>
  </conditionalFormatting>
  <conditionalFormatting sqref="C69">
    <cfRule type="cellIs" dxfId="953" priority="329" stopIfTrue="1" operator="equal">
      <formula>"Towel"</formula>
    </cfRule>
    <cfRule type="cellIs" dxfId="952" priority="330" stopIfTrue="1" operator="equal">
      <formula>"Napkin Hs"</formula>
    </cfRule>
  </conditionalFormatting>
  <conditionalFormatting sqref="C69">
    <cfRule type="cellIs" dxfId="951" priority="332" stopIfTrue="1" operator="equal">
      <formula>"Napkin Hs"</formula>
    </cfRule>
  </conditionalFormatting>
  <conditionalFormatting sqref="C69">
    <cfRule type="cellIs" dxfId="950" priority="331" stopIfTrue="1" operator="equal">
      <formula>"Towel"</formula>
    </cfRule>
  </conditionalFormatting>
  <conditionalFormatting sqref="B72:C72 B74:C74 B76:C76">
    <cfRule type="cellIs" dxfId="949" priority="327" stopIfTrue="1" operator="equal">
      <formula>"Towel"</formula>
    </cfRule>
    <cfRule type="cellIs" dxfId="948" priority="328" stopIfTrue="1" operator="equal">
      <formula>"Napkin Hs"</formula>
    </cfRule>
  </conditionalFormatting>
  <conditionalFormatting sqref="B73:C73">
    <cfRule type="cellIs" dxfId="947" priority="323" stopIfTrue="1" operator="equal">
      <formula>"Towel"</formula>
    </cfRule>
    <cfRule type="cellIs" dxfId="946" priority="324" stopIfTrue="1" operator="equal">
      <formula>"Napkin Hs"</formula>
    </cfRule>
  </conditionalFormatting>
  <conditionalFormatting sqref="C72 C74 C76">
    <cfRule type="cellIs" dxfId="945" priority="326" stopIfTrue="1" operator="equal">
      <formula>"Napkin Hs"</formula>
    </cfRule>
  </conditionalFormatting>
  <conditionalFormatting sqref="C72:C74 C76">
    <cfRule type="cellIs" dxfId="944" priority="321" stopIfTrue="1" operator="equal">
      <formula>"Towel"</formula>
    </cfRule>
    <cfRule type="cellIs" dxfId="943" priority="322" stopIfTrue="1" operator="equal">
      <formula>"Napkin Hs"</formula>
    </cfRule>
  </conditionalFormatting>
  <conditionalFormatting sqref="C73">
    <cfRule type="cellIs" dxfId="942" priority="319" stopIfTrue="1" operator="equal">
      <formula>"Towel"</formula>
    </cfRule>
    <cfRule type="cellIs" dxfId="941" priority="320" stopIfTrue="1" operator="equal">
      <formula>"Napkin Hs"</formula>
    </cfRule>
  </conditionalFormatting>
  <conditionalFormatting sqref="C72 C74 C76">
    <cfRule type="cellIs" dxfId="940" priority="325" stopIfTrue="1" operator="equal">
      <formula>"Towel"</formula>
    </cfRule>
  </conditionalFormatting>
  <conditionalFormatting sqref="B75:C75">
    <cfRule type="cellIs" dxfId="939" priority="317" stopIfTrue="1" operator="equal">
      <formula>"Towel"</formula>
    </cfRule>
    <cfRule type="cellIs" dxfId="938" priority="318" stopIfTrue="1" operator="equal">
      <formula>"Napkin Hs"</formula>
    </cfRule>
  </conditionalFormatting>
  <conditionalFormatting sqref="C75">
    <cfRule type="cellIs" dxfId="937" priority="313" stopIfTrue="1" operator="equal">
      <formula>"Towel"</formula>
    </cfRule>
    <cfRule type="cellIs" dxfId="936" priority="314" stopIfTrue="1" operator="equal">
      <formula>"Napkin Hs"</formula>
    </cfRule>
  </conditionalFormatting>
  <conditionalFormatting sqref="C75">
    <cfRule type="cellIs" dxfId="935" priority="316" stopIfTrue="1" operator="equal">
      <formula>"Napkin Hs"</formula>
    </cfRule>
  </conditionalFormatting>
  <conditionalFormatting sqref="C75">
    <cfRule type="cellIs" dxfId="934" priority="315" stopIfTrue="1" operator="equal">
      <formula>"Towel"</formula>
    </cfRule>
  </conditionalFormatting>
  <conditionalFormatting sqref="B78:C78 B80:C80 B82:C82">
    <cfRule type="cellIs" dxfId="933" priority="311" stopIfTrue="1" operator="equal">
      <formula>"Towel"</formula>
    </cfRule>
    <cfRule type="cellIs" dxfId="932" priority="312" stopIfTrue="1" operator="equal">
      <formula>"Napkin Hs"</formula>
    </cfRule>
  </conditionalFormatting>
  <conditionalFormatting sqref="B79:C79">
    <cfRule type="cellIs" dxfId="931" priority="307" stopIfTrue="1" operator="equal">
      <formula>"Towel"</formula>
    </cfRule>
    <cfRule type="cellIs" dxfId="930" priority="308" stopIfTrue="1" operator="equal">
      <formula>"Napkin Hs"</formula>
    </cfRule>
  </conditionalFormatting>
  <conditionalFormatting sqref="C78 C80 C82">
    <cfRule type="cellIs" dxfId="929" priority="310" stopIfTrue="1" operator="equal">
      <formula>"Napkin Hs"</formula>
    </cfRule>
  </conditionalFormatting>
  <conditionalFormatting sqref="C78:C80 C82">
    <cfRule type="cellIs" dxfId="928" priority="305" stopIfTrue="1" operator="equal">
      <formula>"Towel"</formula>
    </cfRule>
    <cfRule type="cellIs" dxfId="927" priority="306" stopIfTrue="1" operator="equal">
      <formula>"Napkin Hs"</formula>
    </cfRule>
  </conditionalFormatting>
  <conditionalFormatting sqref="C79">
    <cfRule type="cellIs" dxfId="926" priority="303" stopIfTrue="1" operator="equal">
      <formula>"Towel"</formula>
    </cfRule>
    <cfRule type="cellIs" dxfId="925" priority="304" stopIfTrue="1" operator="equal">
      <formula>"Napkin Hs"</formula>
    </cfRule>
  </conditionalFormatting>
  <conditionalFormatting sqref="C78 C80 C82">
    <cfRule type="cellIs" dxfId="924" priority="309" stopIfTrue="1" operator="equal">
      <formula>"Towel"</formula>
    </cfRule>
  </conditionalFormatting>
  <conditionalFormatting sqref="B81:C81">
    <cfRule type="cellIs" dxfId="923" priority="301" stopIfTrue="1" operator="equal">
      <formula>"Towel"</formula>
    </cfRule>
    <cfRule type="cellIs" dxfId="922" priority="302" stopIfTrue="1" operator="equal">
      <formula>"Napkin Hs"</formula>
    </cfRule>
  </conditionalFormatting>
  <conditionalFormatting sqref="C81">
    <cfRule type="cellIs" dxfId="921" priority="297" stopIfTrue="1" operator="equal">
      <formula>"Towel"</formula>
    </cfRule>
    <cfRule type="cellIs" dxfId="920" priority="298" stopIfTrue="1" operator="equal">
      <formula>"Napkin Hs"</formula>
    </cfRule>
  </conditionalFormatting>
  <conditionalFormatting sqref="C81">
    <cfRule type="cellIs" dxfId="919" priority="300" stopIfTrue="1" operator="equal">
      <formula>"Napkin Hs"</formula>
    </cfRule>
  </conditionalFormatting>
  <conditionalFormatting sqref="C81">
    <cfRule type="cellIs" dxfId="918" priority="299" stopIfTrue="1" operator="equal">
      <formula>"Towel"</formula>
    </cfRule>
  </conditionalFormatting>
  <conditionalFormatting sqref="B84:C84 B86:C86 B88:C88">
    <cfRule type="cellIs" dxfId="917" priority="295" stopIfTrue="1" operator="equal">
      <formula>"Towel"</formula>
    </cfRule>
    <cfRule type="cellIs" dxfId="916" priority="296" stopIfTrue="1" operator="equal">
      <formula>"Napkin Hs"</formula>
    </cfRule>
  </conditionalFormatting>
  <conditionalFormatting sqref="B85:C85">
    <cfRule type="cellIs" dxfId="915" priority="291" stopIfTrue="1" operator="equal">
      <formula>"Towel"</formula>
    </cfRule>
    <cfRule type="cellIs" dxfId="914" priority="292" stopIfTrue="1" operator="equal">
      <formula>"Napkin Hs"</formula>
    </cfRule>
  </conditionalFormatting>
  <conditionalFormatting sqref="C84 C86 C88">
    <cfRule type="cellIs" dxfId="913" priority="294" stopIfTrue="1" operator="equal">
      <formula>"Napkin Hs"</formula>
    </cfRule>
  </conditionalFormatting>
  <conditionalFormatting sqref="C84:C86 C88">
    <cfRule type="cellIs" dxfId="912" priority="289" stopIfTrue="1" operator="equal">
      <formula>"Towel"</formula>
    </cfRule>
    <cfRule type="cellIs" dxfId="911" priority="290" stopIfTrue="1" operator="equal">
      <formula>"Napkin Hs"</formula>
    </cfRule>
  </conditionalFormatting>
  <conditionalFormatting sqref="C85">
    <cfRule type="cellIs" dxfId="910" priority="287" stopIfTrue="1" operator="equal">
      <formula>"Towel"</formula>
    </cfRule>
    <cfRule type="cellIs" dxfId="909" priority="288" stopIfTrue="1" operator="equal">
      <formula>"Napkin Hs"</formula>
    </cfRule>
  </conditionalFormatting>
  <conditionalFormatting sqref="C84 C86 C88">
    <cfRule type="cellIs" dxfId="908" priority="293" stopIfTrue="1" operator="equal">
      <formula>"Towel"</formula>
    </cfRule>
  </conditionalFormatting>
  <conditionalFormatting sqref="B87:C87">
    <cfRule type="cellIs" dxfId="907" priority="285" stopIfTrue="1" operator="equal">
      <formula>"Towel"</formula>
    </cfRule>
    <cfRule type="cellIs" dxfId="906" priority="286" stopIfTrue="1" operator="equal">
      <formula>"Napkin Hs"</formula>
    </cfRule>
  </conditionalFormatting>
  <conditionalFormatting sqref="C87">
    <cfRule type="cellIs" dxfId="905" priority="281" stopIfTrue="1" operator="equal">
      <formula>"Towel"</formula>
    </cfRule>
    <cfRule type="cellIs" dxfId="904" priority="282" stopIfTrue="1" operator="equal">
      <formula>"Napkin Hs"</formula>
    </cfRule>
  </conditionalFormatting>
  <conditionalFormatting sqref="C87">
    <cfRule type="cellIs" dxfId="903" priority="284" stopIfTrue="1" operator="equal">
      <formula>"Napkin Hs"</formula>
    </cfRule>
  </conditionalFormatting>
  <conditionalFormatting sqref="C87">
    <cfRule type="cellIs" dxfId="902" priority="283" stopIfTrue="1" operator="equal">
      <formula>"Towel"</formula>
    </cfRule>
  </conditionalFormatting>
  <conditionalFormatting sqref="B90:C90 B92:C92 B94:C94">
    <cfRule type="cellIs" dxfId="901" priority="279" stopIfTrue="1" operator="equal">
      <formula>"Towel"</formula>
    </cfRule>
    <cfRule type="cellIs" dxfId="900" priority="280" stopIfTrue="1" operator="equal">
      <formula>"Napkin Hs"</formula>
    </cfRule>
  </conditionalFormatting>
  <conditionalFormatting sqref="B91:C91">
    <cfRule type="cellIs" dxfId="899" priority="275" stopIfTrue="1" operator="equal">
      <formula>"Towel"</formula>
    </cfRule>
    <cfRule type="cellIs" dxfId="898" priority="276" stopIfTrue="1" operator="equal">
      <formula>"Napkin Hs"</formula>
    </cfRule>
  </conditionalFormatting>
  <conditionalFormatting sqref="C90 C92 C94">
    <cfRule type="cellIs" dxfId="897" priority="278" stopIfTrue="1" operator="equal">
      <formula>"Napkin Hs"</formula>
    </cfRule>
  </conditionalFormatting>
  <conditionalFormatting sqref="C90:C92 C94">
    <cfRule type="cellIs" dxfId="896" priority="273" stopIfTrue="1" operator="equal">
      <formula>"Towel"</formula>
    </cfRule>
    <cfRule type="cellIs" dxfId="895" priority="274" stopIfTrue="1" operator="equal">
      <formula>"Napkin Hs"</formula>
    </cfRule>
  </conditionalFormatting>
  <conditionalFormatting sqref="C91">
    <cfRule type="cellIs" dxfId="894" priority="271" stopIfTrue="1" operator="equal">
      <formula>"Towel"</formula>
    </cfRule>
    <cfRule type="cellIs" dxfId="893" priority="272" stopIfTrue="1" operator="equal">
      <formula>"Napkin Hs"</formula>
    </cfRule>
  </conditionalFormatting>
  <conditionalFormatting sqref="C90 C92 C94">
    <cfRule type="cellIs" dxfId="892" priority="277" stopIfTrue="1" operator="equal">
      <formula>"Towel"</formula>
    </cfRule>
  </conditionalFormatting>
  <conditionalFormatting sqref="B93:C93">
    <cfRule type="cellIs" dxfId="891" priority="269" stopIfTrue="1" operator="equal">
      <formula>"Towel"</formula>
    </cfRule>
    <cfRule type="cellIs" dxfId="890" priority="270" stopIfTrue="1" operator="equal">
      <formula>"Napkin Hs"</formula>
    </cfRule>
  </conditionalFormatting>
  <conditionalFormatting sqref="C93">
    <cfRule type="cellIs" dxfId="889" priority="265" stopIfTrue="1" operator="equal">
      <formula>"Towel"</formula>
    </cfRule>
    <cfRule type="cellIs" dxfId="888" priority="266" stopIfTrue="1" operator="equal">
      <formula>"Napkin Hs"</formula>
    </cfRule>
  </conditionalFormatting>
  <conditionalFormatting sqref="C93">
    <cfRule type="cellIs" dxfId="887" priority="268" stopIfTrue="1" operator="equal">
      <formula>"Napkin Hs"</formula>
    </cfRule>
  </conditionalFormatting>
  <conditionalFormatting sqref="C93">
    <cfRule type="cellIs" dxfId="886" priority="267" stopIfTrue="1" operator="equal">
      <formula>"Towel"</formula>
    </cfRule>
  </conditionalFormatting>
  <conditionalFormatting sqref="B96:C96 B98:C98 B100:C100">
    <cfRule type="cellIs" dxfId="885" priority="263" stopIfTrue="1" operator="equal">
      <formula>"Towel"</formula>
    </cfRule>
    <cfRule type="cellIs" dxfId="884" priority="264" stopIfTrue="1" operator="equal">
      <formula>"Napkin Hs"</formula>
    </cfRule>
  </conditionalFormatting>
  <conditionalFormatting sqref="B97:C97">
    <cfRule type="cellIs" dxfId="883" priority="259" stopIfTrue="1" operator="equal">
      <formula>"Towel"</formula>
    </cfRule>
    <cfRule type="cellIs" dxfId="882" priority="260" stopIfTrue="1" operator="equal">
      <formula>"Napkin Hs"</formula>
    </cfRule>
  </conditionalFormatting>
  <conditionalFormatting sqref="C96 C98 C100">
    <cfRule type="cellIs" dxfId="881" priority="262" stopIfTrue="1" operator="equal">
      <formula>"Napkin Hs"</formula>
    </cfRule>
  </conditionalFormatting>
  <conditionalFormatting sqref="C96:C98 C100">
    <cfRule type="cellIs" dxfId="880" priority="257" stopIfTrue="1" operator="equal">
      <formula>"Towel"</formula>
    </cfRule>
    <cfRule type="cellIs" dxfId="879" priority="258" stopIfTrue="1" operator="equal">
      <formula>"Napkin Hs"</formula>
    </cfRule>
  </conditionalFormatting>
  <conditionalFormatting sqref="C97">
    <cfRule type="cellIs" dxfId="878" priority="255" stopIfTrue="1" operator="equal">
      <formula>"Towel"</formula>
    </cfRule>
    <cfRule type="cellIs" dxfId="877" priority="256" stopIfTrue="1" operator="equal">
      <formula>"Napkin Hs"</formula>
    </cfRule>
  </conditionalFormatting>
  <conditionalFormatting sqref="C96 C98 C100">
    <cfRule type="cellIs" dxfId="876" priority="261" stopIfTrue="1" operator="equal">
      <formula>"Towel"</formula>
    </cfRule>
  </conditionalFormatting>
  <conditionalFormatting sqref="B99:C99">
    <cfRule type="cellIs" dxfId="875" priority="253" stopIfTrue="1" operator="equal">
      <formula>"Towel"</formula>
    </cfRule>
    <cfRule type="cellIs" dxfId="874" priority="254" stopIfTrue="1" operator="equal">
      <formula>"Napkin Hs"</formula>
    </cfRule>
  </conditionalFormatting>
  <conditionalFormatting sqref="C99">
    <cfRule type="cellIs" dxfId="873" priority="249" stopIfTrue="1" operator="equal">
      <formula>"Towel"</formula>
    </cfRule>
    <cfRule type="cellIs" dxfId="872" priority="250" stopIfTrue="1" operator="equal">
      <formula>"Napkin Hs"</formula>
    </cfRule>
  </conditionalFormatting>
  <conditionalFormatting sqref="C99">
    <cfRule type="cellIs" dxfId="871" priority="252" stopIfTrue="1" operator="equal">
      <formula>"Napkin Hs"</formula>
    </cfRule>
  </conditionalFormatting>
  <conditionalFormatting sqref="C99">
    <cfRule type="cellIs" dxfId="870" priority="251" stopIfTrue="1" operator="equal">
      <formula>"Towel"</formula>
    </cfRule>
  </conditionalFormatting>
  <conditionalFormatting sqref="B102:C102 B104:C104">
    <cfRule type="cellIs" dxfId="869" priority="247" stopIfTrue="1" operator="equal">
      <formula>"Towel"</formula>
    </cfRule>
    <cfRule type="cellIs" dxfId="868" priority="248" stopIfTrue="1" operator="equal">
      <formula>"Napkin Hs"</formula>
    </cfRule>
  </conditionalFormatting>
  <conditionalFormatting sqref="B103:C103">
    <cfRule type="cellIs" dxfId="867" priority="243" stopIfTrue="1" operator="equal">
      <formula>"Towel"</formula>
    </cfRule>
    <cfRule type="cellIs" dxfId="866" priority="244" stopIfTrue="1" operator="equal">
      <formula>"Napkin Hs"</formula>
    </cfRule>
  </conditionalFormatting>
  <conditionalFormatting sqref="C102 C104">
    <cfRule type="cellIs" dxfId="865" priority="246" stopIfTrue="1" operator="equal">
      <formula>"Napkin Hs"</formula>
    </cfRule>
  </conditionalFormatting>
  <conditionalFormatting sqref="C102:C104">
    <cfRule type="cellIs" dxfId="864" priority="241" stopIfTrue="1" operator="equal">
      <formula>"Towel"</formula>
    </cfRule>
    <cfRule type="cellIs" dxfId="863" priority="242" stopIfTrue="1" operator="equal">
      <formula>"Napkin Hs"</formula>
    </cfRule>
  </conditionalFormatting>
  <conditionalFormatting sqref="C103">
    <cfRule type="cellIs" dxfId="862" priority="239" stopIfTrue="1" operator="equal">
      <formula>"Towel"</formula>
    </cfRule>
    <cfRule type="cellIs" dxfId="861" priority="240" stopIfTrue="1" operator="equal">
      <formula>"Napkin Hs"</formula>
    </cfRule>
  </conditionalFormatting>
  <conditionalFormatting sqref="C102 C104">
    <cfRule type="cellIs" dxfId="860" priority="245" stopIfTrue="1" operator="equal">
      <formula>"Towel"</formula>
    </cfRule>
  </conditionalFormatting>
  <conditionalFormatting sqref="B105:C105">
    <cfRule type="cellIs" dxfId="859" priority="237" stopIfTrue="1" operator="equal">
      <formula>"Towel"</formula>
    </cfRule>
    <cfRule type="cellIs" dxfId="858" priority="238" stopIfTrue="1" operator="equal">
      <formula>"Napkin Hs"</formula>
    </cfRule>
  </conditionalFormatting>
  <conditionalFormatting sqref="C105">
    <cfRule type="cellIs" dxfId="857" priority="233" stopIfTrue="1" operator="equal">
      <formula>"Towel"</formula>
    </cfRule>
    <cfRule type="cellIs" dxfId="856" priority="234" stopIfTrue="1" operator="equal">
      <formula>"Napkin Hs"</formula>
    </cfRule>
  </conditionalFormatting>
  <conditionalFormatting sqref="C105">
    <cfRule type="cellIs" dxfId="855" priority="236" stopIfTrue="1" operator="equal">
      <formula>"Napkin Hs"</formula>
    </cfRule>
  </conditionalFormatting>
  <conditionalFormatting sqref="C105">
    <cfRule type="cellIs" dxfId="854" priority="235" stopIfTrue="1" operator="equal">
      <formula>"Towel"</formula>
    </cfRule>
  </conditionalFormatting>
  <conditionalFormatting sqref="B107:C109">
    <cfRule type="cellIs" dxfId="853" priority="231" stopIfTrue="1" operator="equal">
      <formula>"Towel"</formula>
    </cfRule>
    <cfRule type="cellIs" dxfId="852" priority="232" stopIfTrue="1" operator="equal">
      <formula>"Napkin Hs"</formula>
    </cfRule>
  </conditionalFormatting>
  <conditionalFormatting sqref="C107:C109">
    <cfRule type="cellIs" dxfId="851" priority="230" stopIfTrue="1" operator="equal">
      <formula>"Napkin Hs"</formula>
    </cfRule>
  </conditionalFormatting>
  <conditionalFormatting sqref="C107:C109">
    <cfRule type="cellIs" dxfId="850" priority="225" stopIfTrue="1" operator="equal">
      <formula>"Towel"</formula>
    </cfRule>
    <cfRule type="cellIs" dxfId="849" priority="226" stopIfTrue="1" operator="equal">
      <formula>"Napkin Hs"</formula>
    </cfRule>
  </conditionalFormatting>
  <conditionalFormatting sqref="C107:C109">
    <cfRule type="cellIs" dxfId="848" priority="229" stopIfTrue="1" operator="equal">
      <formula>"Towel"</formula>
    </cfRule>
  </conditionalFormatting>
  <conditionalFormatting sqref="B110:C110">
    <cfRule type="cellIs" dxfId="847" priority="221" stopIfTrue="1" operator="equal">
      <formula>"Towel"</formula>
    </cfRule>
    <cfRule type="cellIs" dxfId="846" priority="222" stopIfTrue="1" operator="equal">
      <formula>"Napkin Hs"</formula>
    </cfRule>
  </conditionalFormatting>
  <conditionalFormatting sqref="C110">
    <cfRule type="cellIs" dxfId="845" priority="217" stopIfTrue="1" operator="equal">
      <formula>"Towel"</formula>
    </cfRule>
    <cfRule type="cellIs" dxfId="844" priority="218" stopIfTrue="1" operator="equal">
      <formula>"Napkin Hs"</formula>
    </cfRule>
  </conditionalFormatting>
  <conditionalFormatting sqref="C110">
    <cfRule type="cellIs" dxfId="843" priority="220" stopIfTrue="1" operator="equal">
      <formula>"Napkin Hs"</formula>
    </cfRule>
  </conditionalFormatting>
  <conditionalFormatting sqref="C110">
    <cfRule type="cellIs" dxfId="842" priority="219" stopIfTrue="1" operator="equal">
      <formula>"Towel"</formula>
    </cfRule>
  </conditionalFormatting>
  <conditionalFormatting sqref="B112:C114">
    <cfRule type="cellIs" dxfId="841" priority="215" stopIfTrue="1" operator="equal">
      <formula>"Towel"</formula>
    </cfRule>
    <cfRule type="cellIs" dxfId="840" priority="216" stopIfTrue="1" operator="equal">
      <formula>"Napkin Hs"</formula>
    </cfRule>
  </conditionalFormatting>
  <conditionalFormatting sqref="C112:C114">
    <cfRule type="cellIs" dxfId="839" priority="214" stopIfTrue="1" operator="equal">
      <formula>"Napkin Hs"</formula>
    </cfRule>
  </conditionalFormatting>
  <conditionalFormatting sqref="C112:C114">
    <cfRule type="cellIs" dxfId="838" priority="211" stopIfTrue="1" operator="equal">
      <formula>"Towel"</formula>
    </cfRule>
    <cfRule type="cellIs" dxfId="837" priority="212" stopIfTrue="1" operator="equal">
      <formula>"Napkin Hs"</formula>
    </cfRule>
  </conditionalFormatting>
  <conditionalFormatting sqref="C112:C114">
    <cfRule type="cellIs" dxfId="836" priority="213" stopIfTrue="1" operator="equal">
      <formula>"Towel"</formula>
    </cfRule>
  </conditionalFormatting>
  <conditionalFormatting sqref="B115:C115">
    <cfRule type="cellIs" dxfId="835" priority="209" stopIfTrue="1" operator="equal">
      <formula>"Towel"</formula>
    </cfRule>
    <cfRule type="cellIs" dxfId="834" priority="210" stopIfTrue="1" operator="equal">
      <formula>"Napkin Hs"</formula>
    </cfRule>
  </conditionalFormatting>
  <conditionalFormatting sqref="C115">
    <cfRule type="cellIs" dxfId="833" priority="205" stopIfTrue="1" operator="equal">
      <formula>"Towel"</formula>
    </cfRule>
    <cfRule type="cellIs" dxfId="832" priority="206" stopIfTrue="1" operator="equal">
      <formula>"Napkin Hs"</formula>
    </cfRule>
  </conditionalFormatting>
  <conditionalFormatting sqref="C115">
    <cfRule type="cellIs" dxfId="831" priority="208" stopIfTrue="1" operator="equal">
      <formula>"Napkin Hs"</formula>
    </cfRule>
  </conditionalFormatting>
  <conditionalFormatting sqref="C115">
    <cfRule type="cellIs" dxfId="830" priority="207" stopIfTrue="1" operator="equal">
      <formula>"Towel"</formula>
    </cfRule>
  </conditionalFormatting>
  <conditionalFormatting sqref="B117:C119">
    <cfRule type="cellIs" dxfId="829" priority="203" stopIfTrue="1" operator="equal">
      <formula>"Towel"</formula>
    </cfRule>
    <cfRule type="cellIs" dxfId="828" priority="204" stopIfTrue="1" operator="equal">
      <formula>"Napkin Hs"</formula>
    </cfRule>
  </conditionalFormatting>
  <conditionalFormatting sqref="C117:C119">
    <cfRule type="cellIs" dxfId="827" priority="202" stopIfTrue="1" operator="equal">
      <formula>"Napkin Hs"</formula>
    </cfRule>
  </conditionalFormatting>
  <conditionalFormatting sqref="C117:C119">
    <cfRule type="cellIs" dxfId="826" priority="199" stopIfTrue="1" operator="equal">
      <formula>"Towel"</formula>
    </cfRule>
    <cfRule type="cellIs" dxfId="825" priority="200" stopIfTrue="1" operator="equal">
      <formula>"Napkin Hs"</formula>
    </cfRule>
  </conditionalFormatting>
  <conditionalFormatting sqref="C117:C119">
    <cfRule type="cellIs" dxfId="824" priority="201" stopIfTrue="1" operator="equal">
      <formula>"Towel"</formula>
    </cfRule>
  </conditionalFormatting>
  <conditionalFormatting sqref="B120:C120">
    <cfRule type="cellIs" dxfId="823" priority="197" stopIfTrue="1" operator="equal">
      <formula>"Towel"</formula>
    </cfRule>
    <cfRule type="cellIs" dxfId="822" priority="198" stopIfTrue="1" operator="equal">
      <formula>"Napkin Hs"</formula>
    </cfRule>
  </conditionalFormatting>
  <conditionalFormatting sqref="C120">
    <cfRule type="cellIs" dxfId="821" priority="193" stopIfTrue="1" operator="equal">
      <formula>"Towel"</formula>
    </cfRule>
    <cfRule type="cellIs" dxfId="820" priority="194" stopIfTrue="1" operator="equal">
      <formula>"Napkin Hs"</formula>
    </cfRule>
  </conditionalFormatting>
  <conditionalFormatting sqref="C120">
    <cfRule type="cellIs" dxfId="819" priority="196" stopIfTrue="1" operator="equal">
      <formula>"Napkin Hs"</formula>
    </cfRule>
  </conditionalFormatting>
  <conditionalFormatting sqref="C120">
    <cfRule type="cellIs" dxfId="818" priority="195" stopIfTrue="1" operator="equal">
      <formula>"Towel"</formula>
    </cfRule>
  </conditionalFormatting>
  <conditionalFormatting sqref="B122:C124">
    <cfRule type="cellIs" dxfId="817" priority="191" stopIfTrue="1" operator="equal">
      <formula>"Towel"</formula>
    </cfRule>
    <cfRule type="cellIs" dxfId="816" priority="192" stopIfTrue="1" operator="equal">
      <formula>"Napkin Hs"</formula>
    </cfRule>
  </conditionalFormatting>
  <conditionalFormatting sqref="C122:C124">
    <cfRule type="cellIs" dxfId="815" priority="190" stopIfTrue="1" operator="equal">
      <formula>"Napkin Hs"</formula>
    </cfRule>
  </conditionalFormatting>
  <conditionalFormatting sqref="C122:C124">
    <cfRule type="cellIs" dxfId="814" priority="187" stopIfTrue="1" operator="equal">
      <formula>"Towel"</formula>
    </cfRule>
    <cfRule type="cellIs" dxfId="813" priority="188" stopIfTrue="1" operator="equal">
      <formula>"Napkin Hs"</formula>
    </cfRule>
  </conditionalFormatting>
  <conditionalFormatting sqref="C122:C124">
    <cfRule type="cellIs" dxfId="812" priority="189" stopIfTrue="1" operator="equal">
      <formula>"Towel"</formula>
    </cfRule>
  </conditionalFormatting>
  <conditionalFormatting sqref="B125:C125">
    <cfRule type="cellIs" dxfId="811" priority="185" stopIfTrue="1" operator="equal">
      <formula>"Towel"</formula>
    </cfRule>
    <cfRule type="cellIs" dxfId="810" priority="186" stopIfTrue="1" operator="equal">
      <formula>"Napkin Hs"</formula>
    </cfRule>
  </conditionalFormatting>
  <conditionalFormatting sqref="C125">
    <cfRule type="cellIs" dxfId="809" priority="181" stopIfTrue="1" operator="equal">
      <formula>"Towel"</formula>
    </cfRule>
    <cfRule type="cellIs" dxfId="808" priority="182" stopIfTrue="1" operator="equal">
      <formula>"Napkin Hs"</formula>
    </cfRule>
  </conditionalFormatting>
  <conditionalFormatting sqref="C125">
    <cfRule type="cellIs" dxfId="807" priority="184" stopIfTrue="1" operator="equal">
      <formula>"Napkin Hs"</formula>
    </cfRule>
  </conditionalFormatting>
  <conditionalFormatting sqref="C125">
    <cfRule type="cellIs" dxfId="806" priority="183" stopIfTrue="1" operator="equal">
      <formula>"Towel"</formula>
    </cfRule>
  </conditionalFormatting>
  <conditionalFormatting sqref="B129:C129">
    <cfRule type="cellIs" dxfId="805" priority="179" stopIfTrue="1" operator="equal">
      <formula>"Towel"</formula>
    </cfRule>
    <cfRule type="cellIs" dxfId="804" priority="180" stopIfTrue="1" operator="equal">
      <formula>"Napkin Hs"</formula>
    </cfRule>
  </conditionalFormatting>
  <conditionalFormatting sqref="C129">
    <cfRule type="cellIs" dxfId="803" priority="178" stopIfTrue="1" operator="equal">
      <formula>"Napkin Hs"</formula>
    </cfRule>
  </conditionalFormatting>
  <conditionalFormatting sqref="C129">
    <cfRule type="cellIs" dxfId="802" priority="175" stopIfTrue="1" operator="equal">
      <formula>"Towel"</formula>
    </cfRule>
    <cfRule type="cellIs" dxfId="801" priority="176" stopIfTrue="1" operator="equal">
      <formula>"Napkin Hs"</formula>
    </cfRule>
  </conditionalFormatting>
  <conditionalFormatting sqref="C129">
    <cfRule type="cellIs" dxfId="800" priority="177" stopIfTrue="1" operator="equal">
      <formula>"Towel"</formula>
    </cfRule>
  </conditionalFormatting>
  <conditionalFormatting sqref="B130:C130">
    <cfRule type="cellIs" dxfId="799" priority="173" stopIfTrue="1" operator="equal">
      <formula>"Towel"</formula>
    </cfRule>
    <cfRule type="cellIs" dxfId="798" priority="174" stopIfTrue="1" operator="equal">
      <formula>"Napkin Hs"</formula>
    </cfRule>
  </conditionalFormatting>
  <conditionalFormatting sqref="C130">
    <cfRule type="cellIs" dxfId="797" priority="169" stopIfTrue="1" operator="equal">
      <formula>"Towel"</formula>
    </cfRule>
    <cfRule type="cellIs" dxfId="796" priority="170" stopIfTrue="1" operator="equal">
      <formula>"Napkin Hs"</formula>
    </cfRule>
  </conditionalFormatting>
  <conditionalFormatting sqref="C130">
    <cfRule type="cellIs" dxfId="795" priority="172" stopIfTrue="1" operator="equal">
      <formula>"Napkin Hs"</formula>
    </cfRule>
  </conditionalFormatting>
  <conditionalFormatting sqref="C130">
    <cfRule type="cellIs" dxfId="794" priority="171" stopIfTrue="1" operator="equal">
      <formula>"Towel"</formula>
    </cfRule>
  </conditionalFormatting>
  <conditionalFormatting sqref="B127:C127">
    <cfRule type="cellIs" dxfId="793" priority="167" stopIfTrue="1" operator="equal">
      <formula>"Towel"</formula>
    </cfRule>
    <cfRule type="cellIs" dxfId="792" priority="168" stopIfTrue="1" operator="equal">
      <formula>"Napkin Hs"</formula>
    </cfRule>
  </conditionalFormatting>
  <conditionalFormatting sqref="C127">
    <cfRule type="cellIs" dxfId="791" priority="166" stopIfTrue="1" operator="equal">
      <formula>"Napkin Hs"</formula>
    </cfRule>
  </conditionalFormatting>
  <conditionalFormatting sqref="C127">
    <cfRule type="cellIs" dxfId="790" priority="163" stopIfTrue="1" operator="equal">
      <formula>"Towel"</formula>
    </cfRule>
    <cfRule type="cellIs" dxfId="789" priority="164" stopIfTrue="1" operator="equal">
      <formula>"Napkin Hs"</formula>
    </cfRule>
  </conditionalFormatting>
  <conditionalFormatting sqref="C127">
    <cfRule type="cellIs" dxfId="788" priority="165" stopIfTrue="1" operator="equal">
      <formula>"Towel"</formula>
    </cfRule>
  </conditionalFormatting>
  <conditionalFormatting sqref="B128:C128">
    <cfRule type="cellIs" dxfId="787" priority="161" stopIfTrue="1" operator="equal">
      <formula>"Towel"</formula>
    </cfRule>
    <cfRule type="cellIs" dxfId="786" priority="162" stopIfTrue="1" operator="equal">
      <formula>"Napkin Hs"</formula>
    </cfRule>
  </conditionalFormatting>
  <conditionalFormatting sqref="C128">
    <cfRule type="cellIs" dxfId="785" priority="160" stopIfTrue="1" operator="equal">
      <formula>"Napkin Hs"</formula>
    </cfRule>
  </conditionalFormatting>
  <conditionalFormatting sqref="C128">
    <cfRule type="cellIs" dxfId="784" priority="157" stopIfTrue="1" operator="equal">
      <formula>"Towel"</formula>
    </cfRule>
    <cfRule type="cellIs" dxfId="783" priority="158" stopIfTrue="1" operator="equal">
      <formula>"Napkin Hs"</formula>
    </cfRule>
  </conditionalFormatting>
  <conditionalFormatting sqref="C128">
    <cfRule type="cellIs" dxfId="782" priority="159" stopIfTrue="1" operator="equal">
      <formula>"Towel"</formula>
    </cfRule>
  </conditionalFormatting>
  <conditionalFormatting sqref="B133:C134">
    <cfRule type="cellIs" dxfId="781" priority="143" stopIfTrue="1" operator="equal">
      <formula>"Towel"</formula>
    </cfRule>
    <cfRule type="cellIs" dxfId="780" priority="144" stopIfTrue="1" operator="equal">
      <formula>"Napkin Hs"</formula>
    </cfRule>
  </conditionalFormatting>
  <conditionalFormatting sqref="C133:C134">
    <cfRule type="cellIs" dxfId="779" priority="142" stopIfTrue="1" operator="equal">
      <formula>"Napkin Hs"</formula>
    </cfRule>
  </conditionalFormatting>
  <conditionalFormatting sqref="C133:C134">
    <cfRule type="cellIs" dxfId="778" priority="139" stopIfTrue="1" operator="equal">
      <formula>"Towel"</formula>
    </cfRule>
    <cfRule type="cellIs" dxfId="777" priority="140" stopIfTrue="1" operator="equal">
      <formula>"Napkin Hs"</formula>
    </cfRule>
  </conditionalFormatting>
  <conditionalFormatting sqref="C133:C134">
    <cfRule type="cellIs" dxfId="776" priority="141" stopIfTrue="1" operator="equal">
      <formula>"Towel"</formula>
    </cfRule>
  </conditionalFormatting>
  <conditionalFormatting sqref="B132:C132">
    <cfRule type="cellIs" dxfId="775" priority="137" stopIfTrue="1" operator="equal">
      <formula>"Towel"</formula>
    </cfRule>
    <cfRule type="cellIs" dxfId="774" priority="138" stopIfTrue="1" operator="equal">
      <formula>"Napkin Hs"</formula>
    </cfRule>
  </conditionalFormatting>
  <conditionalFormatting sqref="C132">
    <cfRule type="cellIs" dxfId="773" priority="136" stopIfTrue="1" operator="equal">
      <formula>"Napkin Hs"</formula>
    </cfRule>
  </conditionalFormatting>
  <conditionalFormatting sqref="C132">
    <cfRule type="cellIs" dxfId="772" priority="133" stopIfTrue="1" operator="equal">
      <formula>"Towel"</formula>
    </cfRule>
    <cfRule type="cellIs" dxfId="771" priority="134" stopIfTrue="1" operator="equal">
      <formula>"Napkin Hs"</formula>
    </cfRule>
  </conditionalFormatting>
  <conditionalFormatting sqref="C132">
    <cfRule type="cellIs" dxfId="770" priority="135" stopIfTrue="1" operator="equal">
      <formula>"Towel"</formula>
    </cfRule>
  </conditionalFormatting>
  <conditionalFormatting sqref="B137:C138">
    <cfRule type="cellIs" dxfId="769" priority="131" stopIfTrue="1" operator="equal">
      <formula>"Towel"</formula>
    </cfRule>
    <cfRule type="cellIs" dxfId="768" priority="132" stopIfTrue="1" operator="equal">
      <formula>"Napkin Hs"</formula>
    </cfRule>
  </conditionalFormatting>
  <conditionalFormatting sqref="C137:C138">
    <cfRule type="cellIs" dxfId="767" priority="130" stopIfTrue="1" operator="equal">
      <formula>"Napkin Hs"</formula>
    </cfRule>
  </conditionalFormatting>
  <conditionalFormatting sqref="C137:C138">
    <cfRule type="cellIs" dxfId="766" priority="127" stopIfTrue="1" operator="equal">
      <formula>"Towel"</formula>
    </cfRule>
    <cfRule type="cellIs" dxfId="765" priority="128" stopIfTrue="1" operator="equal">
      <formula>"Napkin Hs"</formula>
    </cfRule>
  </conditionalFormatting>
  <conditionalFormatting sqref="C137:C138">
    <cfRule type="cellIs" dxfId="764" priority="129" stopIfTrue="1" operator="equal">
      <formula>"Towel"</formula>
    </cfRule>
  </conditionalFormatting>
  <conditionalFormatting sqref="B139:C139">
    <cfRule type="cellIs" dxfId="763" priority="125" stopIfTrue="1" operator="equal">
      <formula>"Towel"</formula>
    </cfRule>
    <cfRule type="cellIs" dxfId="762" priority="126" stopIfTrue="1" operator="equal">
      <formula>"Napkin Hs"</formula>
    </cfRule>
  </conditionalFormatting>
  <conditionalFormatting sqref="C139">
    <cfRule type="cellIs" dxfId="761" priority="121" stopIfTrue="1" operator="equal">
      <formula>"Towel"</formula>
    </cfRule>
    <cfRule type="cellIs" dxfId="760" priority="122" stopIfTrue="1" operator="equal">
      <formula>"Napkin Hs"</formula>
    </cfRule>
  </conditionalFormatting>
  <conditionalFormatting sqref="C139">
    <cfRule type="cellIs" dxfId="759" priority="124" stopIfTrue="1" operator="equal">
      <formula>"Napkin Hs"</formula>
    </cfRule>
  </conditionalFormatting>
  <conditionalFormatting sqref="C139">
    <cfRule type="cellIs" dxfId="758" priority="123" stopIfTrue="1" operator="equal">
      <formula>"Towel"</formula>
    </cfRule>
  </conditionalFormatting>
  <conditionalFormatting sqref="B136:C136">
    <cfRule type="cellIs" dxfId="757" priority="119" stopIfTrue="1" operator="equal">
      <formula>"Towel"</formula>
    </cfRule>
    <cfRule type="cellIs" dxfId="756" priority="120" stopIfTrue="1" operator="equal">
      <formula>"Napkin Hs"</formula>
    </cfRule>
  </conditionalFormatting>
  <conditionalFormatting sqref="C136">
    <cfRule type="cellIs" dxfId="755" priority="118" stopIfTrue="1" operator="equal">
      <formula>"Napkin Hs"</formula>
    </cfRule>
  </conditionalFormatting>
  <conditionalFormatting sqref="C136">
    <cfRule type="cellIs" dxfId="754" priority="115" stopIfTrue="1" operator="equal">
      <formula>"Towel"</formula>
    </cfRule>
    <cfRule type="cellIs" dxfId="753" priority="116" stopIfTrue="1" operator="equal">
      <formula>"Napkin Hs"</formula>
    </cfRule>
  </conditionalFormatting>
  <conditionalFormatting sqref="C136">
    <cfRule type="cellIs" dxfId="752" priority="117" stopIfTrue="1" operator="equal">
      <formula>"Towel"</formula>
    </cfRule>
  </conditionalFormatting>
  <conditionalFormatting sqref="B143:C143">
    <cfRule type="cellIs" dxfId="751" priority="113" stopIfTrue="1" operator="equal">
      <formula>"Towel"</formula>
    </cfRule>
    <cfRule type="cellIs" dxfId="750" priority="114" stopIfTrue="1" operator="equal">
      <formula>"Napkin Hs"</formula>
    </cfRule>
  </conditionalFormatting>
  <conditionalFormatting sqref="C143">
    <cfRule type="cellIs" dxfId="749" priority="112" stopIfTrue="1" operator="equal">
      <formula>"Napkin Hs"</formula>
    </cfRule>
  </conditionalFormatting>
  <conditionalFormatting sqref="C143">
    <cfRule type="cellIs" dxfId="748" priority="109" stopIfTrue="1" operator="equal">
      <formula>"Towel"</formula>
    </cfRule>
    <cfRule type="cellIs" dxfId="747" priority="110" stopIfTrue="1" operator="equal">
      <formula>"Napkin Hs"</formula>
    </cfRule>
  </conditionalFormatting>
  <conditionalFormatting sqref="C143">
    <cfRule type="cellIs" dxfId="746" priority="111" stopIfTrue="1" operator="equal">
      <formula>"Towel"</formula>
    </cfRule>
  </conditionalFormatting>
  <conditionalFormatting sqref="B141:C142">
    <cfRule type="cellIs" dxfId="745" priority="107" stopIfTrue="1" operator="equal">
      <formula>"Towel"</formula>
    </cfRule>
    <cfRule type="cellIs" dxfId="744" priority="108" stopIfTrue="1" operator="equal">
      <formula>"Napkin Hs"</formula>
    </cfRule>
  </conditionalFormatting>
  <conditionalFormatting sqref="C141:C142">
    <cfRule type="cellIs" dxfId="743" priority="106" stopIfTrue="1" operator="equal">
      <formula>"Napkin Hs"</formula>
    </cfRule>
  </conditionalFormatting>
  <conditionalFormatting sqref="C141:C142">
    <cfRule type="cellIs" dxfId="742" priority="103" stopIfTrue="1" operator="equal">
      <formula>"Towel"</formula>
    </cfRule>
    <cfRule type="cellIs" dxfId="741" priority="104" stopIfTrue="1" operator="equal">
      <formula>"Napkin Hs"</formula>
    </cfRule>
  </conditionalFormatting>
  <conditionalFormatting sqref="C141:C142">
    <cfRule type="cellIs" dxfId="740" priority="105" stopIfTrue="1" operator="equal">
      <formula>"Towel"</formula>
    </cfRule>
  </conditionalFormatting>
  <conditionalFormatting sqref="B147:C148">
    <cfRule type="cellIs" dxfId="739" priority="101" stopIfTrue="1" operator="equal">
      <formula>"Towel"</formula>
    </cfRule>
    <cfRule type="cellIs" dxfId="738" priority="102" stopIfTrue="1" operator="equal">
      <formula>"Napkin Hs"</formula>
    </cfRule>
  </conditionalFormatting>
  <conditionalFormatting sqref="C147:C148">
    <cfRule type="cellIs" dxfId="737" priority="100" stopIfTrue="1" operator="equal">
      <formula>"Napkin Hs"</formula>
    </cfRule>
  </conditionalFormatting>
  <conditionalFormatting sqref="C147:C148">
    <cfRule type="cellIs" dxfId="736" priority="97" stopIfTrue="1" operator="equal">
      <formula>"Towel"</formula>
    </cfRule>
    <cfRule type="cellIs" dxfId="735" priority="98" stopIfTrue="1" operator="equal">
      <formula>"Napkin Hs"</formula>
    </cfRule>
  </conditionalFormatting>
  <conditionalFormatting sqref="C147:C148">
    <cfRule type="cellIs" dxfId="734" priority="99" stopIfTrue="1" operator="equal">
      <formula>"Towel"</formula>
    </cfRule>
  </conditionalFormatting>
  <conditionalFormatting sqref="B146:C146">
    <cfRule type="cellIs" dxfId="733" priority="89" stopIfTrue="1" operator="equal">
      <formula>"Towel"</formula>
    </cfRule>
    <cfRule type="cellIs" dxfId="732" priority="90" stopIfTrue="1" operator="equal">
      <formula>"Napkin Hs"</formula>
    </cfRule>
  </conditionalFormatting>
  <conditionalFormatting sqref="C146">
    <cfRule type="cellIs" dxfId="731" priority="88" stopIfTrue="1" operator="equal">
      <formula>"Napkin Hs"</formula>
    </cfRule>
  </conditionalFormatting>
  <conditionalFormatting sqref="C146">
    <cfRule type="cellIs" dxfId="730" priority="85" stopIfTrue="1" operator="equal">
      <formula>"Towel"</formula>
    </cfRule>
    <cfRule type="cellIs" dxfId="729" priority="86" stopIfTrue="1" operator="equal">
      <formula>"Napkin Hs"</formula>
    </cfRule>
  </conditionalFormatting>
  <conditionalFormatting sqref="C146">
    <cfRule type="cellIs" dxfId="728" priority="87" stopIfTrue="1" operator="equal">
      <formula>"Towel"</formula>
    </cfRule>
  </conditionalFormatting>
  <conditionalFormatting sqref="C153">
    <cfRule type="cellIs" dxfId="727" priority="79" stopIfTrue="1" operator="equal">
      <formula>"Towel"</formula>
    </cfRule>
    <cfRule type="cellIs" dxfId="726" priority="80" stopIfTrue="1" operator="equal">
      <formula>"Napkin Hs"</formula>
    </cfRule>
  </conditionalFormatting>
  <conditionalFormatting sqref="B153:C153">
    <cfRule type="cellIs" dxfId="725" priority="83" stopIfTrue="1" operator="equal">
      <formula>"Towel"</formula>
    </cfRule>
    <cfRule type="cellIs" dxfId="724" priority="84" stopIfTrue="1" operator="equal">
      <formula>"Napkin Hs"</formula>
    </cfRule>
  </conditionalFormatting>
  <conditionalFormatting sqref="C153">
    <cfRule type="cellIs" dxfId="723" priority="82" stopIfTrue="1" operator="equal">
      <formula>"Napkin Hs"</formula>
    </cfRule>
  </conditionalFormatting>
  <conditionalFormatting sqref="C153">
    <cfRule type="cellIs" dxfId="722" priority="81" stopIfTrue="1" operator="equal">
      <formula>"Towel"</formula>
    </cfRule>
  </conditionalFormatting>
  <conditionalFormatting sqref="B152:C152">
    <cfRule type="cellIs" dxfId="721" priority="77" stopIfTrue="1" operator="equal">
      <formula>"Towel"</formula>
    </cfRule>
    <cfRule type="cellIs" dxfId="720" priority="78" stopIfTrue="1" operator="equal">
      <formula>"Napkin Hs"</formula>
    </cfRule>
  </conditionalFormatting>
  <conditionalFormatting sqref="C152">
    <cfRule type="cellIs" dxfId="719" priority="76" stopIfTrue="1" operator="equal">
      <formula>"Napkin Hs"</formula>
    </cfRule>
  </conditionalFormatting>
  <conditionalFormatting sqref="C152">
    <cfRule type="cellIs" dxfId="718" priority="73" stopIfTrue="1" operator="equal">
      <formula>"Towel"</formula>
    </cfRule>
    <cfRule type="cellIs" dxfId="717" priority="74" stopIfTrue="1" operator="equal">
      <formula>"Napkin Hs"</formula>
    </cfRule>
  </conditionalFormatting>
  <conditionalFormatting sqref="C152">
    <cfRule type="cellIs" dxfId="716" priority="75" stopIfTrue="1" operator="equal">
      <formula>"Towel"</formula>
    </cfRule>
  </conditionalFormatting>
  <conditionalFormatting sqref="B150:C151">
    <cfRule type="cellIs" dxfId="715" priority="71" stopIfTrue="1" operator="equal">
      <formula>"Towel"</formula>
    </cfRule>
    <cfRule type="cellIs" dxfId="714" priority="72" stopIfTrue="1" operator="equal">
      <formula>"Napkin Hs"</formula>
    </cfRule>
  </conditionalFormatting>
  <conditionalFormatting sqref="C150:C151">
    <cfRule type="cellIs" dxfId="713" priority="70" stopIfTrue="1" operator="equal">
      <formula>"Napkin Hs"</formula>
    </cfRule>
  </conditionalFormatting>
  <conditionalFormatting sqref="C150:C151">
    <cfRule type="cellIs" dxfId="712" priority="67" stopIfTrue="1" operator="equal">
      <formula>"Towel"</formula>
    </cfRule>
    <cfRule type="cellIs" dxfId="711" priority="68" stopIfTrue="1" operator="equal">
      <formula>"Napkin Hs"</formula>
    </cfRule>
  </conditionalFormatting>
  <conditionalFormatting sqref="C150:C151">
    <cfRule type="cellIs" dxfId="710" priority="69" stopIfTrue="1" operator="equal">
      <formula>"Towel"</formula>
    </cfRule>
  </conditionalFormatting>
  <conditionalFormatting sqref="B156:C157">
    <cfRule type="cellIs" dxfId="709" priority="65" stopIfTrue="1" operator="equal">
      <formula>"Towel"</formula>
    </cfRule>
    <cfRule type="cellIs" dxfId="708" priority="66" stopIfTrue="1" operator="equal">
      <formula>"Napkin Hs"</formula>
    </cfRule>
  </conditionalFormatting>
  <conditionalFormatting sqref="C156:C157">
    <cfRule type="cellIs" dxfId="707" priority="64" stopIfTrue="1" operator="equal">
      <formula>"Napkin Hs"</formula>
    </cfRule>
  </conditionalFormatting>
  <conditionalFormatting sqref="C156:C157">
    <cfRule type="cellIs" dxfId="706" priority="61" stopIfTrue="1" operator="equal">
      <formula>"Towel"</formula>
    </cfRule>
    <cfRule type="cellIs" dxfId="705" priority="62" stopIfTrue="1" operator="equal">
      <formula>"Napkin Hs"</formula>
    </cfRule>
  </conditionalFormatting>
  <conditionalFormatting sqref="C156:C157">
    <cfRule type="cellIs" dxfId="704" priority="63" stopIfTrue="1" operator="equal">
      <formula>"Towel"</formula>
    </cfRule>
  </conditionalFormatting>
  <conditionalFormatting sqref="B154:C155">
    <cfRule type="cellIs" dxfId="703" priority="53" stopIfTrue="1" operator="equal">
      <formula>"Towel"</formula>
    </cfRule>
    <cfRule type="cellIs" dxfId="702" priority="54" stopIfTrue="1" operator="equal">
      <formula>"Napkin Hs"</formula>
    </cfRule>
  </conditionalFormatting>
  <conditionalFormatting sqref="C154:C155">
    <cfRule type="cellIs" dxfId="701" priority="52" stopIfTrue="1" operator="equal">
      <formula>"Napkin Hs"</formula>
    </cfRule>
  </conditionalFormatting>
  <conditionalFormatting sqref="C154:C155">
    <cfRule type="cellIs" dxfId="700" priority="49" stopIfTrue="1" operator="equal">
      <formula>"Towel"</formula>
    </cfRule>
    <cfRule type="cellIs" dxfId="699" priority="50" stopIfTrue="1" operator="equal">
      <formula>"Napkin Hs"</formula>
    </cfRule>
  </conditionalFormatting>
  <conditionalFormatting sqref="C154:C155">
    <cfRule type="cellIs" dxfId="698" priority="51" stopIfTrue="1" operator="equal">
      <formula>"Towel"</formula>
    </cfRule>
  </conditionalFormatting>
  <conditionalFormatting sqref="C162">
    <cfRule type="cellIs" dxfId="697" priority="43" stopIfTrue="1" operator="equal">
      <formula>"Towel"</formula>
    </cfRule>
    <cfRule type="cellIs" dxfId="696" priority="44" stopIfTrue="1" operator="equal">
      <formula>"Napkin Hs"</formula>
    </cfRule>
  </conditionalFormatting>
  <conditionalFormatting sqref="B162:C162">
    <cfRule type="cellIs" dxfId="695" priority="47" stopIfTrue="1" operator="equal">
      <formula>"Towel"</formula>
    </cfRule>
    <cfRule type="cellIs" dxfId="694" priority="48" stopIfTrue="1" operator="equal">
      <formula>"Napkin Hs"</formula>
    </cfRule>
  </conditionalFormatting>
  <conditionalFormatting sqref="C162">
    <cfRule type="cellIs" dxfId="693" priority="46" stopIfTrue="1" operator="equal">
      <formula>"Napkin Hs"</formula>
    </cfRule>
  </conditionalFormatting>
  <conditionalFormatting sqref="C162">
    <cfRule type="cellIs" dxfId="692" priority="45" stopIfTrue="1" operator="equal">
      <formula>"Towel"</formula>
    </cfRule>
  </conditionalFormatting>
  <conditionalFormatting sqref="B161:C161">
    <cfRule type="cellIs" dxfId="691" priority="41" stopIfTrue="1" operator="equal">
      <formula>"Towel"</formula>
    </cfRule>
    <cfRule type="cellIs" dxfId="690" priority="42" stopIfTrue="1" operator="equal">
      <formula>"Napkin Hs"</formula>
    </cfRule>
  </conditionalFormatting>
  <conditionalFormatting sqref="C161">
    <cfRule type="cellIs" dxfId="689" priority="40" stopIfTrue="1" operator="equal">
      <formula>"Napkin Hs"</formula>
    </cfRule>
  </conditionalFormatting>
  <conditionalFormatting sqref="C161">
    <cfRule type="cellIs" dxfId="688" priority="37" stopIfTrue="1" operator="equal">
      <formula>"Towel"</formula>
    </cfRule>
    <cfRule type="cellIs" dxfId="687" priority="38" stopIfTrue="1" operator="equal">
      <formula>"Napkin Hs"</formula>
    </cfRule>
  </conditionalFormatting>
  <conditionalFormatting sqref="C161">
    <cfRule type="cellIs" dxfId="686" priority="39" stopIfTrue="1" operator="equal">
      <formula>"Towel"</formula>
    </cfRule>
  </conditionalFormatting>
  <conditionalFormatting sqref="B159:C160">
    <cfRule type="cellIs" dxfId="685" priority="29" stopIfTrue="1" operator="equal">
      <formula>"Towel"</formula>
    </cfRule>
    <cfRule type="cellIs" dxfId="684" priority="30" stopIfTrue="1" operator="equal">
      <formula>"Napkin Hs"</formula>
    </cfRule>
  </conditionalFormatting>
  <conditionalFormatting sqref="C159:C160">
    <cfRule type="cellIs" dxfId="683" priority="28" stopIfTrue="1" operator="equal">
      <formula>"Napkin Hs"</formula>
    </cfRule>
  </conditionalFormatting>
  <conditionalFormatting sqref="C159:C160">
    <cfRule type="cellIs" dxfId="682" priority="25" stopIfTrue="1" operator="equal">
      <formula>"Towel"</formula>
    </cfRule>
    <cfRule type="cellIs" dxfId="681" priority="26" stopIfTrue="1" operator="equal">
      <formula>"Napkin Hs"</formula>
    </cfRule>
  </conditionalFormatting>
  <conditionalFormatting sqref="C159:C160">
    <cfRule type="cellIs" dxfId="680" priority="27" stopIfTrue="1" operator="equal">
      <formula>"Towel"</formula>
    </cfRule>
  </conditionalFormatting>
  <conditionalFormatting sqref="C166">
    <cfRule type="cellIs" dxfId="679" priority="19" stopIfTrue="1" operator="equal">
      <formula>"Towel"</formula>
    </cfRule>
    <cfRule type="cellIs" dxfId="678" priority="20" stopIfTrue="1" operator="equal">
      <formula>"Napkin Hs"</formula>
    </cfRule>
  </conditionalFormatting>
  <conditionalFormatting sqref="B166:C166">
    <cfRule type="cellIs" dxfId="677" priority="23" stopIfTrue="1" operator="equal">
      <formula>"Towel"</formula>
    </cfRule>
    <cfRule type="cellIs" dxfId="676" priority="24" stopIfTrue="1" operator="equal">
      <formula>"Napkin Hs"</formula>
    </cfRule>
  </conditionalFormatting>
  <conditionalFormatting sqref="C166">
    <cfRule type="cellIs" dxfId="675" priority="22" stopIfTrue="1" operator="equal">
      <formula>"Napkin Hs"</formula>
    </cfRule>
  </conditionalFormatting>
  <conditionalFormatting sqref="C166">
    <cfRule type="cellIs" dxfId="674" priority="21" stopIfTrue="1" operator="equal">
      <formula>"Towel"</formula>
    </cfRule>
  </conditionalFormatting>
  <conditionalFormatting sqref="B165:C165">
    <cfRule type="cellIs" dxfId="673" priority="17" stopIfTrue="1" operator="equal">
      <formula>"Towel"</formula>
    </cfRule>
    <cfRule type="cellIs" dxfId="672" priority="18" stopIfTrue="1" operator="equal">
      <formula>"Napkin Hs"</formula>
    </cfRule>
  </conditionalFormatting>
  <conditionalFormatting sqref="C165">
    <cfRule type="cellIs" dxfId="671" priority="16" stopIfTrue="1" operator="equal">
      <formula>"Napkin Hs"</formula>
    </cfRule>
  </conditionalFormatting>
  <conditionalFormatting sqref="C165">
    <cfRule type="cellIs" dxfId="670" priority="13" stopIfTrue="1" operator="equal">
      <formula>"Towel"</formula>
    </cfRule>
    <cfRule type="cellIs" dxfId="669" priority="14" stopIfTrue="1" operator="equal">
      <formula>"Napkin Hs"</formula>
    </cfRule>
  </conditionalFormatting>
  <conditionalFormatting sqref="C165">
    <cfRule type="cellIs" dxfId="668" priority="15" stopIfTrue="1" operator="equal">
      <formula>"Towel"</formula>
    </cfRule>
  </conditionalFormatting>
  <conditionalFormatting sqref="B164:C164">
    <cfRule type="cellIs" dxfId="667" priority="11" stopIfTrue="1" operator="equal">
      <formula>"Towel"</formula>
    </cfRule>
    <cfRule type="cellIs" dxfId="666" priority="12" stopIfTrue="1" operator="equal">
      <formula>"Napkin Hs"</formula>
    </cfRule>
  </conditionalFormatting>
  <conditionalFormatting sqref="C164">
    <cfRule type="cellIs" dxfId="665" priority="10" stopIfTrue="1" operator="equal">
      <formula>"Napkin Hs"</formula>
    </cfRule>
  </conditionalFormatting>
  <conditionalFormatting sqref="C164">
    <cfRule type="cellIs" dxfId="664" priority="7" stopIfTrue="1" operator="equal">
      <formula>"Towel"</formula>
    </cfRule>
    <cfRule type="cellIs" dxfId="663" priority="8" stopIfTrue="1" operator="equal">
      <formula>"Napkin Hs"</formula>
    </cfRule>
  </conditionalFormatting>
  <conditionalFormatting sqref="C164">
    <cfRule type="cellIs" dxfId="662" priority="9" stopIfTrue="1" operator="equal">
      <formula>"Towel"</formula>
    </cfRule>
  </conditionalFormatting>
  <conditionalFormatting sqref="B163:C163">
    <cfRule type="cellIs" dxfId="661" priority="5" stopIfTrue="1" operator="equal">
      <formula>"Towel"</formula>
    </cfRule>
    <cfRule type="cellIs" dxfId="660" priority="6" stopIfTrue="1" operator="equal">
      <formula>"Napkin Hs"</formula>
    </cfRule>
  </conditionalFormatting>
  <conditionalFormatting sqref="C163">
    <cfRule type="cellIs" dxfId="659" priority="4" stopIfTrue="1" operator="equal">
      <formula>"Napkin Hs"</formula>
    </cfRule>
  </conditionalFormatting>
  <conditionalFormatting sqref="C163">
    <cfRule type="cellIs" dxfId="658" priority="1" stopIfTrue="1" operator="equal">
      <formula>"Towel"</formula>
    </cfRule>
    <cfRule type="cellIs" dxfId="657" priority="2" stopIfTrue="1" operator="equal">
      <formula>"Napkin Hs"</formula>
    </cfRule>
  </conditionalFormatting>
  <conditionalFormatting sqref="C163">
    <cfRule type="cellIs" dxfId="656"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202"/>
  <sheetViews>
    <sheetView zoomScale="90" zoomScaleNormal="90" workbookViewId="0">
      <pane xSplit="6" ySplit="6" topLeftCell="G136" activePane="bottomRight" state="frozen"/>
      <selection pane="topRight" activeCell="F1" sqref="F1"/>
      <selection pane="bottomLeft" activeCell="A7" sqref="A7"/>
      <selection pane="bottomRight" activeCell="I159" sqref="I159"/>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4" customWidth="1"/>
    <col min="7" max="9" width="10.28515625" style="29" customWidth="1"/>
    <col min="10" max="11" width="10.28515625" style="83" customWidth="1"/>
    <col min="12" max="13" width="12.7109375" style="55" customWidth="1"/>
    <col min="14" max="15" width="10.28515625" style="29" customWidth="1"/>
    <col min="16" max="16" width="16.85546875" style="29" bestFit="1" customWidth="1"/>
    <col min="17" max="17" width="12.7109375" style="331" customWidth="1"/>
    <col min="18" max="19" width="10.28515625" style="29" customWidth="1"/>
    <col min="20" max="20" width="10.7109375" style="29" customWidth="1"/>
    <col min="21" max="21" width="10.2851562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1.42578125" style="29" customWidth="1"/>
    <col min="32" max="38" width="10.28515625" style="29" customWidth="1"/>
    <col min="39" max="39" width="11.7109375" style="29" customWidth="1"/>
    <col min="40" max="41" width="10.28515625" style="29" customWidth="1"/>
    <col min="42" max="43" width="12.42578125" style="29" customWidth="1"/>
    <col min="44" max="44" width="29.7109375" style="29" bestFit="1" customWidth="1"/>
    <col min="45" max="16384" width="10.28515625" style="29"/>
  </cols>
  <sheetData>
    <row r="1" spans="1:58" s="22" customFormat="1" ht="15.75">
      <c r="A1" s="21" t="s">
        <v>393</v>
      </c>
      <c r="G1" s="23"/>
      <c r="H1" s="23"/>
      <c r="I1" s="23"/>
      <c r="J1" s="80"/>
      <c r="K1" s="80"/>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0"/>
      <c r="G2" s="23"/>
      <c r="H2" s="23"/>
      <c r="I2" s="23"/>
      <c r="J2" s="80"/>
      <c r="K2" s="80"/>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63" t="s">
        <v>7</v>
      </c>
      <c r="B3" s="663" t="s">
        <v>8</v>
      </c>
      <c r="C3" s="663" t="s">
        <v>181</v>
      </c>
      <c r="D3" s="663" t="s">
        <v>90</v>
      </c>
      <c r="E3" s="663" t="s">
        <v>91</v>
      </c>
      <c r="F3" s="663" t="s">
        <v>92</v>
      </c>
      <c r="G3" s="676" t="s">
        <v>93</v>
      </c>
      <c r="H3" s="677"/>
      <c r="I3" s="677"/>
      <c r="J3" s="677"/>
      <c r="K3" s="678"/>
      <c r="L3" s="682" t="s">
        <v>94</v>
      </c>
      <c r="M3" s="683"/>
      <c r="N3" s="684"/>
      <c r="O3" s="688" t="s">
        <v>95</v>
      </c>
      <c r="P3" s="675" t="s">
        <v>107</v>
      </c>
      <c r="Q3" s="688" t="s">
        <v>96</v>
      </c>
      <c r="R3" s="661" t="s">
        <v>97</v>
      </c>
      <c r="S3" s="661" t="s">
        <v>98</v>
      </c>
      <c r="T3" s="663" t="s">
        <v>154</v>
      </c>
      <c r="U3" s="663" t="s">
        <v>153</v>
      </c>
      <c r="V3" s="663" t="s">
        <v>155</v>
      </c>
      <c r="W3" s="661" t="s">
        <v>143</v>
      </c>
      <c r="X3" s="668" t="s">
        <v>100</v>
      </c>
      <c r="Y3" s="668" t="s">
        <v>292</v>
      </c>
      <c r="Z3" s="661" t="s">
        <v>101</v>
      </c>
      <c r="AA3" s="663" t="s">
        <v>156</v>
      </c>
      <c r="AB3" s="663" t="s">
        <v>167</v>
      </c>
      <c r="AC3" s="663" t="s">
        <v>165</v>
      </c>
      <c r="AD3" s="663" t="s">
        <v>125</v>
      </c>
      <c r="AE3" s="663" t="s">
        <v>126</v>
      </c>
      <c r="AF3" s="703" t="s">
        <v>127</v>
      </c>
      <c r="AG3" s="703"/>
      <c r="AH3" s="703"/>
      <c r="AI3" s="703"/>
      <c r="AJ3" s="703"/>
      <c r="AK3" s="703"/>
      <c r="AL3" s="703"/>
      <c r="AM3" s="700" t="s">
        <v>128</v>
      </c>
      <c r="AN3" s="708" t="s">
        <v>102</v>
      </c>
      <c r="AO3" s="708"/>
      <c r="AP3" s="708"/>
      <c r="AQ3" s="708"/>
      <c r="AR3" s="708"/>
      <c r="AS3" s="709" t="s">
        <v>103</v>
      </c>
      <c r="AT3" s="696" t="s">
        <v>288</v>
      </c>
      <c r="AU3" s="697"/>
      <c r="AV3" s="704" t="s">
        <v>129</v>
      </c>
      <c r="AW3" s="705"/>
      <c r="AX3" s="706" t="s">
        <v>129</v>
      </c>
      <c r="AY3" s="707"/>
      <c r="AZ3" s="690" t="s">
        <v>304</v>
      </c>
      <c r="BA3" s="695" t="s">
        <v>104</v>
      </c>
      <c r="BB3" s="659" t="s">
        <v>105</v>
      </c>
      <c r="BC3" s="659" t="s">
        <v>106</v>
      </c>
      <c r="BD3" s="653" t="s">
        <v>394</v>
      </c>
      <c r="BE3" s="656" t="s">
        <v>395</v>
      </c>
      <c r="BF3" s="659" t="s">
        <v>396</v>
      </c>
    </row>
    <row r="4" spans="1:58" ht="12" customHeight="1">
      <c r="A4" s="664"/>
      <c r="B4" s="664"/>
      <c r="C4" s="664"/>
      <c r="D4" s="664"/>
      <c r="E4" s="664"/>
      <c r="F4" s="664"/>
      <c r="G4" s="679"/>
      <c r="H4" s="680"/>
      <c r="I4" s="680"/>
      <c r="J4" s="680"/>
      <c r="K4" s="681"/>
      <c r="L4" s="685"/>
      <c r="M4" s="686"/>
      <c r="N4" s="687"/>
      <c r="O4" s="689"/>
      <c r="P4" s="671"/>
      <c r="Q4" s="689"/>
      <c r="R4" s="662"/>
      <c r="S4" s="662"/>
      <c r="T4" s="664"/>
      <c r="U4" s="664"/>
      <c r="V4" s="664"/>
      <c r="W4" s="662"/>
      <c r="X4" s="669"/>
      <c r="Y4" s="669"/>
      <c r="Z4" s="662"/>
      <c r="AA4" s="664"/>
      <c r="AB4" s="664"/>
      <c r="AC4" s="664"/>
      <c r="AD4" s="664"/>
      <c r="AE4" s="664"/>
      <c r="AF4" s="665" t="s">
        <v>130</v>
      </c>
      <c r="AG4" s="666"/>
      <c r="AH4" s="667"/>
      <c r="AI4" s="671" t="s">
        <v>219</v>
      </c>
      <c r="AJ4" s="671" t="s">
        <v>14</v>
      </c>
      <c r="AK4" s="671" t="s">
        <v>131</v>
      </c>
      <c r="AL4" s="671" t="s">
        <v>17</v>
      </c>
      <c r="AM4" s="701"/>
      <c r="AN4" s="674" t="s">
        <v>108</v>
      </c>
      <c r="AO4" s="674" t="s">
        <v>14</v>
      </c>
      <c r="AP4" s="674" t="s">
        <v>109</v>
      </c>
      <c r="AQ4" s="674" t="s">
        <v>17</v>
      </c>
      <c r="AR4" s="695" t="s">
        <v>110</v>
      </c>
      <c r="AS4" s="709"/>
      <c r="AT4" s="698"/>
      <c r="AU4" s="699"/>
      <c r="AV4" s="513" t="s">
        <v>6</v>
      </c>
      <c r="AW4" s="513" t="s">
        <v>132</v>
      </c>
      <c r="AX4" s="514" t="s">
        <v>6</v>
      </c>
      <c r="AY4" s="515" t="s">
        <v>132</v>
      </c>
      <c r="AZ4" s="691"/>
      <c r="BA4" s="695"/>
      <c r="BB4" s="659"/>
      <c r="BC4" s="659"/>
      <c r="BD4" s="654"/>
      <c r="BE4" s="657"/>
      <c r="BF4" s="659"/>
    </row>
    <row r="5" spans="1:58" s="32" customFormat="1" ht="48">
      <c r="A5" s="664"/>
      <c r="B5" s="664"/>
      <c r="C5" s="673"/>
      <c r="D5" s="664"/>
      <c r="E5" s="664"/>
      <c r="F5" s="664"/>
      <c r="G5" s="531" t="s">
        <v>111</v>
      </c>
      <c r="H5" s="530" t="s">
        <v>112</v>
      </c>
      <c r="I5" s="30" t="s">
        <v>113</v>
      </c>
      <c r="J5" s="81" t="s">
        <v>114</v>
      </c>
      <c r="K5" s="81" t="s">
        <v>99</v>
      </c>
      <c r="L5" s="31" t="s">
        <v>115</v>
      </c>
      <c r="M5" s="31" t="s">
        <v>116</v>
      </c>
      <c r="N5" s="530" t="s">
        <v>117</v>
      </c>
      <c r="O5" s="689"/>
      <c r="P5" s="672"/>
      <c r="Q5" s="689"/>
      <c r="R5" s="662"/>
      <c r="S5" s="662"/>
      <c r="T5" s="664"/>
      <c r="U5" s="664"/>
      <c r="V5" s="664"/>
      <c r="W5" s="662"/>
      <c r="X5" s="669"/>
      <c r="Y5" s="670"/>
      <c r="Z5" s="662"/>
      <c r="AA5" s="664"/>
      <c r="AB5" s="673"/>
      <c r="AC5" s="664"/>
      <c r="AD5" s="673"/>
      <c r="AE5" s="664"/>
      <c r="AF5" s="443" t="s">
        <v>293</v>
      </c>
      <c r="AG5" s="529" t="s">
        <v>294</v>
      </c>
      <c r="AH5" s="529" t="s">
        <v>295</v>
      </c>
      <c r="AI5" s="672"/>
      <c r="AJ5" s="672"/>
      <c r="AK5" s="672"/>
      <c r="AL5" s="672"/>
      <c r="AM5" s="702"/>
      <c r="AN5" s="675"/>
      <c r="AO5" s="675"/>
      <c r="AP5" s="675"/>
      <c r="AQ5" s="675"/>
      <c r="AR5" s="661"/>
      <c r="AS5" s="710"/>
      <c r="AT5" s="532" t="s">
        <v>289</v>
      </c>
      <c r="AU5" s="532" t="s">
        <v>290</v>
      </c>
      <c r="AV5" s="516" t="s">
        <v>291</v>
      </c>
      <c r="AW5" s="516" t="s">
        <v>291</v>
      </c>
      <c r="AX5" s="514" t="s">
        <v>16</v>
      </c>
      <c r="AY5" s="514" t="s">
        <v>16</v>
      </c>
      <c r="AZ5" s="692"/>
      <c r="BA5" s="661"/>
      <c r="BB5" s="663"/>
      <c r="BC5" s="663"/>
      <c r="BD5" s="655"/>
      <c r="BE5" s="658"/>
      <c r="BF5" s="660"/>
    </row>
    <row r="6" spans="1:58" ht="12.75" customHeight="1">
      <c r="A6" s="40">
        <f>+Report1!A9</f>
        <v>45962</v>
      </c>
      <c r="B6" s="41" t="s">
        <v>406</v>
      </c>
      <c r="C6" s="414">
        <f>(M6*E6*O6*Q6)/100000000</f>
        <v>0</v>
      </c>
      <c r="D6" s="41" t="s">
        <v>300</v>
      </c>
      <c r="E6" s="42">
        <v>12</v>
      </c>
      <c r="F6" s="42">
        <v>1</v>
      </c>
      <c r="G6" s="499">
        <v>1230</v>
      </c>
      <c r="H6" s="44">
        <f>+N6</f>
        <v>0.23417344173441734</v>
      </c>
      <c r="I6" s="45">
        <v>0.88</v>
      </c>
      <c r="J6" s="82">
        <f>E6*G6*(1-H6)*1440/1000000*2.74</f>
        <v>44.599484159999996</v>
      </c>
      <c r="K6" s="82">
        <f>(IF(G6&lt;L6,L6,G6)*(1-IF(H6&lt;N6,H6,N6))*E6*O6*Q6)/100000000</f>
        <v>0</v>
      </c>
      <c r="L6" s="35">
        <v>1230</v>
      </c>
      <c r="M6" s="35">
        <v>941.9666666666667</v>
      </c>
      <c r="N6" s="46">
        <f>1-(M6/L6)</f>
        <v>0.23417344173441734</v>
      </c>
      <c r="O6" s="47">
        <f>+'Trim Rwd'!H4</f>
        <v>266</v>
      </c>
      <c r="P6" s="48">
        <f>O6*(Q6-R6-S6)</f>
        <v>0</v>
      </c>
      <c r="Q6" s="47">
        <f>1440-1440</f>
        <v>0</v>
      </c>
      <c r="R6" s="500">
        <f>1440-1440</f>
        <v>0</v>
      </c>
      <c r="S6" s="500">
        <v>0</v>
      </c>
      <c r="T6" s="37">
        <f>E6*M6*O6*Q6/100000000</f>
        <v>0</v>
      </c>
      <c r="U6" s="37">
        <f>E6*M6*O6*(Q6-R6-S6)/100000000</f>
        <v>0</v>
      </c>
      <c r="V6" s="37">
        <f>E6*G6*(1-N6)*O6/100*(R6+S6)/1000000</f>
        <v>0</v>
      </c>
      <c r="W6" s="37">
        <f>+'1'!C34/1000</f>
        <v>0</v>
      </c>
      <c r="X6" s="501" t="e">
        <f>SUM(W6:W10)/SUM(K6:K10)</f>
        <v>#DIV/0!</v>
      </c>
      <c r="Y6" s="211">
        <v>0</v>
      </c>
      <c r="Z6" s="37">
        <f>+'1'!D25/1000</f>
        <v>0</v>
      </c>
      <c r="AA6" s="49">
        <f>SUM(U6:U10)-SUM(W6:W10)-SUM(Z6:Z10)-SUM(Y6:Y10)</f>
        <v>0</v>
      </c>
      <c r="AB6" s="49">
        <f>(SUM(K6:K10)-SUM(W6:W10)-SUM(Y6:Y10)-SUM(Z6:Z10)-SUM(AC6:AC10)-SUM(V6:V10))-AA6</f>
        <v>0</v>
      </c>
      <c r="AC6" s="37">
        <f>K6-T6</f>
        <v>0</v>
      </c>
      <c r="AD6" s="37">
        <f>+AM6+BA6</f>
        <v>0</v>
      </c>
      <c r="AE6" s="229" t="s">
        <v>384</v>
      </c>
      <c r="AF6" s="37">
        <v>0</v>
      </c>
      <c r="AG6" s="37"/>
      <c r="AH6" s="37"/>
      <c r="AI6" s="502"/>
      <c r="AJ6" s="37"/>
      <c r="AK6" s="37"/>
      <c r="AL6" s="37"/>
      <c r="AM6" s="37">
        <f t="shared" ref="AM6:AM16" si="0">SUM(AF6:AL6)+AT6+AV6+AX6</f>
        <v>0</v>
      </c>
      <c r="AN6" s="37"/>
      <c r="AO6" s="37"/>
      <c r="AP6" s="37"/>
      <c r="AQ6" s="37"/>
      <c r="AR6" s="37">
        <f>SUM(AN6:AQ6)</f>
        <v>0</v>
      </c>
      <c r="AS6" s="37"/>
      <c r="AT6" s="37"/>
      <c r="AU6" s="37"/>
      <c r="AV6" s="37"/>
      <c r="AW6" s="37"/>
      <c r="AX6" s="37"/>
      <c r="AY6" s="37"/>
      <c r="AZ6" s="37"/>
      <c r="BA6" s="37">
        <f>+AR6+AS6+AU6+AW6+AY6+AZ6</f>
        <v>0</v>
      </c>
      <c r="BB6" s="33">
        <v>0</v>
      </c>
      <c r="BC6" s="51"/>
      <c r="BD6" s="51"/>
      <c r="BE6" s="33"/>
      <c r="BF6" s="51"/>
    </row>
    <row r="7" spans="1:58" ht="12.95" customHeight="1">
      <c r="A7" s="40"/>
      <c r="B7" s="41"/>
      <c r="C7" s="414"/>
      <c r="D7" s="41"/>
      <c r="E7" s="42"/>
      <c r="F7" s="42"/>
      <c r="G7" s="499"/>
      <c r="H7" s="44"/>
      <c r="I7" s="45"/>
      <c r="J7" s="82"/>
      <c r="K7" s="82"/>
      <c r="L7" s="35"/>
      <c r="M7" s="35"/>
      <c r="N7" s="46"/>
      <c r="O7" s="47"/>
      <c r="P7" s="48"/>
      <c r="Q7" s="47"/>
      <c r="R7" s="500"/>
      <c r="S7" s="500"/>
      <c r="T7" s="37"/>
      <c r="U7" s="37"/>
      <c r="V7" s="37"/>
      <c r="W7" s="37"/>
      <c r="X7" s="38"/>
      <c r="Y7" s="211"/>
      <c r="Z7" s="37"/>
      <c r="AA7" s="37"/>
      <c r="AB7" s="37"/>
      <c r="AC7" s="37"/>
      <c r="AD7" s="37">
        <f>+AM7+BA7</f>
        <v>0</v>
      </c>
      <c r="AE7" s="229" t="s">
        <v>282</v>
      </c>
      <c r="AF7" s="37"/>
      <c r="AG7" s="37">
        <v>0</v>
      </c>
      <c r="AH7" s="37"/>
      <c r="AI7" s="502"/>
      <c r="AJ7" s="37"/>
      <c r="AK7" s="37"/>
      <c r="AL7" s="37"/>
      <c r="AM7" s="37">
        <f t="shared" si="0"/>
        <v>0</v>
      </c>
      <c r="AN7" s="83"/>
      <c r="AO7" s="37"/>
      <c r="AP7" s="37"/>
      <c r="AQ7" s="37"/>
      <c r="AR7" s="37">
        <f t="shared" ref="AR7:AR10" si="1">SUM(AN7:AQ7)</f>
        <v>0</v>
      </c>
      <c r="AS7" s="37"/>
      <c r="AT7" s="37"/>
      <c r="AU7" s="37"/>
      <c r="AV7" s="37"/>
      <c r="AW7" s="37"/>
      <c r="AX7" s="37"/>
      <c r="AY7" s="37"/>
      <c r="AZ7" s="37"/>
      <c r="BA7" s="37">
        <f>+AR7+AS7+AU7+AW7+AY7+AZ7</f>
        <v>0</v>
      </c>
      <c r="BB7" s="50"/>
      <c r="BC7" s="51">
        <v>0</v>
      </c>
      <c r="BD7" s="51"/>
      <c r="BE7" s="50"/>
      <c r="BF7" s="51"/>
    </row>
    <row r="8" spans="1:58" ht="12.95" customHeight="1">
      <c r="A8" s="40"/>
      <c r="B8" s="41"/>
      <c r="C8" s="414"/>
      <c r="D8" s="41"/>
      <c r="E8" s="42"/>
      <c r="F8" s="42"/>
      <c r="G8" s="43"/>
      <c r="H8" s="44"/>
      <c r="I8" s="45"/>
      <c r="J8" s="82"/>
      <c r="K8" s="82"/>
      <c r="L8" s="35"/>
      <c r="M8" s="35"/>
      <c r="N8" s="46"/>
      <c r="O8" s="47"/>
      <c r="P8" s="48"/>
      <c r="Q8" s="47"/>
      <c r="R8" s="500"/>
      <c r="S8" s="500"/>
      <c r="T8" s="37"/>
      <c r="U8" s="37"/>
      <c r="V8" s="37"/>
      <c r="W8" s="37"/>
      <c r="X8" s="38"/>
      <c r="Y8" s="211"/>
      <c r="Z8" s="37"/>
      <c r="AA8" s="37"/>
      <c r="AB8" s="37"/>
      <c r="AC8" s="37"/>
      <c r="AD8" s="37">
        <f>+AM8+BA8</f>
        <v>0</v>
      </c>
      <c r="AE8" s="229" t="s">
        <v>408</v>
      </c>
      <c r="AF8" s="33"/>
      <c r="AG8" s="33"/>
      <c r="AH8" s="33">
        <v>0</v>
      </c>
      <c r="AJ8" s="37"/>
      <c r="AK8" s="37"/>
      <c r="AL8" s="37"/>
      <c r="AM8" s="37">
        <f t="shared" si="0"/>
        <v>0</v>
      </c>
      <c r="AN8" s="37"/>
      <c r="AO8" s="37"/>
      <c r="AP8" s="37"/>
      <c r="AQ8" s="37"/>
      <c r="AR8" s="37">
        <f t="shared" si="1"/>
        <v>0</v>
      </c>
      <c r="AS8" s="37"/>
      <c r="AT8" s="37"/>
      <c r="AU8" s="37"/>
      <c r="AV8" s="37"/>
      <c r="AW8" s="37"/>
      <c r="AX8" s="37"/>
      <c r="AY8" s="37"/>
      <c r="AZ8" s="37"/>
      <c r="BA8" s="37">
        <f>+AR8+AS8+AU8+AW8+AY8+AZ8</f>
        <v>0</v>
      </c>
      <c r="BB8" s="33"/>
      <c r="BC8" s="503"/>
      <c r="BD8" s="503"/>
      <c r="BE8" s="33"/>
      <c r="BF8" s="503"/>
    </row>
    <row r="9" spans="1:58" ht="12.95" customHeight="1">
      <c r="A9" s="40"/>
      <c r="B9" s="41"/>
      <c r="C9" s="414"/>
      <c r="D9" s="41"/>
      <c r="E9" s="42"/>
      <c r="F9" s="42"/>
      <c r="G9" s="43"/>
      <c r="H9" s="44"/>
      <c r="I9" s="45"/>
      <c r="J9" s="82"/>
      <c r="K9" s="82"/>
      <c r="L9" s="35"/>
      <c r="M9" s="35"/>
      <c r="N9" s="46"/>
      <c r="O9" s="47"/>
      <c r="P9" s="48"/>
      <c r="Q9" s="34"/>
      <c r="R9" s="500"/>
      <c r="S9" s="500"/>
      <c r="T9" s="37"/>
      <c r="U9" s="37"/>
      <c r="V9" s="37"/>
      <c r="W9" s="37"/>
      <c r="X9" s="38"/>
      <c r="Y9" s="211"/>
      <c r="Z9" s="37"/>
      <c r="AA9" s="37"/>
      <c r="AB9" s="37"/>
      <c r="AC9" s="37"/>
      <c r="AD9" s="37">
        <f>+AM9+BA9</f>
        <v>0</v>
      </c>
      <c r="AE9" s="232" t="s">
        <v>377</v>
      </c>
      <c r="AF9" s="37"/>
      <c r="AG9" s="37"/>
      <c r="AH9" s="37"/>
      <c r="AI9" s="502">
        <v>0</v>
      </c>
      <c r="AJ9" s="37"/>
      <c r="AK9" s="37"/>
      <c r="AL9" s="37"/>
      <c r="AM9" s="37">
        <f t="shared" si="0"/>
        <v>0</v>
      </c>
      <c r="AN9" s="37"/>
      <c r="AO9" s="37"/>
      <c r="AP9" s="37"/>
      <c r="AQ9" s="37"/>
      <c r="AR9" s="37">
        <f t="shared" si="1"/>
        <v>0</v>
      </c>
      <c r="AS9" s="37"/>
      <c r="AT9" s="37"/>
      <c r="AU9" s="37"/>
      <c r="AV9" s="37"/>
      <c r="AW9" s="37"/>
      <c r="AX9" s="37"/>
      <c r="AY9" s="37"/>
      <c r="AZ9" s="37"/>
      <c r="BA9" s="37">
        <f>+AR9+AS9+AU9+AW9+AY9+AZ9</f>
        <v>0</v>
      </c>
      <c r="BB9" s="50"/>
      <c r="BC9" s="51"/>
      <c r="BD9" s="51"/>
      <c r="BE9" s="50"/>
      <c r="BF9" s="51"/>
    </row>
    <row r="10" spans="1:58" ht="12.95" customHeight="1">
      <c r="A10" s="40"/>
      <c r="B10" s="41"/>
      <c r="C10" s="414"/>
      <c r="D10" s="41"/>
      <c r="E10" s="42"/>
      <c r="F10" s="42"/>
      <c r="G10" s="43"/>
      <c r="H10" s="44"/>
      <c r="I10" s="45"/>
      <c r="J10" s="82"/>
      <c r="K10" s="82"/>
      <c r="L10" s="35"/>
      <c r="M10" s="35"/>
      <c r="N10" s="46"/>
      <c r="O10" s="47"/>
      <c r="P10" s="48"/>
      <c r="Q10" s="34"/>
      <c r="R10" s="500"/>
      <c r="S10" s="500"/>
      <c r="T10" s="37"/>
      <c r="U10" s="37"/>
      <c r="V10" s="37"/>
      <c r="W10" s="37"/>
      <c r="X10" s="38"/>
      <c r="Y10" s="211"/>
      <c r="Z10" s="37"/>
      <c r="AA10" s="37"/>
      <c r="AB10" s="37"/>
      <c r="AC10" s="37"/>
      <c r="AD10" s="37">
        <f>+AM10+BA10</f>
        <v>0</v>
      </c>
      <c r="AE10" s="232" t="s">
        <v>409</v>
      </c>
      <c r="AF10" s="37"/>
      <c r="AG10" s="37"/>
      <c r="AH10" s="37"/>
      <c r="AI10" s="502"/>
      <c r="AJ10" s="37"/>
      <c r="AK10" s="37"/>
      <c r="AL10" s="37"/>
      <c r="AM10" s="37">
        <f t="shared" si="0"/>
        <v>0</v>
      </c>
      <c r="AN10" s="37"/>
      <c r="AO10" s="37"/>
      <c r="AP10" s="37"/>
      <c r="AQ10" s="37"/>
      <c r="AR10" s="37">
        <f t="shared" si="1"/>
        <v>0</v>
      </c>
      <c r="AS10" s="37"/>
      <c r="AT10" s="37"/>
      <c r="AU10" s="37"/>
      <c r="AV10" s="37"/>
      <c r="AW10" s="37"/>
      <c r="AX10" s="37"/>
      <c r="AY10" s="37"/>
      <c r="AZ10" s="37">
        <f>1440-1440</f>
        <v>0</v>
      </c>
      <c r="BA10" s="37">
        <f>+AR10+AS10+AU10+AW10+AY10+AZ10</f>
        <v>0</v>
      </c>
      <c r="BB10" s="50"/>
      <c r="BC10" s="51"/>
      <c r="BD10" s="51"/>
      <c r="BE10" s="33"/>
      <c r="BF10" s="51"/>
    </row>
    <row r="11" spans="1:58" ht="12.95" customHeight="1">
      <c r="A11" s="40"/>
      <c r="B11" s="41"/>
      <c r="C11" s="414"/>
      <c r="D11" s="41"/>
      <c r="E11" s="42"/>
      <c r="F11" s="42"/>
      <c r="G11" s="499"/>
      <c r="H11" s="44"/>
      <c r="I11" s="45"/>
      <c r="J11" s="82"/>
      <c r="K11" s="82"/>
      <c r="L11" s="35"/>
      <c r="M11" s="35"/>
      <c r="N11" s="46"/>
      <c r="O11" s="47"/>
      <c r="P11" s="48"/>
      <c r="Q11" s="47"/>
      <c r="R11" s="500"/>
      <c r="S11" s="500"/>
      <c r="T11" s="37"/>
      <c r="U11" s="37"/>
      <c r="V11" s="37"/>
      <c r="W11" s="37"/>
      <c r="X11" s="501"/>
      <c r="Y11" s="211"/>
      <c r="Z11" s="37"/>
      <c r="AA11" s="49"/>
      <c r="AB11" s="49"/>
      <c r="AC11" s="37"/>
      <c r="AD11" s="37"/>
      <c r="AE11" s="229"/>
      <c r="AF11" s="37"/>
      <c r="AG11" s="37"/>
      <c r="AH11" s="37"/>
      <c r="AI11" s="502"/>
      <c r="AJ11" s="37"/>
      <c r="AK11" s="37"/>
      <c r="AL11" s="37"/>
      <c r="AM11" s="37">
        <f t="shared" si="0"/>
        <v>0</v>
      </c>
      <c r="AN11" s="37"/>
      <c r="AO11" s="37"/>
      <c r="AP11" s="37"/>
      <c r="AQ11" s="37"/>
      <c r="AR11" s="37"/>
      <c r="AS11" s="37"/>
      <c r="AT11" s="37"/>
      <c r="AU11" s="37"/>
      <c r="AV11" s="37"/>
      <c r="AW11" s="37"/>
      <c r="AX11" s="37"/>
      <c r="AY11" s="37"/>
      <c r="AZ11" s="37"/>
      <c r="BA11" s="37"/>
      <c r="BB11" s="33"/>
      <c r="BC11" s="51"/>
      <c r="BD11" s="51"/>
      <c r="BE11" s="50"/>
      <c r="BF11" s="51"/>
    </row>
    <row r="12" spans="1:58" ht="12.75" customHeight="1">
      <c r="A12" s="40">
        <v>45963</v>
      </c>
      <c r="B12" s="41" t="s">
        <v>406</v>
      </c>
      <c r="C12" s="414">
        <f>(M12*E12*O12*Q12)/100000000</f>
        <v>0</v>
      </c>
      <c r="D12" s="41" t="s">
        <v>300</v>
      </c>
      <c r="E12" s="42">
        <v>12</v>
      </c>
      <c r="F12" s="42">
        <v>1</v>
      </c>
      <c r="G12" s="499">
        <v>1230</v>
      </c>
      <c r="H12" s="44">
        <f>+N12</f>
        <v>0.23417344173441734</v>
      </c>
      <c r="I12" s="45">
        <v>0.88</v>
      </c>
      <c r="J12" s="82">
        <f>E12*G12*(1-H12)*1440/1000000*2.74</f>
        <v>44.599484159999996</v>
      </c>
      <c r="K12" s="82">
        <f>(IF(G12&lt;L12,L12,G12)*(1-IF(H12&lt;N12,H12,N12))*E12*O12*Q12)/100000000</f>
        <v>0</v>
      </c>
      <c r="L12" s="35">
        <v>1230</v>
      </c>
      <c r="M12" s="35">
        <v>941.9666666666667</v>
      </c>
      <c r="N12" s="46">
        <f>1-(M12/L12)</f>
        <v>0.23417344173441734</v>
      </c>
      <c r="O12" s="47">
        <f>+'Trim Rwd'!H6</f>
        <v>266</v>
      </c>
      <c r="P12" s="48">
        <f>O12*(Q12-R12-S12)</f>
        <v>0</v>
      </c>
      <c r="Q12" s="47">
        <f>1440-1440</f>
        <v>0</v>
      </c>
      <c r="R12" s="500">
        <f>1440-1440</f>
        <v>0</v>
      </c>
      <c r="S12" s="500">
        <v>0</v>
      </c>
      <c r="T12" s="37">
        <f>E12*M12*O12*Q12/100000000</f>
        <v>0</v>
      </c>
      <c r="U12" s="37">
        <f>E12*M12*O12*(Q12-R12-S12)/100000000</f>
        <v>0</v>
      </c>
      <c r="V12" s="37">
        <f>E12*G12*(1-N12)*O12/100*(R12+S12)/1000000</f>
        <v>0</v>
      </c>
      <c r="W12" s="37">
        <f>+'1'!C40/1000</f>
        <v>0</v>
      </c>
      <c r="X12" s="501" t="e">
        <f>SUM(W12:W16)/SUM(K12:K16)</f>
        <v>#DIV/0!</v>
      </c>
      <c r="Y12" s="211">
        <v>0</v>
      </c>
      <c r="Z12" s="37">
        <f>+'1'!D31/1000</f>
        <v>0</v>
      </c>
      <c r="AA12" s="49">
        <f>SUM(U12:U16)-SUM(W12:W16)-SUM(Z12:Z16)-SUM(Y12:Y16)</f>
        <v>0</v>
      </c>
      <c r="AB12" s="49">
        <f>(SUM(K12:K16)-SUM(W12:W16)-SUM(Y12:Y16)-SUM(Z12:Z16)-SUM(AC12:AC16)-SUM(V12:V16))-AA12</f>
        <v>0</v>
      </c>
      <c r="AC12" s="37">
        <f>K12-T12</f>
        <v>0</v>
      </c>
      <c r="AD12" s="37">
        <f>+AM12+BA12</f>
        <v>0</v>
      </c>
      <c r="AE12" s="229" t="s">
        <v>384</v>
      </c>
      <c r="AF12" s="37">
        <v>0</v>
      </c>
      <c r="AG12" s="37"/>
      <c r="AH12" s="37"/>
      <c r="AI12" s="502"/>
      <c r="AJ12" s="37"/>
      <c r="AK12" s="37"/>
      <c r="AL12" s="37"/>
      <c r="AM12" s="37">
        <f t="shared" si="0"/>
        <v>0</v>
      </c>
      <c r="AN12" s="37"/>
      <c r="AO12" s="37"/>
      <c r="AP12" s="37"/>
      <c r="AQ12" s="37"/>
      <c r="AR12" s="37">
        <f>SUM(AN12:AQ12)</f>
        <v>0</v>
      </c>
      <c r="AS12" s="37"/>
      <c r="AT12" s="37"/>
      <c r="AU12" s="37"/>
      <c r="AV12" s="37"/>
      <c r="AW12" s="37"/>
      <c r="AX12" s="37"/>
      <c r="AY12" s="37"/>
      <c r="AZ12" s="37"/>
      <c r="BA12" s="37">
        <f>+AR12+AS12+AU12+AW12+AY12+AZ12</f>
        <v>0</v>
      </c>
      <c r="BB12" s="33">
        <v>0</v>
      </c>
      <c r="BC12" s="51"/>
      <c r="BD12" s="51"/>
      <c r="BE12" s="33"/>
      <c r="BF12" s="51"/>
    </row>
    <row r="13" spans="1:58" ht="12.95" customHeight="1">
      <c r="A13" s="40"/>
      <c r="B13" s="41"/>
      <c r="C13" s="414"/>
      <c r="D13" s="41"/>
      <c r="E13" s="42"/>
      <c r="F13" s="42"/>
      <c r="G13" s="499"/>
      <c r="H13" s="44"/>
      <c r="I13" s="45"/>
      <c r="J13" s="82"/>
      <c r="K13" s="82"/>
      <c r="L13" s="35"/>
      <c r="M13" s="35"/>
      <c r="N13" s="46"/>
      <c r="O13" s="47"/>
      <c r="P13" s="48"/>
      <c r="Q13" s="47"/>
      <c r="R13" s="500"/>
      <c r="S13" s="500"/>
      <c r="T13" s="37"/>
      <c r="U13" s="37"/>
      <c r="V13" s="37"/>
      <c r="W13" s="37"/>
      <c r="X13" s="38"/>
      <c r="Y13" s="211"/>
      <c r="Z13" s="37"/>
      <c r="AA13" s="37"/>
      <c r="AB13" s="37"/>
      <c r="AC13" s="37"/>
      <c r="AD13" s="37">
        <f>+AM13+BA13</f>
        <v>0</v>
      </c>
      <c r="AE13" s="229" t="s">
        <v>282</v>
      </c>
      <c r="AF13" s="37"/>
      <c r="AG13" s="37">
        <v>0</v>
      </c>
      <c r="AH13" s="37"/>
      <c r="AI13" s="502"/>
      <c r="AJ13" s="37"/>
      <c r="AK13" s="37"/>
      <c r="AL13" s="37"/>
      <c r="AM13" s="37">
        <f t="shared" si="0"/>
        <v>0</v>
      </c>
      <c r="AN13" s="83"/>
      <c r="AO13" s="37"/>
      <c r="AP13" s="37"/>
      <c r="AQ13" s="37"/>
      <c r="AR13" s="37">
        <f t="shared" ref="AR13:AR16" si="2">SUM(AN13:AQ13)</f>
        <v>0</v>
      </c>
      <c r="AS13" s="37"/>
      <c r="AT13" s="37"/>
      <c r="AU13" s="37"/>
      <c r="AV13" s="37"/>
      <c r="AW13" s="37"/>
      <c r="AX13" s="37"/>
      <c r="AY13" s="37"/>
      <c r="AZ13" s="37"/>
      <c r="BA13" s="37">
        <f>+AR13+AS13+AU13+AW13+AY13+AZ13</f>
        <v>0</v>
      </c>
      <c r="BB13" s="50"/>
      <c r="BC13" s="51">
        <v>0</v>
      </c>
      <c r="BD13" s="51"/>
      <c r="BE13" s="50"/>
      <c r="BF13" s="51"/>
    </row>
    <row r="14" spans="1:58" ht="12.95" customHeight="1">
      <c r="A14" s="40"/>
      <c r="B14" s="41"/>
      <c r="C14" s="414"/>
      <c r="D14" s="41"/>
      <c r="E14" s="42"/>
      <c r="F14" s="42"/>
      <c r="G14" s="43"/>
      <c r="H14" s="44"/>
      <c r="I14" s="45"/>
      <c r="J14" s="82"/>
      <c r="K14" s="82"/>
      <c r="L14" s="35"/>
      <c r="M14" s="35"/>
      <c r="N14" s="46"/>
      <c r="O14" s="47"/>
      <c r="P14" s="48"/>
      <c r="Q14" s="47"/>
      <c r="R14" s="500"/>
      <c r="S14" s="500"/>
      <c r="T14" s="37"/>
      <c r="U14" s="37"/>
      <c r="V14" s="37"/>
      <c r="W14" s="37"/>
      <c r="X14" s="38"/>
      <c r="Y14" s="211"/>
      <c r="Z14" s="37"/>
      <c r="AA14" s="37"/>
      <c r="AB14" s="37"/>
      <c r="AC14" s="37"/>
      <c r="AD14" s="37">
        <f>+AM14+BA14</f>
        <v>0</v>
      </c>
      <c r="AE14" s="229" t="s">
        <v>408</v>
      </c>
      <c r="AF14" s="33"/>
      <c r="AG14" s="33"/>
      <c r="AH14" s="33">
        <v>0</v>
      </c>
      <c r="AJ14" s="37"/>
      <c r="AK14" s="37"/>
      <c r="AL14" s="37"/>
      <c r="AM14" s="37">
        <f t="shared" si="0"/>
        <v>0</v>
      </c>
      <c r="AN14" s="37"/>
      <c r="AO14" s="37"/>
      <c r="AP14" s="37"/>
      <c r="AQ14" s="37"/>
      <c r="AR14" s="37">
        <f t="shared" si="2"/>
        <v>0</v>
      </c>
      <c r="AS14" s="37"/>
      <c r="AT14" s="37"/>
      <c r="AU14" s="37"/>
      <c r="AV14" s="37"/>
      <c r="AW14" s="37"/>
      <c r="AX14" s="37"/>
      <c r="AY14" s="37"/>
      <c r="AZ14" s="37"/>
      <c r="BA14" s="37">
        <f>+AR14+AS14+AU14+AW14+AY14+AZ14</f>
        <v>0</v>
      </c>
      <c r="BB14" s="33"/>
      <c r="BC14" s="503"/>
      <c r="BD14" s="503"/>
      <c r="BE14" s="33"/>
      <c r="BF14" s="503"/>
    </row>
    <row r="15" spans="1:58" ht="12.95" customHeight="1">
      <c r="A15" s="40"/>
      <c r="B15" s="41"/>
      <c r="C15" s="414"/>
      <c r="D15" s="41"/>
      <c r="E15" s="42"/>
      <c r="F15" s="42"/>
      <c r="G15" s="43"/>
      <c r="H15" s="44"/>
      <c r="I15" s="45"/>
      <c r="J15" s="82"/>
      <c r="K15" s="82"/>
      <c r="L15" s="35"/>
      <c r="M15" s="35"/>
      <c r="N15" s="46"/>
      <c r="O15" s="47"/>
      <c r="P15" s="48"/>
      <c r="Q15" s="34"/>
      <c r="R15" s="500"/>
      <c r="S15" s="500"/>
      <c r="T15" s="37"/>
      <c r="U15" s="37"/>
      <c r="V15" s="37"/>
      <c r="W15" s="37"/>
      <c r="X15" s="38"/>
      <c r="Y15" s="211"/>
      <c r="Z15" s="37"/>
      <c r="AA15" s="37"/>
      <c r="AB15" s="37"/>
      <c r="AC15" s="37"/>
      <c r="AD15" s="37">
        <f>+AM15+BA15</f>
        <v>0</v>
      </c>
      <c r="AE15" s="232" t="s">
        <v>377</v>
      </c>
      <c r="AF15" s="37"/>
      <c r="AG15" s="37"/>
      <c r="AH15" s="37"/>
      <c r="AI15" s="502">
        <v>0</v>
      </c>
      <c r="AJ15" s="37"/>
      <c r="AK15" s="37"/>
      <c r="AL15" s="37"/>
      <c r="AM15" s="37">
        <f t="shared" si="0"/>
        <v>0</v>
      </c>
      <c r="AN15" s="37"/>
      <c r="AO15" s="37"/>
      <c r="AP15" s="37"/>
      <c r="AQ15" s="37"/>
      <c r="AR15" s="37">
        <f t="shared" si="2"/>
        <v>0</v>
      </c>
      <c r="AS15" s="37"/>
      <c r="AT15" s="37"/>
      <c r="AU15" s="37"/>
      <c r="AV15" s="37"/>
      <c r="AW15" s="37"/>
      <c r="AX15" s="37"/>
      <c r="AY15" s="37"/>
      <c r="AZ15" s="37"/>
      <c r="BA15" s="37">
        <f>+AR15+AS15+AU15+AW15+AY15+AZ15</f>
        <v>0</v>
      </c>
      <c r="BB15" s="50"/>
      <c r="BC15" s="51"/>
      <c r="BD15" s="51"/>
      <c r="BE15" s="50"/>
      <c r="BF15" s="51"/>
    </row>
    <row r="16" spans="1:58" ht="12.95" customHeight="1">
      <c r="A16" s="40"/>
      <c r="B16" s="41"/>
      <c r="C16" s="414"/>
      <c r="D16" s="41"/>
      <c r="E16" s="42"/>
      <c r="F16" s="42"/>
      <c r="G16" s="43"/>
      <c r="H16" s="44"/>
      <c r="I16" s="45"/>
      <c r="J16" s="82"/>
      <c r="K16" s="82"/>
      <c r="L16" s="35"/>
      <c r="M16" s="35"/>
      <c r="N16" s="46"/>
      <c r="O16" s="47"/>
      <c r="P16" s="48"/>
      <c r="Q16" s="34"/>
      <c r="R16" s="500"/>
      <c r="S16" s="500"/>
      <c r="T16" s="37"/>
      <c r="U16" s="37"/>
      <c r="V16" s="37"/>
      <c r="W16" s="37"/>
      <c r="X16" s="38"/>
      <c r="Y16" s="211"/>
      <c r="Z16" s="37"/>
      <c r="AA16" s="37"/>
      <c r="AB16" s="37"/>
      <c r="AC16" s="37"/>
      <c r="AD16" s="37">
        <f>+AM16+BA16</f>
        <v>0</v>
      </c>
      <c r="AE16" s="232" t="s">
        <v>409</v>
      </c>
      <c r="AF16" s="37"/>
      <c r="AG16" s="37"/>
      <c r="AH16" s="37"/>
      <c r="AI16" s="502"/>
      <c r="AJ16" s="37"/>
      <c r="AK16" s="37"/>
      <c r="AL16" s="37"/>
      <c r="AM16" s="37">
        <f t="shared" si="0"/>
        <v>0</v>
      </c>
      <c r="AN16" s="37"/>
      <c r="AO16" s="37"/>
      <c r="AP16" s="37"/>
      <c r="AQ16" s="37"/>
      <c r="AR16" s="37">
        <f t="shared" si="2"/>
        <v>0</v>
      </c>
      <c r="AS16" s="37"/>
      <c r="AT16" s="37"/>
      <c r="AU16" s="37"/>
      <c r="AV16" s="37"/>
      <c r="AW16" s="37"/>
      <c r="AX16" s="37"/>
      <c r="AY16" s="37"/>
      <c r="AZ16" s="37">
        <f>1440-1440</f>
        <v>0</v>
      </c>
      <c r="BA16" s="37">
        <f>+AR16+AS16+AU16+AW16+AY16+AZ16</f>
        <v>0</v>
      </c>
      <c r="BB16" s="50"/>
      <c r="BC16" s="51"/>
      <c r="BD16" s="51"/>
      <c r="BE16" s="33"/>
      <c r="BF16" s="51"/>
    </row>
    <row r="17" spans="1:58" ht="12.95" customHeight="1">
      <c r="A17" s="40"/>
      <c r="B17" s="41"/>
      <c r="C17" s="414"/>
      <c r="D17" s="41"/>
      <c r="E17" s="42"/>
      <c r="F17" s="42"/>
      <c r="G17" s="499"/>
      <c r="H17" s="44"/>
      <c r="I17" s="45"/>
      <c r="J17" s="82"/>
      <c r="K17" s="82"/>
      <c r="L17" s="35"/>
      <c r="M17" s="35"/>
      <c r="N17" s="46"/>
      <c r="O17" s="47"/>
      <c r="P17" s="48"/>
      <c r="Q17" s="47"/>
      <c r="R17" s="500"/>
      <c r="S17" s="500"/>
      <c r="T17" s="37"/>
      <c r="U17" s="37"/>
      <c r="V17" s="37"/>
      <c r="W17" s="37"/>
      <c r="X17" s="501"/>
      <c r="Y17" s="211"/>
      <c r="Z17" s="37"/>
      <c r="AA17" s="49"/>
      <c r="AB17" s="49"/>
      <c r="AC17" s="37"/>
      <c r="AD17" s="37"/>
      <c r="AE17" s="229"/>
      <c r="AF17" s="37"/>
      <c r="AG17" s="37"/>
      <c r="AH17" s="37"/>
      <c r="AI17" s="502"/>
      <c r="AJ17" s="37"/>
      <c r="AK17" s="37"/>
      <c r="AL17" s="37"/>
      <c r="AM17" s="37"/>
      <c r="AN17" s="37"/>
      <c r="AO17" s="37"/>
      <c r="AP17" s="37"/>
      <c r="AQ17" s="37"/>
      <c r="AR17" s="37"/>
      <c r="AS17" s="37"/>
      <c r="AT17" s="37"/>
      <c r="AU17" s="37"/>
      <c r="AV17" s="37"/>
      <c r="AW17" s="37"/>
      <c r="AX17" s="37"/>
      <c r="AY17" s="37"/>
      <c r="AZ17" s="37"/>
      <c r="BA17" s="37"/>
      <c r="BB17" s="33"/>
      <c r="BC17" s="51"/>
      <c r="BD17" s="51"/>
      <c r="BE17" s="50"/>
      <c r="BF17" s="51"/>
    </row>
    <row r="18" spans="1:58" ht="12.75" customHeight="1">
      <c r="A18" s="40">
        <v>45964</v>
      </c>
      <c r="B18" s="41" t="s">
        <v>406</v>
      </c>
      <c r="C18" s="414">
        <f>(M18*E18*O18*Q18)/100000000</f>
        <v>0</v>
      </c>
      <c r="D18" s="41" t="s">
        <v>300</v>
      </c>
      <c r="E18" s="42">
        <v>12</v>
      </c>
      <c r="F18" s="42">
        <v>1</v>
      </c>
      <c r="G18" s="499">
        <v>1230</v>
      </c>
      <c r="H18" s="44">
        <f>+N18</f>
        <v>0.23417344173441734</v>
      </c>
      <c r="I18" s="45">
        <v>0.88</v>
      </c>
      <c r="J18" s="82">
        <f>E18*G18*(1-H18)*1440/1000000*2.74</f>
        <v>44.599484159999996</v>
      </c>
      <c r="K18" s="82">
        <f>(IF(G18&lt;L18,L18,G18)*(1-IF(H18&lt;N18,H18,N18))*E18*O18*Q18)/100000000</f>
        <v>0</v>
      </c>
      <c r="L18" s="35">
        <v>1230</v>
      </c>
      <c r="M18" s="35">
        <v>941.9666666666667</v>
      </c>
      <c r="N18" s="46">
        <f>1-(M18/L18)</f>
        <v>0.23417344173441734</v>
      </c>
      <c r="O18" s="47">
        <f>+'Trim Rwd'!H8</f>
        <v>266</v>
      </c>
      <c r="P18" s="48">
        <f>O18*(Q18-R18-S18)</f>
        <v>0</v>
      </c>
      <c r="Q18" s="47">
        <f>1440-1440</f>
        <v>0</v>
      </c>
      <c r="R18" s="500">
        <f>1440-1440</f>
        <v>0</v>
      </c>
      <c r="S18" s="500">
        <v>0</v>
      </c>
      <c r="T18" s="37">
        <f>E18*M18*O18*Q18/100000000</f>
        <v>0</v>
      </c>
      <c r="U18" s="37">
        <f>E18*M18*O18*(Q18-R18-S18)/100000000</f>
        <v>0</v>
      </c>
      <c r="V18" s="37">
        <f>E18*G18*(1-N18)*O18/100*(R18+S18)/1000000</f>
        <v>0</v>
      </c>
      <c r="W18" s="37">
        <f>+'1'!C46/1000</f>
        <v>0</v>
      </c>
      <c r="X18" s="501" t="e">
        <f>SUM(W18:W22)/SUM(K18:K22)</f>
        <v>#DIV/0!</v>
      </c>
      <c r="Y18" s="211">
        <v>0</v>
      </c>
      <c r="Z18" s="37">
        <v>0</v>
      </c>
      <c r="AA18" s="49">
        <f>SUM(U18:U22)-SUM(W18:W22)-SUM(Z18:Z22)-SUM(Y18:Y22)</f>
        <v>0</v>
      </c>
      <c r="AB18" s="49">
        <f>(SUM(K18:K22)-SUM(W18:W22)-SUM(Y18:Y22)-SUM(Z18:Z22)-SUM(AC18:AC22)-SUM(V18:V22))-AA18</f>
        <v>0</v>
      </c>
      <c r="AC18" s="37">
        <f>K18-T18</f>
        <v>0</v>
      </c>
      <c r="AD18" s="37">
        <f>+AM18+BA18</f>
        <v>0</v>
      </c>
      <c r="AE18" s="229" t="s">
        <v>384</v>
      </c>
      <c r="AF18" s="37">
        <v>0</v>
      </c>
      <c r="AG18" s="37"/>
      <c r="AH18" s="37"/>
      <c r="AI18" s="502"/>
      <c r="AJ18" s="37"/>
      <c r="AK18" s="37"/>
      <c r="AL18" s="37"/>
      <c r="AM18" s="37">
        <f t="shared" ref="AM18:AM22" si="3">SUM(AF18:AL18)+AT18+AV18+AX18</f>
        <v>0</v>
      </c>
      <c r="AN18" s="37"/>
      <c r="AO18" s="37"/>
      <c r="AP18" s="37"/>
      <c r="AQ18" s="37"/>
      <c r="AR18" s="37">
        <f>SUM(AN18:AQ18)</f>
        <v>0</v>
      </c>
      <c r="AS18" s="37"/>
      <c r="AT18" s="37"/>
      <c r="AU18" s="37"/>
      <c r="AV18" s="37"/>
      <c r="AW18" s="37"/>
      <c r="AX18" s="37"/>
      <c r="AY18" s="37"/>
      <c r="AZ18" s="37"/>
      <c r="BA18" s="37">
        <f>+AR18+AS18+AU18+AW18+AY18+AZ18</f>
        <v>0</v>
      </c>
      <c r="BB18" s="33">
        <v>0</v>
      </c>
      <c r="BC18" s="51"/>
      <c r="BD18" s="51"/>
      <c r="BE18" s="33"/>
      <c r="BF18" s="51"/>
    </row>
    <row r="19" spans="1:58" ht="12.95" customHeight="1">
      <c r="A19" s="40"/>
      <c r="B19" s="41"/>
      <c r="C19" s="414"/>
      <c r="D19" s="41"/>
      <c r="E19" s="42"/>
      <c r="F19" s="42"/>
      <c r="G19" s="499"/>
      <c r="H19" s="44"/>
      <c r="I19" s="45"/>
      <c r="J19" s="82"/>
      <c r="K19" s="82"/>
      <c r="L19" s="35"/>
      <c r="M19" s="35"/>
      <c r="N19" s="46"/>
      <c r="O19" s="47"/>
      <c r="P19" s="48"/>
      <c r="Q19" s="47"/>
      <c r="R19" s="500"/>
      <c r="S19" s="500"/>
      <c r="T19" s="37"/>
      <c r="U19" s="37"/>
      <c r="V19" s="37"/>
      <c r="W19" s="37"/>
      <c r="X19" s="38"/>
      <c r="Y19" s="211"/>
      <c r="Z19" s="37"/>
      <c r="AA19" s="37"/>
      <c r="AB19" s="37"/>
      <c r="AC19" s="37"/>
      <c r="AD19" s="37">
        <f>+AM19+BA19</f>
        <v>0</v>
      </c>
      <c r="AE19" s="229" t="s">
        <v>282</v>
      </c>
      <c r="AF19" s="37"/>
      <c r="AG19" s="37">
        <v>0</v>
      </c>
      <c r="AH19" s="37"/>
      <c r="AI19" s="502"/>
      <c r="AJ19" s="37"/>
      <c r="AK19" s="37"/>
      <c r="AL19" s="37"/>
      <c r="AM19" s="37">
        <f t="shared" si="3"/>
        <v>0</v>
      </c>
      <c r="AN19" s="83"/>
      <c r="AO19" s="37"/>
      <c r="AP19" s="37"/>
      <c r="AQ19" s="37"/>
      <c r="AR19" s="37">
        <f t="shared" ref="AR19:AR22" si="4">SUM(AN19:AQ19)</f>
        <v>0</v>
      </c>
      <c r="AS19" s="37"/>
      <c r="AT19" s="37"/>
      <c r="AU19" s="37"/>
      <c r="AV19" s="37"/>
      <c r="AW19" s="37"/>
      <c r="AX19" s="37"/>
      <c r="AY19" s="37"/>
      <c r="AZ19" s="37"/>
      <c r="BA19" s="37">
        <f>+AR19+AS19+AU19+AW19+AY19+AZ19</f>
        <v>0</v>
      </c>
      <c r="BB19" s="50"/>
      <c r="BC19" s="51">
        <v>0</v>
      </c>
      <c r="BD19" s="51"/>
      <c r="BE19" s="50"/>
      <c r="BF19" s="51"/>
    </row>
    <row r="20" spans="1:58" ht="12.95" customHeight="1">
      <c r="A20" s="40"/>
      <c r="B20" s="41"/>
      <c r="C20" s="414"/>
      <c r="D20" s="41"/>
      <c r="E20" s="42"/>
      <c r="F20" s="42"/>
      <c r="G20" s="43"/>
      <c r="H20" s="44"/>
      <c r="I20" s="45"/>
      <c r="J20" s="82"/>
      <c r="K20" s="82"/>
      <c r="L20" s="35"/>
      <c r="M20" s="35"/>
      <c r="N20" s="46"/>
      <c r="O20" s="47"/>
      <c r="P20" s="48"/>
      <c r="Q20" s="47"/>
      <c r="R20" s="500"/>
      <c r="S20" s="500"/>
      <c r="T20" s="37"/>
      <c r="U20" s="37"/>
      <c r="V20" s="37"/>
      <c r="W20" s="37"/>
      <c r="X20" s="38"/>
      <c r="Y20" s="211"/>
      <c r="Z20" s="37"/>
      <c r="AA20" s="37"/>
      <c r="AB20" s="37"/>
      <c r="AC20" s="37"/>
      <c r="AD20" s="37">
        <f>+AM20+BA20</f>
        <v>0</v>
      </c>
      <c r="AE20" s="229" t="s">
        <v>408</v>
      </c>
      <c r="AF20" s="33"/>
      <c r="AG20" s="33"/>
      <c r="AH20" s="33">
        <v>0</v>
      </c>
      <c r="AJ20" s="37"/>
      <c r="AK20" s="37"/>
      <c r="AL20" s="37"/>
      <c r="AM20" s="37">
        <f t="shared" si="3"/>
        <v>0</v>
      </c>
      <c r="AN20" s="37"/>
      <c r="AO20" s="37"/>
      <c r="AP20" s="37"/>
      <c r="AQ20" s="37"/>
      <c r="AR20" s="37">
        <f t="shared" si="4"/>
        <v>0</v>
      </c>
      <c r="AS20" s="37"/>
      <c r="AT20" s="37"/>
      <c r="AU20" s="37"/>
      <c r="AV20" s="37"/>
      <c r="AW20" s="37"/>
      <c r="AX20" s="37"/>
      <c r="AY20" s="37"/>
      <c r="AZ20" s="37"/>
      <c r="BA20" s="37">
        <f>+AR20+AS20+AU20+AW20+AY20+AZ20</f>
        <v>0</v>
      </c>
      <c r="BB20" s="33"/>
      <c r="BC20" s="503"/>
      <c r="BD20" s="503"/>
      <c r="BE20" s="33"/>
      <c r="BF20" s="503"/>
    </row>
    <row r="21" spans="1:58" ht="12.95" customHeight="1">
      <c r="A21" s="40"/>
      <c r="B21" s="41"/>
      <c r="C21" s="414"/>
      <c r="D21" s="41"/>
      <c r="E21" s="42"/>
      <c r="F21" s="42"/>
      <c r="G21" s="43"/>
      <c r="H21" s="44"/>
      <c r="I21" s="45"/>
      <c r="J21" s="82"/>
      <c r="K21" s="82"/>
      <c r="L21" s="35"/>
      <c r="M21" s="35"/>
      <c r="N21" s="46"/>
      <c r="O21" s="47"/>
      <c r="P21" s="48"/>
      <c r="Q21" s="34"/>
      <c r="R21" s="500"/>
      <c r="S21" s="500"/>
      <c r="T21" s="37"/>
      <c r="U21" s="37"/>
      <c r="V21" s="37"/>
      <c r="W21" s="37"/>
      <c r="X21" s="38"/>
      <c r="Y21" s="211"/>
      <c r="Z21" s="37"/>
      <c r="AA21" s="37"/>
      <c r="AB21" s="37"/>
      <c r="AC21" s="37"/>
      <c r="AD21" s="37">
        <f>+AM21+BA21</f>
        <v>0</v>
      </c>
      <c r="AE21" s="232" t="s">
        <v>377</v>
      </c>
      <c r="AF21" s="37"/>
      <c r="AG21" s="37"/>
      <c r="AH21" s="37"/>
      <c r="AI21" s="502">
        <v>0</v>
      </c>
      <c r="AJ21" s="37"/>
      <c r="AK21" s="37"/>
      <c r="AL21" s="37"/>
      <c r="AM21" s="37">
        <f t="shared" si="3"/>
        <v>0</v>
      </c>
      <c r="AN21" s="37"/>
      <c r="AO21" s="37"/>
      <c r="AP21" s="37"/>
      <c r="AQ21" s="37"/>
      <c r="AR21" s="37">
        <f t="shared" si="4"/>
        <v>0</v>
      </c>
      <c r="AS21" s="37"/>
      <c r="AT21" s="37"/>
      <c r="AU21" s="37"/>
      <c r="AV21" s="37"/>
      <c r="AW21" s="37"/>
      <c r="AX21" s="37"/>
      <c r="AY21" s="37"/>
      <c r="AZ21" s="37"/>
      <c r="BA21" s="37">
        <f>+AR21+AS21+AU21+AW21+AY21+AZ21</f>
        <v>0</v>
      </c>
      <c r="BB21" s="50"/>
      <c r="BC21" s="51"/>
      <c r="BD21" s="51"/>
      <c r="BE21" s="50"/>
      <c r="BF21" s="51"/>
    </row>
    <row r="22" spans="1:58" ht="12.95" customHeight="1">
      <c r="A22" s="40"/>
      <c r="B22" s="41"/>
      <c r="C22" s="414"/>
      <c r="D22" s="41"/>
      <c r="E22" s="42"/>
      <c r="F22" s="42"/>
      <c r="G22" s="43"/>
      <c r="H22" s="44"/>
      <c r="I22" s="45"/>
      <c r="J22" s="82"/>
      <c r="K22" s="82"/>
      <c r="L22" s="35"/>
      <c r="M22" s="35"/>
      <c r="N22" s="46"/>
      <c r="O22" s="47"/>
      <c r="P22" s="48"/>
      <c r="Q22" s="34"/>
      <c r="R22" s="500"/>
      <c r="S22" s="500"/>
      <c r="T22" s="37"/>
      <c r="U22" s="37"/>
      <c r="V22" s="37"/>
      <c r="W22" s="37"/>
      <c r="X22" s="38"/>
      <c r="Y22" s="211"/>
      <c r="Z22" s="37"/>
      <c r="AA22" s="37"/>
      <c r="AB22" s="37"/>
      <c r="AC22" s="37"/>
      <c r="AD22" s="37">
        <f>+AM22+BA22</f>
        <v>0</v>
      </c>
      <c r="AE22" s="232" t="s">
        <v>409</v>
      </c>
      <c r="AF22" s="37"/>
      <c r="AG22" s="37"/>
      <c r="AH22" s="37"/>
      <c r="AI22" s="502"/>
      <c r="AJ22" s="37"/>
      <c r="AK22" s="37"/>
      <c r="AL22" s="37"/>
      <c r="AM22" s="37">
        <f t="shared" si="3"/>
        <v>0</v>
      </c>
      <c r="AN22" s="37"/>
      <c r="AO22" s="37"/>
      <c r="AP22" s="37"/>
      <c r="AQ22" s="37"/>
      <c r="AR22" s="37">
        <f t="shared" si="4"/>
        <v>0</v>
      </c>
      <c r="AS22" s="37"/>
      <c r="AT22" s="37"/>
      <c r="AU22" s="37"/>
      <c r="AV22" s="37"/>
      <c r="AW22" s="37"/>
      <c r="AX22" s="37"/>
      <c r="AY22" s="37"/>
      <c r="AZ22" s="37">
        <f>1440-1440</f>
        <v>0</v>
      </c>
      <c r="BA22" s="37">
        <f>+AR22+AS22+AU22+AW22+AY22+AZ22</f>
        <v>0</v>
      </c>
      <c r="BB22" s="50"/>
      <c r="BC22" s="51"/>
      <c r="BD22" s="51"/>
      <c r="BE22" s="33"/>
      <c r="BF22" s="51"/>
    </row>
    <row r="23" spans="1:58" ht="12.75" customHeight="1">
      <c r="A23" s="40"/>
      <c r="B23" s="41"/>
      <c r="C23" s="414"/>
      <c r="D23" s="41"/>
      <c r="E23" s="42"/>
      <c r="F23" s="42"/>
      <c r="G23" s="499"/>
      <c r="H23" s="44"/>
      <c r="I23" s="45"/>
      <c r="J23" s="82"/>
      <c r="K23" s="82"/>
      <c r="L23" s="35"/>
      <c r="M23" s="35"/>
      <c r="N23" s="46"/>
      <c r="O23" s="47"/>
      <c r="P23" s="48"/>
      <c r="Q23" s="47"/>
      <c r="R23" s="500"/>
      <c r="S23" s="500"/>
      <c r="T23" s="37"/>
      <c r="U23" s="37"/>
      <c r="V23" s="37"/>
      <c r="W23" s="37"/>
      <c r="X23" s="501"/>
      <c r="Y23" s="211"/>
      <c r="Z23" s="37"/>
      <c r="AA23" s="49"/>
      <c r="AB23" s="49"/>
      <c r="AC23" s="37"/>
      <c r="AD23" s="37"/>
      <c r="AE23" s="229"/>
      <c r="AF23" s="37"/>
      <c r="AG23" s="37"/>
      <c r="AH23" s="37"/>
      <c r="AI23" s="502"/>
      <c r="AJ23" s="37"/>
      <c r="AK23" s="37"/>
      <c r="AL23" s="37"/>
      <c r="AM23" s="37"/>
      <c r="AN23" s="37"/>
      <c r="AO23" s="37"/>
      <c r="AP23" s="37"/>
      <c r="AQ23" s="37"/>
      <c r="AR23" s="37"/>
      <c r="AS23" s="37"/>
      <c r="AT23" s="37"/>
      <c r="AU23" s="37"/>
      <c r="AV23" s="37"/>
      <c r="AW23" s="37"/>
      <c r="AX23" s="37"/>
      <c r="AY23" s="37"/>
      <c r="AZ23" s="37"/>
      <c r="BA23" s="37"/>
      <c r="BB23" s="33"/>
      <c r="BC23" s="51"/>
      <c r="BD23" s="51"/>
      <c r="BE23" s="50"/>
      <c r="BF23" s="51"/>
    </row>
    <row r="24" spans="1:58" ht="12.75" customHeight="1">
      <c r="A24" s="40">
        <v>45965</v>
      </c>
      <c r="B24" s="41" t="s">
        <v>406</v>
      </c>
      <c r="C24" s="414">
        <f>(M24*E24*O24*Q24)/100000000</f>
        <v>0</v>
      </c>
      <c r="D24" s="41" t="s">
        <v>300</v>
      </c>
      <c r="E24" s="42">
        <v>12</v>
      </c>
      <c r="F24" s="42">
        <v>1</v>
      </c>
      <c r="G24" s="499">
        <v>1230</v>
      </c>
      <c r="H24" s="44">
        <f>+N24</f>
        <v>0.23417344173441734</v>
      </c>
      <c r="I24" s="45">
        <v>0.88</v>
      </c>
      <c r="J24" s="82">
        <f>E24*G24*(1-H24)*1440/1000000*2.74</f>
        <v>44.599484159999996</v>
      </c>
      <c r="K24" s="82">
        <f>(IF(G24&lt;L24,L24,G24)*(1-IF(H24&lt;N24,H24,N24))*E24*O24*Q24)/100000000</f>
        <v>0</v>
      </c>
      <c r="L24" s="35">
        <v>1230</v>
      </c>
      <c r="M24" s="35">
        <v>941.9666666666667</v>
      </c>
      <c r="N24" s="46">
        <f>1-(M24/L24)</f>
        <v>0.23417344173441734</v>
      </c>
      <c r="O24" s="47">
        <f>+'Trim Rwd'!H10</f>
        <v>266</v>
      </c>
      <c r="P24" s="48">
        <f>O24*(Q24-R24-S24)</f>
        <v>0</v>
      </c>
      <c r="Q24" s="47">
        <f>1440-1440</f>
        <v>0</v>
      </c>
      <c r="R24" s="500">
        <f>1440-1440</f>
        <v>0</v>
      </c>
      <c r="S24" s="500">
        <v>0</v>
      </c>
      <c r="T24" s="37">
        <f>E24*M24*O24*Q24/100000000</f>
        <v>0</v>
      </c>
      <c r="U24" s="37">
        <f>E24*M24*O24*(Q24-R24-S24)/100000000</f>
        <v>0</v>
      </c>
      <c r="V24" s="37">
        <f>E24*G24*(1-N24)*O24/100*(R24+S24)/1000000</f>
        <v>0</v>
      </c>
      <c r="W24" s="37">
        <v>0</v>
      </c>
      <c r="X24" s="501" t="e">
        <f>SUM(W24:W28)/SUM(K24:K28)</f>
        <v>#DIV/0!</v>
      </c>
      <c r="Y24" s="211">
        <v>0</v>
      </c>
      <c r="Z24" s="37">
        <v>0</v>
      </c>
      <c r="AA24" s="49">
        <f>SUM(U24:U28)-SUM(W24:W28)-SUM(Z24:Z28)-SUM(Y24:Y28)</f>
        <v>0</v>
      </c>
      <c r="AB24" s="49">
        <f>(SUM(K24:K28)-SUM(W24:W28)-SUM(Y24:Y28)-SUM(Z24:Z28)-SUM(AC24:AC28)-SUM(V24:V28))-AA24</f>
        <v>0</v>
      </c>
      <c r="AC24" s="37">
        <f>K24-T24</f>
        <v>0</v>
      </c>
      <c r="AD24" s="37">
        <f>+AM24+BA24</f>
        <v>0</v>
      </c>
      <c r="AE24" s="229" t="s">
        <v>384</v>
      </c>
      <c r="AF24" s="37">
        <v>0</v>
      </c>
      <c r="AG24" s="37"/>
      <c r="AH24" s="37"/>
      <c r="AI24" s="502"/>
      <c r="AJ24" s="37"/>
      <c r="AK24" s="37"/>
      <c r="AL24" s="37"/>
      <c r="AM24" s="37">
        <f t="shared" ref="AM24:AM28" si="5">SUM(AF24:AL24)+AT24+AV24+AX24</f>
        <v>0</v>
      </c>
      <c r="AN24" s="37"/>
      <c r="AO24" s="37"/>
      <c r="AP24" s="37"/>
      <c r="AQ24" s="37"/>
      <c r="AR24" s="37">
        <f>SUM(AN24:AQ24)</f>
        <v>0</v>
      </c>
      <c r="AS24" s="37"/>
      <c r="AT24" s="37"/>
      <c r="AU24" s="37"/>
      <c r="AV24" s="37"/>
      <c r="AW24" s="37"/>
      <c r="AX24" s="37"/>
      <c r="AY24" s="37"/>
      <c r="AZ24" s="37"/>
      <c r="BA24" s="37">
        <f>+AR24+AS24+AU24+AW24+AY24+AZ24</f>
        <v>0</v>
      </c>
      <c r="BB24" s="33">
        <v>0</v>
      </c>
      <c r="BC24" s="51"/>
      <c r="BD24" s="51"/>
      <c r="BE24" s="33"/>
      <c r="BF24" s="51"/>
    </row>
    <row r="25" spans="1:58" ht="12.95" customHeight="1">
      <c r="A25" s="40"/>
      <c r="B25" s="41"/>
      <c r="C25" s="414"/>
      <c r="D25" s="41"/>
      <c r="E25" s="42"/>
      <c r="F25" s="42"/>
      <c r="G25" s="499"/>
      <c r="H25" s="44"/>
      <c r="I25" s="45"/>
      <c r="J25" s="82"/>
      <c r="K25" s="82"/>
      <c r="L25" s="35"/>
      <c r="M25" s="35"/>
      <c r="N25" s="46"/>
      <c r="O25" s="47"/>
      <c r="P25" s="48"/>
      <c r="Q25" s="47"/>
      <c r="R25" s="500"/>
      <c r="S25" s="500"/>
      <c r="T25" s="37"/>
      <c r="U25" s="37"/>
      <c r="V25" s="37"/>
      <c r="W25" s="37"/>
      <c r="X25" s="38"/>
      <c r="Y25" s="211"/>
      <c r="Z25" s="37"/>
      <c r="AA25" s="37"/>
      <c r="AB25" s="37"/>
      <c r="AC25" s="37"/>
      <c r="AD25" s="37">
        <f>+AM25+BA25</f>
        <v>0</v>
      </c>
      <c r="AE25" s="229" t="s">
        <v>282</v>
      </c>
      <c r="AF25" s="37"/>
      <c r="AG25" s="37">
        <v>0</v>
      </c>
      <c r="AH25" s="37"/>
      <c r="AI25" s="502"/>
      <c r="AJ25" s="37"/>
      <c r="AK25" s="37"/>
      <c r="AL25" s="37"/>
      <c r="AM25" s="37">
        <f t="shared" si="5"/>
        <v>0</v>
      </c>
      <c r="AN25" s="83"/>
      <c r="AO25" s="37"/>
      <c r="AP25" s="37"/>
      <c r="AQ25" s="37"/>
      <c r="AR25" s="37">
        <f t="shared" ref="AR25:AR28" si="6">SUM(AN25:AQ25)</f>
        <v>0</v>
      </c>
      <c r="AS25" s="37"/>
      <c r="AT25" s="37"/>
      <c r="AU25" s="37"/>
      <c r="AV25" s="37"/>
      <c r="AW25" s="37"/>
      <c r="AX25" s="37"/>
      <c r="AY25" s="37"/>
      <c r="AZ25" s="37"/>
      <c r="BA25" s="37">
        <f>+AR25+AS25+AU25+AW25+AY25+AZ25</f>
        <v>0</v>
      </c>
      <c r="BB25" s="50"/>
      <c r="BC25" s="51">
        <v>0</v>
      </c>
      <c r="BD25" s="51"/>
      <c r="BE25" s="50"/>
      <c r="BF25" s="51"/>
    </row>
    <row r="26" spans="1:58" ht="12.95" customHeight="1">
      <c r="A26" s="40"/>
      <c r="B26" s="41"/>
      <c r="C26" s="414"/>
      <c r="D26" s="41"/>
      <c r="E26" s="42"/>
      <c r="F26" s="42"/>
      <c r="G26" s="43"/>
      <c r="H26" s="44"/>
      <c r="I26" s="45"/>
      <c r="J26" s="82"/>
      <c r="K26" s="82"/>
      <c r="L26" s="35"/>
      <c r="M26" s="35"/>
      <c r="N26" s="46"/>
      <c r="O26" s="47"/>
      <c r="P26" s="48"/>
      <c r="Q26" s="47"/>
      <c r="R26" s="500"/>
      <c r="S26" s="500"/>
      <c r="T26" s="37"/>
      <c r="U26" s="37"/>
      <c r="V26" s="37"/>
      <c r="W26" s="37"/>
      <c r="X26" s="38"/>
      <c r="Y26" s="211"/>
      <c r="Z26" s="37"/>
      <c r="AA26" s="37"/>
      <c r="AB26" s="37"/>
      <c r="AC26" s="37"/>
      <c r="AD26" s="37">
        <f>+AM26+BA26</f>
        <v>0</v>
      </c>
      <c r="AE26" s="229" t="s">
        <v>408</v>
      </c>
      <c r="AF26" s="33"/>
      <c r="AG26" s="33"/>
      <c r="AH26" s="33">
        <v>0</v>
      </c>
      <c r="AJ26" s="37"/>
      <c r="AK26" s="37"/>
      <c r="AL26" s="37"/>
      <c r="AM26" s="37">
        <f t="shared" si="5"/>
        <v>0</v>
      </c>
      <c r="AN26" s="37"/>
      <c r="AO26" s="37"/>
      <c r="AP26" s="37"/>
      <c r="AQ26" s="37"/>
      <c r="AR26" s="37">
        <f t="shared" si="6"/>
        <v>0</v>
      </c>
      <c r="AS26" s="37"/>
      <c r="AT26" s="37"/>
      <c r="AU26" s="37"/>
      <c r="AV26" s="37"/>
      <c r="AW26" s="37"/>
      <c r="AX26" s="37"/>
      <c r="AY26" s="37"/>
      <c r="AZ26" s="37"/>
      <c r="BA26" s="37">
        <f>+AR26+AS26+AU26+AW26+AY26+AZ26</f>
        <v>0</v>
      </c>
      <c r="BB26" s="33"/>
      <c r="BC26" s="503"/>
      <c r="BD26" s="503"/>
      <c r="BE26" s="33"/>
      <c r="BF26" s="503"/>
    </row>
    <row r="27" spans="1:58" ht="12.95" customHeight="1">
      <c r="A27" s="40"/>
      <c r="B27" s="41"/>
      <c r="C27" s="414"/>
      <c r="D27" s="41"/>
      <c r="E27" s="42"/>
      <c r="F27" s="42"/>
      <c r="G27" s="43"/>
      <c r="H27" s="44"/>
      <c r="I27" s="45"/>
      <c r="J27" s="82"/>
      <c r="K27" s="82"/>
      <c r="L27" s="35"/>
      <c r="M27" s="35"/>
      <c r="N27" s="46"/>
      <c r="O27" s="47"/>
      <c r="P27" s="48"/>
      <c r="Q27" s="34"/>
      <c r="R27" s="500"/>
      <c r="S27" s="500"/>
      <c r="T27" s="37"/>
      <c r="U27" s="37"/>
      <c r="V27" s="37"/>
      <c r="W27" s="37"/>
      <c r="X27" s="38"/>
      <c r="Y27" s="211"/>
      <c r="Z27" s="37"/>
      <c r="AA27" s="37"/>
      <c r="AB27" s="37"/>
      <c r="AC27" s="37"/>
      <c r="AD27" s="37">
        <f>+AM27+BA27</f>
        <v>0</v>
      </c>
      <c r="AE27" s="232" t="s">
        <v>377</v>
      </c>
      <c r="AF27" s="37"/>
      <c r="AG27" s="37"/>
      <c r="AH27" s="37"/>
      <c r="AI27" s="502">
        <v>0</v>
      </c>
      <c r="AJ27" s="37"/>
      <c r="AK27" s="37"/>
      <c r="AL27" s="37"/>
      <c r="AM27" s="37">
        <f t="shared" si="5"/>
        <v>0</v>
      </c>
      <c r="AN27" s="37"/>
      <c r="AO27" s="37"/>
      <c r="AP27" s="37"/>
      <c r="AQ27" s="37"/>
      <c r="AR27" s="37">
        <f t="shared" si="6"/>
        <v>0</v>
      </c>
      <c r="AS27" s="37"/>
      <c r="AT27" s="37"/>
      <c r="AU27" s="37"/>
      <c r="AV27" s="37"/>
      <c r="AW27" s="37"/>
      <c r="AX27" s="37"/>
      <c r="AY27" s="37"/>
      <c r="AZ27" s="37"/>
      <c r="BA27" s="37">
        <f>+AR27+AS27+AU27+AW27+AY27+AZ27</f>
        <v>0</v>
      </c>
      <c r="BB27" s="50"/>
      <c r="BC27" s="51"/>
      <c r="BD27" s="51"/>
      <c r="BE27" s="50"/>
      <c r="BF27" s="51"/>
    </row>
    <row r="28" spans="1:58" ht="12.95" customHeight="1">
      <c r="A28" s="40"/>
      <c r="B28" s="41"/>
      <c r="C28" s="414"/>
      <c r="D28" s="41"/>
      <c r="E28" s="42"/>
      <c r="F28" s="42"/>
      <c r="G28" s="43"/>
      <c r="H28" s="44"/>
      <c r="I28" s="45"/>
      <c r="J28" s="82"/>
      <c r="K28" s="82"/>
      <c r="L28" s="35"/>
      <c r="M28" s="35"/>
      <c r="N28" s="46"/>
      <c r="O28" s="47"/>
      <c r="P28" s="48"/>
      <c r="Q28" s="34"/>
      <c r="R28" s="500"/>
      <c r="S28" s="500"/>
      <c r="T28" s="37"/>
      <c r="U28" s="37"/>
      <c r="V28" s="37"/>
      <c r="W28" s="37"/>
      <c r="X28" s="38"/>
      <c r="Y28" s="211"/>
      <c r="Z28" s="37"/>
      <c r="AA28" s="37"/>
      <c r="AB28" s="37"/>
      <c r="AC28" s="37"/>
      <c r="AD28" s="37">
        <f>+AM28+BA28</f>
        <v>0</v>
      </c>
      <c r="AE28" s="232" t="s">
        <v>409</v>
      </c>
      <c r="AF28" s="37"/>
      <c r="AG28" s="37"/>
      <c r="AH28" s="37"/>
      <c r="AI28" s="502"/>
      <c r="AJ28" s="37"/>
      <c r="AK28" s="37"/>
      <c r="AL28" s="37"/>
      <c r="AM28" s="37">
        <f t="shared" si="5"/>
        <v>0</v>
      </c>
      <c r="AN28" s="37"/>
      <c r="AO28" s="37"/>
      <c r="AP28" s="37"/>
      <c r="AQ28" s="37"/>
      <c r="AR28" s="37">
        <f t="shared" si="6"/>
        <v>0</v>
      </c>
      <c r="AS28" s="37"/>
      <c r="AT28" s="37"/>
      <c r="AU28" s="37"/>
      <c r="AV28" s="37"/>
      <c r="AW28" s="37"/>
      <c r="AX28" s="37"/>
      <c r="AY28" s="37"/>
      <c r="AZ28" s="37">
        <f>1440-1440</f>
        <v>0</v>
      </c>
      <c r="BA28" s="37">
        <f>+AR28+AS28+AU28+AW28+AY28+AZ28</f>
        <v>0</v>
      </c>
      <c r="BB28" s="50"/>
      <c r="BC28" s="51"/>
      <c r="BD28" s="51"/>
      <c r="BE28" s="33"/>
      <c r="BF28" s="51"/>
    </row>
    <row r="29" spans="1:58" ht="12.95" customHeight="1">
      <c r="A29" s="40"/>
      <c r="B29" s="41"/>
      <c r="C29" s="414"/>
      <c r="D29" s="41"/>
      <c r="E29" s="42"/>
      <c r="F29" s="42"/>
      <c r="G29" s="499"/>
      <c r="H29" s="44"/>
      <c r="I29" s="45"/>
      <c r="J29" s="82"/>
      <c r="K29" s="82"/>
      <c r="L29" s="35"/>
      <c r="M29" s="35"/>
      <c r="N29" s="46"/>
      <c r="O29" s="47"/>
      <c r="P29" s="48"/>
      <c r="Q29" s="47"/>
      <c r="R29" s="500"/>
      <c r="S29" s="500"/>
      <c r="T29" s="37"/>
      <c r="U29" s="37"/>
      <c r="V29" s="37"/>
      <c r="W29" s="37"/>
      <c r="X29" s="38"/>
      <c r="Y29" s="211"/>
      <c r="Z29" s="37"/>
      <c r="AA29" s="37"/>
      <c r="AB29" s="37"/>
      <c r="AC29" s="37"/>
      <c r="AD29" s="37"/>
      <c r="AE29" s="229"/>
      <c r="AF29" s="37"/>
      <c r="AG29" s="37"/>
      <c r="AH29" s="37"/>
      <c r="AI29" s="502"/>
      <c r="AJ29" s="37"/>
      <c r="AK29" s="37"/>
      <c r="AL29" s="37"/>
      <c r="AM29" s="37"/>
      <c r="AN29" s="83"/>
      <c r="AO29" s="37"/>
      <c r="AP29" s="37"/>
      <c r="AQ29" s="37"/>
      <c r="AR29" s="37"/>
      <c r="AS29" s="37"/>
      <c r="AT29" s="37"/>
      <c r="AU29" s="37"/>
      <c r="AV29" s="37"/>
      <c r="AW29" s="37"/>
      <c r="AX29" s="37"/>
      <c r="AY29" s="37"/>
      <c r="AZ29" s="37"/>
      <c r="BA29" s="37"/>
      <c r="BB29" s="50"/>
      <c r="BC29" s="51"/>
      <c r="BD29" s="51"/>
      <c r="BE29" s="33"/>
      <c r="BF29" s="51"/>
    </row>
    <row r="30" spans="1:58" ht="12.75" customHeight="1">
      <c r="A30" s="40">
        <v>45966</v>
      </c>
      <c r="B30" s="41" t="s">
        <v>406</v>
      </c>
      <c r="C30" s="414">
        <f>(M30*E30*O30*Q30)/100000000</f>
        <v>0</v>
      </c>
      <c r="D30" s="41" t="s">
        <v>300</v>
      </c>
      <c r="E30" s="42">
        <v>12</v>
      </c>
      <c r="F30" s="42">
        <v>1</v>
      </c>
      <c r="G30" s="499">
        <v>1230</v>
      </c>
      <c r="H30" s="44">
        <f>+N30</f>
        <v>0.23417344173441734</v>
      </c>
      <c r="I30" s="45">
        <v>0.88</v>
      </c>
      <c r="J30" s="82">
        <f>E30*G30*(1-H30)*1440/1000000*2.74</f>
        <v>44.599484159999996</v>
      </c>
      <c r="K30" s="82">
        <f>(IF(G30&lt;L30,L30,G30)*(1-IF(H30&lt;N30,H30,N30))*E30*O30*Q30)/100000000</f>
        <v>0</v>
      </c>
      <c r="L30" s="35">
        <v>1230</v>
      </c>
      <c r="M30" s="35">
        <v>941.9666666666667</v>
      </c>
      <c r="N30" s="46">
        <f>1-(M30/L30)</f>
        <v>0.23417344173441734</v>
      </c>
      <c r="O30" s="47">
        <f>+'Trim Rwd'!H12</f>
        <v>266</v>
      </c>
      <c r="P30" s="48">
        <f>O30*(Q30-R30-S30)</f>
        <v>0</v>
      </c>
      <c r="Q30" s="47">
        <f>1440-1440</f>
        <v>0</v>
      </c>
      <c r="R30" s="500">
        <f>1440-1440</f>
        <v>0</v>
      </c>
      <c r="S30" s="500">
        <v>0</v>
      </c>
      <c r="T30" s="37">
        <f>E30*M30*O30*Q30/100000000</f>
        <v>0</v>
      </c>
      <c r="U30" s="37">
        <f>E30*M30*O30*(Q30-R30-S30)/100000000</f>
        <v>0</v>
      </c>
      <c r="V30" s="37">
        <f>E30*G30*(1-N30)*O30/100*(R30+S30)/1000000</f>
        <v>0</v>
      </c>
      <c r="W30" s="37">
        <v>0</v>
      </c>
      <c r="X30" s="501" t="e">
        <f>SUM(W30:W34)/SUM(K30:K34)</f>
        <v>#DIV/0!</v>
      </c>
      <c r="Y30" s="211">
        <v>0</v>
      </c>
      <c r="Z30" s="37">
        <v>0</v>
      </c>
      <c r="AA30" s="49">
        <f>SUM(U30:U34)-SUM(W30:W34)-SUM(Z30:Z34)-SUM(Y30:Y34)</f>
        <v>0</v>
      </c>
      <c r="AB30" s="49">
        <f>(SUM(K30:K34)-SUM(W30:W34)-SUM(Y30:Y34)-SUM(Z30:Z34)-SUM(AC30:AC34)-SUM(V30:V34))-AA30</f>
        <v>0</v>
      </c>
      <c r="AC30" s="37">
        <f>K30-T30</f>
        <v>0</v>
      </c>
      <c r="AD30" s="37">
        <f>+AM30+BA30</f>
        <v>0</v>
      </c>
      <c r="AE30" s="229" t="s">
        <v>384</v>
      </c>
      <c r="AF30" s="37">
        <v>0</v>
      </c>
      <c r="AG30" s="37"/>
      <c r="AH30" s="37"/>
      <c r="AI30" s="502"/>
      <c r="AJ30" s="37"/>
      <c r="AK30" s="37"/>
      <c r="AL30" s="37"/>
      <c r="AM30" s="37">
        <f t="shared" ref="AM30:AM34" si="7">SUM(AF30:AL30)+AT30+AV30+AX30</f>
        <v>0</v>
      </c>
      <c r="AN30" s="37"/>
      <c r="AO30" s="37"/>
      <c r="AP30" s="37"/>
      <c r="AQ30" s="37"/>
      <c r="AR30" s="37">
        <f>SUM(AN30:AQ30)</f>
        <v>0</v>
      </c>
      <c r="AS30" s="37"/>
      <c r="AT30" s="37"/>
      <c r="AU30" s="37"/>
      <c r="AV30" s="37"/>
      <c r="AW30" s="37"/>
      <c r="AX30" s="37"/>
      <c r="AY30" s="37"/>
      <c r="AZ30" s="37"/>
      <c r="BA30" s="37">
        <f>+AR30+AS30+AU30+AW30+AY30+AZ30</f>
        <v>0</v>
      </c>
      <c r="BB30" s="33">
        <v>0</v>
      </c>
      <c r="BC30" s="51"/>
      <c r="BD30" s="51"/>
      <c r="BE30" s="33"/>
      <c r="BF30" s="51"/>
    </row>
    <row r="31" spans="1:58" ht="12.95" customHeight="1">
      <c r="A31" s="40"/>
      <c r="B31" s="41"/>
      <c r="C31" s="414"/>
      <c r="D31" s="41"/>
      <c r="E31" s="42"/>
      <c r="F31" s="42"/>
      <c r="G31" s="499"/>
      <c r="H31" s="44"/>
      <c r="I31" s="45"/>
      <c r="J31" s="82"/>
      <c r="K31" s="82"/>
      <c r="L31" s="35"/>
      <c r="M31" s="35"/>
      <c r="N31" s="46"/>
      <c r="O31" s="47"/>
      <c r="P31" s="48"/>
      <c r="Q31" s="47"/>
      <c r="R31" s="500"/>
      <c r="S31" s="500"/>
      <c r="T31" s="37"/>
      <c r="U31" s="37"/>
      <c r="V31" s="37"/>
      <c r="W31" s="37"/>
      <c r="X31" s="38"/>
      <c r="Y31" s="211"/>
      <c r="Z31" s="37"/>
      <c r="AA31" s="37"/>
      <c r="AB31" s="37"/>
      <c r="AC31" s="37"/>
      <c r="AD31" s="37">
        <f>+AM31+BA31</f>
        <v>0</v>
      </c>
      <c r="AE31" s="229" t="s">
        <v>282</v>
      </c>
      <c r="AF31" s="37"/>
      <c r="AG31" s="37">
        <v>0</v>
      </c>
      <c r="AH31" s="37"/>
      <c r="AI31" s="502"/>
      <c r="AJ31" s="37"/>
      <c r="AK31" s="37"/>
      <c r="AL31" s="37"/>
      <c r="AM31" s="37">
        <f t="shared" si="7"/>
        <v>0</v>
      </c>
      <c r="AN31" s="83"/>
      <c r="AO31" s="37"/>
      <c r="AP31" s="37"/>
      <c r="AQ31" s="37"/>
      <c r="AR31" s="37">
        <f t="shared" ref="AR31:AR34" si="8">SUM(AN31:AQ31)</f>
        <v>0</v>
      </c>
      <c r="AS31" s="37"/>
      <c r="AT31" s="37"/>
      <c r="AU31" s="37"/>
      <c r="AV31" s="37"/>
      <c r="AW31" s="37"/>
      <c r="AX31" s="37"/>
      <c r="AY31" s="37"/>
      <c r="AZ31" s="37"/>
      <c r="BA31" s="37">
        <f>+AR31+AS31+AU31+AW31+AY31+AZ31</f>
        <v>0</v>
      </c>
      <c r="BB31" s="50"/>
      <c r="BC31" s="51">
        <v>0</v>
      </c>
      <c r="BD31" s="51"/>
      <c r="BE31" s="50"/>
      <c r="BF31" s="51"/>
    </row>
    <row r="32" spans="1:58" ht="12.95" customHeight="1">
      <c r="A32" s="40"/>
      <c r="B32" s="41"/>
      <c r="C32" s="414"/>
      <c r="D32" s="41"/>
      <c r="E32" s="42"/>
      <c r="F32" s="42"/>
      <c r="G32" s="43"/>
      <c r="H32" s="44"/>
      <c r="I32" s="45"/>
      <c r="J32" s="82"/>
      <c r="K32" s="82"/>
      <c r="L32" s="35"/>
      <c r="M32" s="35"/>
      <c r="N32" s="46"/>
      <c r="O32" s="47"/>
      <c r="P32" s="48"/>
      <c r="Q32" s="47"/>
      <c r="R32" s="500"/>
      <c r="S32" s="500"/>
      <c r="T32" s="37"/>
      <c r="U32" s="37"/>
      <c r="V32" s="37"/>
      <c r="W32" s="37"/>
      <c r="X32" s="38"/>
      <c r="Y32" s="211"/>
      <c r="Z32" s="37"/>
      <c r="AA32" s="37"/>
      <c r="AB32" s="37"/>
      <c r="AC32" s="37"/>
      <c r="AD32" s="37">
        <f>+AM32+BA32</f>
        <v>0</v>
      </c>
      <c r="AE32" s="229" t="s">
        <v>408</v>
      </c>
      <c r="AF32" s="33"/>
      <c r="AG32" s="33"/>
      <c r="AH32" s="33">
        <v>0</v>
      </c>
      <c r="AJ32" s="37"/>
      <c r="AK32" s="37"/>
      <c r="AL32" s="37"/>
      <c r="AM32" s="37">
        <f t="shared" si="7"/>
        <v>0</v>
      </c>
      <c r="AN32" s="37"/>
      <c r="AO32" s="37"/>
      <c r="AP32" s="37"/>
      <c r="AQ32" s="37"/>
      <c r="AR32" s="37">
        <f t="shared" si="8"/>
        <v>0</v>
      </c>
      <c r="AS32" s="37"/>
      <c r="AT32" s="37"/>
      <c r="AU32" s="37"/>
      <c r="AV32" s="37"/>
      <c r="AW32" s="37"/>
      <c r="AX32" s="37"/>
      <c r="AY32" s="37"/>
      <c r="AZ32" s="37"/>
      <c r="BA32" s="37">
        <f>+AR32+AS32+AU32+AW32+AY32+AZ32</f>
        <v>0</v>
      </c>
      <c r="BB32" s="33"/>
      <c r="BC32" s="503"/>
      <c r="BD32" s="503"/>
      <c r="BE32" s="33"/>
      <c r="BF32" s="503"/>
    </row>
    <row r="33" spans="1:58" ht="12.95" customHeight="1">
      <c r="A33" s="40"/>
      <c r="B33" s="41"/>
      <c r="C33" s="414"/>
      <c r="D33" s="41"/>
      <c r="E33" s="42"/>
      <c r="F33" s="42"/>
      <c r="G33" s="43"/>
      <c r="H33" s="44"/>
      <c r="I33" s="45"/>
      <c r="J33" s="82"/>
      <c r="K33" s="82"/>
      <c r="L33" s="35"/>
      <c r="M33" s="35"/>
      <c r="N33" s="46"/>
      <c r="O33" s="47"/>
      <c r="P33" s="48"/>
      <c r="Q33" s="34"/>
      <c r="R33" s="500"/>
      <c r="S33" s="500"/>
      <c r="T33" s="37"/>
      <c r="U33" s="37"/>
      <c r="V33" s="37"/>
      <c r="W33" s="37"/>
      <c r="X33" s="38"/>
      <c r="Y33" s="211"/>
      <c r="Z33" s="37"/>
      <c r="AA33" s="37"/>
      <c r="AB33" s="37"/>
      <c r="AC33" s="37"/>
      <c r="AD33" s="37">
        <f>+AM33+BA33</f>
        <v>0</v>
      </c>
      <c r="AE33" s="232" t="s">
        <v>377</v>
      </c>
      <c r="AF33" s="37"/>
      <c r="AG33" s="37"/>
      <c r="AH33" s="37"/>
      <c r="AI33" s="502">
        <v>0</v>
      </c>
      <c r="AJ33" s="37"/>
      <c r="AK33" s="37"/>
      <c r="AL33" s="37"/>
      <c r="AM33" s="37">
        <f t="shared" si="7"/>
        <v>0</v>
      </c>
      <c r="AN33" s="37"/>
      <c r="AO33" s="37"/>
      <c r="AP33" s="37"/>
      <c r="AQ33" s="37"/>
      <c r="AR33" s="37">
        <f t="shared" si="8"/>
        <v>0</v>
      </c>
      <c r="AS33" s="37"/>
      <c r="AT33" s="37"/>
      <c r="AU33" s="37"/>
      <c r="AV33" s="37"/>
      <c r="AW33" s="37"/>
      <c r="AX33" s="37"/>
      <c r="AY33" s="37"/>
      <c r="AZ33" s="37"/>
      <c r="BA33" s="37">
        <f>+AR33+AS33+AU33+AW33+AY33+AZ33</f>
        <v>0</v>
      </c>
      <c r="BB33" s="50"/>
      <c r="BC33" s="51"/>
      <c r="BD33" s="51"/>
      <c r="BE33" s="50"/>
      <c r="BF33" s="51"/>
    </row>
    <row r="34" spans="1:58" ht="12.95" customHeight="1">
      <c r="A34" s="40"/>
      <c r="B34" s="41"/>
      <c r="C34" s="414"/>
      <c r="D34" s="41"/>
      <c r="E34" s="42"/>
      <c r="F34" s="42"/>
      <c r="G34" s="43"/>
      <c r="H34" s="44"/>
      <c r="I34" s="45"/>
      <c r="J34" s="82"/>
      <c r="K34" s="82"/>
      <c r="L34" s="35"/>
      <c r="M34" s="35"/>
      <c r="N34" s="46"/>
      <c r="O34" s="47"/>
      <c r="P34" s="48"/>
      <c r="Q34" s="34"/>
      <c r="R34" s="500"/>
      <c r="S34" s="500"/>
      <c r="T34" s="37"/>
      <c r="U34" s="37"/>
      <c r="V34" s="37"/>
      <c r="W34" s="37"/>
      <c r="X34" s="38"/>
      <c r="Y34" s="211"/>
      <c r="Z34" s="37"/>
      <c r="AA34" s="37"/>
      <c r="AB34" s="37"/>
      <c r="AC34" s="37"/>
      <c r="AD34" s="37">
        <f>+AM34+BA34</f>
        <v>0</v>
      </c>
      <c r="AE34" s="232" t="s">
        <v>409</v>
      </c>
      <c r="AF34" s="37"/>
      <c r="AG34" s="37"/>
      <c r="AH34" s="37"/>
      <c r="AI34" s="502"/>
      <c r="AJ34" s="37"/>
      <c r="AK34" s="37"/>
      <c r="AL34" s="37"/>
      <c r="AM34" s="37">
        <f t="shared" si="7"/>
        <v>0</v>
      </c>
      <c r="AN34" s="37"/>
      <c r="AO34" s="37"/>
      <c r="AP34" s="37"/>
      <c r="AQ34" s="37"/>
      <c r="AR34" s="37">
        <f t="shared" si="8"/>
        <v>0</v>
      </c>
      <c r="AS34" s="37"/>
      <c r="AT34" s="37"/>
      <c r="AU34" s="37"/>
      <c r="AV34" s="37"/>
      <c r="AW34" s="37"/>
      <c r="AX34" s="37"/>
      <c r="AY34" s="37"/>
      <c r="AZ34" s="37">
        <f>1440-1440</f>
        <v>0</v>
      </c>
      <c r="BA34" s="37">
        <f>+AR34+AS34+AU34+AW34+AY34+AZ34</f>
        <v>0</v>
      </c>
      <c r="BB34" s="50"/>
      <c r="BC34" s="51"/>
      <c r="BD34" s="51"/>
      <c r="BE34" s="33"/>
      <c r="BF34" s="51"/>
    </row>
    <row r="35" spans="1:58" ht="12.95" customHeight="1">
      <c r="A35" s="40"/>
      <c r="B35" s="41"/>
      <c r="C35" s="414"/>
      <c r="D35" s="41"/>
      <c r="E35" s="42"/>
      <c r="F35" s="42"/>
      <c r="G35" s="43"/>
      <c r="H35" s="44"/>
      <c r="I35" s="45"/>
      <c r="J35" s="82"/>
      <c r="K35" s="82"/>
      <c r="L35" s="35"/>
      <c r="M35" s="35"/>
      <c r="N35" s="46"/>
      <c r="O35" s="47"/>
      <c r="P35" s="48"/>
      <c r="Q35" s="47"/>
      <c r="R35" s="500"/>
      <c r="S35" s="500"/>
      <c r="T35" s="37"/>
      <c r="U35" s="37"/>
      <c r="V35" s="37"/>
      <c r="W35" s="37"/>
      <c r="X35" s="38"/>
      <c r="Y35" s="211"/>
      <c r="Z35" s="37"/>
      <c r="AA35" s="37"/>
      <c r="AB35" s="37"/>
      <c r="AC35" s="37"/>
      <c r="AD35" s="37"/>
      <c r="AE35" s="229"/>
      <c r="AF35" s="33"/>
      <c r="AG35" s="33"/>
      <c r="AH35" s="33"/>
      <c r="AJ35" s="37"/>
      <c r="AK35" s="37"/>
      <c r="AL35" s="37"/>
      <c r="AM35" s="37"/>
      <c r="AN35" s="37"/>
      <c r="AO35" s="37"/>
      <c r="AP35" s="37"/>
      <c r="AQ35" s="37"/>
      <c r="AR35" s="37"/>
      <c r="AS35" s="37"/>
      <c r="AT35" s="37"/>
      <c r="AU35" s="37"/>
      <c r="AV35" s="37"/>
      <c r="AW35" s="37"/>
      <c r="AX35" s="37"/>
      <c r="AY35" s="37"/>
      <c r="AZ35" s="37"/>
      <c r="BA35" s="37"/>
      <c r="BB35" s="33"/>
      <c r="BC35" s="503"/>
      <c r="BD35" s="51"/>
      <c r="BE35" s="50"/>
      <c r="BF35" s="51"/>
    </row>
    <row r="36" spans="1:58" ht="12.75" customHeight="1">
      <c r="A36" s="40">
        <v>45967</v>
      </c>
      <c r="B36" s="41" t="s">
        <v>406</v>
      </c>
      <c r="C36" s="414">
        <f>(M36*E36*O36*Q36)/100000000</f>
        <v>0</v>
      </c>
      <c r="D36" s="41" t="s">
        <v>300</v>
      </c>
      <c r="E36" s="42">
        <v>12</v>
      </c>
      <c r="F36" s="42">
        <v>1</v>
      </c>
      <c r="G36" s="499">
        <v>1230</v>
      </c>
      <c r="H36" s="44">
        <f>+N36</f>
        <v>0.23417344173441734</v>
      </c>
      <c r="I36" s="45">
        <v>0.88</v>
      </c>
      <c r="J36" s="82">
        <f>E36*G36*(1-H36)*1440/1000000*2.74</f>
        <v>44.599484159999996</v>
      </c>
      <c r="K36" s="82">
        <f>(IF(G36&lt;L36,L36,G36)*(1-IF(H36&lt;N36,H36,N36))*E36*O36*Q36)/100000000</f>
        <v>0</v>
      </c>
      <c r="L36" s="35">
        <v>1230</v>
      </c>
      <c r="M36" s="35">
        <v>941.9666666666667</v>
      </c>
      <c r="N36" s="46">
        <f>1-(M36/L36)</f>
        <v>0.23417344173441734</v>
      </c>
      <c r="O36" s="47">
        <f>+'Trim Rwd'!H14</f>
        <v>266</v>
      </c>
      <c r="P36" s="48">
        <f>O36*(Q36-R36-S36)</f>
        <v>0</v>
      </c>
      <c r="Q36" s="47">
        <f>1440-1440</f>
        <v>0</v>
      </c>
      <c r="R36" s="500">
        <f>1440-1440</f>
        <v>0</v>
      </c>
      <c r="S36" s="500">
        <v>0</v>
      </c>
      <c r="T36" s="37">
        <f>E36*M36*O36*Q36/100000000</f>
        <v>0</v>
      </c>
      <c r="U36" s="37">
        <f>E36*M36*O36*(Q36-R36-S36)/100000000</f>
        <v>0</v>
      </c>
      <c r="V36" s="37">
        <f>E36*G36*(1-N36)*O36/100*(R36+S36)/1000000</f>
        <v>0</v>
      </c>
      <c r="W36" s="37">
        <v>0</v>
      </c>
      <c r="X36" s="501" t="e">
        <f>SUM(W36:W40)/SUM(K36:K40)</f>
        <v>#DIV/0!</v>
      </c>
      <c r="Y36" s="211">
        <v>0</v>
      </c>
      <c r="Z36" s="37">
        <v>0</v>
      </c>
      <c r="AA36" s="49">
        <f>SUM(U36:U40)-SUM(W36:W40)-SUM(Z36:Z40)-SUM(Y36:Y40)</f>
        <v>0</v>
      </c>
      <c r="AB36" s="49">
        <f>(SUM(K36:K40)-SUM(W36:W40)-SUM(Y36:Y40)-SUM(Z36:Z40)-SUM(AC36:AC40)-SUM(V36:V40))-AA36</f>
        <v>0</v>
      </c>
      <c r="AC36" s="37">
        <f>K36-T36</f>
        <v>0</v>
      </c>
      <c r="AD36" s="37">
        <f>+AM36+BA36</f>
        <v>0</v>
      </c>
      <c r="AE36" s="229" t="s">
        <v>384</v>
      </c>
      <c r="AF36" s="37">
        <v>0</v>
      </c>
      <c r="AG36" s="37"/>
      <c r="AH36" s="37"/>
      <c r="AI36" s="502"/>
      <c r="AJ36" s="37"/>
      <c r="AK36" s="37"/>
      <c r="AL36" s="37"/>
      <c r="AM36" s="37">
        <f t="shared" ref="AM36:AM40" si="9">SUM(AF36:AL36)+AT36+AV36+AX36</f>
        <v>0</v>
      </c>
      <c r="AN36" s="37"/>
      <c r="AO36" s="37"/>
      <c r="AP36" s="37"/>
      <c r="AQ36" s="37"/>
      <c r="AR36" s="37">
        <f>SUM(AN36:AQ36)</f>
        <v>0</v>
      </c>
      <c r="AS36" s="37"/>
      <c r="AT36" s="37"/>
      <c r="AU36" s="37"/>
      <c r="AV36" s="37"/>
      <c r="AW36" s="37"/>
      <c r="AX36" s="37"/>
      <c r="AY36" s="37"/>
      <c r="AZ36" s="37"/>
      <c r="BA36" s="37">
        <f>+AR36+AS36+AU36+AW36+AY36+AZ36</f>
        <v>0</v>
      </c>
      <c r="BB36" s="33">
        <v>0</v>
      </c>
      <c r="BC36" s="51"/>
      <c r="BD36" s="51"/>
      <c r="BE36" s="33"/>
      <c r="BF36" s="51"/>
    </row>
    <row r="37" spans="1:58" ht="12.95" customHeight="1">
      <c r="A37" s="40"/>
      <c r="B37" s="41"/>
      <c r="C37" s="414"/>
      <c r="D37" s="41"/>
      <c r="E37" s="42"/>
      <c r="F37" s="42"/>
      <c r="G37" s="499"/>
      <c r="H37" s="44"/>
      <c r="I37" s="45"/>
      <c r="J37" s="82"/>
      <c r="K37" s="82"/>
      <c r="L37" s="35"/>
      <c r="M37" s="35"/>
      <c r="N37" s="46"/>
      <c r="O37" s="47"/>
      <c r="P37" s="48"/>
      <c r="Q37" s="47"/>
      <c r="R37" s="500"/>
      <c r="S37" s="500"/>
      <c r="T37" s="37"/>
      <c r="U37" s="37"/>
      <c r="V37" s="37"/>
      <c r="W37" s="37"/>
      <c r="X37" s="38"/>
      <c r="Y37" s="211"/>
      <c r="Z37" s="37"/>
      <c r="AA37" s="37"/>
      <c r="AB37" s="37"/>
      <c r="AC37" s="37"/>
      <c r="AD37" s="37">
        <f>+AM37+BA37</f>
        <v>0</v>
      </c>
      <c r="AE37" s="229" t="s">
        <v>282</v>
      </c>
      <c r="AF37" s="37"/>
      <c r="AG37" s="37">
        <v>0</v>
      </c>
      <c r="AH37" s="37"/>
      <c r="AI37" s="502"/>
      <c r="AJ37" s="37"/>
      <c r="AK37" s="37"/>
      <c r="AL37" s="37"/>
      <c r="AM37" s="37">
        <f t="shared" si="9"/>
        <v>0</v>
      </c>
      <c r="AN37" s="83"/>
      <c r="AO37" s="37"/>
      <c r="AP37" s="37"/>
      <c r="AQ37" s="37"/>
      <c r="AR37" s="37">
        <f t="shared" ref="AR37:AR40" si="10">SUM(AN37:AQ37)</f>
        <v>0</v>
      </c>
      <c r="AS37" s="37"/>
      <c r="AT37" s="37"/>
      <c r="AU37" s="37"/>
      <c r="AV37" s="37"/>
      <c r="AW37" s="37"/>
      <c r="AX37" s="37"/>
      <c r="AY37" s="37"/>
      <c r="AZ37" s="37"/>
      <c r="BA37" s="37">
        <f>+AR37+AS37+AU37+AW37+AY37+AZ37</f>
        <v>0</v>
      </c>
      <c r="BB37" s="50"/>
      <c r="BC37" s="51">
        <v>0</v>
      </c>
      <c r="BD37" s="51"/>
      <c r="BE37" s="50"/>
      <c r="BF37" s="51"/>
    </row>
    <row r="38" spans="1:58" ht="12.95" customHeight="1">
      <c r="A38" s="40"/>
      <c r="B38" s="41"/>
      <c r="C38" s="414"/>
      <c r="D38" s="41"/>
      <c r="E38" s="42"/>
      <c r="F38" s="42"/>
      <c r="G38" s="43"/>
      <c r="H38" s="44"/>
      <c r="I38" s="45"/>
      <c r="J38" s="82"/>
      <c r="K38" s="82"/>
      <c r="L38" s="35"/>
      <c r="M38" s="35"/>
      <c r="N38" s="46"/>
      <c r="O38" s="47"/>
      <c r="P38" s="48"/>
      <c r="Q38" s="47"/>
      <c r="R38" s="500"/>
      <c r="S38" s="500"/>
      <c r="T38" s="37"/>
      <c r="U38" s="37"/>
      <c r="V38" s="37"/>
      <c r="W38" s="37"/>
      <c r="X38" s="38"/>
      <c r="Y38" s="211"/>
      <c r="Z38" s="37"/>
      <c r="AA38" s="37"/>
      <c r="AB38" s="37"/>
      <c r="AC38" s="37"/>
      <c r="AD38" s="37">
        <f>+AM38+BA38</f>
        <v>0</v>
      </c>
      <c r="AE38" s="229" t="s">
        <v>408</v>
      </c>
      <c r="AF38" s="33"/>
      <c r="AG38" s="33"/>
      <c r="AH38" s="33">
        <v>0</v>
      </c>
      <c r="AJ38" s="37"/>
      <c r="AK38" s="37"/>
      <c r="AL38" s="37"/>
      <c r="AM38" s="37">
        <f t="shared" si="9"/>
        <v>0</v>
      </c>
      <c r="AN38" s="37"/>
      <c r="AO38" s="37"/>
      <c r="AP38" s="37"/>
      <c r="AQ38" s="37"/>
      <c r="AR38" s="37">
        <f t="shared" si="10"/>
        <v>0</v>
      </c>
      <c r="AS38" s="37"/>
      <c r="AT38" s="37"/>
      <c r="AU38" s="37"/>
      <c r="AV38" s="37"/>
      <c r="AW38" s="37"/>
      <c r="AX38" s="37"/>
      <c r="AY38" s="37"/>
      <c r="AZ38" s="37"/>
      <c r="BA38" s="37">
        <f>+AR38+AS38+AU38+AW38+AY38+AZ38</f>
        <v>0</v>
      </c>
      <c r="BB38" s="33"/>
      <c r="BC38" s="503"/>
      <c r="BD38" s="503"/>
      <c r="BE38" s="33"/>
      <c r="BF38" s="503"/>
    </row>
    <row r="39" spans="1:58" ht="12.95" customHeight="1">
      <c r="A39" s="40"/>
      <c r="B39" s="41"/>
      <c r="C39" s="414"/>
      <c r="D39" s="41"/>
      <c r="E39" s="42"/>
      <c r="F39" s="42"/>
      <c r="G39" s="43"/>
      <c r="H39" s="44"/>
      <c r="I39" s="45"/>
      <c r="J39" s="82"/>
      <c r="K39" s="82"/>
      <c r="L39" s="35"/>
      <c r="M39" s="35"/>
      <c r="N39" s="46"/>
      <c r="O39" s="47"/>
      <c r="P39" s="48"/>
      <c r="Q39" s="34"/>
      <c r="R39" s="500"/>
      <c r="S39" s="500"/>
      <c r="T39" s="37"/>
      <c r="U39" s="37"/>
      <c r="V39" s="37"/>
      <c r="W39" s="37"/>
      <c r="X39" s="38"/>
      <c r="Y39" s="211"/>
      <c r="Z39" s="37"/>
      <c r="AA39" s="37"/>
      <c r="AB39" s="37"/>
      <c r="AC39" s="37"/>
      <c r="AD39" s="37">
        <f>+AM39+BA39</f>
        <v>0</v>
      </c>
      <c r="AE39" s="232" t="s">
        <v>377</v>
      </c>
      <c r="AF39" s="37"/>
      <c r="AG39" s="37"/>
      <c r="AH39" s="37"/>
      <c r="AI39" s="502">
        <v>0</v>
      </c>
      <c r="AJ39" s="37"/>
      <c r="AK39" s="37"/>
      <c r="AL39" s="37"/>
      <c r="AM39" s="37">
        <f t="shared" si="9"/>
        <v>0</v>
      </c>
      <c r="AN39" s="37"/>
      <c r="AO39" s="37"/>
      <c r="AP39" s="37"/>
      <c r="AQ39" s="37"/>
      <c r="AR39" s="37">
        <f t="shared" si="10"/>
        <v>0</v>
      </c>
      <c r="AS39" s="37"/>
      <c r="AT39" s="37"/>
      <c r="AU39" s="37"/>
      <c r="AV39" s="37"/>
      <c r="AW39" s="37"/>
      <c r="AX39" s="37"/>
      <c r="AY39" s="37"/>
      <c r="AZ39" s="37"/>
      <c r="BA39" s="37">
        <f>+AR39+AS39+AU39+AW39+AY39+AZ39</f>
        <v>0</v>
      </c>
      <c r="BB39" s="50"/>
      <c r="BC39" s="51"/>
      <c r="BD39" s="51"/>
      <c r="BE39" s="50"/>
      <c r="BF39" s="51"/>
    </row>
    <row r="40" spans="1:58" ht="12.95" customHeight="1">
      <c r="A40" s="40"/>
      <c r="B40" s="41"/>
      <c r="C40" s="414"/>
      <c r="D40" s="41"/>
      <c r="E40" s="42"/>
      <c r="F40" s="42"/>
      <c r="G40" s="43"/>
      <c r="H40" s="44"/>
      <c r="I40" s="45"/>
      <c r="J40" s="82"/>
      <c r="K40" s="82"/>
      <c r="L40" s="35"/>
      <c r="M40" s="35"/>
      <c r="N40" s="46"/>
      <c r="O40" s="47"/>
      <c r="P40" s="48"/>
      <c r="Q40" s="34"/>
      <c r="R40" s="500"/>
      <c r="S40" s="500"/>
      <c r="T40" s="37"/>
      <c r="U40" s="37"/>
      <c r="V40" s="37"/>
      <c r="W40" s="37"/>
      <c r="X40" s="38"/>
      <c r="Y40" s="211"/>
      <c r="Z40" s="37"/>
      <c r="AA40" s="37"/>
      <c r="AB40" s="37"/>
      <c r="AC40" s="37"/>
      <c r="AD40" s="37">
        <f>+AM40+BA40</f>
        <v>0</v>
      </c>
      <c r="AE40" s="232" t="s">
        <v>409</v>
      </c>
      <c r="AF40" s="37"/>
      <c r="AG40" s="37"/>
      <c r="AH40" s="37"/>
      <c r="AI40" s="502"/>
      <c r="AJ40" s="37"/>
      <c r="AK40" s="37"/>
      <c r="AL40" s="37"/>
      <c r="AM40" s="37">
        <f t="shared" si="9"/>
        <v>0</v>
      </c>
      <c r="AN40" s="37"/>
      <c r="AO40" s="37"/>
      <c r="AP40" s="37"/>
      <c r="AQ40" s="37"/>
      <c r="AR40" s="37">
        <f t="shared" si="10"/>
        <v>0</v>
      </c>
      <c r="AS40" s="37"/>
      <c r="AT40" s="37"/>
      <c r="AU40" s="37"/>
      <c r="AV40" s="37"/>
      <c r="AW40" s="37"/>
      <c r="AX40" s="37"/>
      <c r="AY40" s="37"/>
      <c r="AZ40" s="37">
        <f>1440-1440</f>
        <v>0</v>
      </c>
      <c r="BA40" s="37">
        <f>+AR40+AS40+AU40+AW40+AY40+AZ40</f>
        <v>0</v>
      </c>
      <c r="BB40" s="50"/>
      <c r="BC40" s="51"/>
      <c r="BD40" s="51"/>
      <c r="BE40" s="33"/>
      <c r="BF40" s="51"/>
    </row>
    <row r="41" spans="1:58" ht="12.95" customHeight="1">
      <c r="A41" s="40"/>
      <c r="B41" s="41"/>
      <c r="C41" s="414"/>
      <c r="D41" s="41"/>
      <c r="E41" s="42"/>
      <c r="F41" s="42"/>
      <c r="G41" s="43"/>
      <c r="H41" s="44"/>
      <c r="I41" s="45"/>
      <c r="J41" s="82"/>
      <c r="K41" s="82"/>
      <c r="L41" s="35"/>
      <c r="M41" s="35"/>
      <c r="N41" s="46"/>
      <c r="O41" s="47"/>
      <c r="P41" s="48"/>
      <c r="Q41" s="47"/>
      <c r="R41" s="500"/>
      <c r="S41" s="500"/>
      <c r="T41" s="37"/>
      <c r="U41" s="37"/>
      <c r="V41" s="37"/>
      <c r="W41" s="37"/>
      <c r="X41" s="38"/>
      <c r="Y41" s="211"/>
      <c r="Z41" s="37"/>
      <c r="AA41" s="37"/>
      <c r="AB41" s="37"/>
      <c r="AC41" s="37"/>
      <c r="AD41" s="37"/>
      <c r="AE41" s="229"/>
      <c r="AF41" s="33"/>
      <c r="AG41" s="33"/>
      <c r="AH41" s="33"/>
      <c r="AJ41" s="37"/>
      <c r="AK41" s="37"/>
      <c r="AL41" s="37"/>
      <c r="AM41" s="37"/>
      <c r="AN41" s="37"/>
      <c r="AO41" s="37"/>
      <c r="AP41" s="37"/>
      <c r="AQ41" s="37"/>
      <c r="AR41" s="37"/>
      <c r="AS41" s="37"/>
      <c r="AT41" s="37"/>
      <c r="AU41" s="37"/>
      <c r="AV41" s="37"/>
      <c r="AW41" s="37"/>
      <c r="AX41" s="37"/>
      <c r="AY41" s="37"/>
      <c r="AZ41" s="37"/>
      <c r="BA41" s="37"/>
      <c r="BB41" s="33"/>
      <c r="BC41" s="503"/>
      <c r="BD41" s="51"/>
      <c r="BE41" s="51"/>
      <c r="BF41" s="51"/>
    </row>
    <row r="42" spans="1:58" ht="12.75" customHeight="1">
      <c r="A42" s="40">
        <v>45968</v>
      </c>
      <c r="B42" s="41" t="s">
        <v>406</v>
      </c>
      <c r="C42" s="414">
        <f>(M42*E42*O42*Q42)/100000000</f>
        <v>0</v>
      </c>
      <c r="D42" s="41" t="s">
        <v>300</v>
      </c>
      <c r="E42" s="42">
        <v>12</v>
      </c>
      <c r="F42" s="42">
        <v>1</v>
      </c>
      <c r="G42" s="499">
        <v>1230</v>
      </c>
      <c r="H42" s="44">
        <f>+N42</f>
        <v>0.23417344173441734</v>
      </c>
      <c r="I42" s="45">
        <v>0.88</v>
      </c>
      <c r="J42" s="82">
        <f>E42*G42*(1-H42)*1440/1000000*2.74</f>
        <v>44.599484159999996</v>
      </c>
      <c r="K42" s="82">
        <f>(IF(G42&lt;L42,L42,G42)*(1-IF(H42&lt;N42,H42,N42))*E42*O42*Q42)/100000000</f>
        <v>0</v>
      </c>
      <c r="L42" s="35">
        <v>1230</v>
      </c>
      <c r="M42" s="35">
        <v>941.9666666666667</v>
      </c>
      <c r="N42" s="46">
        <f>1-(M42/L42)</f>
        <v>0.23417344173441734</v>
      </c>
      <c r="O42" s="47">
        <f>+'Trim Rwd'!H16</f>
        <v>266</v>
      </c>
      <c r="P42" s="48">
        <f>O42*(Q42-R42-S42)</f>
        <v>0</v>
      </c>
      <c r="Q42" s="47">
        <f>1440-1440</f>
        <v>0</v>
      </c>
      <c r="R42" s="500">
        <f>1440-1440</f>
        <v>0</v>
      </c>
      <c r="S42" s="500">
        <v>0</v>
      </c>
      <c r="T42" s="37">
        <f>E42*M42*O42*Q42/100000000</f>
        <v>0</v>
      </c>
      <c r="U42" s="37">
        <f>E42*M42*O42*(Q42-R42-S42)/100000000</f>
        <v>0</v>
      </c>
      <c r="V42" s="37">
        <f>E42*G42*(1-N42)*O42/100*(R42+S42)/1000000</f>
        <v>0</v>
      </c>
      <c r="W42" s="37">
        <v>0</v>
      </c>
      <c r="X42" s="501" t="e">
        <f>SUM(W42:W46)/SUM(K42:K46)</f>
        <v>#DIV/0!</v>
      </c>
      <c r="Y42" s="211">
        <v>0</v>
      </c>
      <c r="Z42" s="37">
        <v>0</v>
      </c>
      <c r="AA42" s="49">
        <f>SUM(U42:U46)-SUM(W42:W46)-SUM(Z42:Z46)-SUM(Y42:Y46)</f>
        <v>0</v>
      </c>
      <c r="AB42" s="49">
        <f>(SUM(K42:K46)-SUM(W42:W46)-SUM(Y42:Y46)-SUM(Z42:Z46)-SUM(AC42:AC46)-SUM(V42:V46))-AA42</f>
        <v>0</v>
      </c>
      <c r="AC42" s="37">
        <f>K42-T42</f>
        <v>0</v>
      </c>
      <c r="AD42" s="37">
        <f>+AM42+BA42</f>
        <v>0</v>
      </c>
      <c r="AE42" s="229" t="s">
        <v>384</v>
      </c>
      <c r="AF42" s="37">
        <v>0</v>
      </c>
      <c r="AG42" s="37"/>
      <c r="AH42" s="37"/>
      <c r="AI42" s="502"/>
      <c r="AJ42" s="37"/>
      <c r="AK42" s="37"/>
      <c r="AL42" s="37"/>
      <c r="AM42" s="37">
        <f t="shared" ref="AM42:AM46" si="11">SUM(AF42:AL42)+AT42+AV42+AX42</f>
        <v>0</v>
      </c>
      <c r="AN42" s="37"/>
      <c r="AO42" s="37"/>
      <c r="AP42" s="37"/>
      <c r="AQ42" s="37"/>
      <c r="AR42" s="37">
        <f>SUM(AN42:AQ42)</f>
        <v>0</v>
      </c>
      <c r="AS42" s="37"/>
      <c r="AT42" s="37"/>
      <c r="AU42" s="37"/>
      <c r="AV42" s="37"/>
      <c r="AW42" s="37"/>
      <c r="AX42" s="37"/>
      <c r="AY42" s="37"/>
      <c r="AZ42" s="37"/>
      <c r="BA42" s="37">
        <f>+AR42+AS42+AU42+AW42+AY42+AZ42</f>
        <v>0</v>
      </c>
      <c r="BB42" s="33">
        <v>0</v>
      </c>
      <c r="BC42" s="51"/>
      <c r="BD42" s="51"/>
      <c r="BE42" s="33"/>
      <c r="BF42" s="51"/>
    </row>
    <row r="43" spans="1:58" ht="12.95" customHeight="1">
      <c r="A43" s="40"/>
      <c r="B43" s="41"/>
      <c r="C43" s="414"/>
      <c r="D43" s="41"/>
      <c r="E43" s="42"/>
      <c r="F43" s="42"/>
      <c r="G43" s="499"/>
      <c r="H43" s="44"/>
      <c r="I43" s="45"/>
      <c r="J43" s="82"/>
      <c r="K43" s="82"/>
      <c r="L43" s="35"/>
      <c r="M43" s="35"/>
      <c r="N43" s="46"/>
      <c r="O43" s="47"/>
      <c r="P43" s="48"/>
      <c r="Q43" s="47"/>
      <c r="R43" s="500"/>
      <c r="S43" s="500"/>
      <c r="T43" s="37"/>
      <c r="U43" s="37"/>
      <c r="V43" s="37"/>
      <c r="W43" s="37"/>
      <c r="X43" s="38"/>
      <c r="Y43" s="211"/>
      <c r="Z43" s="37"/>
      <c r="AA43" s="37"/>
      <c r="AB43" s="37"/>
      <c r="AC43" s="37"/>
      <c r="AD43" s="37">
        <f>+AM43+BA43</f>
        <v>0</v>
      </c>
      <c r="AE43" s="229" t="s">
        <v>282</v>
      </c>
      <c r="AF43" s="37"/>
      <c r="AG43" s="37">
        <v>0</v>
      </c>
      <c r="AH43" s="37"/>
      <c r="AI43" s="502"/>
      <c r="AJ43" s="37"/>
      <c r="AK43" s="37"/>
      <c r="AL43" s="37"/>
      <c r="AM43" s="37">
        <f t="shared" si="11"/>
        <v>0</v>
      </c>
      <c r="AN43" s="83"/>
      <c r="AO43" s="37"/>
      <c r="AP43" s="37"/>
      <c r="AQ43" s="37"/>
      <c r="AR43" s="37">
        <f t="shared" ref="AR43:AR46" si="12">SUM(AN43:AQ43)</f>
        <v>0</v>
      </c>
      <c r="AS43" s="37"/>
      <c r="AT43" s="37"/>
      <c r="AU43" s="37"/>
      <c r="AV43" s="37"/>
      <c r="AW43" s="37"/>
      <c r="AX43" s="37"/>
      <c r="AY43" s="37"/>
      <c r="AZ43" s="37"/>
      <c r="BA43" s="37">
        <f>+AR43+AS43+AU43+AW43+AY43+AZ43</f>
        <v>0</v>
      </c>
      <c r="BB43" s="50"/>
      <c r="BC43" s="51">
        <v>0</v>
      </c>
      <c r="BD43" s="51"/>
      <c r="BE43" s="50"/>
      <c r="BF43" s="51"/>
    </row>
    <row r="44" spans="1:58" ht="12.95" customHeight="1">
      <c r="A44" s="40"/>
      <c r="B44" s="41"/>
      <c r="C44" s="414"/>
      <c r="D44" s="41"/>
      <c r="E44" s="42"/>
      <c r="F44" s="42"/>
      <c r="G44" s="43"/>
      <c r="H44" s="44"/>
      <c r="I44" s="45"/>
      <c r="J44" s="82"/>
      <c r="K44" s="82"/>
      <c r="L44" s="35"/>
      <c r="M44" s="35"/>
      <c r="N44" s="46"/>
      <c r="O44" s="47"/>
      <c r="P44" s="48"/>
      <c r="Q44" s="47"/>
      <c r="R44" s="500"/>
      <c r="S44" s="500"/>
      <c r="T44" s="37"/>
      <c r="U44" s="37"/>
      <c r="V44" s="37"/>
      <c r="W44" s="37"/>
      <c r="X44" s="38"/>
      <c r="Y44" s="211"/>
      <c r="Z44" s="37"/>
      <c r="AA44" s="37"/>
      <c r="AB44" s="37"/>
      <c r="AC44" s="37"/>
      <c r="AD44" s="37">
        <f>+AM44+BA44</f>
        <v>0</v>
      </c>
      <c r="AE44" s="229" t="s">
        <v>408</v>
      </c>
      <c r="AF44" s="33"/>
      <c r="AG44" s="33"/>
      <c r="AH44" s="33">
        <v>0</v>
      </c>
      <c r="AJ44" s="37"/>
      <c r="AK44" s="37"/>
      <c r="AL44" s="37"/>
      <c r="AM44" s="37">
        <f t="shared" si="11"/>
        <v>0</v>
      </c>
      <c r="AN44" s="37"/>
      <c r="AO44" s="37"/>
      <c r="AP44" s="37"/>
      <c r="AQ44" s="37"/>
      <c r="AR44" s="37">
        <f t="shared" si="12"/>
        <v>0</v>
      </c>
      <c r="AS44" s="37"/>
      <c r="AT44" s="37"/>
      <c r="AU44" s="37"/>
      <c r="AV44" s="37"/>
      <c r="AW44" s="37"/>
      <c r="AX44" s="37"/>
      <c r="AY44" s="37"/>
      <c r="AZ44" s="37"/>
      <c r="BA44" s="37">
        <f>+AR44+AS44+AU44+AW44+AY44+AZ44</f>
        <v>0</v>
      </c>
      <c r="BB44" s="33"/>
      <c r="BC44" s="503"/>
      <c r="BD44" s="503"/>
      <c r="BE44" s="33"/>
      <c r="BF44" s="503"/>
    </row>
    <row r="45" spans="1:58" ht="12.95" customHeight="1">
      <c r="A45" s="40"/>
      <c r="B45" s="41"/>
      <c r="C45" s="414"/>
      <c r="D45" s="41"/>
      <c r="E45" s="42"/>
      <c r="F45" s="42"/>
      <c r="G45" s="43"/>
      <c r="H45" s="44"/>
      <c r="I45" s="45"/>
      <c r="J45" s="82"/>
      <c r="K45" s="82"/>
      <c r="L45" s="35"/>
      <c r="M45" s="35"/>
      <c r="N45" s="46"/>
      <c r="O45" s="47"/>
      <c r="P45" s="48"/>
      <c r="Q45" s="34"/>
      <c r="R45" s="500"/>
      <c r="S45" s="500"/>
      <c r="T45" s="37"/>
      <c r="U45" s="37"/>
      <c r="V45" s="37"/>
      <c r="W45" s="37"/>
      <c r="X45" s="38"/>
      <c r="Y45" s="211"/>
      <c r="Z45" s="37"/>
      <c r="AA45" s="37"/>
      <c r="AB45" s="37"/>
      <c r="AC45" s="37"/>
      <c r="AD45" s="37">
        <f>+AM45+BA45</f>
        <v>0</v>
      </c>
      <c r="AE45" s="232" t="s">
        <v>377</v>
      </c>
      <c r="AF45" s="37"/>
      <c r="AG45" s="37"/>
      <c r="AH45" s="37"/>
      <c r="AI45" s="502">
        <v>0</v>
      </c>
      <c r="AJ45" s="37"/>
      <c r="AK45" s="37"/>
      <c r="AL45" s="37"/>
      <c r="AM45" s="37">
        <f t="shared" si="11"/>
        <v>0</v>
      </c>
      <c r="AN45" s="37"/>
      <c r="AO45" s="37"/>
      <c r="AP45" s="37"/>
      <c r="AQ45" s="37"/>
      <c r="AR45" s="37">
        <f t="shared" si="12"/>
        <v>0</v>
      </c>
      <c r="AS45" s="37"/>
      <c r="AT45" s="37"/>
      <c r="AU45" s="37"/>
      <c r="AV45" s="37"/>
      <c r="AW45" s="37"/>
      <c r="AX45" s="37"/>
      <c r="AY45" s="37"/>
      <c r="AZ45" s="37"/>
      <c r="BA45" s="37">
        <f>+AR45+AS45+AU45+AW45+AY45+AZ45</f>
        <v>0</v>
      </c>
      <c r="BB45" s="50"/>
      <c r="BC45" s="51"/>
      <c r="BD45" s="51"/>
      <c r="BE45" s="50"/>
      <c r="BF45" s="51"/>
    </row>
    <row r="46" spans="1:58" ht="12.95" customHeight="1">
      <c r="A46" s="40"/>
      <c r="B46" s="41"/>
      <c r="C46" s="414"/>
      <c r="D46" s="41"/>
      <c r="E46" s="42"/>
      <c r="F46" s="42"/>
      <c r="G46" s="43"/>
      <c r="H46" s="44"/>
      <c r="I46" s="45"/>
      <c r="J46" s="82"/>
      <c r="K46" s="82"/>
      <c r="L46" s="35"/>
      <c r="M46" s="35"/>
      <c r="N46" s="46"/>
      <c r="O46" s="47"/>
      <c r="P46" s="48"/>
      <c r="Q46" s="34"/>
      <c r="R46" s="500"/>
      <c r="S46" s="500"/>
      <c r="T46" s="37"/>
      <c r="U46" s="37"/>
      <c r="V46" s="37"/>
      <c r="W46" s="37"/>
      <c r="X46" s="38"/>
      <c r="Y46" s="211"/>
      <c r="Z46" s="37"/>
      <c r="AA46" s="37"/>
      <c r="AB46" s="37"/>
      <c r="AC46" s="37"/>
      <c r="AD46" s="37">
        <f>+AM46+BA46</f>
        <v>0</v>
      </c>
      <c r="AE46" s="232" t="s">
        <v>409</v>
      </c>
      <c r="AF46" s="37"/>
      <c r="AG46" s="37"/>
      <c r="AH46" s="37"/>
      <c r="AI46" s="502"/>
      <c r="AJ46" s="37"/>
      <c r="AK46" s="37"/>
      <c r="AL46" s="37"/>
      <c r="AM46" s="37">
        <f t="shared" si="11"/>
        <v>0</v>
      </c>
      <c r="AN46" s="37"/>
      <c r="AO46" s="37"/>
      <c r="AP46" s="37"/>
      <c r="AQ46" s="37"/>
      <c r="AR46" s="37">
        <f t="shared" si="12"/>
        <v>0</v>
      </c>
      <c r="AS46" s="37"/>
      <c r="AT46" s="37"/>
      <c r="AU46" s="37"/>
      <c r="AV46" s="37"/>
      <c r="AW46" s="37"/>
      <c r="AX46" s="37"/>
      <c r="AY46" s="37"/>
      <c r="AZ46" s="37">
        <f>1440-1440</f>
        <v>0</v>
      </c>
      <c r="BA46" s="37">
        <f>+AR46+AS46+AU46+AW46+AY46+AZ46</f>
        <v>0</v>
      </c>
      <c r="BB46" s="50"/>
      <c r="BC46" s="51"/>
      <c r="BD46" s="51"/>
      <c r="BE46" s="33"/>
      <c r="BF46" s="51"/>
    </row>
    <row r="47" spans="1:58" ht="12.95" customHeight="1">
      <c r="A47" s="40"/>
      <c r="B47" s="41"/>
      <c r="C47" s="414"/>
      <c r="D47" s="41"/>
      <c r="E47" s="42"/>
      <c r="F47" s="42"/>
      <c r="G47" s="43"/>
      <c r="H47" s="44"/>
      <c r="I47" s="45"/>
      <c r="J47" s="82"/>
      <c r="K47" s="82"/>
      <c r="L47" s="35"/>
      <c r="M47" s="35"/>
      <c r="N47" s="46"/>
      <c r="O47" s="47"/>
      <c r="P47" s="48"/>
      <c r="Q47" s="34"/>
      <c r="R47" s="500"/>
      <c r="S47" s="500"/>
      <c r="T47" s="37"/>
      <c r="U47" s="37"/>
      <c r="V47" s="37"/>
      <c r="W47" s="37"/>
      <c r="X47" s="38"/>
      <c r="Y47" s="211"/>
      <c r="Z47" s="37"/>
      <c r="AA47" s="37"/>
      <c r="AB47" s="37"/>
      <c r="AC47" s="37"/>
      <c r="AD47" s="37"/>
      <c r="AE47" s="232"/>
      <c r="AF47" s="37"/>
      <c r="AG47" s="37"/>
      <c r="AH47" s="37"/>
      <c r="AI47" s="502"/>
      <c r="AJ47" s="37"/>
      <c r="AK47" s="37"/>
      <c r="AL47" s="37"/>
      <c r="AM47" s="37"/>
      <c r="AN47" s="37"/>
      <c r="AO47" s="37"/>
      <c r="AP47" s="37"/>
      <c r="AQ47" s="37"/>
      <c r="AR47" s="37"/>
      <c r="AS47" s="37"/>
      <c r="AT47" s="37"/>
      <c r="AU47" s="37"/>
      <c r="AV47" s="37"/>
      <c r="AW47" s="37"/>
      <c r="AX47" s="37"/>
      <c r="AY47" s="37"/>
      <c r="AZ47" s="37"/>
      <c r="BA47" s="37"/>
      <c r="BB47" s="50"/>
      <c r="BC47" s="51"/>
      <c r="BD47" s="51"/>
      <c r="BE47" s="51"/>
      <c r="BF47" s="51"/>
    </row>
    <row r="48" spans="1:58" ht="12.75" customHeight="1">
      <c r="A48" s="40">
        <v>45969</v>
      </c>
      <c r="B48" s="41" t="s">
        <v>406</v>
      </c>
      <c r="C48" s="414">
        <f>(M48*E48*O48*Q48)/100000000</f>
        <v>0</v>
      </c>
      <c r="D48" s="41" t="s">
        <v>300</v>
      </c>
      <c r="E48" s="42">
        <v>12</v>
      </c>
      <c r="F48" s="42">
        <v>1</v>
      </c>
      <c r="G48" s="499">
        <v>1230</v>
      </c>
      <c r="H48" s="44">
        <f>+N48</f>
        <v>0.23417344173441734</v>
      </c>
      <c r="I48" s="45">
        <v>0.88</v>
      </c>
      <c r="J48" s="82">
        <f>E48*G48*(1-H48)*1440/1000000*2.74</f>
        <v>44.599484159999996</v>
      </c>
      <c r="K48" s="82">
        <f>(IF(G48&lt;L48,L48,G48)*(1-IF(H48&lt;N48,H48,N48))*E48*O48*Q48)/100000000</f>
        <v>0</v>
      </c>
      <c r="L48" s="35">
        <v>1230</v>
      </c>
      <c r="M48" s="35">
        <v>941.9666666666667</v>
      </c>
      <c r="N48" s="46">
        <f>1-(M48/L48)</f>
        <v>0.23417344173441734</v>
      </c>
      <c r="O48" s="47">
        <f>+'Trim Rwd'!H18</f>
        <v>266</v>
      </c>
      <c r="P48" s="48">
        <f>O48*(Q48-R48-S48)</f>
        <v>0</v>
      </c>
      <c r="Q48" s="47">
        <f>1440-1440</f>
        <v>0</v>
      </c>
      <c r="R48" s="500">
        <f>1440-1440</f>
        <v>0</v>
      </c>
      <c r="S48" s="500">
        <v>0</v>
      </c>
      <c r="T48" s="37">
        <f>E48*M48*O48*Q48/100000000</f>
        <v>0</v>
      </c>
      <c r="U48" s="37">
        <f>E48*M48*O48*(Q48-R48-S48)/100000000</f>
        <v>0</v>
      </c>
      <c r="V48" s="37">
        <f>E48*G48*(1-N48)*O48/100*(R48+S48)/1000000</f>
        <v>0</v>
      </c>
      <c r="W48" s="37">
        <v>0</v>
      </c>
      <c r="X48" s="501" t="e">
        <f>SUM(W48:W52)/SUM(K48:K52)</f>
        <v>#DIV/0!</v>
      </c>
      <c r="Y48" s="211">
        <v>0</v>
      </c>
      <c r="Z48" s="37">
        <v>0</v>
      </c>
      <c r="AA48" s="49">
        <f>SUM(U48:U52)-SUM(W48:W52)-SUM(Z48:Z52)-SUM(Y48:Y52)</f>
        <v>0</v>
      </c>
      <c r="AB48" s="49">
        <f>(SUM(K48:K52)-SUM(W48:W52)-SUM(Y48:Y52)-SUM(Z48:Z52)-SUM(AC48:AC52)-SUM(V48:V52))-AA48</f>
        <v>0</v>
      </c>
      <c r="AC48" s="37">
        <f>K48-T48</f>
        <v>0</v>
      </c>
      <c r="AD48" s="37">
        <f>+AM48+BA48</f>
        <v>0</v>
      </c>
      <c r="AE48" s="229" t="s">
        <v>384</v>
      </c>
      <c r="AF48" s="37">
        <v>0</v>
      </c>
      <c r="AG48" s="37"/>
      <c r="AH48" s="37"/>
      <c r="AI48" s="502"/>
      <c r="AJ48" s="37"/>
      <c r="AK48" s="37"/>
      <c r="AL48" s="37"/>
      <c r="AM48" s="37">
        <f t="shared" ref="AM48:AM52" si="13">SUM(AF48:AL48)+AT48+AV48+AX48</f>
        <v>0</v>
      </c>
      <c r="AN48" s="37"/>
      <c r="AO48" s="37"/>
      <c r="AP48" s="37"/>
      <c r="AQ48" s="37"/>
      <c r="AR48" s="37">
        <f>SUM(AN48:AQ48)</f>
        <v>0</v>
      </c>
      <c r="AS48" s="37"/>
      <c r="AT48" s="37"/>
      <c r="AU48" s="37"/>
      <c r="AV48" s="37"/>
      <c r="AW48" s="37"/>
      <c r="AX48" s="37"/>
      <c r="AY48" s="37"/>
      <c r="AZ48" s="37"/>
      <c r="BA48" s="37">
        <f>+AR48+AS48+AU48+AW48+AY48+AZ48</f>
        <v>0</v>
      </c>
      <c r="BB48" s="33">
        <v>0</v>
      </c>
      <c r="BC48" s="51"/>
      <c r="BD48" s="51"/>
      <c r="BE48" s="33"/>
      <c r="BF48" s="51"/>
    </row>
    <row r="49" spans="1:58" ht="12.95" customHeight="1">
      <c r="A49" s="40"/>
      <c r="B49" s="41"/>
      <c r="C49" s="414"/>
      <c r="D49" s="41"/>
      <c r="E49" s="42"/>
      <c r="F49" s="42"/>
      <c r="G49" s="499"/>
      <c r="H49" s="44"/>
      <c r="I49" s="45"/>
      <c r="J49" s="82"/>
      <c r="K49" s="82"/>
      <c r="L49" s="35"/>
      <c r="M49" s="35"/>
      <c r="N49" s="46"/>
      <c r="O49" s="47"/>
      <c r="P49" s="48"/>
      <c r="Q49" s="47"/>
      <c r="R49" s="500"/>
      <c r="S49" s="500"/>
      <c r="T49" s="37"/>
      <c r="U49" s="37"/>
      <c r="V49" s="37"/>
      <c r="W49" s="37"/>
      <c r="X49" s="38"/>
      <c r="Y49" s="211"/>
      <c r="Z49" s="37"/>
      <c r="AA49" s="37"/>
      <c r="AB49" s="37"/>
      <c r="AC49" s="37"/>
      <c r="AD49" s="37">
        <f>+AM49+BA49</f>
        <v>0</v>
      </c>
      <c r="AE49" s="229" t="s">
        <v>282</v>
      </c>
      <c r="AF49" s="37"/>
      <c r="AG49" s="37">
        <v>0</v>
      </c>
      <c r="AH49" s="37"/>
      <c r="AI49" s="502"/>
      <c r="AJ49" s="37"/>
      <c r="AK49" s="37"/>
      <c r="AL49" s="37"/>
      <c r="AM49" s="37">
        <f t="shared" si="13"/>
        <v>0</v>
      </c>
      <c r="AN49" s="83"/>
      <c r="AO49" s="37"/>
      <c r="AP49" s="37"/>
      <c r="AQ49" s="37"/>
      <c r="AR49" s="37">
        <f t="shared" ref="AR49:AR52" si="14">SUM(AN49:AQ49)</f>
        <v>0</v>
      </c>
      <c r="AS49" s="37"/>
      <c r="AT49" s="37"/>
      <c r="AU49" s="37"/>
      <c r="AV49" s="37"/>
      <c r="AW49" s="37"/>
      <c r="AX49" s="37"/>
      <c r="AY49" s="37"/>
      <c r="AZ49" s="37"/>
      <c r="BA49" s="37">
        <f>+AR49+AS49+AU49+AW49+AY49+AZ49</f>
        <v>0</v>
      </c>
      <c r="BB49" s="50"/>
      <c r="BC49" s="51">
        <v>0</v>
      </c>
      <c r="BD49" s="51"/>
      <c r="BE49" s="50"/>
      <c r="BF49" s="51"/>
    </row>
    <row r="50" spans="1:58" ht="12.95" customHeight="1">
      <c r="A50" s="40"/>
      <c r="B50" s="41"/>
      <c r="C50" s="414"/>
      <c r="D50" s="41"/>
      <c r="E50" s="42"/>
      <c r="F50" s="42"/>
      <c r="G50" s="43"/>
      <c r="H50" s="44"/>
      <c r="I50" s="45"/>
      <c r="J50" s="82"/>
      <c r="K50" s="82"/>
      <c r="L50" s="35"/>
      <c r="M50" s="35"/>
      <c r="N50" s="46"/>
      <c r="O50" s="47"/>
      <c r="P50" s="48"/>
      <c r="Q50" s="47"/>
      <c r="R50" s="500"/>
      <c r="S50" s="500"/>
      <c r="T50" s="37"/>
      <c r="U50" s="37"/>
      <c r="V50" s="37"/>
      <c r="W50" s="37"/>
      <c r="X50" s="38"/>
      <c r="Y50" s="211"/>
      <c r="Z50" s="37"/>
      <c r="AA50" s="37"/>
      <c r="AB50" s="37"/>
      <c r="AC50" s="37"/>
      <c r="AD50" s="37">
        <f>+AM50+BA50</f>
        <v>0</v>
      </c>
      <c r="AE50" s="229" t="s">
        <v>408</v>
      </c>
      <c r="AF50" s="33"/>
      <c r="AG50" s="33"/>
      <c r="AH50" s="33">
        <v>0</v>
      </c>
      <c r="AJ50" s="37"/>
      <c r="AK50" s="37"/>
      <c r="AL50" s="37"/>
      <c r="AM50" s="37">
        <f t="shared" si="13"/>
        <v>0</v>
      </c>
      <c r="AN50" s="37"/>
      <c r="AO50" s="37"/>
      <c r="AP50" s="37"/>
      <c r="AQ50" s="37"/>
      <c r="AR50" s="37">
        <f t="shared" si="14"/>
        <v>0</v>
      </c>
      <c r="AS50" s="37"/>
      <c r="AT50" s="37"/>
      <c r="AU50" s="37"/>
      <c r="AV50" s="37"/>
      <c r="AW50" s="37"/>
      <c r="AX50" s="37"/>
      <c r="AY50" s="37"/>
      <c r="AZ50" s="37"/>
      <c r="BA50" s="37">
        <f>+AR50+AS50+AU50+AW50+AY50+AZ50</f>
        <v>0</v>
      </c>
      <c r="BB50" s="33"/>
      <c r="BC50" s="503"/>
      <c r="BD50" s="503"/>
      <c r="BE50" s="33"/>
      <c r="BF50" s="503"/>
    </row>
    <row r="51" spans="1:58" ht="12.95" customHeight="1">
      <c r="A51" s="40"/>
      <c r="B51" s="41"/>
      <c r="C51" s="414"/>
      <c r="D51" s="41"/>
      <c r="E51" s="42"/>
      <c r="F51" s="42"/>
      <c r="G51" s="43"/>
      <c r="H51" s="44"/>
      <c r="I51" s="45"/>
      <c r="J51" s="82"/>
      <c r="K51" s="82"/>
      <c r="L51" s="35"/>
      <c r="M51" s="35"/>
      <c r="N51" s="46"/>
      <c r="O51" s="47"/>
      <c r="P51" s="48"/>
      <c r="Q51" s="34"/>
      <c r="R51" s="500"/>
      <c r="S51" s="500"/>
      <c r="T51" s="37"/>
      <c r="U51" s="37"/>
      <c r="V51" s="37"/>
      <c r="W51" s="37"/>
      <c r="X51" s="38"/>
      <c r="Y51" s="211"/>
      <c r="Z51" s="37"/>
      <c r="AA51" s="37"/>
      <c r="AB51" s="37"/>
      <c r="AC51" s="37"/>
      <c r="AD51" s="37">
        <f>+AM51+BA51</f>
        <v>0</v>
      </c>
      <c r="AE51" s="232" t="s">
        <v>377</v>
      </c>
      <c r="AF51" s="37"/>
      <c r="AG51" s="37"/>
      <c r="AH51" s="37"/>
      <c r="AI51" s="502">
        <v>0</v>
      </c>
      <c r="AJ51" s="37"/>
      <c r="AK51" s="37"/>
      <c r="AL51" s="37"/>
      <c r="AM51" s="37">
        <f t="shared" si="13"/>
        <v>0</v>
      </c>
      <c r="AN51" s="37"/>
      <c r="AO51" s="37"/>
      <c r="AP51" s="37"/>
      <c r="AQ51" s="37"/>
      <c r="AR51" s="37">
        <f t="shared" si="14"/>
        <v>0</v>
      </c>
      <c r="AS51" s="37"/>
      <c r="AT51" s="37"/>
      <c r="AU51" s="37"/>
      <c r="AV51" s="37"/>
      <c r="AW51" s="37"/>
      <c r="AX51" s="37"/>
      <c r="AY51" s="37"/>
      <c r="AZ51" s="37"/>
      <c r="BA51" s="37">
        <f>+AR51+AS51+AU51+AW51+AY51+AZ51</f>
        <v>0</v>
      </c>
      <c r="BB51" s="50"/>
      <c r="BC51" s="51"/>
      <c r="BD51" s="51"/>
      <c r="BE51" s="50"/>
      <c r="BF51" s="51"/>
    </row>
    <row r="52" spans="1:58" ht="12.95" customHeight="1">
      <c r="A52" s="40"/>
      <c r="B52" s="41"/>
      <c r="C52" s="414"/>
      <c r="D52" s="41"/>
      <c r="E52" s="42"/>
      <c r="F52" s="42"/>
      <c r="G52" s="43"/>
      <c r="H52" s="44"/>
      <c r="I52" s="45"/>
      <c r="J52" s="82"/>
      <c r="K52" s="82"/>
      <c r="L52" s="35"/>
      <c r="M52" s="35"/>
      <c r="N52" s="46"/>
      <c r="O52" s="47"/>
      <c r="P52" s="48"/>
      <c r="Q52" s="34"/>
      <c r="R52" s="500"/>
      <c r="S52" s="500"/>
      <c r="T52" s="37"/>
      <c r="U52" s="37"/>
      <c r="V52" s="37"/>
      <c r="W52" s="37"/>
      <c r="X52" s="38"/>
      <c r="Y52" s="211"/>
      <c r="Z52" s="37"/>
      <c r="AA52" s="37"/>
      <c r="AB52" s="37"/>
      <c r="AC52" s="37"/>
      <c r="AD52" s="37">
        <f>+AM52+BA52</f>
        <v>0</v>
      </c>
      <c r="AE52" s="232" t="s">
        <v>409</v>
      </c>
      <c r="AF52" s="37"/>
      <c r="AG52" s="37"/>
      <c r="AH52" s="37"/>
      <c r="AI52" s="502"/>
      <c r="AJ52" s="37"/>
      <c r="AK52" s="37"/>
      <c r="AL52" s="37"/>
      <c r="AM52" s="37">
        <f t="shared" si="13"/>
        <v>0</v>
      </c>
      <c r="AN52" s="37"/>
      <c r="AO52" s="37"/>
      <c r="AP52" s="37"/>
      <c r="AQ52" s="37"/>
      <c r="AR52" s="37">
        <f t="shared" si="14"/>
        <v>0</v>
      </c>
      <c r="AS52" s="37"/>
      <c r="AT52" s="37"/>
      <c r="AU52" s="37"/>
      <c r="AV52" s="37"/>
      <c r="AW52" s="37"/>
      <c r="AX52" s="37"/>
      <c r="AY52" s="37"/>
      <c r="AZ52" s="37">
        <f>1440-1440</f>
        <v>0</v>
      </c>
      <c r="BA52" s="37">
        <f>+AR52+AS52+AU52+AW52+AY52+AZ52</f>
        <v>0</v>
      </c>
      <c r="BB52" s="50"/>
      <c r="BC52" s="51"/>
      <c r="BD52" s="51"/>
      <c r="BE52" s="33"/>
      <c r="BF52" s="51"/>
    </row>
    <row r="53" spans="1:58" ht="12.95" customHeight="1">
      <c r="A53" s="40"/>
      <c r="B53" s="41"/>
      <c r="C53" s="414"/>
      <c r="D53" s="41"/>
      <c r="E53" s="42"/>
      <c r="F53" s="42"/>
      <c r="G53" s="43"/>
      <c r="H53" s="44"/>
      <c r="I53" s="45"/>
      <c r="J53" s="82"/>
      <c r="K53" s="82"/>
      <c r="L53" s="35"/>
      <c r="M53" s="35"/>
      <c r="N53" s="46"/>
      <c r="O53" s="47"/>
      <c r="P53" s="48"/>
      <c r="Q53" s="34"/>
      <c r="R53" s="500"/>
      <c r="S53" s="500"/>
      <c r="T53" s="37"/>
      <c r="U53" s="37"/>
      <c r="V53" s="37"/>
      <c r="W53" s="37"/>
      <c r="X53" s="38"/>
      <c r="Y53" s="211"/>
      <c r="Z53" s="37"/>
      <c r="AA53" s="37"/>
      <c r="AB53" s="37"/>
      <c r="AC53" s="37"/>
      <c r="AD53" s="37"/>
      <c r="AE53" s="232"/>
      <c r="AF53" s="37"/>
      <c r="AG53" s="37"/>
      <c r="AH53" s="37"/>
      <c r="AI53" s="502"/>
      <c r="AJ53" s="37"/>
      <c r="AK53" s="37"/>
      <c r="AL53" s="37"/>
      <c r="AM53" s="37"/>
      <c r="AN53" s="37"/>
      <c r="AO53" s="37"/>
      <c r="AP53" s="37"/>
      <c r="AQ53" s="37"/>
      <c r="AR53" s="37"/>
      <c r="AS53" s="37"/>
      <c r="AT53" s="37"/>
      <c r="AU53" s="37"/>
      <c r="AV53" s="37"/>
      <c r="AW53" s="37"/>
      <c r="AX53" s="37"/>
      <c r="AY53" s="37"/>
      <c r="AZ53" s="37"/>
      <c r="BA53" s="37"/>
      <c r="BB53" s="50"/>
      <c r="BC53" s="51"/>
      <c r="BD53" s="503"/>
      <c r="BE53" s="33"/>
      <c r="BF53" s="503"/>
    </row>
    <row r="54" spans="1:58" ht="12.75" customHeight="1">
      <c r="A54" s="40">
        <v>45970</v>
      </c>
      <c r="B54" s="41" t="s">
        <v>406</v>
      </c>
      <c r="C54" s="414">
        <f>(M54*E54*O54*Q54)/100000000</f>
        <v>0</v>
      </c>
      <c r="D54" s="41" t="s">
        <v>300</v>
      </c>
      <c r="E54" s="42">
        <v>12</v>
      </c>
      <c r="F54" s="42">
        <v>1</v>
      </c>
      <c r="G54" s="499">
        <v>1230</v>
      </c>
      <c r="H54" s="44">
        <f>+N54</f>
        <v>0.23417344173441734</v>
      </c>
      <c r="I54" s="45">
        <v>0.88</v>
      </c>
      <c r="J54" s="82">
        <f>E54*G54*(1-H54)*1440/1000000*2.74</f>
        <v>44.599484159999996</v>
      </c>
      <c r="K54" s="82">
        <f>(IF(G54&lt;L54,L54,G54)*(1-IF(H54&lt;N54,H54,N54))*E54*O54*Q54)/100000000</f>
        <v>0</v>
      </c>
      <c r="L54" s="35">
        <v>1230</v>
      </c>
      <c r="M54" s="35">
        <v>941.9666666666667</v>
      </c>
      <c r="N54" s="46">
        <f>1-(M54/L54)</f>
        <v>0.23417344173441734</v>
      </c>
      <c r="O54" s="47">
        <f>+'Trim Rwd'!H20</f>
        <v>266</v>
      </c>
      <c r="P54" s="48">
        <f>O54*(Q54-R54-S54)</f>
        <v>0</v>
      </c>
      <c r="Q54" s="47">
        <f>1440-1440</f>
        <v>0</v>
      </c>
      <c r="R54" s="500">
        <f>1440-1440</f>
        <v>0</v>
      </c>
      <c r="S54" s="500">
        <v>0</v>
      </c>
      <c r="T54" s="37">
        <f>E54*M54*O54*Q54/100000000</f>
        <v>0</v>
      </c>
      <c r="U54" s="37">
        <f>E54*M54*O54*(Q54-R54-S54)/100000000</f>
        <v>0</v>
      </c>
      <c r="V54" s="37">
        <f>E54*G54*(1-N54)*O54/100*(R54+S54)/1000000</f>
        <v>0</v>
      </c>
      <c r="W54" s="37">
        <v>0</v>
      </c>
      <c r="X54" s="501" t="e">
        <f>SUM(W54:W58)/SUM(K54:K58)</f>
        <v>#DIV/0!</v>
      </c>
      <c r="Y54" s="211">
        <v>0</v>
      </c>
      <c r="Z54" s="37">
        <v>0</v>
      </c>
      <c r="AA54" s="49">
        <f>SUM(U54:U58)-SUM(W54:W58)-SUM(Z54:Z58)-SUM(Y54:Y58)</f>
        <v>0</v>
      </c>
      <c r="AB54" s="49">
        <f>(SUM(K54:K58)-SUM(W54:W58)-SUM(Y54:Y58)-SUM(Z54:Z58)-SUM(AC54:AC58)-SUM(V54:V58))-AA54</f>
        <v>0</v>
      </c>
      <c r="AC54" s="37">
        <f>K54-T54</f>
        <v>0</v>
      </c>
      <c r="AD54" s="37">
        <f>+AM54+BA54</f>
        <v>0</v>
      </c>
      <c r="AE54" s="229" t="s">
        <v>384</v>
      </c>
      <c r="AF54" s="37">
        <v>0</v>
      </c>
      <c r="AG54" s="37"/>
      <c r="AH54" s="37"/>
      <c r="AI54" s="502"/>
      <c r="AJ54" s="37"/>
      <c r="AK54" s="37"/>
      <c r="AL54" s="37"/>
      <c r="AM54" s="37">
        <f t="shared" ref="AM54:AM58" si="15">SUM(AF54:AL54)+AT54+AV54+AX54</f>
        <v>0</v>
      </c>
      <c r="AN54" s="37"/>
      <c r="AO54" s="37"/>
      <c r="AP54" s="37"/>
      <c r="AQ54" s="37"/>
      <c r="AR54" s="37">
        <f>SUM(AN54:AQ54)</f>
        <v>0</v>
      </c>
      <c r="AS54" s="37"/>
      <c r="AT54" s="37"/>
      <c r="AU54" s="37"/>
      <c r="AV54" s="37"/>
      <c r="AW54" s="37"/>
      <c r="AX54" s="37"/>
      <c r="AY54" s="37"/>
      <c r="AZ54" s="37"/>
      <c r="BA54" s="37">
        <f>+AR54+AS54+AU54+AW54+AY54+AZ54</f>
        <v>0</v>
      </c>
      <c r="BB54" s="33">
        <v>0</v>
      </c>
      <c r="BC54" s="51"/>
      <c r="BD54" s="51"/>
      <c r="BE54" s="33"/>
      <c r="BF54" s="51"/>
    </row>
    <row r="55" spans="1:58" ht="12.95" customHeight="1">
      <c r="A55" s="40"/>
      <c r="B55" s="41"/>
      <c r="C55" s="414"/>
      <c r="D55" s="41"/>
      <c r="E55" s="42"/>
      <c r="F55" s="42"/>
      <c r="G55" s="499"/>
      <c r="H55" s="44"/>
      <c r="I55" s="45"/>
      <c r="J55" s="82"/>
      <c r="K55" s="82"/>
      <c r="L55" s="35"/>
      <c r="M55" s="35"/>
      <c r="N55" s="46"/>
      <c r="O55" s="47"/>
      <c r="P55" s="48"/>
      <c r="Q55" s="47"/>
      <c r="R55" s="500"/>
      <c r="S55" s="500"/>
      <c r="T55" s="37"/>
      <c r="U55" s="37"/>
      <c r="V55" s="37"/>
      <c r="W55" s="37"/>
      <c r="X55" s="38"/>
      <c r="Y55" s="211"/>
      <c r="Z55" s="37"/>
      <c r="AA55" s="37"/>
      <c r="AB55" s="37"/>
      <c r="AC55" s="37"/>
      <c r="AD55" s="37">
        <f>+AM55+BA55</f>
        <v>0</v>
      </c>
      <c r="AE55" s="229" t="s">
        <v>282</v>
      </c>
      <c r="AF55" s="37"/>
      <c r="AG55" s="37">
        <v>0</v>
      </c>
      <c r="AH55" s="37"/>
      <c r="AI55" s="502"/>
      <c r="AJ55" s="37"/>
      <c r="AK55" s="37"/>
      <c r="AL55" s="37"/>
      <c r="AM55" s="37">
        <f t="shared" si="15"/>
        <v>0</v>
      </c>
      <c r="AN55" s="83"/>
      <c r="AO55" s="37"/>
      <c r="AP55" s="37"/>
      <c r="AQ55" s="37"/>
      <c r="AR55" s="37">
        <f t="shared" ref="AR55:AR58" si="16">SUM(AN55:AQ55)</f>
        <v>0</v>
      </c>
      <c r="AS55" s="37"/>
      <c r="AT55" s="37"/>
      <c r="AU55" s="37"/>
      <c r="AV55" s="37"/>
      <c r="AW55" s="37"/>
      <c r="AX55" s="37"/>
      <c r="AY55" s="37"/>
      <c r="AZ55" s="37"/>
      <c r="BA55" s="37">
        <f>+AR55+AS55+AU55+AW55+AY55+AZ55</f>
        <v>0</v>
      </c>
      <c r="BB55" s="50"/>
      <c r="BC55" s="51">
        <v>0</v>
      </c>
      <c r="BD55" s="51"/>
      <c r="BE55" s="50"/>
      <c r="BF55" s="51"/>
    </row>
    <row r="56" spans="1:58" ht="12.95" customHeight="1">
      <c r="A56" s="40"/>
      <c r="B56" s="41"/>
      <c r="C56" s="414"/>
      <c r="D56" s="41"/>
      <c r="E56" s="42"/>
      <c r="F56" s="42"/>
      <c r="G56" s="43"/>
      <c r="H56" s="44"/>
      <c r="I56" s="45"/>
      <c r="J56" s="82"/>
      <c r="K56" s="82"/>
      <c r="L56" s="35"/>
      <c r="M56" s="35"/>
      <c r="N56" s="46"/>
      <c r="O56" s="47"/>
      <c r="P56" s="48"/>
      <c r="Q56" s="47"/>
      <c r="R56" s="500"/>
      <c r="S56" s="500"/>
      <c r="T56" s="37"/>
      <c r="U56" s="37"/>
      <c r="V56" s="37"/>
      <c r="W56" s="37"/>
      <c r="X56" s="38"/>
      <c r="Y56" s="211"/>
      <c r="Z56" s="37"/>
      <c r="AA56" s="37"/>
      <c r="AB56" s="37"/>
      <c r="AC56" s="37"/>
      <c r="AD56" s="37">
        <f>+AM56+BA56</f>
        <v>0</v>
      </c>
      <c r="AE56" s="229" t="s">
        <v>408</v>
      </c>
      <c r="AF56" s="33"/>
      <c r="AG56" s="33"/>
      <c r="AH56" s="33">
        <v>0</v>
      </c>
      <c r="AJ56" s="37"/>
      <c r="AK56" s="37"/>
      <c r="AL56" s="37"/>
      <c r="AM56" s="37">
        <f t="shared" si="15"/>
        <v>0</v>
      </c>
      <c r="AN56" s="37"/>
      <c r="AO56" s="37"/>
      <c r="AP56" s="37"/>
      <c r="AQ56" s="37"/>
      <c r="AR56" s="37">
        <f t="shared" si="16"/>
        <v>0</v>
      </c>
      <c r="AS56" s="37"/>
      <c r="AT56" s="37"/>
      <c r="AU56" s="37"/>
      <c r="AV56" s="37"/>
      <c r="AW56" s="37"/>
      <c r="AX56" s="37"/>
      <c r="AY56" s="37"/>
      <c r="AZ56" s="37"/>
      <c r="BA56" s="37">
        <f>+AR56+AS56+AU56+AW56+AY56+AZ56</f>
        <v>0</v>
      </c>
      <c r="BB56" s="33"/>
      <c r="BC56" s="503"/>
      <c r="BD56" s="503"/>
      <c r="BE56" s="33"/>
      <c r="BF56" s="503"/>
    </row>
    <row r="57" spans="1:58" ht="12.95" customHeight="1">
      <c r="A57" s="40"/>
      <c r="B57" s="41"/>
      <c r="C57" s="414"/>
      <c r="D57" s="41"/>
      <c r="E57" s="42"/>
      <c r="F57" s="42"/>
      <c r="G57" s="43"/>
      <c r="H57" s="44"/>
      <c r="I57" s="45"/>
      <c r="J57" s="82"/>
      <c r="K57" s="82"/>
      <c r="L57" s="35"/>
      <c r="M57" s="35"/>
      <c r="N57" s="46"/>
      <c r="O57" s="47"/>
      <c r="P57" s="48"/>
      <c r="Q57" s="34"/>
      <c r="R57" s="500"/>
      <c r="S57" s="500"/>
      <c r="T57" s="37"/>
      <c r="U57" s="37"/>
      <c r="V57" s="37"/>
      <c r="W57" s="37"/>
      <c r="X57" s="38"/>
      <c r="Y57" s="211"/>
      <c r="Z57" s="37"/>
      <c r="AA57" s="37"/>
      <c r="AB57" s="37"/>
      <c r="AC57" s="37"/>
      <c r="AD57" s="37">
        <f>+AM57+BA57</f>
        <v>0</v>
      </c>
      <c r="AE57" s="232" t="s">
        <v>377</v>
      </c>
      <c r="AF57" s="37"/>
      <c r="AG57" s="37"/>
      <c r="AH57" s="37"/>
      <c r="AI57" s="502">
        <v>0</v>
      </c>
      <c r="AJ57" s="37"/>
      <c r="AK57" s="37"/>
      <c r="AL57" s="37"/>
      <c r="AM57" s="37">
        <f t="shared" si="15"/>
        <v>0</v>
      </c>
      <c r="AN57" s="37"/>
      <c r="AO57" s="37"/>
      <c r="AP57" s="37"/>
      <c r="AQ57" s="37"/>
      <c r="AR57" s="37">
        <f t="shared" si="16"/>
        <v>0</v>
      </c>
      <c r="AS57" s="37"/>
      <c r="AT57" s="37"/>
      <c r="AU57" s="37"/>
      <c r="AV57" s="37"/>
      <c r="AW57" s="37"/>
      <c r="AX57" s="37"/>
      <c r="AY57" s="37"/>
      <c r="AZ57" s="37"/>
      <c r="BA57" s="37">
        <f>+AR57+AS57+AU57+AW57+AY57+AZ57</f>
        <v>0</v>
      </c>
      <c r="BB57" s="50"/>
      <c r="BC57" s="51"/>
      <c r="BD57" s="51"/>
      <c r="BE57" s="50"/>
      <c r="BF57" s="51"/>
    </row>
    <row r="58" spans="1:58" ht="12.95" customHeight="1">
      <c r="A58" s="40"/>
      <c r="B58" s="41"/>
      <c r="C58" s="414"/>
      <c r="D58" s="41"/>
      <c r="E58" s="42"/>
      <c r="F58" s="42"/>
      <c r="G58" s="43"/>
      <c r="H58" s="44"/>
      <c r="I58" s="45"/>
      <c r="J58" s="82"/>
      <c r="K58" s="82"/>
      <c r="L58" s="35"/>
      <c r="M58" s="35"/>
      <c r="N58" s="46"/>
      <c r="O58" s="47"/>
      <c r="P58" s="48"/>
      <c r="Q58" s="34"/>
      <c r="R58" s="500"/>
      <c r="S58" s="500"/>
      <c r="T58" s="37"/>
      <c r="U58" s="37"/>
      <c r="V58" s="37"/>
      <c r="W58" s="37"/>
      <c r="X58" s="38"/>
      <c r="Y58" s="211"/>
      <c r="Z58" s="37"/>
      <c r="AA58" s="37"/>
      <c r="AB58" s="37"/>
      <c r="AC58" s="37"/>
      <c r="AD58" s="37">
        <f>+AM58+BA58</f>
        <v>0</v>
      </c>
      <c r="AE58" s="232" t="s">
        <v>409</v>
      </c>
      <c r="AF58" s="37"/>
      <c r="AG58" s="37"/>
      <c r="AH58" s="37"/>
      <c r="AI58" s="502"/>
      <c r="AJ58" s="37"/>
      <c r="AK58" s="37"/>
      <c r="AL58" s="37"/>
      <c r="AM58" s="37">
        <f t="shared" si="15"/>
        <v>0</v>
      </c>
      <c r="AN58" s="37"/>
      <c r="AO58" s="37"/>
      <c r="AP58" s="37"/>
      <c r="AQ58" s="37"/>
      <c r="AR58" s="37">
        <f t="shared" si="16"/>
        <v>0</v>
      </c>
      <c r="AS58" s="37"/>
      <c r="AT58" s="37"/>
      <c r="AU58" s="37"/>
      <c r="AV58" s="37"/>
      <c r="AW58" s="37"/>
      <c r="AX58" s="37"/>
      <c r="AY58" s="37"/>
      <c r="AZ58" s="37">
        <f>1440-1440</f>
        <v>0</v>
      </c>
      <c r="BA58" s="37">
        <f>+AR58+AS58+AU58+AW58+AY58+AZ58</f>
        <v>0</v>
      </c>
      <c r="BB58" s="50"/>
      <c r="BC58" s="51"/>
      <c r="BD58" s="51"/>
      <c r="BE58" s="33"/>
      <c r="BF58" s="51"/>
    </row>
    <row r="59" spans="1:58" ht="12.75" customHeight="1">
      <c r="A59" s="40"/>
      <c r="B59" s="41"/>
      <c r="C59" s="414"/>
      <c r="D59" s="41"/>
      <c r="E59" s="42"/>
      <c r="F59" s="42"/>
      <c r="G59" s="43"/>
      <c r="H59" s="44"/>
      <c r="I59" s="45"/>
      <c r="J59" s="82"/>
      <c r="K59" s="82"/>
      <c r="L59" s="35"/>
      <c r="M59" s="35"/>
      <c r="N59" s="46"/>
      <c r="O59" s="47"/>
      <c r="P59" s="48"/>
      <c r="Q59" s="47"/>
      <c r="R59" s="500"/>
      <c r="S59" s="500"/>
      <c r="T59" s="37"/>
      <c r="U59" s="37"/>
      <c r="V59" s="37"/>
      <c r="W59" s="37"/>
      <c r="X59" s="38"/>
      <c r="Y59" s="211"/>
      <c r="Z59" s="37"/>
      <c r="AA59" s="37"/>
      <c r="AB59" s="37"/>
      <c r="AC59" s="37"/>
      <c r="AD59" s="37"/>
      <c r="AE59" s="232"/>
      <c r="AF59" s="37"/>
      <c r="AG59" s="37"/>
      <c r="AH59" s="37"/>
      <c r="AI59" s="37"/>
      <c r="AJ59" s="37"/>
      <c r="AK59" s="37"/>
      <c r="AL59" s="37"/>
      <c r="AM59" s="37"/>
      <c r="AN59" s="37"/>
      <c r="AO59" s="37"/>
      <c r="AP59" s="37"/>
      <c r="AQ59" s="37"/>
      <c r="AR59" s="37"/>
      <c r="AS59" s="37"/>
      <c r="AT59" s="37"/>
      <c r="AU59" s="37"/>
      <c r="AV59" s="37"/>
      <c r="AW59" s="37"/>
      <c r="AX59" s="37"/>
      <c r="AY59" s="37"/>
      <c r="AZ59" s="37"/>
      <c r="BA59" s="37"/>
      <c r="BB59" s="33"/>
      <c r="BC59" s="51"/>
      <c r="BD59" s="51"/>
      <c r="BE59" s="51"/>
      <c r="BF59" s="51"/>
    </row>
    <row r="60" spans="1:58" ht="12.75" customHeight="1">
      <c r="A60" s="40">
        <v>45971</v>
      </c>
      <c r="B60" s="41" t="s">
        <v>406</v>
      </c>
      <c r="C60" s="414">
        <f>(M60*E60*O60*Q60)/100000000</f>
        <v>0</v>
      </c>
      <c r="D60" s="41" t="s">
        <v>300</v>
      </c>
      <c r="E60" s="42">
        <v>12</v>
      </c>
      <c r="F60" s="42">
        <v>1</v>
      </c>
      <c r="G60" s="499">
        <v>1230</v>
      </c>
      <c r="H60" s="44">
        <f>+N60</f>
        <v>0.23417344173441734</v>
      </c>
      <c r="I60" s="45">
        <v>0.88</v>
      </c>
      <c r="J60" s="82">
        <f>E60*G60*(1-H60)*1440/1000000*2.74</f>
        <v>44.599484159999996</v>
      </c>
      <c r="K60" s="82">
        <f>(IF(G60&lt;L60,L60,G60)*(1-IF(H60&lt;N60,H60,N60))*E60*O60*Q60)/100000000</f>
        <v>0</v>
      </c>
      <c r="L60" s="35">
        <v>1230</v>
      </c>
      <c r="M60" s="35">
        <v>941.9666666666667</v>
      </c>
      <c r="N60" s="46">
        <f>1-(M60/L60)</f>
        <v>0.23417344173441734</v>
      </c>
      <c r="O60" s="47">
        <f>+'Trim Rwd'!H22</f>
        <v>266</v>
      </c>
      <c r="P60" s="48">
        <f>O60*(Q60-R60-S60)</f>
        <v>0</v>
      </c>
      <c r="Q60" s="47">
        <f>1440-1440</f>
        <v>0</v>
      </c>
      <c r="R60" s="500">
        <f>1440-1440</f>
        <v>0</v>
      </c>
      <c r="S60" s="500">
        <v>0</v>
      </c>
      <c r="T60" s="37">
        <f>E60*M60*O60*Q60/100000000</f>
        <v>0</v>
      </c>
      <c r="U60" s="37">
        <f>E60*M60*O60*(Q60-R60-S60)/100000000</f>
        <v>0</v>
      </c>
      <c r="V60" s="37">
        <f>E60*G60*(1-N60)*O60/100*(R60+S60)/1000000</f>
        <v>0</v>
      </c>
      <c r="W60" s="37">
        <v>0</v>
      </c>
      <c r="X60" s="501" t="e">
        <f>SUM(W60:W64)/SUM(K60:K64)</f>
        <v>#DIV/0!</v>
      </c>
      <c r="Y60" s="211">
        <v>0</v>
      </c>
      <c r="Z60" s="37">
        <v>0</v>
      </c>
      <c r="AA60" s="49">
        <f>SUM(U60:U64)-SUM(W60:W64)-SUM(Z60:Z64)-SUM(Y60:Y64)</f>
        <v>0</v>
      </c>
      <c r="AB60" s="49">
        <f>(SUM(K60:K64)-SUM(W60:W64)-SUM(Y60:Y64)-SUM(Z60:Z64)-SUM(AC60:AC64)-SUM(V60:V64))-AA60</f>
        <v>0</v>
      </c>
      <c r="AC60" s="37">
        <f>K60-T60</f>
        <v>0</v>
      </c>
      <c r="AD60" s="37">
        <f>+AM60+BA60</f>
        <v>0</v>
      </c>
      <c r="AE60" s="229" t="s">
        <v>384</v>
      </c>
      <c r="AF60" s="37">
        <v>0</v>
      </c>
      <c r="AG60" s="37"/>
      <c r="AH60" s="37"/>
      <c r="AI60" s="502"/>
      <c r="AJ60" s="37"/>
      <c r="AK60" s="37"/>
      <c r="AL60" s="37"/>
      <c r="AM60" s="37">
        <f t="shared" ref="AM60:AM64" si="17">SUM(AF60:AL60)+AT60+AV60+AX60</f>
        <v>0</v>
      </c>
      <c r="AN60" s="37"/>
      <c r="AO60" s="37"/>
      <c r="AP60" s="37"/>
      <c r="AQ60" s="37"/>
      <c r="AR60" s="37">
        <f>SUM(AN60:AQ60)</f>
        <v>0</v>
      </c>
      <c r="AS60" s="37"/>
      <c r="AT60" s="37"/>
      <c r="AU60" s="37"/>
      <c r="AV60" s="37"/>
      <c r="AW60" s="37"/>
      <c r="AX60" s="37"/>
      <c r="AY60" s="37"/>
      <c r="AZ60" s="37"/>
      <c r="BA60" s="37">
        <f>+AR60+AS60+AU60+AW60+AY60+AZ60</f>
        <v>0</v>
      </c>
      <c r="BB60" s="33">
        <v>0</v>
      </c>
      <c r="BC60" s="51"/>
      <c r="BD60" s="51"/>
      <c r="BE60" s="33"/>
      <c r="BF60" s="51"/>
    </row>
    <row r="61" spans="1:58" ht="12.95" customHeight="1">
      <c r="A61" s="40"/>
      <c r="B61" s="41"/>
      <c r="C61" s="414"/>
      <c r="D61" s="41"/>
      <c r="E61" s="42"/>
      <c r="F61" s="42"/>
      <c r="G61" s="499"/>
      <c r="H61" s="44"/>
      <c r="I61" s="45"/>
      <c r="J61" s="82"/>
      <c r="K61" s="82"/>
      <c r="L61" s="35"/>
      <c r="M61" s="35"/>
      <c r="N61" s="46"/>
      <c r="O61" s="47"/>
      <c r="P61" s="48"/>
      <c r="Q61" s="47"/>
      <c r="R61" s="500"/>
      <c r="S61" s="500"/>
      <c r="T61" s="37"/>
      <c r="U61" s="37"/>
      <c r="V61" s="37"/>
      <c r="W61" s="37"/>
      <c r="X61" s="38"/>
      <c r="Y61" s="211"/>
      <c r="Z61" s="37"/>
      <c r="AA61" s="37"/>
      <c r="AB61" s="37"/>
      <c r="AC61" s="37"/>
      <c r="AD61" s="37">
        <f>+AM61+BA61</f>
        <v>0</v>
      </c>
      <c r="AE61" s="229" t="s">
        <v>282</v>
      </c>
      <c r="AF61" s="37"/>
      <c r="AG61" s="37">
        <v>0</v>
      </c>
      <c r="AH61" s="37"/>
      <c r="AI61" s="502"/>
      <c r="AJ61" s="37"/>
      <c r="AK61" s="37"/>
      <c r="AL61" s="37"/>
      <c r="AM61" s="37">
        <f t="shared" si="17"/>
        <v>0</v>
      </c>
      <c r="AN61" s="83"/>
      <c r="AO61" s="37"/>
      <c r="AP61" s="37"/>
      <c r="AQ61" s="37"/>
      <c r="AR61" s="37">
        <f t="shared" ref="AR61:AR64" si="18">SUM(AN61:AQ61)</f>
        <v>0</v>
      </c>
      <c r="AS61" s="37"/>
      <c r="AT61" s="37"/>
      <c r="AU61" s="37"/>
      <c r="AV61" s="37"/>
      <c r="AW61" s="37"/>
      <c r="AX61" s="37"/>
      <c r="AY61" s="37"/>
      <c r="AZ61" s="37"/>
      <c r="BA61" s="37">
        <f>+AR61+AS61+AU61+AW61+AY61+AZ61</f>
        <v>0</v>
      </c>
      <c r="BB61" s="50"/>
      <c r="BC61" s="51">
        <v>0</v>
      </c>
      <c r="BD61" s="51"/>
      <c r="BE61" s="50"/>
      <c r="BF61" s="51"/>
    </row>
    <row r="62" spans="1:58" ht="12.95" customHeight="1">
      <c r="A62" s="40"/>
      <c r="B62" s="41"/>
      <c r="C62" s="414"/>
      <c r="D62" s="41"/>
      <c r="E62" s="42"/>
      <c r="F62" s="42"/>
      <c r="G62" s="43"/>
      <c r="H62" s="44"/>
      <c r="I62" s="45"/>
      <c r="J62" s="82"/>
      <c r="K62" s="82"/>
      <c r="L62" s="35"/>
      <c r="M62" s="35"/>
      <c r="N62" s="46"/>
      <c r="O62" s="47"/>
      <c r="P62" s="48"/>
      <c r="Q62" s="47"/>
      <c r="R62" s="500"/>
      <c r="S62" s="500"/>
      <c r="T62" s="37"/>
      <c r="U62" s="37"/>
      <c r="V62" s="37"/>
      <c r="W62" s="37"/>
      <c r="X62" s="38"/>
      <c r="Y62" s="211"/>
      <c r="Z62" s="37"/>
      <c r="AA62" s="37"/>
      <c r="AB62" s="37"/>
      <c r="AC62" s="37"/>
      <c r="AD62" s="37">
        <f>+AM62+BA62</f>
        <v>0</v>
      </c>
      <c r="AE62" s="229" t="s">
        <v>408</v>
      </c>
      <c r="AF62" s="33"/>
      <c r="AG62" s="33"/>
      <c r="AH62" s="33">
        <v>0</v>
      </c>
      <c r="AJ62" s="37"/>
      <c r="AK62" s="37"/>
      <c r="AL62" s="37"/>
      <c r="AM62" s="37">
        <f t="shared" si="17"/>
        <v>0</v>
      </c>
      <c r="AN62" s="37"/>
      <c r="AO62" s="37"/>
      <c r="AP62" s="37"/>
      <c r="AQ62" s="37"/>
      <c r="AR62" s="37">
        <f t="shared" si="18"/>
        <v>0</v>
      </c>
      <c r="AS62" s="37"/>
      <c r="AT62" s="37"/>
      <c r="AU62" s="37"/>
      <c r="AV62" s="37"/>
      <c r="AW62" s="37"/>
      <c r="AX62" s="37"/>
      <c r="AY62" s="37"/>
      <c r="AZ62" s="37"/>
      <c r="BA62" s="37">
        <f>+AR62+AS62+AU62+AW62+AY62+AZ62</f>
        <v>0</v>
      </c>
      <c r="BB62" s="33"/>
      <c r="BC62" s="503"/>
      <c r="BD62" s="503"/>
      <c r="BE62" s="33"/>
      <c r="BF62" s="503"/>
    </row>
    <row r="63" spans="1:58" ht="12.95" customHeight="1">
      <c r="A63" s="40"/>
      <c r="B63" s="41"/>
      <c r="C63" s="414"/>
      <c r="D63" s="41"/>
      <c r="E63" s="42"/>
      <c r="F63" s="42"/>
      <c r="G63" s="43"/>
      <c r="H63" s="44"/>
      <c r="I63" s="45"/>
      <c r="J63" s="82"/>
      <c r="K63" s="82"/>
      <c r="L63" s="35"/>
      <c r="M63" s="35"/>
      <c r="N63" s="46"/>
      <c r="O63" s="47"/>
      <c r="P63" s="48"/>
      <c r="Q63" s="34"/>
      <c r="R63" s="500"/>
      <c r="S63" s="500"/>
      <c r="T63" s="37"/>
      <c r="U63" s="37"/>
      <c r="V63" s="37"/>
      <c r="W63" s="37"/>
      <c r="X63" s="38"/>
      <c r="Y63" s="211"/>
      <c r="Z63" s="37"/>
      <c r="AA63" s="37"/>
      <c r="AB63" s="37"/>
      <c r="AC63" s="37"/>
      <c r="AD63" s="37">
        <f>+AM63+BA63</f>
        <v>0</v>
      </c>
      <c r="AE63" s="232" t="s">
        <v>377</v>
      </c>
      <c r="AF63" s="37"/>
      <c r="AG63" s="37"/>
      <c r="AH63" s="37"/>
      <c r="AI63" s="502">
        <v>0</v>
      </c>
      <c r="AJ63" s="37"/>
      <c r="AK63" s="37"/>
      <c r="AL63" s="37"/>
      <c r="AM63" s="37">
        <f t="shared" si="17"/>
        <v>0</v>
      </c>
      <c r="AN63" s="37"/>
      <c r="AO63" s="37"/>
      <c r="AP63" s="37"/>
      <c r="AQ63" s="37"/>
      <c r="AR63" s="37">
        <f t="shared" si="18"/>
        <v>0</v>
      </c>
      <c r="AS63" s="37"/>
      <c r="AT63" s="37"/>
      <c r="AU63" s="37"/>
      <c r="AV63" s="37"/>
      <c r="AW63" s="37"/>
      <c r="AX63" s="37"/>
      <c r="AY63" s="37"/>
      <c r="AZ63" s="37"/>
      <c r="BA63" s="37">
        <f>+AR63+AS63+AU63+AW63+AY63+AZ63</f>
        <v>0</v>
      </c>
      <c r="BB63" s="50"/>
      <c r="BC63" s="51"/>
      <c r="BD63" s="51"/>
      <c r="BE63" s="50"/>
      <c r="BF63" s="51"/>
    </row>
    <row r="64" spans="1:58" ht="12.95" customHeight="1">
      <c r="A64" s="40"/>
      <c r="B64" s="41"/>
      <c r="C64" s="414"/>
      <c r="D64" s="41"/>
      <c r="E64" s="42"/>
      <c r="F64" s="42"/>
      <c r="G64" s="43"/>
      <c r="H64" s="44"/>
      <c r="I64" s="45"/>
      <c r="J64" s="82"/>
      <c r="K64" s="82"/>
      <c r="L64" s="35"/>
      <c r="M64" s="35"/>
      <c r="N64" s="46"/>
      <c r="O64" s="47"/>
      <c r="P64" s="48"/>
      <c r="Q64" s="34"/>
      <c r="R64" s="500"/>
      <c r="S64" s="500"/>
      <c r="T64" s="37"/>
      <c r="U64" s="37"/>
      <c r="V64" s="37"/>
      <c r="W64" s="37"/>
      <c r="X64" s="38"/>
      <c r="Y64" s="211"/>
      <c r="Z64" s="37"/>
      <c r="AA64" s="37"/>
      <c r="AB64" s="37"/>
      <c r="AC64" s="37"/>
      <c r="AD64" s="37">
        <f>+AM64+BA64</f>
        <v>0</v>
      </c>
      <c r="AE64" s="232" t="s">
        <v>409</v>
      </c>
      <c r="AF64" s="37"/>
      <c r="AG64" s="37"/>
      <c r="AH64" s="37"/>
      <c r="AI64" s="502"/>
      <c r="AJ64" s="37"/>
      <c r="AK64" s="37"/>
      <c r="AL64" s="37"/>
      <c r="AM64" s="37">
        <f t="shared" si="17"/>
        <v>0</v>
      </c>
      <c r="AN64" s="37"/>
      <c r="AO64" s="37"/>
      <c r="AP64" s="37"/>
      <c r="AQ64" s="37"/>
      <c r="AR64" s="37">
        <f t="shared" si="18"/>
        <v>0</v>
      </c>
      <c r="AS64" s="37"/>
      <c r="AT64" s="37"/>
      <c r="AU64" s="37"/>
      <c r="AV64" s="37"/>
      <c r="AW64" s="37"/>
      <c r="AX64" s="37"/>
      <c r="AY64" s="37"/>
      <c r="AZ64" s="37">
        <f>1440-1440</f>
        <v>0</v>
      </c>
      <c r="BA64" s="37">
        <f>+AR64+AS64+AU64+AW64+AY64+AZ64</f>
        <v>0</v>
      </c>
      <c r="BB64" s="50"/>
      <c r="BC64" s="51"/>
      <c r="BD64" s="51"/>
      <c r="BE64" s="33"/>
      <c r="BF64" s="51"/>
    </row>
    <row r="65" spans="1:58" ht="12.95" customHeight="1">
      <c r="A65" s="40"/>
      <c r="B65" s="41"/>
      <c r="C65" s="414"/>
      <c r="D65" s="41"/>
      <c r="E65" s="42"/>
      <c r="F65" s="42"/>
      <c r="G65" s="499"/>
      <c r="H65" s="44"/>
      <c r="I65" s="45"/>
      <c r="J65" s="82"/>
      <c r="K65" s="82"/>
      <c r="L65" s="35"/>
      <c r="M65" s="35"/>
      <c r="N65" s="46"/>
      <c r="O65" s="47"/>
      <c r="P65" s="48"/>
      <c r="Q65" s="47"/>
      <c r="R65" s="500"/>
      <c r="S65" s="500"/>
      <c r="T65" s="37"/>
      <c r="U65" s="37"/>
      <c r="V65" s="37"/>
      <c r="W65" s="37"/>
      <c r="X65" s="501"/>
      <c r="Y65" s="211"/>
      <c r="Z65" s="37"/>
      <c r="AA65" s="49"/>
      <c r="AB65" s="49"/>
      <c r="AC65" s="37"/>
      <c r="AD65" s="37"/>
      <c r="AE65" s="229"/>
      <c r="AF65" s="37"/>
      <c r="AG65" s="37"/>
      <c r="AH65" s="37"/>
      <c r="AI65" s="37"/>
      <c r="AJ65" s="37"/>
      <c r="AK65" s="37"/>
      <c r="AL65" s="37"/>
      <c r="AM65" s="37"/>
      <c r="AN65" s="37"/>
      <c r="AO65" s="37"/>
      <c r="AP65" s="37"/>
      <c r="AQ65" s="37"/>
      <c r="AR65" s="37"/>
      <c r="AS65" s="37"/>
      <c r="AT65" s="37"/>
      <c r="AU65" s="37"/>
      <c r="AV65" s="37"/>
      <c r="AW65" s="37"/>
      <c r="AX65" s="37"/>
      <c r="AY65" s="37"/>
      <c r="AZ65" s="37"/>
      <c r="BA65" s="37"/>
      <c r="BB65" s="33"/>
      <c r="BC65" s="51"/>
      <c r="BD65" s="51"/>
      <c r="BE65" s="51"/>
      <c r="BF65" s="51"/>
    </row>
    <row r="66" spans="1:58" ht="12.75" customHeight="1">
      <c r="A66" s="40">
        <v>45972</v>
      </c>
      <c r="B66" s="41" t="s">
        <v>406</v>
      </c>
      <c r="C66" s="414">
        <f>(M66*E66*O66*Q66)/100000000</f>
        <v>0</v>
      </c>
      <c r="D66" s="41" t="s">
        <v>300</v>
      </c>
      <c r="E66" s="42">
        <v>12</v>
      </c>
      <c r="F66" s="42">
        <v>1</v>
      </c>
      <c r="G66" s="499">
        <v>1230</v>
      </c>
      <c r="H66" s="44">
        <f>+N66</f>
        <v>0.23417344173441734</v>
      </c>
      <c r="I66" s="45">
        <v>0.88</v>
      </c>
      <c r="J66" s="82">
        <f>E66*G66*(1-H66)*1440/1000000*2.74</f>
        <v>44.599484159999996</v>
      </c>
      <c r="K66" s="82">
        <f>(IF(G66&lt;L66,L66,G66)*(1-IF(H66&lt;N66,H66,N66))*E66*O66*Q66)/100000000</f>
        <v>0</v>
      </c>
      <c r="L66" s="35">
        <v>1230</v>
      </c>
      <c r="M66" s="35">
        <v>941.9666666666667</v>
      </c>
      <c r="N66" s="46">
        <f>1-(M66/L66)</f>
        <v>0.23417344173441734</v>
      </c>
      <c r="O66" s="47">
        <f>+'Trim Rwd'!H24</f>
        <v>266</v>
      </c>
      <c r="P66" s="48">
        <f>O66*(Q66-R66-S66)</f>
        <v>0</v>
      </c>
      <c r="Q66" s="47">
        <f>1440-1440</f>
        <v>0</v>
      </c>
      <c r="R66" s="500">
        <f>1440-1440</f>
        <v>0</v>
      </c>
      <c r="S66" s="500">
        <v>0</v>
      </c>
      <c r="T66" s="37">
        <f>E66*M66*O66*Q66/100000000</f>
        <v>0</v>
      </c>
      <c r="U66" s="37">
        <f>E66*M66*O66*(Q66-R66-S66)/100000000</f>
        <v>0</v>
      </c>
      <c r="V66" s="37">
        <f>E66*G66*(1-N66)*O66/100*(R66+S66)/1000000</f>
        <v>0</v>
      </c>
      <c r="W66" s="37">
        <v>0</v>
      </c>
      <c r="X66" s="501" t="e">
        <f>SUM(W66:W70)/SUM(K66:K70)</f>
        <v>#DIV/0!</v>
      </c>
      <c r="Y66" s="211">
        <v>0</v>
      </c>
      <c r="Z66" s="37">
        <v>0</v>
      </c>
      <c r="AA66" s="49">
        <f>SUM(U66:U70)-SUM(W66:W70)-SUM(Z66:Z70)-SUM(Y66:Y70)</f>
        <v>0</v>
      </c>
      <c r="AB66" s="49">
        <f>(SUM(K66:K70)-SUM(W66:W70)-SUM(Y66:Y70)-SUM(Z66:Z70)-SUM(AC66:AC70)-SUM(V66:V70))-AA66</f>
        <v>0</v>
      </c>
      <c r="AC66" s="37">
        <f>K66-T66</f>
        <v>0</v>
      </c>
      <c r="AD66" s="37">
        <f>+AM66+BA66</f>
        <v>0</v>
      </c>
      <c r="AE66" s="229" t="s">
        <v>384</v>
      </c>
      <c r="AF66" s="37">
        <v>0</v>
      </c>
      <c r="AG66" s="37"/>
      <c r="AH66" s="37"/>
      <c r="AI66" s="502"/>
      <c r="AJ66" s="37"/>
      <c r="AK66" s="37"/>
      <c r="AL66" s="37"/>
      <c r="AM66" s="37">
        <f t="shared" ref="AM66:AM70" si="19">SUM(AF66:AL66)+AT66+AV66+AX66</f>
        <v>0</v>
      </c>
      <c r="AN66" s="37"/>
      <c r="AO66" s="37"/>
      <c r="AP66" s="37"/>
      <c r="AQ66" s="37"/>
      <c r="AR66" s="37">
        <f>SUM(AN66:AQ66)</f>
        <v>0</v>
      </c>
      <c r="AS66" s="37"/>
      <c r="AT66" s="37"/>
      <c r="AU66" s="37"/>
      <c r="AV66" s="37"/>
      <c r="AW66" s="37"/>
      <c r="AX66" s="37"/>
      <c r="AY66" s="37"/>
      <c r="AZ66" s="37"/>
      <c r="BA66" s="37">
        <f>+AR66+AS66+AU66+AW66+AY66+AZ66</f>
        <v>0</v>
      </c>
      <c r="BB66" s="33">
        <v>0</v>
      </c>
      <c r="BC66" s="51"/>
      <c r="BD66" s="51"/>
      <c r="BE66" s="33"/>
      <c r="BF66" s="51"/>
    </row>
    <row r="67" spans="1:58" ht="12.95" customHeight="1">
      <c r="A67" s="40"/>
      <c r="B67" s="41"/>
      <c r="C67" s="414"/>
      <c r="D67" s="41"/>
      <c r="E67" s="42"/>
      <c r="F67" s="42"/>
      <c r="G67" s="499"/>
      <c r="H67" s="44"/>
      <c r="I67" s="45"/>
      <c r="J67" s="82"/>
      <c r="K67" s="82"/>
      <c r="L67" s="35"/>
      <c r="M67" s="35"/>
      <c r="N67" s="46"/>
      <c r="O67" s="47"/>
      <c r="P67" s="48"/>
      <c r="Q67" s="47"/>
      <c r="R67" s="500"/>
      <c r="S67" s="500"/>
      <c r="T67" s="37"/>
      <c r="U67" s="37"/>
      <c r="V67" s="37"/>
      <c r="W67" s="37"/>
      <c r="X67" s="38"/>
      <c r="Y67" s="211"/>
      <c r="Z67" s="37"/>
      <c r="AA67" s="37"/>
      <c r="AB67" s="37"/>
      <c r="AC67" s="37"/>
      <c r="AD67" s="37">
        <f>+AM67+BA67</f>
        <v>0</v>
      </c>
      <c r="AE67" s="229" t="s">
        <v>282</v>
      </c>
      <c r="AF67" s="37"/>
      <c r="AG67" s="37">
        <v>0</v>
      </c>
      <c r="AH67" s="37"/>
      <c r="AI67" s="502"/>
      <c r="AJ67" s="37"/>
      <c r="AK67" s="37"/>
      <c r="AL67" s="37"/>
      <c r="AM67" s="37">
        <f t="shared" si="19"/>
        <v>0</v>
      </c>
      <c r="AN67" s="83"/>
      <c r="AO67" s="37"/>
      <c r="AP67" s="37"/>
      <c r="AQ67" s="37"/>
      <c r="AR67" s="37">
        <f t="shared" ref="AR67:AR70" si="20">SUM(AN67:AQ67)</f>
        <v>0</v>
      </c>
      <c r="AS67" s="37"/>
      <c r="AT67" s="37"/>
      <c r="AU67" s="37"/>
      <c r="AV67" s="37"/>
      <c r="AW67" s="37"/>
      <c r="AX67" s="37"/>
      <c r="AY67" s="37"/>
      <c r="AZ67" s="37"/>
      <c r="BA67" s="37">
        <f>+AR67+AS67+AU67+AW67+AY67+AZ67</f>
        <v>0</v>
      </c>
      <c r="BB67" s="50"/>
      <c r="BC67" s="51">
        <v>0</v>
      </c>
      <c r="BD67" s="51"/>
      <c r="BE67" s="50"/>
      <c r="BF67" s="51"/>
    </row>
    <row r="68" spans="1:58" ht="12.95" customHeight="1">
      <c r="A68" s="40"/>
      <c r="B68" s="41"/>
      <c r="C68" s="414"/>
      <c r="D68" s="41"/>
      <c r="E68" s="42"/>
      <c r="F68" s="42"/>
      <c r="G68" s="43"/>
      <c r="H68" s="44"/>
      <c r="I68" s="45"/>
      <c r="J68" s="82"/>
      <c r="K68" s="82"/>
      <c r="L68" s="35"/>
      <c r="M68" s="35"/>
      <c r="N68" s="46"/>
      <c r="O68" s="47"/>
      <c r="P68" s="48"/>
      <c r="Q68" s="47"/>
      <c r="R68" s="500"/>
      <c r="S68" s="500"/>
      <c r="T68" s="37"/>
      <c r="U68" s="37"/>
      <c r="V68" s="37"/>
      <c r="W68" s="37"/>
      <c r="X68" s="38"/>
      <c r="Y68" s="211"/>
      <c r="Z68" s="37"/>
      <c r="AA68" s="37"/>
      <c r="AB68" s="37"/>
      <c r="AC68" s="37"/>
      <c r="AD68" s="37">
        <f>+AM68+BA68</f>
        <v>0</v>
      </c>
      <c r="AE68" s="229" t="s">
        <v>408</v>
      </c>
      <c r="AF68" s="33"/>
      <c r="AG68" s="33"/>
      <c r="AH68" s="33">
        <v>0</v>
      </c>
      <c r="AJ68" s="37"/>
      <c r="AK68" s="37"/>
      <c r="AL68" s="37"/>
      <c r="AM68" s="37">
        <f t="shared" si="19"/>
        <v>0</v>
      </c>
      <c r="AN68" s="37"/>
      <c r="AO68" s="37"/>
      <c r="AP68" s="37"/>
      <c r="AQ68" s="37"/>
      <c r="AR68" s="37">
        <f t="shared" si="20"/>
        <v>0</v>
      </c>
      <c r="AS68" s="37"/>
      <c r="AT68" s="37"/>
      <c r="AU68" s="37"/>
      <c r="AV68" s="37"/>
      <c r="AW68" s="37"/>
      <c r="AX68" s="37"/>
      <c r="AY68" s="37"/>
      <c r="AZ68" s="37"/>
      <c r="BA68" s="37">
        <f>+AR68+AS68+AU68+AW68+AY68+AZ68</f>
        <v>0</v>
      </c>
      <c r="BB68" s="33"/>
      <c r="BC68" s="503"/>
      <c r="BD68" s="503"/>
      <c r="BE68" s="33"/>
      <c r="BF68" s="503"/>
    </row>
    <row r="69" spans="1:58" ht="12.95" customHeight="1">
      <c r="A69" s="40"/>
      <c r="B69" s="41"/>
      <c r="C69" s="414"/>
      <c r="D69" s="41"/>
      <c r="E69" s="42"/>
      <c r="F69" s="42"/>
      <c r="G69" s="43"/>
      <c r="H69" s="44"/>
      <c r="I69" s="45"/>
      <c r="J69" s="82"/>
      <c r="K69" s="82"/>
      <c r="L69" s="35"/>
      <c r="M69" s="35"/>
      <c r="N69" s="46"/>
      <c r="O69" s="47"/>
      <c r="P69" s="48"/>
      <c r="Q69" s="34"/>
      <c r="R69" s="500"/>
      <c r="S69" s="500"/>
      <c r="T69" s="37"/>
      <c r="U69" s="37"/>
      <c r="V69" s="37"/>
      <c r="W69" s="37"/>
      <c r="X69" s="38"/>
      <c r="Y69" s="211"/>
      <c r="Z69" s="37"/>
      <c r="AA69" s="37"/>
      <c r="AB69" s="37"/>
      <c r="AC69" s="37"/>
      <c r="AD69" s="37">
        <f>+AM69+BA69</f>
        <v>0</v>
      </c>
      <c r="AE69" s="232" t="s">
        <v>377</v>
      </c>
      <c r="AF69" s="37"/>
      <c r="AG69" s="37"/>
      <c r="AH69" s="37"/>
      <c r="AI69" s="502">
        <v>0</v>
      </c>
      <c r="AJ69" s="37"/>
      <c r="AK69" s="37"/>
      <c r="AL69" s="37"/>
      <c r="AM69" s="37">
        <f t="shared" si="19"/>
        <v>0</v>
      </c>
      <c r="AN69" s="37"/>
      <c r="AO69" s="37"/>
      <c r="AP69" s="37"/>
      <c r="AQ69" s="37"/>
      <c r="AR69" s="37">
        <f t="shared" si="20"/>
        <v>0</v>
      </c>
      <c r="AS69" s="37"/>
      <c r="AT69" s="37"/>
      <c r="AU69" s="37"/>
      <c r="AV69" s="37"/>
      <c r="AW69" s="37"/>
      <c r="AX69" s="37"/>
      <c r="AY69" s="37"/>
      <c r="AZ69" s="37"/>
      <c r="BA69" s="37">
        <f>+AR69+AS69+AU69+AW69+AY69+AZ69</f>
        <v>0</v>
      </c>
      <c r="BB69" s="50"/>
      <c r="BC69" s="51"/>
      <c r="BD69" s="51"/>
      <c r="BE69" s="50"/>
      <c r="BF69" s="51"/>
    </row>
    <row r="70" spans="1:58" ht="12.95" customHeight="1">
      <c r="A70" s="40"/>
      <c r="B70" s="41"/>
      <c r="C70" s="414"/>
      <c r="D70" s="41"/>
      <c r="E70" s="42"/>
      <c r="F70" s="42"/>
      <c r="G70" s="43"/>
      <c r="H70" s="44"/>
      <c r="I70" s="45"/>
      <c r="J70" s="82"/>
      <c r="K70" s="82"/>
      <c r="L70" s="35"/>
      <c r="M70" s="35"/>
      <c r="N70" s="46"/>
      <c r="O70" s="47"/>
      <c r="P70" s="48"/>
      <c r="Q70" s="34"/>
      <c r="R70" s="500"/>
      <c r="S70" s="500"/>
      <c r="T70" s="37"/>
      <c r="U70" s="37"/>
      <c r="V70" s="37"/>
      <c r="W70" s="37"/>
      <c r="X70" s="38"/>
      <c r="Y70" s="211"/>
      <c r="Z70" s="37"/>
      <c r="AA70" s="37"/>
      <c r="AB70" s="37"/>
      <c r="AC70" s="37"/>
      <c r="AD70" s="37">
        <f>+AM70+BA70</f>
        <v>0</v>
      </c>
      <c r="AE70" s="232" t="s">
        <v>409</v>
      </c>
      <c r="AF70" s="37"/>
      <c r="AG70" s="37"/>
      <c r="AH70" s="37"/>
      <c r="AI70" s="502"/>
      <c r="AJ70" s="37"/>
      <c r="AK70" s="37"/>
      <c r="AL70" s="37"/>
      <c r="AM70" s="37">
        <f t="shared" si="19"/>
        <v>0</v>
      </c>
      <c r="AN70" s="37"/>
      <c r="AO70" s="37"/>
      <c r="AP70" s="37"/>
      <c r="AQ70" s="37"/>
      <c r="AR70" s="37">
        <f t="shared" si="20"/>
        <v>0</v>
      </c>
      <c r="AS70" s="37"/>
      <c r="AT70" s="37"/>
      <c r="AU70" s="37"/>
      <c r="AV70" s="37"/>
      <c r="AW70" s="37"/>
      <c r="AX70" s="37"/>
      <c r="AY70" s="37"/>
      <c r="AZ70" s="37">
        <f>1440-1440</f>
        <v>0</v>
      </c>
      <c r="BA70" s="37">
        <f>+AR70+AS70+AU70+AW70+AY70+AZ70</f>
        <v>0</v>
      </c>
      <c r="BB70" s="50"/>
      <c r="BC70" s="51"/>
      <c r="BD70" s="51"/>
      <c r="BE70" s="33"/>
      <c r="BF70" s="51"/>
    </row>
    <row r="71" spans="1:58" ht="12.95" customHeight="1">
      <c r="A71" s="40"/>
      <c r="B71" s="41"/>
      <c r="C71" s="414"/>
      <c r="D71" s="41"/>
      <c r="E71" s="42"/>
      <c r="F71" s="42"/>
      <c r="G71" s="43"/>
      <c r="H71" s="44"/>
      <c r="I71" s="45"/>
      <c r="J71" s="82"/>
      <c r="K71" s="82"/>
      <c r="L71" s="35"/>
      <c r="M71" s="35"/>
      <c r="N71" s="46"/>
      <c r="O71" s="47"/>
      <c r="P71" s="48"/>
      <c r="Q71" s="47"/>
      <c r="R71" s="500"/>
      <c r="S71" s="500"/>
      <c r="T71" s="37"/>
      <c r="U71" s="37"/>
      <c r="V71" s="37"/>
      <c r="W71" s="37"/>
      <c r="X71" s="501"/>
      <c r="Y71" s="211"/>
      <c r="Z71" s="37"/>
      <c r="AA71" s="49"/>
      <c r="AB71" s="49"/>
      <c r="AC71" s="37"/>
      <c r="AD71" s="37"/>
      <c r="AE71" s="229"/>
      <c r="AF71" s="37"/>
      <c r="AG71" s="37"/>
      <c r="AH71" s="37"/>
      <c r="AI71" s="37"/>
      <c r="AJ71" s="37"/>
      <c r="AK71" s="37"/>
      <c r="AL71" s="37"/>
      <c r="AM71" s="37"/>
      <c r="AN71" s="37"/>
      <c r="AO71" s="37"/>
      <c r="AP71" s="37"/>
      <c r="AQ71" s="37"/>
      <c r="AR71" s="37"/>
      <c r="AS71" s="37"/>
      <c r="AT71" s="37"/>
      <c r="AU71" s="37"/>
      <c r="AV71" s="37"/>
      <c r="AW71" s="37"/>
      <c r="AX71" s="37"/>
      <c r="AY71" s="37"/>
      <c r="AZ71" s="37"/>
      <c r="BA71" s="37"/>
      <c r="BB71" s="33"/>
      <c r="BC71" s="51"/>
      <c r="BD71" s="51"/>
      <c r="BE71" s="33"/>
      <c r="BF71" s="51"/>
    </row>
    <row r="72" spans="1:58" ht="12.75" customHeight="1">
      <c r="A72" s="40">
        <v>45973</v>
      </c>
      <c r="B72" s="41" t="s">
        <v>406</v>
      </c>
      <c r="C72" s="414">
        <f>(M72*E72*O72*Q72)/100000000</f>
        <v>0</v>
      </c>
      <c r="D72" s="41" t="s">
        <v>300</v>
      </c>
      <c r="E72" s="42">
        <v>12</v>
      </c>
      <c r="F72" s="42">
        <v>1</v>
      </c>
      <c r="G72" s="499">
        <v>1230</v>
      </c>
      <c r="H72" s="44">
        <f>+N72</f>
        <v>0.23417344173441734</v>
      </c>
      <c r="I72" s="45">
        <v>0.88</v>
      </c>
      <c r="J72" s="82">
        <f>E72*G72*(1-H72)*1440/1000000*2.74</f>
        <v>44.599484159999996</v>
      </c>
      <c r="K72" s="82">
        <f>(IF(G72&lt;L72,L72,G72)*(1-IF(H72&lt;N72,H72,N72))*E72*O72*Q72)/100000000</f>
        <v>0</v>
      </c>
      <c r="L72" s="35">
        <v>1230</v>
      </c>
      <c r="M72" s="35">
        <v>941.9666666666667</v>
      </c>
      <c r="N72" s="46">
        <f>1-(M72/L72)</f>
        <v>0.23417344173441734</v>
      </c>
      <c r="O72" s="47">
        <f>+'Trim Rwd'!H26</f>
        <v>266</v>
      </c>
      <c r="P72" s="48">
        <f>O72*(Q72-R72-S72)</f>
        <v>0</v>
      </c>
      <c r="Q72" s="47">
        <f>1440-1440</f>
        <v>0</v>
      </c>
      <c r="R72" s="500">
        <f>1440-1440</f>
        <v>0</v>
      </c>
      <c r="S72" s="500">
        <v>0</v>
      </c>
      <c r="T72" s="37">
        <f>E72*M72*O72*Q72/100000000</f>
        <v>0</v>
      </c>
      <c r="U72" s="37">
        <f>E72*M72*O72*(Q72-R72-S72)/100000000</f>
        <v>0</v>
      </c>
      <c r="V72" s="37">
        <f>E72*G72*(1-N72)*O72/100*(R72+S72)/1000000</f>
        <v>0</v>
      </c>
      <c r="W72" s="37">
        <v>0</v>
      </c>
      <c r="X72" s="501" t="e">
        <f>SUM(W72:W76)/SUM(K72:K76)</f>
        <v>#DIV/0!</v>
      </c>
      <c r="Y72" s="211">
        <v>0</v>
      </c>
      <c r="Z72" s="37">
        <v>0</v>
      </c>
      <c r="AA72" s="49">
        <f>SUM(U72:U76)-SUM(W72:W76)-SUM(Z72:Z76)-SUM(Y72:Y76)</f>
        <v>0</v>
      </c>
      <c r="AB72" s="49">
        <f>(SUM(K72:K76)-SUM(W72:W76)-SUM(Y72:Y76)-SUM(Z72:Z76)-SUM(AC72:AC76)-SUM(V72:V76))-AA72</f>
        <v>0</v>
      </c>
      <c r="AC72" s="37">
        <f>K72-T72</f>
        <v>0</v>
      </c>
      <c r="AD72" s="37">
        <f>+AM72+BA72</f>
        <v>0</v>
      </c>
      <c r="AE72" s="229" t="s">
        <v>384</v>
      </c>
      <c r="AF72" s="37">
        <v>0</v>
      </c>
      <c r="AG72" s="37"/>
      <c r="AH72" s="37"/>
      <c r="AI72" s="502"/>
      <c r="AJ72" s="37"/>
      <c r="AK72" s="37"/>
      <c r="AL72" s="37"/>
      <c r="AM72" s="37">
        <f t="shared" ref="AM72:AM76" si="21">SUM(AF72:AL72)+AT72+AV72+AX72</f>
        <v>0</v>
      </c>
      <c r="AN72" s="37"/>
      <c r="AO72" s="37"/>
      <c r="AP72" s="37"/>
      <c r="AQ72" s="37"/>
      <c r="AR72" s="37">
        <f>SUM(AN72:AQ72)</f>
        <v>0</v>
      </c>
      <c r="AS72" s="37"/>
      <c r="AT72" s="37"/>
      <c r="AU72" s="37"/>
      <c r="AV72" s="37"/>
      <c r="AW72" s="37"/>
      <c r="AX72" s="37"/>
      <c r="AY72" s="37"/>
      <c r="AZ72" s="37"/>
      <c r="BA72" s="37">
        <f>+AR72+AS72+AU72+AW72+AY72+AZ72</f>
        <v>0</v>
      </c>
      <c r="BB72" s="33">
        <v>0</v>
      </c>
      <c r="BC72" s="51"/>
      <c r="BD72" s="51"/>
      <c r="BE72" s="33"/>
      <c r="BF72" s="51"/>
    </row>
    <row r="73" spans="1:58" ht="12.95" customHeight="1">
      <c r="A73" s="40"/>
      <c r="B73" s="41"/>
      <c r="C73" s="414"/>
      <c r="D73" s="41"/>
      <c r="E73" s="42"/>
      <c r="F73" s="42"/>
      <c r="G73" s="499"/>
      <c r="H73" s="44"/>
      <c r="I73" s="45"/>
      <c r="J73" s="82"/>
      <c r="K73" s="82"/>
      <c r="L73" s="35"/>
      <c r="M73" s="35"/>
      <c r="N73" s="46"/>
      <c r="O73" s="47"/>
      <c r="P73" s="48"/>
      <c r="Q73" s="47"/>
      <c r="R73" s="500"/>
      <c r="S73" s="500"/>
      <c r="T73" s="37"/>
      <c r="U73" s="37"/>
      <c r="V73" s="37"/>
      <c r="W73" s="37"/>
      <c r="X73" s="38"/>
      <c r="Y73" s="211"/>
      <c r="Z73" s="37"/>
      <c r="AA73" s="37"/>
      <c r="AB73" s="37"/>
      <c r="AC73" s="37"/>
      <c r="AD73" s="37">
        <f>+AM73+BA73</f>
        <v>0</v>
      </c>
      <c r="AE73" s="229" t="s">
        <v>282</v>
      </c>
      <c r="AF73" s="37"/>
      <c r="AG73" s="37">
        <v>0</v>
      </c>
      <c r="AH73" s="37"/>
      <c r="AI73" s="502"/>
      <c r="AJ73" s="37"/>
      <c r="AK73" s="37"/>
      <c r="AL73" s="37"/>
      <c r="AM73" s="37">
        <f t="shared" si="21"/>
        <v>0</v>
      </c>
      <c r="AN73" s="83"/>
      <c r="AO73" s="37"/>
      <c r="AP73" s="37"/>
      <c r="AQ73" s="37"/>
      <c r="AR73" s="37">
        <f t="shared" ref="AR73:AR76" si="22">SUM(AN73:AQ73)</f>
        <v>0</v>
      </c>
      <c r="AS73" s="37"/>
      <c r="AT73" s="37"/>
      <c r="AU73" s="37"/>
      <c r="AV73" s="37"/>
      <c r="AW73" s="37"/>
      <c r="AX73" s="37"/>
      <c r="AY73" s="37"/>
      <c r="AZ73" s="37"/>
      <c r="BA73" s="37">
        <f>+AR73+AS73+AU73+AW73+AY73+AZ73</f>
        <v>0</v>
      </c>
      <c r="BB73" s="50"/>
      <c r="BC73" s="51">
        <v>0</v>
      </c>
      <c r="BD73" s="51"/>
      <c r="BE73" s="50"/>
      <c r="BF73" s="51"/>
    </row>
    <row r="74" spans="1:58" ht="12.95" customHeight="1">
      <c r="A74" s="40"/>
      <c r="B74" s="41"/>
      <c r="C74" s="414"/>
      <c r="D74" s="41"/>
      <c r="E74" s="42"/>
      <c r="F74" s="42"/>
      <c r="G74" s="43"/>
      <c r="H74" s="44"/>
      <c r="I74" s="45"/>
      <c r="J74" s="82"/>
      <c r="K74" s="82"/>
      <c r="L74" s="35"/>
      <c r="M74" s="35"/>
      <c r="N74" s="46"/>
      <c r="O74" s="47"/>
      <c r="P74" s="48"/>
      <c r="Q74" s="47"/>
      <c r="R74" s="500"/>
      <c r="S74" s="500"/>
      <c r="T74" s="37"/>
      <c r="U74" s="37"/>
      <c r="V74" s="37"/>
      <c r="W74" s="37"/>
      <c r="X74" s="38"/>
      <c r="Y74" s="211"/>
      <c r="Z74" s="37"/>
      <c r="AA74" s="37"/>
      <c r="AB74" s="37"/>
      <c r="AC74" s="37"/>
      <c r="AD74" s="37">
        <f>+AM74+BA74</f>
        <v>0</v>
      </c>
      <c r="AE74" s="229" t="s">
        <v>408</v>
      </c>
      <c r="AF74" s="33"/>
      <c r="AG74" s="33"/>
      <c r="AH74" s="33">
        <v>0</v>
      </c>
      <c r="AJ74" s="37"/>
      <c r="AK74" s="37"/>
      <c r="AL74" s="37"/>
      <c r="AM74" s="37">
        <f t="shared" si="21"/>
        <v>0</v>
      </c>
      <c r="AN74" s="37"/>
      <c r="AO74" s="37"/>
      <c r="AP74" s="37"/>
      <c r="AQ74" s="37"/>
      <c r="AR74" s="37">
        <f t="shared" si="22"/>
        <v>0</v>
      </c>
      <c r="AS74" s="37"/>
      <c r="AT74" s="37"/>
      <c r="AU74" s="37"/>
      <c r="AV74" s="37"/>
      <c r="AW74" s="37"/>
      <c r="AX74" s="37"/>
      <c r="AY74" s="37"/>
      <c r="AZ74" s="37"/>
      <c r="BA74" s="37">
        <f>+AR74+AS74+AU74+AW74+AY74+AZ74</f>
        <v>0</v>
      </c>
      <c r="BB74" s="33"/>
      <c r="BC74" s="503"/>
      <c r="BD74" s="503"/>
      <c r="BE74" s="33"/>
      <c r="BF74" s="503"/>
    </row>
    <row r="75" spans="1:58" ht="12.95" customHeight="1">
      <c r="A75" s="40"/>
      <c r="B75" s="41"/>
      <c r="C75" s="414"/>
      <c r="D75" s="41"/>
      <c r="E75" s="42"/>
      <c r="F75" s="42"/>
      <c r="G75" s="43"/>
      <c r="H75" s="44"/>
      <c r="I75" s="45"/>
      <c r="J75" s="82"/>
      <c r="K75" s="82"/>
      <c r="L75" s="35"/>
      <c r="M75" s="35"/>
      <c r="N75" s="46"/>
      <c r="O75" s="47"/>
      <c r="P75" s="48"/>
      <c r="Q75" s="34"/>
      <c r="R75" s="500"/>
      <c r="S75" s="500"/>
      <c r="T75" s="37"/>
      <c r="U75" s="37"/>
      <c r="V75" s="37"/>
      <c r="W75" s="37"/>
      <c r="X75" s="38"/>
      <c r="Y75" s="211"/>
      <c r="Z75" s="37"/>
      <c r="AA75" s="37"/>
      <c r="AB75" s="37"/>
      <c r="AC75" s="37"/>
      <c r="AD75" s="37">
        <f>+AM75+BA75</f>
        <v>0</v>
      </c>
      <c r="AE75" s="232" t="s">
        <v>377</v>
      </c>
      <c r="AF75" s="37"/>
      <c r="AG75" s="37"/>
      <c r="AH75" s="37"/>
      <c r="AI75" s="502">
        <v>0</v>
      </c>
      <c r="AJ75" s="37"/>
      <c r="AK75" s="37"/>
      <c r="AL75" s="37"/>
      <c r="AM75" s="37">
        <f t="shared" si="21"/>
        <v>0</v>
      </c>
      <c r="AN75" s="37"/>
      <c r="AO75" s="37"/>
      <c r="AP75" s="37"/>
      <c r="AQ75" s="37"/>
      <c r="AR75" s="37">
        <f t="shared" si="22"/>
        <v>0</v>
      </c>
      <c r="AS75" s="37"/>
      <c r="AT75" s="37"/>
      <c r="AU75" s="37"/>
      <c r="AV75" s="37"/>
      <c r="AW75" s="37"/>
      <c r="AX75" s="37"/>
      <c r="AY75" s="37"/>
      <c r="AZ75" s="37"/>
      <c r="BA75" s="37">
        <f>+AR75+AS75+AU75+AW75+AY75+AZ75</f>
        <v>0</v>
      </c>
      <c r="BB75" s="50"/>
      <c r="BC75" s="51"/>
      <c r="BD75" s="51"/>
      <c r="BE75" s="50"/>
      <c r="BF75" s="51"/>
    </row>
    <row r="76" spans="1:58" ht="12.95" customHeight="1">
      <c r="A76" s="40"/>
      <c r="B76" s="41"/>
      <c r="C76" s="414"/>
      <c r="D76" s="41"/>
      <c r="E76" s="42"/>
      <c r="F76" s="42"/>
      <c r="G76" s="43"/>
      <c r="H76" s="44"/>
      <c r="I76" s="45"/>
      <c r="J76" s="82"/>
      <c r="K76" s="82"/>
      <c r="L76" s="35"/>
      <c r="M76" s="35"/>
      <c r="N76" s="46"/>
      <c r="O76" s="47"/>
      <c r="P76" s="48"/>
      <c r="Q76" s="34"/>
      <c r="R76" s="500"/>
      <c r="S76" s="500"/>
      <c r="T76" s="37"/>
      <c r="U76" s="37"/>
      <c r="V76" s="37"/>
      <c r="W76" s="37"/>
      <c r="X76" s="38"/>
      <c r="Y76" s="211"/>
      <c r="Z76" s="37"/>
      <c r="AA76" s="37"/>
      <c r="AB76" s="37"/>
      <c r="AC76" s="37"/>
      <c r="AD76" s="37">
        <f>+AM76+BA76</f>
        <v>0</v>
      </c>
      <c r="AE76" s="232" t="s">
        <v>409</v>
      </c>
      <c r="AF76" s="37"/>
      <c r="AG76" s="37"/>
      <c r="AH76" s="37"/>
      <c r="AI76" s="502"/>
      <c r="AJ76" s="37"/>
      <c r="AK76" s="37"/>
      <c r="AL76" s="37"/>
      <c r="AM76" s="37">
        <f t="shared" si="21"/>
        <v>0</v>
      </c>
      <c r="AN76" s="37"/>
      <c r="AO76" s="37"/>
      <c r="AP76" s="37"/>
      <c r="AQ76" s="37"/>
      <c r="AR76" s="37">
        <f t="shared" si="22"/>
        <v>0</v>
      </c>
      <c r="AS76" s="37"/>
      <c r="AT76" s="37"/>
      <c r="AU76" s="37"/>
      <c r="AV76" s="37"/>
      <c r="AW76" s="37"/>
      <c r="AX76" s="37"/>
      <c r="AY76" s="37"/>
      <c r="AZ76" s="37">
        <f>1440-1440</f>
        <v>0</v>
      </c>
      <c r="BA76" s="37">
        <f>+AR76+AS76+AU76+AW76+AY76+AZ76</f>
        <v>0</v>
      </c>
      <c r="BB76" s="50"/>
      <c r="BC76" s="51"/>
      <c r="BD76" s="51"/>
      <c r="BE76" s="33"/>
      <c r="BF76" s="51"/>
    </row>
    <row r="77" spans="1:58" ht="12.95" customHeight="1">
      <c r="A77" s="40"/>
      <c r="B77" s="41"/>
      <c r="C77" s="414"/>
      <c r="D77" s="41"/>
      <c r="E77" s="42"/>
      <c r="F77" s="42"/>
      <c r="G77" s="43"/>
      <c r="H77" s="44"/>
      <c r="I77" s="45"/>
      <c r="J77" s="82"/>
      <c r="K77" s="82"/>
      <c r="L77" s="35"/>
      <c r="M77" s="35"/>
      <c r="N77" s="46"/>
      <c r="O77" s="47"/>
      <c r="P77" s="48"/>
      <c r="Q77" s="47"/>
      <c r="R77" s="500"/>
      <c r="S77" s="500"/>
      <c r="T77" s="37"/>
      <c r="U77" s="37"/>
      <c r="V77" s="37"/>
      <c r="W77" s="37"/>
      <c r="X77" s="38"/>
      <c r="Y77" s="211"/>
      <c r="Z77" s="37"/>
      <c r="AA77" s="49"/>
      <c r="AB77" s="49"/>
      <c r="AC77" s="37"/>
      <c r="AD77" s="37"/>
      <c r="AE77" s="232"/>
      <c r="AF77" s="37"/>
      <c r="AG77" s="37"/>
      <c r="AH77" s="37"/>
      <c r="AI77" s="37"/>
      <c r="AJ77" s="37"/>
      <c r="AK77" s="37"/>
      <c r="AL77" s="37"/>
      <c r="AM77" s="37"/>
      <c r="AN77" s="37"/>
      <c r="AO77" s="37"/>
      <c r="AP77" s="37"/>
      <c r="AQ77" s="37"/>
      <c r="AR77" s="37"/>
      <c r="AS77" s="37"/>
      <c r="AT77" s="37"/>
      <c r="AU77" s="37"/>
      <c r="AV77" s="37"/>
      <c r="AW77" s="37"/>
      <c r="AX77" s="37"/>
      <c r="AY77" s="37"/>
      <c r="AZ77" s="37"/>
      <c r="BA77" s="37"/>
      <c r="BB77" s="33"/>
      <c r="BC77" s="51"/>
      <c r="BD77" s="51"/>
      <c r="BE77" s="51"/>
      <c r="BF77" s="51"/>
    </row>
    <row r="78" spans="1:58" ht="12.75" customHeight="1">
      <c r="A78" s="40">
        <v>45974</v>
      </c>
      <c r="B78" s="41" t="s">
        <v>406</v>
      </c>
      <c r="C78" s="414">
        <f>(M78*E78*O78*Q78)/100000000</f>
        <v>0</v>
      </c>
      <c r="D78" s="41" t="s">
        <v>300</v>
      </c>
      <c r="E78" s="42">
        <v>12</v>
      </c>
      <c r="F78" s="42">
        <v>1</v>
      </c>
      <c r="G78" s="499">
        <v>1230</v>
      </c>
      <c r="H78" s="44">
        <f>+N78</f>
        <v>0.23417344173441734</v>
      </c>
      <c r="I78" s="45">
        <v>0.88</v>
      </c>
      <c r="J78" s="82">
        <f>E78*G78*(1-H78)*1440/1000000*2.74</f>
        <v>44.599484159999996</v>
      </c>
      <c r="K78" s="82">
        <f>(IF(G78&lt;L78,L78,G78)*(1-IF(H78&lt;N78,H78,N78))*E78*O78*Q78)/100000000</f>
        <v>0</v>
      </c>
      <c r="L78" s="35">
        <v>1230</v>
      </c>
      <c r="M78" s="35">
        <v>941.9666666666667</v>
      </c>
      <c r="N78" s="46">
        <f>1-(M78/L78)</f>
        <v>0.23417344173441734</v>
      </c>
      <c r="O78" s="47">
        <f>+'Trim Rwd'!H28</f>
        <v>266</v>
      </c>
      <c r="P78" s="48">
        <f>O78*(Q78-R78-S78)</f>
        <v>0</v>
      </c>
      <c r="Q78" s="47">
        <f>1440-1440</f>
        <v>0</v>
      </c>
      <c r="R78" s="500">
        <f>1440-1440</f>
        <v>0</v>
      </c>
      <c r="S78" s="500">
        <v>0</v>
      </c>
      <c r="T78" s="37">
        <f>E78*M78*O78*Q78/100000000</f>
        <v>0</v>
      </c>
      <c r="U78" s="37">
        <f>E78*M78*O78*(Q78-R78-S78)/100000000</f>
        <v>0</v>
      </c>
      <c r="V78" s="37">
        <f>E78*G78*(1-N78)*O78/100*(R78+S78)/1000000</f>
        <v>0</v>
      </c>
      <c r="W78" s="37">
        <v>0</v>
      </c>
      <c r="X78" s="501" t="e">
        <f>SUM(W78:W82)/SUM(K78:K82)</f>
        <v>#DIV/0!</v>
      </c>
      <c r="Y78" s="211">
        <v>0</v>
      </c>
      <c r="Z78" s="37">
        <v>0</v>
      </c>
      <c r="AA78" s="49">
        <f>SUM(U78:U82)-SUM(W78:W82)-SUM(Z78:Z82)-SUM(Y78:Y82)</f>
        <v>0</v>
      </c>
      <c r="AB78" s="49">
        <f>(SUM(K78:K82)-SUM(W78:W82)-SUM(Y78:Y82)-SUM(Z78:Z82)-SUM(AC78:AC82)-SUM(V78:V82))-AA78</f>
        <v>0</v>
      </c>
      <c r="AC78" s="37">
        <f>K78-T78</f>
        <v>0</v>
      </c>
      <c r="AD78" s="37">
        <f>+AM78+BA78</f>
        <v>0</v>
      </c>
      <c r="AE78" s="229" t="s">
        <v>384</v>
      </c>
      <c r="AF78" s="37">
        <v>0</v>
      </c>
      <c r="AG78" s="37"/>
      <c r="AH78" s="37"/>
      <c r="AI78" s="502"/>
      <c r="AJ78" s="37"/>
      <c r="AK78" s="37"/>
      <c r="AL78" s="37"/>
      <c r="AM78" s="37">
        <f t="shared" ref="AM78:AM82" si="23">SUM(AF78:AL78)+AT78+AV78+AX78</f>
        <v>0</v>
      </c>
      <c r="AN78" s="37"/>
      <c r="AO78" s="37"/>
      <c r="AP78" s="37"/>
      <c r="AQ78" s="37"/>
      <c r="AR78" s="37">
        <f>SUM(AN78:AQ78)</f>
        <v>0</v>
      </c>
      <c r="AS78" s="37"/>
      <c r="AT78" s="37"/>
      <c r="AU78" s="37"/>
      <c r="AV78" s="37"/>
      <c r="AW78" s="37"/>
      <c r="AX78" s="37"/>
      <c r="AY78" s="37"/>
      <c r="AZ78" s="37"/>
      <c r="BA78" s="37">
        <f>+AR78+AS78+AU78+AW78+AY78+AZ78</f>
        <v>0</v>
      </c>
      <c r="BB78" s="33">
        <v>0</v>
      </c>
      <c r="BC78" s="51"/>
      <c r="BD78" s="51"/>
      <c r="BE78" s="33"/>
      <c r="BF78" s="51"/>
    </row>
    <row r="79" spans="1:58" ht="12.95" customHeight="1">
      <c r="A79" s="40"/>
      <c r="B79" s="41"/>
      <c r="C79" s="414"/>
      <c r="D79" s="41"/>
      <c r="E79" s="42"/>
      <c r="F79" s="42"/>
      <c r="G79" s="499"/>
      <c r="H79" s="44"/>
      <c r="I79" s="45"/>
      <c r="J79" s="82"/>
      <c r="K79" s="82"/>
      <c r="L79" s="35"/>
      <c r="M79" s="35"/>
      <c r="N79" s="46"/>
      <c r="O79" s="47"/>
      <c r="P79" s="48"/>
      <c r="Q79" s="47"/>
      <c r="R79" s="500"/>
      <c r="S79" s="500"/>
      <c r="T79" s="37"/>
      <c r="U79" s="37"/>
      <c r="V79" s="37"/>
      <c r="W79" s="37"/>
      <c r="X79" s="38"/>
      <c r="Y79" s="211"/>
      <c r="Z79" s="37"/>
      <c r="AA79" s="37"/>
      <c r="AB79" s="37"/>
      <c r="AC79" s="37"/>
      <c r="AD79" s="37">
        <f>+AM79+BA79</f>
        <v>0</v>
      </c>
      <c r="AE79" s="229" t="s">
        <v>282</v>
      </c>
      <c r="AF79" s="37"/>
      <c r="AG79" s="37">
        <v>0</v>
      </c>
      <c r="AH79" s="37"/>
      <c r="AI79" s="502"/>
      <c r="AJ79" s="37"/>
      <c r="AK79" s="37"/>
      <c r="AL79" s="37"/>
      <c r="AM79" s="37">
        <f t="shared" si="23"/>
        <v>0</v>
      </c>
      <c r="AN79" s="83"/>
      <c r="AO79" s="37"/>
      <c r="AP79" s="37"/>
      <c r="AQ79" s="37"/>
      <c r="AR79" s="37">
        <f t="shared" ref="AR79:AR82" si="24">SUM(AN79:AQ79)</f>
        <v>0</v>
      </c>
      <c r="AS79" s="37"/>
      <c r="AT79" s="37"/>
      <c r="AU79" s="37"/>
      <c r="AV79" s="37"/>
      <c r="AW79" s="37"/>
      <c r="AX79" s="37"/>
      <c r="AY79" s="37"/>
      <c r="AZ79" s="37"/>
      <c r="BA79" s="37">
        <f>+AR79+AS79+AU79+AW79+AY79+AZ79</f>
        <v>0</v>
      </c>
      <c r="BB79" s="50"/>
      <c r="BC79" s="51">
        <v>0</v>
      </c>
      <c r="BD79" s="51"/>
      <c r="BE79" s="50"/>
      <c r="BF79" s="51"/>
    </row>
    <row r="80" spans="1:58" ht="12.95" customHeight="1">
      <c r="A80" s="40"/>
      <c r="B80" s="41"/>
      <c r="C80" s="414"/>
      <c r="D80" s="41"/>
      <c r="E80" s="42"/>
      <c r="F80" s="42"/>
      <c r="G80" s="43"/>
      <c r="H80" s="44"/>
      <c r="I80" s="45"/>
      <c r="J80" s="82"/>
      <c r="K80" s="82"/>
      <c r="L80" s="35"/>
      <c r="M80" s="35"/>
      <c r="N80" s="46"/>
      <c r="O80" s="47"/>
      <c r="P80" s="48"/>
      <c r="Q80" s="47"/>
      <c r="R80" s="500"/>
      <c r="S80" s="500"/>
      <c r="T80" s="37"/>
      <c r="U80" s="37"/>
      <c r="V80" s="37"/>
      <c r="W80" s="37"/>
      <c r="X80" s="38"/>
      <c r="Y80" s="211"/>
      <c r="Z80" s="37"/>
      <c r="AA80" s="37"/>
      <c r="AB80" s="37"/>
      <c r="AC80" s="37"/>
      <c r="AD80" s="37">
        <f>+AM80+BA80</f>
        <v>0</v>
      </c>
      <c r="AE80" s="229" t="s">
        <v>408</v>
      </c>
      <c r="AF80" s="33"/>
      <c r="AG80" s="33"/>
      <c r="AH80" s="33">
        <v>0</v>
      </c>
      <c r="AJ80" s="37"/>
      <c r="AK80" s="37"/>
      <c r="AL80" s="37"/>
      <c r="AM80" s="37">
        <f t="shared" si="23"/>
        <v>0</v>
      </c>
      <c r="AN80" s="37"/>
      <c r="AO80" s="37"/>
      <c r="AP80" s="37"/>
      <c r="AQ80" s="37"/>
      <c r="AR80" s="37">
        <f t="shared" si="24"/>
        <v>0</v>
      </c>
      <c r="AS80" s="37"/>
      <c r="AT80" s="37"/>
      <c r="AU80" s="37"/>
      <c r="AV80" s="37"/>
      <c r="AW80" s="37"/>
      <c r="AX80" s="37"/>
      <c r="AY80" s="37"/>
      <c r="AZ80" s="37"/>
      <c r="BA80" s="37">
        <f>+AR80+AS80+AU80+AW80+AY80+AZ80</f>
        <v>0</v>
      </c>
      <c r="BB80" s="33"/>
      <c r="BC80" s="503"/>
      <c r="BD80" s="503"/>
      <c r="BE80" s="33"/>
      <c r="BF80" s="503"/>
    </row>
    <row r="81" spans="1:58" ht="12.95" customHeight="1">
      <c r="A81" s="40"/>
      <c r="B81" s="41"/>
      <c r="C81" s="414"/>
      <c r="D81" s="41"/>
      <c r="E81" s="42"/>
      <c r="F81" s="42"/>
      <c r="G81" s="43"/>
      <c r="H81" s="44"/>
      <c r="I81" s="45"/>
      <c r="J81" s="82"/>
      <c r="K81" s="82"/>
      <c r="L81" s="35"/>
      <c r="M81" s="35"/>
      <c r="N81" s="46"/>
      <c r="O81" s="47"/>
      <c r="P81" s="48"/>
      <c r="Q81" s="34"/>
      <c r="R81" s="500"/>
      <c r="S81" s="500"/>
      <c r="T81" s="37"/>
      <c r="U81" s="37"/>
      <c r="V81" s="37"/>
      <c r="W81" s="37"/>
      <c r="X81" s="38"/>
      <c r="Y81" s="211"/>
      <c r="Z81" s="37"/>
      <c r="AA81" s="37"/>
      <c r="AB81" s="37"/>
      <c r="AC81" s="37"/>
      <c r="AD81" s="37">
        <f>+AM81+BA81</f>
        <v>0</v>
      </c>
      <c r="AE81" s="232" t="s">
        <v>377</v>
      </c>
      <c r="AF81" s="37"/>
      <c r="AG81" s="37"/>
      <c r="AH81" s="37"/>
      <c r="AI81" s="502">
        <v>0</v>
      </c>
      <c r="AJ81" s="37"/>
      <c r="AK81" s="37"/>
      <c r="AL81" s="37"/>
      <c r="AM81" s="37">
        <f t="shared" si="23"/>
        <v>0</v>
      </c>
      <c r="AN81" s="37"/>
      <c r="AO81" s="37"/>
      <c r="AP81" s="37"/>
      <c r="AQ81" s="37"/>
      <c r="AR81" s="37">
        <f t="shared" si="24"/>
        <v>0</v>
      </c>
      <c r="AS81" s="37"/>
      <c r="AT81" s="37"/>
      <c r="AU81" s="37"/>
      <c r="AV81" s="37"/>
      <c r="AW81" s="37"/>
      <c r="AX81" s="37"/>
      <c r="AY81" s="37"/>
      <c r="AZ81" s="37"/>
      <c r="BA81" s="37">
        <f>+AR81+AS81+AU81+AW81+AY81+AZ81</f>
        <v>0</v>
      </c>
      <c r="BB81" s="50"/>
      <c r="BC81" s="51"/>
      <c r="BD81" s="51"/>
      <c r="BE81" s="50"/>
      <c r="BF81" s="51"/>
    </row>
    <row r="82" spans="1:58" ht="12.95" customHeight="1">
      <c r="A82" s="40"/>
      <c r="B82" s="41"/>
      <c r="C82" s="414"/>
      <c r="D82" s="41"/>
      <c r="E82" s="42"/>
      <c r="F82" s="42"/>
      <c r="G82" s="43"/>
      <c r="H82" s="44"/>
      <c r="I82" s="45"/>
      <c r="J82" s="82"/>
      <c r="K82" s="82"/>
      <c r="L82" s="35"/>
      <c r="M82" s="35"/>
      <c r="N82" s="46"/>
      <c r="O82" s="47"/>
      <c r="P82" s="48"/>
      <c r="Q82" s="34"/>
      <c r="R82" s="500"/>
      <c r="S82" s="500"/>
      <c r="T82" s="37"/>
      <c r="U82" s="37"/>
      <c r="V82" s="37"/>
      <c r="W82" s="37"/>
      <c r="X82" s="38"/>
      <c r="Y82" s="211"/>
      <c r="Z82" s="37"/>
      <c r="AA82" s="37"/>
      <c r="AB82" s="37"/>
      <c r="AC82" s="37"/>
      <c r="AD82" s="37">
        <f>+AM82+BA82</f>
        <v>0</v>
      </c>
      <c r="AE82" s="232" t="s">
        <v>409</v>
      </c>
      <c r="AF82" s="37"/>
      <c r="AG82" s="37"/>
      <c r="AH82" s="37"/>
      <c r="AI82" s="502"/>
      <c r="AJ82" s="37"/>
      <c r="AK82" s="37"/>
      <c r="AL82" s="37"/>
      <c r="AM82" s="37">
        <f t="shared" si="23"/>
        <v>0</v>
      </c>
      <c r="AN82" s="37"/>
      <c r="AO82" s="37"/>
      <c r="AP82" s="37"/>
      <c r="AQ82" s="37"/>
      <c r="AR82" s="37">
        <f t="shared" si="24"/>
        <v>0</v>
      </c>
      <c r="AS82" s="37"/>
      <c r="AT82" s="37"/>
      <c r="AU82" s="37"/>
      <c r="AV82" s="37"/>
      <c r="AW82" s="37"/>
      <c r="AX82" s="37"/>
      <c r="AY82" s="37"/>
      <c r="AZ82" s="37">
        <f>1440-1440</f>
        <v>0</v>
      </c>
      <c r="BA82" s="37">
        <f>+AR82+AS82+AU82+AW82+AY82+AZ82</f>
        <v>0</v>
      </c>
      <c r="BB82" s="50"/>
      <c r="BC82" s="51"/>
      <c r="BD82" s="51"/>
      <c r="BE82" s="33"/>
      <c r="BF82" s="51"/>
    </row>
    <row r="83" spans="1:58" ht="13.5" customHeight="1">
      <c r="A83" s="40"/>
      <c r="B83" s="41"/>
      <c r="C83" s="414"/>
      <c r="D83" s="41"/>
      <c r="E83" s="42"/>
      <c r="F83" s="42"/>
      <c r="G83" s="499"/>
      <c r="H83" s="44"/>
      <c r="I83" s="45"/>
      <c r="J83" s="82"/>
      <c r="K83" s="82"/>
      <c r="L83" s="35"/>
      <c r="M83" s="35"/>
      <c r="N83" s="46"/>
      <c r="O83" s="47"/>
      <c r="P83" s="48"/>
      <c r="Q83" s="47"/>
      <c r="R83" s="500"/>
      <c r="S83" s="500"/>
      <c r="T83" s="37"/>
      <c r="U83" s="37"/>
      <c r="V83" s="37"/>
      <c r="W83" s="37"/>
      <c r="X83" s="501"/>
      <c r="Y83" s="211"/>
      <c r="Z83" s="37"/>
      <c r="AA83" s="49"/>
      <c r="AB83" s="49"/>
      <c r="AC83" s="37"/>
      <c r="AD83" s="37"/>
      <c r="AE83" s="229"/>
      <c r="AF83" s="37"/>
      <c r="AG83" s="37"/>
      <c r="AH83" s="37"/>
      <c r="AI83" s="502"/>
      <c r="AJ83" s="37"/>
      <c r="AK83" s="37"/>
      <c r="AL83" s="37"/>
      <c r="AM83" s="37"/>
      <c r="AN83" s="37"/>
      <c r="AO83" s="37"/>
      <c r="AP83" s="37"/>
      <c r="AQ83" s="37"/>
      <c r="AR83" s="37"/>
      <c r="AS83" s="37"/>
      <c r="AT83" s="37"/>
      <c r="AU83" s="37"/>
      <c r="AV83" s="37"/>
      <c r="AW83" s="37"/>
      <c r="AX83" s="37"/>
      <c r="AY83" s="37"/>
      <c r="AZ83" s="37"/>
      <c r="BA83" s="37"/>
      <c r="BB83" s="33"/>
      <c r="BC83" s="51"/>
      <c r="BD83" s="51"/>
      <c r="BE83" s="51"/>
      <c r="BF83" s="51"/>
    </row>
    <row r="84" spans="1:58" ht="12.75" customHeight="1">
      <c r="A84" s="40">
        <v>45975</v>
      </c>
      <c r="B84" s="41" t="s">
        <v>406</v>
      </c>
      <c r="C84" s="414">
        <f>(M84*E84*O84*Q84)/100000000</f>
        <v>0</v>
      </c>
      <c r="D84" s="41" t="s">
        <v>300</v>
      </c>
      <c r="E84" s="42">
        <v>12</v>
      </c>
      <c r="F84" s="42">
        <v>1</v>
      </c>
      <c r="G84" s="499">
        <v>1230</v>
      </c>
      <c r="H84" s="44">
        <f>+N84</f>
        <v>0.23417344173441734</v>
      </c>
      <c r="I84" s="45">
        <v>0.88</v>
      </c>
      <c r="J84" s="82">
        <f>E84*G84*(1-H84)*1440/1000000*2.74</f>
        <v>44.599484159999996</v>
      </c>
      <c r="K84" s="82">
        <f>(IF(G84&lt;L84,L84,G84)*(1-IF(H84&lt;N84,H84,N84))*E84*O84*Q84)/100000000</f>
        <v>0</v>
      </c>
      <c r="L84" s="35">
        <v>1230</v>
      </c>
      <c r="M84" s="35">
        <v>941.9666666666667</v>
      </c>
      <c r="N84" s="46">
        <f>1-(M84/L84)</f>
        <v>0.23417344173441734</v>
      </c>
      <c r="O84" s="47">
        <f>+'Trim Rwd'!H30</f>
        <v>266</v>
      </c>
      <c r="P84" s="48">
        <f>O84*(Q84-R84-S84)</f>
        <v>0</v>
      </c>
      <c r="Q84" s="47">
        <f>1440-1440</f>
        <v>0</v>
      </c>
      <c r="R84" s="500">
        <f>1440-1440</f>
        <v>0</v>
      </c>
      <c r="S84" s="500">
        <v>0</v>
      </c>
      <c r="T84" s="37">
        <f>E84*M84*O84*Q84/100000000</f>
        <v>0</v>
      </c>
      <c r="U84" s="37">
        <f>E84*M84*O84*(Q84-R84-S84)/100000000</f>
        <v>0</v>
      </c>
      <c r="V84" s="37">
        <f>E84*G84*(1-N84)*O84/100*(R84+S84)/1000000</f>
        <v>0</v>
      </c>
      <c r="W84" s="37">
        <v>0</v>
      </c>
      <c r="X84" s="501" t="e">
        <f>SUM(W84:W88)/SUM(K84:K88)</f>
        <v>#DIV/0!</v>
      </c>
      <c r="Y84" s="211">
        <v>0</v>
      </c>
      <c r="Z84" s="37">
        <v>0</v>
      </c>
      <c r="AA84" s="49">
        <f>SUM(U84:U88)-SUM(W84:W88)-SUM(Z84:Z88)-SUM(Y84:Y88)</f>
        <v>0</v>
      </c>
      <c r="AB84" s="49">
        <f>(SUM(K84:K88)-SUM(W84:W88)-SUM(Y84:Y88)-SUM(Z84:Z88)-SUM(AC84:AC88)-SUM(V84:V88))-AA84</f>
        <v>0</v>
      </c>
      <c r="AC84" s="37">
        <f>K84-T84</f>
        <v>0</v>
      </c>
      <c r="AD84" s="37">
        <f>+AM84+BA84</f>
        <v>0</v>
      </c>
      <c r="AE84" s="229" t="s">
        <v>384</v>
      </c>
      <c r="AF84" s="37">
        <v>0</v>
      </c>
      <c r="AG84" s="37"/>
      <c r="AH84" s="37"/>
      <c r="AI84" s="502"/>
      <c r="AJ84" s="37"/>
      <c r="AK84" s="37"/>
      <c r="AL84" s="37"/>
      <c r="AM84" s="37">
        <f t="shared" ref="AM84:AM88" si="25">SUM(AF84:AL84)+AT84+AV84+AX84</f>
        <v>0</v>
      </c>
      <c r="AN84" s="37"/>
      <c r="AO84" s="37"/>
      <c r="AP84" s="37"/>
      <c r="AQ84" s="37"/>
      <c r="AR84" s="37">
        <f>SUM(AN84:AQ84)</f>
        <v>0</v>
      </c>
      <c r="AS84" s="37"/>
      <c r="AT84" s="37"/>
      <c r="AU84" s="37"/>
      <c r="AV84" s="37"/>
      <c r="AW84" s="37"/>
      <c r="AX84" s="37"/>
      <c r="AY84" s="37"/>
      <c r="AZ84" s="37"/>
      <c r="BA84" s="37">
        <f>+AR84+AS84+AU84+AW84+AY84+AZ84</f>
        <v>0</v>
      </c>
      <c r="BB84" s="33">
        <v>0</v>
      </c>
      <c r="BC84" s="51"/>
      <c r="BD84" s="51"/>
      <c r="BE84" s="33"/>
      <c r="BF84" s="51"/>
    </row>
    <row r="85" spans="1:58" ht="12.95" customHeight="1">
      <c r="A85" s="40"/>
      <c r="B85" s="41"/>
      <c r="C85" s="414"/>
      <c r="D85" s="41"/>
      <c r="E85" s="42"/>
      <c r="F85" s="42"/>
      <c r="G85" s="499"/>
      <c r="H85" s="44"/>
      <c r="I85" s="45"/>
      <c r="J85" s="82"/>
      <c r="K85" s="82"/>
      <c r="L85" s="35"/>
      <c r="M85" s="35"/>
      <c r="N85" s="46"/>
      <c r="O85" s="47"/>
      <c r="P85" s="48"/>
      <c r="Q85" s="47"/>
      <c r="R85" s="500"/>
      <c r="S85" s="500"/>
      <c r="T85" s="37"/>
      <c r="U85" s="37"/>
      <c r="V85" s="37"/>
      <c r="W85" s="37"/>
      <c r="X85" s="38"/>
      <c r="Y85" s="211"/>
      <c r="Z85" s="37"/>
      <c r="AA85" s="37"/>
      <c r="AB85" s="37"/>
      <c r="AC85" s="37"/>
      <c r="AD85" s="37">
        <f>+AM85+BA85</f>
        <v>0</v>
      </c>
      <c r="AE85" s="229" t="s">
        <v>282</v>
      </c>
      <c r="AF85" s="37"/>
      <c r="AG85" s="37">
        <v>0</v>
      </c>
      <c r="AH85" s="37"/>
      <c r="AI85" s="502"/>
      <c r="AJ85" s="37"/>
      <c r="AK85" s="37"/>
      <c r="AL85" s="37"/>
      <c r="AM85" s="37">
        <f t="shared" si="25"/>
        <v>0</v>
      </c>
      <c r="AN85" s="83"/>
      <c r="AO85" s="37"/>
      <c r="AP85" s="37"/>
      <c r="AQ85" s="37"/>
      <c r="AR85" s="37">
        <f t="shared" ref="AR85:AR88" si="26">SUM(AN85:AQ85)</f>
        <v>0</v>
      </c>
      <c r="AS85" s="37"/>
      <c r="AT85" s="37"/>
      <c r="AU85" s="37"/>
      <c r="AV85" s="37"/>
      <c r="AW85" s="37"/>
      <c r="AX85" s="37"/>
      <c r="AY85" s="37"/>
      <c r="AZ85" s="37"/>
      <c r="BA85" s="37">
        <f>+AR85+AS85+AU85+AW85+AY85+AZ85</f>
        <v>0</v>
      </c>
      <c r="BB85" s="50"/>
      <c r="BC85" s="51">
        <v>0</v>
      </c>
      <c r="BD85" s="51"/>
      <c r="BE85" s="50"/>
      <c r="BF85" s="51"/>
    </row>
    <row r="86" spans="1:58" ht="12.95" customHeight="1">
      <c r="A86" s="40"/>
      <c r="B86" s="41"/>
      <c r="C86" s="414"/>
      <c r="D86" s="41"/>
      <c r="E86" s="42"/>
      <c r="F86" s="42"/>
      <c r="G86" s="43"/>
      <c r="H86" s="44"/>
      <c r="I86" s="45"/>
      <c r="J86" s="82"/>
      <c r="K86" s="82"/>
      <c r="L86" s="35"/>
      <c r="M86" s="35"/>
      <c r="N86" s="46"/>
      <c r="O86" s="47"/>
      <c r="P86" s="48"/>
      <c r="Q86" s="47"/>
      <c r="R86" s="500"/>
      <c r="S86" s="500"/>
      <c r="T86" s="37"/>
      <c r="U86" s="37"/>
      <c r="V86" s="37"/>
      <c r="W86" s="37"/>
      <c r="X86" s="38"/>
      <c r="Y86" s="211"/>
      <c r="Z86" s="37"/>
      <c r="AA86" s="37"/>
      <c r="AB86" s="37"/>
      <c r="AC86" s="37"/>
      <c r="AD86" s="37">
        <f>+AM86+BA86</f>
        <v>0</v>
      </c>
      <c r="AE86" s="229" t="s">
        <v>408</v>
      </c>
      <c r="AF86" s="33"/>
      <c r="AG86" s="33"/>
      <c r="AH86" s="33">
        <v>0</v>
      </c>
      <c r="AJ86" s="37"/>
      <c r="AK86" s="37"/>
      <c r="AL86" s="37"/>
      <c r="AM86" s="37">
        <f t="shared" si="25"/>
        <v>0</v>
      </c>
      <c r="AN86" s="37"/>
      <c r="AO86" s="37"/>
      <c r="AP86" s="37"/>
      <c r="AQ86" s="37"/>
      <c r="AR86" s="37">
        <f t="shared" si="26"/>
        <v>0</v>
      </c>
      <c r="AS86" s="37"/>
      <c r="AT86" s="37"/>
      <c r="AU86" s="37"/>
      <c r="AV86" s="37"/>
      <c r="AW86" s="37"/>
      <c r="AX86" s="37"/>
      <c r="AY86" s="37"/>
      <c r="AZ86" s="37"/>
      <c r="BA86" s="37">
        <f>+AR86+AS86+AU86+AW86+AY86+AZ86</f>
        <v>0</v>
      </c>
      <c r="BB86" s="33"/>
      <c r="BC86" s="503"/>
      <c r="BD86" s="503"/>
      <c r="BE86" s="33"/>
      <c r="BF86" s="503"/>
    </row>
    <row r="87" spans="1:58" ht="12.95" customHeight="1">
      <c r="A87" s="40"/>
      <c r="B87" s="41"/>
      <c r="C87" s="414"/>
      <c r="D87" s="41"/>
      <c r="E87" s="42"/>
      <c r="F87" s="42"/>
      <c r="G87" s="43"/>
      <c r="H87" s="44"/>
      <c r="I87" s="45"/>
      <c r="J87" s="82"/>
      <c r="K87" s="82"/>
      <c r="L87" s="35"/>
      <c r="M87" s="35"/>
      <c r="N87" s="46"/>
      <c r="O87" s="47"/>
      <c r="P87" s="48"/>
      <c r="Q87" s="34"/>
      <c r="R87" s="500"/>
      <c r="S87" s="500"/>
      <c r="T87" s="37"/>
      <c r="U87" s="37"/>
      <c r="V87" s="37"/>
      <c r="W87" s="37"/>
      <c r="X87" s="38"/>
      <c r="Y87" s="211"/>
      <c r="Z87" s="37"/>
      <c r="AA87" s="37"/>
      <c r="AB87" s="37"/>
      <c r="AC87" s="37"/>
      <c r="AD87" s="37">
        <f>+AM87+BA87</f>
        <v>0</v>
      </c>
      <c r="AE87" s="232" t="s">
        <v>377</v>
      </c>
      <c r="AF87" s="37"/>
      <c r="AG87" s="37"/>
      <c r="AH87" s="37"/>
      <c r="AI87" s="502">
        <v>0</v>
      </c>
      <c r="AJ87" s="37"/>
      <c r="AK87" s="37"/>
      <c r="AL87" s="37"/>
      <c r="AM87" s="37">
        <f t="shared" si="25"/>
        <v>0</v>
      </c>
      <c r="AN87" s="37"/>
      <c r="AO87" s="37"/>
      <c r="AP87" s="37"/>
      <c r="AQ87" s="37"/>
      <c r="AR87" s="37">
        <f t="shared" si="26"/>
        <v>0</v>
      </c>
      <c r="AS87" s="37"/>
      <c r="AT87" s="37"/>
      <c r="AU87" s="37"/>
      <c r="AV87" s="37"/>
      <c r="AW87" s="37"/>
      <c r="AX87" s="37"/>
      <c r="AY87" s="37"/>
      <c r="AZ87" s="37"/>
      <c r="BA87" s="37">
        <f>+AR87+AS87+AU87+AW87+AY87+AZ87</f>
        <v>0</v>
      </c>
      <c r="BB87" s="50"/>
      <c r="BC87" s="51"/>
      <c r="BD87" s="51"/>
      <c r="BE87" s="50"/>
      <c r="BF87" s="51"/>
    </row>
    <row r="88" spans="1:58" ht="12.95" customHeight="1">
      <c r="A88" s="40"/>
      <c r="B88" s="41"/>
      <c r="C88" s="414"/>
      <c r="D88" s="41"/>
      <c r="E88" s="42"/>
      <c r="F88" s="42"/>
      <c r="G88" s="43"/>
      <c r="H88" s="44"/>
      <c r="I88" s="45"/>
      <c r="J88" s="82"/>
      <c r="K88" s="82"/>
      <c r="L88" s="35"/>
      <c r="M88" s="35"/>
      <c r="N88" s="46"/>
      <c r="O88" s="47"/>
      <c r="P88" s="48"/>
      <c r="Q88" s="34"/>
      <c r="R88" s="500"/>
      <c r="S88" s="500"/>
      <c r="T88" s="37"/>
      <c r="U88" s="37"/>
      <c r="V88" s="37"/>
      <c r="W88" s="37"/>
      <c r="X88" s="38"/>
      <c r="Y88" s="211"/>
      <c r="Z88" s="37"/>
      <c r="AA88" s="37"/>
      <c r="AB88" s="37"/>
      <c r="AC88" s="37"/>
      <c r="AD88" s="37">
        <f>+AM88+BA88</f>
        <v>0</v>
      </c>
      <c r="AE88" s="232" t="s">
        <v>409</v>
      </c>
      <c r="AF88" s="37"/>
      <c r="AG88" s="37"/>
      <c r="AH88" s="37"/>
      <c r="AI88" s="502"/>
      <c r="AJ88" s="37"/>
      <c r="AK88" s="37"/>
      <c r="AL88" s="37"/>
      <c r="AM88" s="37">
        <f t="shared" si="25"/>
        <v>0</v>
      </c>
      <c r="AN88" s="37"/>
      <c r="AO88" s="37"/>
      <c r="AP88" s="37"/>
      <c r="AQ88" s="37"/>
      <c r="AR88" s="37">
        <f t="shared" si="26"/>
        <v>0</v>
      </c>
      <c r="AS88" s="37"/>
      <c r="AT88" s="37"/>
      <c r="AU88" s="37"/>
      <c r="AV88" s="37"/>
      <c r="AW88" s="37"/>
      <c r="AX88" s="37"/>
      <c r="AY88" s="37"/>
      <c r="AZ88" s="37">
        <f>1440-1440</f>
        <v>0</v>
      </c>
      <c r="BA88" s="37">
        <f>+AR88+AS88+AU88+AW88+AY88+AZ88</f>
        <v>0</v>
      </c>
      <c r="BB88" s="50"/>
      <c r="BC88" s="51"/>
      <c r="BD88" s="51"/>
      <c r="BE88" s="33"/>
      <c r="BF88" s="51"/>
    </row>
    <row r="89" spans="1:58" ht="12.95" customHeight="1">
      <c r="A89" s="40"/>
      <c r="B89" s="41"/>
      <c r="C89" s="414"/>
      <c r="D89" s="41"/>
      <c r="E89" s="42"/>
      <c r="F89" s="42"/>
      <c r="G89" s="499"/>
      <c r="H89" s="44"/>
      <c r="I89" s="45"/>
      <c r="J89" s="82"/>
      <c r="K89" s="82"/>
      <c r="L89" s="35"/>
      <c r="M89" s="35"/>
      <c r="N89" s="46"/>
      <c r="O89" s="47"/>
      <c r="P89" s="48"/>
      <c r="Q89" s="47"/>
      <c r="R89" s="500"/>
      <c r="S89" s="500"/>
      <c r="T89" s="37"/>
      <c r="U89" s="37"/>
      <c r="V89" s="37"/>
      <c r="W89" s="37"/>
      <c r="X89" s="38"/>
      <c r="Y89" s="211"/>
      <c r="Z89" s="37"/>
      <c r="AA89" s="37"/>
      <c r="AB89" s="37"/>
      <c r="AC89" s="37"/>
      <c r="AD89" s="37"/>
      <c r="AE89" s="229"/>
      <c r="AF89" s="37"/>
      <c r="AG89" s="37"/>
      <c r="AH89" s="37"/>
      <c r="AI89" s="502"/>
      <c r="AJ89" s="37"/>
      <c r="AK89" s="37"/>
      <c r="AL89" s="37"/>
      <c r="AM89" s="37"/>
      <c r="AN89" s="83"/>
      <c r="AO89" s="37"/>
      <c r="AP89" s="37"/>
      <c r="AQ89" s="37"/>
      <c r="AR89" s="37"/>
      <c r="AS89" s="37"/>
      <c r="AT89" s="37"/>
      <c r="AU89" s="37"/>
      <c r="AV89" s="37"/>
      <c r="AW89" s="37"/>
      <c r="AX89" s="37"/>
      <c r="AY89" s="37"/>
      <c r="AZ89" s="37"/>
      <c r="BA89" s="37"/>
      <c r="BB89" s="50"/>
      <c r="BC89" s="51"/>
      <c r="BD89" s="51"/>
      <c r="BE89" s="51"/>
      <c r="BF89" s="51"/>
    </row>
    <row r="90" spans="1:58" ht="12.75" customHeight="1">
      <c r="A90" s="40">
        <v>45976</v>
      </c>
      <c r="B90" s="41" t="s">
        <v>406</v>
      </c>
      <c r="C90" s="414">
        <f>(M90*E90*O90*Q90)/100000000</f>
        <v>0</v>
      </c>
      <c r="D90" s="41" t="s">
        <v>300</v>
      </c>
      <c r="E90" s="42">
        <v>12</v>
      </c>
      <c r="F90" s="42">
        <v>1</v>
      </c>
      <c r="G90" s="499">
        <v>1230</v>
      </c>
      <c r="H90" s="44">
        <f>+N90</f>
        <v>0.23417344173441734</v>
      </c>
      <c r="I90" s="45">
        <v>0.88</v>
      </c>
      <c r="J90" s="82">
        <f>E90*G90*(1-H90)*1440/1000000*2.74</f>
        <v>44.599484159999996</v>
      </c>
      <c r="K90" s="82">
        <f>(IF(G90&lt;L90,L90,G90)*(1-IF(H90&lt;N90,H90,N90))*E90*O90*Q90)/100000000</f>
        <v>0</v>
      </c>
      <c r="L90" s="35">
        <v>1230</v>
      </c>
      <c r="M90" s="35">
        <v>941.9666666666667</v>
      </c>
      <c r="N90" s="46">
        <f>1-(M90/L90)</f>
        <v>0.23417344173441734</v>
      </c>
      <c r="O90" s="47">
        <f>+'Trim Rwd'!H32</f>
        <v>266</v>
      </c>
      <c r="P90" s="48">
        <f>O90*(Q90-R90-S90)</f>
        <v>0</v>
      </c>
      <c r="Q90" s="47">
        <f>1440-1440</f>
        <v>0</v>
      </c>
      <c r="R90" s="500">
        <f>1440-1440</f>
        <v>0</v>
      </c>
      <c r="S90" s="500">
        <v>0</v>
      </c>
      <c r="T90" s="37">
        <f>E90*M90*O90*Q90/100000000</f>
        <v>0</v>
      </c>
      <c r="U90" s="37">
        <f>E90*M90*O90*(Q90-R90-S90)/100000000</f>
        <v>0</v>
      </c>
      <c r="V90" s="37">
        <f>E90*G90*(1-N90)*O90/100*(R90+S90)/1000000</f>
        <v>0</v>
      </c>
      <c r="W90" s="37">
        <v>0</v>
      </c>
      <c r="X90" s="501" t="e">
        <f>SUM(W90:W94)/SUM(K90:K94)</f>
        <v>#DIV/0!</v>
      </c>
      <c r="Y90" s="211">
        <v>0</v>
      </c>
      <c r="Z90" s="37">
        <v>0</v>
      </c>
      <c r="AA90" s="49">
        <f>SUM(U90:U94)-SUM(W90:W94)-SUM(Z90:Z94)-SUM(Y90:Y94)</f>
        <v>0</v>
      </c>
      <c r="AB90" s="49">
        <f>(SUM(K90:K94)-SUM(W90:W94)-SUM(Y90:Y94)-SUM(Z90:Z94)-SUM(AC90:AC94)-SUM(V90:V94))-AA90</f>
        <v>0</v>
      </c>
      <c r="AC90" s="37">
        <f>K90-T90</f>
        <v>0</v>
      </c>
      <c r="AD90" s="37">
        <f>+AM90+BA90</f>
        <v>0</v>
      </c>
      <c r="AE90" s="229" t="s">
        <v>384</v>
      </c>
      <c r="AF90" s="37">
        <v>0</v>
      </c>
      <c r="AG90" s="37"/>
      <c r="AH90" s="37"/>
      <c r="AI90" s="502"/>
      <c r="AJ90" s="37"/>
      <c r="AK90" s="37"/>
      <c r="AL90" s="37"/>
      <c r="AM90" s="37">
        <f t="shared" ref="AM90:AM94" si="27">SUM(AF90:AL90)+AT90+AV90+AX90</f>
        <v>0</v>
      </c>
      <c r="AN90" s="37"/>
      <c r="AO90" s="37"/>
      <c r="AP90" s="37"/>
      <c r="AQ90" s="37"/>
      <c r="AR90" s="37">
        <f>SUM(AN90:AQ90)</f>
        <v>0</v>
      </c>
      <c r="AS90" s="37"/>
      <c r="AT90" s="37"/>
      <c r="AU90" s="37"/>
      <c r="AV90" s="37"/>
      <c r="AW90" s="37"/>
      <c r="AX90" s="37"/>
      <c r="AY90" s="37"/>
      <c r="AZ90" s="37"/>
      <c r="BA90" s="37">
        <f>+AR90+AS90+AU90+AW90+AY90+AZ90</f>
        <v>0</v>
      </c>
      <c r="BB90" s="33">
        <v>0</v>
      </c>
      <c r="BC90" s="51"/>
      <c r="BD90" s="51"/>
      <c r="BE90" s="33"/>
      <c r="BF90" s="51"/>
    </row>
    <row r="91" spans="1:58" ht="12.95" customHeight="1">
      <c r="A91" s="40"/>
      <c r="B91" s="41"/>
      <c r="C91" s="414"/>
      <c r="D91" s="41"/>
      <c r="E91" s="42"/>
      <c r="F91" s="42"/>
      <c r="G91" s="499"/>
      <c r="H91" s="44"/>
      <c r="I91" s="45"/>
      <c r="J91" s="82"/>
      <c r="K91" s="82"/>
      <c r="L91" s="35"/>
      <c r="M91" s="35"/>
      <c r="N91" s="46"/>
      <c r="O91" s="47"/>
      <c r="P91" s="48"/>
      <c r="Q91" s="47"/>
      <c r="R91" s="500"/>
      <c r="S91" s="500"/>
      <c r="T91" s="37"/>
      <c r="U91" s="37"/>
      <c r="V91" s="37"/>
      <c r="W91" s="37"/>
      <c r="X91" s="38"/>
      <c r="Y91" s="211"/>
      <c r="Z91" s="37"/>
      <c r="AA91" s="37"/>
      <c r="AB91" s="37"/>
      <c r="AC91" s="37"/>
      <c r="AD91" s="37">
        <f>+AM91+BA91</f>
        <v>0</v>
      </c>
      <c r="AE91" s="229" t="s">
        <v>282</v>
      </c>
      <c r="AF91" s="37"/>
      <c r="AG91" s="37">
        <v>0</v>
      </c>
      <c r="AH91" s="37"/>
      <c r="AI91" s="502"/>
      <c r="AJ91" s="37"/>
      <c r="AK91" s="37"/>
      <c r="AL91" s="37"/>
      <c r="AM91" s="37">
        <f t="shared" si="27"/>
        <v>0</v>
      </c>
      <c r="AN91" s="83"/>
      <c r="AO91" s="37"/>
      <c r="AP91" s="37"/>
      <c r="AQ91" s="37"/>
      <c r="AR91" s="37">
        <f t="shared" ref="AR91:AR94" si="28">SUM(AN91:AQ91)</f>
        <v>0</v>
      </c>
      <c r="AS91" s="37"/>
      <c r="AT91" s="37"/>
      <c r="AU91" s="37"/>
      <c r="AV91" s="37"/>
      <c r="AW91" s="37"/>
      <c r="AX91" s="37"/>
      <c r="AY91" s="37"/>
      <c r="AZ91" s="37"/>
      <c r="BA91" s="37">
        <f>+AR91+AS91+AU91+AW91+AY91+AZ91</f>
        <v>0</v>
      </c>
      <c r="BB91" s="50"/>
      <c r="BC91" s="51">
        <v>0</v>
      </c>
      <c r="BD91" s="51"/>
      <c r="BE91" s="50"/>
      <c r="BF91" s="51"/>
    </row>
    <row r="92" spans="1:58" ht="12.95" customHeight="1">
      <c r="A92" s="40"/>
      <c r="B92" s="41"/>
      <c r="C92" s="414"/>
      <c r="D92" s="41"/>
      <c r="E92" s="42"/>
      <c r="F92" s="42"/>
      <c r="G92" s="43"/>
      <c r="H92" s="44"/>
      <c r="I92" s="45"/>
      <c r="J92" s="82"/>
      <c r="K92" s="82"/>
      <c r="L92" s="35"/>
      <c r="M92" s="35"/>
      <c r="N92" s="46"/>
      <c r="O92" s="47"/>
      <c r="P92" s="48"/>
      <c r="Q92" s="47"/>
      <c r="R92" s="500"/>
      <c r="S92" s="500"/>
      <c r="T92" s="37"/>
      <c r="U92" s="37"/>
      <c r="V92" s="37"/>
      <c r="W92" s="37"/>
      <c r="X92" s="38"/>
      <c r="Y92" s="211"/>
      <c r="Z92" s="37"/>
      <c r="AA92" s="37"/>
      <c r="AB92" s="37"/>
      <c r="AC92" s="37"/>
      <c r="AD92" s="37">
        <f>+AM92+BA92</f>
        <v>0</v>
      </c>
      <c r="AE92" s="229" t="s">
        <v>408</v>
      </c>
      <c r="AF92" s="33"/>
      <c r="AG92" s="33"/>
      <c r="AH92" s="33">
        <v>0</v>
      </c>
      <c r="AJ92" s="37"/>
      <c r="AK92" s="37"/>
      <c r="AL92" s="37"/>
      <c r="AM92" s="37">
        <f t="shared" si="27"/>
        <v>0</v>
      </c>
      <c r="AN92" s="37"/>
      <c r="AO92" s="37"/>
      <c r="AP92" s="37"/>
      <c r="AQ92" s="37"/>
      <c r="AR92" s="37">
        <f t="shared" si="28"/>
        <v>0</v>
      </c>
      <c r="AS92" s="37"/>
      <c r="AT92" s="37"/>
      <c r="AU92" s="37"/>
      <c r="AV92" s="37"/>
      <c r="AW92" s="37"/>
      <c r="AX92" s="37"/>
      <c r="AY92" s="37"/>
      <c r="AZ92" s="37"/>
      <c r="BA92" s="37">
        <f>+AR92+AS92+AU92+AW92+AY92+AZ92</f>
        <v>0</v>
      </c>
      <c r="BB92" s="33"/>
      <c r="BC92" s="503"/>
      <c r="BD92" s="503"/>
      <c r="BE92" s="33"/>
      <c r="BF92" s="503"/>
    </row>
    <row r="93" spans="1:58" ht="12.95" customHeight="1">
      <c r="A93" s="40"/>
      <c r="B93" s="41"/>
      <c r="C93" s="414"/>
      <c r="D93" s="41"/>
      <c r="E93" s="42"/>
      <c r="F93" s="42"/>
      <c r="G93" s="43"/>
      <c r="H93" s="44"/>
      <c r="I93" s="45"/>
      <c r="J93" s="82"/>
      <c r="K93" s="82"/>
      <c r="L93" s="35"/>
      <c r="M93" s="35"/>
      <c r="N93" s="46"/>
      <c r="O93" s="47"/>
      <c r="P93" s="48"/>
      <c r="Q93" s="34"/>
      <c r="R93" s="500"/>
      <c r="S93" s="500"/>
      <c r="T93" s="37"/>
      <c r="U93" s="37"/>
      <c r="V93" s="37"/>
      <c r="W93" s="37"/>
      <c r="X93" s="38"/>
      <c r="Y93" s="211"/>
      <c r="Z93" s="37"/>
      <c r="AA93" s="37"/>
      <c r="AB93" s="37"/>
      <c r="AC93" s="37"/>
      <c r="AD93" s="37">
        <f>+AM93+BA93</f>
        <v>0</v>
      </c>
      <c r="AE93" s="232" t="s">
        <v>377</v>
      </c>
      <c r="AF93" s="37"/>
      <c r="AG93" s="37"/>
      <c r="AH93" s="37"/>
      <c r="AI93" s="502">
        <v>0</v>
      </c>
      <c r="AJ93" s="37"/>
      <c r="AK93" s="37"/>
      <c r="AL93" s="37"/>
      <c r="AM93" s="37">
        <f t="shared" si="27"/>
        <v>0</v>
      </c>
      <c r="AN93" s="37"/>
      <c r="AO93" s="37"/>
      <c r="AP93" s="37"/>
      <c r="AQ93" s="37"/>
      <c r="AR93" s="37">
        <f t="shared" si="28"/>
        <v>0</v>
      </c>
      <c r="AS93" s="37"/>
      <c r="AT93" s="37"/>
      <c r="AU93" s="37"/>
      <c r="AV93" s="37"/>
      <c r="AW93" s="37"/>
      <c r="AX93" s="37"/>
      <c r="AY93" s="37"/>
      <c r="AZ93" s="37"/>
      <c r="BA93" s="37">
        <f>+AR93+AS93+AU93+AW93+AY93+AZ93</f>
        <v>0</v>
      </c>
      <c r="BB93" s="50"/>
      <c r="BC93" s="51"/>
      <c r="BD93" s="51"/>
      <c r="BE93" s="50"/>
      <c r="BF93" s="51"/>
    </row>
    <row r="94" spans="1:58" ht="12.95" customHeight="1">
      <c r="A94" s="40"/>
      <c r="B94" s="41"/>
      <c r="C94" s="414"/>
      <c r="D94" s="41"/>
      <c r="E94" s="42"/>
      <c r="F94" s="42"/>
      <c r="G94" s="43"/>
      <c r="H94" s="44"/>
      <c r="I94" s="45"/>
      <c r="J94" s="82"/>
      <c r="K94" s="82"/>
      <c r="L94" s="35"/>
      <c r="M94" s="35"/>
      <c r="N94" s="46"/>
      <c r="O94" s="47"/>
      <c r="P94" s="48"/>
      <c r="Q94" s="34"/>
      <c r="R94" s="500"/>
      <c r="S94" s="500"/>
      <c r="T94" s="37"/>
      <c r="U94" s="37"/>
      <c r="V94" s="37"/>
      <c r="W94" s="37"/>
      <c r="X94" s="38"/>
      <c r="Y94" s="211"/>
      <c r="Z94" s="37"/>
      <c r="AA94" s="37"/>
      <c r="AB94" s="37"/>
      <c r="AC94" s="37"/>
      <c r="AD94" s="37">
        <f>+AM94+BA94</f>
        <v>0</v>
      </c>
      <c r="AE94" s="232" t="s">
        <v>409</v>
      </c>
      <c r="AF94" s="37"/>
      <c r="AG94" s="37"/>
      <c r="AH94" s="37"/>
      <c r="AI94" s="502"/>
      <c r="AJ94" s="37"/>
      <c r="AK94" s="37"/>
      <c r="AL94" s="37"/>
      <c r="AM94" s="37">
        <f t="shared" si="27"/>
        <v>0</v>
      </c>
      <c r="AN94" s="37"/>
      <c r="AO94" s="37"/>
      <c r="AP94" s="37"/>
      <c r="AQ94" s="37"/>
      <c r="AR94" s="37">
        <f t="shared" si="28"/>
        <v>0</v>
      </c>
      <c r="AS94" s="37"/>
      <c r="AT94" s="37"/>
      <c r="AU94" s="37"/>
      <c r="AV94" s="37"/>
      <c r="AW94" s="37"/>
      <c r="AX94" s="37"/>
      <c r="AY94" s="37"/>
      <c r="AZ94" s="37">
        <f>1440-1440</f>
        <v>0</v>
      </c>
      <c r="BA94" s="37">
        <f>+AR94+AS94+AU94+AW94+AY94+AZ94</f>
        <v>0</v>
      </c>
      <c r="BB94" s="50"/>
      <c r="BC94" s="51"/>
      <c r="BD94" s="51"/>
      <c r="BE94" s="33"/>
      <c r="BF94" s="51"/>
    </row>
    <row r="95" spans="1:58" ht="12.95" customHeight="1">
      <c r="A95" s="40"/>
      <c r="B95" s="41"/>
      <c r="C95" s="414"/>
      <c r="D95" s="41"/>
      <c r="E95" s="42"/>
      <c r="F95" s="42"/>
      <c r="G95" s="43"/>
      <c r="H95" s="44"/>
      <c r="I95" s="45"/>
      <c r="J95" s="82"/>
      <c r="K95" s="82"/>
      <c r="L95" s="35"/>
      <c r="M95" s="35"/>
      <c r="N95" s="46"/>
      <c r="O95" s="47"/>
      <c r="P95" s="48"/>
      <c r="Q95" s="47"/>
      <c r="R95" s="500"/>
      <c r="S95" s="500"/>
      <c r="T95" s="37"/>
      <c r="U95" s="37"/>
      <c r="V95" s="37"/>
      <c r="W95" s="37"/>
      <c r="X95" s="38"/>
      <c r="Y95" s="211"/>
      <c r="Z95" s="37"/>
      <c r="AA95" s="37"/>
      <c r="AB95" s="37"/>
      <c r="AC95" s="37"/>
      <c r="AD95" s="37"/>
      <c r="AE95" s="229"/>
      <c r="AF95" s="33"/>
      <c r="AG95" s="33"/>
      <c r="AH95" s="33"/>
      <c r="AJ95" s="37"/>
      <c r="AK95" s="37"/>
      <c r="AL95" s="37"/>
      <c r="AM95" s="37"/>
      <c r="AN95" s="37"/>
      <c r="AO95" s="37"/>
      <c r="AP95" s="37"/>
      <c r="AQ95" s="37"/>
      <c r="AR95" s="37"/>
      <c r="AS95" s="37"/>
      <c r="AT95" s="37"/>
      <c r="AU95" s="37"/>
      <c r="AV95" s="37"/>
      <c r="AW95" s="37"/>
      <c r="AX95" s="37"/>
      <c r="AY95" s="37"/>
      <c r="AZ95" s="37"/>
      <c r="BA95" s="37"/>
      <c r="BB95" s="33"/>
      <c r="BC95" s="503"/>
      <c r="BD95" s="503"/>
      <c r="BE95" s="33"/>
      <c r="BF95" s="503"/>
    </row>
    <row r="96" spans="1:58" ht="12.75" customHeight="1">
      <c r="A96" s="40">
        <v>45977</v>
      </c>
      <c r="B96" s="41" t="s">
        <v>461</v>
      </c>
      <c r="C96" s="414">
        <f>(M96*E96*O96*Q96)/100000000</f>
        <v>26.773468120649653</v>
      </c>
      <c r="D96" s="41" t="s">
        <v>300</v>
      </c>
      <c r="E96" s="42">
        <v>12</v>
      </c>
      <c r="F96" s="42">
        <v>1</v>
      </c>
      <c r="G96" s="499">
        <v>1230</v>
      </c>
      <c r="H96" s="44">
        <f>+N96</f>
        <v>0.22999999999999998</v>
      </c>
      <c r="I96" s="45">
        <v>0.88</v>
      </c>
      <c r="J96" s="82">
        <f>E96*G96*(1-H96)*1440/1000000*2.74</f>
        <v>44.842533120000006</v>
      </c>
      <c r="K96" s="82">
        <f>(IF(G96&lt;L96,L96,G96)*(1-IF(H96&lt;N96,H96,N96))*E96*O96*Q96)/100000000</f>
        <v>38.485408499999998</v>
      </c>
      <c r="L96" s="35">
        <v>855.68445475638055</v>
      </c>
      <c r="M96" s="35">
        <v>658.87703016241301</v>
      </c>
      <c r="N96" s="46">
        <f>1-(M96/L96)</f>
        <v>0.22999999999999998</v>
      </c>
      <c r="O96" s="47">
        <f>+'Trim Rwd'!H34</f>
        <v>262.5</v>
      </c>
      <c r="P96" s="48">
        <f>O96*(Q96-R96-S96)</f>
        <v>323925</v>
      </c>
      <c r="Q96" s="47">
        <f>1440-150</f>
        <v>1290</v>
      </c>
      <c r="R96" s="500">
        <f>150-150</f>
        <v>0</v>
      </c>
      <c r="S96" s="500">
        <v>56</v>
      </c>
      <c r="T96" s="37">
        <f>E96*M96*O96*Q96/100000000</f>
        <v>26.773468120649653</v>
      </c>
      <c r="U96" s="37">
        <f>E96*M96*O96*(Q96-R96-S96)/100000000</f>
        <v>25.611209039443153</v>
      </c>
      <c r="V96" s="37">
        <f>E96*G96*(1-N96)*O96/100*(R96+S96)/1000000</f>
        <v>1.6706844000000001</v>
      </c>
      <c r="W96" s="37">
        <f>+'16'!K7/1000</f>
        <v>22.440999999999999</v>
      </c>
      <c r="X96" s="501">
        <f>SUM(W96:W100)/SUM(K96:K100)</f>
        <v>0.58310411334207357</v>
      </c>
      <c r="Y96" s="211">
        <v>0</v>
      </c>
      <c r="Z96" s="37">
        <v>0</v>
      </c>
      <c r="AA96" s="49">
        <f>SUM(U96:U100)-SUM(W96:W100)-SUM(Z96:Z100)-SUM(Y96:Y100)</f>
        <v>3.1702090394431544</v>
      </c>
      <c r="AB96" s="49">
        <f>(SUM(K96:K100)-SUM(W96:W100)-SUM(Y96:Y100)-SUM(Z96:Z100)-SUM(AC96:AC100)-SUM(V96:V100))-AA96</f>
        <v>-0.50842531879349995</v>
      </c>
      <c r="AC96" s="37">
        <f>K96-T96</f>
        <v>11.711940379350345</v>
      </c>
      <c r="AD96" s="37">
        <f>+AM96+BA96</f>
        <v>9</v>
      </c>
      <c r="AE96" s="229" t="s">
        <v>460</v>
      </c>
      <c r="AF96" s="37">
        <v>9</v>
      </c>
      <c r="AG96" s="37"/>
      <c r="AH96" s="37"/>
      <c r="AI96" s="502"/>
      <c r="AJ96" s="37"/>
      <c r="AK96" s="37"/>
      <c r="AL96" s="37"/>
      <c r="AM96" s="37">
        <f t="shared" ref="AM96:AM100" si="29">SUM(AF96:AL96)+AT96+AV96+AX96</f>
        <v>9</v>
      </c>
      <c r="AN96" s="37"/>
      <c r="AO96" s="37"/>
      <c r="AP96" s="37"/>
      <c r="AQ96" s="37"/>
      <c r="AR96" s="37">
        <f>SUM(AN96:AQ96)</f>
        <v>0</v>
      </c>
      <c r="AS96" s="37"/>
      <c r="AT96" s="37"/>
      <c r="AU96" s="37"/>
      <c r="AV96" s="37"/>
      <c r="AW96" s="37"/>
      <c r="AX96" s="37"/>
      <c r="AY96" s="37"/>
      <c r="AZ96" s="37"/>
      <c r="BA96" s="37">
        <f>+AR96+AS96+AU96+AW96+AY96+AZ96</f>
        <v>0</v>
      </c>
      <c r="BB96" s="33">
        <v>3</v>
      </c>
      <c r="BC96" s="51"/>
      <c r="BD96" s="51"/>
      <c r="BE96" s="33"/>
      <c r="BF96" s="51"/>
    </row>
    <row r="97" spans="1:58" ht="12.95" customHeight="1">
      <c r="A97" s="40"/>
      <c r="B97" s="41"/>
      <c r="C97" s="414"/>
      <c r="D97" s="41"/>
      <c r="E97" s="42"/>
      <c r="F97" s="42"/>
      <c r="G97" s="499"/>
      <c r="H97" s="44"/>
      <c r="I97" s="45"/>
      <c r="J97" s="82"/>
      <c r="K97" s="82"/>
      <c r="L97" s="35"/>
      <c r="M97" s="35"/>
      <c r="N97" s="46"/>
      <c r="O97" s="47"/>
      <c r="P97" s="48"/>
      <c r="Q97" s="47"/>
      <c r="R97" s="500"/>
      <c r="S97" s="500"/>
      <c r="T97" s="37"/>
      <c r="U97" s="37"/>
      <c r="V97" s="37"/>
      <c r="W97" s="37"/>
      <c r="X97" s="38"/>
      <c r="Y97" s="211"/>
      <c r="Z97" s="37"/>
      <c r="AA97" s="37"/>
      <c r="AB97" s="37"/>
      <c r="AC97" s="37"/>
      <c r="AD97" s="37">
        <f>+AM97+BA97</f>
        <v>12</v>
      </c>
      <c r="AE97" s="229" t="s">
        <v>462</v>
      </c>
      <c r="AF97" s="37"/>
      <c r="AG97" s="37">
        <v>12</v>
      </c>
      <c r="AH97" s="37"/>
      <c r="AI97" s="502"/>
      <c r="AJ97" s="37"/>
      <c r="AK97" s="37"/>
      <c r="AL97" s="37"/>
      <c r="AM97" s="37">
        <f t="shared" si="29"/>
        <v>12</v>
      </c>
      <c r="AN97" s="83"/>
      <c r="AO97" s="37"/>
      <c r="AP97" s="37"/>
      <c r="AQ97" s="37"/>
      <c r="AR97" s="37">
        <f t="shared" ref="AR97:AR100" si="30">SUM(AN97:AQ97)</f>
        <v>0</v>
      </c>
      <c r="AS97" s="37"/>
      <c r="AT97" s="37"/>
      <c r="AU97" s="37"/>
      <c r="AV97" s="37"/>
      <c r="AW97" s="37"/>
      <c r="AX97" s="37"/>
      <c r="AY97" s="37"/>
      <c r="AZ97" s="37"/>
      <c r="BA97" s="37">
        <f>+AR97+AS97+AU97+AW97+AY97+AZ97</f>
        <v>0</v>
      </c>
      <c r="BB97" s="50"/>
      <c r="BC97" s="51">
        <v>6</v>
      </c>
      <c r="BD97" s="51"/>
      <c r="BE97" s="50"/>
      <c r="BF97" s="51"/>
    </row>
    <row r="98" spans="1:58" ht="12.95" customHeight="1">
      <c r="A98" s="40"/>
      <c r="B98" s="41"/>
      <c r="C98" s="414"/>
      <c r="D98" s="41"/>
      <c r="E98" s="42"/>
      <c r="F98" s="42"/>
      <c r="G98" s="43"/>
      <c r="H98" s="44"/>
      <c r="I98" s="45"/>
      <c r="J98" s="82"/>
      <c r="K98" s="82"/>
      <c r="L98" s="35"/>
      <c r="M98" s="35"/>
      <c r="N98" s="46"/>
      <c r="O98" s="47"/>
      <c r="P98" s="48"/>
      <c r="Q98" s="47"/>
      <c r="R98" s="500"/>
      <c r="S98" s="500"/>
      <c r="T98" s="37"/>
      <c r="U98" s="37"/>
      <c r="V98" s="37"/>
      <c r="W98" s="37"/>
      <c r="X98" s="38"/>
      <c r="Y98" s="211"/>
      <c r="Z98" s="37"/>
      <c r="AA98" s="37"/>
      <c r="AB98" s="37"/>
      <c r="AC98" s="37"/>
      <c r="AD98" s="37">
        <f>+AM98+BA98</f>
        <v>35</v>
      </c>
      <c r="AE98" s="229" t="s">
        <v>463</v>
      </c>
      <c r="AF98" s="33"/>
      <c r="AG98" s="33"/>
      <c r="AH98" s="33">
        <v>35</v>
      </c>
      <c r="AJ98" s="37"/>
      <c r="AK98" s="37"/>
      <c r="AL98" s="37"/>
      <c r="AM98" s="37">
        <f t="shared" si="29"/>
        <v>35</v>
      </c>
      <c r="AN98" s="37"/>
      <c r="AO98" s="37"/>
      <c r="AP98" s="37"/>
      <c r="AQ98" s="37"/>
      <c r="AR98" s="37">
        <f t="shared" si="30"/>
        <v>0</v>
      </c>
      <c r="AS98" s="37"/>
      <c r="AT98" s="37"/>
      <c r="AU98" s="37"/>
      <c r="AV98" s="37"/>
      <c r="AW98" s="37"/>
      <c r="AX98" s="37"/>
      <c r="AY98" s="37"/>
      <c r="AZ98" s="37"/>
      <c r="BA98" s="37">
        <f>+AR98+AS98+AU98+AW98+AY98+AZ98</f>
        <v>0</v>
      </c>
      <c r="BB98" s="33"/>
      <c r="BC98" s="503"/>
      <c r="BD98" s="503"/>
      <c r="BE98" s="33"/>
      <c r="BF98" s="503"/>
    </row>
    <row r="99" spans="1:58" ht="12.95" customHeight="1">
      <c r="A99" s="40"/>
      <c r="B99" s="41"/>
      <c r="C99" s="414"/>
      <c r="D99" s="41"/>
      <c r="E99" s="42"/>
      <c r="F99" s="42"/>
      <c r="G99" s="43"/>
      <c r="H99" s="44"/>
      <c r="I99" s="45"/>
      <c r="J99" s="82"/>
      <c r="K99" s="82"/>
      <c r="L99" s="35"/>
      <c r="M99" s="35"/>
      <c r="N99" s="46"/>
      <c r="O99" s="47"/>
      <c r="P99" s="48"/>
      <c r="Q99" s="34"/>
      <c r="R99" s="500"/>
      <c r="S99" s="500"/>
      <c r="T99" s="37"/>
      <c r="U99" s="37"/>
      <c r="V99" s="37"/>
      <c r="W99" s="37"/>
      <c r="X99" s="38"/>
      <c r="Y99" s="211"/>
      <c r="Z99" s="37"/>
      <c r="AA99" s="37"/>
      <c r="AB99" s="37"/>
      <c r="AC99" s="37"/>
      <c r="AD99" s="37">
        <f>+AM99+BA99</f>
        <v>0</v>
      </c>
      <c r="AE99" s="232" t="s">
        <v>377</v>
      </c>
      <c r="AF99" s="37"/>
      <c r="AG99" s="37"/>
      <c r="AH99" s="37"/>
      <c r="AI99" s="502">
        <v>0</v>
      </c>
      <c r="AJ99" s="37"/>
      <c r="AK99" s="37"/>
      <c r="AL99" s="37"/>
      <c r="AM99" s="37">
        <f t="shared" si="29"/>
        <v>0</v>
      </c>
      <c r="AN99" s="37"/>
      <c r="AO99" s="37"/>
      <c r="AP99" s="37"/>
      <c r="AQ99" s="37"/>
      <c r="AR99" s="37">
        <f t="shared" si="30"/>
        <v>0</v>
      </c>
      <c r="AS99" s="37"/>
      <c r="AT99" s="37"/>
      <c r="AU99" s="37"/>
      <c r="AV99" s="37"/>
      <c r="AW99" s="37"/>
      <c r="AX99" s="37"/>
      <c r="AY99" s="37"/>
      <c r="AZ99" s="37"/>
      <c r="BA99" s="37">
        <f>+AR99+AS99+AU99+AW99+AY99+AZ99</f>
        <v>0</v>
      </c>
      <c r="BB99" s="50"/>
      <c r="BC99" s="51"/>
      <c r="BD99" s="51"/>
      <c r="BE99" s="50"/>
      <c r="BF99" s="51"/>
    </row>
    <row r="100" spans="1:58" ht="12.95" customHeight="1">
      <c r="A100" s="40"/>
      <c r="B100" s="41"/>
      <c r="C100" s="414"/>
      <c r="D100" s="41"/>
      <c r="E100" s="42"/>
      <c r="F100" s="42"/>
      <c r="G100" s="43"/>
      <c r="H100" s="44"/>
      <c r="I100" s="45"/>
      <c r="J100" s="82"/>
      <c r="K100" s="82"/>
      <c r="L100" s="35"/>
      <c r="M100" s="35"/>
      <c r="N100" s="46"/>
      <c r="O100" s="47"/>
      <c r="P100" s="48"/>
      <c r="Q100" s="34"/>
      <c r="R100" s="500"/>
      <c r="S100" s="500"/>
      <c r="T100" s="37"/>
      <c r="U100" s="37"/>
      <c r="V100" s="37"/>
      <c r="W100" s="37"/>
      <c r="X100" s="38"/>
      <c r="Y100" s="211"/>
      <c r="Z100" s="37"/>
      <c r="AA100" s="37"/>
      <c r="AB100" s="37"/>
      <c r="AC100" s="37"/>
      <c r="AD100" s="37">
        <f>+AM100+BA100</f>
        <v>0</v>
      </c>
      <c r="AE100" s="232" t="s">
        <v>409</v>
      </c>
      <c r="AF100" s="37"/>
      <c r="AG100" s="37"/>
      <c r="AH100" s="37"/>
      <c r="AI100" s="502"/>
      <c r="AJ100" s="37"/>
      <c r="AK100" s="37"/>
      <c r="AL100" s="37"/>
      <c r="AM100" s="37">
        <f t="shared" si="29"/>
        <v>0</v>
      </c>
      <c r="AN100" s="37"/>
      <c r="AO100" s="37"/>
      <c r="AP100" s="37"/>
      <c r="AQ100" s="37"/>
      <c r="AR100" s="37">
        <f t="shared" si="30"/>
        <v>0</v>
      </c>
      <c r="AS100" s="37"/>
      <c r="AT100" s="37"/>
      <c r="AU100" s="37"/>
      <c r="AV100" s="37"/>
      <c r="AW100" s="37"/>
      <c r="AX100" s="37"/>
      <c r="AY100" s="37"/>
      <c r="AZ100" s="37">
        <f>150-150</f>
        <v>0</v>
      </c>
      <c r="BA100" s="37">
        <f>+AR100+AS100+AU100+AW100+AY100+AZ100</f>
        <v>0</v>
      </c>
      <c r="BB100" s="50"/>
      <c r="BC100" s="51"/>
      <c r="BD100" s="51"/>
      <c r="BE100" s="33"/>
      <c r="BF100" s="51"/>
    </row>
    <row r="101" spans="1:58" ht="12.95" customHeight="1">
      <c r="A101" s="40"/>
      <c r="B101" s="41"/>
      <c r="C101" s="414"/>
      <c r="D101" s="41"/>
      <c r="E101" s="42"/>
      <c r="F101" s="42"/>
      <c r="G101" s="43"/>
      <c r="H101" s="44"/>
      <c r="I101" s="45"/>
      <c r="J101" s="82"/>
      <c r="K101" s="82"/>
      <c r="L101" s="35"/>
      <c r="M101" s="35"/>
      <c r="N101" s="46"/>
      <c r="O101" s="47"/>
      <c r="P101" s="48"/>
      <c r="Q101" s="34"/>
      <c r="R101" s="500"/>
      <c r="S101" s="500"/>
      <c r="T101" s="37"/>
      <c r="U101" s="37"/>
      <c r="V101" s="37"/>
      <c r="W101" s="37"/>
      <c r="X101" s="38"/>
      <c r="Y101" s="211"/>
      <c r="Z101" s="37"/>
      <c r="AA101" s="37"/>
      <c r="AB101" s="37"/>
      <c r="AC101" s="37"/>
      <c r="AD101" s="37"/>
      <c r="AE101" s="232"/>
      <c r="AF101" s="37"/>
      <c r="AG101" s="37"/>
      <c r="AH101" s="37"/>
      <c r="AI101" s="502"/>
      <c r="AJ101" s="37"/>
      <c r="AK101" s="37"/>
      <c r="AL101" s="37"/>
      <c r="AM101" s="37"/>
      <c r="AN101" s="37"/>
      <c r="AO101" s="37"/>
      <c r="AP101" s="37"/>
      <c r="AQ101" s="37"/>
      <c r="AR101" s="37"/>
      <c r="AS101" s="37"/>
      <c r="AT101" s="37"/>
      <c r="AU101" s="37"/>
      <c r="AV101" s="37"/>
      <c r="AW101" s="37"/>
      <c r="AX101" s="37"/>
      <c r="AY101" s="37"/>
      <c r="AZ101" s="37"/>
      <c r="BA101" s="37"/>
      <c r="BB101" s="50"/>
      <c r="BC101" s="51"/>
      <c r="BD101" s="51"/>
      <c r="BE101" s="51"/>
      <c r="BF101" s="51"/>
    </row>
    <row r="102" spans="1:58" ht="12.75" customHeight="1">
      <c r="A102" s="40">
        <v>45978</v>
      </c>
      <c r="B102" s="41" t="s">
        <v>461</v>
      </c>
      <c r="C102" s="414">
        <f>(M102*E102*O102*Q102)/100000000</f>
        <v>36.942305400000002</v>
      </c>
      <c r="D102" s="41" t="s">
        <v>300</v>
      </c>
      <c r="E102" s="42">
        <v>12</v>
      </c>
      <c r="F102" s="42">
        <v>1</v>
      </c>
      <c r="G102" s="499">
        <v>1230</v>
      </c>
      <c r="H102" s="44">
        <f>+N102</f>
        <v>0.22999999999999987</v>
      </c>
      <c r="I102" s="45">
        <v>0.88</v>
      </c>
      <c r="J102" s="82">
        <f>E102*G102*(1-H102)*1440/1000000*2.74</f>
        <v>44.84253312000002</v>
      </c>
      <c r="K102" s="82">
        <f>(IF(G102&lt;L102,L102,G102)*(1-IF(H102&lt;N102,H102,N102))*E102*O102*Q102)/100000000</f>
        <v>42.960456000000001</v>
      </c>
      <c r="L102" s="35">
        <v>1057.6944444444443</v>
      </c>
      <c r="M102" s="35">
        <v>814.42472222222227</v>
      </c>
      <c r="N102" s="46">
        <f>1-(M102/L102)</f>
        <v>0.22999999999999987</v>
      </c>
      <c r="O102" s="47">
        <f>+'Trim Rwd'!H36</f>
        <v>262.5</v>
      </c>
      <c r="P102" s="48">
        <f>O102*(Q102-R102-S102)</f>
        <v>360150</v>
      </c>
      <c r="Q102" s="47">
        <v>1440</v>
      </c>
      <c r="R102" s="500">
        <v>0</v>
      </c>
      <c r="S102" s="500">
        <v>68</v>
      </c>
      <c r="T102" s="37">
        <f>E102*M102*O102*Q102/100000000</f>
        <v>36.942305400000002</v>
      </c>
      <c r="U102" s="37">
        <f>E102*M102*O102*(Q102-R102-S102)/100000000</f>
        <v>35.197807645000005</v>
      </c>
      <c r="V102" s="37">
        <f>E102*G102*(1-N102)*O102/100*(R102+S102)/1000000</f>
        <v>2.0286882000000004</v>
      </c>
      <c r="W102" s="37">
        <f>+'17'!K7/1000</f>
        <v>25.547000000000001</v>
      </c>
      <c r="X102" s="501">
        <f>SUM(W102:W106)/SUM(K102:K106)</f>
        <v>0.59466314789582309</v>
      </c>
      <c r="Y102" s="211">
        <v>0</v>
      </c>
      <c r="Z102" s="37">
        <f>+'17'!D34/1000</f>
        <v>2.9119999999999999</v>
      </c>
      <c r="AA102" s="49">
        <f>SUM(U102:U106)-SUM(W102:W106)-SUM(Z102:Z106)-SUM(Y102:Y106)</f>
        <v>6.7388076450000041</v>
      </c>
      <c r="AB102" s="49">
        <f>(SUM(K102:K106)-SUM(W102:W106)-SUM(Y102:Y106)-SUM(Z102:Z106)-SUM(AC102:AC106)-SUM(V102:V106))-AA102</f>
        <v>-0.2841904450000019</v>
      </c>
      <c r="AC102" s="37">
        <f>K102-T102</f>
        <v>6.0181505999999985</v>
      </c>
      <c r="AD102" s="37">
        <f>+AM102+BA102</f>
        <v>24</v>
      </c>
      <c r="AE102" s="229" t="s">
        <v>481</v>
      </c>
      <c r="AF102" s="37">
        <v>24</v>
      </c>
      <c r="AG102" s="37"/>
      <c r="AH102" s="37"/>
      <c r="AI102" s="502"/>
      <c r="AJ102" s="37"/>
      <c r="AK102" s="37"/>
      <c r="AL102" s="37"/>
      <c r="AM102" s="37">
        <f t="shared" ref="AM102:AM105" si="31">SUM(AF102:AL102)+AT102+AV102+AX102</f>
        <v>24</v>
      </c>
      <c r="AN102" s="37"/>
      <c r="AO102" s="37"/>
      <c r="AP102" s="37"/>
      <c r="AQ102" s="37"/>
      <c r="AR102" s="37">
        <f>SUM(AN102:AQ102)</f>
        <v>0</v>
      </c>
      <c r="AS102" s="37"/>
      <c r="AT102" s="37"/>
      <c r="AU102" s="37"/>
      <c r="AV102" s="37"/>
      <c r="AW102" s="37"/>
      <c r="AX102" s="37"/>
      <c r="AY102" s="37"/>
      <c r="AZ102" s="37"/>
      <c r="BA102" s="37">
        <f>+AR102+AS102+AU102+AW102+AY102+AZ102</f>
        <v>0</v>
      </c>
      <c r="BB102" s="33">
        <v>8</v>
      </c>
      <c r="BC102" s="51"/>
      <c r="BD102" s="51"/>
      <c r="BE102" s="33"/>
      <c r="BF102" s="51"/>
    </row>
    <row r="103" spans="1:58" ht="12.95" customHeight="1">
      <c r="A103" s="40"/>
      <c r="B103" s="41"/>
      <c r="C103" s="414"/>
      <c r="D103" s="41"/>
      <c r="E103" s="42"/>
      <c r="F103" s="42"/>
      <c r="G103" s="499"/>
      <c r="H103" s="44"/>
      <c r="I103" s="45"/>
      <c r="J103" s="82"/>
      <c r="K103" s="82"/>
      <c r="L103" s="35"/>
      <c r="M103" s="35"/>
      <c r="N103" s="46"/>
      <c r="O103" s="47"/>
      <c r="P103" s="48"/>
      <c r="Q103" s="47"/>
      <c r="R103" s="500"/>
      <c r="S103" s="500"/>
      <c r="T103" s="37"/>
      <c r="U103" s="37"/>
      <c r="V103" s="37"/>
      <c r="W103" s="37"/>
      <c r="X103" s="38"/>
      <c r="Y103" s="211"/>
      <c r="Z103" s="37"/>
      <c r="AA103" s="37"/>
      <c r="AB103" s="37"/>
      <c r="AC103" s="37"/>
      <c r="AD103" s="37">
        <f>+AM103+BA103</f>
        <v>10</v>
      </c>
      <c r="AE103" s="229" t="s">
        <v>478</v>
      </c>
      <c r="AF103" s="37"/>
      <c r="AG103" s="37">
        <v>10</v>
      </c>
      <c r="AH103" s="37"/>
      <c r="AI103" s="502"/>
      <c r="AJ103" s="37"/>
      <c r="AK103" s="37"/>
      <c r="AL103" s="37"/>
      <c r="AM103" s="37">
        <f t="shared" si="31"/>
        <v>10</v>
      </c>
      <c r="AN103" s="83"/>
      <c r="AO103" s="37"/>
      <c r="AP103" s="37"/>
      <c r="AQ103" s="37"/>
      <c r="AR103" s="37">
        <f t="shared" ref="AR103:AR105" si="32">SUM(AN103:AQ103)</f>
        <v>0</v>
      </c>
      <c r="AS103" s="37"/>
      <c r="AT103" s="37"/>
      <c r="AU103" s="37"/>
      <c r="AV103" s="37"/>
      <c r="AW103" s="37"/>
      <c r="AX103" s="37"/>
      <c r="AY103" s="37"/>
      <c r="AZ103" s="37"/>
      <c r="BA103" s="37">
        <f>+AR103+AS103+AU103+AW103+AY103+AZ103</f>
        <v>0</v>
      </c>
      <c r="BB103" s="50"/>
      <c r="BC103" s="51">
        <v>7</v>
      </c>
      <c r="BD103" s="51"/>
      <c r="BE103" s="50"/>
      <c r="BF103" s="51"/>
    </row>
    <row r="104" spans="1:58" ht="12.95" customHeight="1">
      <c r="A104" s="40"/>
      <c r="B104" s="41"/>
      <c r="C104" s="414"/>
      <c r="D104" s="41"/>
      <c r="E104" s="42"/>
      <c r="F104" s="42"/>
      <c r="G104" s="43"/>
      <c r="H104" s="44"/>
      <c r="I104" s="45"/>
      <c r="J104" s="82"/>
      <c r="K104" s="82"/>
      <c r="L104" s="35"/>
      <c r="M104" s="35"/>
      <c r="N104" s="46"/>
      <c r="O104" s="47"/>
      <c r="P104" s="48"/>
      <c r="Q104" s="47"/>
      <c r="R104" s="500"/>
      <c r="S104" s="500"/>
      <c r="T104" s="37"/>
      <c r="U104" s="37"/>
      <c r="V104" s="37"/>
      <c r="W104" s="37"/>
      <c r="X104" s="38"/>
      <c r="Y104" s="211"/>
      <c r="Z104" s="37"/>
      <c r="AA104" s="37"/>
      <c r="AB104" s="37"/>
      <c r="AC104" s="37"/>
      <c r="AD104" s="37">
        <f>+AM104+BA104</f>
        <v>34</v>
      </c>
      <c r="AE104" s="229" t="s">
        <v>482</v>
      </c>
      <c r="AF104" s="33"/>
      <c r="AG104" s="33"/>
      <c r="AH104" s="33">
        <v>34</v>
      </c>
      <c r="AJ104" s="37"/>
      <c r="AK104" s="37"/>
      <c r="AL104" s="37"/>
      <c r="AM104" s="37">
        <f t="shared" si="31"/>
        <v>34</v>
      </c>
      <c r="AN104" s="37"/>
      <c r="AO104" s="37"/>
      <c r="AP104" s="37"/>
      <c r="AQ104" s="37"/>
      <c r="AR104" s="37">
        <f t="shared" si="32"/>
        <v>0</v>
      </c>
      <c r="AS104" s="37"/>
      <c r="AT104" s="37"/>
      <c r="AU104" s="37"/>
      <c r="AV104" s="37"/>
      <c r="AW104" s="37"/>
      <c r="AX104" s="37"/>
      <c r="AY104" s="37"/>
      <c r="AZ104" s="37"/>
      <c r="BA104" s="37">
        <f>+AR104+AS104+AU104+AW104+AY104+AZ104</f>
        <v>0</v>
      </c>
      <c r="BB104" s="33"/>
      <c r="BC104" s="503"/>
      <c r="BD104" s="503"/>
      <c r="BE104" s="33"/>
      <c r="BF104" s="503"/>
    </row>
    <row r="105" spans="1:58" ht="12.95" customHeight="1">
      <c r="A105" s="40"/>
      <c r="B105" s="41"/>
      <c r="C105" s="414"/>
      <c r="D105" s="41"/>
      <c r="E105" s="42"/>
      <c r="F105" s="42"/>
      <c r="G105" s="43"/>
      <c r="H105" s="44"/>
      <c r="I105" s="45"/>
      <c r="J105" s="82"/>
      <c r="K105" s="82"/>
      <c r="L105" s="35"/>
      <c r="M105" s="35"/>
      <c r="N105" s="46"/>
      <c r="O105" s="47"/>
      <c r="P105" s="48"/>
      <c r="Q105" s="34"/>
      <c r="R105" s="500"/>
      <c r="S105" s="500"/>
      <c r="T105" s="37"/>
      <c r="U105" s="37"/>
      <c r="V105" s="37"/>
      <c r="W105" s="37"/>
      <c r="X105" s="38"/>
      <c r="Y105" s="211"/>
      <c r="Z105" s="37"/>
      <c r="AA105" s="37"/>
      <c r="AB105" s="37"/>
      <c r="AC105" s="37"/>
      <c r="AD105" s="37">
        <f>+AM105+BA105</f>
        <v>0</v>
      </c>
      <c r="AE105" s="232" t="s">
        <v>377</v>
      </c>
      <c r="AF105" s="37"/>
      <c r="AG105" s="37"/>
      <c r="AH105" s="37"/>
      <c r="AI105" s="502">
        <v>0</v>
      </c>
      <c r="AJ105" s="37"/>
      <c r="AK105" s="37"/>
      <c r="AL105" s="37"/>
      <c r="AM105" s="37">
        <f t="shared" si="31"/>
        <v>0</v>
      </c>
      <c r="AN105" s="37"/>
      <c r="AO105" s="37"/>
      <c r="AP105" s="37"/>
      <c r="AQ105" s="37"/>
      <c r="AR105" s="37">
        <f t="shared" si="32"/>
        <v>0</v>
      </c>
      <c r="AS105" s="37"/>
      <c r="AT105" s="37"/>
      <c r="AU105" s="37"/>
      <c r="AV105" s="37"/>
      <c r="AW105" s="37"/>
      <c r="AX105" s="37"/>
      <c r="AY105" s="37"/>
      <c r="AZ105" s="37"/>
      <c r="BA105" s="37">
        <f>+AR105+AS105+AU105+AW105+AY105+AZ105</f>
        <v>0</v>
      </c>
      <c r="BB105" s="50"/>
      <c r="BC105" s="51"/>
      <c r="BD105" s="51"/>
      <c r="BE105" s="50"/>
      <c r="BF105" s="51"/>
    </row>
    <row r="106" spans="1:58" ht="12.95" customHeight="1">
      <c r="A106" s="40"/>
      <c r="B106" s="41"/>
      <c r="C106" s="414"/>
      <c r="D106" s="41"/>
      <c r="E106" s="42"/>
      <c r="F106" s="42"/>
      <c r="G106" s="43"/>
      <c r="H106" s="44"/>
      <c r="I106" s="45"/>
      <c r="J106" s="82"/>
      <c r="K106" s="82"/>
      <c r="L106" s="35"/>
      <c r="M106" s="35"/>
      <c r="N106" s="46"/>
      <c r="O106" s="47"/>
      <c r="P106" s="48"/>
      <c r="Q106" s="34"/>
      <c r="R106" s="500"/>
      <c r="S106" s="500"/>
      <c r="T106" s="37"/>
      <c r="U106" s="37"/>
      <c r="V106" s="37"/>
      <c r="W106" s="37"/>
      <c r="X106" s="38"/>
      <c r="Y106" s="211"/>
      <c r="Z106" s="37"/>
      <c r="AA106" s="37"/>
      <c r="AB106" s="37"/>
      <c r="AC106" s="37"/>
      <c r="AD106" s="37"/>
      <c r="AE106" s="232"/>
      <c r="AF106" s="37"/>
      <c r="AG106" s="37"/>
      <c r="AH106" s="37"/>
      <c r="AI106" s="502"/>
      <c r="AJ106" s="37"/>
      <c r="AK106" s="37"/>
      <c r="AL106" s="37"/>
      <c r="AM106" s="37"/>
      <c r="AN106" s="37"/>
      <c r="AO106" s="37"/>
      <c r="AP106" s="37"/>
      <c r="AQ106" s="37"/>
      <c r="AR106" s="37"/>
      <c r="AS106" s="37"/>
      <c r="AT106" s="37"/>
      <c r="AU106" s="37"/>
      <c r="AV106" s="37"/>
      <c r="AW106" s="37"/>
      <c r="AX106" s="37"/>
      <c r="AY106" s="37"/>
      <c r="AZ106" s="37"/>
      <c r="BA106" s="37"/>
      <c r="BB106" s="50"/>
      <c r="BC106" s="51"/>
      <c r="BD106" s="51"/>
      <c r="BE106" s="51"/>
      <c r="BF106" s="51"/>
    </row>
    <row r="107" spans="1:58" ht="12.75" customHeight="1">
      <c r="A107" s="40">
        <v>45979</v>
      </c>
      <c r="B107" s="41" t="s">
        <v>461</v>
      </c>
      <c r="C107" s="414">
        <f>(M107*E107*O107*Q107)/100000000</f>
        <v>38.317739683384602</v>
      </c>
      <c r="D107" s="41" t="s">
        <v>300</v>
      </c>
      <c r="E107" s="42">
        <v>12</v>
      </c>
      <c r="F107" s="42">
        <v>1</v>
      </c>
      <c r="G107" s="499">
        <v>1230</v>
      </c>
      <c r="H107" s="44">
        <f>+N107</f>
        <v>0.23362041006172307</v>
      </c>
      <c r="I107" s="45">
        <v>0.88</v>
      </c>
      <c r="J107" s="82">
        <f>E107*G107*(1-H107)*1440/1000000*2.74</f>
        <v>44.631691096492467</v>
      </c>
      <c r="K107" s="82">
        <f>(IF(G107&lt;L107,L107,G107)*(1-IF(H107&lt;N107,H107,N107))*E107*O107*Q107)/100000000</f>
        <v>39.518104330218563</v>
      </c>
      <c r="L107" s="35">
        <v>1192.6386806596702</v>
      </c>
      <c r="M107" s="35">
        <v>914.01394302848564</v>
      </c>
      <c r="N107" s="46">
        <f>1-(M107/L107)</f>
        <v>0.23362041006172307</v>
      </c>
      <c r="O107" s="47">
        <f>+'Trim Rwd'!H38</f>
        <v>261.88461538461536</v>
      </c>
      <c r="P107" s="48">
        <f>O107*(Q107-R107-S107)</f>
        <v>335997.9615384615</v>
      </c>
      <c r="Q107" s="47">
        <f>1404-70</f>
        <v>1334</v>
      </c>
      <c r="R107" s="500">
        <f>70-70</f>
        <v>0</v>
      </c>
      <c r="S107" s="500">
        <f>56-5</f>
        <v>51</v>
      </c>
      <c r="T107" s="37">
        <f>E107*M107*O107*Q107/100000000</f>
        <v>38.317739683384602</v>
      </c>
      <c r="U107" s="37">
        <f>E107*M107*O107*(Q107-R107-S107)/100000000</f>
        <v>36.852818601036319</v>
      </c>
      <c r="V107" s="37">
        <f>E107*G107*(1-N107)*O107/100*(R107+S107)/1000000</f>
        <v>1.510812084588566</v>
      </c>
      <c r="W107" s="37">
        <f>+'18'!K7/1000</f>
        <v>34.366999999999997</v>
      </c>
      <c r="X107" s="501">
        <f>SUM(W107:W111)/SUM(K107:K111)</f>
        <v>0.84897980625055791</v>
      </c>
      <c r="Y107" s="211">
        <v>0</v>
      </c>
      <c r="Z107" s="37">
        <f>+'17'!D39/1000</f>
        <v>0</v>
      </c>
      <c r="AA107" s="49">
        <f>SUM(U107:U111)-SUM(W107:W111)-SUM(Z107:Z111)-SUM(Y107:Y111)</f>
        <v>3.2738126672974346</v>
      </c>
      <c r="AB107" s="49">
        <f>(SUM(K107:K111)-SUM(W107:W111)-SUM(Y107:Y111)-SUM(Z107:Z111)-SUM(AC107:AC111)-SUM(V107:V111))-AA107</f>
        <v>-5.2440466101393746E-2</v>
      </c>
      <c r="AC107" s="37">
        <f>K107-T107</f>
        <v>1.200364646833961</v>
      </c>
      <c r="AD107" s="37">
        <f>+AM107+BA107</f>
        <v>24</v>
      </c>
      <c r="AE107" s="229" t="s">
        <v>499</v>
      </c>
      <c r="AF107" s="37">
        <v>24</v>
      </c>
      <c r="AG107" s="37"/>
      <c r="AH107" s="37"/>
      <c r="AI107" s="502"/>
      <c r="AJ107" s="37"/>
      <c r="AK107" s="37"/>
      <c r="AL107" s="37"/>
      <c r="AM107" s="37">
        <f t="shared" ref="AM107:AM110" si="33">SUM(AF107:AL107)+AT107+AV107+AX107</f>
        <v>24</v>
      </c>
      <c r="AN107" s="37"/>
      <c r="AO107" s="37"/>
      <c r="AP107" s="37"/>
      <c r="AQ107" s="37"/>
      <c r="AR107" s="37">
        <f>SUM(AN107:AQ107)</f>
        <v>0</v>
      </c>
      <c r="AS107" s="37"/>
      <c r="AT107" s="37"/>
      <c r="AU107" s="37"/>
      <c r="AV107" s="37"/>
      <c r="AW107" s="37"/>
      <c r="AX107" s="37"/>
      <c r="AY107" s="37"/>
      <c r="AZ107" s="37"/>
      <c r="BA107" s="37">
        <f>+AR107+AS107+AU107+AW107+AY107+AZ107</f>
        <v>0</v>
      </c>
      <c r="BB107" s="33">
        <v>9</v>
      </c>
      <c r="BC107" s="51"/>
      <c r="BD107" s="51"/>
      <c r="BE107" s="33"/>
      <c r="BF107" s="51"/>
    </row>
    <row r="108" spans="1:58" ht="12.95" customHeight="1">
      <c r="A108" s="40"/>
      <c r="B108" s="41" t="s">
        <v>461</v>
      </c>
      <c r="C108" s="414">
        <f t="shared" ref="C108" si="34">(M108*E108*O108*Q108)/100000000</f>
        <v>0.91508988340000008</v>
      </c>
      <c r="D108" s="41" t="s">
        <v>300</v>
      </c>
      <c r="E108" s="42">
        <v>10.3</v>
      </c>
      <c r="F108" s="42">
        <v>1</v>
      </c>
      <c r="G108" s="499">
        <v>1230</v>
      </c>
      <c r="H108" s="44">
        <f t="shared" ref="H108" si="35">+N108</f>
        <v>0.22999999999999998</v>
      </c>
      <c r="I108" s="45">
        <v>0.88</v>
      </c>
      <c r="J108" s="82">
        <f t="shared" ref="J108" si="36">E108*G108*(1-H108)*1440/1000000*2.74</f>
        <v>38.489840928000007</v>
      </c>
      <c r="K108" s="82">
        <f t="shared" ref="K108" si="37">(IF(G108&lt;L108,L108,G108)*(1-IF(H108&lt;N108,H108,N108))*E108*O108*Q108)/100000000</f>
        <v>0.96224602320000008</v>
      </c>
      <c r="L108" s="35">
        <v>1169.7222222222222</v>
      </c>
      <c r="M108" s="35">
        <v>900.68611111111113</v>
      </c>
      <c r="N108" s="46">
        <f t="shared" ref="N108" si="38">1-(M108/L108)</f>
        <v>0.22999999999999998</v>
      </c>
      <c r="O108" s="47">
        <v>274</v>
      </c>
      <c r="P108" s="48">
        <f t="shared" ref="P108" si="39">O108*(Q108-R108-S108)</f>
        <v>8494</v>
      </c>
      <c r="Q108" s="47">
        <v>36</v>
      </c>
      <c r="R108" s="500">
        <v>0</v>
      </c>
      <c r="S108" s="500">
        <v>5</v>
      </c>
      <c r="T108" s="37">
        <f t="shared" ref="T108" si="40">E108*M108*O108*Q108/100000000</f>
        <v>0.91508988340000008</v>
      </c>
      <c r="U108" s="37">
        <f t="shared" ref="U108" si="41">E108*M108*O108*(Q108-R108-S108)/100000000</f>
        <v>0.78799406626111124</v>
      </c>
      <c r="V108" s="37">
        <f t="shared" ref="V108" si="42">E108*G108*(1-N108)*O108/100*(R108+S108)/1000000</f>
        <v>0.133645281</v>
      </c>
      <c r="W108" s="37">
        <f>+'16'!K19/1000</f>
        <v>0</v>
      </c>
      <c r="X108" s="38"/>
      <c r="Y108" s="211"/>
      <c r="Z108" s="37"/>
      <c r="AA108" s="37"/>
      <c r="AB108" s="37"/>
      <c r="AC108" s="37">
        <f>K108-T108</f>
        <v>4.7156139799999996E-2</v>
      </c>
      <c r="AD108" s="37">
        <f>+AM108+BA108</f>
        <v>2</v>
      </c>
      <c r="AE108" s="229" t="s">
        <v>455</v>
      </c>
      <c r="AF108" s="37"/>
      <c r="AG108" s="37">
        <v>2</v>
      </c>
      <c r="AH108" s="37"/>
      <c r="AI108" s="502"/>
      <c r="AJ108" s="37"/>
      <c r="AK108" s="37"/>
      <c r="AL108" s="37"/>
      <c r="AM108" s="37">
        <f t="shared" si="33"/>
        <v>2</v>
      </c>
      <c r="AN108" s="83"/>
      <c r="AO108" s="37"/>
      <c r="AP108" s="37"/>
      <c r="AQ108" s="37"/>
      <c r="AR108" s="37">
        <f t="shared" ref="AR108:AR110" si="43">SUM(AN108:AQ108)</f>
        <v>0</v>
      </c>
      <c r="AS108" s="37"/>
      <c r="AT108" s="37"/>
      <c r="AU108" s="37"/>
      <c r="AV108" s="37"/>
      <c r="AW108" s="37"/>
      <c r="AX108" s="37"/>
      <c r="AY108" s="37"/>
      <c r="AZ108" s="37"/>
      <c r="BA108" s="37">
        <f>+AR108+AS108+AU108+AW108+AY108+AZ108</f>
        <v>0</v>
      </c>
      <c r="BB108" s="50"/>
      <c r="BC108" s="51">
        <v>1</v>
      </c>
      <c r="BD108" s="51"/>
      <c r="BE108" s="50"/>
      <c r="BF108" s="51"/>
    </row>
    <row r="109" spans="1:58" ht="12.95" customHeight="1">
      <c r="A109" s="40"/>
      <c r="B109" s="41"/>
      <c r="C109" s="414"/>
      <c r="D109" s="41"/>
      <c r="E109" s="42"/>
      <c r="F109" s="42"/>
      <c r="G109" s="499"/>
      <c r="H109" s="44"/>
      <c r="I109" s="45"/>
      <c r="J109" s="82"/>
      <c r="K109" s="82"/>
      <c r="L109" s="35"/>
      <c r="M109" s="35"/>
      <c r="N109" s="46"/>
      <c r="O109" s="47"/>
      <c r="P109" s="48"/>
      <c r="Q109" s="47"/>
      <c r="R109" s="500"/>
      <c r="S109" s="500"/>
      <c r="T109" s="37"/>
      <c r="U109" s="37"/>
      <c r="V109" s="37"/>
      <c r="W109" s="37"/>
      <c r="X109" s="38"/>
      <c r="Y109" s="211"/>
      <c r="Z109" s="37"/>
      <c r="AA109" s="37"/>
      <c r="AB109" s="37"/>
      <c r="AC109" s="37"/>
      <c r="AD109" s="37">
        <f>+AM109+BA109</f>
        <v>30</v>
      </c>
      <c r="AE109" s="229" t="s">
        <v>500</v>
      </c>
      <c r="AF109" s="33"/>
      <c r="AG109" s="33"/>
      <c r="AH109" s="33">
        <v>30</v>
      </c>
      <c r="AJ109" s="37"/>
      <c r="AK109" s="37"/>
      <c r="AL109" s="37"/>
      <c r="AM109" s="37">
        <f t="shared" si="33"/>
        <v>30</v>
      </c>
      <c r="AN109" s="37"/>
      <c r="AO109" s="37"/>
      <c r="AP109" s="37"/>
      <c r="AQ109" s="37"/>
      <c r="AR109" s="37">
        <f t="shared" si="43"/>
        <v>0</v>
      </c>
      <c r="AS109" s="37"/>
      <c r="AT109" s="37"/>
      <c r="AU109" s="37"/>
      <c r="AV109" s="37"/>
      <c r="AW109" s="37"/>
      <c r="AX109" s="37"/>
      <c r="AY109" s="37"/>
      <c r="AZ109" s="37"/>
      <c r="BA109" s="37">
        <f>+AR109+AS109+AU109+AW109+AY109+AZ109</f>
        <v>0</v>
      </c>
      <c r="BB109" s="33"/>
      <c r="BC109" s="503"/>
      <c r="BD109" s="503"/>
      <c r="BE109" s="33"/>
      <c r="BF109" s="503"/>
    </row>
    <row r="110" spans="1:58" ht="12.95" customHeight="1">
      <c r="A110" s="40"/>
      <c r="B110" s="41"/>
      <c r="C110" s="414"/>
      <c r="D110" s="41"/>
      <c r="E110" s="42"/>
      <c r="F110" s="42"/>
      <c r="G110" s="43"/>
      <c r="H110" s="44"/>
      <c r="I110" s="45"/>
      <c r="J110" s="82"/>
      <c r="K110" s="82"/>
      <c r="L110" s="35"/>
      <c r="M110" s="35"/>
      <c r="N110" s="46"/>
      <c r="O110" s="47"/>
      <c r="P110" s="48"/>
      <c r="Q110" s="34"/>
      <c r="R110" s="500"/>
      <c r="S110" s="500"/>
      <c r="T110" s="37"/>
      <c r="U110" s="37"/>
      <c r="V110" s="37"/>
      <c r="W110" s="37"/>
      <c r="X110" s="38"/>
      <c r="Y110" s="211"/>
      <c r="Z110" s="37"/>
      <c r="AA110" s="37"/>
      <c r="AB110" s="37"/>
      <c r="AC110" s="37"/>
      <c r="AD110" s="37">
        <f>+AM110+BA110</f>
        <v>0</v>
      </c>
      <c r="AE110" s="232" t="s">
        <v>501</v>
      </c>
      <c r="AF110" s="37"/>
      <c r="AG110" s="37"/>
      <c r="AH110" s="37"/>
      <c r="AI110" s="502">
        <v>0</v>
      </c>
      <c r="AJ110" s="37"/>
      <c r="AK110" s="37"/>
      <c r="AL110" s="37"/>
      <c r="AM110" s="37">
        <f t="shared" si="33"/>
        <v>0</v>
      </c>
      <c r="AN110" s="37"/>
      <c r="AO110" s="37"/>
      <c r="AP110" s="37"/>
      <c r="AQ110" s="37"/>
      <c r="AR110" s="37">
        <f t="shared" si="43"/>
        <v>0</v>
      </c>
      <c r="AS110" s="37"/>
      <c r="AT110" s="37"/>
      <c r="AU110" s="37"/>
      <c r="AV110" s="37"/>
      <c r="AW110" s="37"/>
      <c r="AX110" s="37"/>
      <c r="AY110" s="37"/>
      <c r="AZ110" s="37">
        <f>70-70</f>
        <v>0</v>
      </c>
      <c r="BA110" s="37">
        <f>+AR110+AS110+AU110+AW110+AY110+AZ110</f>
        <v>0</v>
      </c>
      <c r="BB110" s="50"/>
      <c r="BC110" s="51"/>
      <c r="BD110" s="51"/>
      <c r="BE110" s="50"/>
      <c r="BF110" s="51"/>
    </row>
    <row r="111" spans="1:58" ht="12.95" customHeight="1">
      <c r="A111" s="40"/>
      <c r="B111" s="41"/>
      <c r="C111" s="414"/>
      <c r="D111" s="41"/>
      <c r="E111" s="42"/>
      <c r="F111" s="42"/>
      <c r="G111" s="43"/>
      <c r="H111" s="44"/>
      <c r="I111" s="45"/>
      <c r="J111" s="82"/>
      <c r="K111" s="82"/>
      <c r="L111" s="35"/>
      <c r="M111" s="35"/>
      <c r="N111" s="46"/>
      <c r="O111" s="47"/>
      <c r="P111" s="48"/>
      <c r="Q111" s="34"/>
      <c r="R111" s="500"/>
      <c r="S111" s="500"/>
      <c r="T111" s="37"/>
      <c r="U111" s="37"/>
      <c r="V111" s="37"/>
      <c r="W111" s="37"/>
      <c r="X111" s="38"/>
      <c r="Y111" s="211"/>
      <c r="Z111" s="37"/>
      <c r="AA111" s="37"/>
      <c r="AB111" s="37"/>
      <c r="AC111" s="37"/>
      <c r="AD111" s="37"/>
      <c r="AE111" s="232"/>
      <c r="AF111" s="37"/>
      <c r="AG111" s="37"/>
      <c r="AH111" s="37"/>
      <c r="AI111" s="502"/>
      <c r="AJ111" s="37"/>
      <c r="AK111" s="37"/>
      <c r="AL111" s="37"/>
      <c r="AM111" s="37"/>
      <c r="AN111" s="37"/>
      <c r="AO111" s="37"/>
      <c r="AP111" s="37"/>
      <c r="AQ111" s="37"/>
      <c r="AR111" s="37"/>
      <c r="AS111" s="37"/>
      <c r="AT111" s="37"/>
      <c r="AU111" s="37"/>
      <c r="AV111" s="37"/>
      <c r="AW111" s="37"/>
      <c r="AX111" s="37"/>
      <c r="AY111" s="37"/>
      <c r="AZ111" s="37"/>
      <c r="BA111" s="37"/>
      <c r="BB111" s="50"/>
      <c r="BC111" s="51"/>
      <c r="BD111" s="51"/>
      <c r="BE111" s="51"/>
      <c r="BF111" s="51"/>
    </row>
    <row r="112" spans="1:58" ht="12.75" customHeight="1">
      <c r="A112" s="40">
        <v>45980</v>
      </c>
      <c r="B112" s="41" t="s">
        <v>461</v>
      </c>
      <c r="C112" s="414">
        <f>(M112*E112*O112*Q112)/100000000</f>
        <v>22.967954167813946</v>
      </c>
      <c r="D112" s="41" t="s">
        <v>300</v>
      </c>
      <c r="E112" s="42">
        <v>12</v>
      </c>
      <c r="F112" s="42">
        <v>1</v>
      </c>
      <c r="G112" s="499">
        <v>1230</v>
      </c>
      <c r="H112" s="44">
        <f>+N112</f>
        <v>0.23390088945362153</v>
      </c>
      <c r="I112" s="45">
        <v>0.88</v>
      </c>
      <c r="J112" s="82">
        <f>E112*G112*(1-H112)*1440/1000000*2.74</f>
        <v>44.615356802439635</v>
      </c>
      <c r="K112" s="82">
        <f>(IF(G112&lt;L112,L112,G112)*(1-IF(H112&lt;N112,H112,N112))*E112*O112*Q112)/100000000</f>
        <v>22.967954167813946</v>
      </c>
      <c r="L112" s="35">
        <v>1230</v>
      </c>
      <c r="M112" s="35">
        <v>942.30190597204557</v>
      </c>
      <c r="N112" s="46">
        <f>1-(M112/L112)</f>
        <v>0.23390088945362153</v>
      </c>
      <c r="O112" s="47">
        <f>+'Trim Rwd'!H41</f>
        <v>258.09302325581393</v>
      </c>
      <c r="P112" s="48">
        <f>O112*(Q112-R112-S112)</f>
        <v>195634.51162790696</v>
      </c>
      <c r="Q112" s="47">
        <f>1440-653</f>
        <v>787</v>
      </c>
      <c r="R112" s="500">
        <f>653-653</f>
        <v>0</v>
      </c>
      <c r="S112" s="500">
        <v>29</v>
      </c>
      <c r="T112" s="37">
        <f>E112*M112*O112*Q112/100000000</f>
        <v>22.967954167813946</v>
      </c>
      <c r="U112" s="37">
        <f>E112*M112*O112*(Q112-R112-S112)/100000000</f>
        <v>22.121612781706443</v>
      </c>
      <c r="V112" s="37">
        <f>E112*G112*(1-N112)*O112/100*(R112+S112)/1000000</f>
        <v>0.84634138610750242</v>
      </c>
      <c r="W112" s="37">
        <f>+'19'!K7/1000</f>
        <v>25.437000000000001</v>
      </c>
      <c r="X112" s="501">
        <f>SUM(W112:W116)/SUM(K112:K116)</f>
        <v>1.1074995976631667</v>
      </c>
      <c r="Y112" s="211">
        <v>0</v>
      </c>
      <c r="Z112" s="37">
        <f>+'17'!D44/1000</f>
        <v>0</v>
      </c>
      <c r="AA112" s="49">
        <f>SUM(U112:U116)-SUM(W112:W116)-SUM(Z112:Z116)-SUM(Y112:Y116)</f>
        <v>-3.3153872182935586</v>
      </c>
      <c r="AB112" s="49">
        <f>(SUM(K112:K116)-SUM(W112:W116)-SUM(Y112:Y116)-SUM(Z112:Z116)-SUM(AC112:AC116)-SUM(V112:V116))-AA112</f>
        <v>0</v>
      </c>
      <c r="AC112" s="37">
        <f>K112-T112</f>
        <v>0</v>
      </c>
      <c r="AD112" s="37">
        <f>+AM112+BA112</f>
        <v>9</v>
      </c>
      <c r="AE112" s="229" t="s">
        <v>460</v>
      </c>
      <c r="AF112" s="37">
        <v>9</v>
      </c>
      <c r="AG112" s="37"/>
      <c r="AH112" s="37"/>
      <c r="AI112" s="502"/>
      <c r="AJ112" s="37"/>
      <c r="AK112" s="37"/>
      <c r="AL112" s="37"/>
      <c r="AM112" s="37">
        <f t="shared" ref="AM112:AM115" si="44">SUM(AF112:AL112)+AT112+AV112+AX112</f>
        <v>9</v>
      </c>
      <c r="AN112" s="37"/>
      <c r="AO112" s="37"/>
      <c r="AP112" s="37"/>
      <c r="AQ112" s="37"/>
      <c r="AR112" s="37">
        <f>SUM(AN112:AQ112)</f>
        <v>0</v>
      </c>
      <c r="AS112" s="37"/>
      <c r="AT112" s="37"/>
      <c r="AU112" s="37"/>
      <c r="AV112" s="37"/>
      <c r="AW112" s="37"/>
      <c r="AX112" s="37"/>
      <c r="AY112" s="37"/>
      <c r="AZ112" s="37"/>
      <c r="BA112" s="37">
        <f>+AR112+AS112+AU112+AW112+AY112+AZ112</f>
        <v>0</v>
      </c>
      <c r="BB112" s="33">
        <v>3</v>
      </c>
      <c r="BC112" s="51"/>
      <c r="BD112" s="51"/>
      <c r="BE112" s="33"/>
      <c r="BF112" s="51"/>
    </row>
    <row r="113" spans="1:58" ht="12.95" customHeight="1">
      <c r="A113" s="40"/>
      <c r="B113" s="41"/>
      <c r="C113" s="414"/>
      <c r="D113" s="41"/>
      <c r="E113" s="42"/>
      <c r="F113" s="42"/>
      <c r="G113" s="499"/>
      <c r="H113" s="44"/>
      <c r="I113" s="45"/>
      <c r="J113" s="82"/>
      <c r="K113" s="82"/>
      <c r="L113" s="35"/>
      <c r="M113" s="35"/>
      <c r="N113" s="46"/>
      <c r="O113" s="47"/>
      <c r="P113" s="48"/>
      <c r="Q113" s="47"/>
      <c r="R113" s="500"/>
      <c r="S113" s="500"/>
      <c r="T113" s="37"/>
      <c r="U113" s="37"/>
      <c r="V113" s="37"/>
      <c r="W113" s="37"/>
      <c r="X113" s="38"/>
      <c r="Y113" s="211"/>
      <c r="Z113" s="37"/>
      <c r="AA113" s="37"/>
      <c r="AB113" s="37"/>
      <c r="AC113" s="37"/>
      <c r="AD113" s="37">
        <f>+AM113+BA113</f>
        <v>4</v>
      </c>
      <c r="AE113" s="229" t="s">
        <v>510</v>
      </c>
      <c r="AF113" s="37"/>
      <c r="AG113" s="37">
        <v>4</v>
      </c>
      <c r="AH113" s="37"/>
      <c r="AI113" s="502"/>
      <c r="AJ113" s="37"/>
      <c r="AK113" s="37"/>
      <c r="AL113" s="37"/>
      <c r="AM113" s="37">
        <f t="shared" si="44"/>
        <v>4</v>
      </c>
      <c r="AN113" s="83"/>
      <c r="AO113" s="37"/>
      <c r="AP113" s="37"/>
      <c r="AQ113" s="37"/>
      <c r="AR113" s="37">
        <f t="shared" ref="AR113:AR115" si="45">SUM(AN113:AQ113)</f>
        <v>0</v>
      </c>
      <c r="AS113" s="37"/>
      <c r="AT113" s="37"/>
      <c r="AU113" s="37"/>
      <c r="AV113" s="37"/>
      <c r="AW113" s="37"/>
      <c r="AX113" s="37"/>
      <c r="AY113" s="37"/>
      <c r="AZ113" s="37"/>
      <c r="BA113" s="37">
        <f>+AR113+AS113+AU113+AW113+AY113+AZ113</f>
        <v>0</v>
      </c>
      <c r="BB113" s="50"/>
      <c r="BC113" s="51">
        <v>2</v>
      </c>
      <c r="BD113" s="51"/>
      <c r="BE113" s="50"/>
      <c r="BF113" s="51"/>
    </row>
    <row r="114" spans="1:58" ht="12.95" customHeight="1">
      <c r="A114" s="40"/>
      <c r="B114" s="41"/>
      <c r="C114" s="414"/>
      <c r="D114" s="41"/>
      <c r="E114" s="42"/>
      <c r="F114" s="42"/>
      <c r="G114" s="499"/>
      <c r="H114" s="44"/>
      <c r="I114" s="45"/>
      <c r="J114" s="82"/>
      <c r="K114" s="82"/>
      <c r="L114" s="35"/>
      <c r="M114" s="35"/>
      <c r="N114" s="46"/>
      <c r="O114" s="47"/>
      <c r="P114" s="48"/>
      <c r="Q114" s="47"/>
      <c r="R114" s="500"/>
      <c r="S114" s="500"/>
      <c r="T114" s="37"/>
      <c r="U114" s="37"/>
      <c r="V114" s="37"/>
      <c r="W114" s="37"/>
      <c r="X114" s="38"/>
      <c r="Y114" s="211"/>
      <c r="Z114" s="37"/>
      <c r="AA114" s="37"/>
      <c r="AB114" s="37"/>
      <c r="AC114" s="37"/>
      <c r="AD114" s="37">
        <f>+AM114+BA114</f>
        <v>16</v>
      </c>
      <c r="AE114" s="229" t="s">
        <v>511</v>
      </c>
      <c r="AF114" s="33"/>
      <c r="AG114" s="33"/>
      <c r="AH114" s="33">
        <v>16</v>
      </c>
      <c r="AJ114" s="37"/>
      <c r="AK114" s="37"/>
      <c r="AL114" s="37"/>
      <c r="AM114" s="37">
        <f t="shared" si="44"/>
        <v>16</v>
      </c>
      <c r="AN114" s="37"/>
      <c r="AO114" s="37"/>
      <c r="AP114" s="37"/>
      <c r="AQ114" s="37"/>
      <c r="AR114" s="37">
        <f t="shared" si="45"/>
        <v>0</v>
      </c>
      <c r="AS114" s="37"/>
      <c r="AT114" s="37"/>
      <c r="AU114" s="37"/>
      <c r="AV114" s="37"/>
      <c r="AW114" s="37"/>
      <c r="AX114" s="37"/>
      <c r="AY114" s="37"/>
      <c r="AZ114" s="37"/>
      <c r="BA114" s="37">
        <f>+AR114+AS114+AU114+AW114+AY114+AZ114</f>
        <v>0</v>
      </c>
      <c r="BB114" s="33"/>
      <c r="BC114" s="503"/>
      <c r="BD114" s="503"/>
      <c r="BE114" s="33"/>
      <c r="BF114" s="503"/>
    </row>
    <row r="115" spans="1:58" ht="12.95" customHeight="1">
      <c r="A115" s="40"/>
      <c r="B115" s="41"/>
      <c r="C115" s="414"/>
      <c r="D115" s="41"/>
      <c r="E115" s="42"/>
      <c r="F115" s="42"/>
      <c r="G115" s="43"/>
      <c r="H115" s="44"/>
      <c r="I115" s="45"/>
      <c r="J115" s="82"/>
      <c r="K115" s="82"/>
      <c r="L115" s="35"/>
      <c r="M115" s="35"/>
      <c r="N115" s="46"/>
      <c r="O115" s="47"/>
      <c r="P115" s="48"/>
      <c r="Q115" s="34"/>
      <c r="R115" s="500"/>
      <c r="S115" s="500"/>
      <c r="T115" s="37"/>
      <c r="U115" s="37"/>
      <c r="V115" s="37"/>
      <c r="W115" s="37"/>
      <c r="X115" s="38"/>
      <c r="Y115" s="211"/>
      <c r="Z115" s="37"/>
      <c r="AA115" s="37"/>
      <c r="AB115" s="37"/>
      <c r="AC115" s="37"/>
      <c r="AD115" s="37">
        <f>+AM115+BA115</f>
        <v>0</v>
      </c>
      <c r="AE115" s="232" t="s">
        <v>512</v>
      </c>
      <c r="AF115" s="37"/>
      <c r="AG115" s="37"/>
      <c r="AH115" s="37"/>
      <c r="AI115" s="502">
        <v>0</v>
      </c>
      <c r="AJ115" s="37"/>
      <c r="AK115" s="37"/>
      <c r="AL115" s="37"/>
      <c r="AM115" s="37">
        <f t="shared" si="44"/>
        <v>0</v>
      </c>
      <c r="AN115" s="37"/>
      <c r="AO115" s="37"/>
      <c r="AP115" s="37"/>
      <c r="AQ115" s="37"/>
      <c r="AR115" s="37">
        <f t="shared" si="45"/>
        <v>0</v>
      </c>
      <c r="AS115" s="37"/>
      <c r="AT115" s="37"/>
      <c r="AU115" s="37"/>
      <c r="AV115" s="37"/>
      <c r="AW115" s="37"/>
      <c r="AX115" s="37"/>
      <c r="AY115" s="37"/>
      <c r="AZ115" s="37">
        <f>653-653</f>
        <v>0</v>
      </c>
      <c r="BA115" s="37">
        <f>+AR115+AS115+AU115+AW115+AY115+AZ115</f>
        <v>0</v>
      </c>
      <c r="BB115" s="50"/>
      <c r="BC115" s="51"/>
      <c r="BD115" s="51"/>
      <c r="BE115" s="50"/>
      <c r="BF115" s="51"/>
    </row>
    <row r="116" spans="1:58" ht="12.95" customHeight="1">
      <c r="A116" s="40"/>
      <c r="B116" s="41"/>
      <c r="C116" s="414"/>
      <c r="D116" s="41"/>
      <c r="E116" s="42"/>
      <c r="F116" s="42"/>
      <c r="G116" s="43"/>
      <c r="H116" s="44"/>
      <c r="I116" s="45"/>
      <c r="J116" s="82"/>
      <c r="K116" s="82"/>
      <c r="L116" s="35"/>
      <c r="M116" s="35"/>
      <c r="N116" s="46"/>
      <c r="O116" s="47"/>
      <c r="P116" s="48"/>
      <c r="Q116" s="34"/>
      <c r="R116" s="500"/>
      <c r="S116" s="500"/>
      <c r="T116" s="37"/>
      <c r="U116" s="37"/>
      <c r="V116" s="37"/>
      <c r="W116" s="37"/>
      <c r="X116" s="38"/>
      <c r="Y116" s="211"/>
      <c r="Z116" s="37"/>
      <c r="AA116" s="37"/>
      <c r="AB116" s="37"/>
      <c r="AC116" s="37"/>
      <c r="AD116" s="37"/>
      <c r="AE116" s="232"/>
      <c r="AF116" s="37"/>
      <c r="AG116" s="37"/>
      <c r="AH116" s="37"/>
      <c r="AI116" s="502"/>
      <c r="AJ116" s="37"/>
      <c r="AK116" s="37"/>
      <c r="AL116" s="37"/>
      <c r="AM116" s="37"/>
      <c r="AN116" s="37"/>
      <c r="AO116" s="37"/>
      <c r="AP116" s="37"/>
      <c r="AQ116" s="37"/>
      <c r="AR116" s="37"/>
      <c r="AS116" s="37"/>
      <c r="AT116" s="37"/>
      <c r="AU116" s="37"/>
      <c r="AV116" s="37"/>
      <c r="AW116" s="37"/>
      <c r="AX116" s="37"/>
      <c r="AY116" s="37"/>
      <c r="AZ116" s="37"/>
      <c r="BA116" s="37"/>
      <c r="BB116" s="50"/>
      <c r="BC116" s="37"/>
      <c r="BD116" s="51"/>
      <c r="BE116" s="51"/>
      <c r="BF116" s="51"/>
    </row>
    <row r="117" spans="1:58" ht="12" customHeight="1">
      <c r="A117" s="40">
        <v>45981</v>
      </c>
      <c r="B117" s="41" t="s">
        <v>461</v>
      </c>
      <c r="C117" s="414">
        <f>(M117*E117*O117*Q117)/100000000</f>
        <v>17.350376159999996</v>
      </c>
      <c r="D117" s="41" t="s">
        <v>300</v>
      </c>
      <c r="E117" s="42">
        <v>13</v>
      </c>
      <c r="F117" s="42">
        <v>1</v>
      </c>
      <c r="G117" s="499">
        <v>1230</v>
      </c>
      <c r="H117" s="44">
        <f>+N117</f>
        <v>0.23180279180279184</v>
      </c>
      <c r="I117" s="45">
        <v>0.88</v>
      </c>
      <c r="J117" s="82">
        <f>E117*G117*(1-H117)*1440/1000000*2.74</f>
        <v>48.465672485559843</v>
      </c>
      <c r="K117" s="82">
        <f>(IF(G117&lt;L117,L117,G117)*(1-IF(H117&lt;N117,H117,N117))*E117*O117*Q117)/100000000</f>
        <v>18.697903147181467</v>
      </c>
      <c r="L117" s="35">
        <v>1141.3559322033898</v>
      </c>
      <c r="M117" s="35">
        <v>876.78644067796608</v>
      </c>
      <c r="N117" s="46">
        <f>1-(M117/L117)</f>
        <v>0.23180279180279184</v>
      </c>
      <c r="O117" s="47">
        <f>+'Trim Rwd'!H44</f>
        <v>258</v>
      </c>
      <c r="P117" s="48">
        <f>O117*(Q117-R117-S117)</f>
        <v>146802</v>
      </c>
      <c r="Q117" s="47">
        <f>1313-723</f>
        <v>590</v>
      </c>
      <c r="R117" s="500">
        <f>723-723</f>
        <v>0</v>
      </c>
      <c r="S117" s="500">
        <v>21</v>
      </c>
      <c r="T117" s="37">
        <f>E117*M117*O117*Q117/100000000</f>
        <v>17.350376159999996</v>
      </c>
      <c r="U117" s="37">
        <f>E117*M117*O117*(Q117-R117-S117)/100000000</f>
        <v>16.73282039837288</v>
      </c>
      <c r="V117" s="37">
        <f>E117*G117*(1-N117)*O117/100*(R117+S117)/1000000</f>
        <v>0.66551858659459451</v>
      </c>
      <c r="W117" s="37">
        <f>+'20'!K8/1000</f>
        <v>8.5809999999999995</v>
      </c>
      <c r="X117" s="501">
        <f>SUM(W117:W121)/SUM(K117:K121)</f>
        <v>0.5106185064612293</v>
      </c>
      <c r="Y117" s="211">
        <v>0</v>
      </c>
      <c r="Z117" s="37">
        <f>+'20'!D25/1000</f>
        <v>0.16800000000000001</v>
      </c>
      <c r="AA117" s="49">
        <f>SUM(U117:U121)-SUM(W117:W121)-SUM(Z117:Z121)-SUM(Y117:Y121)</f>
        <v>8.2646692734594964</v>
      </c>
      <c r="AB117" s="49">
        <f>(SUM(K117:K121)-SUM(W117:W121)-SUM(Y117:Y121)-SUM(Z117:Z121)-SUM(AC117:AC121)-SUM(V117:V121))-AA117</f>
        <v>-9.6522612054094736E-2</v>
      </c>
      <c r="AC117" s="37">
        <f>K117-T117</f>
        <v>1.347526987181471</v>
      </c>
      <c r="AD117" s="37">
        <f>+AM117+BA117</f>
        <v>14</v>
      </c>
      <c r="AE117" s="229" t="s">
        <v>480</v>
      </c>
      <c r="AF117" s="37">
        <v>14</v>
      </c>
      <c r="AG117" s="37"/>
      <c r="AH117" s="37"/>
      <c r="AI117" s="502"/>
      <c r="AJ117" s="37"/>
      <c r="AK117" s="37"/>
      <c r="AL117" s="37"/>
      <c r="AM117" s="37">
        <f t="shared" ref="AM117:AM120" si="46">SUM(AF117:AL117)+AT117+AV117+AX117</f>
        <v>14</v>
      </c>
      <c r="AN117" s="37"/>
      <c r="AO117" s="37"/>
      <c r="AP117" s="37"/>
      <c r="AQ117" s="37"/>
      <c r="AR117" s="37">
        <f>SUM(AN117:AQ117)</f>
        <v>0</v>
      </c>
      <c r="AS117" s="37"/>
      <c r="AT117" s="37"/>
      <c r="AU117" s="37"/>
      <c r="AV117" s="37"/>
      <c r="AW117" s="37"/>
      <c r="AX117" s="37"/>
      <c r="AY117" s="37"/>
      <c r="AZ117" s="37"/>
      <c r="BA117" s="37">
        <f>+AR117+AS117+AU117+AW117+AY117+AZ117</f>
        <v>0</v>
      </c>
      <c r="BB117" s="33">
        <v>5</v>
      </c>
      <c r="BC117" s="51"/>
      <c r="BD117" s="51"/>
      <c r="BE117" s="33"/>
      <c r="BF117" s="51"/>
    </row>
    <row r="118" spans="1:58" ht="12.95" customHeight="1">
      <c r="A118" s="40"/>
      <c r="B118" s="41" t="s">
        <v>461</v>
      </c>
      <c r="C118" s="414">
        <f>(M118*E118*O118*Q118)/100000000</f>
        <v>3.8044086080000001</v>
      </c>
      <c r="D118" s="41" t="s">
        <v>300</v>
      </c>
      <c r="E118" s="42">
        <v>14</v>
      </c>
      <c r="F118" s="42">
        <v>1</v>
      </c>
      <c r="G118" s="499">
        <v>1230</v>
      </c>
      <c r="H118" s="44">
        <f>+N118</f>
        <v>0.24</v>
      </c>
      <c r="I118" s="45">
        <v>0.88</v>
      </c>
      <c r="J118" s="82">
        <f>E118*G118*(1-H118)*1440/1000000*2.74</f>
        <v>51.636856320000007</v>
      </c>
      <c r="K118" s="82">
        <f>(IF(G118&lt;L118,L118,G118)*(1-IF(H118&lt;N118,H118,N118))*E118*O118*Q118)/100000000</f>
        <v>4.4211179039999999</v>
      </c>
      <c r="L118" s="35">
        <v>1058.4251968503936</v>
      </c>
      <c r="M118" s="35">
        <v>804.40314960629917</v>
      </c>
      <c r="N118" s="46">
        <f>1-(M118/L118)</f>
        <v>0.24</v>
      </c>
      <c r="O118" s="47">
        <f>+'Trim Rwd'!H45</f>
        <v>266</v>
      </c>
      <c r="P118" s="48">
        <f>O118*(Q118-R118-S118)</f>
        <v>31122</v>
      </c>
      <c r="Q118" s="47">
        <v>127</v>
      </c>
      <c r="R118" s="500">
        <v>0</v>
      </c>
      <c r="S118" s="500">
        <v>10</v>
      </c>
      <c r="T118" s="37">
        <f>E118*M118*O118*Q118/100000000</f>
        <v>3.8044086080000001</v>
      </c>
      <c r="U118" s="37">
        <f>E118*M118*O118*(Q118-R118-S118)/100000000</f>
        <v>3.5048488750866147</v>
      </c>
      <c r="V118" s="37">
        <f>E118*G118*(1-N118)*O118/100*(R118+S118)/1000000</f>
        <v>0.34811952000000002</v>
      </c>
      <c r="W118" s="37">
        <f>+'20'!K9/1000</f>
        <v>3.2240000000000002</v>
      </c>
      <c r="X118" s="38"/>
      <c r="Y118" s="211"/>
      <c r="Z118" s="37"/>
      <c r="AA118" s="37"/>
      <c r="AB118" s="37"/>
      <c r="AC118" s="37">
        <f>K118-T118</f>
        <v>0.6167092959999998</v>
      </c>
      <c r="AD118" s="37">
        <f>+AM118+BA118</f>
        <v>0</v>
      </c>
      <c r="AE118" s="229" t="s">
        <v>282</v>
      </c>
      <c r="AF118" s="37"/>
      <c r="AG118" s="37">
        <v>0</v>
      </c>
      <c r="AH118" s="37"/>
      <c r="AI118" s="502"/>
      <c r="AJ118" s="37"/>
      <c r="AK118" s="37"/>
      <c r="AL118" s="37"/>
      <c r="AM118" s="37">
        <f t="shared" si="46"/>
        <v>0</v>
      </c>
      <c r="AN118" s="83"/>
      <c r="AO118" s="37"/>
      <c r="AP118" s="37"/>
      <c r="AQ118" s="37"/>
      <c r="AR118" s="37">
        <f t="shared" ref="AR118:AR120" si="47">SUM(AN118:AQ118)</f>
        <v>0</v>
      </c>
      <c r="AS118" s="37"/>
      <c r="AT118" s="37"/>
      <c r="AU118" s="37"/>
      <c r="AV118" s="37"/>
      <c r="AW118" s="37"/>
      <c r="AX118" s="37"/>
      <c r="AY118" s="37"/>
      <c r="AZ118" s="37"/>
      <c r="BA118" s="37">
        <f>+AR118+AS118+AU118+AW118+AY118+AZ118</f>
        <v>0</v>
      </c>
      <c r="BB118" s="50"/>
      <c r="BC118" s="51">
        <v>0</v>
      </c>
      <c r="BD118" s="51"/>
      <c r="BE118" s="50"/>
      <c r="BF118" s="51"/>
    </row>
    <row r="119" spans="1:58" ht="12.95" customHeight="1">
      <c r="A119" s="40"/>
      <c r="B119" s="41"/>
      <c r="C119" s="414"/>
      <c r="D119" s="41"/>
      <c r="E119" s="42"/>
      <c r="F119" s="42"/>
      <c r="G119" s="499"/>
      <c r="H119" s="44"/>
      <c r="I119" s="45"/>
      <c r="J119" s="82"/>
      <c r="K119" s="82"/>
      <c r="L119" s="35"/>
      <c r="M119" s="35"/>
      <c r="N119" s="46"/>
      <c r="O119" s="47"/>
      <c r="P119" s="48"/>
      <c r="Q119" s="47"/>
      <c r="R119" s="500"/>
      <c r="S119" s="500"/>
      <c r="T119" s="37"/>
      <c r="U119" s="37"/>
      <c r="V119" s="37"/>
      <c r="W119" s="37"/>
      <c r="X119" s="38"/>
      <c r="Y119" s="211"/>
      <c r="Z119" s="37"/>
      <c r="AA119" s="37"/>
      <c r="AB119" s="37"/>
      <c r="AC119" s="37"/>
      <c r="AD119" s="37">
        <f>+AM119+BA119</f>
        <v>17</v>
      </c>
      <c r="AE119" s="229" t="s">
        <v>527</v>
      </c>
      <c r="AF119" s="33"/>
      <c r="AG119" s="33"/>
      <c r="AH119" s="33">
        <v>17</v>
      </c>
      <c r="AJ119" s="37"/>
      <c r="AK119" s="37"/>
      <c r="AL119" s="37"/>
      <c r="AM119" s="37">
        <f t="shared" si="46"/>
        <v>17</v>
      </c>
      <c r="AN119" s="37"/>
      <c r="AO119" s="37"/>
      <c r="AP119" s="37"/>
      <c r="AQ119" s="37"/>
      <c r="AR119" s="37">
        <f t="shared" si="47"/>
        <v>0</v>
      </c>
      <c r="AS119" s="37"/>
      <c r="AT119" s="37"/>
      <c r="AU119" s="37"/>
      <c r="AV119" s="37"/>
      <c r="AW119" s="37"/>
      <c r="AX119" s="37"/>
      <c r="AY119" s="37"/>
      <c r="AZ119" s="37"/>
      <c r="BA119" s="37">
        <f>+AR119+AS119+AU119+AW119+AY119+AZ119</f>
        <v>0</v>
      </c>
      <c r="BB119" s="33"/>
      <c r="BC119" s="503"/>
      <c r="BD119" s="503"/>
      <c r="BE119" s="33"/>
      <c r="BF119" s="503"/>
    </row>
    <row r="120" spans="1:58" ht="12.95" customHeight="1">
      <c r="A120" s="40"/>
      <c r="B120" s="41"/>
      <c r="C120" s="414"/>
      <c r="D120" s="41"/>
      <c r="E120" s="42"/>
      <c r="F120" s="42"/>
      <c r="G120" s="43"/>
      <c r="H120" s="44"/>
      <c r="I120" s="45"/>
      <c r="J120" s="82"/>
      <c r="K120" s="82"/>
      <c r="L120" s="35"/>
      <c r="M120" s="35"/>
      <c r="N120" s="46"/>
      <c r="O120" s="47"/>
      <c r="P120" s="48"/>
      <c r="Q120" s="34"/>
      <c r="R120" s="500"/>
      <c r="S120" s="500"/>
      <c r="T120" s="37"/>
      <c r="U120" s="37"/>
      <c r="V120" s="37"/>
      <c r="W120" s="37"/>
      <c r="X120" s="38"/>
      <c r="Y120" s="211"/>
      <c r="Z120" s="37"/>
      <c r="AA120" s="37"/>
      <c r="AB120" s="37"/>
      <c r="AC120" s="37"/>
      <c r="AD120" s="37">
        <f>+AM120+BA120</f>
        <v>0</v>
      </c>
      <c r="AE120" s="232" t="s">
        <v>526</v>
      </c>
      <c r="AF120" s="37"/>
      <c r="AG120" s="37"/>
      <c r="AH120" s="37"/>
      <c r="AI120" s="502">
        <v>0</v>
      </c>
      <c r="AJ120" s="37"/>
      <c r="AK120" s="37"/>
      <c r="AL120" s="37"/>
      <c r="AM120" s="37">
        <f t="shared" si="46"/>
        <v>0</v>
      </c>
      <c r="AN120" s="37"/>
      <c r="AO120" s="37"/>
      <c r="AP120" s="37"/>
      <c r="AQ120" s="37"/>
      <c r="AR120" s="37">
        <f t="shared" si="47"/>
        <v>0</v>
      </c>
      <c r="AS120" s="37"/>
      <c r="AT120" s="37"/>
      <c r="AU120" s="37"/>
      <c r="AV120" s="37"/>
      <c r="AW120" s="37"/>
      <c r="AX120" s="37"/>
      <c r="AY120" s="37"/>
      <c r="AZ120" s="37">
        <f>723-723</f>
        <v>0</v>
      </c>
      <c r="BA120" s="37">
        <f>+AR120+AS120+AU120+AW120+AY120+AZ120</f>
        <v>0</v>
      </c>
      <c r="BB120" s="50"/>
      <c r="BC120" s="51"/>
      <c r="BD120" s="51"/>
      <c r="BE120" s="50"/>
      <c r="BF120" s="51"/>
    </row>
    <row r="121" spans="1:58" ht="12.95" customHeight="1">
      <c r="A121" s="40"/>
      <c r="B121" s="41"/>
      <c r="C121" s="414"/>
      <c r="D121" s="41"/>
      <c r="E121" s="42"/>
      <c r="F121" s="42"/>
      <c r="G121" s="43"/>
      <c r="H121" s="44"/>
      <c r="I121" s="45"/>
      <c r="J121" s="82"/>
      <c r="K121" s="82"/>
      <c r="L121" s="35"/>
      <c r="M121" s="35"/>
      <c r="N121" s="46"/>
      <c r="O121" s="47"/>
      <c r="P121" s="48"/>
      <c r="Q121" s="34"/>
      <c r="R121" s="500"/>
      <c r="S121" s="500"/>
      <c r="T121" s="37"/>
      <c r="U121" s="37"/>
      <c r="V121" s="37"/>
      <c r="W121" s="37"/>
      <c r="X121" s="38"/>
      <c r="Y121" s="211"/>
      <c r="Z121" s="37"/>
      <c r="AA121" s="37"/>
      <c r="AB121" s="37"/>
      <c r="AC121" s="37"/>
      <c r="AD121" s="37"/>
      <c r="AE121" s="232"/>
      <c r="AF121" s="37"/>
      <c r="AG121" s="37"/>
      <c r="AH121" s="37"/>
      <c r="AI121" s="502"/>
      <c r="AJ121" s="37"/>
      <c r="AK121" s="37"/>
      <c r="AL121" s="37"/>
      <c r="AM121" s="37"/>
      <c r="AN121" s="37"/>
      <c r="AO121" s="37"/>
      <c r="AP121" s="37"/>
      <c r="AQ121" s="37"/>
      <c r="AR121" s="37"/>
      <c r="AS121" s="37"/>
      <c r="AT121" s="37"/>
      <c r="AU121" s="37"/>
      <c r="AV121" s="37"/>
      <c r="AW121" s="37"/>
      <c r="AX121" s="37"/>
      <c r="AY121" s="37"/>
      <c r="AZ121" s="37"/>
      <c r="BA121" s="37"/>
      <c r="BB121" s="50"/>
      <c r="BC121" s="51"/>
      <c r="BD121" s="51"/>
      <c r="BE121" s="51"/>
      <c r="BF121" s="51"/>
    </row>
    <row r="122" spans="1:58" ht="12" customHeight="1">
      <c r="A122" s="40">
        <v>45982</v>
      </c>
      <c r="B122" s="41" t="s">
        <v>461</v>
      </c>
      <c r="C122" s="414">
        <f>(M122*E122*O122*Q122)/100000000</f>
        <v>3.5846210399999996</v>
      </c>
      <c r="D122" s="41" t="s">
        <v>300</v>
      </c>
      <c r="E122" s="42">
        <v>13</v>
      </c>
      <c r="F122" s="42">
        <v>1</v>
      </c>
      <c r="G122" s="499">
        <v>1230</v>
      </c>
      <c r="H122" s="44">
        <f>+N122</f>
        <v>0.23000000000000009</v>
      </c>
      <c r="I122" s="45">
        <v>0.88</v>
      </c>
      <c r="J122" s="82">
        <f>E122*G122*(1-H122)*1440/1000000*2.74</f>
        <v>48.579410880000005</v>
      </c>
      <c r="K122" s="82">
        <f>(IF(G122&lt;L122,L122,G122)*(1-IF(H122&lt;N122,H122,N122))*E122*O122*Q122)/100000000</f>
        <v>3.875419548</v>
      </c>
      <c r="L122" s="35">
        <v>1137.704918032787</v>
      </c>
      <c r="M122" s="35">
        <v>876.03278688524586</v>
      </c>
      <c r="N122" s="46">
        <f>1-(M122/L122)</f>
        <v>0.23000000000000009</v>
      </c>
      <c r="O122" s="47">
        <f>+'Trim Rwd'!H47</f>
        <v>258</v>
      </c>
      <c r="P122" s="48">
        <f>O122*(Q122-R122-S122)</f>
        <v>19608</v>
      </c>
      <c r="Q122" s="47">
        <v>122</v>
      </c>
      <c r="R122" s="500">
        <v>0</v>
      </c>
      <c r="S122" s="500">
        <f>12+34</f>
        <v>46</v>
      </c>
      <c r="T122" s="37">
        <f>E122*M122*O122*Q122/100000000</f>
        <v>3.5846210399999996</v>
      </c>
      <c r="U122" s="37">
        <f>E122*M122*O122*(Q122-R122-S122)/100000000</f>
        <v>2.2330426150819669</v>
      </c>
      <c r="V122" s="37">
        <f>E122*G122*(1-N122)*O122/100*(R122+S122)/1000000</f>
        <v>1.4612237639999999</v>
      </c>
      <c r="W122" s="37">
        <f>+'21'!K8/1000</f>
        <v>8.5169999999999995</v>
      </c>
      <c r="X122" s="501">
        <f>SUM(W122:W126)/SUM(K122:K126)</f>
        <v>0.92279177112584931</v>
      </c>
      <c r="Y122" s="211">
        <v>0</v>
      </c>
      <c r="Z122" s="37">
        <f>+'21'!D7/1000</f>
        <v>0.19700000000000001</v>
      </c>
      <c r="AA122" s="49">
        <f>SUM(U122:U126)-SUM(W122:W126)-SUM(Z122:Z126)-SUM(Y122:Y126)</f>
        <v>-3.2657257540983573</v>
      </c>
      <c r="AB122" s="49">
        <f>(SUM(K122:K126)-SUM(W122:W126)-SUM(Y122:Y126)-SUM(Z122:Z126)-SUM(AC122:AC126)-SUM(V122:V126))-AA122</f>
        <v>-0.23350271531147326</v>
      </c>
      <c r="AC122" s="37">
        <f>K122-T122</f>
        <v>0.2907985080000004</v>
      </c>
      <c r="AD122" s="37">
        <f>+AM122+BA122</f>
        <v>21</v>
      </c>
      <c r="AE122" s="229" t="s">
        <v>499</v>
      </c>
      <c r="AF122" s="37">
        <v>21</v>
      </c>
      <c r="AG122" s="37"/>
      <c r="AH122" s="37"/>
      <c r="AI122" s="502"/>
      <c r="AJ122" s="37"/>
      <c r="AK122" s="37"/>
      <c r="AL122" s="37"/>
      <c r="AM122" s="37">
        <f t="shared" ref="AM122:AM130" si="48">SUM(AF122:AL122)+AT122+AV122+AX122</f>
        <v>21</v>
      </c>
      <c r="AN122" s="37"/>
      <c r="AO122" s="37"/>
      <c r="AP122" s="37"/>
      <c r="AQ122" s="37"/>
      <c r="AR122" s="37">
        <f>SUM(AN122:AQ122)</f>
        <v>0</v>
      </c>
      <c r="AS122" s="37"/>
      <c r="AT122" s="37"/>
      <c r="AU122" s="37"/>
      <c r="AV122" s="37"/>
      <c r="AW122" s="37"/>
      <c r="AX122" s="37"/>
      <c r="AY122" s="37"/>
      <c r="AZ122" s="37"/>
      <c r="BA122" s="37">
        <f t="shared" ref="BA122:BA130" si="49">+AR122+AS122+AU122+AW122+AY122+AZ122</f>
        <v>0</v>
      </c>
      <c r="BB122" s="33">
        <v>9</v>
      </c>
      <c r="BC122" s="51"/>
      <c r="BD122" s="51"/>
      <c r="BE122" s="33"/>
      <c r="BF122" s="51"/>
    </row>
    <row r="123" spans="1:58" ht="12.95" customHeight="1">
      <c r="A123" s="40"/>
      <c r="B123" s="41" t="s">
        <v>461</v>
      </c>
      <c r="C123" s="414">
        <f>(M123*E123*O123*Q123)/100000000</f>
        <v>12.281449179999999</v>
      </c>
      <c r="D123" s="41" t="s">
        <v>300</v>
      </c>
      <c r="E123" s="42">
        <v>14</v>
      </c>
      <c r="F123" s="42">
        <v>1</v>
      </c>
      <c r="G123" s="499">
        <v>1230</v>
      </c>
      <c r="H123" s="44">
        <f>+N123</f>
        <v>0.22999999999999998</v>
      </c>
      <c r="I123" s="45">
        <v>0.88</v>
      </c>
      <c r="J123" s="82">
        <f>E123*G123*(1-H123)*1440/1000000*2.74</f>
        <v>52.316288640000003</v>
      </c>
      <c r="K123" s="82">
        <f>(IF(G123&lt;L123,L123,G123)*(1-IF(H123&lt;N123,H123,N123))*E123*O123*Q123)/100000000</f>
        <v>13.732893173999999</v>
      </c>
      <c r="L123" s="35">
        <v>1100</v>
      </c>
      <c r="M123" s="35">
        <v>847</v>
      </c>
      <c r="N123" s="46">
        <f>1-(M123/L123)</f>
        <v>0.22999999999999998</v>
      </c>
      <c r="O123" s="47">
        <f>+'Trim Rwd'!H48</f>
        <v>257</v>
      </c>
      <c r="P123" s="48">
        <f>O123*(Q123-R123-S123)</f>
        <v>97146</v>
      </c>
      <c r="Q123" s="47">
        <v>403</v>
      </c>
      <c r="R123" s="500">
        <v>0</v>
      </c>
      <c r="S123" s="500">
        <v>25</v>
      </c>
      <c r="T123" s="37">
        <f>E123*M123*O123*Q123/100000000</f>
        <v>12.281449179999999</v>
      </c>
      <c r="U123" s="37">
        <f>E123*M123*O123*(Q123-R123-S123)/100000000</f>
        <v>11.51957268</v>
      </c>
      <c r="V123" s="37">
        <f>E123*G123*(1-N123)*O123/100*(R123+S123)/1000000</f>
        <v>0.85191644999999994</v>
      </c>
      <c r="W123" s="37">
        <f>+'21'!K9/1000</f>
        <v>22.401</v>
      </c>
      <c r="X123" s="38"/>
      <c r="Y123" s="211"/>
      <c r="Z123" s="37">
        <f>+'21'!D25/1000</f>
        <v>0.56000000000000005</v>
      </c>
      <c r="AA123" s="37"/>
      <c r="AB123" s="37"/>
      <c r="AC123" s="37">
        <f>K123-T123</f>
        <v>1.4514439939999999</v>
      </c>
      <c r="AD123" s="37">
        <f>+AM123+BA123</f>
        <v>12</v>
      </c>
      <c r="AE123" s="229" t="s">
        <v>543</v>
      </c>
      <c r="AF123" s="37"/>
      <c r="AG123" s="37">
        <v>12</v>
      </c>
      <c r="AH123" s="37"/>
      <c r="AI123" s="502"/>
      <c r="AJ123" s="37"/>
      <c r="AK123" s="37"/>
      <c r="AL123" s="37"/>
      <c r="AM123" s="37">
        <f t="shared" si="48"/>
        <v>12</v>
      </c>
      <c r="AN123" s="83"/>
      <c r="AO123" s="37"/>
      <c r="AP123" s="37"/>
      <c r="AQ123" s="37"/>
      <c r="AR123" s="37">
        <f t="shared" ref="AR123:AR126" si="50">SUM(AN123:AQ123)</f>
        <v>0</v>
      </c>
      <c r="AS123" s="37"/>
      <c r="AT123" s="37"/>
      <c r="AU123" s="37"/>
      <c r="AV123" s="37"/>
      <c r="AW123" s="37"/>
      <c r="AX123" s="37"/>
      <c r="AY123" s="37"/>
      <c r="AZ123" s="37"/>
      <c r="BA123" s="37">
        <f t="shared" si="49"/>
        <v>0</v>
      </c>
      <c r="BB123" s="50"/>
      <c r="BC123" s="51">
        <v>4</v>
      </c>
      <c r="BD123" s="51"/>
      <c r="BE123" s="50"/>
      <c r="BF123" s="51"/>
    </row>
    <row r="124" spans="1:58" ht="12.95" customHeight="1">
      <c r="A124" s="40"/>
      <c r="B124" s="41" t="s">
        <v>461</v>
      </c>
      <c r="C124" s="414">
        <f>(M124*E124*O124*Q124)/100000000</f>
        <v>24.754356000000001</v>
      </c>
      <c r="D124" s="41" t="s">
        <v>300</v>
      </c>
      <c r="E124" s="42">
        <v>11</v>
      </c>
      <c r="F124" s="42">
        <v>1</v>
      </c>
      <c r="G124" s="499">
        <v>1230</v>
      </c>
      <c r="H124" s="44">
        <f>+N124</f>
        <v>0.23524590163934433</v>
      </c>
      <c r="I124" s="45">
        <v>0.88</v>
      </c>
      <c r="J124" s="82">
        <f>E124*G124*(1-H124)*1440/1000000*2.74</f>
        <v>40.825608314754099</v>
      </c>
      <c r="K124" s="82">
        <f>(IF(G124&lt;L124,L124,G124)*(1-IF(H124&lt;N124,H124,N124))*E124*O124*Q124)/100000000</f>
        <v>25.373214900000001</v>
      </c>
      <c r="L124" s="35">
        <v>1200</v>
      </c>
      <c r="M124" s="35">
        <v>917.70491803278685</v>
      </c>
      <c r="N124" s="46">
        <f>1-(M124/L124)</f>
        <v>0.23524590163934433</v>
      </c>
      <c r="O124" s="47">
        <f>+'Trim Rwd'!H49</f>
        <v>268</v>
      </c>
      <c r="P124" s="48">
        <f>O124*(Q124-R124-S124)</f>
        <v>231820</v>
      </c>
      <c r="Q124" s="47">
        <v>915</v>
      </c>
      <c r="R124" s="500">
        <v>0</v>
      </c>
      <c r="S124" s="500">
        <v>50</v>
      </c>
      <c r="T124" s="37">
        <f>E124*M124*O124*Q124/100000000</f>
        <v>24.754356000000001</v>
      </c>
      <c r="U124" s="37">
        <f>E124*M124*O124*(Q124-R124-S124)/100000000</f>
        <v>23.401658950819673</v>
      </c>
      <c r="V124" s="37">
        <f>E124*G124*(1-N124)*O124/100*(R124+S124)/1000000</f>
        <v>1.386514475409836</v>
      </c>
      <c r="W124" s="37">
        <f>+'21'!K10/1000</f>
        <v>8.7449999999999992</v>
      </c>
      <c r="X124" s="38"/>
      <c r="Y124" s="211"/>
      <c r="Z124" s="37"/>
      <c r="AA124" s="37"/>
      <c r="AB124" s="37"/>
      <c r="AC124" s="37">
        <f>K124-T124</f>
        <v>0.61885889999999932</v>
      </c>
      <c r="AD124" s="37">
        <f>+AM124+BA124</f>
        <v>33</v>
      </c>
      <c r="AE124" s="229" t="s">
        <v>544</v>
      </c>
      <c r="AF124" s="33"/>
      <c r="AG124" s="33"/>
      <c r="AH124" s="33">
        <v>33</v>
      </c>
      <c r="AJ124" s="37"/>
      <c r="AK124" s="37"/>
      <c r="AL124" s="37"/>
      <c r="AM124" s="37">
        <f t="shared" si="48"/>
        <v>33</v>
      </c>
      <c r="AN124" s="37"/>
      <c r="AO124" s="37"/>
      <c r="AP124" s="37"/>
      <c r="AQ124" s="37"/>
      <c r="AR124" s="37">
        <f t="shared" si="50"/>
        <v>0</v>
      </c>
      <c r="AS124" s="37"/>
      <c r="AT124" s="37"/>
      <c r="AU124" s="37"/>
      <c r="AV124" s="37"/>
      <c r="AW124" s="37"/>
      <c r="AX124" s="37"/>
      <c r="AY124" s="37"/>
      <c r="AZ124" s="37"/>
      <c r="BA124" s="37">
        <f t="shared" si="49"/>
        <v>0</v>
      </c>
      <c r="BB124" s="33"/>
      <c r="BC124" s="503"/>
      <c r="BD124" s="503"/>
      <c r="BE124" s="33"/>
      <c r="BF124" s="503"/>
    </row>
    <row r="125" spans="1:58" ht="12.95" customHeight="1">
      <c r="A125" s="40"/>
      <c r="B125" s="41"/>
      <c r="C125" s="414"/>
      <c r="D125" s="41"/>
      <c r="E125" s="42"/>
      <c r="F125" s="42"/>
      <c r="G125" s="43"/>
      <c r="H125" s="44"/>
      <c r="I125" s="45"/>
      <c r="J125" s="82"/>
      <c r="K125" s="82"/>
      <c r="L125" s="35"/>
      <c r="M125" s="35"/>
      <c r="N125" s="46"/>
      <c r="O125" s="47"/>
      <c r="P125" s="48"/>
      <c r="Q125" s="34"/>
      <c r="R125" s="500"/>
      <c r="S125" s="500"/>
      <c r="T125" s="37"/>
      <c r="U125" s="37"/>
      <c r="V125" s="37"/>
      <c r="W125" s="37"/>
      <c r="X125" s="38"/>
      <c r="Y125" s="211"/>
      <c r="Z125" s="37"/>
      <c r="AA125" s="37"/>
      <c r="AB125" s="37"/>
      <c r="AC125" s="37"/>
      <c r="AD125" s="37">
        <f>+AM125+BA125</f>
        <v>55</v>
      </c>
      <c r="AE125" s="232" t="s">
        <v>545</v>
      </c>
      <c r="AF125" s="37"/>
      <c r="AG125" s="37"/>
      <c r="AH125" s="37"/>
      <c r="AI125" s="502">
        <v>0</v>
      </c>
      <c r="AJ125" s="37"/>
      <c r="AK125" s="37">
        <v>55</v>
      </c>
      <c r="AL125" s="37"/>
      <c r="AM125" s="37">
        <f t="shared" si="48"/>
        <v>55</v>
      </c>
      <c r="AN125" s="37"/>
      <c r="AO125" s="37"/>
      <c r="AP125" s="37"/>
      <c r="AQ125" s="37"/>
      <c r="AR125" s="37">
        <f t="shared" si="50"/>
        <v>0</v>
      </c>
      <c r="AS125" s="37"/>
      <c r="AT125" s="37"/>
      <c r="AU125" s="37"/>
      <c r="AV125" s="37"/>
      <c r="AW125" s="37"/>
      <c r="AX125" s="37"/>
      <c r="AY125" s="37"/>
      <c r="AZ125" s="37"/>
      <c r="BA125" s="37">
        <f t="shared" si="49"/>
        <v>0</v>
      </c>
      <c r="BB125" s="50"/>
      <c r="BC125" s="51"/>
      <c r="BD125" s="51"/>
      <c r="BE125" s="50"/>
      <c r="BF125" s="51"/>
    </row>
    <row r="126" spans="1:58" ht="12.95" customHeight="1">
      <c r="A126" s="40"/>
      <c r="B126" s="41"/>
      <c r="C126" s="414"/>
      <c r="D126" s="41"/>
      <c r="E126" s="42"/>
      <c r="F126" s="42"/>
      <c r="G126" s="43"/>
      <c r="H126" s="44"/>
      <c r="I126" s="45"/>
      <c r="J126" s="82"/>
      <c r="K126" s="82"/>
      <c r="L126" s="35"/>
      <c r="M126" s="35"/>
      <c r="N126" s="46"/>
      <c r="O126" s="47"/>
      <c r="P126" s="48"/>
      <c r="Q126" s="34"/>
      <c r="R126" s="500"/>
      <c r="S126" s="500"/>
      <c r="T126" s="37"/>
      <c r="U126" s="37"/>
      <c r="V126" s="37"/>
      <c r="W126" s="37"/>
      <c r="X126" s="38"/>
      <c r="Y126" s="211"/>
      <c r="Z126" s="37"/>
      <c r="AA126" s="37"/>
      <c r="AB126" s="37"/>
      <c r="AC126" s="37"/>
      <c r="AD126" s="37"/>
      <c r="AE126" s="232"/>
      <c r="AF126" s="37"/>
      <c r="AG126" s="37"/>
      <c r="AH126" s="37"/>
      <c r="AI126" s="502"/>
      <c r="AJ126" s="37"/>
      <c r="AK126" s="37"/>
      <c r="AL126" s="37"/>
      <c r="AM126" s="37">
        <f t="shared" si="48"/>
        <v>0</v>
      </c>
      <c r="AN126" s="37"/>
      <c r="AO126" s="37"/>
      <c r="AP126" s="37"/>
      <c r="AQ126" s="37"/>
      <c r="AR126" s="37">
        <f t="shared" si="50"/>
        <v>0</v>
      </c>
      <c r="AS126" s="37"/>
      <c r="AT126" s="37"/>
      <c r="AU126" s="37"/>
      <c r="AV126" s="37"/>
      <c r="AW126" s="37"/>
      <c r="AX126" s="37"/>
      <c r="AY126" s="37"/>
      <c r="AZ126" s="37"/>
      <c r="BA126" s="37">
        <f t="shared" si="49"/>
        <v>0</v>
      </c>
      <c r="BB126" s="50"/>
      <c r="BC126" s="51"/>
      <c r="BD126" s="51"/>
      <c r="BE126" s="51"/>
      <c r="BF126" s="51"/>
    </row>
    <row r="127" spans="1:58" ht="12" customHeight="1">
      <c r="A127" s="40">
        <v>45983</v>
      </c>
      <c r="B127" s="41" t="s">
        <v>461</v>
      </c>
      <c r="C127" s="414">
        <f>(M127*E127*O127*Q127)/100000000</f>
        <v>24.692436342365593</v>
      </c>
      <c r="D127" s="41" t="s">
        <v>300</v>
      </c>
      <c r="E127" s="42">
        <v>11</v>
      </c>
      <c r="F127" s="42">
        <v>1</v>
      </c>
      <c r="G127" s="499">
        <v>1230</v>
      </c>
      <c r="H127" s="44">
        <f>+N127</f>
        <v>0.23516129032258071</v>
      </c>
      <c r="I127" s="45">
        <v>0.88</v>
      </c>
      <c r="J127" s="82">
        <f>E127*G127*(1-H127)*1440/1000000*2.74</f>
        <v>40.830125202580646</v>
      </c>
      <c r="K127" s="82">
        <f>(IF(G127&lt;L127,L127,G127)*(1-IF(H127&lt;N127,H127,N127))*E127*O127*Q127)/100000000</f>
        <v>25.309747250924726</v>
      </c>
      <c r="L127" s="35">
        <v>1200</v>
      </c>
      <c r="M127" s="35">
        <v>917.80645161290317</v>
      </c>
      <c r="N127" s="46">
        <f>1-(M127/L127)</f>
        <v>0.23516129032258071</v>
      </c>
      <c r="O127" s="47">
        <f>+'Trim Rwd'!H51</f>
        <v>263.55555555555554</v>
      </c>
      <c r="P127" s="48">
        <f>O127*(Q127-R127-S127)</f>
        <v>217696.88888888888</v>
      </c>
      <c r="Q127" s="47">
        <f>868+60</f>
        <v>928</v>
      </c>
      <c r="R127" s="500">
        <v>60</v>
      </c>
      <c r="S127" s="500">
        <v>42</v>
      </c>
      <c r="T127" s="37">
        <f>E127*M127*O127*Q127/100000000</f>
        <v>24.692436342365593</v>
      </c>
      <c r="U127" s="37">
        <f>E127*M127*O127*(Q127-R127-S127)/100000000</f>
        <v>21.978397003010755</v>
      </c>
      <c r="V127" s="37">
        <f>E127*G127*(1-N127)*O127/100*(R127+S127)/1000000</f>
        <v>2.7818903228387093</v>
      </c>
      <c r="W127" s="37">
        <f>+'22'!K10/1000</f>
        <v>24.768000000000001</v>
      </c>
      <c r="X127" s="501">
        <f>SUM(W127:W131)/SUM(K127:K131)</f>
        <v>0.83116241400620816</v>
      </c>
      <c r="Y127" s="211">
        <v>0</v>
      </c>
      <c r="Z127" s="37">
        <f>+'20'!D35/1000</f>
        <v>1.4031571034828364E-5</v>
      </c>
      <c r="AA127" s="49">
        <f>SUM(U127:U131)-SUM(W127:W131)-SUM(Z127:Z131)-SUM(Y127:Y131)</f>
        <v>2.0190742914397211</v>
      </c>
      <c r="AB127" s="49">
        <f>(SUM(K127:K131)-SUM(W127:W131)-SUM(Y127:Y131)-SUM(Z127:Z131)-SUM(AC127:AC131)-SUM(V127:V131))-AA127</f>
        <v>-0.10853162348387091</v>
      </c>
      <c r="AC127" s="37">
        <f>K127-T127</f>
        <v>0.61731090855913351</v>
      </c>
      <c r="AD127" s="37">
        <f>+AM127+BA127</f>
        <v>9</v>
      </c>
      <c r="AE127" s="229" t="s">
        <v>460</v>
      </c>
      <c r="AF127" s="37">
        <v>9</v>
      </c>
      <c r="AG127" s="37"/>
      <c r="AH127" s="37"/>
      <c r="AI127" s="502"/>
      <c r="AJ127" s="37"/>
      <c r="AK127" s="37"/>
      <c r="AL127" s="37"/>
      <c r="AM127" s="37">
        <f t="shared" si="48"/>
        <v>9</v>
      </c>
      <c r="AN127" s="37"/>
      <c r="AO127" s="37"/>
      <c r="AP127" s="37"/>
      <c r="AQ127" s="37"/>
      <c r="AR127" s="37">
        <f>SUM(AN127:AQ127)</f>
        <v>0</v>
      </c>
      <c r="AS127" s="37"/>
      <c r="AT127" s="37"/>
      <c r="AU127" s="37"/>
      <c r="AV127" s="37"/>
      <c r="AW127" s="37"/>
      <c r="AX127" s="37"/>
      <c r="AY127" s="37"/>
      <c r="AZ127" s="37"/>
      <c r="BA127" s="37">
        <f t="shared" si="49"/>
        <v>0</v>
      </c>
      <c r="BB127" s="33">
        <v>3</v>
      </c>
      <c r="BC127" s="51"/>
      <c r="BD127" s="51"/>
      <c r="BE127" s="33"/>
      <c r="BF127" s="51"/>
    </row>
    <row r="128" spans="1:58" ht="12.95" customHeight="1">
      <c r="A128" s="40"/>
      <c r="B128" s="41" t="s">
        <v>461</v>
      </c>
      <c r="C128" s="414">
        <f>(M128*E128*O128*Q128)/100000000</f>
        <v>14.970475520000001</v>
      </c>
      <c r="D128" s="41" t="s">
        <v>300</v>
      </c>
      <c r="E128" s="42">
        <v>13</v>
      </c>
      <c r="F128" s="42">
        <v>1</v>
      </c>
      <c r="G128" s="499">
        <v>1230</v>
      </c>
      <c r="H128" s="44">
        <f>+N128</f>
        <v>0.22999999999999998</v>
      </c>
      <c r="I128" s="45">
        <v>0.88</v>
      </c>
      <c r="J128" s="82">
        <f>E128*G128*(1-H128)*1440/1000000*2.74</f>
        <v>48.579410880000005</v>
      </c>
      <c r="K128" s="82">
        <f>(IF(G128&lt;L128,L128,G128)*(1-IF(H128&lt;N128,H128,N128))*E128*O128*Q128)/100000000</f>
        <v>16.011899904</v>
      </c>
      <c r="L128" s="35">
        <v>1150</v>
      </c>
      <c r="M128" s="35">
        <v>885.5</v>
      </c>
      <c r="N128" s="46">
        <f>1-(M128/L128)</f>
        <v>0.22999999999999998</v>
      </c>
      <c r="O128" s="47">
        <f>+'Trim Rwd'!H53</f>
        <v>254</v>
      </c>
      <c r="P128" s="48">
        <f>O128*(Q128-R128-S128)</f>
        <v>124968</v>
      </c>
      <c r="Q128" s="47">
        <v>512</v>
      </c>
      <c r="R128" s="500">
        <v>0</v>
      </c>
      <c r="S128" s="500">
        <v>20</v>
      </c>
      <c r="T128" s="37">
        <f>E128*M128*O128*Q128/100000000</f>
        <v>14.970475520000001</v>
      </c>
      <c r="U128" s="37">
        <f>E128*M128*O128*(Q128-R128-S128)/100000000</f>
        <v>14.385691319999999</v>
      </c>
      <c r="V128" s="37">
        <f>E128*G128*(1-N128)*O128/100*(R128+S128)/1000000</f>
        <v>0.62546484000000013</v>
      </c>
      <c r="W128" s="37">
        <f>+'22'!K8/1000</f>
        <v>9.577</v>
      </c>
      <c r="X128" s="38"/>
      <c r="Y128" s="211"/>
      <c r="Z128" s="37"/>
      <c r="AA128" s="37"/>
      <c r="AB128" s="37"/>
      <c r="AC128" s="37">
        <f>K128-T128</f>
        <v>1.041424383999999</v>
      </c>
      <c r="AD128" s="37">
        <f>+AM128+BA128</f>
        <v>10</v>
      </c>
      <c r="AE128" s="229" t="s">
        <v>543</v>
      </c>
      <c r="AF128" s="37"/>
      <c r="AG128" s="37">
        <v>10</v>
      </c>
      <c r="AH128" s="37"/>
      <c r="AI128" s="502"/>
      <c r="AJ128" s="37"/>
      <c r="AK128" s="37"/>
      <c r="AL128" s="37"/>
      <c r="AM128" s="37">
        <f t="shared" si="48"/>
        <v>10</v>
      </c>
      <c r="AN128" s="83"/>
      <c r="AO128" s="37"/>
      <c r="AP128" s="37"/>
      <c r="AQ128" s="37"/>
      <c r="AR128" s="37">
        <f t="shared" ref="AR128:AR130" si="51">SUM(AN128:AQ128)</f>
        <v>0</v>
      </c>
      <c r="AS128" s="37"/>
      <c r="AT128" s="37"/>
      <c r="AU128" s="37"/>
      <c r="AV128" s="37"/>
      <c r="AW128" s="37"/>
      <c r="AX128" s="37"/>
      <c r="AY128" s="37"/>
      <c r="AZ128" s="37"/>
      <c r="BA128" s="37">
        <f t="shared" si="49"/>
        <v>0</v>
      </c>
      <c r="BB128" s="50"/>
      <c r="BC128" s="51">
        <v>4</v>
      </c>
      <c r="BD128" s="51"/>
      <c r="BE128" s="50"/>
      <c r="BF128" s="51"/>
    </row>
    <row r="129" spans="1:58" ht="12.95" customHeight="1">
      <c r="A129" s="40"/>
      <c r="B129" s="41"/>
      <c r="C129" s="414"/>
      <c r="D129" s="41"/>
      <c r="E129" s="42"/>
      <c r="F129" s="42"/>
      <c r="G129" s="499"/>
      <c r="H129" s="44"/>
      <c r="I129" s="45"/>
      <c r="J129" s="82"/>
      <c r="K129" s="82"/>
      <c r="L129" s="35"/>
      <c r="M129" s="35"/>
      <c r="N129" s="46"/>
      <c r="O129" s="47"/>
      <c r="P129" s="48"/>
      <c r="Q129" s="47"/>
      <c r="R129" s="500"/>
      <c r="S129" s="500"/>
      <c r="T129" s="37"/>
      <c r="U129" s="37"/>
      <c r="V129" s="37"/>
      <c r="W129" s="37"/>
      <c r="X129" s="38"/>
      <c r="Y129" s="211"/>
      <c r="Z129" s="37"/>
      <c r="AA129" s="37"/>
      <c r="AB129" s="37"/>
      <c r="AC129" s="37"/>
      <c r="AD129" s="37">
        <f>+AM129+BA129</f>
        <v>43</v>
      </c>
      <c r="AE129" s="229" t="s">
        <v>482</v>
      </c>
      <c r="AF129" s="33"/>
      <c r="AG129" s="33"/>
      <c r="AH129" s="33">
        <v>43</v>
      </c>
      <c r="AJ129" s="37"/>
      <c r="AK129" s="37"/>
      <c r="AL129" s="37"/>
      <c r="AM129" s="37">
        <f t="shared" si="48"/>
        <v>43</v>
      </c>
      <c r="AN129" s="37"/>
      <c r="AO129" s="37"/>
      <c r="AP129" s="37"/>
      <c r="AQ129" s="37"/>
      <c r="AR129" s="37">
        <f t="shared" si="51"/>
        <v>0</v>
      </c>
      <c r="AS129" s="37"/>
      <c r="AT129" s="37"/>
      <c r="AU129" s="37"/>
      <c r="AV129" s="37"/>
      <c r="AW129" s="37"/>
      <c r="AX129" s="37"/>
      <c r="AY129" s="37"/>
      <c r="AZ129" s="37"/>
      <c r="BA129" s="37">
        <f t="shared" si="49"/>
        <v>0</v>
      </c>
      <c r="BB129" s="33"/>
      <c r="BC129" s="503"/>
      <c r="BD129" s="503"/>
      <c r="BE129" s="33"/>
      <c r="BF129" s="503"/>
    </row>
    <row r="130" spans="1:58" ht="12.95" customHeight="1">
      <c r="A130" s="40"/>
      <c r="B130" s="41"/>
      <c r="C130" s="414"/>
      <c r="D130" s="41"/>
      <c r="E130" s="42"/>
      <c r="F130" s="42"/>
      <c r="G130" s="43"/>
      <c r="H130" s="44"/>
      <c r="I130" s="45"/>
      <c r="J130" s="82"/>
      <c r="K130" s="82"/>
      <c r="L130" s="35"/>
      <c r="M130" s="35"/>
      <c r="N130" s="46"/>
      <c r="O130" s="47"/>
      <c r="P130" s="48"/>
      <c r="Q130" s="34"/>
      <c r="R130" s="500"/>
      <c r="S130" s="500"/>
      <c r="T130" s="37"/>
      <c r="U130" s="37"/>
      <c r="V130" s="37"/>
      <c r="W130" s="37"/>
      <c r="X130" s="38"/>
      <c r="Y130" s="211"/>
      <c r="Z130" s="37"/>
      <c r="AA130" s="37"/>
      <c r="AB130" s="37"/>
      <c r="AC130" s="37"/>
      <c r="AD130" s="37">
        <f>+AM130+BA130</f>
        <v>60</v>
      </c>
      <c r="AE130" s="232" t="s">
        <v>577</v>
      </c>
      <c r="AF130" s="37"/>
      <c r="AG130" s="37"/>
      <c r="AH130" s="37"/>
      <c r="AI130" s="502">
        <v>0</v>
      </c>
      <c r="AJ130" s="37"/>
      <c r="AK130" s="37"/>
      <c r="AL130" s="37"/>
      <c r="AM130" s="37">
        <f t="shared" si="48"/>
        <v>0</v>
      </c>
      <c r="AN130" s="37">
        <v>60</v>
      </c>
      <c r="AO130" s="37"/>
      <c r="AP130" s="37"/>
      <c r="AQ130" s="37"/>
      <c r="AR130" s="37">
        <f t="shared" si="51"/>
        <v>60</v>
      </c>
      <c r="AS130" s="37"/>
      <c r="AT130" s="37"/>
      <c r="AU130" s="37"/>
      <c r="AV130" s="37"/>
      <c r="AW130" s="37"/>
      <c r="AX130" s="37"/>
      <c r="AY130" s="37"/>
      <c r="AZ130" s="37"/>
      <c r="BA130" s="37">
        <f t="shared" si="49"/>
        <v>60</v>
      </c>
      <c r="BB130" s="50"/>
      <c r="BC130" s="51"/>
      <c r="BD130" s="51"/>
      <c r="BE130" s="50"/>
      <c r="BF130" s="51"/>
    </row>
    <row r="131" spans="1:58" ht="12.95" customHeight="1">
      <c r="A131" s="40"/>
      <c r="B131" s="41"/>
      <c r="C131" s="414"/>
      <c r="D131" s="41"/>
      <c r="E131" s="42"/>
      <c r="F131" s="42"/>
      <c r="G131" s="43"/>
      <c r="H131" s="44"/>
      <c r="I131" s="45"/>
      <c r="J131" s="82"/>
      <c r="K131" s="82"/>
      <c r="L131" s="35"/>
      <c r="M131" s="35"/>
      <c r="N131" s="46"/>
      <c r="O131" s="47"/>
      <c r="P131" s="48"/>
      <c r="Q131" s="34"/>
      <c r="R131" s="500"/>
      <c r="S131" s="500"/>
      <c r="T131" s="37"/>
      <c r="U131" s="37"/>
      <c r="V131" s="37"/>
      <c r="W131" s="37"/>
      <c r="X131" s="38"/>
      <c r="Y131" s="211"/>
      <c r="Z131" s="37"/>
      <c r="AA131" s="37"/>
      <c r="AB131" s="37"/>
      <c r="AC131" s="37"/>
      <c r="AD131" s="37"/>
      <c r="AE131" s="232"/>
      <c r="AF131" s="37"/>
      <c r="AG131" s="37"/>
      <c r="AH131" s="37"/>
      <c r="AI131" s="502"/>
      <c r="AJ131" s="37"/>
      <c r="AK131" s="37"/>
      <c r="AL131" s="37"/>
      <c r="AM131" s="37"/>
      <c r="AN131" s="37"/>
      <c r="AO131" s="37"/>
      <c r="AP131" s="37"/>
      <c r="AQ131" s="37"/>
      <c r="AR131" s="37"/>
      <c r="AS131" s="37"/>
      <c r="AT131" s="37"/>
      <c r="AU131" s="37"/>
      <c r="AV131" s="37"/>
      <c r="AW131" s="37"/>
      <c r="AX131" s="37"/>
      <c r="AY131" s="37"/>
      <c r="AZ131" s="37"/>
      <c r="BA131" s="37"/>
      <c r="BB131" s="50"/>
      <c r="BC131" s="51"/>
      <c r="BD131" s="51"/>
      <c r="BE131" s="51"/>
      <c r="BF131" s="51"/>
    </row>
    <row r="132" spans="1:58" ht="12" customHeight="1">
      <c r="A132" s="40">
        <v>45984</v>
      </c>
      <c r="B132" s="41" t="s">
        <v>461</v>
      </c>
      <c r="C132" s="414">
        <f>(M132*E132*O132*Q132)/100000000</f>
        <v>34.023761772</v>
      </c>
      <c r="D132" s="41" t="s">
        <v>300</v>
      </c>
      <c r="E132" s="42">
        <v>13</v>
      </c>
      <c r="F132" s="42">
        <v>1</v>
      </c>
      <c r="G132" s="499">
        <v>1230</v>
      </c>
      <c r="H132" s="44">
        <f>+N132</f>
        <v>0.22999999999999998</v>
      </c>
      <c r="I132" s="45">
        <v>0.88</v>
      </c>
      <c r="J132" s="82">
        <f>E132*G132*(1-H132)*1440/1000000*2.74</f>
        <v>48.579410880000005</v>
      </c>
      <c r="K132" s="82">
        <f>(IF(G132&lt;L132,L132,G132)*(1-IF(H132&lt;N132,H132,N132))*E132*O132*Q132)/100000000</f>
        <v>36.183140993999999</v>
      </c>
      <c r="L132" s="35">
        <v>1156.5946413137424</v>
      </c>
      <c r="M132" s="35">
        <v>890.57787381158164</v>
      </c>
      <c r="N132" s="46">
        <f>1-(M132/L132)</f>
        <v>0.22999999999999998</v>
      </c>
      <c r="O132" s="47">
        <f>+'Trim Rwd'!H55</f>
        <v>254</v>
      </c>
      <c r="P132" s="48">
        <f>O132*(Q132-R132-S132)</f>
        <v>283210</v>
      </c>
      <c r="Q132" s="47">
        <v>1157</v>
      </c>
      <c r="R132" s="500">
        <v>0</v>
      </c>
      <c r="S132" s="500">
        <v>42</v>
      </c>
      <c r="T132" s="37">
        <f>E132*M132*O132*Q132/100000000</f>
        <v>34.023761772</v>
      </c>
      <c r="U132" s="37">
        <f>E132*M132*O132*(Q132-R132-S132)/100000000</f>
        <v>32.788672753483148</v>
      </c>
      <c r="V132" s="37">
        <f>E132*G132*(1-N132)*O132/100*(R132+S132)/1000000</f>
        <v>1.3134761640000001</v>
      </c>
      <c r="W132" s="37">
        <f>+'23'!K8/1000</f>
        <v>33.417000000000002</v>
      </c>
      <c r="X132" s="501">
        <f>SUM(W132:W134)/SUM(K132:K136)</f>
        <v>0.39547760866506132</v>
      </c>
      <c r="Y132" s="211">
        <v>0</v>
      </c>
      <c r="Z132" s="37">
        <f>+'23'!D7/1000</f>
        <v>0.9</v>
      </c>
      <c r="AA132" s="49">
        <f>SUM(U132:U134)-SUM(W132:W134)-SUM(Z132:Z134)-SUM(Y132:Y134)</f>
        <v>1.3921530293092361</v>
      </c>
      <c r="AB132" s="49">
        <f>(SUM(K132:K134)-SUM(W132:W134)-SUM(Y132:Y134)-SUM(Z132:Z134)-SUM(AC132:AC134)-SUM(V132:V134))-AA132</f>
        <v>-0.20747806730922869</v>
      </c>
      <c r="AC132" s="37">
        <f>K132-T132</f>
        <v>2.1593792219999983</v>
      </c>
      <c r="AD132" s="37">
        <f>+AM132+BA132</f>
        <v>18</v>
      </c>
      <c r="AE132" s="229" t="s">
        <v>575</v>
      </c>
      <c r="AF132" s="37">
        <v>18</v>
      </c>
      <c r="AG132" s="37"/>
      <c r="AH132" s="37"/>
      <c r="AI132" s="502"/>
      <c r="AJ132" s="37"/>
      <c r="AK132" s="37"/>
      <c r="AL132" s="37"/>
      <c r="AM132" s="37">
        <f t="shared" ref="AM132:AM134" si="52">SUM(AF132:AL132)+AT132+AV132+AX132</f>
        <v>18</v>
      </c>
      <c r="AN132" s="37"/>
      <c r="AO132" s="37"/>
      <c r="AP132" s="37"/>
      <c r="AQ132" s="37"/>
      <c r="AR132" s="37">
        <f>SUM(AN132:AQ132)</f>
        <v>0</v>
      </c>
      <c r="AS132" s="37"/>
      <c r="AT132" s="37"/>
      <c r="AU132" s="37"/>
      <c r="AV132" s="37"/>
      <c r="AW132" s="37"/>
      <c r="AX132" s="37"/>
      <c r="AY132" s="37"/>
      <c r="AZ132" s="37"/>
      <c r="BA132" s="37">
        <f>+AR132+AS132+AU132+AW132+AY132+AZ132</f>
        <v>0</v>
      </c>
      <c r="BB132" s="33">
        <v>6</v>
      </c>
      <c r="BC132" s="51"/>
      <c r="BD132" s="51"/>
      <c r="BE132" s="33"/>
      <c r="BF132" s="51"/>
    </row>
    <row r="133" spans="1:58" ht="12.95" customHeight="1">
      <c r="A133" s="40"/>
      <c r="B133" s="41" t="s">
        <v>461</v>
      </c>
      <c r="C133" s="414">
        <f>(M133*E133*O133*Q133)/100000000</f>
        <v>3.2373849200000002</v>
      </c>
      <c r="D133" s="41" t="s">
        <v>300</v>
      </c>
      <c r="E133" s="42">
        <v>14</v>
      </c>
      <c r="F133" s="42">
        <v>1</v>
      </c>
      <c r="G133" s="499">
        <v>1230</v>
      </c>
      <c r="H133" s="44">
        <f>+N133</f>
        <v>0.23000000000000009</v>
      </c>
      <c r="I133" s="45">
        <v>0.88</v>
      </c>
      <c r="J133" s="82">
        <f>E133*G133*(1-H133)*1440/1000000*2.74</f>
        <v>52.316288639999996</v>
      </c>
      <c r="K133" s="82">
        <f>(IF(G133&lt;L133,L133,G133)*(1-IF(H133&lt;N133,H133,N133))*E133*O133*Q133)/100000000</f>
        <v>4.0560504599999998</v>
      </c>
      <c r="L133" s="35">
        <v>981.73913043478262</v>
      </c>
      <c r="M133" s="35">
        <v>755.93913043478256</v>
      </c>
      <c r="N133" s="46">
        <f>1-(M133/L133)</f>
        <v>0.23000000000000009</v>
      </c>
      <c r="O133" s="47">
        <f>+'Trim Rwd'!H56</f>
        <v>266</v>
      </c>
      <c r="P133" s="48">
        <f>O133*(Q133-R133-S133)</f>
        <v>27930</v>
      </c>
      <c r="Q133" s="47">
        <v>115</v>
      </c>
      <c r="R133" s="500">
        <v>0</v>
      </c>
      <c r="S133" s="500">
        <f>63-S132-S134</f>
        <v>10</v>
      </c>
      <c r="T133" s="37">
        <f>E133*M133*O133*Q133/100000000</f>
        <v>3.2373849200000002</v>
      </c>
      <c r="U133" s="37">
        <f>E133*M133*O133*(Q133-R133-S133)/100000000</f>
        <v>2.9558731878260871</v>
      </c>
      <c r="V133" s="37">
        <f>E133*G133*(1-N133)*O133/100*(R133+S133)/1000000</f>
        <v>0.35270003999999994</v>
      </c>
      <c r="W133" s="37">
        <f>+'23'!K9/1000</f>
        <v>2.6259999999999999</v>
      </c>
      <c r="X133" s="38"/>
      <c r="Y133" s="211"/>
      <c r="Z133" s="37">
        <f>+'23'!D26/1000</f>
        <v>0.39200000000000002</v>
      </c>
      <c r="AA133" s="37"/>
      <c r="AB133" s="37"/>
      <c r="AC133" s="37">
        <f>K133-T133</f>
        <v>0.81866553999999958</v>
      </c>
      <c r="AD133" s="37">
        <f>+AM133+BA133</f>
        <v>9</v>
      </c>
      <c r="AE133" s="229" t="s">
        <v>543</v>
      </c>
      <c r="AF133" s="37"/>
      <c r="AG133" s="37">
        <v>9</v>
      </c>
      <c r="AH133" s="37"/>
      <c r="AI133" s="502"/>
      <c r="AJ133" s="37"/>
      <c r="AK133" s="37"/>
      <c r="AL133" s="37"/>
      <c r="AM133" s="37">
        <f t="shared" si="52"/>
        <v>9</v>
      </c>
      <c r="AN133" s="83"/>
      <c r="AO133" s="37"/>
      <c r="AP133" s="37"/>
      <c r="AQ133" s="37"/>
      <c r="AR133" s="37">
        <f t="shared" ref="AR133:AR134" si="53">SUM(AN133:AQ133)</f>
        <v>0</v>
      </c>
      <c r="AS133" s="37"/>
      <c r="AT133" s="37"/>
      <c r="AU133" s="37"/>
      <c r="AV133" s="37"/>
      <c r="AW133" s="37"/>
      <c r="AX133" s="37"/>
      <c r="AY133" s="37"/>
      <c r="AZ133" s="37"/>
      <c r="BA133" s="37">
        <f>+AR133+AS133+AU133+AW133+AY133+AZ133</f>
        <v>0</v>
      </c>
      <c r="BB133" s="50"/>
      <c r="BC133" s="51">
        <v>4</v>
      </c>
      <c r="BD133" s="51"/>
      <c r="BE133" s="50"/>
      <c r="BF133" s="51"/>
    </row>
    <row r="134" spans="1:58" ht="12.95" customHeight="1">
      <c r="A134" s="40"/>
      <c r="B134" s="41" t="s">
        <v>574</v>
      </c>
      <c r="C134" s="414">
        <f>(M134*E134*O134*Q134)/100000000</f>
        <v>4.8405477120000002</v>
      </c>
      <c r="D134" s="41" t="s">
        <v>300</v>
      </c>
      <c r="E134" s="42">
        <v>14</v>
      </c>
      <c r="F134" s="42">
        <v>1</v>
      </c>
      <c r="G134" s="499">
        <v>1230</v>
      </c>
      <c r="H134" s="44">
        <f>+N134</f>
        <v>0.23000000000000009</v>
      </c>
      <c r="I134" s="45">
        <v>0.88</v>
      </c>
      <c r="J134" s="82">
        <f>E134*G134*(1-H134)*1440/1000000*2.74</f>
        <v>52.316288639999996</v>
      </c>
      <c r="K134" s="82">
        <f>(IF(G134&lt;L134,L134,G134)*(1-IF(H134&lt;N134,H134,N134))*E134*O134*Q134)/100000000</f>
        <v>5.7248785439999983</v>
      </c>
      <c r="L134" s="35">
        <v>1040</v>
      </c>
      <c r="M134" s="35">
        <v>800.8</v>
      </c>
      <c r="N134" s="46">
        <f>1-(M134/L134)</f>
        <v>0.23000000000000009</v>
      </c>
      <c r="O134" s="47">
        <f>+'Trim Rwd'!H57</f>
        <v>257</v>
      </c>
      <c r="P134" s="48">
        <f>O134*(Q134-R134-S134)</f>
        <v>40349</v>
      </c>
      <c r="Q134" s="47">
        <v>168</v>
      </c>
      <c r="R134" s="500">
        <v>0</v>
      </c>
      <c r="S134" s="500">
        <v>11</v>
      </c>
      <c r="T134" s="37">
        <f>E134*M134*O134*Q134/100000000</f>
        <v>4.8405477120000002</v>
      </c>
      <c r="U134" s="37">
        <f>E134*M134*O134*(Q134-R134-S134)/100000000</f>
        <v>4.5236070880000003</v>
      </c>
      <c r="V134" s="37">
        <f>E134*G134*(1-N134)*O134/100*(R134+S134)/1000000</f>
        <v>0.37484323799999997</v>
      </c>
      <c r="W134" s="37">
        <f>+'23'!K11/1000</f>
        <v>1.5409999999999999</v>
      </c>
      <c r="X134" s="38"/>
      <c r="Y134" s="211"/>
      <c r="Z134" s="37"/>
      <c r="AA134" s="37"/>
      <c r="AB134" s="37"/>
      <c r="AC134" s="37">
        <f>K134-T134</f>
        <v>0.88433083199999807</v>
      </c>
      <c r="AD134" s="37">
        <f>+AM134+BA134</f>
        <v>36</v>
      </c>
      <c r="AE134" s="229" t="s">
        <v>576</v>
      </c>
      <c r="AF134" s="33"/>
      <c r="AG134" s="33"/>
      <c r="AH134" s="33">
        <v>36</v>
      </c>
      <c r="AJ134" s="37"/>
      <c r="AK134" s="37"/>
      <c r="AL134" s="37"/>
      <c r="AM134" s="37">
        <f t="shared" si="52"/>
        <v>36</v>
      </c>
      <c r="AN134" s="37"/>
      <c r="AO134" s="37"/>
      <c r="AP134" s="37"/>
      <c r="AQ134" s="37"/>
      <c r="AR134" s="37">
        <f t="shared" si="53"/>
        <v>0</v>
      </c>
      <c r="AS134" s="37"/>
      <c r="AT134" s="37"/>
      <c r="AU134" s="37"/>
      <c r="AV134" s="37"/>
      <c r="AW134" s="37"/>
      <c r="AX134" s="37"/>
      <c r="AY134" s="37"/>
      <c r="AZ134" s="37"/>
      <c r="BA134" s="37">
        <f>+AR134+AS134+AU134+AW134+AY134+AZ134</f>
        <v>0</v>
      </c>
      <c r="BB134" s="33"/>
      <c r="BC134" s="503"/>
      <c r="BD134" s="503"/>
      <c r="BE134" s="33"/>
      <c r="BF134" s="503"/>
    </row>
    <row r="135" spans="1:58" ht="12.95" customHeight="1">
      <c r="A135" s="40"/>
      <c r="B135" s="41"/>
      <c r="C135" s="414"/>
      <c r="D135" s="41"/>
      <c r="E135" s="42"/>
      <c r="F135" s="42"/>
      <c r="G135" s="43"/>
      <c r="H135" s="44"/>
      <c r="I135" s="45"/>
      <c r="J135" s="82"/>
      <c r="K135" s="82"/>
      <c r="L135" s="35"/>
      <c r="M135" s="35"/>
      <c r="N135" s="46"/>
      <c r="O135" s="47"/>
      <c r="P135" s="48"/>
      <c r="Q135" s="47"/>
      <c r="R135" s="500"/>
      <c r="S135" s="500"/>
      <c r="T135" s="37"/>
      <c r="U135" s="37"/>
      <c r="V135" s="37"/>
      <c r="W135" s="37"/>
      <c r="X135" s="38"/>
      <c r="Y135" s="211"/>
      <c r="Z135" s="37"/>
      <c r="AA135" s="37"/>
      <c r="AB135" s="37"/>
      <c r="AC135" s="37"/>
      <c r="AD135" s="37"/>
      <c r="AE135" s="229"/>
      <c r="AF135" s="33"/>
      <c r="AG135" s="33"/>
      <c r="AH135" s="33"/>
      <c r="AJ135" s="37"/>
      <c r="AK135" s="37"/>
      <c r="AL135" s="37"/>
      <c r="AM135" s="37"/>
      <c r="AN135" s="37"/>
      <c r="AO135" s="37"/>
      <c r="AP135" s="37"/>
      <c r="AQ135" s="37"/>
      <c r="AR135" s="37"/>
      <c r="AS135" s="37"/>
      <c r="AT135" s="37"/>
      <c r="AU135" s="37"/>
      <c r="AV135" s="37"/>
      <c r="AW135" s="37"/>
      <c r="AX135" s="37"/>
      <c r="AY135" s="37"/>
      <c r="AZ135" s="37"/>
      <c r="BA135" s="37"/>
      <c r="BB135" s="33"/>
      <c r="BC135" s="503"/>
      <c r="BD135" s="51"/>
      <c r="BE135" s="51"/>
      <c r="BF135" s="51"/>
    </row>
    <row r="136" spans="1:58" ht="12" customHeight="1">
      <c r="A136" s="40">
        <v>45985</v>
      </c>
      <c r="B136" s="41" t="s">
        <v>574</v>
      </c>
      <c r="C136" s="414">
        <f>(M136*E136*O136*Q136)/100000000</f>
        <v>42.391350284280442</v>
      </c>
      <c r="D136" s="41" t="s">
        <v>300</v>
      </c>
      <c r="E136" s="42">
        <v>14</v>
      </c>
      <c r="F136" s="42">
        <v>1</v>
      </c>
      <c r="G136" s="499">
        <v>1230</v>
      </c>
      <c r="H136" s="44">
        <f>+N136</f>
        <v>0.22999999999999998</v>
      </c>
      <c r="I136" s="45">
        <v>0.88</v>
      </c>
      <c r="J136" s="82">
        <f>E136*G136*(1-H136)*1440/1000000*2.74</f>
        <v>52.316288640000003</v>
      </c>
      <c r="K136" s="82">
        <f>(IF(G136&lt;L136,L136,G136)*(1-IF(H136&lt;N136,H136,N136))*E136*O136*Q136)/100000000</f>
        <v>49.070387519999997</v>
      </c>
      <c r="L136" s="35">
        <v>1062.5830258302583</v>
      </c>
      <c r="M136" s="35">
        <v>818.18892988929895</v>
      </c>
      <c r="N136" s="46">
        <f>1-(M136/L136)</f>
        <v>0.22999999999999998</v>
      </c>
      <c r="O136" s="47">
        <f>+'Trim Rwd'!H59</f>
        <v>257</v>
      </c>
      <c r="P136" s="48">
        <f>O136*(Q136-R136-S136)</f>
        <v>333329</v>
      </c>
      <c r="Q136" s="47">
        <v>1440</v>
      </c>
      <c r="R136" s="500">
        <v>85</v>
      </c>
      <c r="S136" s="500">
        <v>58</v>
      </c>
      <c r="T136" s="37">
        <f>E136*M136*O136*Q136/100000000</f>
        <v>42.391350284280442</v>
      </c>
      <c r="U136" s="37">
        <f>E136*M136*O136*(Q136-R136-S136)/100000000</f>
        <v>38.181653693549812</v>
      </c>
      <c r="V136" s="37">
        <f>E136*G136*(1-N136)*O136/100*(R136+S136)/1000000</f>
        <v>4.8729620939999991</v>
      </c>
      <c r="W136" s="37">
        <f>+'24'!K11/1000</f>
        <v>35.371000000000002</v>
      </c>
      <c r="X136" s="501">
        <f>SUM(W136:W140)/SUM(K136:K140)</f>
        <v>0.72082169690597142</v>
      </c>
      <c r="Y136" s="211">
        <v>0</v>
      </c>
      <c r="Z136" s="37">
        <f>+'21'!D21/1000</f>
        <v>0</v>
      </c>
      <c r="AA136" s="49">
        <f>SUM(U136:U140)-SUM(W136:W140)-SUM(Z136:Z140)-SUM(Y136:Y140)</f>
        <v>2.8106536935498099</v>
      </c>
      <c r="AB136" s="49">
        <f>(SUM(K136:K140)-SUM(W136:W140)-SUM(Y136:Y140)-SUM(Z136:Z140)-SUM(AC136:AC140)-SUM(V136:V140))-AA136</f>
        <v>-0.66326550326936928</v>
      </c>
      <c r="AC136" s="37">
        <f>K136-T136</f>
        <v>6.6790372357195551</v>
      </c>
      <c r="AD136" s="37">
        <f>+AM136+BA136</f>
        <v>9</v>
      </c>
      <c r="AE136" s="229" t="s">
        <v>460</v>
      </c>
      <c r="AF136" s="37">
        <v>9</v>
      </c>
      <c r="AG136" s="37"/>
      <c r="AH136" s="37"/>
      <c r="AI136" s="502"/>
      <c r="AJ136" s="37"/>
      <c r="AK136" s="37"/>
      <c r="AL136" s="37"/>
      <c r="AM136" s="37">
        <f t="shared" ref="AM136:AM139" si="54">SUM(AF136:AL136)+AT136+AV136+AX136</f>
        <v>9</v>
      </c>
      <c r="AN136" s="37"/>
      <c r="AO136" s="37"/>
      <c r="AP136" s="37"/>
      <c r="AQ136" s="37"/>
      <c r="AR136" s="37">
        <f>SUM(AN136:AQ136)</f>
        <v>0</v>
      </c>
      <c r="AS136" s="37"/>
      <c r="AT136" s="37"/>
      <c r="AU136" s="37"/>
      <c r="AV136" s="37"/>
      <c r="AW136" s="37"/>
      <c r="AX136" s="37"/>
      <c r="AY136" s="37"/>
      <c r="AZ136" s="37"/>
      <c r="BA136" s="37">
        <f t="shared" ref="BA136:BA139" si="55">+AR136+AS136+AU136+AW136+AY136+AZ136</f>
        <v>0</v>
      </c>
      <c r="BB136" s="33">
        <v>3</v>
      </c>
      <c r="BC136" s="51"/>
      <c r="BD136" s="51"/>
      <c r="BE136" s="33"/>
      <c r="BF136" s="51"/>
    </row>
    <row r="137" spans="1:58" ht="12.95" customHeight="1">
      <c r="A137" s="40"/>
      <c r="B137" s="41"/>
      <c r="C137" s="414"/>
      <c r="D137" s="41"/>
      <c r="E137" s="42"/>
      <c r="F137" s="42"/>
      <c r="G137" s="499"/>
      <c r="H137" s="44"/>
      <c r="I137" s="45"/>
      <c r="J137" s="82"/>
      <c r="K137" s="82"/>
      <c r="L137" s="35"/>
      <c r="M137" s="35"/>
      <c r="N137" s="46"/>
      <c r="O137" s="47"/>
      <c r="P137" s="48"/>
      <c r="Q137" s="47"/>
      <c r="R137" s="500"/>
      <c r="S137" s="500"/>
      <c r="T137" s="37"/>
      <c r="U137" s="37"/>
      <c r="V137" s="37"/>
      <c r="W137" s="37"/>
      <c r="X137" s="38"/>
      <c r="Y137" s="211"/>
      <c r="Z137" s="37">
        <f>+'21'!D39/1000</f>
        <v>0</v>
      </c>
      <c r="AA137" s="37"/>
      <c r="AB137" s="37"/>
      <c r="AC137" s="37">
        <f>K137-T137</f>
        <v>0</v>
      </c>
      <c r="AD137" s="37">
        <f>+AM137+BA137</f>
        <v>15</v>
      </c>
      <c r="AE137" s="229" t="s">
        <v>591</v>
      </c>
      <c r="AF137" s="37"/>
      <c r="AG137" s="37">
        <v>15</v>
      </c>
      <c r="AH137" s="37"/>
      <c r="AI137" s="502"/>
      <c r="AJ137" s="37"/>
      <c r="AK137" s="37"/>
      <c r="AL137" s="37"/>
      <c r="AM137" s="37">
        <f t="shared" si="54"/>
        <v>15</v>
      </c>
      <c r="AN137" s="83"/>
      <c r="AO137" s="37"/>
      <c r="AP137" s="37"/>
      <c r="AQ137" s="37"/>
      <c r="AR137" s="37">
        <f t="shared" ref="AR137:AR139" si="56">SUM(AN137:AQ137)</f>
        <v>0</v>
      </c>
      <c r="AS137" s="37"/>
      <c r="AT137" s="37"/>
      <c r="AU137" s="37"/>
      <c r="AV137" s="37"/>
      <c r="AW137" s="37"/>
      <c r="AX137" s="37"/>
      <c r="AY137" s="37"/>
      <c r="AZ137" s="37"/>
      <c r="BA137" s="37">
        <f t="shared" si="55"/>
        <v>0</v>
      </c>
      <c r="BB137" s="50"/>
      <c r="BC137" s="51">
        <v>10</v>
      </c>
      <c r="BD137" s="51"/>
      <c r="BE137" s="50"/>
      <c r="BF137" s="51"/>
    </row>
    <row r="138" spans="1:58" ht="12.95" customHeight="1">
      <c r="A138" s="40"/>
      <c r="B138" s="41"/>
      <c r="C138" s="414"/>
      <c r="D138" s="41"/>
      <c r="E138" s="42"/>
      <c r="F138" s="42"/>
      <c r="G138" s="499"/>
      <c r="H138" s="44"/>
      <c r="I138" s="45"/>
      <c r="J138" s="82"/>
      <c r="K138" s="82"/>
      <c r="L138" s="35"/>
      <c r="M138" s="35"/>
      <c r="N138" s="46"/>
      <c r="O138" s="47"/>
      <c r="P138" s="48"/>
      <c r="Q138" s="47"/>
      <c r="R138" s="500"/>
      <c r="S138" s="500"/>
      <c r="T138" s="37"/>
      <c r="U138" s="37"/>
      <c r="V138" s="37"/>
      <c r="W138" s="37"/>
      <c r="X138" s="38"/>
      <c r="Y138" s="211"/>
      <c r="Z138" s="37"/>
      <c r="AA138" s="37"/>
      <c r="AB138" s="37"/>
      <c r="AC138" s="37">
        <f>K138-T138</f>
        <v>0</v>
      </c>
      <c r="AD138" s="37">
        <f>+AM138+BA138</f>
        <v>34</v>
      </c>
      <c r="AE138" s="229" t="s">
        <v>482</v>
      </c>
      <c r="AF138" s="33"/>
      <c r="AG138" s="33"/>
      <c r="AH138" s="33">
        <v>34</v>
      </c>
      <c r="AJ138" s="37"/>
      <c r="AK138" s="37"/>
      <c r="AL138" s="37"/>
      <c r="AM138" s="37">
        <f t="shared" si="54"/>
        <v>34</v>
      </c>
      <c r="AN138" s="37"/>
      <c r="AO138" s="37"/>
      <c r="AP138" s="37"/>
      <c r="AQ138" s="37"/>
      <c r="AR138" s="37">
        <f t="shared" si="56"/>
        <v>0</v>
      </c>
      <c r="AS138" s="37"/>
      <c r="AT138" s="37"/>
      <c r="AU138" s="37"/>
      <c r="AV138" s="37"/>
      <c r="AW138" s="37"/>
      <c r="AX138" s="37"/>
      <c r="AY138" s="37"/>
      <c r="AZ138" s="37"/>
      <c r="BA138" s="37">
        <f t="shared" si="55"/>
        <v>0</v>
      </c>
      <c r="BB138" s="33"/>
      <c r="BC138" s="503"/>
      <c r="BD138" s="503"/>
      <c r="BE138" s="33"/>
      <c r="BF138" s="503"/>
    </row>
    <row r="139" spans="1:58" ht="12.95" customHeight="1">
      <c r="A139" s="40"/>
      <c r="B139" s="41"/>
      <c r="C139" s="414"/>
      <c r="D139" s="41"/>
      <c r="E139" s="42"/>
      <c r="F139" s="42"/>
      <c r="G139" s="43"/>
      <c r="H139" s="44"/>
      <c r="I139" s="45"/>
      <c r="J139" s="82"/>
      <c r="K139" s="82"/>
      <c r="L139" s="35"/>
      <c r="M139" s="35"/>
      <c r="N139" s="46"/>
      <c r="O139" s="47"/>
      <c r="P139" s="48"/>
      <c r="Q139" s="34"/>
      <c r="R139" s="500"/>
      <c r="S139" s="500"/>
      <c r="T139" s="37"/>
      <c r="U139" s="37"/>
      <c r="V139" s="37"/>
      <c r="W139" s="37"/>
      <c r="X139" s="38"/>
      <c r="Y139" s="211"/>
      <c r="Z139" s="37"/>
      <c r="AA139" s="37"/>
      <c r="AB139" s="37"/>
      <c r="AC139" s="37"/>
      <c r="AD139" s="37">
        <f>+AM139+BA139</f>
        <v>85</v>
      </c>
      <c r="AE139" s="232" t="s">
        <v>592</v>
      </c>
      <c r="AF139" s="37"/>
      <c r="AG139" s="37"/>
      <c r="AH139" s="37"/>
      <c r="AI139" s="502">
        <v>0</v>
      </c>
      <c r="AJ139" s="37"/>
      <c r="AK139" s="37"/>
      <c r="AL139" s="37"/>
      <c r="AM139" s="37">
        <f t="shared" si="54"/>
        <v>0</v>
      </c>
      <c r="AN139" s="37"/>
      <c r="AO139" s="37"/>
      <c r="AP139" s="37">
        <v>85</v>
      </c>
      <c r="AQ139" s="37"/>
      <c r="AR139" s="37">
        <f t="shared" si="56"/>
        <v>85</v>
      </c>
      <c r="AS139" s="37"/>
      <c r="AT139" s="37"/>
      <c r="AU139" s="37"/>
      <c r="AV139" s="37"/>
      <c r="AW139" s="37"/>
      <c r="AX139" s="37"/>
      <c r="AY139" s="37"/>
      <c r="AZ139" s="37"/>
      <c r="BA139" s="37">
        <f t="shared" si="55"/>
        <v>85</v>
      </c>
      <c r="BB139" s="50"/>
      <c r="BC139" s="51"/>
      <c r="BD139" s="51"/>
      <c r="BE139" s="50"/>
      <c r="BF139" s="51"/>
    </row>
    <row r="140" spans="1:58" ht="12.95" customHeight="1">
      <c r="A140" s="40"/>
      <c r="B140" s="41"/>
      <c r="C140" s="414"/>
      <c r="D140" s="41"/>
      <c r="E140" s="42"/>
      <c r="F140" s="42"/>
      <c r="G140" s="43"/>
      <c r="H140" s="44"/>
      <c r="I140" s="45"/>
      <c r="J140" s="82"/>
      <c r="K140" s="82"/>
      <c r="L140" s="35"/>
      <c r="M140" s="35"/>
      <c r="N140" s="46"/>
      <c r="O140" s="47"/>
      <c r="P140" s="48"/>
      <c r="Q140" s="47"/>
      <c r="R140" s="500"/>
      <c r="S140" s="500"/>
      <c r="T140" s="37"/>
      <c r="U140" s="37"/>
      <c r="V140" s="37"/>
      <c r="W140" s="37"/>
      <c r="X140" s="38"/>
      <c r="Y140" s="211"/>
      <c r="Z140" s="37"/>
      <c r="AA140" s="37"/>
      <c r="AB140" s="37"/>
      <c r="AC140" s="37"/>
      <c r="AD140" s="37"/>
      <c r="AE140" s="229"/>
      <c r="AF140" s="33"/>
      <c r="AG140" s="33"/>
      <c r="AH140" s="33"/>
      <c r="AJ140" s="37"/>
      <c r="AK140" s="37"/>
      <c r="AL140" s="37"/>
      <c r="AM140" s="37"/>
      <c r="AN140" s="37"/>
      <c r="AO140" s="37"/>
      <c r="AP140" s="37"/>
      <c r="AQ140" s="37"/>
      <c r="AR140" s="37"/>
      <c r="AS140" s="37"/>
      <c r="AT140" s="37"/>
      <c r="AU140" s="37"/>
      <c r="AV140" s="37"/>
      <c r="AW140" s="37"/>
      <c r="AX140" s="37"/>
      <c r="AY140" s="37"/>
      <c r="AZ140" s="37"/>
      <c r="BA140" s="37"/>
      <c r="BB140" s="33"/>
      <c r="BC140" s="503"/>
      <c r="BD140" s="51"/>
      <c r="BE140" s="51"/>
      <c r="BF140" s="51"/>
    </row>
    <row r="141" spans="1:58" ht="12" customHeight="1">
      <c r="A141" s="40">
        <v>45986</v>
      </c>
      <c r="B141" s="41" t="s">
        <v>574</v>
      </c>
      <c r="C141" s="414">
        <f>(M141*E141*O141*Q141)/100000000</f>
        <v>15.194587869999999</v>
      </c>
      <c r="D141" s="41" t="s">
        <v>300</v>
      </c>
      <c r="E141" s="42">
        <v>14</v>
      </c>
      <c r="F141" s="42">
        <v>1</v>
      </c>
      <c r="G141" s="499">
        <v>1230</v>
      </c>
      <c r="H141" s="44">
        <f>+N141</f>
        <v>0.23000000000000009</v>
      </c>
      <c r="I141" s="45">
        <v>0.88</v>
      </c>
      <c r="J141" s="82">
        <f>E141*G141*(1-H141)*1440/1000000*2.74</f>
        <v>52.316288639999996</v>
      </c>
      <c r="K141" s="82">
        <f>(IF(G141&lt;L141,L141,G141)*(1-IF(H141&lt;N141,H141,N141))*E141*O141*Q141)/100000000</f>
        <v>17.379095579999998</v>
      </c>
      <c r="L141" s="35">
        <v>1075.3921568627452</v>
      </c>
      <c r="M141" s="35">
        <v>828.05196078431368</v>
      </c>
      <c r="N141" s="46">
        <f>1-(M141/L141)</f>
        <v>0.23000000000000009</v>
      </c>
      <c r="O141" s="47">
        <f>+'Trim Rwd'!H61</f>
        <v>257</v>
      </c>
      <c r="P141" s="48">
        <f>O141*(Q141-R141-S141)</f>
        <v>122075</v>
      </c>
      <c r="Q141" s="47">
        <v>510</v>
      </c>
      <c r="R141" s="500">
        <v>0</v>
      </c>
      <c r="S141" s="500">
        <f>25+10</f>
        <v>35</v>
      </c>
      <c r="T141" s="37">
        <f>E141*M141*O141*Q141/100000000</f>
        <v>15.194587869999999</v>
      </c>
      <c r="U141" s="37">
        <f>E141*M141*O141*(Q141-R141-S141)/100000000</f>
        <v>14.151822035784313</v>
      </c>
      <c r="V141" s="37">
        <f>E141*G141*(1-N141)*O141/100*(R141+S141)/1000000</f>
        <v>1.1926830299999998</v>
      </c>
      <c r="W141" s="37">
        <f>+'25'!K11/1000</f>
        <v>17.248000000000001</v>
      </c>
      <c r="X141" s="501">
        <f>SUM(W141:W145)/SUM(K141:K145)</f>
        <v>0.75741496713922296</v>
      </c>
      <c r="Y141" s="211">
        <v>0</v>
      </c>
      <c r="Z141" s="37">
        <f>+'21'!D26/1000</f>
        <v>0</v>
      </c>
      <c r="AA141" s="49">
        <f>SUM(U141:U145)-SUM(W141:W145)-SUM(Z141:Z145)-SUM(Y141:Y145)</f>
        <v>1.7417356674939881</v>
      </c>
      <c r="AB141" s="49">
        <f>(SUM(K141:K145)-SUM(W141:W145)-SUM(Y141:Y145)-SUM(Z141:Z145)-SUM(AC141:AC145)-SUM(V141:V145))-AA141</f>
        <v>-0.5270968124939921</v>
      </c>
      <c r="AC141" s="37">
        <f>K141-T141</f>
        <v>2.1845077099999983</v>
      </c>
      <c r="AD141" s="37">
        <f>+AM141+BA141</f>
        <v>24</v>
      </c>
      <c r="AE141" s="229" t="s">
        <v>575</v>
      </c>
      <c r="AF141" s="37">
        <v>24</v>
      </c>
      <c r="AG141" s="37"/>
      <c r="AH141" s="37"/>
      <c r="AI141" s="502"/>
      <c r="AJ141" s="37"/>
      <c r="AK141" s="37"/>
      <c r="AL141" s="37"/>
      <c r="AM141" s="37">
        <f t="shared" ref="AM141:AM144" si="57">SUM(AF141:AL141)+AT141+AV141+AX141</f>
        <v>24</v>
      </c>
      <c r="AN141" s="37"/>
      <c r="AO141" s="37"/>
      <c r="AP141" s="37"/>
      <c r="AQ141" s="37"/>
      <c r="AR141" s="37">
        <f>SUM(AN141:AQ141)</f>
        <v>0</v>
      </c>
      <c r="AS141" s="37"/>
      <c r="AT141" s="37"/>
      <c r="AU141" s="37"/>
      <c r="AV141" s="37"/>
      <c r="AW141" s="37"/>
      <c r="AX141" s="37"/>
      <c r="AY141" s="37"/>
      <c r="AZ141" s="37"/>
      <c r="BA141" s="37">
        <f t="shared" ref="BA141:BA144" si="58">+AR141+AS141+AU141+AW141+AY141+AZ141</f>
        <v>0</v>
      </c>
      <c r="BB141" s="33">
        <v>6</v>
      </c>
      <c r="BC141" s="51"/>
      <c r="BD141" s="51"/>
      <c r="BE141" s="33"/>
      <c r="BF141" s="51"/>
    </row>
    <row r="142" spans="1:58" ht="12.95" customHeight="1">
      <c r="A142" s="40"/>
      <c r="B142" s="41" t="s">
        <v>574</v>
      </c>
      <c r="C142" s="414">
        <f>(M142*E142*O142*Q142)/100000000</f>
        <v>28.597677569999998</v>
      </c>
      <c r="D142" s="41" t="s">
        <v>300</v>
      </c>
      <c r="E142" s="42">
        <v>15</v>
      </c>
      <c r="F142" s="42">
        <v>1</v>
      </c>
      <c r="G142" s="499">
        <v>1210</v>
      </c>
      <c r="H142" s="44">
        <f>+N142</f>
        <v>0.22999999999999998</v>
      </c>
      <c r="I142" s="45">
        <v>0.88</v>
      </c>
      <c r="J142" s="82">
        <f>E142*G142*(1-H142)*1440/1000000*2.74</f>
        <v>55.141732800000007</v>
      </c>
      <c r="K142" s="82">
        <f>(IF(G142&lt;L142,L142,G142)*(1-IF(H142&lt;N142,H142,N142))*E142*O142*Q142)/100000000</f>
        <v>33.402842550000003</v>
      </c>
      <c r="L142" s="35">
        <v>1035.9354838709678</v>
      </c>
      <c r="M142" s="35">
        <v>797.67032258064523</v>
      </c>
      <c r="N142" s="46">
        <f>1-(M142/L142)</f>
        <v>0.22999999999999998</v>
      </c>
      <c r="O142" s="47">
        <f>+'Trim Rwd'!H62</f>
        <v>257</v>
      </c>
      <c r="P142" s="48">
        <f>O142*(Q142-R142-S142)</f>
        <v>220249</v>
      </c>
      <c r="Q142" s="47">
        <v>930</v>
      </c>
      <c r="R142" s="500">
        <v>0</v>
      </c>
      <c r="S142" s="500">
        <f>48+25</f>
        <v>73</v>
      </c>
      <c r="T142" s="37">
        <f>E142*M142*O142*Q142/100000000</f>
        <v>28.597677569999998</v>
      </c>
      <c r="U142" s="37">
        <f>E142*M142*O142*(Q142-R142-S142)/100000000</f>
        <v>26.352913631709679</v>
      </c>
      <c r="V142" s="37">
        <f>E142*G142*(1-N142)*O142/100*(R142+S142)/1000000</f>
        <v>2.6219435550000001</v>
      </c>
      <c r="W142" s="37">
        <f>+'25'!K12/1000</f>
        <v>21.215</v>
      </c>
      <c r="X142" s="38"/>
      <c r="Y142" s="211"/>
      <c r="Z142" s="37">
        <f>+'25'!D25/1000</f>
        <v>0.3</v>
      </c>
      <c r="AA142" s="37"/>
      <c r="AB142" s="37"/>
      <c r="AC142" s="37">
        <f>K142-T142</f>
        <v>4.8051649800000042</v>
      </c>
      <c r="AD142" s="37">
        <f>+AM142+BA142</f>
        <v>8</v>
      </c>
      <c r="AE142" s="229" t="s">
        <v>462</v>
      </c>
      <c r="AF142" s="37"/>
      <c r="AG142" s="37">
        <v>8</v>
      </c>
      <c r="AH142" s="37"/>
      <c r="AI142" s="502"/>
      <c r="AJ142" s="37"/>
      <c r="AK142" s="37"/>
      <c r="AL142" s="37"/>
      <c r="AM142" s="37">
        <f t="shared" si="57"/>
        <v>8</v>
      </c>
      <c r="AN142" s="83"/>
      <c r="AO142" s="37"/>
      <c r="AP142" s="37"/>
      <c r="AQ142" s="37"/>
      <c r="AR142" s="37">
        <f t="shared" ref="AR142:AR144" si="59">SUM(AN142:AQ142)</f>
        <v>0</v>
      </c>
      <c r="AS142" s="37"/>
      <c r="AT142" s="37"/>
      <c r="AU142" s="37"/>
      <c r="AV142" s="37"/>
      <c r="AW142" s="37"/>
      <c r="AX142" s="37"/>
      <c r="AY142" s="37"/>
      <c r="AZ142" s="37"/>
      <c r="BA142" s="37">
        <f t="shared" si="58"/>
        <v>0</v>
      </c>
      <c r="BB142" s="50"/>
      <c r="BC142" s="51">
        <v>6</v>
      </c>
      <c r="BD142" s="51"/>
      <c r="BE142" s="50"/>
      <c r="BF142" s="51"/>
    </row>
    <row r="143" spans="1:58" ht="12.95" customHeight="1">
      <c r="A143" s="40"/>
      <c r="B143" s="41"/>
      <c r="C143" s="414"/>
      <c r="D143" s="41"/>
      <c r="E143" s="42"/>
      <c r="F143" s="42"/>
      <c r="G143" s="499"/>
      <c r="H143" s="44"/>
      <c r="I143" s="45"/>
      <c r="J143" s="82"/>
      <c r="K143" s="82"/>
      <c r="L143" s="35"/>
      <c r="M143" s="35"/>
      <c r="N143" s="46"/>
      <c r="O143" s="47"/>
      <c r="P143" s="48"/>
      <c r="Q143" s="47"/>
      <c r="R143" s="500"/>
      <c r="S143" s="500"/>
      <c r="T143" s="37"/>
      <c r="U143" s="37"/>
      <c r="V143" s="37"/>
      <c r="W143" s="37"/>
      <c r="X143" s="38"/>
      <c r="Y143" s="211"/>
      <c r="Z143" s="37"/>
      <c r="AA143" s="37"/>
      <c r="AB143" s="37"/>
      <c r="AC143" s="37">
        <f>K143-T143</f>
        <v>0</v>
      </c>
      <c r="AD143" s="37">
        <f>+AM143+BA143</f>
        <v>41</v>
      </c>
      <c r="AE143" s="229" t="s">
        <v>576</v>
      </c>
      <c r="AF143" s="33"/>
      <c r="AG143" s="33"/>
      <c r="AH143" s="33">
        <v>41</v>
      </c>
      <c r="AJ143" s="37"/>
      <c r="AK143" s="37"/>
      <c r="AL143" s="37"/>
      <c r="AM143" s="37">
        <f t="shared" si="57"/>
        <v>41</v>
      </c>
      <c r="AN143" s="37"/>
      <c r="AO143" s="37"/>
      <c r="AP143" s="37"/>
      <c r="AQ143" s="37"/>
      <c r="AR143" s="37">
        <f t="shared" si="59"/>
        <v>0</v>
      </c>
      <c r="AS143" s="37"/>
      <c r="AT143" s="37"/>
      <c r="AU143" s="37"/>
      <c r="AV143" s="37"/>
      <c r="AW143" s="37"/>
      <c r="AX143" s="37"/>
      <c r="AY143" s="37"/>
      <c r="AZ143" s="37"/>
      <c r="BA143" s="37">
        <f t="shared" si="58"/>
        <v>0</v>
      </c>
      <c r="BB143" s="33"/>
      <c r="BC143" s="503"/>
      <c r="BD143" s="503"/>
      <c r="BE143" s="33"/>
      <c r="BF143" s="503"/>
    </row>
    <row r="144" spans="1:58" ht="25.5">
      <c r="A144" s="40"/>
      <c r="B144" s="41"/>
      <c r="C144" s="414"/>
      <c r="D144" s="41"/>
      <c r="E144" s="42"/>
      <c r="F144" s="42"/>
      <c r="G144" s="499"/>
      <c r="H144" s="44"/>
      <c r="I144" s="45"/>
      <c r="J144" s="82"/>
      <c r="K144" s="82"/>
      <c r="L144" s="35"/>
      <c r="M144" s="35"/>
      <c r="N144" s="46"/>
      <c r="O144" s="47"/>
      <c r="P144" s="48"/>
      <c r="Q144" s="47"/>
      <c r="R144" s="500"/>
      <c r="S144" s="500"/>
      <c r="T144" s="37"/>
      <c r="U144" s="37"/>
      <c r="V144" s="37"/>
      <c r="W144" s="37"/>
      <c r="X144" s="501"/>
      <c r="Y144" s="211"/>
      <c r="Z144" s="37"/>
      <c r="AA144" s="49"/>
      <c r="AB144" s="49"/>
      <c r="AC144" s="37"/>
      <c r="AD144" s="37">
        <f>+AM144+BA144</f>
        <v>35</v>
      </c>
      <c r="AE144" s="232" t="s">
        <v>612</v>
      </c>
      <c r="AF144" s="37"/>
      <c r="AG144" s="37"/>
      <c r="AH144" s="37"/>
      <c r="AI144" s="502"/>
      <c r="AJ144" s="37"/>
      <c r="AK144" s="37">
        <v>35</v>
      </c>
      <c r="AL144" s="37"/>
      <c r="AM144" s="37">
        <f t="shared" si="57"/>
        <v>35</v>
      </c>
      <c r="AN144" s="37"/>
      <c r="AO144" s="37"/>
      <c r="AP144" s="37"/>
      <c r="AQ144" s="37"/>
      <c r="AR144" s="37">
        <f t="shared" si="59"/>
        <v>0</v>
      </c>
      <c r="AS144" s="37"/>
      <c r="AT144" s="37"/>
      <c r="AU144" s="37"/>
      <c r="AV144" s="37"/>
      <c r="AW144" s="37"/>
      <c r="AX144" s="37"/>
      <c r="AY144" s="37"/>
      <c r="AZ144" s="37"/>
      <c r="BA144" s="37">
        <f t="shared" si="58"/>
        <v>0</v>
      </c>
      <c r="BB144" s="33"/>
      <c r="BC144" s="51"/>
      <c r="BD144" s="51"/>
      <c r="BE144" s="51"/>
      <c r="BF144" s="51"/>
    </row>
    <row r="145" spans="1:58" ht="12.95" customHeight="1">
      <c r="A145" s="40"/>
      <c r="B145" s="41"/>
      <c r="C145" s="414"/>
      <c r="D145" s="41"/>
      <c r="E145" s="42"/>
      <c r="F145" s="42"/>
      <c r="G145" s="499"/>
      <c r="H145" s="44"/>
      <c r="I145" s="45"/>
      <c r="J145" s="82"/>
      <c r="K145" s="82"/>
      <c r="L145" s="35"/>
      <c r="M145" s="35"/>
      <c r="N145" s="46"/>
      <c r="O145" s="47"/>
      <c r="P145" s="48"/>
      <c r="Q145" s="47"/>
      <c r="R145" s="500"/>
      <c r="S145" s="500"/>
      <c r="T145" s="37"/>
      <c r="U145" s="37"/>
      <c r="V145" s="37"/>
      <c r="W145" s="37"/>
      <c r="X145" s="38"/>
      <c r="Y145" s="211"/>
      <c r="Z145" s="37"/>
      <c r="AA145" s="37"/>
      <c r="AB145" s="37"/>
      <c r="AC145" s="37"/>
      <c r="AD145" s="37"/>
      <c r="AE145" s="229"/>
      <c r="AF145" s="37"/>
      <c r="AG145" s="37"/>
      <c r="AH145" s="37"/>
      <c r="AI145" s="502"/>
      <c r="AJ145" s="37"/>
      <c r="AK145" s="37"/>
      <c r="AL145" s="37"/>
      <c r="AM145" s="37"/>
      <c r="AN145" s="83"/>
      <c r="AO145" s="37"/>
      <c r="AP145" s="37"/>
      <c r="AQ145" s="37"/>
      <c r="AR145" s="37"/>
      <c r="AS145" s="37"/>
      <c r="AT145" s="37"/>
      <c r="AU145" s="37"/>
      <c r="AV145" s="37"/>
      <c r="AW145" s="37"/>
      <c r="AX145" s="37"/>
      <c r="AY145" s="37"/>
      <c r="AZ145" s="37"/>
      <c r="BA145" s="37"/>
      <c r="BB145" s="50"/>
      <c r="BC145" s="51"/>
      <c r="BD145" s="51"/>
      <c r="BE145" s="51"/>
      <c r="BF145" s="51"/>
    </row>
    <row r="146" spans="1:58" ht="12" customHeight="1">
      <c r="A146" s="40">
        <v>45987</v>
      </c>
      <c r="B146" s="41" t="s">
        <v>574</v>
      </c>
      <c r="C146" s="414">
        <f>(M146*E146*O146*Q146)/100000000</f>
        <v>48.291011150735301</v>
      </c>
      <c r="D146" s="41" t="s">
        <v>300</v>
      </c>
      <c r="E146" s="42">
        <v>15</v>
      </c>
      <c r="F146" s="42">
        <v>1</v>
      </c>
      <c r="G146" s="499">
        <v>1210</v>
      </c>
      <c r="H146" s="44">
        <f>+N146</f>
        <v>0.22999999999999998</v>
      </c>
      <c r="I146" s="45">
        <v>0.88</v>
      </c>
      <c r="J146" s="82">
        <f>E146*G146*(1-H146)*1440/1000000*2.74</f>
        <v>55.141732800000007</v>
      </c>
      <c r="K146" s="82">
        <f>(IF(G146&lt;L146,L146,G146)*(1-IF(H146&lt;N146,H146,N146))*E146*O146*Q146)/100000000</f>
        <v>52.664616529411767</v>
      </c>
      <c r="L146" s="35">
        <v>1109.5138888888889</v>
      </c>
      <c r="M146" s="35">
        <v>854.32569444444448</v>
      </c>
      <c r="N146" s="46">
        <f>1-(M146/L146)</f>
        <v>0.22999999999999998</v>
      </c>
      <c r="O146" s="47">
        <f>+'Trim Rwd'!H64</f>
        <v>261.69117647058823</v>
      </c>
      <c r="P146" s="48">
        <f>O146*(Q146-R146-S146)</f>
        <v>359040.29411764705</v>
      </c>
      <c r="Q146" s="47">
        <v>1440</v>
      </c>
      <c r="R146" s="500">
        <v>0</v>
      </c>
      <c r="S146" s="500">
        <v>68</v>
      </c>
      <c r="T146" s="37">
        <f>E146*M146*O146*Q146/100000000</f>
        <v>48.291011150735301</v>
      </c>
      <c r="U146" s="37">
        <f>E146*M146*O146*(Q146-R146-S146)/100000000</f>
        <v>46.010602290839465</v>
      </c>
      <c r="V146" s="37">
        <f>E146*G146*(1-N146)*O146/100*(R146+S146)/1000000</f>
        <v>2.4869402250000001</v>
      </c>
      <c r="W146" s="37">
        <f>+'26'!K12/1000</f>
        <v>38.930999999999997</v>
      </c>
      <c r="X146" s="501">
        <f>SUM(W146:W149)/SUM(K146:K150)</f>
        <v>0.65949139565827919</v>
      </c>
      <c r="Y146" s="211">
        <v>0</v>
      </c>
      <c r="Z146" s="37">
        <f>+'26'!D34/1000</f>
        <v>1.472</v>
      </c>
      <c r="AA146" s="49">
        <f>SUM(U146:U149)-SUM(W146:W149)-SUM(Z146:Z149)-SUM(Y146:Y149)</f>
        <v>5.607602290839468</v>
      </c>
      <c r="AB146" s="49">
        <f>(SUM(K146:K149)-SUM(W146:W149)-SUM(Y146:Y149)-SUM(Z146:Z149)-SUM(AC146:AC149)-SUM(V146:V149))-AA146</f>
        <v>-0.20653136510416381</v>
      </c>
      <c r="AC146" s="37">
        <f>K146-T146</f>
        <v>4.3736053786764657</v>
      </c>
      <c r="AD146" s="37">
        <f>+AM146+BA146</f>
        <v>27</v>
      </c>
      <c r="AE146" s="229" t="s">
        <v>624</v>
      </c>
      <c r="AF146" s="37">
        <v>27</v>
      </c>
      <c r="AG146" s="37"/>
      <c r="AH146" s="37"/>
      <c r="AI146" s="502"/>
      <c r="AJ146" s="37"/>
      <c r="AK146" s="37"/>
      <c r="AL146" s="37"/>
      <c r="AM146" s="37">
        <f t="shared" ref="AM146:AM148" si="60">SUM(AF146:AL146)+AT146+AV146+AX146</f>
        <v>27</v>
      </c>
      <c r="AN146" s="37"/>
      <c r="AO146" s="37"/>
      <c r="AP146" s="37"/>
      <c r="AQ146" s="37"/>
      <c r="AR146" s="37">
        <f>SUM(AN146:AQ146)</f>
        <v>0</v>
      </c>
      <c r="AS146" s="37"/>
      <c r="AT146" s="37"/>
      <c r="AU146" s="37"/>
      <c r="AV146" s="37"/>
      <c r="AW146" s="37"/>
      <c r="AX146" s="37"/>
      <c r="AY146" s="37"/>
      <c r="AZ146" s="37"/>
      <c r="BA146" s="37">
        <f t="shared" ref="BA146:BA148" si="61">+AR146+AS146+AU146+AW146+AY146+AZ146</f>
        <v>0</v>
      </c>
      <c r="BB146" s="33">
        <v>10</v>
      </c>
      <c r="BC146" s="51"/>
      <c r="BD146" s="51"/>
      <c r="BE146" s="33"/>
      <c r="BF146" s="51"/>
    </row>
    <row r="147" spans="1:58" ht="12.95" customHeight="1">
      <c r="A147" s="40"/>
      <c r="B147" s="41"/>
      <c r="C147" s="414"/>
      <c r="D147" s="41"/>
      <c r="E147" s="42"/>
      <c r="F147" s="42"/>
      <c r="G147" s="499"/>
      <c r="H147" s="44"/>
      <c r="I147" s="45"/>
      <c r="J147" s="82"/>
      <c r="K147" s="82"/>
      <c r="L147" s="35"/>
      <c r="M147" s="35"/>
      <c r="N147" s="46"/>
      <c r="O147" s="47"/>
      <c r="P147" s="48"/>
      <c r="Q147" s="47"/>
      <c r="R147" s="500"/>
      <c r="S147" s="500"/>
      <c r="T147" s="37"/>
      <c r="U147" s="37"/>
      <c r="V147" s="37"/>
      <c r="W147" s="37"/>
      <c r="X147" s="38"/>
      <c r="Y147" s="211"/>
      <c r="Z147" s="37"/>
      <c r="AA147" s="37"/>
      <c r="AB147" s="37"/>
      <c r="AC147" s="37">
        <f>K147-T147</f>
        <v>0</v>
      </c>
      <c r="AD147" s="37">
        <f>+AM147+BA147</f>
        <v>0</v>
      </c>
      <c r="AE147" s="229" t="s">
        <v>282</v>
      </c>
      <c r="AF147" s="37"/>
      <c r="AG147" s="37">
        <v>0</v>
      </c>
      <c r="AH147" s="37"/>
      <c r="AI147" s="502"/>
      <c r="AJ147" s="37"/>
      <c r="AK147" s="37"/>
      <c r="AL147" s="37"/>
      <c r="AM147" s="37">
        <f t="shared" si="60"/>
        <v>0</v>
      </c>
      <c r="AN147" s="83"/>
      <c r="AO147" s="37"/>
      <c r="AP147" s="37"/>
      <c r="AQ147" s="37"/>
      <c r="AR147" s="37">
        <f t="shared" ref="AR147:AR148" si="62">SUM(AN147:AQ147)</f>
        <v>0</v>
      </c>
      <c r="AS147" s="37"/>
      <c r="AT147" s="37"/>
      <c r="AU147" s="37"/>
      <c r="AV147" s="37"/>
      <c r="AW147" s="37"/>
      <c r="AX147" s="37"/>
      <c r="AY147" s="37"/>
      <c r="AZ147" s="37"/>
      <c r="BA147" s="37">
        <f t="shared" si="61"/>
        <v>0</v>
      </c>
      <c r="BB147" s="50"/>
      <c r="BC147" s="51">
        <v>0</v>
      </c>
      <c r="BD147" s="51"/>
      <c r="BE147" s="50"/>
      <c r="BF147" s="51"/>
    </row>
    <row r="148" spans="1:58" ht="12.95" customHeight="1">
      <c r="A148" s="40"/>
      <c r="B148" s="41"/>
      <c r="C148" s="414"/>
      <c r="D148" s="41"/>
      <c r="E148" s="42"/>
      <c r="F148" s="42"/>
      <c r="G148" s="499"/>
      <c r="H148" s="44"/>
      <c r="I148" s="45"/>
      <c r="J148" s="82"/>
      <c r="K148" s="82"/>
      <c r="L148" s="35"/>
      <c r="M148" s="35"/>
      <c r="N148" s="46"/>
      <c r="O148" s="47"/>
      <c r="P148" s="48"/>
      <c r="Q148" s="47"/>
      <c r="R148" s="500"/>
      <c r="S148" s="500"/>
      <c r="T148" s="37"/>
      <c r="U148" s="37"/>
      <c r="V148" s="37"/>
      <c r="W148" s="37"/>
      <c r="X148" s="38"/>
      <c r="Y148" s="211"/>
      <c r="Z148" s="37"/>
      <c r="AA148" s="37"/>
      <c r="AB148" s="37"/>
      <c r="AC148" s="37">
        <f>K148-T148</f>
        <v>0</v>
      </c>
      <c r="AD148" s="37">
        <f>+AM148+BA148</f>
        <v>41</v>
      </c>
      <c r="AE148" s="229" t="s">
        <v>544</v>
      </c>
      <c r="AF148" s="33"/>
      <c r="AG148" s="33"/>
      <c r="AH148" s="33">
        <v>41</v>
      </c>
      <c r="AJ148" s="37"/>
      <c r="AK148" s="37"/>
      <c r="AL148" s="37"/>
      <c r="AM148" s="37">
        <f t="shared" si="60"/>
        <v>41</v>
      </c>
      <c r="AN148" s="37"/>
      <c r="AO148" s="37"/>
      <c r="AP148" s="37"/>
      <c r="AQ148" s="37"/>
      <c r="AR148" s="37">
        <f t="shared" si="62"/>
        <v>0</v>
      </c>
      <c r="AS148" s="37"/>
      <c r="AT148" s="37"/>
      <c r="AU148" s="37"/>
      <c r="AV148" s="37"/>
      <c r="AW148" s="37"/>
      <c r="AX148" s="37"/>
      <c r="AY148" s="37"/>
      <c r="AZ148" s="37"/>
      <c r="BA148" s="37">
        <f t="shared" si="61"/>
        <v>0</v>
      </c>
      <c r="BB148" s="33"/>
      <c r="BC148" s="503"/>
      <c r="BD148" s="503"/>
      <c r="BE148" s="33"/>
      <c r="BF148" s="503"/>
    </row>
    <row r="149" spans="1:58" ht="16.5" customHeight="1">
      <c r="A149" s="40"/>
      <c r="B149" s="41"/>
      <c r="C149" s="414"/>
      <c r="D149" s="41"/>
      <c r="E149" s="42"/>
      <c r="F149" s="42"/>
      <c r="G149" s="499"/>
      <c r="H149" s="44"/>
      <c r="I149" s="45"/>
      <c r="J149" s="82"/>
      <c r="K149" s="82"/>
      <c r="L149" s="35"/>
      <c r="M149" s="35"/>
      <c r="N149" s="46"/>
      <c r="O149" s="47"/>
      <c r="P149" s="48"/>
      <c r="Q149" s="47"/>
      <c r="R149" s="500"/>
      <c r="S149" s="500"/>
      <c r="T149" s="37"/>
      <c r="U149" s="37"/>
      <c r="V149" s="37"/>
      <c r="W149" s="37"/>
      <c r="X149" s="501"/>
      <c r="Y149" s="211"/>
      <c r="Z149" s="37"/>
      <c r="AA149" s="49"/>
      <c r="AB149" s="49"/>
      <c r="AC149" s="37"/>
      <c r="AD149" s="37"/>
      <c r="AE149" s="229"/>
      <c r="AF149" s="37"/>
      <c r="AG149" s="37"/>
      <c r="AH149" s="37"/>
      <c r="AI149" s="502"/>
      <c r="AJ149" s="37"/>
      <c r="AK149" s="37"/>
      <c r="AL149" s="37"/>
      <c r="AM149" s="37"/>
      <c r="AN149" s="37"/>
      <c r="AO149" s="37"/>
      <c r="AP149" s="37"/>
      <c r="AQ149" s="37"/>
      <c r="AR149" s="37"/>
      <c r="AS149" s="37"/>
      <c r="AT149" s="37"/>
      <c r="AU149" s="37"/>
      <c r="AV149" s="37"/>
      <c r="AW149" s="37"/>
      <c r="AX149" s="37"/>
      <c r="AY149" s="37"/>
      <c r="AZ149" s="37"/>
      <c r="BA149" s="37"/>
      <c r="BB149" s="33"/>
      <c r="BC149" s="51"/>
      <c r="BD149" s="51"/>
      <c r="BE149" s="51"/>
      <c r="BF149" s="51"/>
    </row>
    <row r="150" spans="1:58" ht="12" customHeight="1">
      <c r="A150" s="40">
        <v>45988</v>
      </c>
      <c r="B150" s="41" t="s">
        <v>574</v>
      </c>
      <c r="C150" s="414">
        <f>(M150*E150*O150*Q150)/100000000</f>
        <v>5.5252889999999999</v>
      </c>
      <c r="D150" s="41" t="s">
        <v>300</v>
      </c>
      <c r="E150" s="42">
        <v>15</v>
      </c>
      <c r="F150" s="42">
        <v>1</v>
      </c>
      <c r="G150" s="499">
        <v>1210</v>
      </c>
      <c r="H150" s="44">
        <f>+N150</f>
        <v>0.22999999999999998</v>
      </c>
      <c r="I150" s="45">
        <v>0.88</v>
      </c>
      <c r="J150" s="82">
        <f>E150*G150*(1-H150)*1440/1000000*2.74</f>
        <v>55.141732800000007</v>
      </c>
      <c r="K150" s="82">
        <f>(IF(G150&lt;L150,L150,G150)*(1-IF(H150&lt;N150,H150,N150))*E150*O150*Q150)/100000000</f>
        <v>6.3672377999999998</v>
      </c>
      <c r="L150" s="35">
        <v>1050</v>
      </c>
      <c r="M150" s="35">
        <v>808.5</v>
      </c>
      <c r="N150" s="46">
        <f>1-(M150/L150)</f>
        <v>0.22999999999999998</v>
      </c>
      <c r="O150" s="47">
        <f>+'Trim Rwd'!H67</f>
        <v>268</v>
      </c>
      <c r="P150" s="48">
        <f>O150*(Q150-R150-S150)</f>
        <v>42076</v>
      </c>
      <c r="Q150" s="47">
        <v>170</v>
      </c>
      <c r="R150" s="500">
        <v>0</v>
      </c>
      <c r="S150" s="500">
        <v>13</v>
      </c>
      <c r="T150" s="37">
        <f>E150*M150*O150*Q150/100000000</f>
        <v>5.5252889999999999</v>
      </c>
      <c r="U150" s="37">
        <f>E150*M150*O150*(Q150-R150-S150)/100000000</f>
        <v>5.1027668999999998</v>
      </c>
      <c r="V150" s="37">
        <f>E150*G150*(1-N150)*O150/100*(R150+S150)/1000000</f>
        <v>0.48690641999999995</v>
      </c>
      <c r="W150" s="37">
        <f>+'27'!K12/1000</f>
        <v>8.4529999999999994</v>
      </c>
      <c r="X150" s="501">
        <f>SUM(W150:W153)/SUM(K150:K154)</f>
        <v>0.57457281279424965</v>
      </c>
      <c r="Y150" s="211">
        <v>0</v>
      </c>
      <c r="Z150" s="37">
        <v>0</v>
      </c>
      <c r="AA150" s="49">
        <f>SUM(U150:U153)-SUM(W150:W153)-SUM(Z150:Z153)-SUM(Y150:Y153)</f>
        <v>0.46074029027559571</v>
      </c>
      <c r="AB150" s="49">
        <f>(SUM(K150:K153)-SUM(W150:W153)-SUM(Y150:Y153)-SUM(Z150:Z153)-SUM(AC150:AC153)-SUM(V150:V153))-AA150</f>
        <v>-0.19466671027559213</v>
      </c>
      <c r="AC150" s="37">
        <f>K150-T150</f>
        <v>0.84194879999999994</v>
      </c>
      <c r="AD150" s="37">
        <f>+AM150+BA150</f>
        <v>24</v>
      </c>
      <c r="AE150" s="229" t="s">
        <v>499</v>
      </c>
      <c r="AF150" s="37">
        <v>24</v>
      </c>
      <c r="AG150" s="37"/>
      <c r="AH150" s="37"/>
      <c r="AI150" s="502"/>
      <c r="AJ150" s="37"/>
      <c r="AK150" s="37"/>
      <c r="AL150" s="37"/>
      <c r="AM150" s="37">
        <f t="shared" ref="AM150:AM152" si="63">SUM(AF150:AL150)+AT150+AV150+AX150</f>
        <v>24</v>
      </c>
      <c r="AN150" s="37"/>
      <c r="AO150" s="37"/>
      <c r="AP150" s="37"/>
      <c r="AQ150" s="37"/>
      <c r="AR150" s="37">
        <f>SUM(AN150:AQ150)</f>
        <v>0</v>
      </c>
      <c r="AS150" s="37"/>
      <c r="AT150" s="37"/>
      <c r="AU150" s="37"/>
      <c r="AV150" s="37"/>
      <c r="AW150" s="37"/>
      <c r="AX150" s="37"/>
      <c r="AY150" s="37"/>
      <c r="AZ150" s="37"/>
      <c r="BA150" s="37">
        <f t="shared" ref="BA150:BA152" si="64">+AR150+AS150+AU150+AW150+AY150+AZ150</f>
        <v>0</v>
      </c>
      <c r="BB150" s="33">
        <v>9</v>
      </c>
      <c r="BC150" s="51"/>
      <c r="BD150" s="51"/>
      <c r="BE150" s="33"/>
      <c r="BF150" s="51"/>
    </row>
    <row r="151" spans="1:58" ht="12.95" customHeight="1">
      <c r="A151" s="40"/>
      <c r="B151" s="41" t="s">
        <v>461</v>
      </c>
      <c r="C151" s="414">
        <f>(M151*E151*O151*Q151)/100000000</f>
        <v>34.766874450000003</v>
      </c>
      <c r="D151" s="41" t="s">
        <v>300</v>
      </c>
      <c r="E151" s="42">
        <v>12</v>
      </c>
      <c r="F151" s="42">
        <v>1</v>
      </c>
      <c r="G151" s="499">
        <v>1230</v>
      </c>
      <c r="H151" s="44">
        <f>+N151</f>
        <v>0.22999999999999998</v>
      </c>
      <c r="I151" s="45">
        <v>0.88</v>
      </c>
      <c r="J151" s="82">
        <f>E151*G151*(1-H151)*1440/1000000*2.74</f>
        <v>44.842533120000006</v>
      </c>
      <c r="K151" s="82">
        <f>(IF(G151&lt;L151,L151,G151)*(1-IF(H151&lt;N151,H151,N151))*E151*O151*Q151)/100000000</f>
        <v>37.888735500000003</v>
      </c>
      <c r="L151" s="35">
        <v>1128.6535433070867</v>
      </c>
      <c r="M151" s="35">
        <v>869.06322834645675</v>
      </c>
      <c r="N151" s="46">
        <f>1-(M151/L151)</f>
        <v>0.22999999999999998</v>
      </c>
      <c r="O151" s="47">
        <f>+'Trim Rwd'!H68</f>
        <v>262.5</v>
      </c>
      <c r="P151" s="48">
        <f>O151*(Q151-R151-S151)</f>
        <v>319462.5</v>
      </c>
      <c r="Q151" s="47">
        <v>1270</v>
      </c>
      <c r="R151" s="500">
        <v>0</v>
      </c>
      <c r="S151" s="500">
        <f>66-S150</f>
        <v>53</v>
      </c>
      <c r="T151" s="37">
        <f>E151*M151*O151*Q151/100000000</f>
        <v>34.766874450000003</v>
      </c>
      <c r="U151" s="37">
        <f>E151*M151*O151*(Q151-R151-S151)/100000000</f>
        <v>33.315973390275595</v>
      </c>
      <c r="V151" s="37">
        <f>E151*G151*(1-N151)*O151/100*(R151+S151)/1000000</f>
        <v>1.5811834500000002</v>
      </c>
      <c r="W151" s="37">
        <f>+'27'!K7/1000</f>
        <v>28.986999999999998</v>
      </c>
      <c r="X151" s="38"/>
      <c r="Y151" s="211"/>
      <c r="Z151" s="37">
        <f>+'27'!D25/1000</f>
        <v>0.51800000000000002</v>
      </c>
      <c r="AA151" s="37"/>
      <c r="AB151" s="37"/>
      <c r="AC151" s="37">
        <f>K151-T151</f>
        <v>3.1218610499999997</v>
      </c>
      <c r="AD151" s="37">
        <f>+AM151+BA151</f>
        <v>2</v>
      </c>
      <c r="AE151" s="229" t="s">
        <v>455</v>
      </c>
      <c r="AF151" s="37"/>
      <c r="AG151" s="37">
        <v>2</v>
      </c>
      <c r="AH151" s="37"/>
      <c r="AI151" s="502"/>
      <c r="AJ151" s="37"/>
      <c r="AK151" s="37"/>
      <c r="AL151" s="37"/>
      <c r="AM151" s="37">
        <f t="shared" si="63"/>
        <v>2</v>
      </c>
      <c r="AN151" s="83"/>
      <c r="AO151" s="37"/>
      <c r="AP151" s="37"/>
      <c r="AQ151" s="37"/>
      <c r="AR151" s="37">
        <f t="shared" ref="AR151:AR152" si="65">SUM(AN151:AQ151)</f>
        <v>0</v>
      </c>
      <c r="AS151" s="37"/>
      <c r="AT151" s="37"/>
      <c r="AU151" s="37"/>
      <c r="AV151" s="37"/>
      <c r="AW151" s="37"/>
      <c r="AX151" s="37"/>
      <c r="AY151" s="37"/>
      <c r="AZ151" s="37"/>
      <c r="BA151" s="37">
        <f t="shared" si="64"/>
        <v>0</v>
      </c>
      <c r="BB151" s="50"/>
      <c r="BC151" s="51">
        <v>1</v>
      </c>
      <c r="BD151" s="51"/>
      <c r="BE151" s="50"/>
      <c r="BF151" s="51"/>
    </row>
    <row r="152" spans="1:58" ht="12.95" customHeight="1">
      <c r="A152" s="40"/>
      <c r="B152" s="41"/>
      <c r="C152" s="414"/>
      <c r="D152" s="41"/>
      <c r="E152" s="42"/>
      <c r="F152" s="42"/>
      <c r="G152" s="499"/>
      <c r="H152" s="44"/>
      <c r="I152" s="45"/>
      <c r="J152" s="82"/>
      <c r="K152" s="82"/>
      <c r="L152" s="35"/>
      <c r="M152" s="35"/>
      <c r="N152" s="46"/>
      <c r="O152" s="47"/>
      <c r="P152" s="48"/>
      <c r="Q152" s="47"/>
      <c r="R152" s="500"/>
      <c r="S152" s="500"/>
      <c r="T152" s="37"/>
      <c r="U152" s="37"/>
      <c r="V152" s="37"/>
      <c r="W152" s="37"/>
      <c r="X152" s="38"/>
      <c r="Y152" s="211"/>
      <c r="Z152" s="37"/>
      <c r="AA152" s="37"/>
      <c r="AB152" s="37"/>
      <c r="AC152" s="37">
        <f>K152-T152</f>
        <v>0</v>
      </c>
      <c r="AD152" s="37">
        <f>+AM152+BA152</f>
        <v>40</v>
      </c>
      <c r="AE152" s="229" t="s">
        <v>500</v>
      </c>
      <c r="AF152" s="33"/>
      <c r="AG152" s="33"/>
      <c r="AH152" s="33">
        <v>40</v>
      </c>
      <c r="AJ152" s="37"/>
      <c r="AK152" s="37"/>
      <c r="AL152" s="37"/>
      <c r="AM152" s="37">
        <f t="shared" si="63"/>
        <v>40</v>
      </c>
      <c r="AN152" s="37"/>
      <c r="AO152" s="37"/>
      <c r="AP152" s="37"/>
      <c r="AQ152" s="37"/>
      <c r="AR152" s="37">
        <f t="shared" si="65"/>
        <v>0</v>
      </c>
      <c r="AS152" s="37"/>
      <c r="AT152" s="37"/>
      <c r="AU152" s="37"/>
      <c r="AV152" s="37"/>
      <c r="AW152" s="37"/>
      <c r="AX152" s="37"/>
      <c r="AY152" s="37"/>
      <c r="AZ152" s="37"/>
      <c r="BA152" s="37">
        <f t="shared" si="64"/>
        <v>0</v>
      </c>
      <c r="BB152" s="33"/>
      <c r="BC152" s="503"/>
      <c r="BD152" s="503"/>
      <c r="BE152" s="33"/>
      <c r="BF152" s="503"/>
    </row>
    <row r="153" spans="1:58" ht="16.5" customHeight="1">
      <c r="A153" s="40"/>
      <c r="B153" s="41"/>
      <c r="C153" s="414"/>
      <c r="D153" s="41"/>
      <c r="E153" s="42"/>
      <c r="F153" s="42"/>
      <c r="G153" s="499"/>
      <c r="H153" s="44"/>
      <c r="I153" s="45"/>
      <c r="J153" s="82"/>
      <c r="K153" s="82"/>
      <c r="L153" s="35"/>
      <c r="M153" s="35"/>
      <c r="N153" s="46"/>
      <c r="O153" s="47"/>
      <c r="P153" s="48"/>
      <c r="Q153" s="47"/>
      <c r="R153" s="500"/>
      <c r="S153" s="500"/>
      <c r="T153" s="37"/>
      <c r="U153" s="37"/>
      <c r="V153" s="37"/>
      <c r="W153" s="37"/>
      <c r="X153" s="501"/>
      <c r="Y153" s="211"/>
      <c r="Z153" s="37"/>
      <c r="AA153" s="49"/>
      <c r="AB153" s="49"/>
      <c r="AC153" s="37"/>
      <c r="AD153" s="37"/>
      <c r="AE153" s="229"/>
      <c r="AF153" s="37"/>
      <c r="AG153" s="37"/>
      <c r="AH153" s="37"/>
      <c r="AI153" s="502"/>
      <c r="AJ153" s="37"/>
      <c r="AK153" s="37"/>
      <c r="AL153" s="37"/>
      <c r="AM153" s="37"/>
      <c r="AN153" s="37"/>
      <c r="AO153" s="37"/>
      <c r="AP153" s="37"/>
      <c r="AQ153" s="37"/>
      <c r="AR153" s="37"/>
      <c r="AS153" s="37"/>
      <c r="AT153" s="37"/>
      <c r="AU153" s="37"/>
      <c r="AV153" s="37"/>
      <c r="AW153" s="37"/>
      <c r="AX153" s="37"/>
      <c r="AY153" s="37"/>
      <c r="AZ153" s="37"/>
      <c r="BA153" s="37"/>
      <c r="BB153" s="33"/>
      <c r="BC153" s="51"/>
      <c r="BD153" s="51"/>
      <c r="BE153" s="51"/>
      <c r="BF153" s="51"/>
    </row>
    <row r="154" spans="1:58" ht="12" customHeight="1">
      <c r="A154" s="40">
        <v>45989</v>
      </c>
      <c r="B154" s="41" t="s">
        <v>461</v>
      </c>
      <c r="C154" s="414">
        <f t="shared" ref="C154:C155" si="66">(M154*E154*O154*Q154)/100000000</f>
        <v>20.860001390366968</v>
      </c>
      <c r="D154" s="41" t="s">
        <v>300</v>
      </c>
      <c r="E154" s="42">
        <v>12</v>
      </c>
      <c r="F154" s="42">
        <v>1</v>
      </c>
      <c r="G154" s="499">
        <v>1230</v>
      </c>
      <c r="H154" s="44">
        <f t="shared" ref="H154:H155" si="67">+N154</f>
        <v>0.23029115327594163</v>
      </c>
      <c r="I154" s="45">
        <v>0.88</v>
      </c>
      <c r="J154" s="82">
        <f t="shared" ref="J154:J155" si="68">E154*G154*(1-H154)*1440/1000000*2.74</f>
        <v>44.825577210364401</v>
      </c>
      <c r="K154" s="82">
        <f t="shared" ref="K154:K155" si="69">(IF(G154&lt;L154,L154,G154)*(1-IF(H154&lt;N154,H154,N154))*E154*O154*Q154)/100000000</f>
        <v>20.905480855692872</v>
      </c>
      <c r="L154" s="35">
        <v>1227.3241590214068</v>
      </c>
      <c r="M154" s="35">
        <v>944.68226299694186</v>
      </c>
      <c r="N154" s="46">
        <f t="shared" ref="N154:N155" si="70">1-(M154/L154)</f>
        <v>0.23029115327594163</v>
      </c>
      <c r="O154" s="47">
        <f>+'Trim Rwd'!H70</f>
        <v>262.5</v>
      </c>
      <c r="P154" s="48">
        <f t="shared" ref="P154:P155" si="71">O154*(Q154-R154-S154)</f>
        <v>162225</v>
      </c>
      <c r="Q154" s="47">
        <f>654+47</f>
        <v>701</v>
      </c>
      <c r="R154" s="500">
        <v>47</v>
      </c>
      <c r="S154" s="500">
        <v>36</v>
      </c>
      <c r="T154" s="37">
        <f t="shared" ref="T154:T155" si="72">E154*M154*O154*Q154/100000000</f>
        <v>20.860001390366968</v>
      </c>
      <c r="U154" s="37">
        <f t="shared" ref="U154:U155" si="73">E154*M154*O154*(Q154-R154-S154)/100000000</f>
        <v>18.390129613761466</v>
      </c>
      <c r="V154" s="37">
        <f t="shared" ref="V154:V155" si="74">E154*G154*(1-N154)*O154/100*(R154+S154)/1000000</f>
        <v>2.4752566491048622</v>
      </c>
      <c r="W154" s="37">
        <f>+'28'!K7/1000</f>
        <v>18.027999999999999</v>
      </c>
      <c r="X154" s="501">
        <f>SUM(W154:W158)/SUM(K154:K158)</f>
        <v>0.88846416455897692</v>
      </c>
      <c r="Y154" s="211">
        <v>0</v>
      </c>
      <c r="Z154" s="37">
        <f>+'28'!D16/1000</f>
        <v>0.53500000000000003</v>
      </c>
      <c r="AA154" s="49">
        <f>SUM(U154:U158)-SUM(W154:W158)-SUM(Z154:Z158)-SUM(Y154:Y158)</f>
        <v>0.66136944939340137</v>
      </c>
      <c r="AB154" s="49">
        <f>(SUM(K154:K158)-SUM(W154:W158)-SUM(Y154:Y158)-SUM(Z154:Z158)-SUM(AC154:AC158)-SUM(V154:V158))-AA154</f>
        <v>-7.5234961312943271E-3</v>
      </c>
      <c r="AC154" s="37">
        <f>K154-T154</f>
        <v>4.54794653259043E-2</v>
      </c>
      <c r="AD154" s="37">
        <f>+AM154+BA154</f>
        <v>27</v>
      </c>
      <c r="AE154" s="229" t="s">
        <v>499</v>
      </c>
      <c r="AF154" s="37">
        <v>27</v>
      </c>
      <c r="AG154" s="37"/>
      <c r="AH154" s="37"/>
      <c r="AI154" s="502"/>
      <c r="AJ154" s="37"/>
      <c r="AK154" s="37"/>
      <c r="AL154" s="37"/>
      <c r="AM154" s="37">
        <f t="shared" ref="AM154:AM156" si="75">SUM(AF154:AL154)+AT154+AV154+AX154</f>
        <v>27</v>
      </c>
      <c r="AN154" s="37"/>
      <c r="AO154" s="37"/>
      <c r="AP154" s="37"/>
      <c r="AQ154" s="37"/>
      <c r="AR154" s="37">
        <f>SUM(AN154:AQ154)</f>
        <v>0</v>
      </c>
      <c r="AS154" s="37"/>
      <c r="AT154" s="37"/>
      <c r="AU154" s="37"/>
      <c r="AV154" s="37"/>
      <c r="AW154" s="37"/>
      <c r="AX154" s="37"/>
      <c r="AY154" s="37"/>
      <c r="AZ154" s="37"/>
      <c r="BA154" s="37">
        <f t="shared" ref="BA154:BA157" si="76">+AR154+AS154+AU154+AW154+AY154+AZ154</f>
        <v>0</v>
      </c>
      <c r="BB154" s="33">
        <v>9</v>
      </c>
      <c r="BC154" s="51"/>
      <c r="BD154" s="51"/>
      <c r="BE154" s="33"/>
      <c r="BF154" s="51"/>
    </row>
    <row r="155" spans="1:58" ht="12.95" customHeight="1">
      <c r="A155" s="40"/>
      <c r="B155" s="41" t="s">
        <v>461</v>
      </c>
      <c r="C155" s="414">
        <f t="shared" si="66"/>
        <v>23.068211165999998</v>
      </c>
      <c r="D155" s="41" t="s">
        <v>300</v>
      </c>
      <c r="E155" s="42">
        <v>13</v>
      </c>
      <c r="F155" s="42">
        <v>1</v>
      </c>
      <c r="G155" s="499">
        <v>1230</v>
      </c>
      <c r="H155" s="44">
        <f t="shared" si="67"/>
        <v>0.23000000000000009</v>
      </c>
      <c r="I155" s="45">
        <v>0.88</v>
      </c>
      <c r="J155" s="82">
        <f t="shared" si="68"/>
        <v>48.579410880000005</v>
      </c>
      <c r="K155" s="82">
        <f t="shared" si="69"/>
        <v>23.110925837999996</v>
      </c>
      <c r="L155" s="35">
        <v>1227.726657645467</v>
      </c>
      <c r="M155" s="35">
        <v>945.3495263870094</v>
      </c>
      <c r="N155" s="46">
        <f t="shared" si="70"/>
        <v>0.23000000000000009</v>
      </c>
      <c r="O155" s="47">
        <f>+'Trim Rwd'!H71</f>
        <v>254</v>
      </c>
      <c r="P155" s="48">
        <f t="shared" si="71"/>
        <v>178308</v>
      </c>
      <c r="Q155" s="47">
        <v>739</v>
      </c>
      <c r="R155" s="500">
        <v>0</v>
      </c>
      <c r="S155" s="500">
        <v>37</v>
      </c>
      <c r="T155" s="37">
        <f t="shared" si="72"/>
        <v>23.068211165999998</v>
      </c>
      <c r="U155" s="37">
        <f t="shared" si="73"/>
        <v>21.913239835631934</v>
      </c>
      <c r="V155" s="37">
        <f t="shared" si="74"/>
        <v>1.1571099539999998</v>
      </c>
      <c r="W155" s="37">
        <f>+'28'!K8/1000</f>
        <v>21.079000000000001</v>
      </c>
      <c r="X155" s="38"/>
      <c r="Y155" s="211"/>
      <c r="Z155" s="37">
        <f>+'27'!D29/1000</f>
        <v>0</v>
      </c>
      <c r="AA155" s="37"/>
      <c r="AB155" s="37"/>
      <c r="AC155" s="37">
        <f>K155-T155</f>
        <v>4.2714671999998899E-2</v>
      </c>
      <c r="AD155" s="37">
        <f>+AM155+BA155</f>
        <v>2</v>
      </c>
      <c r="AE155" s="229" t="s">
        <v>455</v>
      </c>
      <c r="AF155" s="37"/>
      <c r="AG155" s="37">
        <v>2</v>
      </c>
      <c r="AH155" s="37"/>
      <c r="AI155" s="502"/>
      <c r="AJ155" s="37"/>
      <c r="AK155" s="37"/>
      <c r="AL155" s="37"/>
      <c r="AM155" s="37">
        <f t="shared" si="75"/>
        <v>2</v>
      </c>
      <c r="AN155" s="83"/>
      <c r="AO155" s="37"/>
      <c r="AP155" s="37"/>
      <c r="AQ155" s="37"/>
      <c r="AR155" s="37">
        <f t="shared" ref="AR155:AR156" si="77">SUM(AN155:AQ155)</f>
        <v>0</v>
      </c>
      <c r="AS155" s="37"/>
      <c r="AT155" s="37"/>
      <c r="AU155" s="37"/>
      <c r="AV155" s="37"/>
      <c r="AW155" s="37"/>
      <c r="AX155" s="37"/>
      <c r="AY155" s="37"/>
      <c r="AZ155" s="37"/>
      <c r="BA155" s="37">
        <f t="shared" si="76"/>
        <v>0</v>
      </c>
      <c r="BB155" s="50"/>
      <c r="BC155" s="51">
        <v>1</v>
      </c>
      <c r="BD155" s="51"/>
      <c r="BE155" s="50"/>
      <c r="BF155" s="51"/>
    </row>
    <row r="156" spans="1:58" ht="12.95" customHeight="1">
      <c r="A156" s="40"/>
      <c r="B156" s="41"/>
      <c r="C156" s="414"/>
      <c r="D156" s="41"/>
      <c r="E156" s="42"/>
      <c r="F156" s="42"/>
      <c r="G156" s="499"/>
      <c r="H156" s="44"/>
      <c r="I156" s="45"/>
      <c r="J156" s="82"/>
      <c r="K156" s="82"/>
      <c r="L156" s="35"/>
      <c r="M156" s="35"/>
      <c r="N156" s="46"/>
      <c r="O156" s="47"/>
      <c r="P156" s="48"/>
      <c r="Q156" s="47"/>
      <c r="R156" s="500"/>
      <c r="S156" s="500"/>
      <c r="T156" s="37"/>
      <c r="U156" s="37"/>
      <c r="V156" s="37"/>
      <c r="W156" s="37"/>
      <c r="X156" s="38"/>
      <c r="Y156" s="211"/>
      <c r="Z156" s="37"/>
      <c r="AA156" s="37"/>
      <c r="AB156" s="37"/>
      <c r="AC156" s="37">
        <f>K156-T156</f>
        <v>0</v>
      </c>
      <c r="AD156" s="37">
        <f>+AM156+BA156</f>
        <v>44</v>
      </c>
      <c r="AE156" s="229" t="s">
        <v>647</v>
      </c>
      <c r="AF156" s="33"/>
      <c r="AG156" s="33"/>
      <c r="AH156" s="33">
        <v>44</v>
      </c>
      <c r="AJ156" s="37"/>
      <c r="AK156" s="37"/>
      <c r="AL156" s="37"/>
      <c r="AM156" s="37">
        <f t="shared" si="75"/>
        <v>44</v>
      </c>
      <c r="AN156" s="37"/>
      <c r="AO156" s="37"/>
      <c r="AP156" s="37"/>
      <c r="AQ156" s="37"/>
      <c r="AR156" s="37">
        <f t="shared" si="77"/>
        <v>0</v>
      </c>
      <c r="AS156" s="37"/>
      <c r="AT156" s="37"/>
      <c r="AU156" s="37"/>
      <c r="AV156" s="37"/>
      <c r="AW156" s="37"/>
      <c r="AX156" s="37"/>
      <c r="AY156" s="37"/>
      <c r="AZ156" s="37"/>
      <c r="BA156" s="37">
        <f t="shared" si="76"/>
        <v>0</v>
      </c>
      <c r="BB156" s="33"/>
      <c r="BC156" s="503"/>
      <c r="BD156" s="503"/>
      <c r="BE156" s="33"/>
      <c r="BF156" s="503"/>
    </row>
    <row r="157" spans="1:58" ht="12.95" customHeight="1">
      <c r="A157" s="40"/>
      <c r="B157" s="41"/>
      <c r="C157" s="414"/>
      <c r="D157" s="41"/>
      <c r="E157" s="42"/>
      <c r="F157" s="42"/>
      <c r="G157" s="499"/>
      <c r="H157" s="44"/>
      <c r="I157" s="45"/>
      <c r="J157" s="82"/>
      <c r="K157" s="82"/>
      <c r="L157" s="35"/>
      <c r="M157" s="35"/>
      <c r="N157" s="46"/>
      <c r="O157" s="47"/>
      <c r="P157" s="48"/>
      <c r="Q157" s="47"/>
      <c r="R157" s="500"/>
      <c r="S157" s="500"/>
      <c r="T157" s="37"/>
      <c r="U157" s="37"/>
      <c r="V157" s="37"/>
      <c r="W157" s="37"/>
      <c r="X157" s="38"/>
      <c r="Y157" s="211"/>
      <c r="Z157" s="37"/>
      <c r="AA157" s="37"/>
      <c r="AB157" s="37"/>
      <c r="AC157" s="37">
        <f>K157-T157</f>
        <v>0</v>
      </c>
      <c r="AD157" s="37">
        <f>+AM157+BA157</f>
        <v>47</v>
      </c>
      <c r="AE157" s="229" t="s">
        <v>649</v>
      </c>
      <c r="AF157" s="33"/>
      <c r="AG157" s="33"/>
      <c r="AH157" s="33"/>
      <c r="AJ157" s="37"/>
      <c r="AK157" s="37"/>
      <c r="AL157" s="37"/>
      <c r="AM157" s="37">
        <f t="shared" ref="AM157" si="78">SUM(AF157:AL157)+AT157+AV157+AX157</f>
        <v>0</v>
      </c>
      <c r="AN157" s="37">
        <v>47</v>
      </c>
      <c r="AO157" s="37"/>
      <c r="AP157" s="37"/>
      <c r="AQ157" s="37"/>
      <c r="AR157" s="37">
        <f t="shared" ref="AR157" si="79">SUM(AN157:AQ157)</f>
        <v>47</v>
      </c>
      <c r="AS157" s="37"/>
      <c r="AT157" s="37"/>
      <c r="AU157" s="37"/>
      <c r="AV157" s="37"/>
      <c r="AW157" s="37"/>
      <c r="AX157" s="37"/>
      <c r="AY157" s="37"/>
      <c r="AZ157" s="37"/>
      <c r="BA157" s="37">
        <f t="shared" si="76"/>
        <v>47</v>
      </c>
      <c r="BB157" s="33"/>
      <c r="BC157" s="503"/>
      <c r="BD157" s="503"/>
      <c r="BE157" s="33"/>
      <c r="BF157" s="503"/>
    </row>
    <row r="158" spans="1:58" ht="12.75" customHeight="1">
      <c r="A158" s="40"/>
      <c r="B158" s="549"/>
      <c r="C158" s="414"/>
      <c r="D158" s="41"/>
      <c r="E158" s="42"/>
      <c r="F158" s="42"/>
      <c r="G158" s="43"/>
      <c r="H158" s="44"/>
      <c r="I158" s="45"/>
      <c r="J158" s="82"/>
      <c r="K158" s="82"/>
      <c r="L158" s="35"/>
      <c r="M158" s="35"/>
      <c r="N158" s="46"/>
      <c r="O158" s="47"/>
      <c r="P158" s="48"/>
      <c r="Q158" s="34"/>
      <c r="R158" s="500"/>
      <c r="S158" s="500"/>
      <c r="T158" s="37"/>
      <c r="U158" s="37"/>
      <c r="V158" s="37"/>
      <c r="W158" s="37"/>
      <c r="X158" s="38"/>
      <c r="Y158" s="38"/>
      <c r="Z158" s="37"/>
      <c r="AA158" s="49"/>
      <c r="AB158" s="49"/>
      <c r="AC158" s="37"/>
      <c r="AD158" s="37"/>
      <c r="AE158" s="229"/>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3"/>
      <c r="BC158" s="51"/>
      <c r="BD158" s="51"/>
      <c r="BE158" s="51"/>
      <c r="BF158" s="51"/>
    </row>
    <row r="159" spans="1:58" ht="12" customHeight="1">
      <c r="A159" s="40">
        <v>45990</v>
      </c>
      <c r="B159" s="41" t="s">
        <v>461</v>
      </c>
      <c r="C159" s="414">
        <f t="shared" ref="C159:C160" si="80">(M159*E159*O159*Q159)/100000000</f>
        <v>7.5324849599999997</v>
      </c>
      <c r="D159" s="41" t="s">
        <v>300</v>
      </c>
      <c r="E159" s="42">
        <v>12</v>
      </c>
      <c r="F159" s="42">
        <v>1</v>
      </c>
      <c r="G159" s="499">
        <v>1230</v>
      </c>
      <c r="H159" s="44">
        <f t="shared" ref="H159:H160" si="81">+N159</f>
        <v>0.22999999999999998</v>
      </c>
      <c r="I159" s="45">
        <v>0.88</v>
      </c>
      <c r="J159" s="82">
        <f t="shared" ref="J159:J160" si="82">E159*G159*(1-H159)*1440/1000000*2.74</f>
        <v>44.842533120000006</v>
      </c>
      <c r="K159" s="82">
        <f t="shared" ref="K159:K160" si="83">(IF(G159&lt;L159,L159,G159)*(1-IF(H159&lt;N159,H159,N159))*E159*O159*Q159)/100000000</f>
        <v>7.5942266399999996</v>
      </c>
      <c r="L159" s="35">
        <v>1220</v>
      </c>
      <c r="M159" s="35">
        <v>939.4</v>
      </c>
      <c r="N159" s="46">
        <f t="shared" ref="N159:N160" si="84">1-(M159/L159)</f>
        <v>0.22999999999999998</v>
      </c>
      <c r="O159" s="47">
        <f>+'Trim Rwd'!H73</f>
        <v>260</v>
      </c>
      <c r="P159" s="48">
        <f t="shared" ref="P159:P160" si="85">O159*(Q159-R159-S159)</f>
        <v>62660</v>
      </c>
      <c r="Q159" s="47">
        <v>257</v>
      </c>
      <c r="R159" s="500">
        <v>0</v>
      </c>
      <c r="S159" s="500">
        <v>16</v>
      </c>
      <c r="T159" s="37">
        <f t="shared" ref="T159:T160" si="86">E159*M159*O159*Q159/100000000</f>
        <v>7.5324849599999997</v>
      </c>
      <c r="U159" s="37">
        <f t="shared" ref="U159:U160" si="87">E159*M159*O159*(Q159-R159-S159)/100000000</f>
        <v>7.0635364799999998</v>
      </c>
      <c r="V159" s="37">
        <f t="shared" ref="V159:V160" si="88">E159*G159*(1-N159)*O159/100*(R159+S159)/1000000</f>
        <v>0.47279231999999999</v>
      </c>
      <c r="W159" s="37">
        <f>+'29'!K7/1000</f>
        <v>9.76</v>
      </c>
      <c r="X159" s="501">
        <f>SUM(W159:W162)/SUM(K159:K162)</f>
        <v>0.80833331055278401</v>
      </c>
      <c r="Y159" s="211">
        <v>0</v>
      </c>
      <c r="Z159" s="37">
        <f>+'26'!D47/1000</f>
        <v>0</v>
      </c>
      <c r="AA159" s="49">
        <f>SUM(U159:U162)-SUM(W159:W162)-SUM(Z159:Z162)-SUM(Y159:Y162)</f>
        <v>3.4910459200000119</v>
      </c>
      <c r="AB159" s="49">
        <f>(SUM(K159:K162)-SUM(W159:W162)-SUM(Y159:Y162)-SUM(Z159:Z162)-SUM(AC159:AC162)-SUM(V159:V162))-AA159</f>
        <v>-0.1559958400000041</v>
      </c>
      <c r="AC159" s="37">
        <f>K159-T159</f>
        <v>6.174167999999991E-2</v>
      </c>
      <c r="AD159" s="37">
        <f>+AM159+BA159</f>
        <v>9</v>
      </c>
      <c r="AE159" s="229" t="s">
        <v>460</v>
      </c>
      <c r="AF159" s="37">
        <v>9</v>
      </c>
      <c r="AG159" s="37"/>
      <c r="AH159" s="37"/>
      <c r="AI159" s="502"/>
      <c r="AJ159" s="37"/>
      <c r="AK159" s="37"/>
      <c r="AL159" s="37"/>
      <c r="AM159" s="37">
        <f t="shared" ref="AM159:AM161" si="89">SUM(AF159:AL159)+AT159+AV159+AX159</f>
        <v>9</v>
      </c>
      <c r="AN159" s="37"/>
      <c r="AO159" s="37"/>
      <c r="AP159" s="37"/>
      <c r="AQ159" s="37"/>
      <c r="AR159" s="37">
        <f>SUM(AN159:AQ159)</f>
        <v>0</v>
      </c>
      <c r="AS159" s="37"/>
      <c r="AT159" s="37"/>
      <c r="AU159" s="37"/>
      <c r="AV159" s="37"/>
      <c r="AW159" s="37"/>
      <c r="AX159" s="37"/>
      <c r="AY159" s="37"/>
      <c r="AZ159" s="37"/>
      <c r="BA159" s="37">
        <f t="shared" ref="BA159:BA161" si="90">+AR159+AS159+AU159+AW159+AY159+AZ159</f>
        <v>0</v>
      </c>
      <c r="BB159" s="33">
        <v>3</v>
      </c>
      <c r="BC159" s="51"/>
      <c r="BD159" s="51"/>
      <c r="BE159" s="33"/>
      <c r="BF159" s="51"/>
    </row>
    <row r="160" spans="1:58" ht="12.95" customHeight="1">
      <c r="A160" s="40"/>
      <c r="B160" s="41" t="s">
        <v>461</v>
      </c>
      <c r="C160" s="414">
        <f t="shared" si="80"/>
        <v>36.653693440000005</v>
      </c>
      <c r="D160" s="41" t="s">
        <v>300</v>
      </c>
      <c r="E160" s="42">
        <v>14</v>
      </c>
      <c r="F160" s="42">
        <v>1</v>
      </c>
      <c r="G160" s="499">
        <v>1230</v>
      </c>
      <c r="H160" s="44">
        <f t="shared" si="81"/>
        <v>0.24</v>
      </c>
      <c r="I160" s="45">
        <v>0.88</v>
      </c>
      <c r="J160" s="82">
        <f t="shared" si="82"/>
        <v>51.636856320000007</v>
      </c>
      <c r="K160" s="82">
        <f t="shared" si="83"/>
        <v>40.253609759999996</v>
      </c>
      <c r="L160" s="35">
        <v>1120</v>
      </c>
      <c r="M160" s="35">
        <v>851.2</v>
      </c>
      <c r="N160" s="46">
        <f t="shared" si="84"/>
        <v>0.24</v>
      </c>
      <c r="O160" s="47">
        <f>+'Trim Rwd'!H74</f>
        <v>260</v>
      </c>
      <c r="P160" s="48">
        <f t="shared" si="85"/>
        <v>294580</v>
      </c>
      <c r="Q160" s="47">
        <v>1183</v>
      </c>
      <c r="R160" s="500">
        <v>0</v>
      </c>
      <c r="S160" s="500">
        <v>50</v>
      </c>
      <c r="T160" s="37">
        <f t="shared" si="86"/>
        <v>36.653693440000005</v>
      </c>
      <c r="U160" s="37">
        <f t="shared" si="87"/>
        <v>35.104509440000008</v>
      </c>
      <c r="V160" s="37">
        <f t="shared" si="88"/>
        <v>1.701336</v>
      </c>
      <c r="W160" s="37">
        <f>+'29'!K8/1000</f>
        <v>28.917000000000002</v>
      </c>
      <c r="X160" s="38"/>
      <c r="Y160" s="211"/>
      <c r="Z160" s="37"/>
      <c r="AA160" s="37"/>
      <c r="AB160" s="37"/>
      <c r="AC160" s="37">
        <f>K160-T160</f>
        <v>3.5999163199999913</v>
      </c>
      <c r="AD160" s="37">
        <f>+AM160+BA160</f>
        <v>16</v>
      </c>
      <c r="AE160" s="229" t="s">
        <v>591</v>
      </c>
      <c r="AF160" s="37"/>
      <c r="AG160" s="37">
        <v>16</v>
      </c>
      <c r="AH160" s="37"/>
      <c r="AI160" s="502"/>
      <c r="AJ160" s="37"/>
      <c r="AK160" s="37"/>
      <c r="AL160" s="37"/>
      <c r="AM160" s="37">
        <f t="shared" si="89"/>
        <v>16</v>
      </c>
      <c r="AN160" s="83"/>
      <c r="AO160" s="37"/>
      <c r="AP160" s="37"/>
      <c r="AQ160" s="37"/>
      <c r="AR160" s="37">
        <f t="shared" ref="AR160:AR161" si="91">SUM(AN160:AQ160)</f>
        <v>0</v>
      </c>
      <c r="AS160" s="37"/>
      <c r="AT160" s="37"/>
      <c r="AU160" s="37"/>
      <c r="AV160" s="37"/>
      <c r="AW160" s="37"/>
      <c r="AX160" s="37"/>
      <c r="AY160" s="37"/>
      <c r="AZ160" s="37"/>
      <c r="BA160" s="37">
        <f t="shared" si="90"/>
        <v>0</v>
      </c>
      <c r="BB160" s="50"/>
      <c r="BC160" s="51">
        <v>10</v>
      </c>
      <c r="BD160" s="51"/>
      <c r="BE160" s="50"/>
      <c r="BF160" s="51"/>
    </row>
    <row r="161" spans="1:58" ht="12.95" customHeight="1">
      <c r="A161" s="40"/>
      <c r="B161" s="41"/>
      <c r="C161" s="414"/>
      <c r="D161" s="41"/>
      <c r="E161" s="42"/>
      <c r="F161" s="42"/>
      <c r="G161" s="499"/>
      <c r="H161" s="44"/>
      <c r="I161" s="45"/>
      <c r="J161" s="82"/>
      <c r="K161" s="82"/>
      <c r="L161" s="35"/>
      <c r="M161" s="35"/>
      <c r="N161" s="46"/>
      <c r="O161" s="47"/>
      <c r="P161" s="48"/>
      <c r="Q161" s="47"/>
      <c r="R161" s="500"/>
      <c r="S161" s="500"/>
      <c r="T161" s="37"/>
      <c r="U161" s="37"/>
      <c r="V161" s="37"/>
      <c r="W161" s="37"/>
      <c r="X161" s="38"/>
      <c r="Y161" s="211"/>
      <c r="Z161" s="37"/>
      <c r="AA161" s="37"/>
      <c r="AB161" s="37"/>
      <c r="AC161" s="37">
        <f>K161-T161</f>
        <v>0</v>
      </c>
      <c r="AD161" s="37">
        <f>+AM161+BA161</f>
        <v>41</v>
      </c>
      <c r="AE161" s="229" t="s">
        <v>544</v>
      </c>
      <c r="AF161" s="33"/>
      <c r="AG161" s="33"/>
      <c r="AH161" s="33">
        <v>41</v>
      </c>
      <c r="AJ161" s="37"/>
      <c r="AK161" s="37"/>
      <c r="AL161" s="37"/>
      <c r="AM161" s="37">
        <f t="shared" si="89"/>
        <v>41</v>
      </c>
      <c r="AN161" s="37"/>
      <c r="AO161" s="37"/>
      <c r="AP161" s="37"/>
      <c r="AQ161" s="37"/>
      <c r="AR161" s="37">
        <f t="shared" si="91"/>
        <v>0</v>
      </c>
      <c r="AS161" s="37"/>
      <c r="AT161" s="37"/>
      <c r="AU161" s="37"/>
      <c r="AV161" s="37"/>
      <c r="AW161" s="37"/>
      <c r="AX161" s="37"/>
      <c r="AY161" s="37"/>
      <c r="AZ161" s="37"/>
      <c r="BA161" s="37">
        <f t="shared" si="90"/>
        <v>0</v>
      </c>
      <c r="BB161" s="33"/>
      <c r="BC161" s="503"/>
      <c r="BD161" s="503"/>
      <c r="BE161" s="33"/>
      <c r="BF161" s="503"/>
    </row>
    <row r="162" spans="1:58" ht="16.5" customHeight="1">
      <c r="A162" s="40"/>
      <c r="B162" s="41"/>
      <c r="C162" s="414"/>
      <c r="D162" s="41"/>
      <c r="E162" s="42"/>
      <c r="F162" s="42"/>
      <c r="G162" s="499"/>
      <c r="H162" s="44"/>
      <c r="I162" s="45"/>
      <c r="J162" s="82"/>
      <c r="K162" s="82"/>
      <c r="L162" s="35"/>
      <c r="M162" s="35"/>
      <c r="N162" s="46"/>
      <c r="O162" s="47"/>
      <c r="P162" s="48"/>
      <c r="Q162" s="47"/>
      <c r="R162" s="500"/>
      <c r="S162" s="500"/>
      <c r="T162" s="37"/>
      <c r="U162" s="37"/>
      <c r="V162" s="37"/>
      <c r="W162" s="37"/>
      <c r="X162" s="501"/>
      <c r="Y162" s="211"/>
      <c r="Z162" s="37"/>
      <c r="AA162" s="49"/>
      <c r="AB162" s="49"/>
      <c r="AC162" s="37"/>
      <c r="AD162" s="37"/>
      <c r="AE162" s="229"/>
      <c r="AF162" s="37"/>
      <c r="AG162" s="37"/>
      <c r="AH162" s="37"/>
      <c r="AI162" s="502"/>
      <c r="AJ162" s="37"/>
      <c r="AK162" s="37"/>
      <c r="AL162" s="37"/>
      <c r="AM162" s="37"/>
      <c r="AN162" s="37"/>
      <c r="AO162" s="37"/>
      <c r="AP162" s="37"/>
      <c r="AQ162" s="37"/>
      <c r="AR162" s="37"/>
      <c r="AS162" s="37"/>
      <c r="AT162" s="37"/>
      <c r="AU162" s="37"/>
      <c r="AV162" s="37"/>
      <c r="AW162" s="37"/>
      <c r="AX162" s="37"/>
      <c r="AY162" s="37"/>
      <c r="AZ162" s="37"/>
      <c r="BA162" s="37"/>
      <c r="BB162" s="33"/>
      <c r="BC162" s="51"/>
      <c r="BD162" s="51"/>
      <c r="BE162" s="51"/>
      <c r="BF162" s="51"/>
    </row>
    <row r="163" spans="1:58" ht="12" customHeight="1">
      <c r="A163" s="40">
        <v>45991</v>
      </c>
      <c r="B163" s="41" t="s">
        <v>461</v>
      </c>
      <c r="C163" s="414">
        <f t="shared" ref="C163" si="92">(M163*E163*O163*Q163)/100000000</f>
        <v>44.616499200000007</v>
      </c>
      <c r="D163" s="41" t="s">
        <v>300</v>
      </c>
      <c r="E163" s="42">
        <v>14</v>
      </c>
      <c r="F163" s="42">
        <v>1</v>
      </c>
      <c r="G163" s="499">
        <v>1230</v>
      </c>
      <c r="H163" s="44">
        <f t="shared" ref="H163" si="93">+N163</f>
        <v>0.24</v>
      </c>
      <c r="I163" s="45">
        <v>0.88</v>
      </c>
      <c r="J163" s="82">
        <f t="shared" ref="J163" si="94">E163*G163*(1-H163)*1440/1000000*2.74</f>
        <v>51.636856320000007</v>
      </c>
      <c r="K163" s="82">
        <f t="shared" ref="K163" si="95">(IF(G163&lt;L163,L163,G163)*(1-IF(H163&lt;N163,H163,N163))*E163*O163*Q163)/100000000</f>
        <v>48.998476799999992</v>
      </c>
      <c r="L163" s="35">
        <v>1120</v>
      </c>
      <c r="M163" s="35">
        <v>851.2</v>
      </c>
      <c r="N163" s="46">
        <f t="shared" ref="N163" si="96">1-(M163/L163)</f>
        <v>0.24</v>
      </c>
      <c r="O163" s="47">
        <f>+'Trim Rwd'!H77</f>
        <v>260</v>
      </c>
      <c r="P163" s="48">
        <f t="shared" ref="P163" si="97">O163*(Q163-R163-S163)</f>
        <v>357240</v>
      </c>
      <c r="Q163" s="47">
        <v>1440</v>
      </c>
      <c r="R163" s="500">
        <v>0</v>
      </c>
      <c r="S163" s="500">
        <v>66</v>
      </c>
      <c r="T163" s="37">
        <f t="shared" ref="T163" si="98">E163*M163*O163*Q163/100000000</f>
        <v>44.616499200000007</v>
      </c>
      <c r="U163" s="37">
        <f t="shared" ref="U163" si="99">E163*M163*O163*(Q163-R163-S163)/100000000</f>
        <v>42.571576320000005</v>
      </c>
      <c r="V163" s="37">
        <f t="shared" ref="V163" si="100">E163*G163*(1-N163)*O163/100*(R163+S163)/1000000</f>
        <v>2.2457635200000001</v>
      </c>
      <c r="W163" s="37">
        <f>+'30'!K9/1000</f>
        <v>41.048999999999999</v>
      </c>
      <c r="X163" s="501">
        <f>SUM(W163:W166)/SUM(K163:K166)</f>
        <v>0.83776073626843861</v>
      </c>
      <c r="Y163" s="211">
        <f>+SUM(RBP!AG3:AG4)</f>
        <v>3.7170000000000001</v>
      </c>
      <c r="Z163" s="37">
        <f>+'26'!D51/1000</f>
        <v>0</v>
      </c>
      <c r="AA163" s="49">
        <f>SUM(U163:U166)-SUM(W163:W166)-SUM(Z163:Z166)-SUM(Y163:Y166)</f>
        <v>-2.1944236799999941</v>
      </c>
      <c r="AB163" s="49">
        <f>(SUM(K163:K166)-SUM(W163:W166)-SUM(Y163:Y166)-SUM(Z163:Z166)-SUM(AC163:AC166)-SUM(V163:V166))-AA163</f>
        <v>-0.20084063999999913</v>
      </c>
      <c r="AC163" s="37">
        <f>K163-T163</f>
        <v>4.3819775999999848</v>
      </c>
      <c r="AD163" s="37">
        <f>+AM163+BA163</f>
        <v>9</v>
      </c>
      <c r="AE163" s="229" t="s">
        <v>460</v>
      </c>
      <c r="AF163" s="37">
        <v>9</v>
      </c>
      <c r="AG163" s="37"/>
      <c r="AH163" s="37"/>
      <c r="AI163" s="502"/>
      <c r="AJ163" s="37"/>
      <c r="AK163" s="37"/>
      <c r="AL163" s="37"/>
      <c r="AM163" s="37">
        <f t="shared" ref="AM163:AM165" si="101">SUM(AF163:AL163)+AT163+AV163+AX163</f>
        <v>9</v>
      </c>
      <c r="AN163" s="37"/>
      <c r="AO163" s="37"/>
      <c r="AP163" s="37"/>
      <c r="AQ163" s="37"/>
      <c r="AR163" s="37">
        <f>SUM(AN163:AQ163)</f>
        <v>0</v>
      </c>
      <c r="AS163" s="37"/>
      <c r="AT163" s="37"/>
      <c r="AU163" s="37"/>
      <c r="AV163" s="37"/>
      <c r="AW163" s="37"/>
      <c r="AX163" s="37"/>
      <c r="AY163" s="37"/>
      <c r="AZ163" s="37"/>
      <c r="BA163" s="37">
        <f t="shared" ref="BA163:BA165" si="102">+AR163+AS163+AU163+AW163+AY163+AZ163</f>
        <v>0</v>
      </c>
      <c r="BB163" s="33">
        <v>3</v>
      </c>
      <c r="BC163" s="51"/>
      <c r="BD163" s="51"/>
      <c r="BE163" s="33"/>
      <c r="BF163" s="51"/>
    </row>
    <row r="164" spans="1:58" ht="12.95" customHeight="1">
      <c r="A164" s="40"/>
      <c r="B164" s="41"/>
      <c r="C164" s="414"/>
      <c r="D164" s="41"/>
      <c r="E164" s="42"/>
      <c r="F164" s="42"/>
      <c r="G164" s="499"/>
      <c r="H164" s="44"/>
      <c r="I164" s="45"/>
      <c r="J164" s="82"/>
      <c r="K164" s="82"/>
      <c r="L164" s="35"/>
      <c r="M164" s="35"/>
      <c r="N164" s="46"/>
      <c r="O164" s="47"/>
      <c r="P164" s="48"/>
      <c r="Q164" s="47"/>
      <c r="R164" s="500"/>
      <c r="S164" s="500"/>
      <c r="T164" s="37"/>
      <c r="U164" s="37"/>
      <c r="V164" s="37"/>
      <c r="W164" s="37"/>
      <c r="X164" s="38"/>
      <c r="Y164" s="211"/>
      <c r="Z164" s="37"/>
      <c r="AA164" s="37"/>
      <c r="AB164" s="37"/>
      <c r="AC164" s="37">
        <f>K164-T164</f>
        <v>0</v>
      </c>
      <c r="AD164" s="37">
        <f>+AM164+BA164</f>
        <v>13</v>
      </c>
      <c r="AE164" s="229" t="s">
        <v>591</v>
      </c>
      <c r="AF164" s="37"/>
      <c r="AG164" s="37">
        <v>13</v>
      </c>
      <c r="AH164" s="37"/>
      <c r="AI164" s="502"/>
      <c r="AJ164" s="37"/>
      <c r="AK164" s="37"/>
      <c r="AL164" s="37"/>
      <c r="AM164" s="37">
        <f t="shared" si="101"/>
        <v>13</v>
      </c>
      <c r="AN164" s="83"/>
      <c r="AO164" s="37"/>
      <c r="AP164" s="37"/>
      <c r="AQ164" s="37"/>
      <c r="AR164" s="37">
        <f t="shared" ref="AR164:AR165" si="103">SUM(AN164:AQ164)</f>
        <v>0</v>
      </c>
      <c r="AS164" s="37"/>
      <c r="AT164" s="37"/>
      <c r="AU164" s="37"/>
      <c r="AV164" s="37"/>
      <c r="AW164" s="37"/>
      <c r="AX164" s="37"/>
      <c r="AY164" s="37"/>
      <c r="AZ164" s="37"/>
      <c r="BA164" s="37">
        <f t="shared" si="102"/>
        <v>0</v>
      </c>
      <c r="BB164" s="50"/>
      <c r="BC164" s="51">
        <v>10</v>
      </c>
      <c r="BD164" s="51"/>
      <c r="BE164" s="50"/>
      <c r="BF164" s="51"/>
    </row>
    <row r="165" spans="1:58" ht="12.95" customHeight="1">
      <c r="A165" s="40"/>
      <c r="B165" s="41"/>
      <c r="C165" s="414"/>
      <c r="D165" s="41"/>
      <c r="E165" s="42"/>
      <c r="F165" s="42"/>
      <c r="G165" s="499"/>
      <c r="H165" s="44"/>
      <c r="I165" s="45"/>
      <c r="J165" s="82"/>
      <c r="K165" s="82"/>
      <c r="L165" s="35"/>
      <c r="M165" s="35"/>
      <c r="N165" s="46"/>
      <c r="O165" s="47"/>
      <c r="P165" s="48"/>
      <c r="Q165" s="47"/>
      <c r="R165" s="500"/>
      <c r="S165" s="500"/>
      <c r="T165" s="37"/>
      <c r="U165" s="37"/>
      <c r="V165" s="37"/>
      <c r="W165" s="37"/>
      <c r="X165" s="38"/>
      <c r="Y165" s="211"/>
      <c r="Z165" s="37"/>
      <c r="AA165" s="37"/>
      <c r="AB165" s="37"/>
      <c r="AC165" s="37">
        <f>K165-T165</f>
        <v>0</v>
      </c>
      <c r="AD165" s="37">
        <f>+AM165+BA165</f>
        <v>44</v>
      </c>
      <c r="AE165" s="229" t="s">
        <v>544</v>
      </c>
      <c r="AF165" s="33"/>
      <c r="AG165" s="33"/>
      <c r="AH165" s="33">
        <v>44</v>
      </c>
      <c r="AJ165" s="37"/>
      <c r="AK165" s="37"/>
      <c r="AL165" s="37"/>
      <c r="AM165" s="37">
        <f t="shared" si="101"/>
        <v>44</v>
      </c>
      <c r="AN165" s="37"/>
      <c r="AO165" s="37"/>
      <c r="AP165" s="37"/>
      <c r="AQ165" s="37"/>
      <c r="AR165" s="37">
        <f t="shared" si="103"/>
        <v>0</v>
      </c>
      <c r="AS165" s="37"/>
      <c r="AT165" s="37"/>
      <c r="AU165" s="37"/>
      <c r="AV165" s="37"/>
      <c r="AW165" s="37"/>
      <c r="AX165" s="37"/>
      <c r="AY165" s="37"/>
      <c r="AZ165" s="37"/>
      <c r="BA165" s="37">
        <f t="shared" si="102"/>
        <v>0</v>
      </c>
      <c r="BB165" s="33"/>
      <c r="BC165" s="503"/>
      <c r="BD165" s="503"/>
      <c r="BE165" s="33"/>
      <c r="BF165" s="503"/>
    </row>
    <row r="166" spans="1:58" ht="16.5" customHeight="1">
      <c r="A166" s="40"/>
      <c r="B166" s="41"/>
      <c r="C166" s="414"/>
      <c r="D166" s="41"/>
      <c r="E166" s="42"/>
      <c r="F166" s="42"/>
      <c r="G166" s="499"/>
      <c r="H166" s="44"/>
      <c r="I166" s="45"/>
      <c r="J166" s="82"/>
      <c r="K166" s="82"/>
      <c r="L166" s="35"/>
      <c r="M166" s="35"/>
      <c r="N166" s="46"/>
      <c r="O166" s="47"/>
      <c r="P166" s="48"/>
      <c r="Q166" s="47"/>
      <c r="R166" s="500"/>
      <c r="S166" s="500"/>
      <c r="T166" s="37"/>
      <c r="U166" s="37"/>
      <c r="V166" s="37"/>
      <c r="W166" s="37"/>
      <c r="X166" s="501"/>
      <c r="Y166" s="211"/>
      <c r="Z166" s="37"/>
      <c r="AA166" s="49"/>
      <c r="AB166" s="49"/>
      <c r="AC166" s="37"/>
      <c r="AD166" s="37"/>
      <c r="AE166" s="229"/>
      <c r="AF166" s="37"/>
      <c r="AG166" s="37"/>
      <c r="AH166" s="37"/>
      <c r="AI166" s="502"/>
      <c r="AJ166" s="37"/>
      <c r="AK166" s="37"/>
      <c r="AL166" s="37"/>
      <c r="AM166" s="37"/>
      <c r="AN166" s="37"/>
      <c r="AO166" s="37"/>
      <c r="AP166" s="37"/>
      <c r="AQ166" s="37"/>
      <c r="AR166" s="37"/>
      <c r="AS166" s="37"/>
      <c r="AT166" s="37"/>
      <c r="AU166" s="37"/>
      <c r="AV166" s="37"/>
      <c r="AW166" s="37"/>
      <c r="AX166" s="37"/>
      <c r="AY166" s="37"/>
      <c r="AZ166" s="37"/>
      <c r="BA166" s="37"/>
      <c r="BB166" s="33"/>
      <c r="BC166" s="51"/>
      <c r="BD166" s="51"/>
      <c r="BE166" s="51"/>
      <c r="BF166" s="51"/>
    </row>
    <row r="167" spans="1:58">
      <c r="R167" s="504"/>
      <c r="S167" s="504"/>
      <c r="AA167" s="246">
        <f>U167-W167-Z167</f>
        <v>0</v>
      </c>
      <c r="AB167" s="246"/>
      <c r="AC167" s="247">
        <f>K167-T167</f>
        <v>0</v>
      </c>
      <c r="AD167" s="37"/>
      <c r="AF167" s="52"/>
      <c r="AG167" s="52"/>
      <c r="AH167" s="52"/>
      <c r="AI167" s="52"/>
      <c r="AJ167" s="52"/>
      <c r="AK167" s="52"/>
      <c r="AL167" s="52"/>
      <c r="AM167" s="37">
        <f t="shared" ref="AM167" si="104">SUM(AF167:AL167)</f>
        <v>0</v>
      </c>
      <c r="AN167" s="52"/>
      <c r="AO167" s="52"/>
      <c r="AP167" s="52"/>
      <c r="AQ167" s="52"/>
      <c r="AR167" s="37">
        <f t="shared" ref="AR167" si="105">SUM(AN167:AQ167)</f>
        <v>0</v>
      </c>
      <c r="AS167" s="52"/>
      <c r="AT167" s="52"/>
      <c r="AU167" s="52"/>
      <c r="AV167" s="52"/>
      <c r="AW167" s="52"/>
      <c r="AX167" s="52"/>
      <c r="AY167" s="52"/>
      <c r="AZ167" s="52"/>
      <c r="BA167" s="37"/>
      <c r="BB167" s="33"/>
      <c r="BC167" s="51"/>
      <c r="BD167" s="51"/>
      <c r="BE167" s="51"/>
      <c r="BF167" s="51"/>
    </row>
    <row r="168" spans="1:58" s="27" customFormat="1" ht="12.95" customHeight="1">
      <c r="A168" s="56"/>
      <c r="B168" s="57"/>
      <c r="C168" s="415">
        <f>SUM(C6:C166)</f>
        <v>576.9540549909965</v>
      </c>
      <c r="D168" s="57"/>
      <c r="E168" s="58"/>
      <c r="F168" s="58"/>
      <c r="G168" s="59"/>
      <c r="H168" s="59"/>
      <c r="I168" s="60">
        <v>0.85</v>
      </c>
      <c r="J168" s="82"/>
      <c r="K168" s="84">
        <f>SUM(K6:K166)</f>
        <v>635.91607022044332</v>
      </c>
      <c r="L168" s="62"/>
      <c r="M168" s="62"/>
      <c r="N168" s="63"/>
      <c r="O168" s="64">
        <f>P168/(Q168-R168-S168)</f>
        <v>260.14017088214786</v>
      </c>
      <c r="P168" s="61">
        <f>SUM(P6:P166)</f>
        <v>4896098.1561729051</v>
      </c>
      <c r="Q168" s="332">
        <f>SUM(Q6:Q167)</f>
        <v>20004</v>
      </c>
      <c r="R168" s="61">
        <f t="shared" ref="R168:W168" si="106">SUM(R6:R166)</f>
        <v>192</v>
      </c>
      <c r="S168" s="61">
        <f t="shared" si="106"/>
        <v>991</v>
      </c>
      <c r="T168" s="61">
        <f t="shared" si="106"/>
        <v>576.9540549909965</v>
      </c>
      <c r="U168" s="61">
        <f t="shared" si="106"/>
        <v>542.75435063668044</v>
      </c>
      <c r="V168" s="356">
        <f t="shared" si="106"/>
        <v>37.64671596964407</v>
      </c>
      <c r="W168" s="446">
        <f t="shared" si="106"/>
        <v>500.22699999999998</v>
      </c>
      <c r="X168" s="495">
        <f>W168/K168</f>
        <v>0.78662424716927493</v>
      </c>
      <c r="Y168" s="357">
        <f>SUM(Y6:Y166)</f>
        <v>3.7170000000000001</v>
      </c>
      <c r="Z168" s="446">
        <f>SUM(Z6:Z166)</f>
        <v>7.9540140315710355</v>
      </c>
      <c r="AA168" s="61">
        <f>SUM(AA6:AA166)</f>
        <v>30.856336605109412</v>
      </c>
      <c r="AB168" s="61">
        <f>SUM(AB6:AB166)</f>
        <v>-3.4470116153279782</v>
      </c>
      <c r="AC168" s="61">
        <f>SUM(AC6:AC166)</f>
        <v>58.962015229446791</v>
      </c>
      <c r="AD168" s="37">
        <f>SUM(AD6:AD167)</f>
        <v>1183</v>
      </c>
      <c r="AE168" s="65"/>
      <c r="AF168" s="61">
        <f t="shared" ref="AF168:BF168" si="107">SUM(AF6:AF167)</f>
        <v>257</v>
      </c>
      <c r="AG168" s="61">
        <f t="shared" si="107"/>
        <v>115</v>
      </c>
      <c r="AH168" s="61">
        <f t="shared" si="107"/>
        <v>529</v>
      </c>
      <c r="AI168" s="61">
        <f t="shared" si="107"/>
        <v>0</v>
      </c>
      <c r="AJ168" s="61">
        <f t="shared" si="107"/>
        <v>0</v>
      </c>
      <c r="AK168" s="61">
        <f t="shared" si="107"/>
        <v>90</v>
      </c>
      <c r="AL168" s="61">
        <f t="shared" si="107"/>
        <v>0</v>
      </c>
      <c r="AM168" s="61">
        <f t="shared" si="107"/>
        <v>991</v>
      </c>
      <c r="AN168" s="52">
        <f t="shared" si="107"/>
        <v>107</v>
      </c>
      <c r="AO168" s="52">
        <f t="shared" si="107"/>
        <v>0</v>
      </c>
      <c r="AP168" s="52">
        <f t="shared" si="107"/>
        <v>85</v>
      </c>
      <c r="AQ168" s="52">
        <f t="shared" si="107"/>
        <v>0</v>
      </c>
      <c r="AR168" s="61">
        <f t="shared" si="107"/>
        <v>192</v>
      </c>
      <c r="AS168" s="61">
        <f t="shared" si="107"/>
        <v>0</v>
      </c>
      <c r="AT168" s="61">
        <f t="shared" si="107"/>
        <v>0</v>
      </c>
      <c r="AU168" s="61">
        <f t="shared" si="107"/>
        <v>0</v>
      </c>
      <c r="AV168" s="61">
        <f t="shared" si="107"/>
        <v>0</v>
      </c>
      <c r="AW168" s="61">
        <f t="shared" si="107"/>
        <v>0</v>
      </c>
      <c r="AX168" s="61">
        <f t="shared" si="107"/>
        <v>0</v>
      </c>
      <c r="AY168" s="61">
        <f t="shared" si="107"/>
        <v>0</v>
      </c>
      <c r="AZ168" s="61">
        <f t="shared" si="107"/>
        <v>0</v>
      </c>
      <c r="BA168" s="61">
        <f t="shared" si="107"/>
        <v>192</v>
      </c>
      <c r="BB168" s="52">
        <f t="shared" si="107"/>
        <v>89</v>
      </c>
      <c r="BC168" s="52">
        <f t="shared" si="107"/>
        <v>66</v>
      </c>
      <c r="BD168" s="52">
        <f t="shared" si="107"/>
        <v>0</v>
      </c>
      <c r="BE168" s="52">
        <f t="shared" si="107"/>
        <v>0</v>
      </c>
      <c r="BF168" s="52">
        <f t="shared" si="107"/>
        <v>0</v>
      </c>
    </row>
    <row r="169" spans="1:58" s="27" customFormat="1" ht="12.95" customHeight="1">
      <c r="A169" s="56"/>
      <c r="B169" s="57"/>
      <c r="C169" s="57"/>
      <c r="D169" s="57"/>
      <c r="E169" s="58"/>
      <c r="F169" s="58"/>
      <c r="G169" s="59"/>
      <c r="H169" s="59"/>
      <c r="I169" s="59"/>
      <c r="J169" s="85"/>
      <c r="K169" s="85"/>
      <c r="L169" s="62"/>
      <c r="M169" s="62"/>
      <c r="N169" s="63"/>
      <c r="O169" s="693"/>
      <c r="P169" s="694"/>
      <c r="Q169" s="59">
        <f>30*1440-Q168</f>
        <v>23196</v>
      </c>
      <c r="R169" s="66">
        <f>R168/Q168</f>
        <v>9.5980803839232146E-3</v>
      </c>
      <c r="S169" s="66">
        <f>S168/Q168</f>
        <v>4.9540091981603682E-2</v>
      </c>
      <c r="T169" s="343"/>
      <c r="U169" s="343"/>
      <c r="V169" s="345">
        <f>V168/K168</f>
        <v>5.9200762070053772E-2</v>
      </c>
      <c r="W169" s="361" t="s">
        <v>169</v>
      </c>
      <c r="X169" s="496">
        <v>0.85</v>
      </c>
      <c r="Y169" s="358">
        <f>Y168/K168</f>
        <v>5.8451109730746145E-3</v>
      </c>
      <c r="Z169" s="67">
        <f>Z168/K168</f>
        <v>1.2507961984375924E-2</v>
      </c>
      <c r="AA169" s="67">
        <f>AA168/K168</f>
        <v>4.8522655819050013E-2</v>
      </c>
      <c r="AB169" s="67">
        <f>AB168/K168</f>
        <v>-5.4205449063947312E-3</v>
      </c>
      <c r="AC169" s="497">
        <f>AC168/K168</f>
        <v>9.2719806890565498E-2</v>
      </c>
      <c r="AD169" s="346"/>
      <c r="AE169" s="39"/>
      <c r="AF169" s="67">
        <f>AF168/$AD$168*$V$169</f>
        <v>1.2861027770079306E-2</v>
      </c>
      <c r="AG169" s="67">
        <f>AG168/$AD$168*$V$169</f>
        <v>5.7549346052884059E-3</v>
      </c>
      <c r="AH169" s="67">
        <f>AH168/$AD$168*$V$169</f>
        <v>2.6472699184326667E-2</v>
      </c>
      <c r="AI169" s="67">
        <f>AI168/$AD$168*$V$169</f>
        <v>0</v>
      </c>
      <c r="AJ169" s="67">
        <f t="shared" ref="AJ169:BA169" si="108">AJ168/$AD$168*$V$169</f>
        <v>0</v>
      </c>
      <c r="AK169" s="67">
        <f t="shared" si="108"/>
        <v>4.5038618650083172E-3</v>
      </c>
      <c r="AL169" s="67">
        <f t="shared" si="108"/>
        <v>0</v>
      </c>
      <c r="AM169" s="67">
        <f t="shared" si="108"/>
        <v>4.9592523424702696E-2</v>
      </c>
      <c r="AN169" s="67">
        <f t="shared" si="108"/>
        <v>5.3545913283987775E-3</v>
      </c>
      <c r="AO169" s="67">
        <f t="shared" si="108"/>
        <v>0</v>
      </c>
      <c r="AP169" s="67">
        <f t="shared" si="108"/>
        <v>4.2536473169522996E-3</v>
      </c>
      <c r="AQ169" s="67">
        <f t="shared" si="108"/>
        <v>0</v>
      </c>
      <c r="AR169" s="67">
        <f t="shared" si="108"/>
        <v>9.608238645351078E-3</v>
      </c>
      <c r="AS169" s="67">
        <f t="shared" si="108"/>
        <v>0</v>
      </c>
      <c r="AT169" s="67">
        <f t="shared" si="108"/>
        <v>0</v>
      </c>
      <c r="AU169" s="67">
        <f t="shared" si="108"/>
        <v>0</v>
      </c>
      <c r="AV169" s="67">
        <f>AV168/$AD$168*$V$169</f>
        <v>0</v>
      </c>
      <c r="AW169" s="67">
        <f t="shared" ref="AW169:AZ169" si="109">AW168/$AD$168*$V$169</f>
        <v>0</v>
      </c>
      <c r="AX169" s="67">
        <f t="shared" si="109"/>
        <v>0</v>
      </c>
      <c r="AY169" s="67">
        <f t="shared" si="109"/>
        <v>0</v>
      </c>
      <c r="AZ169" s="67">
        <f t="shared" si="109"/>
        <v>0</v>
      </c>
      <c r="BA169" s="67">
        <f t="shared" si="108"/>
        <v>9.608238645351078E-3</v>
      </c>
      <c r="BB169" s="34" t="s">
        <v>168</v>
      </c>
      <c r="BC169" s="34" t="s">
        <v>168</v>
      </c>
      <c r="BD169" s="34" t="s">
        <v>397</v>
      </c>
      <c r="BE169" s="34" t="s">
        <v>397</v>
      </c>
      <c r="BF169" s="34" t="s">
        <v>397</v>
      </c>
    </row>
    <row r="170" spans="1:58" ht="12.95" customHeight="1">
      <c r="A170" s="56"/>
      <c r="B170" s="57"/>
      <c r="C170" s="57"/>
      <c r="D170" s="57"/>
      <c r="E170" s="58"/>
      <c r="F170" s="58"/>
      <c r="G170" s="34"/>
      <c r="H170" s="34"/>
      <c r="I170" s="34"/>
      <c r="J170" s="82"/>
      <c r="K170" s="82"/>
      <c r="L170" s="35"/>
      <c r="M170" s="35"/>
      <c r="N170" s="33"/>
      <c r="O170" s="36"/>
      <c r="P170" s="28"/>
      <c r="Q170" s="34"/>
      <c r="R170" s="37">
        <f>R168-(BA168)</f>
        <v>0</v>
      </c>
      <c r="S170" s="37">
        <f>S168-SUM(AF168:AL168)</f>
        <v>0</v>
      </c>
      <c r="T170" s="33"/>
      <c r="U170" s="33"/>
      <c r="V170" s="33"/>
      <c r="W170" s="359"/>
      <c r="X170" s="360"/>
      <c r="Y170" s="68">
        <f>+Y168-(SUM(RBP!AG3:AG4))</f>
        <v>0</v>
      </c>
      <c r="Z170" s="37"/>
      <c r="AA170" s="33"/>
      <c r="AB170" s="33"/>
      <c r="AC170" s="33"/>
      <c r="AD170" s="33"/>
      <c r="AE170" s="39"/>
      <c r="AF170" s="333"/>
      <c r="AG170" s="333"/>
      <c r="AH170" s="333"/>
      <c r="AI170" s="333"/>
      <c r="AJ170" s="77"/>
      <c r="AK170" s="77"/>
      <c r="AL170" s="77"/>
      <c r="AM170" s="77"/>
      <c r="AN170" s="77"/>
      <c r="AO170" s="77"/>
      <c r="AP170" s="77"/>
      <c r="AQ170" s="77"/>
      <c r="AR170" s="77"/>
      <c r="AS170" s="536">
        <v>0</v>
      </c>
      <c r="AT170" s="536">
        <v>0</v>
      </c>
      <c r="AU170" s="536">
        <v>0</v>
      </c>
      <c r="AV170" s="536">
        <v>0</v>
      </c>
      <c r="AW170" s="536">
        <v>0</v>
      </c>
      <c r="AX170" s="536">
        <v>0</v>
      </c>
      <c r="AY170" s="536">
        <v>0</v>
      </c>
      <c r="AZ170" s="536">
        <v>23196</v>
      </c>
      <c r="BA170" s="77"/>
      <c r="BB170" s="505">
        <f>BB168/($Q$168/1440)/2</f>
        <v>3.2033593281343729</v>
      </c>
      <c r="BC170" s="505">
        <f>BC168/($Q$168/1440)/2</f>
        <v>2.3755248950209955</v>
      </c>
      <c r="BD170" s="505">
        <f>BD168/($Q$168/1440)</f>
        <v>0</v>
      </c>
      <c r="BE170" s="505">
        <f>BE168/($Q$168/1440)</f>
        <v>0</v>
      </c>
      <c r="BF170" s="505">
        <f>BF168/($Q$168/1440)</f>
        <v>0</v>
      </c>
    </row>
    <row r="171" spans="1:58">
      <c r="A171" s="69"/>
      <c r="B171" s="70"/>
      <c r="C171" s="70"/>
      <c r="D171" s="70"/>
      <c r="E171" s="71"/>
      <c r="F171" s="71"/>
      <c r="G171" s="72"/>
      <c r="H171" s="72"/>
      <c r="I171" s="72"/>
      <c r="J171" s="86"/>
      <c r="K171" s="86"/>
      <c r="O171" s="73"/>
      <c r="P171" s="74"/>
      <c r="Q171" s="72"/>
      <c r="R171" s="53"/>
      <c r="S171" s="53"/>
      <c r="U171" s="75"/>
      <c r="V171" s="75"/>
      <c r="W171" s="76" t="s">
        <v>118</v>
      </c>
      <c r="X171" s="498">
        <f>W168/U168</f>
        <v>0.92164530678235268</v>
      </c>
      <c r="Y171" s="498"/>
      <c r="Z171" s="53"/>
      <c r="AD171" s="83"/>
      <c r="AE171" s="78"/>
      <c r="AF171" s="79"/>
      <c r="AG171" s="79"/>
      <c r="AH171" s="79"/>
      <c r="AI171" s="79"/>
      <c r="AJ171" s="79"/>
      <c r="AK171" s="79"/>
      <c r="AL171" s="79"/>
      <c r="AM171" s="79"/>
      <c r="AN171" s="77"/>
      <c r="AO171" s="77"/>
      <c r="AP171" s="77"/>
      <c r="AQ171" s="77"/>
      <c r="AR171" s="77"/>
      <c r="AS171" s="79"/>
      <c r="AT171" s="79"/>
      <c r="AU171" s="79"/>
      <c r="AV171" s="79"/>
      <c r="AW171" s="79"/>
      <c r="AX171" s="79"/>
      <c r="AY171" s="79"/>
      <c r="AZ171" s="79"/>
      <c r="BA171" s="77"/>
      <c r="BB171" s="27"/>
      <c r="BC171" s="77"/>
      <c r="BD171" s="77"/>
      <c r="BE171" s="27"/>
      <c r="BF171" s="77"/>
    </row>
    <row r="172" spans="1:58">
      <c r="A172" s="69"/>
      <c r="B172" s="70"/>
      <c r="C172" s="70"/>
      <c r="D172" s="70"/>
      <c r="E172" s="71"/>
      <c r="F172" s="71"/>
      <c r="G172" s="72"/>
      <c r="H172" s="72"/>
      <c r="I172" s="72"/>
      <c r="J172" s="86"/>
      <c r="K172" s="86"/>
      <c r="O172" s="73"/>
      <c r="P172" s="74"/>
      <c r="Q172" s="72"/>
      <c r="R172" s="53"/>
      <c r="S172" s="53"/>
      <c r="U172" s="75"/>
      <c r="V172" s="75"/>
      <c r="W172" s="76"/>
      <c r="X172" s="77"/>
      <c r="Y172" s="77"/>
      <c r="Z172" s="53"/>
      <c r="AA172" s="89"/>
      <c r="AB172" s="89"/>
      <c r="AD172" s="83"/>
      <c r="AE172" s="78"/>
      <c r="AF172" s="79"/>
      <c r="AG172" s="79"/>
      <c r="AH172" s="79"/>
      <c r="AI172" s="79"/>
      <c r="AJ172" s="79"/>
      <c r="AK172" s="79"/>
      <c r="AL172" s="79"/>
      <c r="AM172" s="79"/>
      <c r="AN172" s="79"/>
      <c r="AO172" s="77"/>
      <c r="AP172" s="77"/>
      <c r="AQ172" s="77"/>
      <c r="AR172" s="79"/>
      <c r="AS172" s="77"/>
      <c r="AT172" s="77"/>
      <c r="AU172" s="77"/>
      <c r="AV172" s="77"/>
      <c r="AW172" s="77"/>
      <c r="AX172" s="77"/>
      <c r="AY172" s="536">
        <f>810+11</f>
        <v>821</v>
      </c>
      <c r="AZ172" s="77"/>
      <c r="BA172" s="77"/>
      <c r="BB172" s="27"/>
      <c r="BC172" s="77"/>
      <c r="BD172" s="77"/>
      <c r="BE172" s="27"/>
      <c r="BF172" s="77"/>
    </row>
    <row r="173" spans="1:58">
      <c r="A173" s="69"/>
      <c r="B173" s="70"/>
      <c r="C173" s="70"/>
      <c r="D173" s="70"/>
      <c r="E173" s="71"/>
      <c r="F173" s="71"/>
      <c r="G173" s="72"/>
      <c r="H173" s="72"/>
      <c r="I173" s="72"/>
      <c r="J173" s="86"/>
      <c r="K173" s="86"/>
      <c r="O173" s="73"/>
      <c r="P173" s="74"/>
      <c r="Q173" s="72"/>
      <c r="R173" s="344"/>
      <c r="S173" s="53"/>
      <c r="U173" s="75"/>
      <c r="V173" s="75"/>
      <c r="W173" s="76" t="s">
        <v>142</v>
      </c>
      <c r="X173" s="333">
        <f>+W168+Y168</f>
        <v>503.94399999999996</v>
      </c>
      <c r="Y173" s="77"/>
      <c r="Z173" s="53"/>
      <c r="AD173" s="83"/>
      <c r="AE173" s="78"/>
      <c r="AF173" s="83"/>
      <c r="AG173" s="83"/>
      <c r="AH173" s="83"/>
      <c r="AI173" s="83"/>
      <c r="AJ173" s="77"/>
      <c r="AK173" s="77"/>
      <c r="AL173" s="77"/>
      <c r="AM173" s="79"/>
      <c r="AN173" s="77"/>
      <c r="AO173" s="77"/>
      <c r="AP173" s="77"/>
      <c r="AQ173" s="77"/>
      <c r="AR173" s="79"/>
      <c r="AS173" s="77"/>
      <c r="AT173" s="77"/>
      <c r="AU173" s="77"/>
      <c r="AV173" s="77"/>
      <c r="AW173" s="77"/>
      <c r="AX173" s="77"/>
      <c r="AY173" s="536">
        <v>223</v>
      </c>
      <c r="AZ173" s="77"/>
      <c r="BA173" s="77"/>
      <c r="BB173" s="27"/>
      <c r="BC173" s="77"/>
      <c r="BD173" s="77"/>
      <c r="BE173" s="27"/>
      <c r="BF173" s="77"/>
    </row>
    <row r="174" spans="1:58">
      <c r="A174" s="69"/>
      <c r="C174" s="70" t="s">
        <v>296</v>
      </c>
      <c r="D174" s="70"/>
      <c r="E174" s="71"/>
      <c r="F174" s="71"/>
      <c r="G174" s="72"/>
      <c r="H174" s="72"/>
      <c r="I174" s="72"/>
      <c r="J174" s="86"/>
      <c r="K174" s="86"/>
      <c r="O174" s="73"/>
      <c r="P174" s="74"/>
      <c r="Q174" s="72"/>
      <c r="R174" s="344"/>
      <c r="S174" s="53"/>
      <c r="U174" s="75"/>
      <c r="V174" s="354"/>
      <c r="W174" s="355"/>
      <c r="X174" s="349"/>
      <c r="Y174" s="355"/>
      <c r="Z174" s="349"/>
      <c r="AD174" s="342"/>
      <c r="AE174" s="78"/>
      <c r="AF174" s="342"/>
      <c r="AG174" s="342"/>
      <c r="AH174" s="342"/>
      <c r="AI174" s="342"/>
      <c r="AJ174" s="77"/>
      <c r="AK174" s="77"/>
      <c r="AL174" s="77"/>
      <c r="AM174" s="77"/>
      <c r="AN174" s="77"/>
      <c r="AO174" s="77"/>
      <c r="AP174" s="77"/>
      <c r="AQ174" s="77"/>
      <c r="AR174" s="77"/>
      <c r="AS174" s="77"/>
      <c r="AT174" s="77"/>
      <c r="AU174" s="77"/>
      <c r="AV174" s="77"/>
      <c r="AW174" s="77"/>
      <c r="AX174" s="77"/>
      <c r="AY174" s="536">
        <f>+AY172-AY173</f>
        <v>598</v>
      </c>
      <c r="AZ174" s="77"/>
      <c r="BA174" s="77"/>
      <c r="BB174" s="27"/>
      <c r="BC174" s="77"/>
      <c r="BD174" s="77"/>
      <c r="BE174" s="27"/>
      <c r="BF174" s="77"/>
    </row>
    <row r="175" spans="1:58">
      <c r="A175" s="69"/>
      <c r="B175" s="70"/>
      <c r="C175" s="70" t="s">
        <v>297</v>
      </c>
      <c r="D175" s="70"/>
      <c r="E175" s="71"/>
      <c r="F175" s="71"/>
      <c r="G175" s="72"/>
      <c r="H175" s="72"/>
      <c r="I175" s="72"/>
      <c r="J175" s="86"/>
      <c r="K175" s="86"/>
      <c r="O175" s="73"/>
      <c r="P175" s="74"/>
      <c r="Q175" s="72"/>
      <c r="R175" s="344"/>
      <c r="S175" s="53"/>
      <c r="V175" s="347"/>
      <c r="W175" s="348" t="s">
        <v>303</v>
      </c>
      <c r="X175" s="347"/>
      <c r="Y175" s="347"/>
      <c r="Z175" s="349"/>
      <c r="AE175" s="78"/>
      <c r="AF175" s="53"/>
      <c r="AG175" s="53"/>
      <c r="AH175" s="53"/>
      <c r="AI175" s="53"/>
      <c r="AJ175" s="53"/>
      <c r="AK175" s="53"/>
      <c r="AL175" s="53"/>
      <c r="AM175" s="53"/>
      <c r="AN175" s="53"/>
      <c r="AO175" s="53"/>
      <c r="AP175" s="53"/>
      <c r="AQ175" s="53"/>
      <c r="AS175" s="53"/>
      <c r="AT175" s="53"/>
      <c r="AU175" s="53"/>
      <c r="AV175" s="53"/>
      <c r="AW175" s="53"/>
      <c r="AX175" s="53"/>
      <c r="AY175" s="53"/>
      <c r="AZ175" s="53"/>
      <c r="BA175" s="53"/>
      <c r="BB175" s="27"/>
      <c r="BE175" s="27"/>
    </row>
    <row r="176" spans="1:58">
      <c r="A176" s="69"/>
      <c r="B176" s="70"/>
      <c r="C176" s="70"/>
      <c r="D176" s="70"/>
      <c r="E176" s="71"/>
      <c r="F176" s="71"/>
      <c r="G176" s="72"/>
      <c r="H176" s="72"/>
      <c r="I176" s="72"/>
      <c r="J176" s="86"/>
      <c r="K176" s="86"/>
      <c r="O176" s="73"/>
      <c r="P176" s="74"/>
      <c r="Q176" s="72"/>
      <c r="R176" s="344"/>
      <c r="S176" s="53"/>
      <c r="V176" s="347"/>
      <c r="W176" s="350" t="s">
        <v>292</v>
      </c>
      <c r="X176" s="506">
        <f>Y169</f>
        <v>5.8451109730746145E-3</v>
      </c>
      <c r="Y176" s="351"/>
      <c r="Z176" s="349"/>
      <c r="AE176" s="78"/>
      <c r="AF176" s="53"/>
      <c r="AG176" s="53"/>
      <c r="AH176" s="53"/>
      <c r="AI176" s="53"/>
      <c r="AJ176" s="53"/>
      <c r="AK176" s="53"/>
      <c r="AL176" s="53"/>
      <c r="AM176" s="53"/>
      <c r="AN176" s="53"/>
      <c r="AO176" s="53"/>
      <c r="AP176" s="53"/>
      <c r="AQ176" s="53"/>
      <c r="AS176" s="53"/>
      <c r="AT176" s="53"/>
      <c r="AU176" s="53"/>
      <c r="AV176" s="53"/>
      <c r="AW176" s="53"/>
      <c r="AX176" s="53"/>
      <c r="AY176" s="53"/>
      <c r="AZ176" s="53"/>
      <c r="BA176" s="53"/>
      <c r="BB176" s="27"/>
      <c r="BE176" s="27"/>
    </row>
    <row r="177" spans="18:26">
      <c r="R177" s="89"/>
      <c r="V177" s="347"/>
      <c r="W177" s="350" t="s">
        <v>148</v>
      </c>
      <c r="X177" s="353">
        <f>Z169</f>
        <v>1.2507961984375924E-2</v>
      </c>
      <c r="Y177" s="352"/>
      <c r="Z177" s="347"/>
    </row>
    <row r="178" spans="18:26">
      <c r="R178" s="89"/>
      <c r="V178" s="347"/>
      <c r="W178" s="350" t="s">
        <v>149</v>
      </c>
      <c r="X178" s="353">
        <f>AC169</f>
        <v>9.2719806890565498E-2</v>
      </c>
      <c r="Y178" s="353"/>
      <c r="Z178" s="347"/>
    </row>
    <row r="179" spans="18:26">
      <c r="R179" s="89"/>
      <c r="V179" s="347"/>
      <c r="W179" s="350" t="s">
        <v>150</v>
      </c>
      <c r="X179" s="353">
        <f>AA169</f>
        <v>4.8522655819050013E-2</v>
      </c>
      <c r="Y179" s="352"/>
      <c r="Z179" s="347"/>
    </row>
    <row r="180" spans="18:26">
      <c r="V180" s="347"/>
      <c r="W180" s="350" t="s">
        <v>166</v>
      </c>
      <c r="X180" s="353">
        <f>AB169</f>
        <v>-5.4205449063947312E-3</v>
      </c>
      <c r="Y180" s="352" t="s">
        <v>164</v>
      </c>
      <c r="Z180" s="347"/>
    </row>
    <row r="181" spans="18:26">
      <c r="V181" s="347"/>
      <c r="W181" s="350" t="s">
        <v>220</v>
      </c>
      <c r="X181" s="353">
        <f>AF169</f>
        <v>1.2861027770079306E-2</v>
      </c>
      <c r="Y181" s="352"/>
      <c r="Z181" s="347"/>
    </row>
    <row r="182" spans="18:26">
      <c r="V182" s="347"/>
      <c r="W182" s="350" t="s">
        <v>221</v>
      </c>
      <c r="X182" s="353">
        <f>+AG169</f>
        <v>5.7549346052884059E-3</v>
      </c>
      <c r="Y182" s="352"/>
      <c r="Z182" s="347"/>
    </row>
    <row r="183" spans="18:26">
      <c r="V183" s="347"/>
      <c r="W183" s="350" t="s">
        <v>298</v>
      </c>
      <c r="X183" s="353">
        <f>+AH169</f>
        <v>2.6472699184326667E-2</v>
      </c>
      <c r="Y183" s="352"/>
      <c r="Z183" s="347"/>
    </row>
    <row r="184" spans="18:26">
      <c r="V184" s="347"/>
      <c r="W184" s="350" t="s">
        <v>222</v>
      </c>
      <c r="X184" s="353">
        <f>+AI169</f>
        <v>0</v>
      </c>
      <c r="Y184" s="352"/>
      <c r="Z184" s="347"/>
    </row>
    <row r="185" spans="18:26">
      <c r="V185" s="347"/>
      <c r="W185" s="350" t="s">
        <v>157</v>
      </c>
      <c r="X185" s="353">
        <f>+AJ169</f>
        <v>0</v>
      </c>
      <c r="Y185" s="352"/>
      <c r="Z185" s="347"/>
    </row>
    <row r="186" spans="18:26">
      <c r="V186" s="347"/>
      <c r="W186" s="350" t="s">
        <v>159</v>
      </c>
      <c r="X186" s="353">
        <f>+AK169</f>
        <v>4.5038618650083172E-3</v>
      </c>
      <c r="Y186" s="352"/>
      <c r="Z186" s="347"/>
    </row>
    <row r="187" spans="18:26">
      <c r="V187" s="347"/>
      <c r="W187" s="350" t="s">
        <v>158</v>
      </c>
      <c r="X187" s="353">
        <f>+AL169</f>
        <v>0</v>
      </c>
      <c r="Y187" s="352"/>
      <c r="Z187" s="347"/>
    </row>
    <row r="188" spans="18:26">
      <c r="V188" s="347"/>
      <c r="W188" s="350" t="s">
        <v>151</v>
      </c>
      <c r="X188" s="353">
        <f>+AN169</f>
        <v>5.3545913283987775E-3</v>
      </c>
      <c r="Y188" s="352"/>
      <c r="Z188" s="347"/>
    </row>
    <row r="189" spans="18:26">
      <c r="V189" s="347"/>
      <c r="W189" s="350" t="s">
        <v>161</v>
      </c>
      <c r="X189" s="353">
        <f>+AO169</f>
        <v>0</v>
      </c>
      <c r="Y189" s="352"/>
      <c r="Z189" s="347"/>
    </row>
    <row r="190" spans="18:26">
      <c r="V190" s="347"/>
      <c r="W190" s="350" t="s">
        <v>152</v>
      </c>
      <c r="X190" s="353">
        <f>+AP169</f>
        <v>4.2536473169522996E-3</v>
      </c>
      <c r="Y190" s="352"/>
      <c r="Z190" s="347"/>
    </row>
    <row r="191" spans="18:26">
      <c r="V191" s="347"/>
      <c r="W191" s="350" t="s">
        <v>160</v>
      </c>
      <c r="X191" s="353">
        <f>+AQ169</f>
        <v>0</v>
      </c>
      <c r="Y191" s="352"/>
      <c r="Z191" s="347"/>
    </row>
    <row r="192" spans="18:26">
      <c r="V192" s="347"/>
      <c r="W192" s="350" t="s">
        <v>163</v>
      </c>
      <c r="X192" s="353">
        <f>+AS169</f>
        <v>0</v>
      </c>
      <c r="Y192" s="352"/>
      <c r="Z192" s="347"/>
    </row>
    <row r="193" spans="22:26">
      <c r="V193" s="347"/>
      <c r="W193" s="350" t="s">
        <v>299</v>
      </c>
      <c r="X193" s="353">
        <f>+AT169</f>
        <v>0</v>
      </c>
      <c r="Y193" s="352"/>
      <c r="Z193" s="347"/>
    </row>
    <row r="194" spans="22:26">
      <c r="V194" s="347"/>
      <c r="W194" s="350" t="s">
        <v>235</v>
      </c>
      <c r="X194" s="353">
        <f>+AU169</f>
        <v>0</v>
      </c>
      <c r="Y194" s="352"/>
      <c r="Z194" s="347"/>
    </row>
    <row r="195" spans="22:26">
      <c r="V195" s="347"/>
      <c r="W195" s="350" t="s">
        <v>305</v>
      </c>
      <c r="X195" s="353">
        <f>+AW169</f>
        <v>0</v>
      </c>
      <c r="Y195" s="352"/>
      <c r="Z195" s="347"/>
    </row>
    <row r="196" spans="22:26">
      <c r="V196" s="347"/>
      <c r="W196" s="350" t="s">
        <v>306</v>
      </c>
      <c r="X196" s="353">
        <f>+AV169</f>
        <v>0</v>
      </c>
      <c r="Y196" s="352"/>
      <c r="Z196" s="347"/>
    </row>
    <row r="197" spans="22:26">
      <c r="V197" s="347"/>
      <c r="W197" s="347" t="s">
        <v>162</v>
      </c>
      <c r="X197" s="353">
        <f>+AX169+AY169</f>
        <v>0</v>
      </c>
      <c r="Y197" s="353"/>
      <c r="Z197" s="347"/>
    </row>
    <row r="198" spans="22:26">
      <c r="V198" s="347"/>
      <c r="W198" s="347" t="s">
        <v>304</v>
      </c>
      <c r="X198" s="353">
        <f>+AZ169</f>
        <v>0</v>
      </c>
      <c r="Y198" s="347"/>
      <c r="Z198" s="347"/>
    </row>
    <row r="199" spans="22:26">
      <c r="V199" s="347"/>
      <c r="W199" s="347"/>
      <c r="X199" s="519">
        <f>SUM(X176:X198)</f>
        <v>0.21337575283072507</v>
      </c>
      <c r="Y199" s="347"/>
      <c r="Z199" s="347"/>
    </row>
    <row r="202" spans="22:26">
      <c r="X202" s="89">
        <f>+X199+X168</f>
        <v>1</v>
      </c>
    </row>
  </sheetData>
  <mergeCells count="50">
    <mergeCell ref="O169:P169"/>
    <mergeCell ref="AL4:AL5"/>
    <mergeCell ref="AN4:AN5"/>
    <mergeCell ref="AO4:AO5"/>
    <mergeCell ref="AP4:AP5"/>
    <mergeCell ref="Y3:Y5"/>
    <mergeCell ref="Z3:Z5"/>
    <mergeCell ref="AA3:AA5"/>
    <mergeCell ref="AB3:AB5"/>
    <mergeCell ref="AC3:AC5"/>
    <mergeCell ref="AD3:AD5"/>
    <mergeCell ref="S3:S5"/>
    <mergeCell ref="V3:V5"/>
    <mergeCell ref="W3:W5"/>
    <mergeCell ref="AE3:AE5"/>
    <mergeCell ref="AF3:AL3"/>
    <mergeCell ref="AM3:AM5"/>
    <mergeCell ref="AN3:AR3"/>
    <mergeCell ref="AS3:AS5"/>
    <mergeCell ref="AF4:AH4"/>
    <mergeCell ref="AI4:AI5"/>
    <mergeCell ref="AJ4:AJ5"/>
    <mergeCell ref="AK4:AK5"/>
    <mergeCell ref="AQ4:AQ5"/>
    <mergeCell ref="AZ3:AZ5"/>
    <mergeCell ref="AR4:AR5"/>
    <mergeCell ref="BD3:BD5"/>
    <mergeCell ref="BE3:BE5"/>
    <mergeCell ref="BF3:BF5"/>
    <mergeCell ref="BA3:BA5"/>
    <mergeCell ref="BB3:BB5"/>
    <mergeCell ref="BC3:BC5"/>
    <mergeCell ref="AT3:AU4"/>
    <mergeCell ref="AV3:AW3"/>
    <mergeCell ref="AX3:AY3"/>
    <mergeCell ref="F3:F5"/>
    <mergeCell ref="A3:A5"/>
    <mergeCell ref="B3:B5"/>
    <mergeCell ref="C3:C5"/>
    <mergeCell ref="D3:D5"/>
    <mergeCell ref="E3:E5"/>
    <mergeCell ref="X3:X5"/>
    <mergeCell ref="G3:K4"/>
    <mergeCell ref="L3:N4"/>
    <mergeCell ref="O3:O5"/>
    <mergeCell ref="P3:P5"/>
    <mergeCell ref="Q3:Q5"/>
    <mergeCell ref="R3:R5"/>
    <mergeCell ref="T3:T5"/>
    <mergeCell ref="U3:U5"/>
  </mergeCells>
  <conditionalFormatting sqref="C169 B167:B169 C167">
    <cfRule type="cellIs" dxfId="655" priority="6129" stopIfTrue="1" operator="equal">
      <formula>"Towel"</formula>
    </cfRule>
    <cfRule type="cellIs" dxfId="654" priority="6130" stopIfTrue="1" operator="equal">
      <formula>"Napkin Hs"</formula>
    </cfRule>
  </conditionalFormatting>
  <conditionalFormatting sqref="B6:C6 B8:C8 B59:C59 B77:C77 B158:C158 B10:C10">
    <cfRule type="cellIs" dxfId="653" priority="647" stopIfTrue="1" operator="equal">
      <formula>"Towel"</formula>
    </cfRule>
    <cfRule type="cellIs" dxfId="652" priority="648" stopIfTrue="1" operator="equal">
      <formula>"Napkin Hs"</formula>
    </cfRule>
  </conditionalFormatting>
  <conditionalFormatting sqref="B7:C7">
    <cfRule type="cellIs" dxfId="651" priority="619" stopIfTrue="1" operator="equal">
      <formula>"Towel"</formula>
    </cfRule>
    <cfRule type="cellIs" dxfId="650" priority="620" stopIfTrue="1" operator="equal">
      <formula>"Napkin Hs"</formula>
    </cfRule>
  </conditionalFormatting>
  <conditionalFormatting sqref="B11:C11">
    <cfRule type="cellIs" dxfId="649" priority="613" stopIfTrue="1" operator="equal">
      <formula>"Towel"</formula>
    </cfRule>
    <cfRule type="cellIs" dxfId="648" priority="614" stopIfTrue="1" operator="equal">
      <formula>"Napkin Hs"</formula>
    </cfRule>
  </conditionalFormatting>
  <conditionalFormatting sqref="B17:C17">
    <cfRule type="cellIs" dxfId="647" priority="623" stopIfTrue="1" operator="equal">
      <formula>"Towel"</formula>
    </cfRule>
    <cfRule type="cellIs" dxfId="646" priority="624" stopIfTrue="1" operator="equal">
      <formula>"Napkin Hs"</formula>
    </cfRule>
  </conditionalFormatting>
  <conditionalFormatting sqref="B65:C65">
    <cfRule type="cellIs" dxfId="645" priority="641" stopIfTrue="1" operator="equal">
      <formula>"Towel"</formula>
    </cfRule>
    <cfRule type="cellIs" dxfId="644" priority="642" stopIfTrue="1" operator="equal">
      <formula>"Napkin Hs"</formula>
    </cfRule>
  </conditionalFormatting>
  <conditionalFormatting sqref="C71">
    <cfRule type="cellIs" dxfId="643" priority="631" stopIfTrue="1" operator="equal">
      <formula>"Towel"</formula>
    </cfRule>
    <cfRule type="cellIs" dxfId="642" priority="632" stopIfTrue="1" operator="equal">
      <formula>"Napkin Hs"</formula>
    </cfRule>
  </conditionalFormatting>
  <conditionalFormatting sqref="B71:C71">
    <cfRule type="cellIs" dxfId="641" priority="635" stopIfTrue="1" operator="equal">
      <formula>"Towel"</formula>
    </cfRule>
    <cfRule type="cellIs" dxfId="640" priority="636" stopIfTrue="1" operator="equal">
      <formula>"Napkin Hs"</formula>
    </cfRule>
  </conditionalFormatting>
  <conditionalFormatting sqref="C6 C8 C59 C77 C158 C10">
    <cfRule type="cellIs" dxfId="639" priority="646" stopIfTrue="1" operator="equal">
      <formula>"Napkin Hs"</formula>
    </cfRule>
  </conditionalFormatting>
  <conditionalFormatting sqref="C6:C8 C10">
    <cfRule type="cellIs" dxfId="638" priority="617" stopIfTrue="1" operator="equal">
      <formula>"Towel"</formula>
    </cfRule>
    <cfRule type="cellIs" dxfId="637" priority="618" stopIfTrue="1" operator="equal">
      <formula>"Napkin Hs"</formula>
    </cfRule>
  </conditionalFormatting>
  <conditionalFormatting sqref="C7">
    <cfRule type="cellIs" dxfId="636" priority="615" stopIfTrue="1" operator="equal">
      <formula>"Towel"</formula>
    </cfRule>
    <cfRule type="cellIs" dxfId="635" priority="616" stopIfTrue="1" operator="equal">
      <formula>"Napkin Hs"</formula>
    </cfRule>
  </conditionalFormatting>
  <conditionalFormatting sqref="C11 C17">
    <cfRule type="cellIs" dxfId="634" priority="611" stopIfTrue="1" operator="equal">
      <formula>"Towel"</formula>
    </cfRule>
    <cfRule type="cellIs" dxfId="633" priority="612" stopIfTrue="1" operator="equal">
      <formula>"Napkin Hs"</formula>
    </cfRule>
  </conditionalFormatting>
  <conditionalFormatting sqref="C11">
    <cfRule type="cellIs" dxfId="632" priority="609" stopIfTrue="1" operator="equal">
      <formula>"Towel"</formula>
    </cfRule>
    <cfRule type="cellIs" dxfId="631" priority="610" stopIfTrue="1" operator="equal">
      <formula>"Napkin Hs"</formula>
    </cfRule>
  </conditionalFormatting>
  <conditionalFormatting sqref="C17">
    <cfRule type="cellIs" dxfId="630" priority="621" stopIfTrue="1" operator="equal">
      <formula>"Towel"</formula>
    </cfRule>
    <cfRule type="cellIs" dxfId="629" priority="622" stopIfTrue="1" operator="equal">
      <formula>"Napkin Hs"</formula>
    </cfRule>
  </conditionalFormatting>
  <conditionalFormatting sqref="C59 C77 C158 C6 C8 C10">
    <cfRule type="cellIs" dxfId="628" priority="645" stopIfTrue="1" operator="equal">
      <formula>"Towel"</formula>
    </cfRule>
  </conditionalFormatting>
  <conditionalFormatting sqref="C59">
    <cfRule type="cellIs" dxfId="627" priority="643" stopIfTrue="1" operator="equal">
      <formula>"Towel"</formula>
    </cfRule>
    <cfRule type="cellIs" dxfId="626" priority="644" stopIfTrue="1" operator="equal">
      <formula>"Napkin Hs"</formula>
    </cfRule>
  </conditionalFormatting>
  <conditionalFormatting sqref="C77">
    <cfRule type="cellIs" dxfId="625" priority="629" stopIfTrue="1" operator="equal">
      <formula>"Towel"</formula>
    </cfRule>
    <cfRule type="cellIs" dxfId="624" priority="630" stopIfTrue="1" operator="equal">
      <formula>"Napkin Hs"</formula>
    </cfRule>
  </conditionalFormatting>
  <conditionalFormatting sqref="C65">
    <cfRule type="cellIs" dxfId="623" priority="639" stopIfTrue="1" operator="equal">
      <formula>"Towel"</formula>
    </cfRule>
    <cfRule type="cellIs" dxfId="622" priority="640" stopIfTrue="1" operator="equal">
      <formula>"Napkin Hs"</formula>
    </cfRule>
  </conditionalFormatting>
  <conditionalFormatting sqref="C65">
    <cfRule type="cellIs" dxfId="621" priority="637" stopIfTrue="1" operator="equal">
      <formula>"Towel"</formula>
    </cfRule>
    <cfRule type="cellIs" dxfId="620" priority="638" stopIfTrue="1" operator="equal">
      <formula>"Napkin Hs"</formula>
    </cfRule>
  </conditionalFormatting>
  <conditionalFormatting sqref="C71">
    <cfRule type="cellIs" dxfId="619" priority="633" stopIfTrue="1" operator="equal">
      <formula>"Towel"</formula>
    </cfRule>
    <cfRule type="cellIs" dxfId="618" priority="634" stopIfTrue="1" operator="equal">
      <formula>"Napkin Hs"</formula>
    </cfRule>
  </conditionalFormatting>
  <conditionalFormatting sqref="C158">
    <cfRule type="cellIs" dxfId="617" priority="627" stopIfTrue="1" operator="equal">
      <formula>"Towel"</formula>
    </cfRule>
    <cfRule type="cellIs" dxfId="616" priority="628" stopIfTrue="1" operator="equal">
      <formula>"Napkin Hs"</formula>
    </cfRule>
  </conditionalFormatting>
  <conditionalFormatting sqref="B9:C9">
    <cfRule type="cellIs" dxfId="615" priority="607" stopIfTrue="1" operator="equal">
      <formula>"Towel"</formula>
    </cfRule>
    <cfRule type="cellIs" dxfId="614" priority="608" stopIfTrue="1" operator="equal">
      <formula>"Napkin Hs"</formula>
    </cfRule>
  </conditionalFormatting>
  <conditionalFormatting sqref="C9">
    <cfRule type="cellIs" dxfId="613" priority="603" stopIfTrue="1" operator="equal">
      <formula>"Towel"</formula>
    </cfRule>
    <cfRule type="cellIs" dxfId="612" priority="604" stopIfTrue="1" operator="equal">
      <formula>"Napkin Hs"</formula>
    </cfRule>
  </conditionalFormatting>
  <conditionalFormatting sqref="C9">
    <cfRule type="cellIs" dxfId="611" priority="606" stopIfTrue="1" operator="equal">
      <formula>"Napkin Hs"</formula>
    </cfRule>
  </conditionalFormatting>
  <conditionalFormatting sqref="C9">
    <cfRule type="cellIs" dxfId="610" priority="605" stopIfTrue="1" operator="equal">
      <formula>"Towel"</formula>
    </cfRule>
  </conditionalFormatting>
  <conditionalFormatting sqref="B41:C41">
    <cfRule type="cellIs" dxfId="609" priority="601" stopIfTrue="1" operator="equal">
      <formula>"Towel"</formula>
    </cfRule>
    <cfRule type="cellIs" dxfId="608" priority="602" stopIfTrue="1" operator="equal">
      <formula>"Napkin Hs"</formula>
    </cfRule>
  </conditionalFormatting>
  <conditionalFormatting sqref="C41">
    <cfRule type="cellIs" dxfId="607" priority="600" stopIfTrue="1" operator="equal">
      <formula>"Napkin Hs"</formula>
    </cfRule>
  </conditionalFormatting>
  <conditionalFormatting sqref="C41">
    <cfRule type="cellIs" dxfId="606" priority="597" stopIfTrue="1" operator="equal">
      <formula>"Towel"</formula>
    </cfRule>
    <cfRule type="cellIs" dxfId="605" priority="598" stopIfTrue="1" operator="equal">
      <formula>"Napkin Hs"</formula>
    </cfRule>
  </conditionalFormatting>
  <conditionalFormatting sqref="C41">
    <cfRule type="cellIs" dxfId="604" priority="599" stopIfTrue="1" operator="equal">
      <formula>"Towel"</formula>
    </cfRule>
  </conditionalFormatting>
  <conditionalFormatting sqref="B47:C47">
    <cfRule type="cellIs" dxfId="603" priority="595" stopIfTrue="1" operator="equal">
      <formula>"Towel"</formula>
    </cfRule>
    <cfRule type="cellIs" dxfId="602" priority="596" stopIfTrue="1" operator="equal">
      <formula>"Napkin Hs"</formula>
    </cfRule>
  </conditionalFormatting>
  <conditionalFormatting sqref="C47">
    <cfRule type="cellIs" dxfId="601" priority="594" stopIfTrue="1" operator="equal">
      <formula>"Napkin Hs"</formula>
    </cfRule>
  </conditionalFormatting>
  <conditionalFormatting sqref="C47">
    <cfRule type="cellIs" dxfId="600" priority="591" stopIfTrue="1" operator="equal">
      <formula>"Towel"</formula>
    </cfRule>
    <cfRule type="cellIs" dxfId="599" priority="592" stopIfTrue="1" operator="equal">
      <formula>"Napkin Hs"</formula>
    </cfRule>
  </conditionalFormatting>
  <conditionalFormatting sqref="C47">
    <cfRule type="cellIs" dxfId="598" priority="593" stopIfTrue="1" operator="equal">
      <formula>"Towel"</formula>
    </cfRule>
  </conditionalFormatting>
  <conditionalFormatting sqref="B53:C53">
    <cfRule type="cellIs" dxfId="597" priority="589" stopIfTrue="1" operator="equal">
      <formula>"Towel"</formula>
    </cfRule>
    <cfRule type="cellIs" dxfId="596" priority="590" stopIfTrue="1" operator="equal">
      <formula>"Napkin Hs"</formula>
    </cfRule>
  </conditionalFormatting>
  <conditionalFormatting sqref="C53">
    <cfRule type="cellIs" dxfId="595" priority="588" stopIfTrue="1" operator="equal">
      <formula>"Napkin Hs"</formula>
    </cfRule>
  </conditionalFormatting>
  <conditionalFormatting sqref="C53">
    <cfRule type="cellIs" dxfId="594" priority="585" stopIfTrue="1" operator="equal">
      <formula>"Towel"</formula>
    </cfRule>
    <cfRule type="cellIs" dxfId="593" priority="586" stopIfTrue="1" operator="equal">
      <formula>"Napkin Hs"</formula>
    </cfRule>
  </conditionalFormatting>
  <conditionalFormatting sqref="C53">
    <cfRule type="cellIs" dxfId="592" priority="587" stopIfTrue="1" operator="equal">
      <formula>"Towel"</formula>
    </cfRule>
  </conditionalFormatting>
  <conditionalFormatting sqref="B83:C83">
    <cfRule type="cellIs" dxfId="591" priority="583" stopIfTrue="1" operator="equal">
      <formula>"Towel"</formula>
    </cfRule>
    <cfRule type="cellIs" dxfId="590" priority="584" stopIfTrue="1" operator="equal">
      <formula>"Napkin Hs"</formula>
    </cfRule>
  </conditionalFormatting>
  <conditionalFormatting sqref="C83">
    <cfRule type="cellIs" dxfId="589" priority="579" stopIfTrue="1" operator="equal">
      <formula>"Towel"</formula>
    </cfRule>
    <cfRule type="cellIs" dxfId="588" priority="580" stopIfTrue="1" operator="equal">
      <formula>"Napkin Hs"</formula>
    </cfRule>
  </conditionalFormatting>
  <conditionalFormatting sqref="C83">
    <cfRule type="cellIs" dxfId="587" priority="582" stopIfTrue="1" operator="equal">
      <formula>"Napkin Hs"</formula>
    </cfRule>
  </conditionalFormatting>
  <conditionalFormatting sqref="C83">
    <cfRule type="cellIs" dxfId="586" priority="581" stopIfTrue="1" operator="equal">
      <formula>"Towel"</formula>
    </cfRule>
  </conditionalFormatting>
  <conditionalFormatting sqref="B89:C89">
    <cfRule type="cellIs" dxfId="585" priority="577" stopIfTrue="1" operator="equal">
      <formula>"Towel"</formula>
    </cfRule>
    <cfRule type="cellIs" dxfId="584" priority="578" stopIfTrue="1" operator="equal">
      <formula>"Napkin Hs"</formula>
    </cfRule>
  </conditionalFormatting>
  <conditionalFormatting sqref="C89">
    <cfRule type="cellIs" dxfId="583" priority="576" stopIfTrue="1" operator="equal">
      <formula>"Napkin Hs"</formula>
    </cfRule>
  </conditionalFormatting>
  <conditionalFormatting sqref="C89">
    <cfRule type="cellIs" dxfId="582" priority="573" stopIfTrue="1" operator="equal">
      <formula>"Towel"</formula>
    </cfRule>
    <cfRule type="cellIs" dxfId="581" priority="574" stopIfTrue="1" operator="equal">
      <formula>"Napkin Hs"</formula>
    </cfRule>
  </conditionalFormatting>
  <conditionalFormatting sqref="C89">
    <cfRule type="cellIs" dxfId="580" priority="575" stopIfTrue="1" operator="equal">
      <formula>"Towel"</formula>
    </cfRule>
  </conditionalFormatting>
  <conditionalFormatting sqref="B95:C95">
    <cfRule type="cellIs" dxfId="579" priority="571" stopIfTrue="1" operator="equal">
      <formula>"Towel"</formula>
    </cfRule>
    <cfRule type="cellIs" dxfId="578" priority="572" stopIfTrue="1" operator="equal">
      <formula>"Napkin Hs"</formula>
    </cfRule>
  </conditionalFormatting>
  <conditionalFormatting sqref="C95">
    <cfRule type="cellIs" dxfId="577" priority="570" stopIfTrue="1" operator="equal">
      <formula>"Napkin Hs"</formula>
    </cfRule>
  </conditionalFormatting>
  <conditionalFormatting sqref="C95">
    <cfRule type="cellIs" dxfId="576" priority="567" stopIfTrue="1" operator="equal">
      <formula>"Towel"</formula>
    </cfRule>
    <cfRule type="cellIs" dxfId="575" priority="568" stopIfTrue="1" operator="equal">
      <formula>"Napkin Hs"</formula>
    </cfRule>
  </conditionalFormatting>
  <conditionalFormatting sqref="C95">
    <cfRule type="cellIs" dxfId="574" priority="569" stopIfTrue="1" operator="equal">
      <formula>"Towel"</formula>
    </cfRule>
  </conditionalFormatting>
  <conditionalFormatting sqref="B101:C101">
    <cfRule type="cellIs" dxfId="573" priority="565" stopIfTrue="1" operator="equal">
      <formula>"Towel"</formula>
    </cfRule>
    <cfRule type="cellIs" dxfId="572" priority="566" stopIfTrue="1" operator="equal">
      <formula>"Napkin Hs"</formula>
    </cfRule>
  </conditionalFormatting>
  <conditionalFormatting sqref="C101">
    <cfRule type="cellIs" dxfId="571" priority="564" stopIfTrue="1" operator="equal">
      <formula>"Napkin Hs"</formula>
    </cfRule>
  </conditionalFormatting>
  <conditionalFormatting sqref="C101">
    <cfRule type="cellIs" dxfId="570" priority="561" stopIfTrue="1" operator="equal">
      <formula>"Towel"</formula>
    </cfRule>
    <cfRule type="cellIs" dxfId="569" priority="562" stopIfTrue="1" operator="equal">
      <formula>"Napkin Hs"</formula>
    </cfRule>
  </conditionalFormatting>
  <conditionalFormatting sqref="C101">
    <cfRule type="cellIs" dxfId="568" priority="563" stopIfTrue="1" operator="equal">
      <formula>"Towel"</formula>
    </cfRule>
  </conditionalFormatting>
  <conditionalFormatting sqref="B106:C106">
    <cfRule type="cellIs" dxfId="567" priority="559" stopIfTrue="1" operator="equal">
      <formula>"Towel"</formula>
    </cfRule>
    <cfRule type="cellIs" dxfId="566" priority="560" stopIfTrue="1" operator="equal">
      <formula>"Napkin Hs"</formula>
    </cfRule>
  </conditionalFormatting>
  <conditionalFormatting sqref="C106">
    <cfRule type="cellIs" dxfId="565" priority="558" stopIfTrue="1" operator="equal">
      <formula>"Napkin Hs"</formula>
    </cfRule>
  </conditionalFormatting>
  <conditionalFormatting sqref="C106">
    <cfRule type="cellIs" dxfId="564" priority="555" stopIfTrue="1" operator="equal">
      <formula>"Towel"</formula>
    </cfRule>
    <cfRule type="cellIs" dxfId="563" priority="556" stopIfTrue="1" operator="equal">
      <formula>"Napkin Hs"</formula>
    </cfRule>
  </conditionalFormatting>
  <conditionalFormatting sqref="C106">
    <cfRule type="cellIs" dxfId="562" priority="557" stopIfTrue="1" operator="equal">
      <formula>"Towel"</formula>
    </cfRule>
  </conditionalFormatting>
  <conditionalFormatting sqref="B111:C111">
    <cfRule type="cellIs" dxfId="561" priority="553" stopIfTrue="1" operator="equal">
      <formula>"Towel"</formula>
    </cfRule>
    <cfRule type="cellIs" dxfId="560" priority="554" stopIfTrue="1" operator="equal">
      <formula>"Napkin Hs"</formula>
    </cfRule>
  </conditionalFormatting>
  <conditionalFormatting sqref="C111">
    <cfRule type="cellIs" dxfId="559" priority="552" stopIfTrue="1" operator="equal">
      <formula>"Napkin Hs"</formula>
    </cfRule>
  </conditionalFormatting>
  <conditionalFormatting sqref="C111">
    <cfRule type="cellIs" dxfId="558" priority="549" stopIfTrue="1" operator="equal">
      <formula>"Towel"</formula>
    </cfRule>
    <cfRule type="cellIs" dxfId="557" priority="550" stopIfTrue="1" operator="equal">
      <formula>"Napkin Hs"</formula>
    </cfRule>
  </conditionalFormatting>
  <conditionalFormatting sqref="C111">
    <cfRule type="cellIs" dxfId="556" priority="551" stopIfTrue="1" operator="equal">
      <formula>"Towel"</formula>
    </cfRule>
  </conditionalFormatting>
  <conditionalFormatting sqref="B116:C116">
    <cfRule type="cellIs" dxfId="555" priority="547" stopIfTrue="1" operator="equal">
      <formula>"Towel"</formula>
    </cfRule>
    <cfRule type="cellIs" dxfId="554" priority="548" stopIfTrue="1" operator="equal">
      <formula>"Napkin Hs"</formula>
    </cfRule>
  </conditionalFormatting>
  <conditionalFormatting sqref="C116">
    <cfRule type="cellIs" dxfId="553" priority="546" stopIfTrue="1" operator="equal">
      <formula>"Napkin Hs"</formula>
    </cfRule>
  </conditionalFormatting>
  <conditionalFormatting sqref="C116">
    <cfRule type="cellIs" dxfId="552" priority="543" stopIfTrue="1" operator="equal">
      <formula>"Towel"</formula>
    </cfRule>
    <cfRule type="cellIs" dxfId="551" priority="544" stopIfTrue="1" operator="equal">
      <formula>"Napkin Hs"</formula>
    </cfRule>
  </conditionalFormatting>
  <conditionalFormatting sqref="C116">
    <cfRule type="cellIs" dxfId="550" priority="545" stopIfTrue="1" operator="equal">
      <formula>"Towel"</formula>
    </cfRule>
  </conditionalFormatting>
  <conditionalFormatting sqref="B121:C121">
    <cfRule type="cellIs" dxfId="549" priority="541" stopIfTrue="1" operator="equal">
      <formula>"Towel"</formula>
    </cfRule>
    <cfRule type="cellIs" dxfId="548" priority="542" stopIfTrue="1" operator="equal">
      <formula>"Napkin Hs"</formula>
    </cfRule>
  </conditionalFormatting>
  <conditionalFormatting sqref="C121">
    <cfRule type="cellIs" dxfId="547" priority="540" stopIfTrue="1" operator="equal">
      <formula>"Napkin Hs"</formula>
    </cfRule>
  </conditionalFormatting>
  <conditionalFormatting sqref="C121">
    <cfRule type="cellIs" dxfId="546" priority="537" stopIfTrue="1" operator="equal">
      <formula>"Towel"</formula>
    </cfRule>
    <cfRule type="cellIs" dxfId="545" priority="538" stopIfTrue="1" operator="equal">
      <formula>"Napkin Hs"</formula>
    </cfRule>
  </conditionalFormatting>
  <conditionalFormatting sqref="C121">
    <cfRule type="cellIs" dxfId="544" priority="539" stopIfTrue="1" operator="equal">
      <formula>"Towel"</formula>
    </cfRule>
  </conditionalFormatting>
  <conditionalFormatting sqref="B126:C126">
    <cfRule type="cellIs" dxfId="543" priority="535" stopIfTrue="1" operator="equal">
      <formula>"Towel"</formula>
    </cfRule>
    <cfRule type="cellIs" dxfId="542" priority="536" stopIfTrue="1" operator="equal">
      <formula>"Napkin Hs"</formula>
    </cfRule>
  </conditionalFormatting>
  <conditionalFormatting sqref="C126">
    <cfRule type="cellIs" dxfId="541" priority="534" stopIfTrue="1" operator="equal">
      <formula>"Napkin Hs"</formula>
    </cfRule>
  </conditionalFormatting>
  <conditionalFormatting sqref="C126">
    <cfRule type="cellIs" dxfId="540" priority="531" stopIfTrue="1" operator="equal">
      <formula>"Towel"</formula>
    </cfRule>
    <cfRule type="cellIs" dxfId="539" priority="532" stopIfTrue="1" operator="equal">
      <formula>"Napkin Hs"</formula>
    </cfRule>
  </conditionalFormatting>
  <conditionalFormatting sqref="C126">
    <cfRule type="cellIs" dxfId="538" priority="533" stopIfTrue="1" operator="equal">
      <formula>"Towel"</formula>
    </cfRule>
  </conditionalFormatting>
  <conditionalFormatting sqref="B131:C131">
    <cfRule type="cellIs" dxfId="537" priority="529" stopIfTrue="1" operator="equal">
      <formula>"Towel"</formula>
    </cfRule>
    <cfRule type="cellIs" dxfId="536" priority="530" stopIfTrue="1" operator="equal">
      <formula>"Napkin Hs"</formula>
    </cfRule>
  </conditionalFormatting>
  <conditionalFormatting sqref="C131">
    <cfRule type="cellIs" dxfId="535" priority="528" stopIfTrue="1" operator="equal">
      <formula>"Napkin Hs"</formula>
    </cfRule>
  </conditionalFormatting>
  <conditionalFormatting sqref="C131">
    <cfRule type="cellIs" dxfId="534" priority="525" stopIfTrue="1" operator="equal">
      <formula>"Towel"</formula>
    </cfRule>
    <cfRule type="cellIs" dxfId="533" priority="526" stopIfTrue="1" operator="equal">
      <formula>"Napkin Hs"</formula>
    </cfRule>
  </conditionalFormatting>
  <conditionalFormatting sqref="C131">
    <cfRule type="cellIs" dxfId="532" priority="527" stopIfTrue="1" operator="equal">
      <formula>"Towel"</formula>
    </cfRule>
  </conditionalFormatting>
  <conditionalFormatting sqref="B135:C135">
    <cfRule type="cellIs" dxfId="531" priority="523" stopIfTrue="1" operator="equal">
      <formula>"Towel"</formula>
    </cfRule>
    <cfRule type="cellIs" dxfId="530" priority="524" stopIfTrue="1" operator="equal">
      <formula>"Napkin Hs"</formula>
    </cfRule>
  </conditionalFormatting>
  <conditionalFormatting sqref="C135">
    <cfRule type="cellIs" dxfId="529" priority="522" stopIfTrue="1" operator="equal">
      <formula>"Napkin Hs"</formula>
    </cfRule>
  </conditionalFormatting>
  <conditionalFormatting sqref="C135">
    <cfRule type="cellIs" dxfId="528" priority="519" stopIfTrue="1" operator="equal">
      <formula>"Towel"</formula>
    </cfRule>
    <cfRule type="cellIs" dxfId="527" priority="520" stopIfTrue="1" operator="equal">
      <formula>"Napkin Hs"</formula>
    </cfRule>
  </conditionalFormatting>
  <conditionalFormatting sqref="C135">
    <cfRule type="cellIs" dxfId="526" priority="521" stopIfTrue="1" operator="equal">
      <formula>"Towel"</formula>
    </cfRule>
  </conditionalFormatting>
  <conditionalFormatting sqref="B140:C140">
    <cfRule type="cellIs" dxfId="525" priority="517" stopIfTrue="1" operator="equal">
      <formula>"Towel"</formula>
    </cfRule>
    <cfRule type="cellIs" dxfId="524" priority="518" stopIfTrue="1" operator="equal">
      <formula>"Napkin Hs"</formula>
    </cfRule>
  </conditionalFormatting>
  <conditionalFormatting sqref="C140">
    <cfRule type="cellIs" dxfId="523" priority="516" stopIfTrue="1" operator="equal">
      <formula>"Napkin Hs"</formula>
    </cfRule>
  </conditionalFormatting>
  <conditionalFormatting sqref="C140">
    <cfRule type="cellIs" dxfId="522" priority="513" stopIfTrue="1" operator="equal">
      <formula>"Towel"</formula>
    </cfRule>
    <cfRule type="cellIs" dxfId="521" priority="514" stopIfTrue="1" operator="equal">
      <formula>"Napkin Hs"</formula>
    </cfRule>
  </conditionalFormatting>
  <conditionalFormatting sqref="C140">
    <cfRule type="cellIs" dxfId="520" priority="515" stopIfTrue="1" operator="equal">
      <formula>"Towel"</formula>
    </cfRule>
  </conditionalFormatting>
  <conditionalFormatting sqref="B145:C145">
    <cfRule type="cellIs" dxfId="519" priority="511" stopIfTrue="1" operator="equal">
      <formula>"Towel"</formula>
    </cfRule>
    <cfRule type="cellIs" dxfId="518" priority="512" stopIfTrue="1" operator="equal">
      <formula>"Napkin Hs"</formula>
    </cfRule>
  </conditionalFormatting>
  <conditionalFormatting sqref="C145">
    <cfRule type="cellIs" dxfId="517" priority="510" stopIfTrue="1" operator="equal">
      <formula>"Napkin Hs"</formula>
    </cfRule>
  </conditionalFormatting>
  <conditionalFormatting sqref="C145">
    <cfRule type="cellIs" dxfId="516" priority="507" stopIfTrue="1" operator="equal">
      <formula>"Towel"</formula>
    </cfRule>
    <cfRule type="cellIs" dxfId="515" priority="508" stopIfTrue="1" operator="equal">
      <formula>"Napkin Hs"</formula>
    </cfRule>
  </conditionalFormatting>
  <conditionalFormatting sqref="C145">
    <cfRule type="cellIs" dxfId="514" priority="509" stopIfTrue="1" operator="equal">
      <formula>"Towel"</formula>
    </cfRule>
  </conditionalFormatting>
  <conditionalFormatting sqref="B144:C144">
    <cfRule type="cellIs" dxfId="513" priority="505" stopIfTrue="1" operator="equal">
      <formula>"Towel"</formula>
    </cfRule>
    <cfRule type="cellIs" dxfId="512" priority="506" stopIfTrue="1" operator="equal">
      <formula>"Napkin Hs"</formula>
    </cfRule>
  </conditionalFormatting>
  <conditionalFormatting sqref="C144">
    <cfRule type="cellIs" dxfId="511" priority="504" stopIfTrue="1" operator="equal">
      <formula>"Napkin Hs"</formula>
    </cfRule>
  </conditionalFormatting>
  <conditionalFormatting sqref="C144">
    <cfRule type="cellIs" dxfId="510" priority="501" stopIfTrue="1" operator="equal">
      <formula>"Towel"</formula>
    </cfRule>
    <cfRule type="cellIs" dxfId="509" priority="502" stopIfTrue="1" operator="equal">
      <formula>"Napkin Hs"</formula>
    </cfRule>
  </conditionalFormatting>
  <conditionalFormatting sqref="C144">
    <cfRule type="cellIs" dxfId="508" priority="503" stopIfTrue="1" operator="equal">
      <formula>"Towel"</formula>
    </cfRule>
  </conditionalFormatting>
  <conditionalFormatting sqref="C149">
    <cfRule type="cellIs" dxfId="507" priority="495" stopIfTrue="1" operator="equal">
      <formula>"Towel"</formula>
    </cfRule>
    <cfRule type="cellIs" dxfId="506" priority="496" stopIfTrue="1" operator="equal">
      <formula>"Napkin Hs"</formula>
    </cfRule>
  </conditionalFormatting>
  <conditionalFormatting sqref="B149:C149">
    <cfRule type="cellIs" dxfId="505" priority="499" stopIfTrue="1" operator="equal">
      <formula>"Towel"</formula>
    </cfRule>
    <cfRule type="cellIs" dxfId="504" priority="500" stopIfTrue="1" operator="equal">
      <formula>"Napkin Hs"</formula>
    </cfRule>
  </conditionalFormatting>
  <conditionalFormatting sqref="C149">
    <cfRule type="cellIs" dxfId="503" priority="498" stopIfTrue="1" operator="equal">
      <formula>"Napkin Hs"</formula>
    </cfRule>
  </conditionalFormatting>
  <conditionalFormatting sqref="C149">
    <cfRule type="cellIs" dxfId="502" priority="497" stopIfTrue="1" operator="equal">
      <formula>"Towel"</formula>
    </cfRule>
  </conditionalFormatting>
  <conditionalFormatting sqref="B17:C17">
    <cfRule type="cellIs" dxfId="501" priority="493" stopIfTrue="1" operator="equal">
      <formula>"Towel"</formula>
    </cfRule>
    <cfRule type="cellIs" dxfId="500" priority="494" stopIfTrue="1" operator="equal">
      <formula>"Napkin Hs"</formula>
    </cfRule>
  </conditionalFormatting>
  <conditionalFormatting sqref="C17">
    <cfRule type="cellIs" dxfId="499" priority="491" stopIfTrue="1" operator="equal">
      <formula>"Towel"</formula>
    </cfRule>
    <cfRule type="cellIs" dxfId="498" priority="492" stopIfTrue="1" operator="equal">
      <formula>"Napkin Hs"</formula>
    </cfRule>
  </conditionalFormatting>
  <conditionalFormatting sqref="B23:C23">
    <cfRule type="cellIs" dxfId="497" priority="489" stopIfTrue="1" operator="equal">
      <formula>"Towel"</formula>
    </cfRule>
    <cfRule type="cellIs" dxfId="496" priority="490" stopIfTrue="1" operator="equal">
      <formula>"Napkin Hs"</formula>
    </cfRule>
  </conditionalFormatting>
  <conditionalFormatting sqref="C23">
    <cfRule type="cellIs" dxfId="495" priority="488" stopIfTrue="1" operator="equal">
      <formula>"Napkin Hs"</formula>
    </cfRule>
  </conditionalFormatting>
  <conditionalFormatting sqref="C23">
    <cfRule type="cellIs" dxfId="494" priority="485" stopIfTrue="1" operator="equal">
      <formula>"Towel"</formula>
    </cfRule>
    <cfRule type="cellIs" dxfId="493" priority="486" stopIfTrue="1" operator="equal">
      <formula>"Napkin Hs"</formula>
    </cfRule>
  </conditionalFormatting>
  <conditionalFormatting sqref="C23">
    <cfRule type="cellIs" dxfId="492" priority="487" stopIfTrue="1" operator="equal">
      <formula>"Towel"</formula>
    </cfRule>
  </conditionalFormatting>
  <conditionalFormatting sqref="B23:C23">
    <cfRule type="cellIs" dxfId="491" priority="483" stopIfTrue="1" operator="equal">
      <formula>"Towel"</formula>
    </cfRule>
    <cfRule type="cellIs" dxfId="490" priority="484" stopIfTrue="1" operator="equal">
      <formula>"Napkin Hs"</formula>
    </cfRule>
  </conditionalFormatting>
  <conditionalFormatting sqref="C23">
    <cfRule type="cellIs" dxfId="489" priority="482" stopIfTrue="1" operator="equal">
      <formula>"Napkin Hs"</formula>
    </cfRule>
  </conditionalFormatting>
  <conditionalFormatting sqref="C23">
    <cfRule type="cellIs" dxfId="488" priority="479" stopIfTrue="1" operator="equal">
      <formula>"Towel"</formula>
    </cfRule>
    <cfRule type="cellIs" dxfId="487" priority="480" stopIfTrue="1" operator="equal">
      <formula>"Napkin Hs"</formula>
    </cfRule>
  </conditionalFormatting>
  <conditionalFormatting sqref="C23">
    <cfRule type="cellIs" dxfId="486" priority="481" stopIfTrue="1" operator="equal">
      <formula>"Towel"</formula>
    </cfRule>
  </conditionalFormatting>
  <conditionalFormatting sqref="B29:C29">
    <cfRule type="cellIs" dxfId="485" priority="477" stopIfTrue="1" operator="equal">
      <formula>"Towel"</formula>
    </cfRule>
    <cfRule type="cellIs" dxfId="484" priority="478" stopIfTrue="1" operator="equal">
      <formula>"Napkin Hs"</formula>
    </cfRule>
  </conditionalFormatting>
  <conditionalFormatting sqref="C29">
    <cfRule type="cellIs" dxfId="483" priority="476" stopIfTrue="1" operator="equal">
      <formula>"Napkin Hs"</formula>
    </cfRule>
  </conditionalFormatting>
  <conditionalFormatting sqref="C29">
    <cfRule type="cellIs" dxfId="482" priority="473" stopIfTrue="1" operator="equal">
      <formula>"Towel"</formula>
    </cfRule>
    <cfRule type="cellIs" dxfId="481" priority="474" stopIfTrue="1" operator="equal">
      <formula>"Napkin Hs"</formula>
    </cfRule>
  </conditionalFormatting>
  <conditionalFormatting sqref="C29">
    <cfRule type="cellIs" dxfId="480" priority="475" stopIfTrue="1" operator="equal">
      <formula>"Towel"</formula>
    </cfRule>
  </conditionalFormatting>
  <conditionalFormatting sqref="B29:C29">
    <cfRule type="cellIs" dxfId="479" priority="471" stopIfTrue="1" operator="equal">
      <formula>"Towel"</formula>
    </cfRule>
    <cfRule type="cellIs" dxfId="478" priority="472" stopIfTrue="1" operator="equal">
      <formula>"Napkin Hs"</formula>
    </cfRule>
  </conditionalFormatting>
  <conditionalFormatting sqref="C29">
    <cfRule type="cellIs" dxfId="477" priority="470" stopIfTrue="1" operator="equal">
      <formula>"Napkin Hs"</formula>
    </cfRule>
  </conditionalFormatting>
  <conditionalFormatting sqref="C29">
    <cfRule type="cellIs" dxfId="476" priority="467" stopIfTrue="1" operator="equal">
      <formula>"Towel"</formula>
    </cfRule>
    <cfRule type="cellIs" dxfId="475" priority="468" stopIfTrue="1" operator="equal">
      <formula>"Napkin Hs"</formula>
    </cfRule>
  </conditionalFormatting>
  <conditionalFormatting sqref="C29">
    <cfRule type="cellIs" dxfId="474" priority="469" stopIfTrue="1" operator="equal">
      <formula>"Towel"</formula>
    </cfRule>
  </conditionalFormatting>
  <conditionalFormatting sqref="B35:C35">
    <cfRule type="cellIs" dxfId="473" priority="465" stopIfTrue="1" operator="equal">
      <formula>"Towel"</formula>
    </cfRule>
    <cfRule type="cellIs" dxfId="472" priority="466" stopIfTrue="1" operator="equal">
      <formula>"Napkin Hs"</formula>
    </cfRule>
  </conditionalFormatting>
  <conditionalFormatting sqref="C35">
    <cfRule type="cellIs" dxfId="471" priority="464" stopIfTrue="1" operator="equal">
      <formula>"Napkin Hs"</formula>
    </cfRule>
  </conditionalFormatting>
  <conditionalFormatting sqref="C35">
    <cfRule type="cellIs" dxfId="470" priority="461" stopIfTrue="1" operator="equal">
      <formula>"Towel"</formula>
    </cfRule>
    <cfRule type="cellIs" dxfId="469" priority="462" stopIfTrue="1" operator="equal">
      <formula>"Napkin Hs"</formula>
    </cfRule>
  </conditionalFormatting>
  <conditionalFormatting sqref="C35">
    <cfRule type="cellIs" dxfId="468" priority="463" stopIfTrue="1" operator="equal">
      <formula>"Towel"</formula>
    </cfRule>
  </conditionalFormatting>
  <conditionalFormatting sqref="B35:C35">
    <cfRule type="cellIs" dxfId="467" priority="459" stopIfTrue="1" operator="equal">
      <formula>"Towel"</formula>
    </cfRule>
    <cfRule type="cellIs" dxfId="466" priority="460" stopIfTrue="1" operator="equal">
      <formula>"Napkin Hs"</formula>
    </cfRule>
  </conditionalFormatting>
  <conditionalFormatting sqref="C35">
    <cfRule type="cellIs" dxfId="465" priority="458" stopIfTrue="1" operator="equal">
      <formula>"Napkin Hs"</formula>
    </cfRule>
  </conditionalFormatting>
  <conditionalFormatting sqref="C35">
    <cfRule type="cellIs" dxfId="464" priority="455" stopIfTrue="1" operator="equal">
      <formula>"Towel"</formula>
    </cfRule>
    <cfRule type="cellIs" dxfId="463" priority="456" stopIfTrue="1" operator="equal">
      <formula>"Napkin Hs"</formula>
    </cfRule>
  </conditionalFormatting>
  <conditionalFormatting sqref="C35">
    <cfRule type="cellIs" dxfId="462" priority="457" stopIfTrue="1" operator="equal">
      <formula>"Towel"</formula>
    </cfRule>
  </conditionalFormatting>
  <conditionalFormatting sqref="B12:C12 B14:C14 B16:C16">
    <cfRule type="cellIs" dxfId="461" priority="453" stopIfTrue="1" operator="equal">
      <formula>"Towel"</formula>
    </cfRule>
    <cfRule type="cellIs" dxfId="460" priority="454" stopIfTrue="1" operator="equal">
      <formula>"Napkin Hs"</formula>
    </cfRule>
  </conditionalFormatting>
  <conditionalFormatting sqref="B13:C13">
    <cfRule type="cellIs" dxfId="459" priority="449" stopIfTrue="1" operator="equal">
      <formula>"Towel"</formula>
    </cfRule>
    <cfRule type="cellIs" dxfId="458" priority="450" stopIfTrue="1" operator="equal">
      <formula>"Napkin Hs"</formula>
    </cfRule>
  </conditionalFormatting>
  <conditionalFormatting sqref="C12 C14 C16">
    <cfRule type="cellIs" dxfId="457" priority="452" stopIfTrue="1" operator="equal">
      <formula>"Napkin Hs"</formula>
    </cfRule>
  </conditionalFormatting>
  <conditionalFormatting sqref="C12:C14 C16">
    <cfRule type="cellIs" dxfId="456" priority="447" stopIfTrue="1" operator="equal">
      <formula>"Towel"</formula>
    </cfRule>
    <cfRule type="cellIs" dxfId="455" priority="448" stopIfTrue="1" operator="equal">
      <formula>"Napkin Hs"</formula>
    </cfRule>
  </conditionalFormatting>
  <conditionalFormatting sqref="C13">
    <cfRule type="cellIs" dxfId="454" priority="445" stopIfTrue="1" operator="equal">
      <formula>"Towel"</formula>
    </cfRule>
    <cfRule type="cellIs" dxfId="453" priority="446" stopIfTrue="1" operator="equal">
      <formula>"Napkin Hs"</formula>
    </cfRule>
  </conditionalFormatting>
  <conditionalFormatting sqref="C12 C14 C16">
    <cfRule type="cellIs" dxfId="452" priority="451" stopIfTrue="1" operator="equal">
      <formula>"Towel"</formula>
    </cfRule>
  </conditionalFormatting>
  <conditionalFormatting sqref="B15:C15">
    <cfRule type="cellIs" dxfId="451" priority="443" stopIfTrue="1" operator="equal">
      <formula>"Towel"</formula>
    </cfRule>
    <cfRule type="cellIs" dxfId="450" priority="444" stopIfTrue="1" operator="equal">
      <formula>"Napkin Hs"</formula>
    </cfRule>
  </conditionalFormatting>
  <conditionalFormatting sqref="C15">
    <cfRule type="cellIs" dxfId="449" priority="439" stopIfTrue="1" operator="equal">
      <formula>"Towel"</formula>
    </cfRule>
    <cfRule type="cellIs" dxfId="448" priority="440" stopIfTrue="1" operator="equal">
      <formula>"Napkin Hs"</formula>
    </cfRule>
  </conditionalFormatting>
  <conditionalFormatting sqref="C15">
    <cfRule type="cellIs" dxfId="447" priority="442" stopIfTrue="1" operator="equal">
      <formula>"Napkin Hs"</formula>
    </cfRule>
  </conditionalFormatting>
  <conditionalFormatting sqref="C15">
    <cfRule type="cellIs" dxfId="446" priority="441" stopIfTrue="1" operator="equal">
      <formula>"Towel"</formula>
    </cfRule>
  </conditionalFormatting>
  <conditionalFormatting sqref="B18:C18 B20:C20 B22:C22">
    <cfRule type="cellIs" dxfId="445" priority="437" stopIfTrue="1" operator="equal">
      <formula>"Towel"</formula>
    </cfRule>
    <cfRule type="cellIs" dxfId="444" priority="438" stopIfTrue="1" operator="equal">
      <formula>"Napkin Hs"</formula>
    </cfRule>
  </conditionalFormatting>
  <conditionalFormatting sqref="B19:C19">
    <cfRule type="cellIs" dxfId="443" priority="433" stopIfTrue="1" operator="equal">
      <formula>"Towel"</formula>
    </cfRule>
    <cfRule type="cellIs" dxfId="442" priority="434" stopIfTrue="1" operator="equal">
      <formula>"Napkin Hs"</formula>
    </cfRule>
  </conditionalFormatting>
  <conditionalFormatting sqref="C18 C20 C22">
    <cfRule type="cellIs" dxfId="441" priority="436" stopIfTrue="1" operator="equal">
      <formula>"Napkin Hs"</formula>
    </cfRule>
  </conditionalFormatting>
  <conditionalFormatting sqref="C18:C20 C22">
    <cfRule type="cellIs" dxfId="440" priority="431" stopIfTrue="1" operator="equal">
      <formula>"Towel"</formula>
    </cfRule>
    <cfRule type="cellIs" dxfId="439" priority="432" stopIfTrue="1" operator="equal">
      <formula>"Napkin Hs"</formula>
    </cfRule>
  </conditionalFormatting>
  <conditionalFormatting sqref="C19">
    <cfRule type="cellIs" dxfId="438" priority="429" stopIfTrue="1" operator="equal">
      <formula>"Towel"</formula>
    </cfRule>
    <cfRule type="cellIs" dxfId="437" priority="430" stopIfTrue="1" operator="equal">
      <formula>"Napkin Hs"</formula>
    </cfRule>
  </conditionalFormatting>
  <conditionalFormatting sqref="C18 C20 C22">
    <cfRule type="cellIs" dxfId="436" priority="435" stopIfTrue="1" operator="equal">
      <formula>"Towel"</formula>
    </cfRule>
  </conditionalFormatting>
  <conditionalFormatting sqref="B21:C21">
    <cfRule type="cellIs" dxfId="435" priority="427" stopIfTrue="1" operator="equal">
      <formula>"Towel"</formula>
    </cfRule>
    <cfRule type="cellIs" dxfId="434" priority="428" stopIfTrue="1" operator="equal">
      <formula>"Napkin Hs"</formula>
    </cfRule>
  </conditionalFormatting>
  <conditionalFormatting sqref="C21">
    <cfRule type="cellIs" dxfId="433" priority="423" stopIfTrue="1" operator="equal">
      <formula>"Towel"</formula>
    </cfRule>
    <cfRule type="cellIs" dxfId="432" priority="424" stopIfTrue="1" operator="equal">
      <formula>"Napkin Hs"</formula>
    </cfRule>
  </conditionalFormatting>
  <conditionalFormatting sqref="C21">
    <cfRule type="cellIs" dxfId="431" priority="426" stopIfTrue="1" operator="equal">
      <formula>"Napkin Hs"</formula>
    </cfRule>
  </conditionalFormatting>
  <conditionalFormatting sqref="C21">
    <cfRule type="cellIs" dxfId="430" priority="425" stopIfTrue="1" operator="equal">
      <formula>"Towel"</formula>
    </cfRule>
  </conditionalFormatting>
  <conditionalFormatting sqref="B24:C24 B26:C26 B28:C28">
    <cfRule type="cellIs" dxfId="429" priority="421" stopIfTrue="1" operator="equal">
      <formula>"Towel"</formula>
    </cfRule>
    <cfRule type="cellIs" dxfId="428" priority="422" stopIfTrue="1" operator="equal">
      <formula>"Napkin Hs"</formula>
    </cfRule>
  </conditionalFormatting>
  <conditionalFormatting sqref="B25:C25">
    <cfRule type="cellIs" dxfId="427" priority="417" stopIfTrue="1" operator="equal">
      <formula>"Towel"</formula>
    </cfRule>
    <cfRule type="cellIs" dxfId="426" priority="418" stopIfTrue="1" operator="equal">
      <formula>"Napkin Hs"</formula>
    </cfRule>
  </conditionalFormatting>
  <conditionalFormatting sqref="C24 C26 C28">
    <cfRule type="cellIs" dxfId="425" priority="420" stopIfTrue="1" operator="equal">
      <formula>"Napkin Hs"</formula>
    </cfRule>
  </conditionalFormatting>
  <conditionalFormatting sqref="C24:C26 C28">
    <cfRule type="cellIs" dxfId="424" priority="415" stopIfTrue="1" operator="equal">
      <formula>"Towel"</formula>
    </cfRule>
    <cfRule type="cellIs" dxfId="423" priority="416" stopIfTrue="1" operator="equal">
      <formula>"Napkin Hs"</formula>
    </cfRule>
  </conditionalFormatting>
  <conditionalFormatting sqref="C25">
    <cfRule type="cellIs" dxfId="422" priority="413" stopIfTrue="1" operator="equal">
      <formula>"Towel"</formula>
    </cfRule>
    <cfRule type="cellIs" dxfId="421" priority="414" stopIfTrue="1" operator="equal">
      <formula>"Napkin Hs"</formula>
    </cfRule>
  </conditionalFormatting>
  <conditionalFormatting sqref="C24 C26 C28">
    <cfRule type="cellIs" dxfId="420" priority="419" stopIfTrue="1" operator="equal">
      <formula>"Towel"</formula>
    </cfRule>
  </conditionalFormatting>
  <conditionalFormatting sqref="B27:C27">
    <cfRule type="cellIs" dxfId="419" priority="411" stopIfTrue="1" operator="equal">
      <formula>"Towel"</formula>
    </cfRule>
    <cfRule type="cellIs" dxfId="418" priority="412" stopIfTrue="1" operator="equal">
      <formula>"Napkin Hs"</formula>
    </cfRule>
  </conditionalFormatting>
  <conditionalFormatting sqref="C27">
    <cfRule type="cellIs" dxfId="417" priority="407" stopIfTrue="1" operator="equal">
      <formula>"Towel"</formula>
    </cfRule>
    <cfRule type="cellIs" dxfId="416" priority="408" stopIfTrue="1" operator="equal">
      <formula>"Napkin Hs"</formula>
    </cfRule>
  </conditionalFormatting>
  <conditionalFormatting sqref="C27">
    <cfRule type="cellIs" dxfId="415" priority="410" stopIfTrue="1" operator="equal">
      <formula>"Napkin Hs"</formula>
    </cfRule>
  </conditionalFormatting>
  <conditionalFormatting sqref="C27">
    <cfRule type="cellIs" dxfId="414" priority="409" stopIfTrue="1" operator="equal">
      <formula>"Towel"</formula>
    </cfRule>
  </conditionalFormatting>
  <conditionalFormatting sqref="B30:C30 B32:C32 B34:C34">
    <cfRule type="cellIs" dxfId="413" priority="405" stopIfTrue="1" operator="equal">
      <formula>"Towel"</formula>
    </cfRule>
    <cfRule type="cellIs" dxfId="412" priority="406" stopIfTrue="1" operator="equal">
      <formula>"Napkin Hs"</formula>
    </cfRule>
  </conditionalFormatting>
  <conditionalFormatting sqref="B31:C31">
    <cfRule type="cellIs" dxfId="411" priority="401" stopIfTrue="1" operator="equal">
      <formula>"Towel"</formula>
    </cfRule>
    <cfRule type="cellIs" dxfId="410" priority="402" stopIfTrue="1" operator="equal">
      <formula>"Napkin Hs"</formula>
    </cfRule>
  </conditionalFormatting>
  <conditionalFormatting sqref="C30 C32 C34">
    <cfRule type="cellIs" dxfId="409" priority="404" stopIfTrue="1" operator="equal">
      <formula>"Napkin Hs"</formula>
    </cfRule>
  </conditionalFormatting>
  <conditionalFormatting sqref="C30:C32 C34">
    <cfRule type="cellIs" dxfId="408" priority="399" stopIfTrue="1" operator="equal">
      <formula>"Towel"</formula>
    </cfRule>
    <cfRule type="cellIs" dxfId="407" priority="400" stopIfTrue="1" operator="equal">
      <formula>"Napkin Hs"</formula>
    </cfRule>
  </conditionalFormatting>
  <conditionalFormatting sqref="C31">
    <cfRule type="cellIs" dxfId="406" priority="397" stopIfTrue="1" operator="equal">
      <formula>"Towel"</formula>
    </cfRule>
    <cfRule type="cellIs" dxfId="405" priority="398" stopIfTrue="1" operator="equal">
      <formula>"Napkin Hs"</formula>
    </cfRule>
  </conditionalFormatting>
  <conditionalFormatting sqref="C30 C32 C34">
    <cfRule type="cellIs" dxfId="404" priority="403" stopIfTrue="1" operator="equal">
      <formula>"Towel"</formula>
    </cfRule>
  </conditionalFormatting>
  <conditionalFormatting sqref="B33:C33">
    <cfRule type="cellIs" dxfId="403" priority="395" stopIfTrue="1" operator="equal">
      <formula>"Towel"</formula>
    </cfRule>
    <cfRule type="cellIs" dxfId="402" priority="396" stopIfTrue="1" operator="equal">
      <formula>"Napkin Hs"</formula>
    </cfRule>
  </conditionalFormatting>
  <conditionalFormatting sqref="C33">
    <cfRule type="cellIs" dxfId="401" priority="391" stopIfTrue="1" operator="equal">
      <formula>"Towel"</formula>
    </cfRule>
    <cfRule type="cellIs" dxfId="400" priority="392" stopIfTrue="1" operator="equal">
      <formula>"Napkin Hs"</formula>
    </cfRule>
  </conditionalFormatting>
  <conditionalFormatting sqref="C33">
    <cfRule type="cellIs" dxfId="399" priority="394" stopIfTrue="1" operator="equal">
      <formula>"Napkin Hs"</formula>
    </cfRule>
  </conditionalFormatting>
  <conditionalFormatting sqref="C33">
    <cfRule type="cellIs" dxfId="398" priority="393" stopIfTrue="1" operator="equal">
      <formula>"Towel"</formula>
    </cfRule>
  </conditionalFormatting>
  <conditionalFormatting sqref="B36:C36 B38:C38 B40:C40">
    <cfRule type="cellIs" dxfId="397" priority="389" stopIfTrue="1" operator="equal">
      <formula>"Towel"</formula>
    </cfRule>
    <cfRule type="cellIs" dxfId="396" priority="390" stopIfTrue="1" operator="equal">
      <formula>"Napkin Hs"</formula>
    </cfRule>
  </conditionalFormatting>
  <conditionalFormatting sqref="B37:C37">
    <cfRule type="cellIs" dxfId="395" priority="385" stopIfTrue="1" operator="equal">
      <formula>"Towel"</formula>
    </cfRule>
    <cfRule type="cellIs" dxfId="394" priority="386" stopIfTrue="1" operator="equal">
      <formula>"Napkin Hs"</formula>
    </cfRule>
  </conditionalFormatting>
  <conditionalFormatting sqref="C36 C38 C40">
    <cfRule type="cellIs" dxfId="393" priority="388" stopIfTrue="1" operator="equal">
      <formula>"Napkin Hs"</formula>
    </cfRule>
  </conditionalFormatting>
  <conditionalFormatting sqref="C36:C38 C40">
    <cfRule type="cellIs" dxfId="392" priority="383" stopIfTrue="1" operator="equal">
      <formula>"Towel"</formula>
    </cfRule>
    <cfRule type="cellIs" dxfId="391" priority="384" stopIfTrue="1" operator="equal">
      <formula>"Napkin Hs"</formula>
    </cfRule>
  </conditionalFormatting>
  <conditionalFormatting sqref="C37">
    <cfRule type="cellIs" dxfId="390" priority="381" stopIfTrue="1" operator="equal">
      <formula>"Towel"</formula>
    </cfRule>
    <cfRule type="cellIs" dxfId="389" priority="382" stopIfTrue="1" operator="equal">
      <formula>"Napkin Hs"</formula>
    </cfRule>
  </conditionalFormatting>
  <conditionalFormatting sqref="C36 C38 C40">
    <cfRule type="cellIs" dxfId="388" priority="387" stopIfTrue="1" operator="equal">
      <formula>"Towel"</formula>
    </cfRule>
  </conditionalFormatting>
  <conditionalFormatting sqref="B39:C39">
    <cfRule type="cellIs" dxfId="387" priority="379" stopIfTrue="1" operator="equal">
      <formula>"Towel"</formula>
    </cfRule>
    <cfRule type="cellIs" dxfId="386" priority="380" stopIfTrue="1" operator="equal">
      <formula>"Napkin Hs"</formula>
    </cfRule>
  </conditionalFormatting>
  <conditionalFormatting sqref="C39">
    <cfRule type="cellIs" dxfId="385" priority="375" stopIfTrue="1" operator="equal">
      <formula>"Towel"</formula>
    </cfRule>
    <cfRule type="cellIs" dxfId="384" priority="376" stopIfTrue="1" operator="equal">
      <formula>"Napkin Hs"</formula>
    </cfRule>
  </conditionalFormatting>
  <conditionalFormatting sqref="C39">
    <cfRule type="cellIs" dxfId="383" priority="378" stopIfTrue="1" operator="equal">
      <formula>"Napkin Hs"</formula>
    </cfRule>
  </conditionalFormatting>
  <conditionalFormatting sqref="C39">
    <cfRule type="cellIs" dxfId="382" priority="377" stopIfTrue="1" operator="equal">
      <formula>"Towel"</formula>
    </cfRule>
  </conditionalFormatting>
  <conditionalFormatting sqref="B42:C42 B44:C44 B46:C46">
    <cfRule type="cellIs" dxfId="381" priority="373" stopIfTrue="1" operator="equal">
      <formula>"Towel"</formula>
    </cfRule>
    <cfRule type="cellIs" dxfId="380" priority="374" stopIfTrue="1" operator="equal">
      <formula>"Napkin Hs"</formula>
    </cfRule>
  </conditionalFormatting>
  <conditionalFormatting sqref="B43:C43">
    <cfRule type="cellIs" dxfId="379" priority="369" stopIfTrue="1" operator="equal">
      <formula>"Towel"</formula>
    </cfRule>
    <cfRule type="cellIs" dxfId="378" priority="370" stopIfTrue="1" operator="equal">
      <formula>"Napkin Hs"</formula>
    </cfRule>
  </conditionalFormatting>
  <conditionalFormatting sqref="C42 C44 C46">
    <cfRule type="cellIs" dxfId="377" priority="372" stopIfTrue="1" operator="equal">
      <formula>"Napkin Hs"</formula>
    </cfRule>
  </conditionalFormatting>
  <conditionalFormatting sqref="C42:C44 C46">
    <cfRule type="cellIs" dxfId="376" priority="367" stopIfTrue="1" operator="equal">
      <formula>"Towel"</formula>
    </cfRule>
    <cfRule type="cellIs" dxfId="375" priority="368" stopIfTrue="1" operator="equal">
      <formula>"Napkin Hs"</formula>
    </cfRule>
  </conditionalFormatting>
  <conditionalFormatting sqref="C43">
    <cfRule type="cellIs" dxfId="374" priority="365" stopIfTrue="1" operator="equal">
      <formula>"Towel"</formula>
    </cfRule>
    <cfRule type="cellIs" dxfId="373" priority="366" stopIfTrue="1" operator="equal">
      <formula>"Napkin Hs"</formula>
    </cfRule>
  </conditionalFormatting>
  <conditionalFormatting sqref="C42 C44 C46">
    <cfRule type="cellIs" dxfId="372" priority="371" stopIfTrue="1" operator="equal">
      <formula>"Towel"</formula>
    </cfRule>
  </conditionalFormatting>
  <conditionalFormatting sqref="B45:C45">
    <cfRule type="cellIs" dxfId="371" priority="363" stopIfTrue="1" operator="equal">
      <formula>"Towel"</formula>
    </cfRule>
    <cfRule type="cellIs" dxfId="370" priority="364" stopIfTrue="1" operator="equal">
      <formula>"Napkin Hs"</formula>
    </cfRule>
  </conditionalFormatting>
  <conditionalFormatting sqref="C45">
    <cfRule type="cellIs" dxfId="369" priority="359" stopIfTrue="1" operator="equal">
      <formula>"Towel"</formula>
    </cfRule>
    <cfRule type="cellIs" dxfId="368" priority="360" stopIfTrue="1" operator="equal">
      <formula>"Napkin Hs"</formula>
    </cfRule>
  </conditionalFormatting>
  <conditionalFormatting sqref="C45">
    <cfRule type="cellIs" dxfId="367" priority="362" stopIfTrue="1" operator="equal">
      <formula>"Napkin Hs"</formula>
    </cfRule>
  </conditionalFormatting>
  <conditionalFormatting sqref="C45">
    <cfRule type="cellIs" dxfId="366" priority="361" stopIfTrue="1" operator="equal">
      <formula>"Towel"</formula>
    </cfRule>
  </conditionalFormatting>
  <conditionalFormatting sqref="B48:C48 B50:C50 B52:C52">
    <cfRule type="cellIs" dxfId="365" priority="357" stopIfTrue="1" operator="equal">
      <formula>"Towel"</formula>
    </cfRule>
    <cfRule type="cellIs" dxfId="364" priority="358" stopIfTrue="1" operator="equal">
      <formula>"Napkin Hs"</formula>
    </cfRule>
  </conditionalFormatting>
  <conditionalFormatting sqref="B49:C49">
    <cfRule type="cellIs" dxfId="363" priority="353" stopIfTrue="1" operator="equal">
      <formula>"Towel"</formula>
    </cfRule>
    <cfRule type="cellIs" dxfId="362" priority="354" stopIfTrue="1" operator="equal">
      <formula>"Napkin Hs"</formula>
    </cfRule>
  </conditionalFormatting>
  <conditionalFormatting sqref="C48 C50 C52">
    <cfRule type="cellIs" dxfId="361" priority="356" stopIfTrue="1" operator="equal">
      <formula>"Napkin Hs"</formula>
    </cfRule>
  </conditionalFormatting>
  <conditionalFormatting sqref="C48:C50 C52">
    <cfRule type="cellIs" dxfId="360" priority="351" stopIfTrue="1" operator="equal">
      <formula>"Towel"</formula>
    </cfRule>
    <cfRule type="cellIs" dxfId="359" priority="352" stopIfTrue="1" operator="equal">
      <formula>"Napkin Hs"</formula>
    </cfRule>
  </conditionalFormatting>
  <conditionalFormatting sqref="C49">
    <cfRule type="cellIs" dxfId="358" priority="349" stopIfTrue="1" operator="equal">
      <formula>"Towel"</formula>
    </cfRule>
    <cfRule type="cellIs" dxfId="357" priority="350" stopIfTrue="1" operator="equal">
      <formula>"Napkin Hs"</formula>
    </cfRule>
  </conditionalFormatting>
  <conditionalFormatting sqref="C48 C50 C52">
    <cfRule type="cellIs" dxfId="356" priority="355" stopIfTrue="1" operator="equal">
      <formula>"Towel"</formula>
    </cfRule>
  </conditionalFormatting>
  <conditionalFormatting sqref="B51:C51">
    <cfRule type="cellIs" dxfId="355" priority="347" stopIfTrue="1" operator="equal">
      <formula>"Towel"</formula>
    </cfRule>
    <cfRule type="cellIs" dxfId="354" priority="348" stopIfTrue="1" operator="equal">
      <formula>"Napkin Hs"</formula>
    </cfRule>
  </conditionalFormatting>
  <conditionalFormatting sqref="C51">
    <cfRule type="cellIs" dxfId="353" priority="343" stopIfTrue="1" operator="equal">
      <formula>"Towel"</formula>
    </cfRule>
    <cfRule type="cellIs" dxfId="352" priority="344" stopIfTrue="1" operator="equal">
      <formula>"Napkin Hs"</formula>
    </cfRule>
  </conditionalFormatting>
  <conditionalFormatting sqref="C51">
    <cfRule type="cellIs" dxfId="351" priority="346" stopIfTrue="1" operator="equal">
      <formula>"Napkin Hs"</formula>
    </cfRule>
  </conditionalFormatting>
  <conditionalFormatting sqref="C51">
    <cfRule type="cellIs" dxfId="350" priority="345" stopIfTrue="1" operator="equal">
      <formula>"Towel"</formula>
    </cfRule>
  </conditionalFormatting>
  <conditionalFormatting sqref="B54:C54 B56:C56 B58:C58">
    <cfRule type="cellIs" dxfId="349" priority="341" stopIfTrue="1" operator="equal">
      <formula>"Towel"</formula>
    </cfRule>
    <cfRule type="cellIs" dxfId="348" priority="342" stopIfTrue="1" operator="equal">
      <formula>"Napkin Hs"</formula>
    </cfRule>
  </conditionalFormatting>
  <conditionalFormatting sqref="B55:C55">
    <cfRule type="cellIs" dxfId="347" priority="337" stopIfTrue="1" operator="equal">
      <formula>"Towel"</formula>
    </cfRule>
    <cfRule type="cellIs" dxfId="346" priority="338" stopIfTrue="1" operator="equal">
      <formula>"Napkin Hs"</formula>
    </cfRule>
  </conditionalFormatting>
  <conditionalFormatting sqref="C54 C56 C58">
    <cfRule type="cellIs" dxfId="345" priority="340" stopIfTrue="1" operator="equal">
      <formula>"Napkin Hs"</formula>
    </cfRule>
  </conditionalFormatting>
  <conditionalFormatting sqref="C54:C56 C58">
    <cfRule type="cellIs" dxfId="344" priority="335" stopIfTrue="1" operator="equal">
      <formula>"Towel"</formula>
    </cfRule>
    <cfRule type="cellIs" dxfId="343" priority="336" stopIfTrue="1" operator="equal">
      <formula>"Napkin Hs"</formula>
    </cfRule>
  </conditionalFormatting>
  <conditionalFormatting sqref="C55">
    <cfRule type="cellIs" dxfId="342" priority="333" stopIfTrue="1" operator="equal">
      <formula>"Towel"</formula>
    </cfRule>
    <cfRule type="cellIs" dxfId="341" priority="334" stopIfTrue="1" operator="equal">
      <formula>"Napkin Hs"</formula>
    </cfRule>
  </conditionalFormatting>
  <conditionalFormatting sqref="C54 C56 C58">
    <cfRule type="cellIs" dxfId="340" priority="339" stopIfTrue="1" operator="equal">
      <formula>"Towel"</formula>
    </cfRule>
  </conditionalFormatting>
  <conditionalFormatting sqref="B57:C57">
    <cfRule type="cellIs" dxfId="339" priority="331" stopIfTrue="1" operator="equal">
      <formula>"Towel"</formula>
    </cfRule>
    <cfRule type="cellIs" dxfId="338" priority="332" stopIfTrue="1" operator="equal">
      <formula>"Napkin Hs"</formula>
    </cfRule>
  </conditionalFormatting>
  <conditionalFormatting sqref="C57">
    <cfRule type="cellIs" dxfId="337" priority="327" stopIfTrue="1" operator="equal">
      <formula>"Towel"</formula>
    </cfRule>
    <cfRule type="cellIs" dxfId="336" priority="328" stopIfTrue="1" operator="equal">
      <formula>"Napkin Hs"</formula>
    </cfRule>
  </conditionalFormatting>
  <conditionalFormatting sqref="C57">
    <cfRule type="cellIs" dxfId="335" priority="330" stopIfTrue="1" operator="equal">
      <formula>"Napkin Hs"</formula>
    </cfRule>
  </conditionalFormatting>
  <conditionalFormatting sqref="C57">
    <cfRule type="cellIs" dxfId="334" priority="329" stopIfTrue="1" operator="equal">
      <formula>"Towel"</formula>
    </cfRule>
  </conditionalFormatting>
  <conditionalFormatting sqref="B60:C60 B62:C62 B64:C64">
    <cfRule type="cellIs" dxfId="333" priority="325" stopIfTrue="1" operator="equal">
      <formula>"Towel"</formula>
    </cfRule>
    <cfRule type="cellIs" dxfId="332" priority="326" stopIfTrue="1" operator="equal">
      <formula>"Napkin Hs"</formula>
    </cfRule>
  </conditionalFormatting>
  <conditionalFormatting sqref="B61:C61">
    <cfRule type="cellIs" dxfId="331" priority="321" stopIfTrue="1" operator="equal">
      <formula>"Towel"</formula>
    </cfRule>
    <cfRule type="cellIs" dxfId="330" priority="322" stopIfTrue="1" operator="equal">
      <formula>"Napkin Hs"</formula>
    </cfRule>
  </conditionalFormatting>
  <conditionalFormatting sqref="C60 C62 C64">
    <cfRule type="cellIs" dxfId="329" priority="324" stopIfTrue="1" operator="equal">
      <formula>"Napkin Hs"</formula>
    </cfRule>
  </conditionalFormatting>
  <conditionalFormatting sqref="C60:C62 C64">
    <cfRule type="cellIs" dxfId="328" priority="319" stopIfTrue="1" operator="equal">
      <formula>"Towel"</formula>
    </cfRule>
    <cfRule type="cellIs" dxfId="327" priority="320" stopIfTrue="1" operator="equal">
      <formula>"Napkin Hs"</formula>
    </cfRule>
  </conditionalFormatting>
  <conditionalFormatting sqref="C61">
    <cfRule type="cellIs" dxfId="326" priority="317" stopIfTrue="1" operator="equal">
      <formula>"Towel"</formula>
    </cfRule>
    <cfRule type="cellIs" dxfId="325" priority="318" stopIfTrue="1" operator="equal">
      <formula>"Napkin Hs"</formula>
    </cfRule>
  </conditionalFormatting>
  <conditionalFormatting sqref="C60 C62 C64">
    <cfRule type="cellIs" dxfId="324" priority="323" stopIfTrue="1" operator="equal">
      <formula>"Towel"</formula>
    </cfRule>
  </conditionalFormatting>
  <conditionalFormatting sqref="B63:C63">
    <cfRule type="cellIs" dxfId="323" priority="315" stopIfTrue="1" operator="equal">
      <formula>"Towel"</formula>
    </cfRule>
    <cfRule type="cellIs" dxfId="322" priority="316" stopIfTrue="1" operator="equal">
      <formula>"Napkin Hs"</formula>
    </cfRule>
  </conditionalFormatting>
  <conditionalFormatting sqref="C63">
    <cfRule type="cellIs" dxfId="321" priority="311" stopIfTrue="1" operator="equal">
      <formula>"Towel"</formula>
    </cfRule>
    <cfRule type="cellIs" dxfId="320" priority="312" stopIfTrue="1" operator="equal">
      <formula>"Napkin Hs"</formula>
    </cfRule>
  </conditionalFormatting>
  <conditionalFormatting sqref="C63">
    <cfRule type="cellIs" dxfId="319" priority="314" stopIfTrue="1" operator="equal">
      <formula>"Napkin Hs"</formula>
    </cfRule>
  </conditionalFormatting>
  <conditionalFormatting sqref="C63">
    <cfRule type="cellIs" dxfId="318" priority="313" stopIfTrue="1" operator="equal">
      <formula>"Towel"</formula>
    </cfRule>
  </conditionalFormatting>
  <conditionalFormatting sqref="B66:C66 B68:C68 B70:C70">
    <cfRule type="cellIs" dxfId="317" priority="309" stopIfTrue="1" operator="equal">
      <formula>"Towel"</formula>
    </cfRule>
    <cfRule type="cellIs" dxfId="316" priority="310" stopIfTrue="1" operator="equal">
      <formula>"Napkin Hs"</formula>
    </cfRule>
  </conditionalFormatting>
  <conditionalFormatting sqref="B67:C67">
    <cfRule type="cellIs" dxfId="315" priority="305" stopIfTrue="1" operator="equal">
      <formula>"Towel"</formula>
    </cfRule>
    <cfRule type="cellIs" dxfId="314" priority="306" stopIfTrue="1" operator="equal">
      <formula>"Napkin Hs"</formula>
    </cfRule>
  </conditionalFormatting>
  <conditionalFormatting sqref="C66 C68 C70">
    <cfRule type="cellIs" dxfId="313" priority="308" stopIfTrue="1" operator="equal">
      <formula>"Napkin Hs"</formula>
    </cfRule>
  </conditionalFormatting>
  <conditionalFormatting sqref="C66:C68 C70">
    <cfRule type="cellIs" dxfId="312" priority="303" stopIfTrue="1" operator="equal">
      <formula>"Towel"</formula>
    </cfRule>
    <cfRule type="cellIs" dxfId="311" priority="304" stopIfTrue="1" operator="equal">
      <formula>"Napkin Hs"</formula>
    </cfRule>
  </conditionalFormatting>
  <conditionalFormatting sqref="C67">
    <cfRule type="cellIs" dxfId="310" priority="301" stopIfTrue="1" operator="equal">
      <formula>"Towel"</formula>
    </cfRule>
    <cfRule type="cellIs" dxfId="309" priority="302" stopIfTrue="1" operator="equal">
      <formula>"Napkin Hs"</formula>
    </cfRule>
  </conditionalFormatting>
  <conditionalFormatting sqref="C66 C68 C70">
    <cfRule type="cellIs" dxfId="308" priority="307" stopIfTrue="1" operator="equal">
      <formula>"Towel"</formula>
    </cfRule>
  </conditionalFormatting>
  <conditionalFormatting sqref="B69:C69">
    <cfRule type="cellIs" dxfId="307" priority="299" stopIfTrue="1" operator="equal">
      <formula>"Towel"</formula>
    </cfRule>
    <cfRule type="cellIs" dxfId="306" priority="300" stopIfTrue="1" operator="equal">
      <formula>"Napkin Hs"</formula>
    </cfRule>
  </conditionalFormatting>
  <conditionalFormatting sqref="C69">
    <cfRule type="cellIs" dxfId="305" priority="295" stopIfTrue="1" operator="equal">
      <formula>"Towel"</formula>
    </cfRule>
    <cfRule type="cellIs" dxfId="304" priority="296" stopIfTrue="1" operator="equal">
      <formula>"Napkin Hs"</formula>
    </cfRule>
  </conditionalFormatting>
  <conditionalFormatting sqref="C69">
    <cfRule type="cellIs" dxfId="303" priority="298" stopIfTrue="1" operator="equal">
      <formula>"Napkin Hs"</formula>
    </cfRule>
  </conditionalFormatting>
  <conditionalFormatting sqref="C69">
    <cfRule type="cellIs" dxfId="302" priority="297" stopIfTrue="1" operator="equal">
      <formula>"Towel"</formula>
    </cfRule>
  </conditionalFormatting>
  <conditionalFormatting sqref="B72:C72 B74:C74 B76:C76">
    <cfRule type="cellIs" dxfId="301" priority="293" stopIfTrue="1" operator="equal">
      <formula>"Towel"</formula>
    </cfRule>
    <cfRule type="cellIs" dxfId="300" priority="294" stopIfTrue="1" operator="equal">
      <formula>"Napkin Hs"</formula>
    </cfRule>
  </conditionalFormatting>
  <conditionalFormatting sqref="B73:C73">
    <cfRule type="cellIs" dxfId="299" priority="289" stopIfTrue="1" operator="equal">
      <formula>"Towel"</formula>
    </cfRule>
    <cfRule type="cellIs" dxfId="298" priority="290" stopIfTrue="1" operator="equal">
      <formula>"Napkin Hs"</formula>
    </cfRule>
  </conditionalFormatting>
  <conditionalFormatting sqref="C72 C74 C76">
    <cfRule type="cellIs" dxfId="297" priority="292" stopIfTrue="1" operator="equal">
      <formula>"Napkin Hs"</formula>
    </cfRule>
  </conditionalFormatting>
  <conditionalFormatting sqref="C72:C74 C76">
    <cfRule type="cellIs" dxfId="296" priority="287" stopIfTrue="1" operator="equal">
      <formula>"Towel"</formula>
    </cfRule>
    <cfRule type="cellIs" dxfId="295" priority="288" stopIfTrue="1" operator="equal">
      <formula>"Napkin Hs"</formula>
    </cfRule>
  </conditionalFormatting>
  <conditionalFormatting sqref="C73">
    <cfRule type="cellIs" dxfId="294" priority="285" stopIfTrue="1" operator="equal">
      <formula>"Towel"</formula>
    </cfRule>
    <cfRule type="cellIs" dxfId="293" priority="286" stopIfTrue="1" operator="equal">
      <formula>"Napkin Hs"</formula>
    </cfRule>
  </conditionalFormatting>
  <conditionalFormatting sqref="C72 C74 C76">
    <cfRule type="cellIs" dxfId="292" priority="291" stopIfTrue="1" operator="equal">
      <formula>"Towel"</formula>
    </cfRule>
  </conditionalFormatting>
  <conditionalFormatting sqref="B75:C75">
    <cfRule type="cellIs" dxfId="291" priority="283" stopIfTrue="1" operator="equal">
      <formula>"Towel"</formula>
    </cfRule>
    <cfRule type="cellIs" dxfId="290" priority="284" stopIfTrue="1" operator="equal">
      <formula>"Napkin Hs"</formula>
    </cfRule>
  </conditionalFormatting>
  <conditionalFormatting sqref="C75">
    <cfRule type="cellIs" dxfId="289" priority="279" stopIfTrue="1" operator="equal">
      <formula>"Towel"</formula>
    </cfRule>
    <cfRule type="cellIs" dxfId="288" priority="280" stopIfTrue="1" operator="equal">
      <formula>"Napkin Hs"</formula>
    </cfRule>
  </conditionalFormatting>
  <conditionalFormatting sqref="C75">
    <cfRule type="cellIs" dxfId="287" priority="282" stopIfTrue="1" operator="equal">
      <formula>"Napkin Hs"</formula>
    </cfRule>
  </conditionalFormatting>
  <conditionalFormatting sqref="C75">
    <cfRule type="cellIs" dxfId="286" priority="281" stopIfTrue="1" operator="equal">
      <formula>"Towel"</formula>
    </cfRule>
  </conditionalFormatting>
  <conditionalFormatting sqref="B78:C78 B80:C80 B82:C82">
    <cfRule type="cellIs" dxfId="285" priority="277" stopIfTrue="1" operator="equal">
      <formula>"Towel"</formula>
    </cfRule>
    <cfRule type="cellIs" dxfId="284" priority="278" stopIfTrue="1" operator="equal">
      <formula>"Napkin Hs"</formula>
    </cfRule>
  </conditionalFormatting>
  <conditionalFormatting sqref="B79:C79">
    <cfRule type="cellIs" dxfId="283" priority="273" stopIfTrue="1" operator="equal">
      <formula>"Towel"</formula>
    </cfRule>
    <cfRule type="cellIs" dxfId="282" priority="274" stopIfTrue="1" operator="equal">
      <formula>"Napkin Hs"</formula>
    </cfRule>
  </conditionalFormatting>
  <conditionalFormatting sqref="C78 C80 C82">
    <cfRule type="cellIs" dxfId="281" priority="276" stopIfTrue="1" operator="equal">
      <formula>"Napkin Hs"</formula>
    </cfRule>
  </conditionalFormatting>
  <conditionalFormatting sqref="C78:C80 C82">
    <cfRule type="cellIs" dxfId="280" priority="271" stopIfTrue="1" operator="equal">
      <formula>"Towel"</formula>
    </cfRule>
    <cfRule type="cellIs" dxfId="279" priority="272" stopIfTrue="1" operator="equal">
      <formula>"Napkin Hs"</formula>
    </cfRule>
  </conditionalFormatting>
  <conditionalFormatting sqref="C79">
    <cfRule type="cellIs" dxfId="278" priority="269" stopIfTrue="1" operator="equal">
      <formula>"Towel"</formula>
    </cfRule>
    <cfRule type="cellIs" dxfId="277" priority="270" stopIfTrue="1" operator="equal">
      <formula>"Napkin Hs"</formula>
    </cfRule>
  </conditionalFormatting>
  <conditionalFormatting sqref="C78 C80 C82">
    <cfRule type="cellIs" dxfId="276" priority="275" stopIfTrue="1" operator="equal">
      <formula>"Towel"</formula>
    </cfRule>
  </conditionalFormatting>
  <conditionalFormatting sqref="B81:C81">
    <cfRule type="cellIs" dxfId="275" priority="267" stopIfTrue="1" operator="equal">
      <formula>"Towel"</formula>
    </cfRule>
    <cfRule type="cellIs" dxfId="274" priority="268" stopIfTrue="1" operator="equal">
      <formula>"Napkin Hs"</formula>
    </cfRule>
  </conditionalFormatting>
  <conditionalFormatting sqref="C81">
    <cfRule type="cellIs" dxfId="273" priority="263" stopIfTrue="1" operator="equal">
      <formula>"Towel"</formula>
    </cfRule>
    <cfRule type="cellIs" dxfId="272" priority="264" stopIfTrue="1" operator="equal">
      <formula>"Napkin Hs"</formula>
    </cfRule>
  </conditionalFormatting>
  <conditionalFormatting sqref="C81">
    <cfRule type="cellIs" dxfId="271" priority="266" stopIfTrue="1" operator="equal">
      <formula>"Napkin Hs"</formula>
    </cfRule>
  </conditionalFormatting>
  <conditionalFormatting sqref="C81">
    <cfRule type="cellIs" dxfId="270" priority="265" stopIfTrue="1" operator="equal">
      <formula>"Towel"</formula>
    </cfRule>
  </conditionalFormatting>
  <conditionalFormatting sqref="B84:C84 B86:C86 B88:C88">
    <cfRule type="cellIs" dxfId="269" priority="261" stopIfTrue="1" operator="equal">
      <formula>"Towel"</formula>
    </cfRule>
    <cfRule type="cellIs" dxfId="268" priority="262" stopIfTrue="1" operator="equal">
      <formula>"Napkin Hs"</formula>
    </cfRule>
  </conditionalFormatting>
  <conditionalFormatting sqref="B85:C85">
    <cfRule type="cellIs" dxfId="267" priority="257" stopIfTrue="1" operator="equal">
      <formula>"Towel"</formula>
    </cfRule>
    <cfRule type="cellIs" dxfId="266" priority="258" stopIfTrue="1" operator="equal">
      <formula>"Napkin Hs"</formula>
    </cfRule>
  </conditionalFormatting>
  <conditionalFormatting sqref="C84 C86 C88">
    <cfRule type="cellIs" dxfId="265" priority="260" stopIfTrue="1" operator="equal">
      <formula>"Napkin Hs"</formula>
    </cfRule>
  </conditionalFormatting>
  <conditionalFormatting sqref="C84:C86 C88">
    <cfRule type="cellIs" dxfId="264" priority="255" stopIfTrue="1" operator="equal">
      <formula>"Towel"</formula>
    </cfRule>
    <cfRule type="cellIs" dxfId="263" priority="256" stopIfTrue="1" operator="equal">
      <formula>"Napkin Hs"</formula>
    </cfRule>
  </conditionalFormatting>
  <conditionalFormatting sqref="C85">
    <cfRule type="cellIs" dxfId="262" priority="253" stopIfTrue="1" operator="equal">
      <formula>"Towel"</formula>
    </cfRule>
    <cfRule type="cellIs" dxfId="261" priority="254" stopIfTrue="1" operator="equal">
      <formula>"Napkin Hs"</formula>
    </cfRule>
  </conditionalFormatting>
  <conditionalFormatting sqref="C84 C86 C88">
    <cfRule type="cellIs" dxfId="260" priority="259" stopIfTrue="1" operator="equal">
      <formula>"Towel"</formula>
    </cfRule>
  </conditionalFormatting>
  <conditionalFormatting sqref="B87:C87">
    <cfRule type="cellIs" dxfId="259" priority="251" stopIfTrue="1" operator="equal">
      <formula>"Towel"</formula>
    </cfRule>
    <cfRule type="cellIs" dxfId="258" priority="252" stopIfTrue="1" operator="equal">
      <formula>"Napkin Hs"</formula>
    </cfRule>
  </conditionalFormatting>
  <conditionalFormatting sqref="C87">
    <cfRule type="cellIs" dxfId="257" priority="247" stopIfTrue="1" operator="equal">
      <formula>"Towel"</formula>
    </cfRule>
    <cfRule type="cellIs" dxfId="256" priority="248" stopIfTrue="1" operator="equal">
      <formula>"Napkin Hs"</formula>
    </cfRule>
  </conditionalFormatting>
  <conditionalFormatting sqref="C87">
    <cfRule type="cellIs" dxfId="255" priority="250" stopIfTrue="1" operator="equal">
      <formula>"Napkin Hs"</formula>
    </cfRule>
  </conditionalFormatting>
  <conditionalFormatting sqref="C87">
    <cfRule type="cellIs" dxfId="254" priority="249" stopIfTrue="1" operator="equal">
      <formula>"Towel"</formula>
    </cfRule>
  </conditionalFormatting>
  <conditionalFormatting sqref="B90:C90 B92:C92 B94:C94">
    <cfRule type="cellIs" dxfId="253" priority="245" stopIfTrue="1" operator="equal">
      <formula>"Towel"</formula>
    </cfRule>
    <cfRule type="cellIs" dxfId="252" priority="246" stopIfTrue="1" operator="equal">
      <formula>"Napkin Hs"</formula>
    </cfRule>
  </conditionalFormatting>
  <conditionalFormatting sqref="B91:C91">
    <cfRule type="cellIs" dxfId="251" priority="241" stopIfTrue="1" operator="equal">
      <formula>"Towel"</formula>
    </cfRule>
    <cfRule type="cellIs" dxfId="250" priority="242" stopIfTrue="1" operator="equal">
      <formula>"Napkin Hs"</formula>
    </cfRule>
  </conditionalFormatting>
  <conditionalFormatting sqref="C90 C92 C94">
    <cfRule type="cellIs" dxfId="249" priority="244" stopIfTrue="1" operator="equal">
      <formula>"Napkin Hs"</formula>
    </cfRule>
  </conditionalFormatting>
  <conditionalFormatting sqref="C90:C92 C94">
    <cfRule type="cellIs" dxfId="248" priority="239" stopIfTrue="1" operator="equal">
      <formula>"Towel"</formula>
    </cfRule>
    <cfRule type="cellIs" dxfId="247" priority="240" stopIfTrue="1" operator="equal">
      <formula>"Napkin Hs"</formula>
    </cfRule>
  </conditionalFormatting>
  <conditionalFormatting sqref="C91">
    <cfRule type="cellIs" dxfId="246" priority="237" stopIfTrue="1" operator="equal">
      <formula>"Towel"</formula>
    </cfRule>
    <cfRule type="cellIs" dxfId="245" priority="238" stopIfTrue="1" operator="equal">
      <formula>"Napkin Hs"</formula>
    </cfRule>
  </conditionalFormatting>
  <conditionalFormatting sqref="C90 C92 C94">
    <cfRule type="cellIs" dxfId="244" priority="243" stopIfTrue="1" operator="equal">
      <formula>"Towel"</formula>
    </cfRule>
  </conditionalFormatting>
  <conditionalFormatting sqref="B93:C93">
    <cfRule type="cellIs" dxfId="243" priority="235" stopIfTrue="1" operator="equal">
      <formula>"Towel"</formula>
    </cfRule>
    <cfRule type="cellIs" dxfId="242" priority="236" stopIfTrue="1" operator="equal">
      <formula>"Napkin Hs"</formula>
    </cfRule>
  </conditionalFormatting>
  <conditionalFormatting sqref="C93">
    <cfRule type="cellIs" dxfId="241" priority="231" stopIfTrue="1" operator="equal">
      <formula>"Towel"</formula>
    </cfRule>
    <cfRule type="cellIs" dxfId="240" priority="232" stopIfTrue="1" operator="equal">
      <formula>"Napkin Hs"</formula>
    </cfRule>
  </conditionalFormatting>
  <conditionalFormatting sqref="C93">
    <cfRule type="cellIs" dxfId="239" priority="234" stopIfTrue="1" operator="equal">
      <formula>"Napkin Hs"</formula>
    </cfRule>
  </conditionalFormatting>
  <conditionalFormatting sqref="C93">
    <cfRule type="cellIs" dxfId="238" priority="233" stopIfTrue="1" operator="equal">
      <formula>"Towel"</formula>
    </cfRule>
  </conditionalFormatting>
  <conditionalFormatting sqref="B96:C96 B98:C98 B100:C100">
    <cfRule type="cellIs" dxfId="237" priority="229" stopIfTrue="1" operator="equal">
      <formula>"Towel"</formula>
    </cfRule>
    <cfRule type="cellIs" dxfId="236" priority="230" stopIfTrue="1" operator="equal">
      <formula>"Napkin Hs"</formula>
    </cfRule>
  </conditionalFormatting>
  <conditionalFormatting sqref="B97:C97">
    <cfRule type="cellIs" dxfId="235" priority="225" stopIfTrue="1" operator="equal">
      <formula>"Towel"</formula>
    </cfRule>
    <cfRule type="cellIs" dxfId="234" priority="226" stopIfTrue="1" operator="equal">
      <formula>"Napkin Hs"</formula>
    </cfRule>
  </conditionalFormatting>
  <conditionalFormatting sqref="C96 C98 C100">
    <cfRule type="cellIs" dxfId="233" priority="228" stopIfTrue="1" operator="equal">
      <formula>"Napkin Hs"</formula>
    </cfRule>
  </conditionalFormatting>
  <conditionalFormatting sqref="C96:C98 C100">
    <cfRule type="cellIs" dxfId="232" priority="223" stopIfTrue="1" operator="equal">
      <formula>"Towel"</formula>
    </cfRule>
    <cfRule type="cellIs" dxfId="231" priority="224" stopIfTrue="1" operator="equal">
      <formula>"Napkin Hs"</formula>
    </cfRule>
  </conditionalFormatting>
  <conditionalFormatting sqref="C97">
    <cfRule type="cellIs" dxfId="230" priority="221" stopIfTrue="1" operator="equal">
      <formula>"Towel"</formula>
    </cfRule>
    <cfRule type="cellIs" dxfId="229" priority="222" stopIfTrue="1" operator="equal">
      <formula>"Napkin Hs"</formula>
    </cfRule>
  </conditionalFormatting>
  <conditionalFormatting sqref="C96 C98 C100">
    <cfRule type="cellIs" dxfId="228" priority="227" stopIfTrue="1" operator="equal">
      <formula>"Towel"</formula>
    </cfRule>
  </conditionalFormatting>
  <conditionalFormatting sqref="B99:C99">
    <cfRule type="cellIs" dxfId="227" priority="219" stopIfTrue="1" operator="equal">
      <formula>"Towel"</formula>
    </cfRule>
    <cfRule type="cellIs" dxfId="226" priority="220" stopIfTrue="1" operator="equal">
      <formula>"Napkin Hs"</formula>
    </cfRule>
  </conditionalFormatting>
  <conditionalFormatting sqref="C99">
    <cfRule type="cellIs" dxfId="225" priority="215" stopIfTrue="1" operator="equal">
      <formula>"Towel"</formula>
    </cfRule>
    <cfRule type="cellIs" dxfId="224" priority="216" stopIfTrue="1" operator="equal">
      <formula>"Napkin Hs"</formula>
    </cfRule>
  </conditionalFormatting>
  <conditionalFormatting sqref="C99">
    <cfRule type="cellIs" dxfId="223" priority="218" stopIfTrue="1" operator="equal">
      <formula>"Napkin Hs"</formula>
    </cfRule>
  </conditionalFormatting>
  <conditionalFormatting sqref="C99">
    <cfRule type="cellIs" dxfId="222" priority="217" stopIfTrue="1" operator="equal">
      <formula>"Towel"</formula>
    </cfRule>
  </conditionalFormatting>
  <conditionalFormatting sqref="B102:C102 B104:C104">
    <cfRule type="cellIs" dxfId="221" priority="213" stopIfTrue="1" operator="equal">
      <formula>"Towel"</formula>
    </cfRule>
    <cfRule type="cellIs" dxfId="220" priority="214" stopIfTrue="1" operator="equal">
      <formula>"Napkin Hs"</formula>
    </cfRule>
  </conditionalFormatting>
  <conditionalFormatting sqref="B103:C103">
    <cfRule type="cellIs" dxfId="219" priority="209" stopIfTrue="1" operator="equal">
      <formula>"Towel"</formula>
    </cfRule>
    <cfRule type="cellIs" dxfId="218" priority="210" stopIfTrue="1" operator="equal">
      <formula>"Napkin Hs"</formula>
    </cfRule>
  </conditionalFormatting>
  <conditionalFormatting sqref="C102 C104">
    <cfRule type="cellIs" dxfId="217" priority="212" stopIfTrue="1" operator="equal">
      <formula>"Napkin Hs"</formula>
    </cfRule>
  </conditionalFormatting>
  <conditionalFormatting sqref="C102:C104">
    <cfRule type="cellIs" dxfId="216" priority="207" stopIfTrue="1" operator="equal">
      <formula>"Towel"</formula>
    </cfRule>
    <cfRule type="cellIs" dxfId="215" priority="208" stopIfTrue="1" operator="equal">
      <formula>"Napkin Hs"</formula>
    </cfRule>
  </conditionalFormatting>
  <conditionalFormatting sqref="C103">
    <cfRule type="cellIs" dxfId="214" priority="205" stopIfTrue="1" operator="equal">
      <formula>"Towel"</formula>
    </cfRule>
    <cfRule type="cellIs" dxfId="213" priority="206" stopIfTrue="1" operator="equal">
      <formula>"Napkin Hs"</formula>
    </cfRule>
  </conditionalFormatting>
  <conditionalFormatting sqref="C102 C104">
    <cfRule type="cellIs" dxfId="212" priority="211" stopIfTrue="1" operator="equal">
      <formula>"Towel"</formula>
    </cfRule>
  </conditionalFormatting>
  <conditionalFormatting sqref="B105:C105">
    <cfRule type="cellIs" dxfId="211" priority="203" stopIfTrue="1" operator="equal">
      <formula>"Towel"</formula>
    </cfRule>
    <cfRule type="cellIs" dxfId="210" priority="204" stopIfTrue="1" operator="equal">
      <formula>"Napkin Hs"</formula>
    </cfRule>
  </conditionalFormatting>
  <conditionalFormatting sqref="C105">
    <cfRule type="cellIs" dxfId="209" priority="199" stopIfTrue="1" operator="equal">
      <formula>"Towel"</formula>
    </cfRule>
    <cfRule type="cellIs" dxfId="208" priority="200" stopIfTrue="1" operator="equal">
      <formula>"Napkin Hs"</formula>
    </cfRule>
  </conditionalFormatting>
  <conditionalFormatting sqref="C105">
    <cfRule type="cellIs" dxfId="207" priority="202" stopIfTrue="1" operator="equal">
      <formula>"Napkin Hs"</formula>
    </cfRule>
  </conditionalFormatting>
  <conditionalFormatting sqref="C105">
    <cfRule type="cellIs" dxfId="206" priority="201" stopIfTrue="1" operator="equal">
      <formula>"Towel"</formula>
    </cfRule>
  </conditionalFormatting>
  <conditionalFormatting sqref="B107:C109">
    <cfRule type="cellIs" dxfId="205" priority="197" stopIfTrue="1" operator="equal">
      <formula>"Towel"</formula>
    </cfRule>
    <cfRule type="cellIs" dxfId="204" priority="198" stopIfTrue="1" operator="equal">
      <formula>"Napkin Hs"</formula>
    </cfRule>
  </conditionalFormatting>
  <conditionalFormatting sqref="C107:C109">
    <cfRule type="cellIs" dxfId="203" priority="196" stopIfTrue="1" operator="equal">
      <formula>"Napkin Hs"</formula>
    </cfRule>
  </conditionalFormatting>
  <conditionalFormatting sqref="C107:C109">
    <cfRule type="cellIs" dxfId="202" priority="193" stopIfTrue="1" operator="equal">
      <formula>"Towel"</formula>
    </cfRule>
    <cfRule type="cellIs" dxfId="201" priority="194" stopIfTrue="1" operator="equal">
      <formula>"Napkin Hs"</formula>
    </cfRule>
  </conditionalFormatting>
  <conditionalFormatting sqref="C107:C109">
    <cfRule type="cellIs" dxfId="200" priority="195" stopIfTrue="1" operator="equal">
      <formula>"Towel"</formula>
    </cfRule>
  </conditionalFormatting>
  <conditionalFormatting sqref="B110:C110">
    <cfRule type="cellIs" dxfId="199" priority="191" stopIfTrue="1" operator="equal">
      <formula>"Towel"</formula>
    </cfRule>
    <cfRule type="cellIs" dxfId="198" priority="192" stopIfTrue="1" operator="equal">
      <formula>"Napkin Hs"</formula>
    </cfRule>
  </conditionalFormatting>
  <conditionalFormatting sqref="C110">
    <cfRule type="cellIs" dxfId="197" priority="187" stopIfTrue="1" operator="equal">
      <formula>"Towel"</formula>
    </cfRule>
    <cfRule type="cellIs" dxfId="196" priority="188" stopIfTrue="1" operator="equal">
      <formula>"Napkin Hs"</formula>
    </cfRule>
  </conditionalFormatting>
  <conditionalFormatting sqref="C110">
    <cfRule type="cellIs" dxfId="195" priority="190" stopIfTrue="1" operator="equal">
      <formula>"Napkin Hs"</formula>
    </cfRule>
  </conditionalFormatting>
  <conditionalFormatting sqref="C110">
    <cfRule type="cellIs" dxfId="194" priority="189" stopIfTrue="1" operator="equal">
      <formula>"Towel"</formula>
    </cfRule>
  </conditionalFormatting>
  <conditionalFormatting sqref="B112:C114">
    <cfRule type="cellIs" dxfId="193" priority="185" stopIfTrue="1" operator="equal">
      <formula>"Towel"</formula>
    </cfRule>
    <cfRule type="cellIs" dxfId="192" priority="186" stopIfTrue="1" operator="equal">
      <formula>"Napkin Hs"</formula>
    </cfRule>
  </conditionalFormatting>
  <conditionalFormatting sqref="C112:C114">
    <cfRule type="cellIs" dxfId="191" priority="184" stopIfTrue="1" operator="equal">
      <formula>"Napkin Hs"</formula>
    </cfRule>
  </conditionalFormatting>
  <conditionalFormatting sqref="C112:C114">
    <cfRule type="cellIs" dxfId="190" priority="181" stopIfTrue="1" operator="equal">
      <formula>"Towel"</formula>
    </cfRule>
    <cfRule type="cellIs" dxfId="189" priority="182" stopIfTrue="1" operator="equal">
      <formula>"Napkin Hs"</formula>
    </cfRule>
  </conditionalFormatting>
  <conditionalFormatting sqref="C112:C114">
    <cfRule type="cellIs" dxfId="188" priority="183" stopIfTrue="1" operator="equal">
      <formula>"Towel"</formula>
    </cfRule>
  </conditionalFormatting>
  <conditionalFormatting sqref="B115:C115">
    <cfRule type="cellIs" dxfId="187" priority="179" stopIfTrue="1" operator="equal">
      <formula>"Towel"</formula>
    </cfRule>
    <cfRule type="cellIs" dxfId="186" priority="180" stopIfTrue="1" operator="equal">
      <formula>"Napkin Hs"</formula>
    </cfRule>
  </conditionalFormatting>
  <conditionalFormatting sqref="C115">
    <cfRule type="cellIs" dxfId="185" priority="175" stopIfTrue="1" operator="equal">
      <formula>"Towel"</formula>
    </cfRule>
    <cfRule type="cellIs" dxfId="184" priority="176" stopIfTrue="1" operator="equal">
      <formula>"Napkin Hs"</formula>
    </cfRule>
  </conditionalFormatting>
  <conditionalFormatting sqref="C115">
    <cfRule type="cellIs" dxfId="183" priority="178" stopIfTrue="1" operator="equal">
      <formula>"Napkin Hs"</formula>
    </cfRule>
  </conditionalFormatting>
  <conditionalFormatting sqref="C115">
    <cfRule type="cellIs" dxfId="182" priority="177" stopIfTrue="1" operator="equal">
      <formula>"Towel"</formula>
    </cfRule>
  </conditionalFormatting>
  <conditionalFormatting sqref="B117:C119">
    <cfRule type="cellIs" dxfId="181" priority="173" stopIfTrue="1" operator="equal">
      <formula>"Towel"</formula>
    </cfRule>
    <cfRule type="cellIs" dxfId="180" priority="174" stopIfTrue="1" operator="equal">
      <formula>"Napkin Hs"</formula>
    </cfRule>
  </conditionalFormatting>
  <conditionalFormatting sqref="C117:C119">
    <cfRule type="cellIs" dxfId="179" priority="172" stopIfTrue="1" operator="equal">
      <formula>"Napkin Hs"</formula>
    </cfRule>
  </conditionalFormatting>
  <conditionalFormatting sqref="C117:C119">
    <cfRule type="cellIs" dxfId="178" priority="169" stopIfTrue="1" operator="equal">
      <formula>"Towel"</formula>
    </cfRule>
    <cfRule type="cellIs" dxfId="177" priority="170" stopIfTrue="1" operator="equal">
      <formula>"Napkin Hs"</formula>
    </cfRule>
  </conditionalFormatting>
  <conditionalFormatting sqref="C117:C119">
    <cfRule type="cellIs" dxfId="176" priority="171" stopIfTrue="1" operator="equal">
      <formula>"Towel"</formula>
    </cfRule>
  </conditionalFormatting>
  <conditionalFormatting sqref="B120:C120">
    <cfRule type="cellIs" dxfId="175" priority="167" stopIfTrue="1" operator="equal">
      <formula>"Towel"</formula>
    </cfRule>
    <cfRule type="cellIs" dxfId="174" priority="168" stopIfTrue="1" operator="equal">
      <formula>"Napkin Hs"</formula>
    </cfRule>
  </conditionalFormatting>
  <conditionalFormatting sqref="C120">
    <cfRule type="cellIs" dxfId="173" priority="163" stopIfTrue="1" operator="equal">
      <formula>"Towel"</formula>
    </cfRule>
    <cfRule type="cellIs" dxfId="172" priority="164" stopIfTrue="1" operator="equal">
      <formula>"Napkin Hs"</formula>
    </cfRule>
  </conditionalFormatting>
  <conditionalFormatting sqref="C120">
    <cfRule type="cellIs" dxfId="171" priority="166" stopIfTrue="1" operator="equal">
      <formula>"Napkin Hs"</formula>
    </cfRule>
  </conditionalFormatting>
  <conditionalFormatting sqref="C120">
    <cfRule type="cellIs" dxfId="170" priority="165" stopIfTrue="1" operator="equal">
      <formula>"Towel"</formula>
    </cfRule>
  </conditionalFormatting>
  <conditionalFormatting sqref="B122:C124">
    <cfRule type="cellIs" dxfId="169" priority="161" stopIfTrue="1" operator="equal">
      <formula>"Towel"</formula>
    </cfRule>
    <cfRule type="cellIs" dxfId="168" priority="162" stopIfTrue="1" operator="equal">
      <formula>"Napkin Hs"</formula>
    </cfRule>
  </conditionalFormatting>
  <conditionalFormatting sqref="C122:C124">
    <cfRule type="cellIs" dxfId="167" priority="160" stopIfTrue="1" operator="equal">
      <formula>"Napkin Hs"</formula>
    </cfRule>
  </conditionalFormatting>
  <conditionalFormatting sqref="C122:C124">
    <cfRule type="cellIs" dxfId="166" priority="157" stopIfTrue="1" operator="equal">
      <formula>"Towel"</formula>
    </cfRule>
    <cfRule type="cellIs" dxfId="165" priority="158" stopIfTrue="1" operator="equal">
      <formula>"Napkin Hs"</formula>
    </cfRule>
  </conditionalFormatting>
  <conditionalFormatting sqref="C122:C124">
    <cfRule type="cellIs" dxfId="164" priority="159" stopIfTrue="1" operator="equal">
      <formula>"Towel"</formula>
    </cfRule>
  </conditionalFormatting>
  <conditionalFormatting sqref="B125:C125">
    <cfRule type="cellIs" dxfId="163" priority="155" stopIfTrue="1" operator="equal">
      <formula>"Towel"</formula>
    </cfRule>
    <cfRule type="cellIs" dxfId="162" priority="156" stopIfTrue="1" operator="equal">
      <formula>"Napkin Hs"</formula>
    </cfRule>
  </conditionalFormatting>
  <conditionalFormatting sqref="C125">
    <cfRule type="cellIs" dxfId="161" priority="151" stopIfTrue="1" operator="equal">
      <formula>"Towel"</formula>
    </cfRule>
    <cfRule type="cellIs" dxfId="160" priority="152" stopIfTrue="1" operator="equal">
      <formula>"Napkin Hs"</formula>
    </cfRule>
  </conditionalFormatting>
  <conditionalFormatting sqref="C125">
    <cfRule type="cellIs" dxfId="159" priority="154" stopIfTrue="1" operator="equal">
      <formula>"Napkin Hs"</formula>
    </cfRule>
  </conditionalFormatting>
  <conditionalFormatting sqref="C125">
    <cfRule type="cellIs" dxfId="158" priority="153" stopIfTrue="1" operator="equal">
      <formula>"Towel"</formula>
    </cfRule>
  </conditionalFormatting>
  <conditionalFormatting sqref="B129:C129">
    <cfRule type="cellIs" dxfId="157" priority="149" stopIfTrue="1" operator="equal">
      <formula>"Towel"</formula>
    </cfRule>
    <cfRule type="cellIs" dxfId="156" priority="150" stopIfTrue="1" operator="equal">
      <formula>"Napkin Hs"</formula>
    </cfRule>
  </conditionalFormatting>
  <conditionalFormatting sqref="C129">
    <cfRule type="cellIs" dxfId="155" priority="148" stopIfTrue="1" operator="equal">
      <formula>"Napkin Hs"</formula>
    </cfRule>
  </conditionalFormatting>
  <conditionalFormatting sqref="C129">
    <cfRule type="cellIs" dxfId="154" priority="145" stopIfTrue="1" operator="equal">
      <formula>"Towel"</formula>
    </cfRule>
    <cfRule type="cellIs" dxfId="153" priority="146" stopIfTrue="1" operator="equal">
      <formula>"Napkin Hs"</formula>
    </cfRule>
  </conditionalFormatting>
  <conditionalFormatting sqref="C129">
    <cfRule type="cellIs" dxfId="152" priority="147" stopIfTrue="1" operator="equal">
      <formula>"Towel"</formula>
    </cfRule>
  </conditionalFormatting>
  <conditionalFormatting sqref="B130:C130">
    <cfRule type="cellIs" dxfId="151" priority="143" stopIfTrue="1" operator="equal">
      <formula>"Towel"</formula>
    </cfRule>
    <cfRule type="cellIs" dxfId="150" priority="144" stopIfTrue="1" operator="equal">
      <formula>"Napkin Hs"</formula>
    </cfRule>
  </conditionalFormatting>
  <conditionalFormatting sqref="C130">
    <cfRule type="cellIs" dxfId="149" priority="139" stopIfTrue="1" operator="equal">
      <formula>"Towel"</formula>
    </cfRule>
    <cfRule type="cellIs" dxfId="148" priority="140" stopIfTrue="1" operator="equal">
      <formula>"Napkin Hs"</formula>
    </cfRule>
  </conditionalFormatting>
  <conditionalFormatting sqref="C130">
    <cfRule type="cellIs" dxfId="147" priority="142" stopIfTrue="1" operator="equal">
      <formula>"Napkin Hs"</formula>
    </cfRule>
  </conditionalFormatting>
  <conditionalFormatting sqref="C130">
    <cfRule type="cellIs" dxfId="146" priority="141" stopIfTrue="1" operator="equal">
      <formula>"Towel"</formula>
    </cfRule>
  </conditionalFormatting>
  <conditionalFormatting sqref="B127:C127">
    <cfRule type="cellIs" dxfId="145" priority="137" stopIfTrue="1" operator="equal">
      <formula>"Towel"</formula>
    </cfRule>
    <cfRule type="cellIs" dxfId="144" priority="138" stopIfTrue="1" operator="equal">
      <formula>"Napkin Hs"</formula>
    </cfRule>
  </conditionalFormatting>
  <conditionalFormatting sqref="C127">
    <cfRule type="cellIs" dxfId="143" priority="136" stopIfTrue="1" operator="equal">
      <formula>"Napkin Hs"</formula>
    </cfRule>
  </conditionalFormatting>
  <conditionalFormatting sqref="C127">
    <cfRule type="cellIs" dxfId="142" priority="133" stopIfTrue="1" operator="equal">
      <formula>"Towel"</formula>
    </cfRule>
    <cfRule type="cellIs" dxfId="141" priority="134" stopIfTrue="1" operator="equal">
      <formula>"Napkin Hs"</formula>
    </cfRule>
  </conditionalFormatting>
  <conditionalFormatting sqref="C127">
    <cfRule type="cellIs" dxfId="140" priority="135" stopIfTrue="1" operator="equal">
      <formula>"Towel"</formula>
    </cfRule>
  </conditionalFormatting>
  <conditionalFormatting sqref="B128:C128">
    <cfRule type="cellIs" dxfId="139" priority="131" stopIfTrue="1" operator="equal">
      <formula>"Towel"</formula>
    </cfRule>
    <cfRule type="cellIs" dxfId="138" priority="132" stopIfTrue="1" operator="equal">
      <formula>"Napkin Hs"</formula>
    </cfRule>
  </conditionalFormatting>
  <conditionalFormatting sqref="C128">
    <cfRule type="cellIs" dxfId="137" priority="130" stopIfTrue="1" operator="equal">
      <formula>"Napkin Hs"</formula>
    </cfRule>
  </conditionalFormatting>
  <conditionalFormatting sqref="C128">
    <cfRule type="cellIs" dxfId="136" priority="127" stopIfTrue="1" operator="equal">
      <formula>"Towel"</formula>
    </cfRule>
    <cfRule type="cellIs" dxfId="135" priority="128" stopIfTrue="1" operator="equal">
      <formula>"Napkin Hs"</formula>
    </cfRule>
  </conditionalFormatting>
  <conditionalFormatting sqref="C128">
    <cfRule type="cellIs" dxfId="134" priority="129" stopIfTrue="1" operator="equal">
      <formula>"Towel"</formula>
    </cfRule>
  </conditionalFormatting>
  <conditionalFormatting sqref="B133:C134">
    <cfRule type="cellIs" dxfId="133" priority="125" stopIfTrue="1" operator="equal">
      <formula>"Towel"</formula>
    </cfRule>
    <cfRule type="cellIs" dxfId="132" priority="126" stopIfTrue="1" operator="equal">
      <formula>"Napkin Hs"</formula>
    </cfRule>
  </conditionalFormatting>
  <conditionalFormatting sqref="C133:C134">
    <cfRule type="cellIs" dxfId="131" priority="124" stopIfTrue="1" operator="equal">
      <formula>"Napkin Hs"</formula>
    </cfRule>
  </conditionalFormatting>
  <conditionalFormatting sqref="C133:C134">
    <cfRule type="cellIs" dxfId="130" priority="121" stopIfTrue="1" operator="equal">
      <formula>"Towel"</formula>
    </cfRule>
    <cfRule type="cellIs" dxfId="129" priority="122" stopIfTrue="1" operator="equal">
      <formula>"Napkin Hs"</formula>
    </cfRule>
  </conditionalFormatting>
  <conditionalFormatting sqref="C133:C134">
    <cfRule type="cellIs" dxfId="128" priority="123" stopIfTrue="1" operator="equal">
      <formula>"Towel"</formula>
    </cfRule>
  </conditionalFormatting>
  <conditionalFormatting sqref="B132:C132">
    <cfRule type="cellIs" dxfId="127" priority="119" stopIfTrue="1" operator="equal">
      <formula>"Towel"</formula>
    </cfRule>
    <cfRule type="cellIs" dxfId="126" priority="120" stopIfTrue="1" operator="equal">
      <formula>"Napkin Hs"</formula>
    </cfRule>
  </conditionalFormatting>
  <conditionalFormatting sqref="C132">
    <cfRule type="cellIs" dxfId="125" priority="118" stopIfTrue="1" operator="equal">
      <formula>"Napkin Hs"</formula>
    </cfRule>
  </conditionalFormatting>
  <conditionalFormatting sqref="C132">
    <cfRule type="cellIs" dxfId="124" priority="115" stopIfTrue="1" operator="equal">
      <formula>"Towel"</formula>
    </cfRule>
    <cfRule type="cellIs" dxfId="123" priority="116" stopIfTrue="1" operator="equal">
      <formula>"Napkin Hs"</formula>
    </cfRule>
  </conditionalFormatting>
  <conditionalFormatting sqref="C132">
    <cfRule type="cellIs" dxfId="122" priority="117" stopIfTrue="1" operator="equal">
      <formula>"Towel"</formula>
    </cfRule>
  </conditionalFormatting>
  <conditionalFormatting sqref="B137:C138">
    <cfRule type="cellIs" dxfId="121" priority="113" stopIfTrue="1" operator="equal">
      <formula>"Towel"</formula>
    </cfRule>
    <cfRule type="cellIs" dxfId="120" priority="114" stopIfTrue="1" operator="equal">
      <formula>"Napkin Hs"</formula>
    </cfRule>
  </conditionalFormatting>
  <conditionalFormatting sqref="C137:C138">
    <cfRule type="cellIs" dxfId="119" priority="112" stopIfTrue="1" operator="equal">
      <formula>"Napkin Hs"</formula>
    </cfRule>
  </conditionalFormatting>
  <conditionalFormatting sqref="C137:C138">
    <cfRule type="cellIs" dxfId="118" priority="109" stopIfTrue="1" operator="equal">
      <formula>"Towel"</formula>
    </cfRule>
    <cfRule type="cellIs" dxfId="117" priority="110" stopIfTrue="1" operator="equal">
      <formula>"Napkin Hs"</formula>
    </cfRule>
  </conditionalFormatting>
  <conditionalFormatting sqref="C137:C138">
    <cfRule type="cellIs" dxfId="116" priority="111" stopIfTrue="1" operator="equal">
      <formula>"Towel"</formula>
    </cfRule>
  </conditionalFormatting>
  <conditionalFormatting sqref="B139:C139">
    <cfRule type="cellIs" dxfId="115" priority="107" stopIfTrue="1" operator="equal">
      <formula>"Towel"</formula>
    </cfRule>
    <cfRule type="cellIs" dxfId="114" priority="108" stopIfTrue="1" operator="equal">
      <formula>"Napkin Hs"</formula>
    </cfRule>
  </conditionalFormatting>
  <conditionalFormatting sqref="C139">
    <cfRule type="cellIs" dxfId="113" priority="103" stopIfTrue="1" operator="equal">
      <formula>"Towel"</formula>
    </cfRule>
    <cfRule type="cellIs" dxfId="112" priority="104" stopIfTrue="1" operator="equal">
      <formula>"Napkin Hs"</formula>
    </cfRule>
  </conditionalFormatting>
  <conditionalFormatting sqref="C139">
    <cfRule type="cellIs" dxfId="111" priority="106" stopIfTrue="1" operator="equal">
      <formula>"Napkin Hs"</formula>
    </cfRule>
  </conditionalFormatting>
  <conditionalFormatting sqref="C139">
    <cfRule type="cellIs" dxfId="110" priority="105" stopIfTrue="1" operator="equal">
      <formula>"Towel"</formula>
    </cfRule>
  </conditionalFormatting>
  <conditionalFormatting sqref="B136:C136">
    <cfRule type="cellIs" dxfId="109" priority="101" stopIfTrue="1" operator="equal">
      <formula>"Towel"</formula>
    </cfRule>
    <cfRule type="cellIs" dxfId="108" priority="102" stopIfTrue="1" operator="equal">
      <formula>"Napkin Hs"</formula>
    </cfRule>
  </conditionalFormatting>
  <conditionalFormatting sqref="C136">
    <cfRule type="cellIs" dxfId="107" priority="100" stopIfTrue="1" operator="equal">
      <formula>"Napkin Hs"</formula>
    </cfRule>
  </conditionalFormatting>
  <conditionalFormatting sqref="C136">
    <cfRule type="cellIs" dxfId="106" priority="97" stopIfTrue="1" operator="equal">
      <formula>"Towel"</formula>
    </cfRule>
    <cfRule type="cellIs" dxfId="105" priority="98" stopIfTrue="1" operator="equal">
      <formula>"Napkin Hs"</formula>
    </cfRule>
  </conditionalFormatting>
  <conditionalFormatting sqref="C136">
    <cfRule type="cellIs" dxfId="104" priority="99" stopIfTrue="1" operator="equal">
      <formula>"Towel"</formula>
    </cfRule>
  </conditionalFormatting>
  <conditionalFormatting sqref="B143:C143">
    <cfRule type="cellIs" dxfId="103" priority="95" stopIfTrue="1" operator="equal">
      <formula>"Towel"</formula>
    </cfRule>
    <cfRule type="cellIs" dxfId="102" priority="96" stopIfTrue="1" operator="equal">
      <formula>"Napkin Hs"</formula>
    </cfRule>
  </conditionalFormatting>
  <conditionalFormatting sqref="C143">
    <cfRule type="cellIs" dxfId="101" priority="94" stopIfTrue="1" operator="equal">
      <formula>"Napkin Hs"</formula>
    </cfRule>
  </conditionalFormatting>
  <conditionalFormatting sqref="C143">
    <cfRule type="cellIs" dxfId="100" priority="91" stopIfTrue="1" operator="equal">
      <formula>"Towel"</formula>
    </cfRule>
    <cfRule type="cellIs" dxfId="99" priority="92" stopIfTrue="1" operator="equal">
      <formula>"Napkin Hs"</formula>
    </cfRule>
  </conditionalFormatting>
  <conditionalFormatting sqref="C143">
    <cfRule type="cellIs" dxfId="98" priority="93" stopIfTrue="1" operator="equal">
      <formula>"Towel"</formula>
    </cfRule>
  </conditionalFormatting>
  <conditionalFormatting sqref="B141:C142">
    <cfRule type="cellIs" dxfId="97" priority="89" stopIfTrue="1" operator="equal">
      <formula>"Towel"</formula>
    </cfRule>
    <cfRule type="cellIs" dxfId="96" priority="90" stopIfTrue="1" operator="equal">
      <formula>"Napkin Hs"</formula>
    </cfRule>
  </conditionalFormatting>
  <conditionalFormatting sqref="C141:C142">
    <cfRule type="cellIs" dxfId="95" priority="88" stopIfTrue="1" operator="equal">
      <formula>"Napkin Hs"</formula>
    </cfRule>
  </conditionalFormatting>
  <conditionalFormatting sqref="C141:C142">
    <cfRule type="cellIs" dxfId="94" priority="85" stopIfTrue="1" operator="equal">
      <formula>"Towel"</formula>
    </cfRule>
    <cfRule type="cellIs" dxfId="93" priority="86" stopIfTrue="1" operator="equal">
      <formula>"Napkin Hs"</formula>
    </cfRule>
  </conditionalFormatting>
  <conditionalFormatting sqref="C141:C142">
    <cfRule type="cellIs" dxfId="92" priority="87" stopIfTrue="1" operator="equal">
      <formula>"Towel"</formula>
    </cfRule>
  </conditionalFormatting>
  <conditionalFormatting sqref="B147:C148">
    <cfRule type="cellIs" dxfId="91" priority="83" stopIfTrue="1" operator="equal">
      <formula>"Towel"</formula>
    </cfRule>
    <cfRule type="cellIs" dxfId="90" priority="84" stopIfTrue="1" operator="equal">
      <formula>"Napkin Hs"</formula>
    </cfRule>
  </conditionalFormatting>
  <conditionalFormatting sqref="C147:C148">
    <cfRule type="cellIs" dxfId="89" priority="82" stopIfTrue="1" operator="equal">
      <formula>"Napkin Hs"</formula>
    </cfRule>
  </conditionalFormatting>
  <conditionalFormatting sqref="C147:C148">
    <cfRule type="cellIs" dxfId="88" priority="79" stopIfTrue="1" operator="equal">
      <formula>"Towel"</formula>
    </cfRule>
    <cfRule type="cellIs" dxfId="87" priority="80" stopIfTrue="1" operator="equal">
      <formula>"Napkin Hs"</formula>
    </cfRule>
  </conditionalFormatting>
  <conditionalFormatting sqref="C147:C148">
    <cfRule type="cellIs" dxfId="86" priority="81" stopIfTrue="1" operator="equal">
      <formula>"Towel"</formula>
    </cfRule>
  </conditionalFormatting>
  <conditionalFormatting sqref="B146:C146">
    <cfRule type="cellIs" dxfId="85" priority="77" stopIfTrue="1" operator="equal">
      <formula>"Towel"</formula>
    </cfRule>
    <cfRule type="cellIs" dxfId="84" priority="78" stopIfTrue="1" operator="equal">
      <formula>"Napkin Hs"</formula>
    </cfRule>
  </conditionalFormatting>
  <conditionalFormatting sqref="C146">
    <cfRule type="cellIs" dxfId="83" priority="76" stopIfTrue="1" operator="equal">
      <formula>"Napkin Hs"</formula>
    </cfRule>
  </conditionalFormatting>
  <conditionalFormatting sqref="C146">
    <cfRule type="cellIs" dxfId="82" priority="73" stopIfTrue="1" operator="equal">
      <formula>"Towel"</formula>
    </cfRule>
    <cfRule type="cellIs" dxfId="81" priority="74" stopIfTrue="1" operator="equal">
      <formula>"Napkin Hs"</formula>
    </cfRule>
  </conditionalFormatting>
  <conditionalFormatting sqref="C146">
    <cfRule type="cellIs" dxfId="80" priority="75" stopIfTrue="1" operator="equal">
      <formula>"Towel"</formula>
    </cfRule>
  </conditionalFormatting>
  <conditionalFormatting sqref="C153">
    <cfRule type="cellIs" dxfId="79" priority="67" stopIfTrue="1" operator="equal">
      <formula>"Towel"</formula>
    </cfRule>
    <cfRule type="cellIs" dxfId="78" priority="68" stopIfTrue="1" operator="equal">
      <formula>"Napkin Hs"</formula>
    </cfRule>
  </conditionalFormatting>
  <conditionalFormatting sqref="B153:C153">
    <cfRule type="cellIs" dxfId="77" priority="71" stopIfTrue="1" operator="equal">
      <formula>"Towel"</formula>
    </cfRule>
    <cfRule type="cellIs" dxfId="76" priority="72" stopIfTrue="1" operator="equal">
      <formula>"Napkin Hs"</formula>
    </cfRule>
  </conditionalFormatting>
  <conditionalFormatting sqref="C153">
    <cfRule type="cellIs" dxfId="75" priority="70" stopIfTrue="1" operator="equal">
      <formula>"Napkin Hs"</formula>
    </cfRule>
  </conditionalFormatting>
  <conditionalFormatting sqref="C153">
    <cfRule type="cellIs" dxfId="74" priority="69" stopIfTrue="1" operator="equal">
      <formula>"Towel"</formula>
    </cfRule>
  </conditionalFormatting>
  <conditionalFormatting sqref="B152:C152">
    <cfRule type="cellIs" dxfId="73" priority="65" stopIfTrue="1" operator="equal">
      <formula>"Towel"</formula>
    </cfRule>
    <cfRule type="cellIs" dxfId="72" priority="66" stopIfTrue="1" operator="equal">
      <formula>"Napkin Hs"</formula>
    </cfRule>
  </conditionalFormatting>
  <conditionalFormatting sqref="C152">
    <cfRule type="cellIs" dxfId="71" priority="64" stopIfTrue="1" operator="equal">
      <formula>"Napkin Hs"</formula>
    </cfRule>
  </conditionalFormatting>
  <conditionalFormatting sqref="C152">
    <cfRule type="cellIs" dxfId="70" priority="61" stopIfTrue="1" operator="equal">
      <formula>"Towel"</formula>
    </cfRule>
    <cfRule type="cellIs" dxfId="69" priority="62" stopIfTrue="1" operator="equal">
      <formula>"Napkin Hs"</formula>
    </cfRule>
  </conditionalFormatting>
  <conditionalFormatting sqref="C152">
    <cfRule type="cellIs" dxfId="68" priority="63" stopIfTrue="1" operator="equal">
      <formula>"Towel"</formula>
    </cfRule>
  </conditionalFormatting>
  <conditionalFormatting sqref="B150:C151">
    <cfRule type="cellIs" dxfId="67" priority="59" stopIfTrue="1" operator="equal">
      <formula>"Towel"</formula>
    </cfRule>
    <cfRule type="cellIs" dxfId="66" priority="60" stopIfTrue="1" operator="equal">
      <formula>"Napkin Hs"</formula>
    </cfRule>
  </conditionalFormatting>
  <conditionalFormatting sqref="C150:C151">
    <cfRule type="cellIs" dxfId="65" priority="58" stopIfTrue="1" operator="equal">
      <formula>"Napkin Hs"</formula>
    </cfRule>
  </conditionalFormatting>
  <conditionalFormatting sqref="C150:C151">
    <cfRule type="cellIs" dxfId="64" priority="55" stopIfTrue="1" operator="equal">
      <formula>"Towel"</formula>
    </cfRule>
    <cfRule type="cellIs" dxfId="63" priority="56" stopIfTrue="1" operator="equal">
      <formula>"Napkin Hs"</formula>
    </cfRule>
  </conditionalFormatting>
  <conditionalFormatting sqref="C150:C151">
    <cfRule type="cellIs" dxfId="62" priority="57" stopIfTrue="1" operator="equal">
      <formula>"Towel"</formula>
    </cfRule>
  </conditionalFormatting>
  <conditionalFormatting sqref="B156:C157">
    <cfRule type="cellIs" dxfId="61" priority="53" stopIfTrue="1" operator="equal">
      <formula>"Towel"</formula>
    </cfRule>
    <cfRule type="cellIs" dxfId="60" priority="54" stopIfTrue="1" operator="equal">
      <formula>"Napkin Hs"</formula>
    </cfRule>
  </conditionalFormatting>
  <conditionalFormatting sqref="C156:C157">
    <cfRule type="cellIs" dxfId="59" priority="52" stopIfTrue="1" operator="equal">
      <formula>"Napkin Hs"</formula>
    </cfRule>
  </conditionalFormatting>
  <conditionalFormatting sqref="C156:C157">
    <cfRule type="cellIs" dxfId="58" priority="49" stopIfTrue="1" operator="equal">
      <formula>"Towel"</formula>
    </cfRule>
    <cfRule type="cellIs" dxfId="57" priority="50" stopIfTrue="1" operator="equal">
      <formula>"Napkin Hs"</formula>
    </cfRule>
  </conditionalFormatting>
  <conditionalFormatting sqref="C156:C157">
    <cfRule type="cellIs" dxfId="56" priority="51" stopIfTrue="1" operator="equal">
      <formula>"Towel"</formula>
    </cfRule>
  </conditionalFormatting>
  <conditionalFormatting sqref="B154:C155">
    <cfRule type="cellIs" dxfId="55" priority="47" stopIfTrue="1" operator="equal">
      <formula>"Towel"</formula>
    </cfRule>
    <cfRule type="cellIs" dxfId="54" priority="48" stopIfTrue="1" operator="equal">
      <formula>"Napkin Hs"</formula>
    </cfRule>
  </conditionalFormatting>
  <conditionalFormatting sqref="C154:C155">
    <cfRule type="cellIs" dxfId="53" priority="46" stopIfTrue="1" operator="equal">
      <formula>"Napkin Hs"</formula>
    </cfRule>
  </conditionalFormatting>
  <conditionalFormatting sqref="C154:C155">
    <cfRule type="cellIs" dxfId="52" priority="43" stopIfTrue="1" operator="equal">
      <formula>"Towel"</formula>
    </cfRule>
    <cfRule type="cellIs" dxfId="51" priority="44" stopIfTrue="1" operator="equal">
      <formula>"Napkin Hs"</formula>
    </cfRule>
  </conditionalFormatting>
  <conditionalFormatting sqref="C154:C155">
    <cfRule type="cellIs" dxfId="50" priority="45" stopIfTrue="1" operator="equal">
      <formula>"Towel"</formula>
    </cfRule>
  </conditionalFormatting>
  <conditionalFormatting sqref="C162">
    <cfRule type="cellIs" dxfId="49" priority="37" stopIfTrue="1" operator="equal">
      <formula>"Towel"</formula>
    </cfRule>
    <cfRule type="cellIs" dxfId="48" priority="38" stopIfTrue="1" operator="equal">
      <formula>"Napkin Hs"</formula>
    </cfRule>
  </conditionalFormatting>
  <conditionalFormatting sqref="B162:C162">
    <cfRule type="cellIs" dxfId="47" priority="41" stopIfTrue="1" operator="equal">
      <formula>"Towel"</formula>
    </cfRule>
    <cfRule type="cellIs" dxfId="46" priority="42" stopIfTrue="1" operator="equal">
      <formula>"Napkin Hs"</formula>
    </cfRule>
  </conditionalFormatting>
  <conditionalFormatting sqref="C162">
    <cfRule type="cellIs" dxfId="45" priority="40" stopIfTrue="1" operator="equal">
      <formula>"Napkin Hs"</formula>
    </cfRule>
  </conditionalFormatting>
  <conditionalFormatting sqref="C162">
    <cfRule type="cellIs" dxfId="44" priority="39" stopIfTrue="1" operator="equal">
      <formula>"Towel"</formula>
    </cfRule>
  </conditionalFormatting>
  <conditionalFormatting sqref="B161:C161">
    <cfRule type="cellIs" dxfId="43" priority="35" stopIfTrue="1" operator="equal">
      <formula>"Towel"</formula>
    </cfRule>
    <cfRule type="cellIs" dxfId="42" priority="36" stopIfTrue="1" operator="equal">
      <formula>"Napkin Hs"</formula>
    </cfRule>
  </conditionalFormatting>
  <conditionalFormatting sqref="C161">
    <cfRule type="cellIs" dxfId="41" priority="34" stopIfTrue="1" operator="equal">
      <formula>"Napkin Hs"</formula>
    </cfRule>
  </conditionalFormatting>
  <conditionalFormatting sqref="C161">
    <cfRule type="cellIs" dxfId="40" priority="31" stopIfTrue="1" operator="equal">
      <formula>"Towel"</formula>
    </cfRule>
    <cfRule type="cellIs" dxfId="39" priority="32" stopIfTrue="1" operator="equal">
      <formula>"Napkin Hs"</formula>
    </cfRule>
  </conditionalFormatting>
  <conditionalFormatting sqref="C161">
    <cfRule type="cellIs" dxfId="38" priority="33" stopIfTrue="1" operator="equal">
      <formula>"Towel"</formula>
    </cfRule>
  </conditionalFormatting>
  <conditionalFormatting sqref="B159:C160">
    <cfRule type="cellIs" dxfId="37" priority="29" stopIfTrue="1" operator="equal">
      <formula>"Towel"</formula>
    </cfRule>
    <cfRule type="cellIs" dxfId="36" priority="30" stopIfTrue="1" operator="equal">
      <formula>"Napkin Hs"</formula>
    </cfRule>
  </conditionalFormatting>
  <conditionalFormatting sqref="C159:C160">
    <cfRule type="cellIs" dxfId="35" priority="28" stopIfTrue="1" operator="equal">
      <formula>"Napkin Hs"</formula>
    </cfRule>
  </conditionalFormatting>
  <conditionalFormatting sqref="C159:C160">
    <cfRule type="cellIs" dxfId="34" priority="25" stopIfTrue="1" operator="equal">
      <formula>"Towel"</formula>
    </cfRule>
    <cfRule type="cellIs" dxfId="33" priority="26" stopIfTrue="1" operator="equal">
      <formula>"Napkin Hs"</formula>
    </cfRule>
  </conditionalFormatting>
  <conditionalFormatting sqref="C159:C160">
    <cfRule type="cellIs" dxfId="32" priority="27" stopIfTrue="1" operator="equal">
      <formula>"Towel"</formula>
    </cfRule>
  </conditionalFormatting>
  <conditionalFormatting sqref="C166">
    <cfRule type="cellIs" dxfId="31" priority="19" stopIfTrue="1" operator="equal">
      <formula>"Towel"</formula>
    </cfRule>
    <cfRule type="cellIs" dxfId="30" priority="20" stopIfTrue="1" operator="equal">
      <formula>"Napkin Hs"</formula>
    </cfRule>
  </conditionalFormatting>
  <conditionalFormatting sqref="B166:C166">
    <cfRule type="cellIs" dxfId="29" priority="23" stopIfTrue="1" operator="equal">
      <formula>"Towel"</formula>
    </cfRule>
    <cfRule type="cellIs" dxfId="28" priority="24" stopIfTrue="1" operator="equal">
      <formula>"Napkin Hs"</formula>
    </cfRule>
  </conditionalFormatting>
  <conditionalFormatting sqref="C166">
    <cfRule type="cellIs" dxfId="27" priority="22" stopIfTrue="1" operator="equal">
      <formula>"Napkin Hs"</formula>
    </cfRule>
  </conditionalFormatting>
  <conditionalFormatting sqref="C166">
    <cfRule type="cellIs" dxfId="26" priority="21" stopIfTrue="1" operator="equal">
      <formula>"Towel"</formula>
    </cfRule>
  </conditionalFormatting>
  <conditionalFormatting sqref="B165:C165">
    <cfRule type="cellIs" dxfId="25" priority="17" stopIfTrue="1" operator="equal">
      <formula>"Towel"</formula>
    </cfRule>
    <cfRule type="cellIs" dxfId="24" priority="18" stopIfTrue="1" operator="equal">
      <formula>"Napkin Hs"</formula>
    </cfRule>
  </conditionalFormatting>
  <conditionalFormatting sqref="C165">
    <cfRule type="cellIs" dxfId="23" priority="16" stopIfTrue="1" operator="equal">
      <formula>"Napkin Hs"</formula>
    </cfRule>
  </conditionalFormatting>
  <conditionalFormatting sqref="C165">
    <cfRule type="cellIs" dxfId="22" priority="13" stopIfTrue="1" operator="equal">
      <formula>"Towel"</formula>
    </cfRule>
    <cfRule type="cellIs" dxfId="21" priority="14" stopIfTrue="1" operator="equal">
      <formula>"Napkin Hs"</formula>
    </cfRule>
  </conditionalFormatting>
  <conditionalFormatting sqref="C165">
    <cfRule type="cellIs" dxfId="20" priority="15" stopIfTrue="1" operator="equal">
      <formula>"Towel"</formula>
    </cfRule>
  </conditionalFormatting>
  <conditionalFormatting sqref="B164:C164">
    <cfRule type="cellIs" dxfId="19" priority="11" stopIfTrue="1" operator="equal">
      <formula>"Towel"</formula>
    </cfRule>
    <cfRule type="cellIs" dxfId="18" priority="12" stopIfTrue="1" operator="equal">
      <formula>"Napkin Hs"</formula>
    </cfRule>
  </conditionalFormatting>
  <conditionalFormatting sqref="C164">
    <cfRule type="cellIs" dxfId="17" priority="10" stopIfTrue="1" operator="equal">
      <formula>"Napkin Hs"</formula>
    </cfRule>
  </conditionalFormatting>
  <conditionalFormatting sqref="C164">
    <cfRule type="cellIs" dxfId="16" priority="7" stopIfTrue="1" operator="equal">
      <formula>"Towel"</formula>
    </cfRule>
    <cfRule type="cellIs" dxfId="15" priority="8" stopIfTrue="1" operator="equal">
      <formula>"Napkin Hs"</formula>
    </cfRule>
  </conditionalFormatting>
  <conditionalFormatting sqref="C164">
    <cfRule type="cellIs" dxfId="14" priority="9" stopIfTrue="1" operator="equal">
      <formula>"Towel"</formula>
    </cfRule>
  </conditionalFormatting>
  <conditionalFormatting sqref="B163:C163">
    <cfRule type="cellIs" dxfId="13" priority="5" stopIfTrue="1" operator="equal">
      <formula>"Towel"</formula>
    </cfRule>
    <cfRule type="cellIs" dxfId="12" priority="6" stopIfTrue="1" operator="equal">
      <formula>"Napkin Hs"</formula>
    </cfRule>
  </conditionalFormatting>
  <conditionalFormatting sqref="C163">
    <cfRule type="cellIs" dxfId="11" priority="4" stopIfTrue="1" operator="equal">
      <formula>"Napkin Hs"</formula>
    </cfRule>
  </conditionalFormatting>
  <conditionalFormatting sqref="C163">
    <cfRule type="cellIs" dxfId="10" priority="1" stopIfTrue="1" operator="equal">
      <formula>"Towel"</formula>
    </cfRule>
    <cfRule type="cellIs" dxfId="9" priority="2" stopIfTrue="1" operator="equal">
      <formula>"Napkin Hs"</formula>
    </cfRule>
  </conditionalFormatting>
  <conditionalFormatting sqref="C163">
    <cfRule type="cellIs" dxfId="8"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V45"/>
  <sheetViews>
    <sheetView topLeftCell="DZ13" workbookViewId="0">
      <selection activeCell="EF21" sqref="EF21"/>
    </sheetView>
  </sheetViews>
  <sheetFormatPr defaultColWidth="10.42578125" defaultRowHeight="12.75"/>
  <cols>
    <col min="1" max="1" width="8.140625" style="258" customWidth="1"/>
    <col min="2" max="2" width="13.5703125" style="258" customWidth="1"/>
    <col min="3" max="3" width="12.5703125" style="259" customWidth="1"/>
    <col min="4" max="4" width="11.140625" style="259" customWidth="1"/>
    <col min="5" max="5" width="11" style="260" customWidth="1"/>
    <col min="6" max="269" width="12.42578125" style="520" customWidth="1"/>
    <col min="270" max="272" width="9.28515625" style="520" customWidth="1"/>
    <col min="273" max="303" width="5.5703125" style="520" customWidth="1"/>
    <col min="304" max="304" width="8.7109375" style="520" bestFit="1" customWidth="1"/>
    <col min="305" max="305" width="7.7109375" style="520" customWidth="1"/>
    <col min="306" max="306" width="21" style="520" bestFit="1" customWidth="1"/>
    <col min="307" max="307" width="19.85546875" style="520" bestFit="1" customWidth="1"/>
    <col min="308" max="16384" width="10.42578125" style="258"/>
  </cols>
  <sheetData>
    <row r="1" spans="1:308" ht="15.75">
      <c r="A1" s="560"/>
      <c r="B1" s="255"/>
      <c r="C1" s="256"/>
      <c r="D1" s="256"/>
      <c r="E1" s="257"/>
    </row>
    <row r="2" spans="1:308" ht="15.75">
      <c r="A2" s="560"/>
    </row>
    <row r="3" spans="1:308" ht="15">
      <c r="A3" s="561"/>
    </row>
    <row r="4" spans="1:308" ht="15.75">
      <c r="A4" s="492" t="s">
        <v>287</v>
      </c>
    </row>
    <row r="5" spans="1:308" ht="13.5" thickBot="1">
      <c r="F5" s="711" t="s">
        <v>307</v>
      </c>
      <c r="G5" s="712"/>
      <c r="H5" s="712"/>
      <c r="I5" s="712"/>
      <c r="J5" s="712"/>
      <c r="K5" s="712"/>
      <c r="L5" s="712"/>
      <c r="M5" s="712"/>
      <c r="N5" s="712"/>
      <c r="O5" s="712"/>
      <c r="P5" s="712"/>
      <c r="Q5" s="712"/>
      <c r="R5" s="712"/>
      <c r="S5" s="712"/>
      <c r="T5" s="712"/>
      <c r="U5" s="712"/>
      <c r="V5" s="712"/>
      <c r="W5" s="712"/>
      <c r="X5" s="712"/>
      <c r="Y5" s="712"/>
      <c r="Z5" s="712"/>
      <c r="AA5" s="712"/>
      <c r="AB5" s="712"/>
      <c r="AC5" s="712"/>
      <c r="AD5" s="712"/>
      <c r="AE5" s="712"/>
      <c r="AF5" s="712"/>
      <c r="AG5" s="712"/>
      <c r="AH5" s="712"/>
      <c r="AI5" s="712"/>
      <c r="AJ5" s="712"/>
      <c r="AK5" s="712"/>
      <c r="AL5" s="712"/>
      <c r="AM5" s="712"/>
      <c r="AN5" s="712"/>
      <c r="AO5" s="712"/>
      <c r="AP5" s="712"/>
      <c r="AQ5" s="712"/>
      <c r="AR5" s="712"/>
      <c r="AS5" s="712"/>
      <c r="AT5" s="712"/>
      <c r="AU5" s="712"/>
      <c r="AV5" s="712"/>
      <c r="AW5" s="712"/>
      <c r="AX5" s="712"/>
      <c r="AY5" s="712"/>
      <c r="AZ5" s="712"/>
      <c r="BA5" s="712"/>
      <c r="BB5" s="712"/>
      <c r="BC5" s="712"/>
      <c r="BD5" s="712"/>
      <c r="BE5" s="712"/>
      <c r="BF5" s="712"/>
      <c r="BG5" s="712"/>
      <c r="BH5" s="712"/>
      <c r="BI5" s="712"/>
      <c r="BJ5" s="712"/>
      <c r="BK5" s="712"/>
      <c r="BL5" s="712"/>
      <c r="BM5" s="712"/>
      <c r="BN5" s="712"/>
      <c r="BO5" s="712"/>
      <c r="BP5" s="712"/>
      <c r="BQ5" s="712"/>
      <c r="BR5" s="712"/>
      <c r="BS5" s="712"/>
      <c r="BT5" s="712"/>
      <c r="BU5" s="712"/>
      <c r="BV5" s="712"/>
      <c r="BW5" s="712"/>
      <c r="BX5" s="712"/>
      <c r="BY5" s="712"/>
      <c r="BZ5" s="712"/>
      <c r="CA5" s="712"/>
      <c r="CB5" s="712"/>
      <c r="CC5" s="712"/>
      <c r="CD5" s="712"/>
      <c r="CE5" s="712"/>
      <c r="CF5" s="712"/>
      <c r="CG5" s="712"/>
      <c r="CH5" s="712"/>
      <c r="CI5" s="712"/>
      <c r="CJ5" s="712"/>
      <c r="CK5" s="712"/>
      <c r="CL5" s="712"/>
      <c r="CM5" s="712"/>
      <c r="CN5" s="712"/>
      <c r="CO5" s="712"/>
      <c r="CP5" s="712"/>
      <c r="CQ5" s="712"/>
      <c r="CR5" s="712"/>
      <c r="CS5" s="712"/>
      <c r="CT5" s="712"/>
      <c r="CU5" s="712"/>
      <c r="CV5" s="712"/>
      <c r="CW5" s="712"/>
      <c r="CX5" s="712"/>
      <c r="CY5" s="712"/>
      <c r="CZ5" s="712"/>
      <c r="DA5" s="712"/>
      <c r="DB5" s="712"/>
      <c r="DC5" s="712"/>
      <c r="DD5" s="712"/>
      <c r="DE5" s="712"/>
      <c r="DF5" s="712"/>
      <c r="DG5" s="712"/>
      <c r="DH5" s="712"/>
      <c r="DI5" s="712"/>
      <c r="DJ5" s="712"/>
      <c r="DK5" s="712"/>
      <c r="DL5" s="712"/>
      <c r="DM5" s="712"/>
      <c r="DN5" s="712"/>
      <c r="DO5" s="712"/>
      <c r="DP5" s="712"/>
      <c r="DQ5" s="712"/>
      <c r="DR5" s="712"/>
      <c r="DS5" s="712"/>
      <c r="DT5" s="712"/>
      <c r="DU5" s="712"/>
      <c r="DV5" s="712"/>
      <c r="DW5" s="712"/>
      <c r="DX5" s="712"/>
      <c r="DY5" s="712"/>
      <c r="DZ5" s="712"/>
      <c r="EA5" s="712"/>
      <c r="EB5" s="712"/>
      <c r="EC5" s="712"/>
      <c r="ED5" s="712"/>
      <c r="EE5" s="712"/>
      <c r="EF5" s="712"/>
      <c r="EG5" s="712"/>
      <c r="EH5" s="712"/>
      <c r="EI5" s="712"/>
      <c r="EJ5" s="712"/>
      <c r="EK5" s="712"/>
      <c r="EL5" s="712"/>
      <c r="EM5" s="712"/>
      <c r="EN5" s="712"/>
      <c r="EO5" s="712"/>
      <c r="EP5" s="712"/>
      <c r="EQ5" s="712"/>
      <c r="ER5" s="712"/>
      <c r="ES5" s="712"/>
      <c r="ET5" s="712"/>
      <c r="EU5" s="712"/>
      <c r="EV5" s="712"/>
      <c r="EW5" s="712"/>
      <c r="EX5" s="712"/>
      <c r="EY5" s="712"/>
      <c r="EZ5" s="712"/>
      <c r="FA5" s="712"/>
      <c r="FB5" s="712"/>
      <c r="FC5" s="712"/>
      <c r="FD5" s="712"/>
      <c r="FE5" s="712"/>
      <c r="FF5" s="712"/>
      <c r="FG5" s="712"/>
      <c r="FH5" s="712"/>
      <c r="FI5" s="712"/>
      <c r="FJ5" s="712"/>
      <c r="FK5" s="712"/>
      <c r="FL5" s="712"/>
      <c r="FM5" s="712"/>
      <c r="FN5" s="712"/>
      <c r="FO5" s="712"/>
      <c r="FP5" s="712"/>
      <c r="FQ5" s="712"/>
      <c r="FR5" s="712"/>
      <c r="FS5" s="712"/>
      <c r="FT5" s="712"/>
      <c r="FU5" s="712"/>
      <c r="FV5" s="712"/>
      <c r="FW5" s="712"/>
      <c r="FX5" s="712"/>
      <c r="FY5" s="712"/>
      <c r="FZ5" s="712"/>
      <c r="GA5" s="712"/>
      <c r="GB5" s="712"/>
      <c r="GC5" s="713"/>
      <c r="GD5" s="711" t="s">
        <v>308</v>
      </c>
      <c r="GE5" s="712"/>
      <c r="GF5" s="712"/>
      <c r="GG5" s="712"/>
      <c r="GH5" s="712"/>
      <c r="GI5" s="712"/>
      <c r="GJ5" s="712"/>
      <c r="GK5" s="712"/>
      <c r="GL5" s="712"/>
      <c r="GM5" s="712"/>
      <c r="GN5" s="712"/>
      <c r="GO5" s="712"/>
      <c r="GP5" s="712"/>
      <c r="GQ5" s="712"/>
      <c r="GR5" s="712"/>
      <c r="GS5" s="712"/>
      <c r="GT5" s="712"/>
      <c r="GU5" s="712"/>
      <c r="GV5" s="712"/>
      <c r="GW5" s="712"/>
      <c r="GX5" s="712"/>
      <c r="GY5" s="712"/>
      <c r="GZ5" s="712"/>
      <c r="HA5" s="712"/>
      <c r="HB5" s="712"/>
      <c r="HC5" s="712"/>
      <c r="HD5" s="712"/>
      <c r="HE5" s="712"/>
      <c r="HF5" s="712"/>
      <c r="HG5" s="712"/>
      <c r="HH5" s="712"/>
      <c r="HI5" s="712"/>
      <c r="HJ5" s="712"/>
      <c r="HK5" s="712"/>
      <c r="HL5" s="712"/>
      <c r="HM5" s="712"/>
      <c r="HN5" s="712"/>
      <c r="HO5" s="712"/>
      <c r="HP5" s="712"/>
      <c r="HQ5" s="712"/>
      <c r="HR5" s="712"/>
      <c r="HS5" s="712"/>
      <c r="HT5" s="712"/>
      <c r="HU5" s="712"/>
      <c r="HV5" s="712"/>
      <c r="HW5" s="712"/>
      <c r="HX5" s="712"/>
      <c r="HY5" s="712"/>
      <c r="HZ5" s="712"/>
      <c r="IA5" s="712"/>
      <c r="IB5" s="712"/>
      <c r="IC5" s="712"/>
      <c r="ID5" s="712"/>
      <c r="IE5" s="712"/>
      <c r="IF5" s="712"/>
      <c r="IG5" s="712"/>
      <c r="IH5" s="712"/>
      <c r="II5" s="712"/>
      <c r="IJ5" s="712"/>
      <c r="IK5" s="712"/>
      <c r="IL5" s="712"/>
      <c r="IM5" s="712"/>
      <c r="IN5" s="712"/>
      <c r="IO5" s="712"/>
      <c r="IP5" s="712"/>
      <c r="IQ5" s="712"/>
      <c r="IR5" s="712"/>
      <c r="IS5" s="712"/>
      <c r="IT5" s="712"/>
      <c r="IU5" s="712"/>
      <c r="IV5" s="712"/>
      <c r="IW5" s="712"/>
      <c r="IX5" s="712"/>
      <c r="IY5" s="712"/>
      <c r="IZ5" s="712"/>
      <c r="JA5" s="712"/>
      <c r="JB5" s="712"/>
      <c r="JC5" s="712"/>
      <c r="JD5" s="712"/>
      <c r="JE5" s="712"/>
      <c r="JF5" s="712"/>
      <c r="JG5" s="712"/>
      <c r="JH5" s="712"/>
      <c r="JI5" s="712"/>
      <c r="JJ5" s="712"/>
      <c r="JK5" s="712"/>
      <c r="JL5" s="712"/>
      <c r="JM5" s="712"/>
      <c r="JN5" s="712"/>
      <c r="JO5" s="712"/>
      <c r="JP5" s="712"/>
      <c r="JQ5" s="712"/>
      <c r="JR5" s="712"/>
      <c r="JS5" s="712"/>
      <c r="JT5" s="712"/>
      <c r="JU5" s="712"/>
      <c r="JV5" s="712"/>
      <c r="JW5" s="712"/>
      <c r="JX5" s="712"/>
      <c r="JY5" s="712"/>
      <c r="JZ5" s="712"/>
      <c r="KA5" s="712"/>
      <c r="KB5" s="712"/>
      <c r="KC5" s="712"/>
      <c r="KD5" s="712"/>
      <c r="KE5" s="712"/>
      <c r="KF5" s="712"/>
      <c r="KG5" s="712"/>
      <c r="KH5" s="712"/>
      <c r="KI5" s="712"/>
      <c r="KJ5" s="712"/>
      <c r="KK5" s="712"/>
      <c r="KL5" s="712"/>
      <c r="KM5" s="712"/>
      <c r="KN5" s="712"/>
      <c r="KO5" s="712"/>
      <c r="KP5" s="712"/>
      <c r="KQ5" s="712"/>
      <c r="KR5" s="712"/>
      <c r="KS5" s="713"/>
      <c r="KT5" s="714" t="s">
        <v>309</v>
      </c>
      <c r="KU5" s="714" t="s">
        <v>308</v>
      </c>
    </row>
    <row r="6" spans="1:308">
      <c r="A6" s="715" t="s">
        <v>28</v>
      </c>
      <c r="B6" s="718" t="s">
        <v>4</v>
      </c>
      <c r="C6" s="718" t="s">
        <v>5</v>
      </c>
      <c r="D6" s="721" t="s">
        <v>40</v>
      </c>
      <c r="E6" s="724" t="s">
        <v>38</v>
      </c>
      <c r="F6" s="727" t="s">
        <v>310</v>
      </c>
      <c r="G6" s="728"/>
      <c r="H6" s="729"/>
      <c r="I6" s="727" t="s">
        <v>311</v>
      </c>
      <c r="J6" s="728"/>
      <c r="K6" s="729"/>
      <c r="L6" s="727" t="s">
        <v>312</v>
      </c>
      <c r="M6" s="728"/>
      <c r="N6" s="729"/>
      <c r="O6" s="727" t="s">
        <v>313</v>
      </c>
      <c r="P6" s="728"/>
      <c r="Q6" s="729"/>
      <c r="R6" s="727" t="s">
        <v>314</v>
      </c>
      <c r="S6" s="728"/>
      <c r="T6" s="729"/>
      <c r="U6" s="727" t="s">
        <v>315</v>
      </c>
      <c r="V6" s="728"/>
      <c r="W6" s="729"/>
      <c r="X6" s="727" t="s">
        <v>316</v>
      </c>
      <c r="Y6" s="728"/>
      <c r="Z6" s="729"/>
      <c r="AA6" s="727" t="s">
        <v>317</v>
      </c>
      <c r="AB6" s="728"/>
      <c r="AC6" s="729"/>
      <c r="AD6" s="727" t="s">
        <v>318</v>
      </c>
      <c r="AE6" s="728"/>
      <c r="AF6" s="729"/>
      <c r="AG6" s="727" t="s">
        <v>319</v>
      </c>
      <c r="AH6" s="728"/>
      <c r="AI6" s="729"/>
      <c r="AJ6" s="727" t="s">
        <v>320</v>
      </c>
      <c r="AK6" s="728"/>
      <c r="AL6" s="729"/>
      <c r="AM6" s="727" t="s">
        <v>321</v>
      </c>
      <c r="AN6" s="728"/>
      <c r="AO6" s="729"/>
      <c r="AP6" s="727" t="s">
        <v>322</v>
      </c>
      <c r="AQ6" s="728"/>
      <c r="AR6" s="729"/>
      <c r="AS6" s="727" t="s">
        <v>323</v>
      </c>
      <c r="AT6" s="728"/>
      <c r="AU6" s="729"/>
      <c r="AV6" s="727" t="s">
        <v>324</v>
      </c>
      <c r="AW6" s="728"/>
      <c r="AX6" s="729"/>
      <c r="AY6" s="730" t="s">
        <v>325</v>
      </c>
      <c r="AZ6" s="731"/>
      <c r="BA6" s="731"/>
      <c r="BB6" s="730" t="s">
        <v>326</v>
      </c>
      <c r="BC6" s="731"/>
      <c r="BD6" s="732"/>
      <c r="BE6" s="730" t="s">
        <v>327</v>
      </c>
      <c r="BF6" s="731"/>
      <c r="BG6" s="731"/>
      <c r="BH6" s="730" t="s">
        <v>328</v>
      </c>
      <c r="BI6" s="731"/>
      <c r="BJ6" s="732"/>
      <c r="BK6" s="730" t="s">
        <v>329</v>
      </c>
      <c r="BL6" s="731"/>
      <c r="BM6" s="731"/>
      <c r="BN6" s="730" t="s">
        <v>330</v>
      </c>
      <c r="BO6" s="731"/>
      <c r="BP6" s="732"/>
      <c r="BQ6" s="730" t="s">
        <v>331</v>
      </c>
      <c r="BR6" s="731"/>
      <c r="BS6" s="731"/>
      <c r="BT6" s="730" t="s">
        <v>332</v>
      </c>
      <c r="BU6" s="731"/>
      <c r="BV6" s="732"/>
      <c r="BW6" s="730" t="s">
        <v>333</v>
      </c>
      <c r="BX6" s="731"/>
      <c r="BY6" s="731"/>
      <c r="BZ6" s="730" t="s">
        <v>334</v>
      </c>
      <c r="CA6" s="731"/>
      <c r="CB6" s="732"/>
      <c r="CC6" s="730" t="s">
        <v>335</v>
      </c>
      <c r="CD6" s="731"/>
      <c r="CE6" s="731"/>
      <c r="CF6" s="730" t="s">
        <v>336</v>
      </c>
      <c r="CG6" s="731"/>
      <c r="CH6" s="732"/>
      <c r="CI6" s="730" t="s">
        <v>337</v>
      </c>
      <c r="CJ6" s="731"/>
      <c r="CK6" s="731"/>
      <c r="CL6" s="730" t="s">
        <v>338</v>
      </c>
      <c r="CM6" s="731"/>
      <c r="CN6" s="732"/>
      <c r="CO6" s="730" t="s">
        <v>339</v>
      </c>
      <c r="CP6" s="731"/>
      <c r="CQ6" s="731"/>
      <c r="CR6" s="730" t="s">
        <v>340</v>
      </c>
      <c r="CS6" s="731"/>
      <c r="CT6" s="732"/>
      <c r="CU6" s="730" t="s">
        <v>223</v>
      </c>
      <c r="CV6" s="731"/>
      <c r="CW6" s="731"/>
      <c r="CX6" s="730" t="s">
        <v>341</v>
      </c>
      <c r="CY6" s="731"/>
      <c r="CZ6" s="732"/>
      <c r="DA6" s="730" t="s">
        <v>342</v>
      </c>
      <c r="DB6" s="731"/>
      <c r="DC6" s="731"/>
      <c r="DD6" s="730" t="s">
        <v>343</v>
      </c>
      <c r="DE6" s="731"/>
      <c r="DF6" s="732"/>
      <c r="DG6" s="730" t="s">
        <v>344</v>
      </c>
      <c r="DH6" s="731"/>
      <c r="DI6" s="731"/>
      <c r="DJ6" s="730" t="s">
        <v>345</v>
      </c>
      <c r="DK6" s="731"/>
      <c r="DL6" s="732"/>
      <c r="DM6" s="730" t="s">
        <v>346</v>
      </c>
      <c r="DN6" s="731"/>
      <c r="DO6" s="731"/>
      <c r="DP6" s="730" t="s">
        <v>347</v>
      </c>
      <c r="DQ6" s="731"/>
      <c r="DR6" s="732"/>
      <c r="DS6" s="730" t="s">
        <v>348</v>
      </c>
      <c r="DT6" s="731"/>
      <c r="DU6" s="731"/>
      <c r="DV6" s="730" t="s">
        <v>349</v>
      </c>
      <c r="DW6" s="731"/>
      <c r="DX6" s="732"/>
      <c r="DY6" s="730" t="s">
        <v>350</v>
      </c>
      <c r="DZ6" s="731"/>
      <c r="EA6" s="731"/>
      <c r="EB6" s="730" t="s">
        <v>381</v>
      </c>
      <c r="EC6" s="731"/>
      <c r="ED6" s="732"/>
      <c r="EE6" s="730" t="s">
        <v>466</v>
      </c>
      <c r="EF6" s="731"/>
      <c r="EG6" s="731"/>
      <c r="EH6" s="730"/>
      <c r="EI6" s="731"/>
      <c r="EJ6" s="732"/>
      <c r="EK6" s="730"/>
      <c r="EL6" s="731"/>
      <c r="EM6" s="731"/>
      <c r="EN6" s="730"/>
      <c r="EO6" s="731"/>
      <c r="EP6" s="732"/>
      <c r="EQ6" s="730"/>
      <c r="ER6" s="731"/>
      <c r="ES6" s="731"/>
      <c r="ET6" s="730"/>
      <c r="EU6" s="731"/>
      <c r="EV6" s="732"/>
      <c r="EW6" s="730"/>
      <c r="EX6" s="731"/>
      <c r="EY6" s="731"/>
      <c r="EZ6" s="730"/>
      <c r="FA6" s="731"/>
      <c r="FB6" s="732"/>
      <c r="FC6" s="730"/>
      <c r="FD6" s="731"/>
      <c r="FE6" s="731"/>
      <c r="FF6" s="730"/>
      <c r="FG6" s="731"/>
      <c r="FH6" s="732"/>
      <c r="FI6" s="730"/>
      <c r="FJ6" s="731"/>
      <c r="FK6" s="731"/>
      <c r="FL6" s="730"/>
      <c r="FM6" s="731"/>
      <c r="FN6" s="732"/>
      <c r="FO6" s="730"/>
      <c r="FP6" s="731"/>
      <c r="FQ6" s="731"/>
      <c r="FR6" s="730"/>
      <c r="FS6" s="731"/>
      <c r="FT6" s="732"/>
      <c r="FU6" s="730"/>
      <c r="FV6" s="731"/>
      <c r="FW6" s="731"/>
      <c r="FX6" s="730"/>
      <c r="FY6" s="731"/>
      <c r="FZ6" s="732"/>
      <c r="GA6" s="730"/>
      <c r="GB6" s="731"/>
      <c r="GC6" s="731"/>
      <c r="GD6" s="730" t="s">
        <v>351</v>
      </c>
      <c r="GE6" s="731"/>
      <c r="GF6" s="732"/>
      <c r="GG6" s="730" t="s">
        <v>352</v>
      </c>
      <c r="GH6" s="731"/>
      <c r="GI6" s="731"/>
      <c r="GJ6" s="730" t="s">
        <v>353</v>
      </c>
      <c r="GK6" s="731"/>
      <c r="GL6" s="732"/>
      <c r="GM6" s="730" t="s">
        <v>354</v>
      </c>
      <c r="GN6" s="731"/>
      <c r="GO6" s="731"/>
      <c r="GP6" s="730" t="s">
        <v>355</v>
      </c>
      <c r="GQ6" s="731"/>
      <c r="GR6" s="732"/>
      <c r="GS6" s="730" t="s">
        <v>356</v>
      </c>
      <c r="GT6" s="731"/>
      <c r="GU6" s="731"/>
      <c r="GV6" s="730" t="s">
        <v>357</v>
      </c>
      <c r="GW6" s="731"/>
      <c r="GX6" s="732"/>
      <c r="GY6" s="730" t="s">
        <v>358</v>
      </c>
      <c r="GZ6" s="731"/>
      <c r="HA6" s="731"/>
      <c r="HB6" s="730" t="s">
        <v>334</v>
      </c>
      <c r="HC6" s="731"/>
      <c r="HD6" s="732"/>
      <c r="HE6" s="730" t="s">
        <v>349</v>
      </c>
      <c r="HF6" s="731"/>
      <c r="HG6" s="731"/>
      <c r="HH6" s="730" t="s">
        <v>348</v>
      </c>
      <c r="HI6" s="731"/>
      <c r="HJ6" s="732"/>
      <c r="HK6" s="730" t="s">
        <v>330</v>
      </c>
      <c r="HL6" s="731"/>
      <c r="HM6" s="731"/>
      <c r="HN6" s="730" t="s">
        <v>359</v>
      </c>
      <c r="HO6" s="731"/>
      <c r="HP6" s="732"/>
      <c r="HQ6" s="730" t="s">
        <v>223</v>
      </c>
      <c r="HR6" s="731"/>
      <c r="HS6" s="731"/>
      <c r="HT6" s="730" t="s">
        <v>360</v>
      </c>
      <c r="HU6" s="731"/>
      <c r="HV6" s="732"/>
      <c r="HW6" s="730" t="s">
        <v>361</v>
      </c>
      <c r="HX6" s="731"/>
      <c r="HY6" s="731"/>
      <c r="HZ6" s="730" t="s">
        <v>362</v>
      </c>
      <c r="IA6" s="731"/>
      <c r="IB6" s="732"/>
      <c r="IC6" s="730" t="s">
        <v>363</v>
      </c>
      <c r="ID6" s="731"/>
      <c r="IE6" s="731"/>
      <c r="IF6" s="730" t="s">
        <v>364</v>
      </c>
      <c r="IG6" s="731"/>
      <c r="IH6" s="732"/>
      <c r="II6" s="733" t="s">
        <v>336</v>
      </c>
      <c r="IJ6" s="733"/>
      <c r="IK6" s="733"/>
      <c r="IL6" s="730" t="s">
        <v>339</v>
      </c>
      <c r="IM6" s="731"/>
      <c r="IN6" s="732"/>
      <c r="IO6" s="730" t="s">
        <v>340</v>
      </c>
      <c r="IP6" s="731"/>
      <c r="IQ6" s="731"/>
      <c r="IR6" s="730" t="s">
        <v>335</v>
      </c>
      <c r="IS6" s="731"/>
      <c r="IT6" s="732"/>
      <c r="IU6" s="730" t="s">
        <v>365</v>
      </c>
      <c r="IV6" s="731"/>
      <c r="IW6" s="731"/>
      <c r="IX6" s="730" t="s">
        <v>342</v>
      </c>
      <c r="IY6" s="731"/>
      <c r="IZ6" s="732"/>
      <c r="JA6" s="730" t="s">
        <v>366</v>
      </c>
      <c r="JB6" s="731"/>
      <c r="JC6" s="731"/>
      <c r="JD6" s="730" t="s">
        <v>367</v>
      </c>
      <c r="JE6" s="731"/>
      <c r="JF6" s="732"/>
      <c r="JG6" s="730" t="s">
        <v>368</v>
      </c>
      <c r="JH6" s="731"/>
      <c r="JI6" s="731"/>
      <c r="JJ6" s="730" t="s">
        <v>382</v>
      </c>
      <c r="JK6" s="731"/>
      <c r="JL6" s="732"/>
      <c r="JM6" s="730"/>
      <c r="JN6" s="731"/>
      <c r="JO6" s="731"/>
      <c r="JP6" s="730"/>
      <c r="JQ6" s="731"/>
      <c r="JR6" s="732"/>
      <c r="JS6" s="730"/>
      <c r="JT6" s="731"/>
      <c r="JU6" s="731"/>
      <c r="JV6" s="730"/>
      <c r="JW6" s="731"/>
      <c r="JX6" s="732"/>
      <c r="JY6" s="730"/>
      <c r="JZ6" s="731"/>
      <c r="KA6" s="731"/>
      <c r="KB6" s="730"/>
      <c r="KC6" s="731"/>
      <c r="KD6" s="732"/>
      <c r="KE6" s="730"/>
      <c r="KF6" s="731"/>
      <c r="KG6" s="731"/>
      <c r="KH6" s="730"/>
      <c r="KI6" s="731"/>
      <c r="KJ6" s="732"/>
      <c r="KK6" s="730"/>
      <c r="KL6" s="731"/>
      <c r="KM6" s="731"/>
      <c r="KN6" s="730"/>
      <c r="KO6" s="731"/>
      <c r="KP6" s="732"/>
      <c r="KQ6" s="733"/>
      <c r="KR6" s="733"/>
      <c r="KS6" s="733"/>
      <c r="KT6" s="714"/>
      <c r="KU6" s="714"/>
    </row>
    <row r="7" spans="1:308">
      <c r="A7" s="716"/>
      <c r="B7" s="719"/>
      <c r="C7" s="719"/>
      <c r="D7" s="722"/>
      <c r="E7" s="725"/>
      <c r="F7" s="727" t="s">
        <v>133</v>
      </c>
      <c r="G7" s="729"/>
      <c r="H7" s="521" t="s">
        <v>369</v>
      </c>
      <c r="I7" s="727" t="s">
        <v>133</v>
      </c>
      <c r="J7" s="729"/>
      <c r="K7" s="521" t="s">
        <v>369</v>
      </c>
      <c r="L7" s="727" t="s">
        <v>133</v>
      </c>
      <c r="M7" s="729"/>
      <c r="N7" s="521" t="s">
        <v>369</v>
      </c>
      <c r="O7" s="727" t="s">
        <v>133</v>
      </c>
      <c r="P7" s="729"/>
      <c r="Q7" s="521" t="s">
        <v>369</v>
      </c>
      <c r="R7" s="727" t="s">
        <v>133</v>
      </c>
      <c r="S7" s="729"/>
      <c r="T7" s="521" t="s">
        <v>369</v>
      </c>
      <c r="U7" s="727" t="s">
        <v>133</v>
      </c>
      <c r="V7" s="729"/>
      <c r="W7" s="521" t="s">
        <v>369</v>
      </c>
      <c r="X7" s="727" t="s">
        <v>133</v>
      </c>
      <c r="Y7" s="729"/>
      <c r="Z7" s="521" t="s">
        <v>369</v>
      </c>
      <c r="AA7" s="727" t="s">
        <v>133</v>
      </c>
      <c r="AB7" s="729"/>
      <c r="AC7" s="521" t="s">
        <v>369</v>
      </c>
      <c r="AD7" s="727" t="s">
        <v>133</v>
      </c>
      <c r="AE7" s="729"/>
      <c r="AF7" s="521" t="s">
        <v>369</v>
      </c>
      <c r="AG7" s="727" t="s">
        <v>133</v>
      </c>
      <c r="AH7" s="729"/>
      <c r="AI7" s="521" t="s">
        <v>369</v>
      </c>
      <c r="AJ7" s="727" t="s">
        <v>133</v>
      </c>
      <c r="AK7" s="729"/>
      <c r="AL7" s="521" t="s">
        <v>369</v>
      </c>
      <c r="AM7" s="727" t="s">
        <v>133</v>
      </c>
      <c r="AN7" s="729"/>
      <c r="AO7" s="521" t="s">
        <v>369</v>
      </c>
      <c r="AP7" s="727" t="s">
        <v>133</v>
      </c>
      <c r="AQ7" s="729"/>
      <c r="AR7" s="521" t="s">
        <v>369</v>
      </c>
      <c r="AS7" s="727" t="s">
        <v>133</v>
      </c>
      <c r="AT7" s="729"/>
      <c r="AU7" s="521" t="s">
        <v>369</v>
      </c>
      <c r="AV7" s="727" t="s">
        <v>133</v>
      </c>
      <c r="AW7" s="729"/>
      <c r="AX7" s="521" t="s">
        <v>369</v>
      </c>
      <c r="AY7" s="727" t="s">
        <v>133</v>
      </c>
      <c r="AZ7" s="729"/>
      <c r="BA7" s="521" t="s">
        <v>369</v>
      </c>
      <c r="BB7" s="727" t="s">
        <v>133</v>
      </c>
      <c r="BC7" s="729"/>
      <c r="BD7" s="521" t="s">
        <v>369</v>
      </c>
      <c r="BE7" s="727" t="s">
        <v>133</v>
      </c>
      <c r="BF7" s="729"/>
      <c r="BG7" s="521" t="s">
        <v>369</v>
      </c>
      <c r="BH7" s="727" t="s">
        <v>133</v>
      </c>
      <c r="BI7" s="729"/>
      <c r="BJ7" s="521" t="s">
        <v>369</v>
      </c>
      <c r="BK7" s="727" t="s">
        <v>133</v>
      </c>
      <c r="BL7" s="729"/>
      <c r="BM7" s="521" t="s">
        <v>369</v>
      </c>
      <c r="BN7" s="727" t="s">
        <v>133</v>
      </c>
      <c r="BO7" s="729"/>
      <c r="BP7" s="521" t="s">
        <v>369</v>
      </c>
      <c r="BQ7" s="727" t="s">
        <v>133</v>
      </c>
      <c r="BR7" s="729"/>
      <c r="BS7" s="521" t="s">
        <v>369</v>
      </c>
      <c r="BT7" s="727" t="s">
        <v>133</v>
      </c>
      <c r="BU7" s="729"/>
      <c r="BV7" s="521" t="s">
        <v>369</v>
      </c>
      <c r="BW7" s="727" t="s">
        <v>133</v>
      </c>
      <c r="BX7" s="729"/>
      <c r="BY7" s="521" t="s">
        <v>369</v>
      </c>
      <c r="BZ7" s="727" t="s">
        <v>133</v>
      </c>
      <c r="CA7" s="729"/>
      <c r="CB7" s="521" t="s">
        <v>369</v>
      </c>
      <c r="CC7" s="727" t="s">
        <v>133</v>
      </c>
      <c r="CD7" s="729"/>
      <c r="CE7" s="521" t="s">
        <v>369</v>
      </c>
      <c r="CF7" s="727" t="s">
        <v>133</v>
      </c>
      <c r="CG7" s="729"/>
      <c r="CH7" s="521" t="s">
        <v>369</v>
      </c>
      <c r="CI7" s="727" t="s">
        <v>133</v>
      </c>
      <c r="CJ7" s="729"/>
      <c r="CK7" s="521" t="s">
        <v>369</v>
      </c>
      <c r="CL7" s="727" t="s">
        <v>133</v>
      </c>
      <c r="CM7" s="729"/>
      <c r="CN7" s="521" t="s">
        <v>369</v>
      </c>
      <c r="CO7" s="727" t="s">
        <v>133</v>
      </c>
      <c r="CP7" s="729"/>
      <c r="CQ7" s="521" t="s">
        <v>369</v>
      </c>
      <c r="CR7" s="727" t="s">
        <v>133</v>
      </c>
      <c r="CS7" s="729"/>
      <c r="CT7" s="521" t="s">
        <v>369</v>
      </c>
      <c r="CU7" s="727" t="s">
        <v>133</v>
      </c>
      <c r="CV7" s="729"/>
      <c r="CW7" s="521" t="s">
        <v>369</v>
      </c>
      <c r="CX7" s="727" t="s">
        <v>133</v>
      </c>
      <c r="CY7" s="729"/>
      <c r="CZ7" s="521" t="s">
        <v>369</v>
      </c>
      <c r="DA7" s="727" t="s">
        <v>133</v>
      </c>
      <c r="DB7" s="729"/>
      <c r="DC7" s="521" t="s">
        <v>369</v>
      </c>
      <c r="DD7" s="727" t="s">
        <v>133</v>
      </c>
      <c r="DE7" s="729"/>
      <c r="DF7" s="521" t="s">
        <v>369</v>
      </c>
      <c r="DG7" s="727" t="s">
        <v>133</v>
      </c>
      <c r="DH7" s="729"/>
      <c r="DI7" s="521" t="s">
        <v>369</v>
      </c>
      <c r="DJ7" s="727" t="s">
        <v>133</v>
      </c>
      <c r="DK7" s="729"/>
      <c r="DL7" s="521" t="s">
        <v>369</v>
      </c>
      <c r="DM7" s="727" t="s">
        <v>133</v>
      </c>
      <c r="DN7" s="729"/>
      <c r="DO7" s="521" t="s">
        <v>369</v>
      </c>
      <c r="DP7" s="727" t="s">
        <v>133</v>
      </c>
      <c r="DQ7" s="729"/>
      <c r="DR7" s="521" t="s">
        <v>369</v>
      </c>
      <c r="DS7" s="727" t="s">
        <v>133</v>
      </c>
      <c r="DT7" s="729"/>
      <c r="DU7" s="521" t="s">
        <v>369</v>
      </c>
      <c r="DV7" s="727" t="s">
        <v>133</v>
      </c>
      <c r="DW7" s="729"/>
      <c r="DX7" s="521" t="s">
        <v>369</v>
      </c>
      <c r="DY7" s="727" t="s">
        <v>133</v>
      </c>
      <c r="DZ7" s="729"/>
      <c r="EA7" s="521" t="s">
        <v>369</v>
      </c>
      <c r="EB7" s="727" t="s">
        <v>133</v>
      </c>
      <c r="EC7" s="729"/>
      <c r="ED7" s="521" t="s">
        <v>369</v>
      </c>
      <c r="EE7" s="727" t="s">
        <v>133</v>
      </c>
      <c r="EF7" s="729"/>
      <c r="EG7" s="521" t="s">
        <v>369</v>
      </c>
      <c r="EH7" s="727" t="s">
        <v>133</v>
      </c>
      <c r="EI7" s="729"/>
      <c r="EJ7" s="521" t="s">
        <v>369</v>
      </c>
      <c r="EK7" s="727" t="s">
        <v>133</v>
      </c>
      <c r="EL7" s="729"/>
      <c r="EM7" s="521" t="s">
        <v>369</v>
      </c>
      <c r="EN7" s="727" t="s">
        <v>133</v>
      </c>
      <c r="EO7" s="729"/>
      <c r="EP7" s="521" t="s">
        <v>369</v>
      </c>
      <c r="EQ7" s="727" t="s">
        <v>133</v>
      </c>
      <c r="ER7" s="729"/>
      <c r="ES7" s="521" t="s">
        <v>369</v>
      </c>
      <c r="ET7" s="727" t="s">
        <v>133</v>
      </c>
      <c r="EU7" s="729"/>
      <c r="EV7" s="521" t="s">
        <v>369</v>
      </c>
      <c r="EW7" s="727" t="s">
        <v>133</v>
      </c>
      <c r="EX7" s="729"/>
      <c r="EY7" s="521" t="s">
        <v>369</v>
      </c>
      <c r="EZ7" s="727" t="s">
        <v>133</v>
      </c>
      <c r="FA7" s="729"/>
      <c r="FB7" s="521" t="s">
        <v>369</v>
      </c>
      <c r="FC7" s="727" t="s">
        <v>133</v>
      </c>
      <c r="FD7" s="729"/>
      <c r="FE7" s="521" t="s">
        <v>369</v>
      </c>
      <c r="FF7" s="727" t="s">
        <v>133</v>
      </c>
      <c r="FG7" s="729"/>
      <c r="FH7" s="521" t="s">
        <v>369</v>
      </c>
      <c r="FI7" s="727" t="s">
        <v>133</v>
      </c>
      <c r="FJ7" s="729"/>
      <c r="FK7" s="521" t="s">
        <v>369</v>
      </c>
      <c r="FL7" s="727" t="s">
        <v>133</v>
      </c>
      <c r="FM7" s="729"/>
      <c r="FN7" s="521" t="s">
        <v>369</v>
      </c>
      <c r="FO7" s="727" t="s">
        <v>133</v>
      </c>
      <c r="FP7" s="729"/>
      <c r="FQ7" s="521" t="s">
        <v>369</v>
      </c>
      <c r="FR7" s="727" t="s">
        <v>133</v>
      </c>
      <c r="FS7" s="729"/>
      <c r="FT7" s="521" t="s">
        <v>369</v>
      </c>
      <c r="FU7" s="727" t="s">
        <v>133</v>
      </c>
      <c r="FV7" s="729"/>
      <c r="FW7" s="521" t="s">
        <v>369</v>
      </c>
      <c r="FX7" s="727" t="s">
        <v>133</v>
      </c>
      <c r="FY7" s="729"/>
      <c r="FZ7" s="521" t="s">
        <v>369</v>
      </c>
      <c r="GA7" s="727" t="s">
        <v>133</v>
      </c>
      <c r="GB7" s="729"/>
      <c r="GC7" s="521" t="s">
        <v>369</v>
      </c>
      <c r="GD7" s="727" t="s">
        <v>133</v>
      </c>
      <c r="GE7" s="729"/>
      <c r="GF7" s="521" t="s">
        <v>369</v>
      </c>
      <c r="GG7" s="727" t="s">
        <v>133</v>
      </c>
      <c r="GH7" s="729"/>
      <c r="GI7" s="521" t="s">
        <v>369</v>
      </c>
      <c r="GJ7" s="727" t="s">
        <v>133</v>
      </c>
      <c r="GK7" s="729"/>
      <c r="GL7" s="521" t="s">
        <v>369</v>
      </c>
      <c r="GM7" s="727" t="s">
        <v>133</v>
      </c>
      <c r="GN7" s="729"/>
      <c r="GO7" s="521" t="s">
        <v>369</v>
      </c>
      <c r="GP7" s="727" t="s">
        <v>133</v>
      </c>
      <c r="GQ7" s="729"/>
      <c r="GR7" s="521" t="s">
        <v>369</v>
      </c>
      <c r="GS7" s="727" t="s">
        <v>133</v>
      </c>
      <c r="GT7" s="729"/>
      <c r="GU7" s="521" t="s">
        <v>369</v>
      </c>
      <c r="GV7" s="727" t="s">
        <v>133</v>
      </c>
      <c r="GW7" s="729"/>
      <c r="GX7" s="521" t="s">
        <v>369</v>
      </c>
      <c r="GY7" s="727" t="s">
        <v>133</v>
      </c>
      <c r="GZ7" s="729"/>
      <c r="HA7" s="521" t="s">
        <v>369</v>
      </c>
      <c r="HB7" s="727" t="s">
        <v>133</v>
      </c>
      <c r="HC7" s="729"/>
      <c r="HD7" s="521" t="s">
        <v>369</v>
      </c>
      <c r="HE7" s="727" t="s">
        <v>133</v>
      </c>
      <c r="HF7" s="729"/>
      <c r="HG7" s="521" t="s">
        <v>369</v>
      </c>
      <c r="HH7" s="727" t="s">
        <v>133</v>
      </c>
      <c r="HI7" s="729"/>
      <c r="HJ7" s="521" t="s">
        <v>369</v>
      </c>
      <c r="HK7" s="727" t="s">
        <v>133</v>
      </c>
      <c r="HL7" s="729"/>
      <c r="HM7" s="521" t="s">
        <v>369</v>
      </c>
      <c r="HN7" s="727" t="s">
        <v>133</v>
      </c>
      <c r="HO7" s="729"/>
      <c r="HP7" s="521" t="s">
        <v>369</v>
      </c>
      <c r="HQ7" s="727" t="s">
        <v>133</v>
      </c>
      <c r="HR7" s="729"/>
      <c r="HS7" s="521" t="s">
        <v>369</v>
      </c>
      <c r="HT7" s="727" t="s">
        <v>133</v>
      </c>
      <c r="HU7" s="729"/>
      <c r="HV7" s="521" t="s">
        <v>369</v>
      </c>
      <c r="HW7" s="727" t="s">
        <v>133</v>
      </c>
      <c r="HX7" s="729"/>
      <c r="HY7" s="521" t="s">
        <v>369</v>
      </c>
      <c r="HZ7" s="727" t="s">
        <v>133</v>
      </c>
      <c r="IA7" s="729"/>
      <c r="IB7" s="521" t="s">
        <v>369</v>
      </c>
      <c r="IC7" s="727" t="s">
        <v>133</v>
      </c>
      <c r="ID7" s="729"/>
      <c r="IE7" s="521" t="s">
        <v>369</v>
      </c>
      <c r="IF7" s="727" t="s">
        <v>133</v>
      </c>
      <c r="IG7" s="729"/>
      <c r="IH7" s="521" t="s">
        <v>369</v>
      </c>
      <c r="II7" s="733" t="s">
        <v>133</v>
      </c>
      <c r="IJ7" s="733"/>
      <c r="IK7" s="522" t="s">
        <v>369</v>
      </c>
      <c r="IL7" s="727" t="s">
        <v>133</v>
      </c>
      <c r="IM7" s="729"/>
      <c r="IN7" s="521" t="s">
        <v>369</v>
      </c>
      <c r="IO7" s="727" t="s">
        <v>133</v>
      </c>
      <c r="IP7" s="729"/>
      <c r="IQ7" s="521" t="s">
        <v>369</v>
      </c>
      <c r="IR7" s="727" t="s">
        <v>133</v>
      </c>
      <c r="IS7" s="729"/>
      <c r="IT7" s="521" t="s">
        <v>369</v>
      </c>
      <c r="IU7" s="727" t="s">
        <v>133</v>
      </c>
      <c r="IV7" s="729"/>
      <c r="IW7" s="521" t="s">
        <v>369</v>
      </c>
      <c r="IX7" s="727" t="s">
        <v>133</v>
      </c>
      <c r="IY7" s="729"/>
      <c r="IZ7" s="521" t="s">
        <v>369</v>
      </c>
      <c r="JA7" s="727" t="s">
        <v>133</v>
      </c>
      <c r="JB7" s="729"/>
      <c r="JC7" s="521" t="s">
        <v>369</v>
      </c>
      <c r="JD7" s="727" t="s">
        <v>133</v>
      </c>
      <c r="JE7" s="729"/>
      <c r="JF7" s="521" t="s">
        <v>369</v>
      </c>
      <c r="JG7" s="727" t="s">
        <v>133</v>
      </c>
      <c r="JH7" s="729"/>
      <c r="JI7" s="521" t="s">
        <v>369</v>
      </c>
      <c r="JJ7" s="727" t="s">
        <v>133</v>
      </c>
      <c r="JK7" s="729"/>
      <c r="JL7" s="521" t="s">
        <v>369</v>
      </c>
      <c r="JM7" s="727" t="s">
        <v>133</v>
      </c>
      <c r="JN7" s="729"/>
      <c r="JO7" s="521" t="s">
        <v>369</v>
      </c>
      <c r="JP7" s="727" t="s">
        <v>133</v>
      </c>
      <c r="JQ7" s="729"/>
      <c r="JR7" s="521" t="s">
        <v>369</v>
      </c>
      <c r="JS7" s="727" t="s">
        <v>133</v>
      </c>
      <c r="JT7" s="729"/>
      <c r="JU7" s="521" t="s">
        <v>369</v>
      </c>
      <c r="JV7" s="727" t="s">
        <v>133</v>
      </c>
      <c r="JW7" s="729"/>
      <c r="JX7" s="521" t="s">
        <v>369</v>
      </c>
      <c r="JY7" s="727" t="s">
        <v>133</v>
      </c>
      <c r="JZ7" s="729"/>
      <c r="KA7" s="521" t="s">
        <v>369</v>
      </c>
      <c r="KB7" s="727" t="s">
        <v>133</v>
      </c>
      <c r="KC7" s="729"/>
      <c r="KD7" s="521" t="s">
        <v>369</v>
      </c>
      <c r="KE7" s="727" t="s">
        <v>133</v>
      </c>
      <c r="KF7" s="729"/>
      <c r="KG7" s="521" t="s">
        <v>369</v>
      </c>
      <c r="KH7" s="727" t="s">
        <v>133</v>
      </c>
      <c r="KI7" s="729"/>
      <c r="KJ7" s="521" t="s">
        <v>369</v>
      </c>
      <c r="KK7" s="727" t="s">
        <v>133</v>
      </c>
      <c r="KL7" s="729"/>
      <c r="KM7" s="521" t="s">
        <v>369</v>
      </c>
      <c r="KN7" s="727" t="s">
        <v>133</v>
      </c>
      <c r="KO7" s="729"/>
      <c r="KP7" s="521" t="s">
        <v>369</v>
      </c>
      <c r="KQ7" s="733" t="s">
        <v>133</v>
      </c>
      <c r="KR7" s="733"/>
      <c r="KS7" s="522" t="s">
        <v>369</v>
      </c>
      <c r="KT7" s="714"/>
      <c r="KU7" s="714"/>
    </row>
    <row r="8" spans="1:308" ht="13.5" thickBot="1">
      <c r="A8" s="717"/>
      <c r="B8" s="720"/>
      <c r="C8" s="720"/>
      <c r="D8" s="723"/>
      <c r="E8" s="726"/>
      <c r="F8" s="537" t="s">
        <v>135</v>
      </c>
      <c r="G8" s="537" t="s">
        <v>39</v>
      </c>
      <c r="H8" s="538"/>
      <c r="I8" s="537" t="s">
        <v>135</v>
      </c>
      <c r="J8" s="537" t="s">
        <v>39</v>
      </c>
      <c r="K8" s="538"/>
      <c r="L8" s="537" t="s">
        <v>135</v>
      </c>
      <c r="M8" s="537" t="s">
        <v>39</v>
      </c>
      <c r="N8" s="538"/>
      <c r="O8" s="537" t="s">
        <v>135</v>
      </c>
      <c r="P8" s="537" t="s">
        <v>39</v>
      </c>
      <c r="Q8" s="538"/>
      <c r="R8" s="537" t="s">
        <v>135</v>
      </c>
      <c r="S8" s="537" t="s">
        <v>39</v>
      </c>
      <c r="T8" s="538"/>
      <c r="U8" s="537" t="s">
        <v>135</v>
      </c>
      <c r="V8" s="537" t="s">
        <v>39</v>
      </c>
      <c r="W8" s="538"/>
      <c r="X8" s="537" t="s">
        <v>135</v>
      </c>
      <c r="Y8" s="537" t="s">
        <v>39</v>
      </c>
      <c r="Z8" s="538"/>
      <c r="AA8" s="537" t="s">
        <v>135</v>
      </c>
      <c r="AB8" s="537" t="s">
        <v>39</v>
      </c>
      <c r="AC8" s="538"/>
      <c r="AD8" s="537" t="s">
        <v>135</v>
      </c>
      <c r="AE8" s="537" t="s">
        <v>39</v>
      </c>
      <c r="AF8" s="538"/>
      <c r="AG8" s="537" t="s">
        <v>135</v>
      </c>
      <c r="AH8" s="537" t="s">
        <v>39</v>
      </c>
      <c r="AI8" s="538"/>
      <c r="AJ8" s="537" t="s">
        <v>135</v>
      </c>
      <c r="AK8" s="537" t="s">
        <v>39</v>
      </c>
      <c r="AL8" s="538"/>
      <c r="AM8" s="537" t="s">
        <v>135</v>
      </c>
      <c r="AN8" s="537" t="s">
        <v>39</v>
      </c>
      <c r="AO8" s="538"/>
      <c r="AP8" s="537" t="s">
        <v>135</v>
      </c>
      <c r="AQ8" s="537" t="s">
        <v>39</v>
      </c>
      <c r="AR8" s="538"/>
      <c r="AS8" s="537" t="s">
        <v>135</v>
      </c>
      <c r="AT8" s="537" t="s">
        <v>39</v>
      </c>
      <c r="AU8" s="538"/>
      <c r="AV8" s="537" t="s">
        <v>135</v>
      </c>
      <c r="AW8" s="537" t="s">
        <v>39</v>
      </c>
      <c r="AX8" s="538"/>
      <c r="AY8" s="537" t="s">
        <v>135</v>
      </c>
      <c r="AZ8" s="537" t="s">
        <v>39</v>
      </c>
      <c r="BA8" s="538"/>
      <c r="BB8" s="537" t="s">
        <v>135</v>
      </c>
      <c r="BC8" s="537" t="s">
        <v>39</v>
      </c>
      <c r="BD8" s="538"/>
      <c r="BE8" s="537" t="s">
        <v>135</v>
      </c>
      <c r="BF8" s="537" t="s">
        <v>39</v>
      </c>
      <c r="BG8" s="538"/>
      <c r="BH8" s="537" t="s">
        <v>135</v>
      </c>
      <c r="BI8" s="537" t="s">
        <v>39</v>
      </c>
      <c r="BJ8" s="538"/>
      <c r="BK8" s="537" t="s">
        <v>135</v>
      </c>
      <c r="BL8" s="537" t="s">
        <v>39</v>
      </c>
      <c r="BM8" s="538"/>
      <c r="BN8" s="537" t="s">
        <v>135</v>
      </c>
      <c r="BO8" s="537" t="s">
        <v>39</v>
      </c>
      <c r="BP8" s="538"/>
      <c r="BQ8" s="537" t="s">
        <v>135</v>
      </c>
      <c r="BR8" s="537" t="s">
        <v>39</v>
      </c>
      <c r="BS8" s="538"/>
      <c r="BT8" s="537" t="s">
        <v>135</v>
      </c>
      <c r="BU8" s="537" t="s">
        <v>39</v>
      </c>
      <c r="BV8" s="538"/>
      <c r="BW8" s="537" t="s">
        <v>135</v>
      </c>
      <c r="BX8" s="537" t="s">
        <v>39</v>
      </c>
      <c r="BY8" s="538"/>
      <c r="BZ8" s="537" t="s">
        <v>135</v>
      </c>
      <c r="CA8" s="537" t="s">
        <v>39</v>
      </c>
      <c r="CB8" s="538"/>
      <c r="CC8" s="537" t="s">
        <v>135</v>
      </c>
      <c r="CD8" s="537" t="s">
        <v>39</v>
      </c>
      <c r="CE8" s="538"/>
      <c r="CF8" s="537" t="s">
        <v>135</v>
      </c>
      <c r="CG8" s="537" t="s">
        <v>39</v>
      </c>
      <c r="CH8" s="538"/>
      <c r="CI8" s="537" t="s">
        <v>135</v>
      </c>
      <c r="CJ8" s="537" t="s">
        <v>39</v>
      </c>
      <c r="CK8" s="538"/>
      <c r="CL8" s="537" t="s">
        <v>135</v>
      </c>
      <c r="CM8" s="537" t="s">
        <v>39</v>
      </c>
      <c r="CN8" s="538"/>
      <c r="CO8" s="537" t="s">
        <v>135</v>
      </c>
      <c r="CP8" s="537" t="s">
        <v>39</v>
      </c>
      <c r="CQ8" s="538"/>
      <c r="CR8" s="537" t="s">
        <v>135</v>
      </c>
      <c r="CS8" s="537" t="s">
        <v>39</v>
      </c>
      <c r="CT8" s="538"/>
      <c r="CU8" s="537" t="s">
        <v>135</v>
      </c>
      <c r="CV8" s="537" t="s">
        <v>39</v>
      </c>
      <c r="CW8" s="538"/>
      <c r="CX8" s="537" t="s">
        <v>135</v>
      </c>
      <c r="CY8" s="537" t="s">
        <v>39</v>
      </c>
      <c r="CZ8" s="538"/>
      <c r="DA8" s="537" t="s">
        <v>135</v>
      </c>
      <c r="DB8" s="537" t="s">
        <v>39</v>
      </c>
      <c r="DC8" s="538"/>
      <c r="DD8" s="537" t="s">
        <v>135</v>
      </c>
      <c r="DE8" s="537" t="s">
        <v>39</v>
      </c>
      <c r="DF8" s="538"/>
      <c r="DG8" s="537" t="s">
        <v>135</v>
      </c>
      <c r="DH8" s="537" t="s">
        <v>39</v>
      </c>
      <c r="DI8" s="538"/>
      <c r="DJ8" s="537" t="s">
        <v>135</v>
      </c>
      <c r="DK8" s="537" t="s">
        <v>39</v>
      </c>
      <c r="DL8" s="538"/>
      <c r="DM8" s="537" t="s">
        <v>135</v>
      </c>
      <c r="DN8" s="537" t="s">
        <v>39</v>
      </c>
      <c r="DO8" s="538"/>
      <c r="DP8" s="537" t="s">
        <v>135</v>
      </c>
      <c r="DQ8" s="537" t="s">
        <v>39</v>
      </c>
      <c r="DR8" s="538"/>
      <c r="DS8" s="537" t="s">
        <v>135</v>
      </c>
      <c r="DT8" s="537" t="s">
        <v>39</v>
      </c>
      <c r="DU8" s="538"/>
      <c r="DV8" s="537" t="s">
        <v>135</v>
      </c>
      <c r="DW8" s="537" t="s">
        <v>39</v>
      </c>
      <c r="DX8" s="538"/>
      <c r="DY8" s="537" t="s">
        <v>135</v>
      </c>
      <c r="DZ8" s="537" t="s">
        <v>39</v>
      </c>
      <c r="EA8" s="538"/>
      <c r="EB8" s="537" t="s">
        <v>135</v>
      </c>
      <c r="EC8" s="537" t="s">
        <v>39</v>
      </c>
      <c r="ED8" s="521"/>
      <c r="EE8" s="537" t="s">
        <v>135</v>
      </c>
      <c r="EF8" s="537" t="s">
        <v>39</v>
      </c>
      <c r="EG8" s="538"/>
      <c r="EH8" s="537" t="s">
        <v>135</v>
      </c>
      <c r="EI8" s="537" t="s">
        <v>39</v>
      </c>
      <c r="EJ8" s="538"/>
      <c r="EK8" s="537" t="s">
        <v>135</v>
      </c>
      <c r="EL8" s="537" t="s">
        <v>39</v>
      </c>
      <c r="EM8" s="538"/>
      <c r="EN8" s="537" t="s">
        <v>135</v>
      </c>
      <c r="EO8" s="537" t="s">
        <v>39</v>
      </c>
      <c r="EP8" s="538"/>
      <c r="EQ8" s="537" t="s">
        <v>135</v>
      </c>
      <c r="ER8" s="537" t="s">
        <v>39</v>
      </c>
      <c r="ES8" s="538"/>
      <c r="ET8" s="537" t="s">
        <v>135</v>
      </c>
      <c r="EU8" s="537" t="s">
        <v>39</v>
      </c>
      <c r="EV8" s="538"/>
      <c r="EW8" s="537" t="s">
        <v>135</v>
      </c>
      <c r="EX8" s="537" t="s">
        <v>39</v>
      </c>
      <c r="EY8" s="538"/>
      <c r="EZ8" s="537" t="s">
        <v>135</v>
      </c>
      <c r="FA8" s="537" t="s">
        <v>39</v>
      </c>
      <c r="FB8" s="538"/>
      <c r="FC8" s="537" t="s">
        <v>135</v>
      </c>
      <c r="FD8" s="537" t="s">
        <v>39</v>
      </c>
      <c r="FE8" s="538"/>
      <c r="FF8" s="537" t="s">
        <v>135</v>
      </c>
      <c r="FG8" s="537" t="s">
        <v>39</v>
      </c>
      <c r="FH8" s="538"/>
      <c r="FI8" s="537" t="s">
        <v>135</v>
      </c>
      <c r="FJ8" s="537" t="s">
        <v>39</v>
      </c>
      <c r="FK8" s="538"/>
      <c r="FL8" s="537" t="s">
        <v>135</v>
      </c>
      <c r="FM8" s="537" t="s">
        <v>39</v>
      </c>
      <c r="FN8" s="538"/>
      <c r="FO8" s="537" t="s">
        <v>135</v>
      </c>
      <c r="FP8" s="537" t="s">
        <v>39</v>
      </c>
      <c r="FQ8" s="538"/>
      <c r="FR8" s="537" t="s">
        <v>135</v>
      </c>
      <c r="FS8" s="537" t="s">
        <v>39</v>
      </c>
      <c r="FT8" s="538"/>
      <c r="FU8" s="537" t="s">
        <v>135</v>
      </c>
      <c r="FV8" s="537" t="s">
        <v>39</v>
      </c>
      <c r="FW8" s="538"/>
      <c r="FX8" s="537" t="s">
        <v>135</v>
      </c>
      <c r="FY8" s="537" t="s">
        <v>39</v>
      </c>
      <c r="FZ8" s="538"/>
      <c r="GA8" s="537" t="s">
        <v>135</v>
      </c>
      <c r="GB8" s="537" t="s">
        <v>39</v>
      </c>
      <c r="GC8" s="538"/>
      <c r="GD8" s="537" t="s">
        <v>135</v>
      </c>
      <c r="GE8" s="537" t="s">
        <v>39</v>
      </c>
      <c r="GF8" s="538"/>
      <c r="GG8" s="537" t="s">
        <v>135</v>
      </c>
      <c r="GH8" s="537" t="s">
        <v>39</v>
      </c>
      <c r="GI8" s="538"/>
      <c r="GJ8" s="537" t="s">
        <v>135</v>
      </c>
      <c r="GK8" s="537" t="s">
        <v>39</v>
      </c>
      <c r="GL8" s="538"/>
      <c r="GM8" s="537" t="s">
        <v>135</v>
      </c>
      <c r="GN8" s="537" t="s">
        <v>39</v>
      </c>
      <c r="GO8" s="538"/>
      <c r="GP8" s="537" t="s">
        <v>135</v>
      </c>
      <c r="GQ8" s="537" t="s">
        <v>39</v>
      </c>
      <c r="GR8" s="538"/>
      <c r="GS8" s="537" t="s">
        <v>135</v>
      </c>
      <c r="GT8" s="537" t="s">
        <v>39</v>
      </c>
      <c r="GU8" s="538"/>
      <c r="GV8" s="537" t="s">
        <v>135</v>
      </c>
      <c r="GW8" s="537" t="s">
        <v>39</v>
      </c>
      <c r="GX8" s="538"/>
      <c r="GY8" s="537" t="s">
        <v>135</v>
      </c>
      <c r="GZ8" s="537" t="s">
        <v>39</v>
      </c>
      <c r="HA8" s="538"/>
      <c r="HB8" s="537" t="s">
        <v>135</v>
      </c>
      <c r="HC8" s="537" t="s">
        <v>39</v>
      </c>
      <c r="HD8" s="538"/>
      <c r="HE8" s="537" t="s">
        <v>135</v>
      </c>
      <c r="HF8" s="537" t="s">
        <v>39</v>
      </c>
      <c r="HG8" s="538"/>
      <c r="HH8" s="537" t="s">
        <v>135</v>
      </c>
      <c r="HI8" s="537" t="s">
        <v>39</v>
      </c>
      <c r="HJ8" s="538"/>
      <c r="HK8" s="537" t="s">
        <v>135</v>
      </c>
      <c r="HL8" s="537" t="s">
        <v>39</v>
      </c>
      <c r="HM8" s="538"/>
      <c r="HN8" s="537" t="s">
        <v>135</v>
      </c>
      <c r="HO8" s="537" t="s">
        <v>39</v>
      </c>
      <c r="HP8" s="538"/>
      <c r="HQ8" s="537" t="s">
        <v>135</v>
      </c>
      <c r="HR8" s="537" t="s">
        <v>39</v>
      </c>
      <c r="HS8" s="538"/>
      <c r="HT8" s="537" t="s">
        <v>135</v>
      </c>
      <c r="HU8" s="537" t="s">
        <v>39</v>
      </c>
      <c r="HV8" s="538"/>
      <c r="HW8" s="537" t="s">
        <v>135</v>
      </c>
      <c r="HX8" s="537" t="s">
        <v>39</v>
      </c>
      <c r="HY8" s="538"/>
      <c r="HZ8" s="537" t="s">
        <v>135</v>
      </c>
      <c r="IA8" s="537" t="s">
        <v>39</v>
      </c>
      <c r="IB8" s="538"/>
      <c r="IC8" s="537" t="s">
        <v>135</v>
      </c>
      <c r="ID8" s="537" t="s">
        <v>39</v>
      </c>
      <c r="IE8" s="538"/>
      <c r="IF8" s="537" t="s">
        <v>135</v>
      </c>
      <c r="IG8" s="537" t="s">
        <v>39</v>
      </c>
      <c r="IH8" s="538"/>
      <c r="II8" s="537" t="s">
        <v>135</v>
      </c>
      <c r="IJ8" s="537" t="s">
        <v>39</v>
      </c>
      <c r="IK8" s="538"/>
      <c r="IL8" s="537" t="s">
        <v>135</v>
      </c>
      <c r="IM8" s="537" t="s">
        <v>39</v>
      </c>
      <c r="IN8" s="538"/>
      <c r="IO8" s="537" t="s">
        <v>135</v>
      </c>
      <c r="IP8" s="537" t="s">
        <v>39</v>
      </c>
      <c r="IQ8" s="538"/>
      <c r="IR8" s="537" t="s">
        <v>135</v>
      </c>
      <c r="IS8" s="537" t="s">
        <v>39</v>
      </c>
      <c r="IT8" s="538"/>
      <c r="IU8" s="537" t="s">
        <v>135</v>
      </c>
      <c r="IV8" s="537" t="s">
        <v>39</v>
      </c>
      <c r="IW8" s="538"/>
      <c r="IX8" s="537" t="s">
        <v>135</v>
      </c>
      <c r="IY8" s="537" t="s">
        <v>39</v>
      </c>
      <c r="IZ8" s="538"/>
      <c r="JA8" s="537" t="s">
        <v>135</v>
      </c>
      <c r="JB8" s="537" t="s">
        <v>39</v>
      </c>
      <c r="JC8" s="538"/>
      <c r="JD8" s="537" t="s">
        <v>135</v>
      </c>
      <c r="JE8" s="537" t="s">
        <v>39</v>
      </c>
      <c r="JF8" s="538"/>
      <c r="JG8" s="537" t="s">
        <v>135</v>
      </c>
      <c r="JH8" s="537" t="s">
        <v>39</v>
      </c>
      <c r="JI8" s="538"/>
      <c r="JJ8" s="537" t="s">
        <v>135</v>
      </c>
      <c r="JK8" s="537" t="s">
        <v>39</v>
      </c>
      <c r="JL8" s="538" t="s">
        <v>383</v>
      </c>
      <c r="JM8" s="537" t="s">
        <v>135</v>
      </c>
      <c r="JN8" s="537" t="s">
        <v>39</v>
      </c>
      <c r="JO8" s="538" t="s">
        <v>383</v>
      </c>
      <c r="JP8" s="537" t="s">
        <v>135</v>
      </c>
      <c r="JQ8" s="537" t="s">
        <v>39</v>
      </c>
      <c r="JR8" s="538" t="s">
        <v>383</v>
      </c>
      <c r="JS8" s="537" t="s">
        <v>135</v>
      </c>
      <c r="JT8" s="537" t="s">
        <v>39</v>
      </c>
      <c r="JU8" s="538" t="s">
        <v>383</v>
      </c>
      <c r="JV8" s="537" t="s">
        <v>135</v>
      </c>
      <c r="JW8" s="537" t="s">
        <v>39</v>
      </c>
      <c r="JX8" s="538" t="s">
        <v>383</v>
      </c>
      <c r="JY8" s="537" t="s">
        <v>135</v>
      </c>
      <c r="JZ8" s="537" t="s">
        <v>39</v>
      </c>
      <c r="KA8" s="538" t="s">
        <v>383</v>
      </c>
      <c r="KB8" s="537" t="s">
        <v>135</v>
      </c>
      <c r="KC8" s="537" t="s">
        <v>39</v>
      </c>
      <c r="KD8" s="538" t="s">
        <v>383</v>
      </c>
      <c r="KE8" s="537" t="s">
        <v>135</v>
      </c>
      <c r="KF8" s="537" t="s">
        <v>39</v>
      </c>
      <c r="KG8" s="538" t="s">
        <v>383</v>
      </c>
      <c r="KH8" s="537" t="s">
        <v>135</v>
      </c>
      <c r="KI8" s="537" t="s">
        <v>39</v>
      </c>
      <c r="KJ8" s="538" t="s">
        <v>383</v>
      </c>
      <c r="KK8" s="537" t="s">
        <v>135</v>
      </c>
      <c r="KL8" s="537" t="s">
        <v>39</v>
      </c>
      <c r="KM8" s="538" t="s">
        <v>383</v>
      </c>
      <c r="KN8" s="537" t="s">
        <v>135</v>
      </c>
      <c r="KO8" s="537" t="s">
        <v>39</v>
      </c>
      <c r="KP8" s="538" t="s">
        <v>383</v>
      </c>
      <c r="KQ8" s="537" t="s">
        <v>135</v>
      </c>
      <c r="KR8" s="537" t="s">
        <v>39</v>
      </c>
      <c r="KS8" s="538" t="s">
        <v>383</v>
      </c>
      <c r="KT8" s="714"/>
      <c r="KU8" s="714"/>
    </row>
    <row r="9" spans="1:308">
      <c r="A9" s="262">
        <f>+Report1!A9</f>
        <v>45962</v>
      </c>
      <c r="B9" s="263" t="str">
        <f>+Report1!B9</f>
        <v>STOP</v>
      </c>
      <c r="C9" s="263" t="str">
        <f>+Report1!C9</f>
        <v>12</v>
      </c>
      <c r="D9" s="264">
        <f>+Report1!P9</f>
        <v>0</v>
      </c>
      <c r="E9" s="562">
        <f>+Report1!R9</f>
        <v>0</v>
      </c>
      <c r="F9" s="523"/>
      <c r="G9" s="524" t="e">
        <f t="shared" ref="G9:G39" si="0">+F9/$E9</f>
        <v>#DIV/0!</v>
      </c>
      <c r="H9" s="525">
        <f>+F9*$H$8</f>
        <v>0</v>
      </c>
      <c r="I9" s="523"/>
      <c r="J9" s="524" t="e">
        <f t="shared" ref="J9:J39" si="1">+I9/$E9</f>
        <v>#DIV/0!</v>
      </c>
      <c r="K9" s="525">
        <f>+I9*$H$8</f>
        <v>0</v>
      </c>
      <c r="L9" s="523"/>
      <c r="M9" s="524" t="e">
        <f t="shared" ref="M9:M39" si="2">+L9/$E9</f>
        <v>#DIV/0!</v>
      </c>
      <c r="N9" s="525">
        <f>+L9*$H$8</f>
        <v>0</v>
      </c>
      <c r="O9" s="523"/>
      <c r="P9" s="524" t="e">
        <f t="shared" ref="P9:P39" si="3">+O9/$E9</f>
        <v>#DIV/0!</v>
      </c>
      <c r="Q9" s="525">
        <f>+O9*$H$8</f>
        <v>0</v>
      </c>
      <c r="R9" s="523"/>
      <c r="S9" s="524" t="e">
        <f t="shared" ref="S9:S39" si="4">+R9/$E9</f>
        <v>#DIV/0!</v>
      </c>
      <c r="T9" s="525">
        <f>+R9*$H$8</f>
        <v>0</v>
      </c>
      <c r="U9" s="523"/>
      <c r="V9" s="524" t="e">
        <f t="shared" ref="V9:V39" si="5">+U9/$E9</f>
        <v>#DIV/0!</v>
      </c>
      <c r="W9" s="525">
        <f>+U9*$H$8</f>
        <v>0</v>
      </c>
      <c r="X9" s="523"/>
      <c r="Y9" s="524" t="e">
        <f t="shared" ref="Y9:Y39" si="6">+X9/$E9</f>
        <v>#DIV/0!</v>
      </c>
      <c r="Z9" s="525">
        <f>+X9*$H$8</f>
        <v>0</v>
      </c>
      <c r="AA9" s="523"/>
      <c r="AB9" s="524" t="e">
        <f t="shared" ref="AB9:AB39" si="7">+AA9/$E9</f>
        <v>#DIV/0!</v>
      </c>
      <c r="AC9" s="525">
        <f>+AA9*$H$8</f>
        <v>0</v>
      </c>
      <c r="AD9" s="523"/>
      <c r="AE9" s="524" t="e">
        <f t="shared" ref="AE9:AE39" si="8">+AD9/$E9</f>
        <v>#DIV/0!</v>
      </c>
      <c r="AF9" s="525">
        <f>+AD9*$H$8</f>
        <v>0</v>
      </c>
      <c r="AG9" s="523"/>
      <c r="AH9" s="524" t="e">
        <f t="shared" ref="AH9:AH39" si="9">+AG9/$E9</f>
        <v>#DIV/0!</v>
      </c>
      <c r="AI9" s="525">
        <f>+AG9*$H$8</f>
        <v>0</v>
      </c>
      <c r="AJ9" s="523"/>
      <c r="AK9" s="524" t="e">
        <f t="shared" ref="AK9:AK39" si="10">+AJ9/$E9</f>
        <v>#DIV/0!</v>
      </c>
      <c r="AL9" s="525">
        <f>+AJ9*$H$8</f>
        <v>0</v>
      </c>
      <c r="AM9" s="523"/>
      <c r="AN9" s="524" t="e">
        <f t="shared" ref="AN9:AN39" si="11">+AM9/$E9</f>
        <v>#DIV/0!</v>
      </c>
      <c r="AO9" s="525">
        <f>+AM9*$H$8</f>
        <v>0</v>
      </c>
      <c r="AP9" s="523"/>
      <c r="AQ9" s="524" t="e">
        <f t="shared" ref="AQ9:AQ39" si="12">+AP9/$E9</f>
        <v>#DIV/0!</v>
      </c>
      <c r="AR9" s="525">
        <f>+AP9*$H$8</f>
        <v>0</v>
      </c>
      <c r="AS9" s="523"/>
      <c r="AT9" s="524" t="e">
        <f t="shared" ref="AT9:AT39" si="13">+AS9/$E9</f>
        <v>#DIV/0!</v>
      </c>
      <c r="AU9" s="525">
        <f>+AS9*$H$8</f>
        <v>0</v>
      </c>
      <c r="AV9" s="523"/>
      <c r="AW9" s="524" t="e">
        <f t="shared" ref="AW9:AW39" si="14">+AV9/$E9</f>
        <v>#DIV/0!</v>
      </c>
      <c r="AX9" s="525">
        <f>+AV9*$H$8</f>
        <v>0</v>
      </c>
      <c r="AY9" s="523"/>
      <c r="AZ9" s="524" t="e">
        <f t="shared" ref="AZ9:AZ39" si="15">+AY9/$E9</f>
        <v>#DIV/0!</v>
      </c>
      <c r="BA9" s="525">
        <f>+AY9*$H$8</f>
        <v>0</v>
      </c>
      <c r="BB9" s="523"/>
      <c r="BC9" s="524" t="e">
        <f t="shared" ref="BC9:BC39" si="16">+BB9/$E9</f>
        <v>#DIV/0!</v>
      </c>
      <c r="BD9" s="525">
        <f>+BB9*$H$8</f>
        <v>0</v>
      </c>
      <c r="BE9" s="523"/>
      <c r="BF9" s="524" t="e">
        <f t="shared" ref="BF9:BF39" si="17">+BE9/$E9</f>
        <v>#DIV/0!</v>
      </c>
      <c r="BG9" s="525">
        <f>+BE9*$H$8</f>
        <v>0</v>
      </c>
      <c r="BH9" s="523"/>
      <c r="BI9" s="524" t="e">
        <f t="shared" ref="BI9:BI39" si="18">+BH9/$E9</f>
        <v>#DIV/0!</v>
      </c>
      <c r="BJ9" s="525">
        <f>+BH9*$H$8</f>
        <v>0</v>
      </c>
      <c r="BK9" s="523"/>
      <c r="BL9" s="524" t="e">
        <f t="shared" ref="BL9:BL39" si="19">+BK9/$E9</f>
        <v>#DIV/0!</v>
      </c>
      <c r="BM9" s="525">
        <f>+BK9*$H$8</f>
        <v>0</v>
      </c>
      <c r="BN9" s="523"/>
      <c r="BO9" s="524" t="e">
        <f t="shared" ref="BO9:BO39" si="20">+BN9/$E9</f>
        <v>#DIV/0!</v>
      </c>
      <c r="BP9" s="525">
        <f>+BN9*$H$8</f>
        <v>0</v>
      </c>
      <c r="BQ9" s="523"/>
      <c r="BR9" s="524" t="e">
        <f t="shared" ref="BR9:BR39" si="21">+BQ9/$E9</f>
        <v>#DIV/0!</v>
      </c>
      <c r="BS9" s="525">
        <f>+BQ9*$H$8</f>
        <v>0</v>
      </c>
      <c r="BT9" s="523"/>
      <c r="BU9" s="524" t="e">
        <f t="shared" ref="BU9:BU39" si="22">+BT9/$E9</f>
        <v>#DIV/0!</v>
      </c>
      <c r="BV9" s="525">
        <f>+BT9*$H$8</f>
        <v>0</v>
      </c>
      <c r="BW9" s="523"/>
      <c r="BX9" s="524" t="e">
        <f t="shared" ref="BX9:BX39" si="23">+BW9/$E9</f>
        <v>#DIV/0!</v>
      </c>
      <c r="BY9" s="525">
        <f>+BW9*$H$8</f>
        <v>0</v>
      </c>
      <c r="BZ9" s="523"/>
      <c r="CA9" s="524" t="e">
        <f t="shared" ref="CA9:CA39" si="24">+BZ9/$E9</f>
        <v>#DIV/0!</v>
      </c>
      <c r="CB9" s="525">
        <f>+BZ9*$H$8</f>
        <v>0</v>
      </c>
      <c r="CC9" s="523"/>
      <c r="CD9" s="524" t="e">
        <f t="shared" ref="CD9:CD39" si="25">+CC9/$E9</f>
        <v>#DIV/0!</v>
      </c>
      <c r="CE9" s="525">
        <f>+CC9*$H$8</f>
        <v>0</v>
      </c>
      <c r="CF9" s="523"/>
      <c r="CG9" s="524" t="e">
        <f t="shared" ref="CG9:CG39" si="26">+CF9/$E9</f>
        <v>#DIV/0!</v>
      </c>
      <c r="CH9" s="525">
        <f>+CF9*$H$8</f>
        <v>0</v>
      </c>
      <c r="CI9" s="523"/>
      <c r="CJ9" s="524" t="e">
        <f t="shared" ref="CJ9:CJ39" si="27">+CI9/$E9</f>
        <v>#DIV/0!</v>
      </c>
      <c r="CK9" s="525">
        <f>+CI9*$H$8</f>
        <v>0</v>
      </c>
      <c r="CL9" s="523"/>
      <c r="CM9" s="524" t="e">
        <f t="shared" ref="CM9:CM39" si="28">+CL9/$E9</f>
        <v>#DIV/0!</v>
      </c>
      <c r="CN9" s="525">
        <f>+CL9*$H$8</f>
        <v>0</v>
      </c>
      <c r="CO9" s="523"/>
      <c r="CP9" s="524" t="e">
        <f t="shared" ref="CP9:CP39" si="29">+CO9/$E9</f>
        <v>#DIV/0!</v>
      </c>
      <c r="CQ9" s="525">
        <f>+CO9*$H$8</f>
        <v>0</v>
      </c>
      <c r="CR9" s="523"/>
      <c r="CS9" s="524" t="e">
        <f t="shared" ref="CS9:CS39" si="30">+CR9/$E9</f>
        <v>#DIV/0!</v>
      </c>
      <c r="CT9" s="525">
        <f>+CR9*$H$8</f>
        <v>0</v>
      </c>
      <c r="CU9" s="523"/>
      <c r="CV9" s="524" t="e">
        <f t="shared" ref="CV9:CV39" si="31">+CU9/$E9</f>
        <v>#DIV/0!</v>
      </c>
      <c r="CW9" s="525">
        <f>+CU9*$H$8</f>
        <v>0</v>
      </c>
      <c r="CX9" s="523"/>
      <c r="CY9" s="524" t="e">
        <f t="shared" ref="CY9:CY39" si="32">+CX9/$E9</f>
        <v>#DIV/0!</v>
      </c>
      <c r="CZ9" s="525">
        <f>+CX9*$H$8</f>
        <v>0</v>
      </c>
      <c r="DA9" s="523"/>
      <c r="DB9" s="524" t="e">
        <f t="shared" ref="DB9:DB39" si="33">+DA9/$E9</f>
        <v>#DIV/0!</v>
      </c>
      <c r="DC9" s="525">
        <f>+DA9*$H$8</f>
        <v>0</v>
      </c>
      <c r="DD9" s="523"/>
      <c r="DE9" s="524" t="e">
        <f t="shared" ref="DE9:DE39" si="34">+DD9/$E9</f>
        <v>#DIV/0!</v>
      </c>
      <c r="DF9" s="525">
        <f>+DD9*$H$8</f>
        <v>0</v>
      </c>
      <c r="DG9" s="523"/>
      <c r="DH9" s="524" t="e">
        <f t="shared" ref="DH9:DH39" si="35">+DG9/$E9</f>
        <v>#DIV/0!</v>
      </c>
      <c r="DI9" s="525">
        <v>0</v>
      </c>
      <c r="DJ9" s="523"/>
      <c r="DK9" s="524" t="e">
        <f t="shared" ref="DK9:DK39" si="36">+DJ9/$E9</f>
        <v>#DIV/0!</v>
      </c>
      <c r="DL9" s="525">
        <f>+DJ9*$H$8</f>
        <v>0</v>
      </c>
      <c r="DM9" s="523"/>
      <c r="DN9" s="524" t="e">
        <f t="shared" ref="DN9:DN39" si="37">+DM9/$E9</f>
        <v>#DIV/0!</v>
      </c>
      <c r="DO9" s="525">
        <f>+DM9*$H$8</f>
        <v>0</v>
      </c>
      <c r="DP9" s="523"/>
      <c r="DQ9" s="524" t="e">
        <f t="shared" ref="DQ9:DQ39" si="38">+DP9/$E9</f>
        <v>#DIV/0!</v>
      </c>
      <c r="DR9" s="525">
        <f>+DP9*$H$8</f>
        <v>0</v>
      </c>
      <c r="DS9" s="523"/>
      <c r="DT9" s="524" t="e">
        <f t="shared" ref="DT9:DT39" si="39">+DS9/$E9</f>
        <v>#DIV/0!</v>
      </c>
      <c r="DU9" s="525">
        <f>+DS9*$H$8</f>
        <v>0</v>
      </c>
      <c r="DV9" s="523"/>
      <c r="DW9" s="524" t="e">
        <f t="shared" ref="DW9:DW39" si="40">+DV9/$E9</f>
        <v>#DIV/0!</v>
      </c>
      <c r="DX9" s="525">
        <f>+DV9*$H$8</f>
        <v>0</v>
      </c>
      <c r="DY9" s="523"/>
      <c r="DZ9" s="524" t="e">
        <f t="shared" ref="DZ9:DZ39" si="41">+DY9/$E9</f>
        <v>#DIV/0!</v>
      </c>
      <c r="EA9" s="525">
        <f>+DY9*$H$8</f>
        <v>0</v>
      </c>
      <c r="EB9" s="523"/>
      <c r="EC9" s="524" t="e">
        <f t="shared" ref="EC9:EC39" si="42">+EB9/$E9</f>
        <v>#DIV/0!</v>
      </c>
      <c r="ED9" s="525">
        <f>+EB9*$H$8</f>
        <v>0</v>
      </c>
      <c r="EE9" s="523"/>
      <c r="EF9" s="524" t="e">
        <f t="shared" ref="EF9:EF39" si="43">+EE9/$E9</f>
        <v>#DIV/0!</v>
      </c>
      <c r="EG9" s="525">
        <f>+EE9*$H$8</f>
        <v>0</v>
      </c>
      <c r="EH9" s="523"/>
      <c r="EI9" s="524" t="e">
        <f t="shared" ref="EI9:EI39" si="44">+EH9/$E9</f>
        <v>#DIV/0!</v>
      </c>
      <c r="EJ9" s="525">
        <f>+EH9*$H$8</f>
        <v>0</v>
      </c>
      <c r="EK9" s="523"/>
      <c r="EL9" s="524" t="e">
        <f t="shared" ref="EL9:EL39" si="45">+EK9/$E9</f>
        <v>#DIV/0!</v>
      </c>
      <c r="EM9" s="525">
        <f>+EK9*$H$8</f>
        <v>0</v>
      </c>
      <c r="EN9" s="523"/>
      <c r="EO9" s="524" t="e">
        <f t="shared" ref="EO9:EO39" si="46">+EN9/$E9</f>
        <v>#DIV/0!</v>
      </c>
      <c r="EP9" s="525">
        <f>+EN9*$H$8</f>
        <v>0</v>
      </c>
      <c r="EQ9" s="523"/>
      <c r="ER9" s="524" t="e">
        <f t="shared" ref="ER9:ER39" si="47">+EQ9/$E9</f>
        <v>#DIV/0!</v>
      </c>
      <c r="ES9" s="525">
        <f>+EQ9*$H$8</f>
        <v>0</v>
      </c>
      <c r="ET9" s="523"/>
      <c r="EU9" s="524" t="e">
        <f t="shared" ref="EU9:EU39" si="48">+ET9/$E9</f>
        <v>#DIV/0!</v>
      </c>
      <c r="EV9" s="525">
        <f>+ET9*$H$8</f>
        <v>0</v>
      </c>
      <c r="EW9" s="523"/>
      <c r="EX9" s="524" t="e">
        <f t="shared" ref="EX9:EX39" si="49">+EW9/$E9</f>
        <v>#DIV/0!</v>
      </c>
      <c r="EY9" s="525">
        <f>+EW9*$H$8</f>
        <v>0</v>
      </c>
      <c r="EZ9" s="523"/>
      <c r="FA9" s="524" t="e">
        <f t="shared" ref="FA9:FA39" si="50">+EZ9/$E9</f>
        <v>#DIV/0!</v>
      </c>
      <c r="FB9" s="525">
        <f>+EZ9*$H$8</f>
        <v>0</v>
      </c>
      <c r="FC9" s="523"/>
      <c r="FD9" s="524" t="e">
        <f t="shared" ref="FD9:FD39" si="51">+FC9/$E9</f>
        <v>#DIV/0!</v>
      </c>
      <c r="FE9" s="525">
        <f>+FC9*$H$8</f>
        <v>0</v>
      </c>
      <c r="FF9" s="523"/>
      <c r="FG9" s="524" t="e">
        <f t="shared" ref="FG9:FG39" si="52">+FF9/$E9</f>
        <v>#DIV/0!</v>
      </c>
      <c r="FH9" s="525">
        <f>+FF9*$H$8</f>
        <v>0</v>
      </c>
      <c r="FI9" s="523"/>
      <c r="FJ9" s="524" t="e">
        <f t="shared" ref="FJ9:FJ39" si="53">+FI9/$E9</f>
        <v>#DIV/0!</v>
      </c>
      <c r="FK9" s="525">
        <f>+FI9*$H$8</f>
        <v>0</v>
      </c>
      <c r="FL9" s="523"/>
      <c r="FM9" s="524" t="e">
        <f t="shared" ref="FM9:FM39" si="54">+FL9/$E9</f>
        <v>#DIV/0!</v>
      </c>
      <c r="FN9" s="525">
        <f>+FL9*$H$8</f>
        <v>0</v>
      </c>
      <c r="FO9" s="523"/>
      <c r="FP9" s="524" t="e">
        <f t="shared" ref="FP9:FP39" si="55">+FO9/$E9</f>
        <v>#DIV/0!</v>
      </c>
      <c r="FQ9" s="525">
        <f>+FO9*$H$8</f>
        <v>0</v>
      </c>
      <c r="FR9" s="523"/>
      <c r="FS9" s="524" t="e">
        <f t="shared" ref="FS9:FS39" si="56">+FR9/$E9</f>
        <v>#DIV/0!</v>
      </c>
      <c r="FT9" s="525">
        <f>+FR9*$H$8</f>
        <v>0</v>
      </c>
      <c r="FU9" s="523"/>
      <c r="FV9" s="524" t="e">
        <f t="shared" ref="FV9:FV39" si="57">+FU9/$E9</f>
        <v>#DIV/0!</v>
      </c>
      <c r="FW9" s="525">
        <f>+FU9*$H$8</f>
        <v>0</v>
      </c>
      <c r="FX9" s="523"/>
      <c r="FY9" s="524" t="e">
        <f t="shared" ref="FY9:FY39" si="58">+FX9/$E9</f>
        <v>#DIV/0!</v>
      </c>
      <c r="FZ9" s="525">
        <f>+FX9*$H$8</f>
        <v>0</v>
      </c>
      <c r="GA9" s="523"/>
      <c r="GB9" s="524" t="e">
        <f t="shared" ref="GB9:GB39" si="59">+GA9/$E9</f>
        <v>#DIV/0!</v>
      </c>
      <c r="GC9" s="525">
        <f>+GA9*$H$8</f>
        <v>0</v>
      </c>
      <c r="GD9" s="523"/>
      <c r="GE9" s="524" t="e">
        <f t="shared" ref="GE9:GE39" si="60">+GD9/$E9</f>
        <v>#DIV/0!</v>
      </c>
      <c r="GF9" s="525">
        <f>+GD9*$H$8</f>
        <v>0</v>
      </c>
      <c r="GG9" s="523"/>
      <c r="GH9" s="524" t="e">
        <f t="shared" ref="GH9:GH39" si="61">+GG9/$E9</f>
        <v>#DIV/0!</v>
      </c>
      <c r="GI9" s="525">
        <f>+GG9*$H$8</f>
        <v>0</v>
      </c>
      <c r="GJ9" s="523"/>
      <c r="GK9" s="524" t="e">
        <f t="shared" ref="GK9:GK39" si="62">+GJ9/$E9</f>
        <v>#DIV/0!</v>
      </c>
      <c r="GL9" s="525">
        <f>+GJ9*$H$8</f>
        <v>0</v>
      </c>
      <c r="GM9" s="523"/>
      <c r="GN9" s="524" t="e">
        <f t="shared" ref="GN9:GN39" si="63">+GM9/$E9</f>
        <v>#DIV/0!</v>
      </c>
      <c r="GO9" s="525">
        <f>+GM9*$H$8</f>
        <v>0</v>
      </c>
      <c r="GP9" s="523"/>
      <c r="GQ9" s="524" t="e">
        <f t="shared" ref="GQ9:GQ39" si="64">+GP9/$E9</f>
        <v>#DIV/0!</v>
      </c>
      <c r="GR9" s="525">
        <f>+GP9*$H$8</f>
        <v>0</v>
      </c>
      <c r="GS9" s="523"/>
      <c r="GT9" s="524" t="e">
        <f t="shared" ref="GT9:GT39" si="65">+GS9/$E9</f>
        <v>#DIV/0!</v>
      </c>
      <c r="GU9" s="525">
        <f>+GS9*$H$8</f>
        <v>0</v>
      </c>
      <c r="GV9" s="523"/>
      <c r="GW9" s="524" t="e">
        <f t="shared" ref="GW9:GW39" si="66">+GV9/$E9</f>
        <v>#DIV/0!</v>
      </c>
      <c r="GX9" s="525">
        <f>+GV9*$H$8</f>
        <v>0</v>
      </c>
      <c r="GY9" s="523"/>
      <c r="GZ9" s="524" t="e">
        <f t="shared" ref="GZ9:GZ39" si="67">+GY9/$E9</f>
        <v>#DIV/0!</v>
      </c>
      <c r="HA9" s="525">
        <f>+GY9*$H$8</f>
        <v>0</v>
      </c>
      <c r="HB9" s="523"/>
      <c r="HC9" s="524" t="e">
        <f t="shared" ref="HC9:HC39" si="68">+HB9/$E9</f>
        <v>#DIV/0!</v>
      </c>
      <c r="HD9" s="525">
        <f>+HB9*$H$8</f>
        <v>0</v>
      </c>
      <c r="HE9" s="523"/>
      <c r="HF9" s="524" t="e">
        <f t="shared" ref="HF9:HF39" si="69">+HE9/$E9</f>
        <v>#DIV/0!</v>
      </c>
      <c r="HG9" s="525">
        <f>+HE9*$H$8</f>
        <v>0</v>
      </c>
      <c r="HH9" s="523"/>
      <c r="HI9" s="524" t="e">
        <f t="shared" ref="HI9:HI39" si="70">+HH9/$E9</f>
        <v>#DIV/0!</v>
      </c>
      <c r="HJ9" s="525">
        <f>+HH9*$H$8</f>
        <v>0</v>
      </c>
      <c r="HK9" s="523"/>
      <c r="HL9" s="524" t="e">
        <f t="shared" ref="HL9:HL39" si="71">+HK9/$E9</f>
        <v>#DIV/0!</v>
      </c>
      <c r="HM9" s="525">
        <f>+HK9*$H$8</f>
        <v>0</v>
      </c>
      <c r="HN9" s="523"/>
      <c r="HO9" s="524" t="e">
        <f t="shared" ref="HO9:HO39" si="72">+HN9/$E9</f>
        <v>#DIV/0!</v>
      </c>
      <c r="HP9" s="525">
        <f>+HN9*$H$8</f>
        <v>0</v>
      </c>
      <c r="HQ9" s="523"/>
      <c r="HR9" s="524" t="e">
        <f t="shared" ref="HR9:HR39" si="73">+HQ9/$E9</f>
        <v>#DIV/0!</v>
      </c>
      <c r="HS9" s="525">
        <f>+HQ9*$H$8</f>
        <v>0</v>
      </c>
      <c r="HT9" s="523"/>
      <c r="HU9" s="524" t="e">
        <f t="shared" ref="HU9:HU39" si="74">+HT9/$E9</f>
        <v>#DIV/0!</v>
      </c>
      <c r="HV9" s="525">
        <f>+HT9*$H$8</f>
        <v>0</v>
      </c>
      <c r="HW9" s="523"/>
      <c r="HX9" s="524" t="e">
        <f t="shared" ref="HX9:HX39" si="75">+HW9/$E9</f>
        <v>#DIV/0!</v>
      </c>
      <c r="HY9" s="525">
        <f>+HW9*$H$8</f>
        <v>0</v>
      </c>
      <c r="HZ9" s="523"/>
      <c r="IA9" s="524" t="e">
        <f t="shared" ref="IA9:IA39" si="76">+HZ9/$E9</f>
        <v>#DIV/0!</v>
      </c>
      <c r="IB9" s="525">
        <f>+HZ9*$H$8</f>
        <v>0</v>
      </c>
      <c r="IC9" s="523"/>
      <c r="ID9" s="524" t="e">
        <f t="shared" ref="ID9:ID39" si="77">+IC9/$E9</f>
        <v>#DIV/0!</v>
      </c>
      <c r="IE9" s="525">
        <f>+IC9*$H$8</f>
        <v>0</v>
      </c>
      <c r="IF9" s="523"/>
      <c r="IG9" s="524" t="e">
        <f t="shared" ref="IG9:IG39" si="78">+IF9/$E9</f>
        <v>#DIV/0!</v>
      </c>
      <c r="IH9" s="525">
        <f>+IF9*$H$8</f>
        <v>0</v>
      </c>
      <c r="II9" s="523"/>
      <c r="IJ9" s="524" t="e">
        <f t="shared" ref="IJ9:IJ39" si="79">+II9/$E9</f>
        <v>#DIV/0!</v>
      </c>
      <c r="IK9" s="525">
        <f>+II9*$H$8</f>
        <v>0</v>
      </c>
      <c r="IL9" s="523"/>
      <c r="IM9" s="524" t="e">
        <f t="shared" ref="IM9:IM39" si="80">+IL9/$E9</f>
        <v>#DIV/0!</v>
      </c>
      <c r="IN9" s="525">
        <f>+IL9*$H$8</f>
        <v>0</v>
      </c>
      <c r="IO9" s="523"/>
      <c r="IP9" s="524" t="e">
        <f t="shared" ref="IP9:IP39" si="81">+IO9/$E9</f>
        <v>#DIV/0!</v>
      </c>
      <c r="IQ9" s="525">
        <f>+IO9*$H$8</f>
        <v>0</v>
      </c>
      <c r="IR9" s="523"/>
      <c r="IS9" s="524" t="e">
        <f t="shared" ref="IS9:IS39" si="82">+IR9/$E9</f>
        <v>#DIV/0!</v>
      </c>
      <c r="IT9" s="525">
        <f>+IR9*$H$8</f>
        <v>0</v>
      </c>
      <c r="IU9" s="523"/>
      <c r="IV9" s="524" t="e">
        <f t="shared" ref="IV9:IV39" si="83">+IU9/$E9</f>
        <v>#DIV/0!</v>
      </c>
      <c r="IW9" s="525">
        <f>+IU9*$H$8</f>
        <v>0</v>
      </c>
      <c r="IX9" s="523"/>
      <c r="IY9" s="524" t="e">
        <f t="shared" ref="IY9:IY39" si="84">+IX9/$E9</f>
        <v>#DIV/0!</v>
      </c>
      <c r="IZ9" s="525">
        <f>+IX9*$H$8</f>
        <v>0</v>
      </c>
      <c r="JA9" s="523"/>
      <c r="JB9" s="524" t="e">
        <f t="shared" ref="JB9:JB39" si="85">+JA9/$E9</f>
        <v>#DIV/0!</v>
      </c>
      <c r="JC9" s="525">
        <f>+JA9*$H$8</f>
        <v>0</v>
      </c>
      <c r="JD9" s="523"/>
      <c r="JE9" s="524" t="e">
        <f t="shared" ref="JE9:JE39" si="86">+JD9/$E9</f>
        <v>#DIV/0!</v>
      </c>
      <c r="JF9" s="525">
        <f>+JD9*$H$8</f>
        <v>0</v>
      </c>
      <c r="JG9" s="523"/>
      <c r="JH9" s="524" t="e">
        <f t="shared" ref="JH9:JH39" si="87">+JG9/$E9</f>
        <v>#DIV/0!</v>
      </c>
      <c r="JI9" s="525">
        <f>+JG9*$H$8</f>
        <v>0</v>
      </c>
      <c r="JJ9" s="523"/>
      <c r="JK9" s="525" t="str">
        <f t="shared" ref="JK9:JK39" si="88">IFERROR((JJ9/$L9),"0")</f>
        <v>0</v>
      </c>
      <c r="JL9" s="525" t="str">
        <f t="shared" ref="JL9:JL39" si="89">IFERROR(((JJ9*JL$8)/$L9),"0")</f>
        <v>0</v>
      </c>
      <c r="JM9" s="523"/>
      <c r="JN9" s="525" t="str">
        <f t="shared" ref="JN9:JN39" si="90">IFERROR((JM9/$L9),"0")</f>
        <v>0</v>
      </c>
      <c r="JO9" s="525" t="str">
        <f t="shared" ref="JO9:JO39" si="91">IFERROR(((JM9*JO$8)/$L9),"0")</f>
        <v>0</v>
      </c>
      <c r="JP9" s="523"/>
      <c r="JQ9" s="525" t="str">
        <f t="shared" ref="JQ9:JQ39" si="92">IFERROR((JP9/$L9),"0")</f>
        <v>0</v>
      </c>
      <c r="JR9" s="525" t="str">
        <f t="shared" ref="JR9:JR39" si="93">IFERROR(((JP9*JR$8)/$L9),"0")</f>
        <v>0</v>
      </c>
      <c r="JS9" s="523"/>
      <c r="JT9" s="525" t="str">
        <f t="shared" ref="JT9:JT39" si="94">IFERROR((JS9/$L9),"0")</f>
        <v>0</v>
      </c>
      <c r="JU9" s="525" t="str">
        <f t="shared" ref="JU9:JU39" si="95">IFERROR(((JS9*JU$8)/$L9),"0")</f>
        <v>0</v>
      </c>
      <c r="JV9" s="523"/>
      <c r="JW9" s="525" t="str">
        <f t="shared" ref="JW9:JW39" si="96">IFERROR((JV9/$L9),"0")</f>
        <v>0</v>
      </c>
      <c r="JX9" s="525" t="str">
        <f t="shared" ref="JX9:JX39" si="97">IFERROR(((JV9*JX$8)/$L9),"0")</f>
        <v>0</v>
      </c>
      <c r="JY9" s="523"/>
      <c r="JZ9" s="525" t="str">
        <f t="shared" ref="JZ9:JZ39" si="98">IFERROR((JY9/$L9),"0")</f>
        <v>0</v>
      </c>
      <c r="KA9" s="525" t="str">
        <f t="shared" ref="KA9:KA39" si="99">IFERROR(((JY9*KA$8)/$L9),"0")</f>
        <v>0</v>
      </c>
      <c r="KB9" s="523"/>
      <c r="KC9" s="525" t="str">
        <f t="shared" ref="KC9:KC39" si="100">IFERROR((KB9/$L9),"0")</f>
        <v>0</v>
      </c>
      <c r="KD9" s="525" t="str">
        <f t="shared" ref="KD9:KD39" si="101">IFERROR(((KB9*KD$8)/$L9),"0")</f>
        <v>0</v>
      </c>
      <c r="KE9" s="523"/>
      <c r="KF9" s="525" t="str">
        <f t="shared" ref="KF9:KF39" si="102">IFERROR((KE9/$L9),"0")</f>
        <v>0</v>
      </c>
      <c r="KG9" s="525" t="str">
        <f t="shared" ref="KG9:KG39" si="103">IFERROR(((KE9*KG$8)/$L9),"0")</f>
        <v>0</v>
      </c>
      <c r="KH9" s="523"/>
      <c r="KI9" s="525" t="str">
        <f t="shared" ref="KI9:KI39" si="104">IFERROR((KH9/$L9),"0")</f>
        <v>0</v>
      </c>
      <c r="KJ9" s="525" t="str">
        <f t="shared" ref="KJ9:KJ39" si="105">IFERROR(((KH9*KJ$8)/$L9),"0")</f>
        <v>0</v>
      </c>
      <c r="KK9" s="523"/>
      <c r="KL9" s="525" t="str">
        <f t="shared" ref="KL9:KL39" si="106">IFERROR((KK9/$L9),"0")</f>
        <v>0</v>
      </c>
      <c r="KM9" s="525" t="str">
        <f t="shared" ref="KM9:KM39" si="107">IFERROR(((KK9*KM$8)/$L9),"0")</f>
        <v>0</v>
      </c>
      <c r="KN9" s="523"/>
      <c r="KO9" s="525" t="str">
        <f t="shared" ref="KO9:KO39" si="108">IFERROR((KN9/$L9),"0")</f>
        <v>0</v>
      </c>
      <c r="KP9" s="525" t="str">
        <f t="shared" ref="KP9:KP39" si="109">IFERROR(((KN9*KP$8)/$L9),"0")</f>
        <v>0</v>
      </c>
      <c r="KQ9" s="523"/>
      <c r="KR9" s="525" t="str">
        <f t="shared" ref="KR9:KR39" si="110">IFERROR((KQ9/$L9),"0")</f>
        <v>0</v>
      </c>
      <c r="KS9" s="525" t="str">
        <f t="shared" ref="KS9:KS39" si="111">IFERROR(((KQ9*KS$8)/$L9),"0")</f>
        <v>0</v>
      </c>
      <c r="KT9" s="525">
        <f>H9+K9+N9+Q9+T9+W9+Z9+AC9+AF9+AI9+AL9+AO9+AR9+AU9+AX9+BA9+BD9+BG9+BJ9+BM9+BP9+BS9+BV9+BY9+CB9+CE9+CH9+CK9+CN9+CQ9+CT9+CW9+CZ9+DC9+DF9+DI9+DL9+DO9+DR9+DU9+DX9+EA9+ED9+EG9+EJ9+EM9+EP9+ES9+EV9+EY9+FB9+FE9+FH9+FK9+FN9+FQ9+FT9+FW9+FZ9+GC9</f>
        <v>0</v>
      </c>
      <c r="KU9" s="525">
        <f>GF9+GI9+GL9+GO9+GR9+GU9+GX9+HA9+HD9+HG9+HJ9+HM9+HP9+HS9+HV9+HY9+IB9+IE9+IH9+IK9+IN9+IQ9+IT9+IW9+IZ9+JC9+JF9+JI9+JL9+JO9+JR9+JU9+JX9++KA9+KD9+KG9+KJ9++KM9+KP9+KS9</f>
        <v>0</v>
      </c>
      <c r="KV9" s="261">
        <f t="shared" ref="KV9:KV41" si="112">+F9+I9+L9+O9+R9+U9+X9+AA9+AD9+AG9+AJ9+AM9+AP9+AS9+AV9+AY9+BB9+BE9+BH9+BK9+BN9+BQ9+BT9+BW9+BZ9+CC9+CF9+CI9+CL9+CO9+CR9+CU9+CX9+DA9+DD9+DJ9+DM9+DP9+DS9+DV9+DY9+EB9+GG9+GJ9+GM9+GP9+GS9+HN9+II9+IR9+GV9+IU9++HT9+HW9+HZ9+IC9+JA9+JJ9+JM9+HB9+EE9+GD9+EH9</f>
        <v>0</v>
      </c>
    </row>
    <row r="10" spans="1:308">
      <c r="A10" s="262">
        <f>+A9+1</f>
        <v>45963</v>
      </c>
      <c r="B10" s="263" t="str">
        <f>+Report1!B10</f>
        <v>STOP</v>
      </c>
      <c r="C10" s="263" t="str">
        <f>+Report1!C10</f>
        <v>12</v>
      </c>
      <c r="D10" s="264">
        <f>+Report1!P10</f>
        <v>0</v>
      </c>
      <c r="E10" s="562">
        <f>+Report1!R10</f>
        <v>0</v>
      </c>
      <c r="F10" s="523"/>
      <c r="G10" s="524" t="e">
        <f t="shared" si="0"/>
        <v>#DIV/0!</v>
      </c>
      <c r="H10" s="525">
        <f t="shared" ref="H10:H39" si="113">+F10*$H$8</f>
        <v>0</v>
      </c>
      <c r="I10" s="523"/>
      <c r="J10" s="524" t="e">
        <f t="shared" si="1"/>
        <v>#DIV/0!</v>
      </c>
      <c r="K10" s="525">
        <f t="shared" ref="K10:K39" si="114">+I10*$H$8</f>
        <v>0</v>
      </c>
      <c r="L10" s="523"/>
      <c r="M10" s="524" t="e">
        <f t="shared" si="2"/>
        <v>#DIV/0!</v>
      </c>
      <c r="N10" s="525">
        <f t="shared" ref="N10:N39" si="115">+L10*$H$8</f>
        <v>0</v>
      </c>
      <c r="O10" s="523"/>
      <c r="P10" s="524" t="e">
        <f t="shared" si="3"/>
        <v>#DIV/0!</v>
      </c>
      <c r="Q10" s="525">
        <f t="shared" ref="Q10:Q39" si="116">+O10*$H$8</f>
        <v>0</v>
      </c>
      <c r="R10" s="523"/>
      <c r="S10" s="524" t="e">
        <f t="shared" si="4"/>
        <v>#DIV/0!</v>
      </c>
      <c r="T10" s="525">
        <f t="shared" ref="T10:T39" si="117">+R10*$H$8</f>
        <v>0</v>
      </c>
      <c r="U10" s="523"/>
      <c r="V10" s="524" t="e">
        <f t="shared" si="5"/>
        <v>#DIV/0!</v>
      </c>
      <c r="W10" s="525">
        <f t="shared" ref="W10:W39" si="118">+U10*$H$8</f>
        <v>0</v>
      </c>
      <c r="X10" s="523"/>
      <c r="Y10" s="524" t="e">
        <f t="shared" si="6"/>
        <v>#DIV/0!</v>
      </c>
      <c r="Z10" s="525">
        <f t="shared" ref="Z10:Z39" si="119">+X10*$H$8</f>
        <v>0</v>
      </c>
      <c r="AA10" s="523"/>
      <c r="AB10" s="524" t="e">
        <f t="shared" si="7"/>
        <v>#DIV/0!</v>
      </c>
      <c r="AC10" s="525">
        <f t="shared" ref="AC10:AC39" si="120">+AA10*$H$8</f>
        <v>0</v>
      </c>
      <c r="AD10" s="523"/>
      <c r="AE10" s="524" t="e">
        <f t="shared" si="8"/>
        <v>#DIV/0!</v>
      </c>
      <c r="AF10" s="525">
        <f t="shared" ref="AF10:AF39" si="121">+AD10*$H$8</f>
        <v>0</v>
      </c>
      <c r="AG10" s="523"/>
      <c r="AH10" s="524" t="e">
        <f t="shared" si="9"/>
        <v>#DIV/0!</v>
      </c>
      <c r="AI10" s="525">
        <f t="shared" ref="AI10:AI39" si="122">+AG10*$H$8</f>
        <v>0</v>
      </c>
      <c r="AJ10" s="523"/>
      <c r="AK10" s="524" t="e">
        <f t="shared" si="10"/>
        <v>#DIV/0!</v>
      </c>
      <c r="AL10" s="525">
        <f t="shared" ref="AL10:AL39" si="123">+AJ10*$H$8</f>
        <v>0</v>
      </c>
      <c r="AM10" s="523"/>
      <c r="AN10" s="524" t="e">
        <f t="shared" si="11"/>
        <v>#DIV/0!</v>
      </c>
      <c r="AO10" s="525">
        <f t="shared" ref="AO10:AO39" si="124">+AM10*$H$8</f>
        <v>0</v>
      </c>
      <c r="AP10" s="523"/>
      <c r="AQ10" s="524" t="e">
        <f t="shared" si="12"/>
        <v>#DIV/0!</v>
      </c>
      <c r="AR10" s="525">
        <f t="shared" ref="AR10:AR39" si="125">+AP10*$H$8</f>
        <v>0</v>
      </c>
      <c r="AS10" s="523"/>
      <c r="AT10" s="524" t="e">
        <f t="shared" si="13"/>
        <v>#DIV/0!</v>
      </c>
      <c r="AU10" s="525">
        <f t="shared" ref="AU10:AU39" si="126">+AS10*$H$8</f>
        <v>0</v>
      </c>
      <c r="AV10" s="523"/>
      <c r="AW10" s="524" t="e">
        <f t="shared" si="14"/>
        <v>#DIV/0!</v>
      </c>
      <c r="AX10" s="525">
        <f t="shared" ref="AX10:AX39" si="127">+AV10*$H$8</f>
        <v>0</v>
      </c>
      <c r="AY10" s="523"/>
      <c r="AZ10" s="524" t="e">
        <f t="shared" si="15"/>
        <v>#DIV/0!</v>
      </c>
      <c r="BA10" s="525">
        <f t="shared" ref="BA10:BA39" si="128">+AY10*$H$8</f>
        <v>0</v>
      </c>
      <c r="BB10" s="523"/>
      <c r="BC10" s="524" t="e">
        <f t="shared" si="16"/>
        <v>#DIV/0!</v>
      </c>
      <c r="BD10" s="525">
        <f t="shared" ref="BD10:BD39" si="129">+BB10*$H$8</f>
        <v>0</v>
      </c>
      <c r="BE10" s="523"/>
      <c r="BF10" s="524" t="e">
        <f t="shared" si="17"/>
        <v>#DIV/0!</v>
      </c>
      <c r="BG10" s="525">
        <f t="shared" ref="BG10:BG39" si="130">+BE10*$H$8</f>
        <v>0</v>
      </c>
      <c r="BH10" s="523"/>
      <c r="BI10" s="524" t="e">
        <f t="shared" si="18"/>
        <v>#DIV/0!</v>
      </c>
      <c r="BJ10" s="525">
        <f t="shared" ref="BJ10:BJ39" si="131">+BH10*$H$8</f>
        <v>0</v>
      </c>
      <c r="BK10" s="523"/>
      <c r="BL10" s="524" t="e">
        <f t="shared" si="19"/>
        <v>#DIV/0!</v>
      </c>
      <c r="BM10" s="525">
        <f t="shared" ref="BM10:BM39" si="132">+BK10*$H$8</f>
        <v>0</v>
      </c>
      <c r="BN10" s="523"/>
      <c r="BO10" s="524" t="e">
        <f t="shared" si="20"/>
        <v>#DIV/0!</v>
      </c>
      <c r="BP10" s="525">
        <f t="shared" ref="BP10:BP39" si="133">+BN10*$H$8</f>
        <v>0</v>
      </c>
      <c r="BQ10" s="523"/>
      <c r="BR10" s="524" t="e">
        <f t="shared" si="21"/>
        <v>#DIV/0!</v>
      </c>
      <c r="BS10" s="525">
        <f t="shared" ref="BS10:BS39" si="134">+BQ10*$H$8</f>
        <v>0</v>
      </c>
      <c r="BT10" s="523"/>
      <c r="BU10" s="524" t="e">
        <f t="shared" si="22"/>
        <v>#DIV/0!</v>
      </c>
      <c r="BV10" s="525">
        <f t="shared" ref="BV10:BV39" si="135">+BT10*$H$8</f>
        <v>0</v>
      </c>
      <c r="BW10" s="523"/>
      <c r="BX10" s="524" t="e">
        <f t="shared" si="23"/>
        <v>#DIV/0!</v>
      </c>
      <c r="BY10" s="525">
        <f t="shared" ref="BY10:BY39" si="136">+BW10*$H$8</f>
        <v>0</v>
      </c>
      <c r="BZ10" s="523"/>
      <c r="CA10" s="524" t="e">
        <f t="shared" si="24"/>
        <v>#DIV/0!</v>
      </c>
      <c r="CB10" s="525">
        <f t="shared" ref="CB10:CB39" si="137">+BZ10*$H$8</f>
        <v>0</v>
      </c>
      <c r="CC10" s="523"/>
      <c r="CD10" s="524" t="e">
        <f t="shared" si="25"/>
        <v>#DIV/0!</v>
      </c>
      <c r="CE10" s="525">
        <f t="shared" ref="CE10:CE39" si="138">+CC10*$H$8</f>
        <v>0</v>
      </c>
      <c r="CF10" s="523"/>
      <c r="CG10" s="524" t="e">
        <f t="shared" si="26"/>
        <v>#DIV/0!</v>
      </c>
      <c r="CH10" s="525">
        <f t="shared" ref="CH10:CH39" si="139">+CF10*$H$8</f>
        <v>0</v>
      </c>
      <c r="CI10" s="523"/>
      <c r="CJ10" s="524" t="e">
        <f t="shared" si="27"/>
        <v>#DIV/0!</v>
      </c>
      <c r="CK10" s="525">
        <f t="shared" ref="CK10:CK39" si="140">+CI10*$H$8</f>
        <v>0</v>
      </c>
      <c r="CL10" s="523"/>
      <c r="CM10" s="524" t="e">
        <f t="shared" si="28"/>
        <v>#DIV/0!</v>
      </c>
      <c r="CN10" s="525">
        <f t="shared" ref="CN10:CN39" si="141">+CL10*$H$8</f>
        <v>0</v>
      </c>
      <c r="CO10" s="523"/>
      <c r="CP10" s="524" t="e">
        <f t="shared" si="29"/>
        <v>#DIV/0!</v>
      </c>
      <c r="CQ10" s="525">
        <f t="shared" ref="CQ10:CQ39" si="142">+CO10*$H$8</f>
        <v>0</v>
      </c>
      <c r="CR10" s="523"/>
      <c r="CS10" s="524" t="e">
        <f t="shared" si="30"/>
        <v>#DIV/0!</v>
      </c>
      <c r="CT10" s="525">
        <f t="shared" ref="CT10:CT39" si="143">+CR10*$H$8</f>
        <v>0</v>
      </c>
      <c r="CU10" s="523"/>
      <c r="CV10" s="524" t="e">
        <f t="shared" si="31"/>
        <v>#DIV/0!</v>
      </c>
      <c r="CW10" s="525">
        <f t="shared" ref="CW10:CW39" si="144">+CU10*$H$8</f>
        <v>0</v>
      </c>
      <c r="CX10" s="523"/>
      <c r="CY10" s="524" t="e">
        <f t="shared" si="32"/>
        <v>#DIV/0!</v>
      </c>
      <c r="CZ10" s="525">
        <f t="shared" ref="CZ10:CZ39" si="145">+CX10*$H$8</f>
        <v>0</v>
      </c>
      <c r="DA10" s="523"/>
      <c r="DB10" s="524" t="e">
        <f t="shared" si="33"/>
        <v>#DIV/0!</v>
      </c>
      <c r="DC10" s="525">
        <f t="shared" ref="DC10:DC39" si="146">+DA10*$H$8</f>
        <v>0</v>
      </c>
      <c r="DD10" s="523"/>
      <c r="DE10" s="524" t="e">
        <f t="shared" si="34"/>
        <v>#DIV/0!</v>
      </c>
      <c r="DF10" s="525">
        <f t="shared" ref="DF10:DF39" si="147">+DD10*$H$8</f>
        <v>0</v>
      </c>
      <c r="DG10" s="523"/>
      <c r="DH10" s="524" t="e">
        <f t="shared" si="35"/>
        <v>#DIV/0!</v>
      </c>
      <c r="DI10" s="525">
        <v>0</v>
      </c>
      <c r="DJ10" s="523"/>
      <c r="DK10" s="524" t="e">
        <f t="shared" si="36"/>
        <v>#DIV/0!</v>
      </c>
      <c r="DL10" s="525">
        <f t="shared" ref="DL10:DL39" si="148">+DJ10*$H$8</f>
        <v>0</v>
      </c>
      <c r="DM10" s="523"/>
      <c r="DN10" s="524" t="e">
        <f t="shared" si="37"/>
        <v>#DIV/0!</v>
      </c>
      <c r="DO10" s="525">
        <f t="shared" ref="DO10:DO39" si="149">+DM10*$H$8</f>
        <v>0</v>
      </c>
      <c r="DP10" s="523"/>
      <c r="DQ10" s="524" t="e">
        <f t="shared" si="38"/>
        <v>#DIV/0!</v>
      </c>
      <c r="DR10" s="525">
        <f t="shared" ref="DR10:DR39" si="150">+DP10*$H$8</f>
        <v>0</v>
      </c>
      <c r="DS10" s="523"/>
      <c r="DT10" s="524" t="e">
        <f t="shared" si="39"/>
        <v>#DIV/0!</v>
      </c>
      <c r="DU10" s="525">
        <f t="shared" ref="DU10:DU39" si="151">+DS10*$H$8</f>
        <v>0</v>
      </c>
      <c r="DV10" s="523"/>
      <c r="DW10" s="524" t="e">
        <f t="shared" si="40"/>
        <v>#DIV/0!</v>
      </c>
      <c r="DX10" s="525">
        <f t="shared" ref="DX10:DX39" si="152">+DV10*$H$8</f>
        <v>0</v>
      </c>
      <c r="DY10" s="523"/>
      <c r="DZ10" s="524" t="e">
        <f t="shared" si="41"/>
        <v>#DIV/0!</v>
      </c>
      <c r="EA10" s="525">
        <f t="shared" ref="EA10:EA39" si="153">+DY10*$H$8</f>
        <v>0</v>
      </c>
      <c r="EB10" s="523"/>
      <c r="EC10" s="524" t="e">
        <f t="shared" si="42"/>
        <v>#DIV/0!</v>
      </c>
      <c r="ED10" s="525">
        <f t="shared" ref="ED10:ED39" si="154">+EB10*$H$8</f>
        <v>0</v>
      </c>
      <c r="EE10" s="523"/>
      <c r="EF10" s="524" t="e">
        <f t="shared" si="43"/>
        <v>#DIV/0!</v>
      </c>
      <c r="EG10" s="525">
        <f t="shared" ref="EG10:EG39" si="155">+EE10*$H$8</f>
        <v>0</v>
      </c>
      <c r="EH10" s="523"/>
      <c r="EI10" s="524" t="e">
        <f t="shared" si="44"/>
        <v>#DIV/0!</v>
      </c>
      <c r="EJ10" s="525">
        <f t="shared" ref="EJ10:EJ39" si="156">+EH10*$H$8</f>
        <v>0</v>
      </c>
      <c r="EK10" s="523"/>
      <c r="EL10" s="524" t="e">
        <f t="shared" si="45"/>
        <v>#DIV/0!</v>
      </c>
      <c r="EM10" s="525">
        <f t="shared" ref="EM10:EM39" si="157">+EK10*$H$8</f>
        <v>0</v>
      </c>
      <c r="EN10" s="523"/>
      <c r="EO10" s="524" t="e">
        <f t="shared" si="46"/>
        <v>#DIV/0!</v>
      </c>
      <c r="EP10" s="525">
        <f t="shared" ref="EP10:EP39" si="158">+EN10*$H$8</f>
        <v>0</v>
      </c>
      <c r="EQ10" s="523"/>
      <c r="ER10" s="524" t="e">
        <f t="shared" si="47"/>
        <v>#DIV/0!</v>
      </c>
      <c r="ES10" s="525">
        <f t="shared" ref="ES10:ES39" si="159">+EQ10*$H$8</f>
        <v>0</v>
      </c>
      <c r="ET10" s="523"/>
      <c r="EU10" s="524" t="e">
        <f t="shared" si="48"/>
        <v>#DIV/0!</v>
      </c>
      <c r="EV10" s="525">
        <f t="shared" ref="EV10:EV39" si="160">+ET10*$H$8</f>
        <v>0</v>
      </c>
      <c r="EW10" s="523"/>
      <c r="EX10" s="524" t="e">
        <f t="shared" si="49"/>
        <v>#DIV/0!</v>
      </c>
      <c r="EY10" s="525">
        <f t="shared" ref="EY10:EY39" si="161">+EW10*$H$8</f>
        <v>0</v>
      </c>
      <c r="EZ10" s="523"/>
      <c r="FA10" s="524" t="e">
        <f t="shared" si="50"/>
        <v>#DIV/0!</v>
      </c>
      <c r="FB10" s="525">
        <f t="shared" ref="FB10:FB39" si="162">+EZ10*$H$8</f>
        <v>0</v>
      </c>
      <c r="FC10" s="523"/>
      <c r="FD10" s="524" t="e">
        <f t="shared" si="51"/>
        <v>#DIV/0!</v>
      </c>
      <c r="FE10" s="525">
        <f t="shared" ref="FE10:FE39" si="163">+FC10*$H$8</f>
        <v>0</v>
      </c>
      <c r="FF10" s="523"/>
      <c r="FG10" s="524" t="e">
        <f t="shared" si="52"/>
        <v>#DIV/0!</v>
      </c>
      <c r="FH10" s="525">
        <f t="shared" ref="FH10:FH39" si="164">+FF10*$H$8</f>
        <v>0</v>
      </c>
      <c r="FI10" s="523"/>
      <c r="FJ10" s="524" t="e">
        <f t="shared" si="53"/>
        <v>#DIV/0!</v>
      </c>
      <c r="FK10" s="525">
        <f t="shared" ref="FK10:FK39" si="165">+FI10*$H$8</f>
        <v>0</v>
      </c>
      <c r="FL10" s="523"/>
      <c r="FM10" s="524" t="e">
        <f t="shared" si="54"/>
        <v>#DIV/0!</v>
      </c>
      <c r="FN10" s="525">
        <f t="shared" ref="FN10:FN39" si="166">+FL10*$H$8</f>
        <v>0</v>
      </c>
      <c r="FO10" s="523"/>
      <c r="FP10" s="524" t="e">
        <f t="shared" si="55"/>
        <v>#DIV/0!</v>
      </c>
      <c r="FQ10" s="525">
        <f t="shared" ref="FQ10:FQ39" si="167">+FO10*$H$8</f>
        <v>0</v>
      </c>
      <c r="FR10" s="523"/>
      <c r="FS10" s="524" t="e">
        <f t="shared" si="56"/>
        <v>#DIV/0!</v>
      </c>
      <c r="FT10" s="525">
        <f t="shared" ref="FT10:FT39" si="168">+FR10*$H$8</f>
        <v>0</v>
      </c>
      <c r="FU10" s="523"/>
      <c r="FV10" s="524" t="e">
        <f t="shared" si="57"/>
        <v>#DIV/0!</v>
      </c>
      <c r="FW10" s="525">
        <f t="shared" ref="FW10:FW39" si="169">+FU10*$H$8</f>
        <v>0</v>
      </c>
      <c r="FX10" s="523"/>
      <c r="FY10" s="524" t="e">
        <f t="shared" si="58"/>
        <v>#DIV/0!</v>
      </c>
      <c r="FZ10" s="525">
        <f t="shared" ref="FZ10:FZ39" si="170">+FX10*$H$8</f>
        <v>0</v>
      </c>
      <c r="GA10" s="523"/>
      <c r="GB10" s="524" t="e">
        <f t="shared" si="59"/>
        <v>#DIV/0!</v>
      </c>
      <c r="GC10" s="525">
        <f t="shared" ref="GC10:GC39" si="171">+GA10*$H$8</f>
        <v>0</v>
      </c>
      <c r="GD10" s="523"/>
      <c r="GE10" s="524" t="e">
        <f t="shared" si="60"/>
        <v>#DIV/0!</v>
      </c>
      <c r="GF10" s="525">
        <f t="shared" ref="GF10:GF39" si="172">+GD10*$H$8</f>
        <v>0</v>
      </c>
      <c r="GG10" s="523"/>
      <c r="GH10" s="524" t="e">
        <f t="shared" si="61"/>
        <v>#DIV/0!</v>
      </c>
      <c r="GI10" s="525">
        <f t="shared" ref="GI10:GI39" si="173">+GG10*$H$8</f>
        <v>0</v>
      </c>
      <c r="GJ10" s="523"/>
      <c r="GK10" s="524" t="e">
        <f t="shared" si="62"/>
        <v>#DIV/0!</v>
      </c>
      <c r="GL10" s="525">
        <f t="shared" ref="GL10:GL39" si="174">+GJ10*$H$8</f>
        <v>0</v>
      </c>
      <c r="GM10" s="523"/>
      <c r="GN10" s="524" t="e">
        <f t="shared" si="63"/>
        <v>#DIV/0!</v>
      </c>
      <c r="GO10" s="525">
        <f t="shared" ref="GO10:GO39" si="175">+GM10*$H$8</f>
        <v>0</v>
      </c>
      <c r="GP10" s="523"/>
      <c r="GQ10" s="524" t="e">
        <f t="shared" si="64"/>
        <v>#DIV/0!</v>
      </c>
      <c r="GR10" s="525">
        <f t="shared" ref="GR10:GR39" si="176">+GP10*$H$8</f>
        <v>0</v>
      </c>
      <c r="GS10" s="523"/>
      <c r="GT10" s="524" t="e">
        <f t="shared" si="65"/>
        <v>#DIV/0!</v>
      </c>
      <c r="GU10" s="525">
        <f t="shared" ref="GU10:GU39" si="177">+GS10*$H$8</f>
        <v>0</v>
      </c>
      <c r="GV10" s="523"/>
      <c r="GW10" s="524" t="e">
        <f t="shared" si="66"/>
        <v>#DIV/0!</v>
      </c>
      <c r="GX10" s="525">
        <f t="shared" ref="GX10:GX39" si="178">+GV10*$H$8</f>
        <v>0</v>
      </c>
      <c r="GY10" s="523"/>
      <c r="GZ10" s="524" t="e">
        <f t="shared" si="67"/>
        <v>#DIV/0!</v>
      </c>
      <c r="HA10" s="525">
        <f t="shared" ref="HA10:HA39" si="179">+GY10*$H$8</f>
        <v>0</v>
      </c>
      <c r="HB10" s="523"/>
      <c r="HC10" s="524" t="e">
        <f t="shared" si="68"/>
        <v>#DIV/0!</v>
      </c>
      <c r="HD10" s="525">
        <f t="shared" ref="HD10:HD39" si="180">+HB10*$H$8</f>
        <v>0</v>
      </c>
      <c r="HE10" s="523"/>
      <c r="HF10" s="524" t="e">
        <f t="shared" si="69"/>
        <v>#DIV/0!</v>
      </c>
      <c r="HG10" s="525">
        <f t="shared" ref="HG10:HG39" si="181">+HE10*$H$8</f>
        <v>0</v>
      </c>
      <c r="HH10" s="523"/>
      <c r="HI10" s="524" t="e">
        <f t="shared" si="70"/>
        <v>#DIV/0!</v>
      </c>
      <c r="HJ10" s="525">
        <f t="shared" ref="HJ10:HJ39" si="182">+HH10*$H$8</f>
        <v>0</v>
      </c>
      <c r="HK10" s="523"/>
      <c r="HL10" s="524" t="e">
        <f t="shared" si="71"/>
        <v>#DIV/0!</v>
      </c>
      <c r="HM10" s="525">
        <f t="shared" ref="HM10:HM39" si="183">+HK10*$H$8</f>
        <v>0</v>
      </c>
      <c r="HN10" s="523"/>
      <c r="HO10" s="524" t="e">
        <f t="shared" si="72"/>
        <v>#DIV/0!</v>
      </c>
      <c r="HP10" s="525">
        <f t="shared" ref="HP10:HP39" si="184">+HN10*$H$8</f>
        <v>0</v>
      </c>
      <c r="HQ10" s="523"/>
      <c r="HR10" s="524" t="e">
        <f t="shared" si="73"/>
        <v>#DIV/0!</v>
      </c>
      <c r="HS10" s="525">
        <f t="shared" ref="HS10:HS39" si="185">+HQ10*$H$8</f>
        <v>0</v>
      </c>
      <c r="HT10" s="523"/>
      <c r="HU10" s="524" t="e">
        <f t="shared" si="74"/>
        <v>#DIV/0!</v>
      </c>
      <c r="HV10" s="525">
        <f t="shared" ref="HV10:HV39" si="186">+HT10*$H$8</f>
        <v>0</v>
      </c>
      <c r="HW10" s="523"/>
      <c r="HX10" s="524" t="e">
        <f t="shared" si="75"/>
        <v>#DIV/0!</v>
      </c>
      <c r="HY10" s="525">
        <f t="shared" ref="HY10:HY39" si="187">+HW10*$H$8</f>
        <v>0</v>
      </c>
      <c r="HZ10" s="523"/>
      <c r="IA10" s="524" t="e">
        <f t="shared" si="76"/>
        <v>#DIV/0!</v>
      </c>
      <c r="IB10" s="525">
        <f t="shared" ref="IB10:IB39" si="188">+HZ10*$H$8</f>
        <v>0</v>
      </c>
      <c r="IC10" s="523"/>
      <c r="ID10" s="524" t="e">
        <f t="shared" si="77"/>
        <v>#DIV/0!</v>
      </c>
      <c r="IE10" s="525">
        <f t="shared" ref="IE10:IE39" si="189">+IC10*$H$8</f>
        <v>0</v>
      </c>
      <c r="IF10" s="523"/>
      <c r="IG10" s="524" t="e">
        <f t="shared" si="78"/>
        <v>#DIV/0!</v>
      </c>
      <c r="IH10" s="525">
        <f t="shared" ref="IH10:IH39" si="190">+IF10*$H$8</f>
        <v>0</v>
      </c>
      <c r="II10" s="523"/>
      <c r="IJ10" s="524" t="e">
        <f t="shared" si="79"/>
        <v>#DIV/0!</v>
      </c>
      <c r="IK10" s="525">
        <f t="shared" ref="IK10:IK39" si="191">+II10*$H$8</f>
        <v>0</v>
      </c>
      <c r="IL10" s="523"/>
      <c r="IM10" s="524" t="e">
        <f t="shared" si="80"/>
        <v>#DIV/0!</v>
      </c>
      <c r="IN10" s="525">
        <f t="shared" ref="IN10:IN39" si="192">+IL10*$H$8</f>
        <v>0</v>
      </c>
      <c r="IO10" s="523"/>
      <c r="IP10" s="524" t="e">
        <f t="shared" si="81"/>
        <v>#DIV/0!</v>
      </c>
      <c r="IQ10" s="525">
        <f t="shared" ref="IQ10:IQ39" si="193">+IO10*$H$8</f>
        <v>0</v>
      </c>
      <c r="IR10" s="523"/>
      <c r="IS10" s="524" t="e">
        <f t="shared" si="82"/>
        <v>#DIV/0!</v>
      </c>
      <c r="IT10" s="525">
        <f t="shared" ref="IT10:IT39" si="194">+IR10*$H$8</f>
        <v>0</v>
      </c>
      <c r="IU10" s="523"/>
      <c r="IV10" s="524" t="e">
        <f t="shared" si="83"/>
        <v>#DIV/0!</v>
      </c>
      <c r="IW10" s="525">
        <f t="shared" ref="IW10:IW39" si="195">+IU10*$H$8</f>
        <v>0</v>
      </c>
      <c r="IX10" s="523"/>
      <c r="IY10" s="524" t="e">
        <f t="shared" si="84"/>
        <v>#DIV/0!</v>
      </c>
      <c r="IZ10" s="525">
        <f t="shared" ref="IZ10:IZ39" si="196">+IX10*$H$8</f>
        <v>0</v>
      </c>
      <c r="JA10" s="523"/>
      <c r="JB10" s="524" t="e">
        <f t="shared" si="85"/>
        <v>#DIV/0!</v>
      </c>
      <c r="JC10" s="525">
        <f t="shared" ref="JC10:JC39" si="197">+JA10*$H$8</f>
        <v>0</v>
      </c>
      <c r="JD10" s="523"/>
      <c r="JE10" s="524" t="e">
        <f t="shared" si="86"/>
        <v>#DIV/0!</v>
      </c>
      <c r="JF10" s="525">
        <f t="shared" ref="JF10:JF39" si="198">+JD10*$H$8</f>
        <v>0</v>
      </c>
      <c r="JG10" s="523"/>
      <c r="JH10" s="524" t="e">
        <f t="shared" si="87"/>
        <v>#DIV/0!</v>
      </c>
      <c r="JI10" s="525">
        <f t="shared" ref="JI10:JI39" si="199">+JG10*$H$8</f>
        <v>0</v>
      </c>
      <c r="JJ10" s="523"/>
      <c r="JK10" s="525" t="str">
        <f t="shared" si="88"/>
        <v>0</v>
      </c>
      <c r="JL10" s="525" t="str">
        <f t="shared" si="89"/>
        <v>0</v>
      </c>
      <c r="JM10" s="523"/>
      <c r="JN10" s="525" t="str">
        <f t="shared" si="90"/>
        <v>0</v>
      </c>
      <c r="JO10" s="525" t="str">
        <f t="shared" si="91"/>
        <v>0</v>
      </c>
      <c r="JP10" s="523"/>
      <c r="JQ10" s="525" t="str">
        <f t="shared" si="92"/>
        <v>0</v>
      </c>
      <c r="JR10" s="525" t="str">
        <f t="shared" si="93"/>
        <v>0</v>
      </c>
      <c r="JS10" s="523"/>
      <c r="JT10" s="525" t="str">
        <f t="shared" si="94"/>
        <v>0</v>
      </c>
      <c r="JU10" s="525" t="str">
        <f t="shared" si="95"/>
        <v>0</v>
      </c>
      <c r="JV10" s="523"/>
      <c r="JW10" s="525" t="str">
        <f t="shared" si="96"/>
        <v>0</v>
      </c>
      <c r="JX10" s="525" t="str">
        <f t="shared" si="97"/>
        <v>0</v>
      </c>
      <c r="JY10" s="523"/>
      <c r="JZ10" s="525" t="str">
        <f t="shared" si="98"/>
        <v>0</v>
      </c>
      <c r="KA10" s="525" t="str">
        <f t="shared" si="99"/>
        <v>0</v>
      </c>
      <c r="KB10" s="523"/>
      <c r="KC10" s="525" t="str">
        <f t="shared" si="100"/>
        <v>0</v>
      </c>
      <c r="KD10" s="525" t="str">
        <f t="shared" si="101"/>
        <v>0</v>
      </c>
      <c r="KE10" s="523"/>
      <c r="KF10" s="525" t="str">
        <f t="shared" si="102"/>
        <v>0</v>
      </c>
      <c r="KG10" s="525" t="str">
        <f t="shared" si="103"/>
        <v>0</v>
      </c>
      <c r="KH10" s="523"/>
      <c r="KI10" s="525" t="str">
        <f t="shared" si="104"/>
        <v>0</v>
      </c>
      <c r="KJ10" s="525" t="str">
        <f t="shared" si="105"/>
        <v>0</v>
      </c>
      <c r="KK10" s="523"/>
      <c r="KL10" s="525" t="str">
        <f t="shared" si="106"/>
        <v>0</v>
      </c>
      <c r="KM10" s="525" t="str">
        <f t="shared" si="107"/>
        <v>0</v>
      </c>
      <c r="KN10" s="523"/>
      <c r="KO10" s="525" t="str">
        <f t="shared" si="108"/>
        <v>0</v>
      </c>
      <c r="KP10" s="525" t="str">
        <f t="shared" si="109"/>
        <v>0</v>
      </c>
      <c r="KQ10" s="523"/>
      <c r="KR10" s="525" t="str">
        <f t="shared" si="110"/>
        <v>0</v>
      </c>
      <c r="KS10" s="525" t="str">
        <f t="shared" si="111"/>
        <v>0</v>
      </c>
      <c r="KT10" s="525">
        <f>H10+K10+N10+Q10+T10+W10+Z10+AC10+AF10+AI10+AL10+AO10+AR10+AU10+AX10+BA10+BD10+BG10+BJ10+BM10+BP10+BS10+BV10+BY10+CB10+CE10+CH10+CK10+CN10+CQ10+CT10+CW10+CZ10+DC10+DF10+DI10+DL10+DO10+DR10+DU10+DX10+EA10+ED10+EG10+EJ10+EM10+EP10+ES10+EV10+EY10+FB10+FE10+FH10+FK10+FN10+FQ10+FT10+FW10+FZ10+GC10</f>
        <v>0</v>
      </c>
      <c r="KU10" s="525">
        <f>GF10+GI10+GL10+GO10+GR10+GU10+GX10+HA10+HD10+HG10+HJ10+HM10+HP10+HS10+HV10+HY10+IB10+IE10+IH10+IK10+IN10+IQ10+IT10+IW10+IZ10+JC10+JF10+JI10+JL10+JO10+JR10+JU10+JX10++KA10+KD10+KG10+KJ10++KM10+KP10+KS10</f>
        <v>0</v>
      </c>
      <c r="KV10" s="261">
        <f t="shared" si="112"/>
        <v>0</v>
      </c>
    </row>
    <row r="11" spans="1:308">
      <c r="A11" s="262">
        <f t="shared" ref="A11:A39" si="200">+A10+1</f>
        <v>45964</v>
      </c>
      <c r="B11" s="263" t="str">
        <f>+Report1!B11</f>
        <v>STOP</v>
      </c>
      <c r="C11" s="263" t="str">
        <f>+Report1!C11</f>
        <v>12</v>
      </c>
      <c r="D11" s="264">
        <f>+Report1!P11</f>
        <v>0</v>
      </c>
      <c r="E11" s="562">
        <f>+Report1!R11</f>
        <v>0</v>
      </c>
      <c r="F11" s="523"/>
      <c r="G11" s="524" t="e">
        <f t="shared" si="0"/>
        <v>#DIV/0!</v>
      </c>
      <c r="H11" s="525">
        <f t="shared" si="113"/>
        <v>0</v>
      </c>
      <c r="I11" s="523"/>
      <c r="J11" s="524" t="e">
        <f t="shared" si="1"/>
        <v>#DIV/0!</v>
      </c>
      <c r="K11" s="525">
        <f t="shared" si="114"/>
        <v>0</v>
      </c>
      <c r="L11" s="523"/>
      <c r="M11" s="524" t="e">
        <f t="shared" si="2"/>
        <v>#DIV/0!</v>
      </c>
      <c r="N11" s="525">
        <f t="shared" si="115"/>
        <v>0</v>
      </c>
      <c r="O11" s="523"/>
      <c r="P11" s="524" t="e">
        <f t="shared" si="3"/>
        <v>#DIV/0!</v>
      </c>
      <c r="Q11" s="525">
        <f t="shared" si="116"/>
        <v>0</v>
      </c>
      <c r="R11" s="523"/>
      <c r="S11" s="524" t="e">
        <f t="shared" si="4"/>
        <v>#DIV/0!</v>
      </c>
      <c r="T11" s="525">
        <f t="shared" si="117"/>
        <v>0</v>
      </c>
      <c r="U11" s="523"/>
      <c r="V11" s="524" t="e">
        <f t="shared" si="5"/>
        <v>#DIV/0!</v>
      </c>
      <c r="W11" s="525">
        <f t="shared" si="118"/>
        <v>0</v>
      </c>
      <c r="X11" s="523"/>
      <c r="Y11" s="524" t="e">
        <f t="shared" si="6"/>
        <v>#DIV/0!</v>
      </c>
      <c r="Z11" s="525">
        <f t="shared" si="119"/>
        <v>0</v>
      </c>
      <c r="AA11" s="523"/>
      <c r="AB11" s="524" t="e">
        <f t="shared" si="7"/>
        <v>#DIV/0!</v>
      </c>
      <c r="AC11" s="525">
        <f t="shared" si="120"/>
        <v>0</v>
      </c>
      <c r="AD11" s="523"/>
      <c r="AE11" s="524" t="e">
        <f t="shared" si="8"/>
        <v>#DIV/0!</v>
      </c>
      <c r="AF11" s="525">
        <f t="shared" si="121"/>
        <v>0</v>
      </c>
      <c r="AG11" s="523"/>
      <c r="AH11" s="524" t="e">
        <f t="shared" si="9"/>
        <v>#DIV/0!</v>
      </c>
      <c r="AI11" s="525">
        <f t="shared" si="122"/>
        <v>0</v>
      </c>
      <c r="AJ11" s="523"/>
      <c r="AK11" s="524" t="e">
        <f t="shared" si="10"/>
        <v>#DIV/0!</v>
      </c>
      <c r="AL11" s="525">
        <f t="shared" si="123"/>
        <v>0</v>
      </c>
      <c r="AM11" s="523"/>
      <c r="AN11" s="524" t="e">
        <f t="shared" si="11"/>
        <v>#DIV/0!</v>
      </c>
      <c r="AO11" s="525">
        <f t="shared" si="124"/>
        <v>0</v>
      </c>
      <c r="AP11" s="523"/>
      <c r="AQ11" s="524" t="e">
        <f t="shared" si="12"/>
        <v>#DIV/0!</v>
      </c>
      <c r="AR11" s="525">
        <f t="shared" si="125"/>
        <v>0</v>
      </c>
      <c r="AS11" s="523"/>
      <c r="AT11" s="524" t="e">
        <f t="shared" si="13"/>
        <v>#DIV/0!</v>
      </c>
      <c r="AU11" s="525">
        <f t="shared" si="126"/>
        <v>0</v>
      </c>
      <c r="AV11" s="523"/>
      <c r="AW11" s="524" t="e">
        <f t="shared" si="14"/>
        <v>#DIV/0!</v>
      </c>
      <c r="AX11" s="525">
        <f t="shared" si="127"/>
        <v>0</v>
      </c>
      <c r="AY11" s="523"/>
      <c r="AZ11" s="524" t="e">
        <f t="shared" si="15"/>
        <v>#DIV/0!</v>
      </c>
      <c r="BA11" s="525">
        <f t="shared" si="128"/>
        <v>0</v>
      </c>
      <c r="BB11" s="523"/>
      <c r="BC11" s="524" t="e">
        <f t="shared" si="16"/>
        <v>#DIV/0!</v>
      </c>
      <c r="BD11" s="525">
        <f t="shared" si="129"/>
        <v>0</v>
      </c>
      <c r="BE11" s="523"/>
      <c r="BF11" s="524" t="e">
        <f t="shared" si="17"/>
        <v>#DIV/0!</v>
      </c>
      <c r="BG11" s="525">
        <f t="shared" si="130"/>
        <v>0</v>
      </c>
      <c r="BH11" s="523"/>
      <c r="BI11" s="524" t="e">
        <f t="shared" si="18"/>
        <v>#DIV/0!</v>
      </c>
      <c r="BJ11" s="525">
        <f t="shared" si="131"/>
        <v>0</v>
      </c>
      <c r="BK11" s="523"/>
      <c r="BL11" s="524" t="e">
        <f t="shared" si="19"/>
        <v>#DIV/0!</v>
      </c>
      <c r="BM11" s="525">
        <f t="shared" si="132"/>
        <v>0</v>
      </c>
      <c r="BN11" s="523"/>
      <c r="BO11" s="524" t="e">
        <f t="shared" si="20"/>
        <v>#DIV/0!</v>
      </c>
      <c r="BP11" s="525">
        <f t="shared" si="133"/>
        <v>0</v>
      </c>
      <c r="BQ11" s="523"/>
      <c r="BR11" s="524" t="e">
        <f t="shared" si="21"/>
        <v>#DIV/0!</v>
      </c>
      <c r="BS11" s="525">
        <f t="shared" si="134"/>
        <v>0</v>
      </c>
      <c r="BT11" s="523"/>
      <c r="BU11" s="524" t="e">
        <f t="shared" si="22"/>
        <v>#DIV/0!</v>
      </c>
      <c r="BV11" s="525">
        <f t="shared" si="135"/>
        <v>0</v>
      </c>
      <c r="BW11" s="523"/>
      <c r="BX11" s="524" t="e">
        <f t="shared" si="23"/>
        <v>#DIV/0!</v>
      </c>
      <c r="BY11" s="525">
        <f t="shared" si="136"/>
        <v>0</v>
      </c>
      <c r="BZ11" s="523"/>
      <c r="CA11" s="524" t="e">
        <f t="shared" si="24"/>
        <v>#DIV/0!</v>
      </c>
      <c r="CB11" s="525">
        <f t="shared" si="137"/>
        <v>0</v>
      </c>
      <c r="CC11" s="523"/>
      <c r="CD11" s="524" t="e">
        <f t="shared" si="25"/>
        <v>#DIV/0!</v>
      </c>
      <c r="CE11" s="525">
        <f t="shared" si="138"/>
        <v>0</v>
      </c>
      <c r="CF11" s="523"/>
      <c r="CG11" s="524" t="e">
        <f t="shared" si="26"/>
        <v>#DIV/0!</v>
      </c>
      <c r="CH11" s="525">
        <f t="shared" si="139"/>
        <v>0</v>
      </c>
      <c r="CI11" s="523"/>
      <c r="CJ11" s="524" t="e">
        <f t="shared" si="27"/>
        <v>#DIV/0!</v>
      </c>
      <c r="CK11" s="525">
        <f t="shared" si="140"/>
        <v>0</v>
      </c>
      <c r="CL11" s="523"/>
      <c r="CM11" s="524" t="e">
        <f t="shared" si="28"/>
        <v>#DIV/0!</v>
      </c>
      <c r="CN11" s="525">
        <f t="shared" si="141"/>
        <v>0</v>
      </c>
      <c r="CO11" s="523"/>
      <c r="CP11" s="524" t="e">
        <f t="shared" si="29"/>
        <v>#DIV/0!</v>
      </c>
      <c r="CQ11" s="525">
        <f t="shared" si="142"/>
        <v>0</v>
      </c>
      <c r="CR11" s="523"/>
      <c r="CS11" s="524" t="e">
        <f t="shared" si="30"/>
        <v>#DIV/0!</v>
      </c>
      <c r="CT11" s="525">
        <f t="shared" si="143"/>
        <v>0</v>
      </c>
      <c r="CU11" s="523"/>
      <c r="CV11" s="524" t="e">
        <f t="shared" si="31"/>
        <v>#DIV/0!</v>
      </c>
      <c r="CW11" s="525">
        <f t="shared" si="144"/>
        <v>0</v>
      </c>
      <c r="CX11" s="523"/>
      <c r="CY11" s="524" t="e">
        <f t="shared" si="32"/>
        <v>#DIV/0!</v>
      </c>
      <c r="CZ11" s="525">
        <f t="shared" si="145"/>
        <v>0</v>
      </c>
      <c r="DA11" s="523"/>
      <c r="DB11" s="524" t="e">
        <f t="shared" si="33"/>
        <v>#DIV/0!</v>
      </c>
      <c r="DC11" s="525">
        <f t="shared" si="146"/>
        <v>0</v>
      </c>
      <c r="DD11" s="523"/>
      <c r="DE11" s="524" t="e">
        <f t="shared" si="34"/>
        <v>#DIV/0!</v>
      </c>
      <c r="DF11" s="525">
        <f t="shared" si="147"/>
        <v>0</v>
      </c>
      <c r="DG11" s="523"/>
      <c r="DH11" s="524" t="e">
        <f t="shared" si="35"/>
        <v>#DIV/0!</v>
      </c>
      <c r="DI11" s="525">
        <v>0</v>
      </c>
      <c r="DJ11" s="523"/>
      <c r="DK11" s="524" t="e">
        <f t="shared" si="36"/>
        <v>#DIV/0!</v>
      </c>
      <c r="DL11" s="525">
        <f t="shared" si="148"/>
        <v>0</v>
      </c>
      <c r="DM11" s="523"/>
      <c r="DN11" s="524" t="e">
        <f t="shared" si="37"/>
        <v>#DIV/0!</v>
      </c>
      <c r="DO11" s="525">
        <f t="shared" si="149"/>
        <v>0</v>
      </c>
      <c r="DP11" s="523"/>
      <c r="DQ11" s="524" t="e">
        <f t="shared" si="38"/>
        <v>#DIV/0!</v>
      </c>
      <c r="DR11" s="525">
        <f t="shared" si="150"/>
        <v>0</v>
      </c>
      <c r="DS11" s="523"/>
      <c r="DT11" s="524" t="e">
        <f t="shared" si="39"/>
        <v>#DIV/0!</v>
      </c>
      <c r="DU11" s="525">
        <f t="shared" si="151"/>
        <v>0</v>
      </c>
      <c r="DV11" s="523"/>
      <c r="DW11" s="524" t="e">
        <f t="shared" si="40"/>
        <v>#DIV/0!</v>
      </c>
      <c r="DX11" s="525">
        <f t="shared" si="152"/>
        <v>0</v>
      </c>
      <c r="DY11" s="523"/>
      <c r="DZ11" s="524" t="e">
        <f t="shared" si="41"/>
        <v>#DIV/0!</v>
      </c>
      <c r="EA11" s="525">
        <f t="shared" si="153"/>
        <v>0</v>
      </c>
      <c r="EB11" s="523"/>
      <c r="EC11" s="524" t="e">
        <f t="shared" si="42"/>
        <v>#DIV/0!</v>
      </c>
      <c r="ED11" s="525">
        <f t="shared" si="154"/>
        <v>0</v>
      </c>
      <c r="EE11" s="523"/>
      <c r="EF11" s="524" t="e">
        <f t="shared" si="43"/>
        <v>#DIV/0!</v>
      </c>
      <c r="EG11" s="525">
        <f t="shared" si="155"/>
        <v>0</v>
      </c>
      <c r="EH11" s="523"/>
      <c r="EI11" s="524" t="e">
        <f t="shared" si="44"/>
        <v>#DIV/0!</v>
      </c>
      <c r="EJ11" s="525">
        <f t="shared" si="156"/>
        <v>0</v>
      </c>
      <c r="EK11" s="523"/>
      <c r="EL11" s="524" t="e">
        <f t="shared" si="45"/>
        <v>#DIV/0!</v>
      </c>
      <c r="EM11" s="525">
        <f t="shared" si="157"/>
        <v>0</v>
      </c>
      <c r="EN11" s="523"/>
      <c r="EO11" s="524" t="e">
        <f t="shared" si="46"/>
        <v>#DIV/0!</v>
      </c>
      <c r="EP11" s="525">
        <f t="shared" si="158"/>
        <v>0</v>
      </c>
      <c r="EQ11" s="523"/>
      <c r="ER11" s="524" t="e">
        <f t="shared" si="47"/>
        <v>#DIV/0!</v>
      </c>
      <c r="ES11" s="525">
        <f t="shared" si="159"/>
        <v>0</v>
      </c>
      <c r="ET11" s="523"/>
      <c r="EU11" s="524" t="e">
        <f t="shared" si="48"/>
        <v>#DIV/0!</v>
      </c>
      <c r="EV11" s="525">
        <f t="shared" si="160"/>
        <v>0</v>
      </c>
      <c r="EW11" s="523"/>
      <c r="EX11" s="524" t="e">
        <f t="shared" si="49"/>
        <v>#DIV/0!</v>
      </c>
      <c r="EY11" s="525">
        <f t="shared" si="161"/>
        <v>0</v>
      </c>
      <c r="EZ11" s="523"/>
      <c r="FA11" s="524" t="e">
        <f t="shared" si="50"/>
        <v>#DIV/0!</v>
      </c>
      <c r="FB11" s="525">
        <f t="shared" si="162"/>
        <v>0</v>
      </c>
      <c r="FC11" s="523"/>
      <c r="FD11" s="524" t="e">
        <f t="shared" si="51"/>
        <v>#DIV/0!</v>
      </c>
      <c r="FE11" s="525">
        <f t="shared" si="163"/>
        <v>0</v>
      </c>
      <c r="FF11" s="523"/>
      <c r="FG11" s="524" t="e">
        <f t="shared" si="52"/>
        <v>#DIV/0!</v>
      </c>
      <c r="FH11" s="525">
        <f t="shared" si="164"/>
        <v>0</v>
      </c>
      <c r="FI11" s="523"/>
      <c r="FJ11" s="524" t="e">
        <f t="shared" si="53"/>
        <v>#DIV/0!</v>
      </c>
      <c r="FK11" s="525">
        <f t="shared" si="165"/>
        <v>0</v>
      </c>
      <c r="FL11" s="523"/>
      <c r="FM11" s="524" t="e">
        <f t="shared" si="54"/>
        <v>#DIV/0!</v>
      </c>
      <c r="FN11" s="525">
        <f t="shared" si="166"/>
        <v>0</v>
      </c>
      <c r="FO11" s="523"/>
      <c r="FP11" s="524" t="e">
        <f t="shared" si="55"/>
        <v>#DIV/0!</v>
      </c>
      <c r="FQ11" s="525">
        <f t="shared" si="167"/>
        <v>0</v>
      </c>
      <c r="FR11" s="523"/>
      <c r="FS11" s="524" t="e">
        <f t="shared" si="56"/>
        <v>#DIV/0!</v>
      </c>
      <c r="FT11" s="525">
        <f t="shared" si="168"/>
        <v>0</v>
      </c>
      <c r="FU11" s="523"/>
      <c r="FV11" s="524" t="e">
        <f t="shared" si="57"/>
        <v>#DIV/0!</v>
      </c>
      <c r="FW11" s="525">
        <f t="shared" si="169"/>
        <v>0</v>
      </c>
      <c r="FX11" s="523"/>
      <c r="FY11" s="524" t="e">
        <f t="shared" si="58"/>
        <v>#DIV/0!</v>
      </c>
      <c r="FZ11" s="525">
        <f t="shared" si="170"/>
        <v>0</v>
      </c>
      <c r="GA11" s="523"/>
      <c r="GB11" s="524" t="e">
        <f t="shared" si="59"/>
        <v>#DIV/0!</v>
      </c>
      <c r="GC11" s="525">
        <f t="shared" si="171"/>
        <v>0</v>
      </c>
      <c r="GD11" s="523"/>
      <c r="GE11" s="524" t="e">
        <f t="shared" si="60"/>
        <v>#DIV/0!</v>
      </c>
      <c r="GF11" s="525">
        <f t="shared" si="172"/>
        <v>0</v>
      </c>
      <c r="GG11" s="523"/>
      <c r="GH11" s="524" t="e">
        <f t="shared" si="61"/>
        <v>#DIV/0!</v>
      </c>
      <c r="GI11" s="525">
        <f t="shared" si="173"/>
        <v>0</v>
      </c>
      <c r="GJ11" s="523"/>
      <c r="GK11" s="524" t="e">
        <f t="shared" si="62"/>
        <v>#DIV/0!</v>
      </c>
      <c r="GL11" s="525">
        <f t="shared" si="174"/>
        <v>0</v>
      </c>
      <c r="GM11" s="523"/>
      <c r="GN11" s="524" t="e">
        <f t="shared" si="63"/>
        <v>#DIV/0!</v>
      </c>
      <c r="GO11" s="525">
        <f t="shared" si="175"/>
        <v>0</v>
      </c>
      <c r="GP11" s="523"/>
      <c r="GQ11" s="524" t="e">
        <f t="shared" si="64"/>
        <v>#DIV/0!</v>
      </c>
      <c r="GR11" s="525">
        <f t="shared" si="176"/>
        <v>0</v>
      </c>
      <c r="GS11" s="523"/>
      <c r="GT11" s="524" t="e">
        <f t="shared" si="65"/>
        <v>#DIV/0!</v>
      </c>
      <c r="GU11" s="525">
        <f t="shared" si="177"/>
        <v>0</v>
      </c>
      <c r="GV11" s="523"/>
      <c r="GW11" s="524" t="e">
        <f t="shared" si="66"/>
        <v>#DIV/0!</v>
      </c>
      <c r="GX11" s="525">
        <f t="shared" si="178"/>
        <v>0</v>
      </c>
      <c r="GY11" s="523"/>
      <c r="GZ11" s="524" t="e">
        <f t="shared" si="67"/>
        <v>#DIV/0!</v>
      </c>
      <c r="HA11" s="525">
        <f t="shared" si="179"/>
        <v>0</v>
      </c>
      <c r="HB11" s="523"/>
      <c r="HC11" s="524" t="e">
        <f t="shared" si="68"/>
        <v>#DIV/0!</v>
      </c>
      <c r="HD11" s="525">
        <f t="shared" si="180"/>
        <v>0</v>
      </c>
      <c r="HE11" s="523"/>
      <c r="HF11" s="524" t="e">
        <f t="shared" si="69"/>
        <v>#DIV/0!</v>
      </c>
      <c r="HG11" s="525">
        <f t="shared" si="181"/>
        <v>0</v>
      </c>
      <c r="HH11" s="523"/>
      <c r="HI11" s="524" t="e">
        <f t="shared" si="70"/>
        <v>#DIV/0!</v>
      </c>
      <c r="HJ11" s="525">
        <f t="shared" si="182"/>
        <v>0</v>
      </c>
      <c r="HK11" s="523"/>
      <c r="HL11" s="524" t="e">
        <f t="shared" si="71"/>
        <v>#DIV/0!</v>
      </c>
      <c r="HM11" s="525">
        <f t="shared" si="183"/>
        <v>0</v>
      </c>
      <c r="HN11" s="523"/>
      <c r="HO11" s="524" t="e">
        <f t="shared" si="72"/>
        <v>#DIV/0!</v>
      </c>
      <c r="HP11" s="525">
        <f t="shared" si="184"/>
        <v>0</v>
      </c>
      <c r="HQ11" s="523"/>
      <c r="HR11" s="524" t="e">
        <f t="shared" si="73"/>
        <v>#DIV/0!</v>
      </c>
      <c r="HS11" s="525">
        <f t="shared" si="185"/>
        <v>0</v>
      </c>
      <c r="HT11" s="523"/>
      <c r="HU11" s="524" t="e">
        <f t="shared" si="74"/>
        <v>#DIV/0!</v>
      </c>
      <c r="HV11" s="525">
        <f t="shared" si="186"/>
        <v>0</v>
      </c>
      <c r="HW11" s="523"/>
      <c r="HX11" s="524" t="e">
        <f t="shared" si="75"/>
        <v>#DIV/0!</v>
      </c>
      <c r="HY11" s="525">
        <f t="shared" si="187"/>
        <v>0</v>
      </c>
      <c r="HZ11" s="523"/>
      <c r="IA11" s="524" t="e">
        <f t="shared" si="76"/>
        <v>#DIV/0!</v>
      </c>
      <c r="IB11" s="525">
        <f t="shared" si="188"/>
        <v>0</v>
      </c>
      <c r="IC11" s="523"/>
      <c r="ID11" s="524" t="e">
        <f t="shared" si="77"/>
        <v>#DIV/0!</v>
      </c>
      <c r="IE11" s="525">
        <f t="shared" si="189"/>
        <v>0</v>
      </c>
      <c r="IF11" s="523"/>
      <c r="IG11" s="524" t="e">
        <f t="shared" si="78"/>
        <v>#DIV/0!</v>
      </c>
      <c r="IH11" s="525">
        <f t="shared" si="190"/>
        <v>0</v>
      </c>
      <c r="II11" s="523"/>
      <c r="IJ11" s="524" t="e">
        <f t="shared" si="79"/>
        <v>#DIV/0!</v>
      </c>
      <c r="IK11" s="525">
        <f t="shared" si="191"/>
        <v>0</v>
      </c>
      <c r="IL11" s="523"/>
      <c r="IM11" s="524" t="e">
        <f t="shared" si="80"/>
        <v>#DIV/0!</v>
      </c>
      <c r="IN11" s="525">
        <f t="shared" si="192"/>
        <v>0</v>
      </c>
      <c r="IO11" s="523"/>
      <c r="IP11" s="524" t="e">
        <f t="shared" si="81"/>
        <v>#DIV/0!</v>
      </c>
      <c r="IQ11" s="525">
        <f t="shared" si="193"/>
        <v>0</v>
      </c>
      <c r="IR11" s="523"/>
      <c r="IS11" s="524" t="e">
        <f t="shared" si="82"/>
        <v>#DIV/0!</v>
      </c>
      <c r="IT11" s="525">
        <f t="shared" si="194"/>
        <v>0</v>
      </c>
      <c r="IU11" s="523"/>
      <c r="IV11" s="524" t="e">
        <f t="shared" si="83"/>
        <v>#DIV/0!</v>
      </c>
      <c r="IW11" s="525">
        <f t="shared" si="195"/>
        <v>0</v>
      </c>
      <c r="IX11" s="523"/>
      <c r="IY11" s="524" t="e">
        <f t="shared" si="84"/>
        <v>#DIV/0!</v>
      </c>
      <c r="IZ11" s="525">
        <f t="shared" si="196"/>
        <v>0</v>
      </c>
      <c r="JA11" s="523"/>
      <c r="JB11" s="524" t="e">
        <f t="shared" si="85"/>
        <v>#DIV/0!</v>
      </c>
      <c r="JC11" s="525">
        <f t="shared" si="197"/>
        <v>0</v>
      </c>
      <c r="JD11" s="523"/>
      <c r="JE11" s="524" t="e">
        <f t="shared" si="86"/>
        <v>#DIV/0!</v>
      </c>
      <c r="JF11" s="525">
        <f t="shared" si="198"/>
        <v>0</v>
      </c>
      <c r="JG11" s="523"/>
      <c r="JH11" s="524" t="e">
        <f t="shared" si="87"/>
        <v>#DIV/0!</v>
      </c>
      <c r="JI11" s="525">
        <f t="shared" si="199"/>
        <v>0</v>
      </c>
      <c r="JJ11" s="523"/>
      <c r="JK11" s="525" t="str">
        <f t="shared" si="88"/>
        <v>0</v>
      </c>
      <c r="JL11" s="525" t="str">
        <f t="shared" si="89"/>
        <v>0</v>
      </c>
      <c r="JM11" s="523"/>
      <c r="JN11" s="525" t="str">
        <f t="shared" si="90"/>
        <v>0</v>
      </c>
      <c r="JO11" s="525" t="str">
        <f t="shared" si="91"/>
        <v>0</v>
      </c>
      <c r="JP11" s="523"/>
      <c r="JQ11" s="525" t="str">
        <f t="shared" si="92"/>
        <v>0</v>
      </c>
      <c r="JR11" s="525" t="str">
        <f t="shared" si="93"/>
        <v>0</v>
      </c>
      <c r="JS11" s="523"/>
      <c r="JT11" s="525" t="str">
        <f t="shared" si="94"/>
        <v>0</v>
      </c>
      <c r="JU11" s="525" t="str">
        <f t="shared" si="95"/>
        <v>0</v>
      </c>
      <c r="JV11" s="523"/>
      <c r="JW11" s="525" t="str">
        <f t="shared" si="96"/>
        <v>0</v>
      </c>
      <c r="JX11" s="525" t="str">
        <f t="shared" si="97"/>
        <v>0</v>
      </c>
      <c r="JY11" s="523"/>
      <c r="JZ11" s="525" t="str">
        <f t="shared" si="98"/>
        <v>0</v>
      </c>
      <c r="KA11" s="525" t="str">
        <f t="shared" si="99"/>
        <v>0</v>
      </c>
      <c r="KB11" s="523"/>
      <c r="KC11" s="525" t="str">
        <f t="shared" si="100"/>
        <v>0</v>
      </c>
      <c r="KD11" s="525" t="str">
        <f t="shared" si="101"/>
        <v>0</v>
      </c>
      <c r="KE11" s="523"/>
      <c r="KF11" s="525" t="str">
        <f t="shared" si="102"/>
        <v>0</v>
      </c>
      <c r="KG11" s="525" t="str">
        <f t="shared" si="103"/>
        <v>0</v>
      </c>
      <c r="KH11" s="523"/>
      <c r="KI11" s="525" t="str">
        <f t="shared" si="104"/>
        <v>0</v>
      </c>
      <c r="KJ11" s="525" t="str">
        <f t="shared" si="105"/>
        <v>0</v>
      </c>
      <c r="KK11" s="523"/>
      <c r="KL11" s="525" t="str">
        <f t="shared" si="106"/>
        <v>0</v>
      </c>
      <c r="KM11" s="525" t="str">
        <f t="shared" si="107"/>
        <v>0</v>
      </c>
      <c r="KN11" s="523"/>
      <c r="KO11" s="525" t="str">
        <f t="shared" si="108"/>
        <v>0</v>
      </c>
      <c r="KP11" s="525" t="str">
        <f t="shared" si="109"/>
        <v>0</v>
      </c>
      <c r="KQ11" s="523"/>
      <c r="KR11" s="525" t="str">
        <f t="shared" si="110"/>
        <v>0</v>
      </c>
      <c r="KS11" s="525" t="str">
        <f t="shared" si="111"/>
        <v>0</v>
      </c>
      <c r="KT11" s="525">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5">
        <f t="shared" ref="KU11:KU41" si="202">GF11+GI11+GL11+GO11+GR11+GU11+GX11+HA11+HD11+HG11+HJ11+HM11+HP11+HS11+HV11+HY11+IB11+IE11+IH11+IK11+IN11+IQ11+IT11+IW11+IZ11+JC11+JF11+JI11+JL11+JO11+JR11+JU11+JX11++KA11+KD11+KG11+KJ11++KM11+KP11+KS11</f>
        <v>0</v>
      </c>
      <c r="KV11" s="261">
        <f t="shared" si="112"/>
        <v>0</v>
      </c>
    </row>
    <row r="12" spans="1:308">
      <c r="A12" s="262">
        <f t="shared" si="200"/>
        <v>45965</v>
      </c>
      <c r="B12" s="263" t="str">
        <f>+Report1!B12</f>
        <v>STOP</v>
      </c>
      <c r="C12" s="263" t="str">
        <f>+Report1!C12</f>
        <v>12</v>
      </c>
      <c r="D12" s="264">
        <f>+Report1!P12</f>
        <v>0</v>
      </c>
      <c r="E12" s="562">
        <f>+Report1!R12</f>
        <v>0</v>
      </c>
      <c r="F12" s="523"/>
      <c r="G12" s="524" t="e">
        <f t="shared" si="0"/>
        <v>#DIV/0!</v>
      </c>
      <c r="H12" s="525">
        <f t="shared" si="113"/>
        <v>0</v>
      </c>
      <c r="I12" s="523"/>
      <c r="J12" s="524" t="e">
        <f t="shared" si="1"/>
        <v>#DIV/0!</v>
      </c>
      <c r="K12" s="525">
        <f t="shared" si="114"/>
        <v>0</v>
      </c>
      <c r="L12" s="523"/>
      <c r="M12" s="524" t="e">
        <f t="shared" si="2"/>
        <v>#DIV/0!</v>
      </c>
      <c r="N12" s="525">
        <f t="shared" si="115"/>
        <v>0</v>
      </c>
      <c r="O12" s="523"/>
      <c r="P12" s="524" t="e">
        <f t="shared" si="3"/>
        <v>#DIV/0!</v>
      </c>
      <c r="Q12" s="525">
        <f t="shared" si="116"/>
        <v>0</v>
      </c>
      <c r="R12" s="523"/>
      <c r="S12" s="524" t="e">
        <f t="shared" si="4"/>
        <v>#DIV/0!</v>
      </c>
      <c r="T12" s="525">
        <f t="shared" si="117"/>
        <v>0</v>
      </c>
      <c r="U12" s="523"/>
      <c r="V12" s="524" t="e">
        <f t="shared" si="5"/>
        <v>#DIV/0!</v>
      </c>
      <c r="W12" s="525">
        <f t="shared" si="118"/>
        <v>0</v>
      </c>
      <c r="X12" s="523"/>
      <c r="Y12" s="524" t="e">
        <f t="shared" si="6"/>
        <v>#DIV/0!</v>
      </c>
      <c r="Z12" s="525">
        <f t="shared" si="119"/>
        <v>0</v>
      </c>
      <c r="AA12" s="523"/>
      <c r="AB12" s="524" t="e">
        <f t="shared" si="7"/>
        <v>#DIV/0!</v>
      </c>
      <c r="AC12" s="525">
        <f t="shared" si="120"/>
        <v>0</v>
      </c>
      <c r="AD12" s="523"/>
      <c r="AE12" s="524" t="e">
        <f t="shared" si="8"/>
        <v>#DIV/0!</v>
      </c>
      <c r="AF12" s="525">
        <f t="shared" si="121"/>
        <v>0</v>
      </c>
      <c r="AG12" s="523"/>
      <c r="AH12" s="524" t="e">
        <f t="shared" si="9"/>
        <v>#DIV/0!</v>
      </c>
      <c r="AI12" s="525">
        <f t="shared" si="122"/>
        <v>0</v>
      </c>
      <c r="AJ12" s="523"/>
      <c r="AK12" s="524" t="e">
        <f t="shared" si="10"/>
        <v>#DIV/0!</v>
      </c>
      <c r="AL12" s="525">
        <f t="shared" si="123"/>
        <v>0</v>
      </c>
      <c r="AM12" s="523"/>
      <c r="AN12" s="524" t="e">
        <f t="shared" si="11"/>
        <v>#DIV/0!</v>
      </c>
      <c r="AO12" s="525">
        <f t="shared" si="124"/>
        <v>0</v>
      </c>
      <c r="AP12" s="523"/>
      <c r="AQ12" s="524" t="e">
        <f t="shared" si="12"/>
        <v>#DIV/0!</v>
      </c>
      <c r="AR12" s="525">
        <f t="shared" si="125"/>
        <v>0</v>
      </c>
      <c r="AS12" s="523"/>
      <c r="AT12" s="524" t="e">
        <f t="shared" si="13"/>
        <v>#DIV/0!</v>
      </c>
      <c r="AU12" s="525">
        <f t="shared" si="126"/>
        <v>0</v>
      </c>
      <c r="AV12" s="523"/>
      <c r="AW12" s="524" t="e">
        <f t="shared" si="14"/>
        <v>#DIV/0!</v>
      </c>
      <c r="AX12" s="525">
        <f t="shared" si="127"/>
        <v>0</v>
      </c>
      <c r="AY12" s="523"/>
      <c r="AZ12" s="524" t="e">
        <f t="shared" si="15"/>
        <v>#DIV/0!</v>
      </c>
      <c r="BA12" s="525">
        <f t="shared" si="128"/>
        <v>0</v>
      </c>
      <c r="BB12" s="523"/>
      <c r="BC12" s="524" t="e">
        <f t="shared" si="16"/>
        <v>#DIV/0!</v>
      </c>
      <c r="BD12" s="525">
        <f t="shared" si="129"/>
        <v>0</v>
      </c>
      <c r="BE12" s="523"/>
      <c r="BF12" s="524" t="e">
        <f t="shared" si="17"/>
        <v>#DIV/0!</v>
      </c>
      <c r="BG12" s="525">
        <f t="shared" si="130"/>
        <v>0</v>
      </c>
      <c r="BH12" s="523"/>
      <c r="BI12" s="524" t="e">
        <f t="shared" si="18"/>
        <v>#DIV/0!</v>
      </c>
      <c r="BJ12" s="525">
        <f t="shared" si="131"/>
        <v>0</v>
      </c>
      <c r="BK12" s="523"/>
      <c r="BL12" s="524" t="e">
        <f t="shared" si="19"/>
        <v>#DIV/0!</v>
      </c>
      <c r="BM12" s="525">
        <f t="shared" si="132"/>
        <v>0</v>
      </c>
      <c r="BN12" s="523"/>
      <c r="BO12" s="524" t="e">
        <f t="shared" si="20"/>
        <v>#DIV/0!</v>
      </c>
      <c r="BP12" s="525">
        <f t="shared" si="133"/>
        <v>0</v>
      </c>
      <c r="BQ12" s="523"/>
      <c r="BR12" s="524" t="e">
        <f t="shared" si="21"/>
        <v>#DIV/0!</v>
      </c>
      <c r="BS12" s="525">
        <f t="shared" si="134"/>
        <v>0</v>
      </c>
      <c r="BT12" s="523"/>
      <c r="BU12" s="524" t="e">
        <f t="shared" si="22"/>
        <v>#DIV/0!</v>
      </c>
      <c r="BV12" s="525">
        <f t="shared" si="135"/>
        <v>0</v>
      </c>
      <c r="BW12" s="523"/>
      <c r="BX12" s="524" t="e">
        <f t="shared" si="23"/>
        <v>#DIV/0!</v>
      </c>
      <c r="BY12" s="525">
        <f t="shared" si="136"/>
        <v>0</v>
      </c>
      <c r="BZ12" s="523"/>
      <c r="CA12" s="524" t="e">
        <f t="shared" si="24"/>
        <v>#DIV/0!</v>
      </c>
      <c r="CB12" s="525">
        <f t="shared" si="137"/>
        <v>0</v>
      </c>
      <c r="CC12" s="523"/>
      <c r="CD12" s="524" t="e">
        <f t="shared" si="25"/>
        <v>#DIV/0!</v>
      </c>
      <c r="CE12" s="525">
        <f t="shared" si="138"/>
        <v>0</v>
      </c>
      <c r="CF12" s="523"/>
      <c r="CG12" s="524" t="e">
        <f t="shared" si="26"/>
        <v>#DIV/0!</v>
      </c>
      <c r="CH12" s="525">
        <f t="shared" si="139"/>
        <v>0</v>
      </c>
      <c r="CI12" s="523"/>
      <c r="CJ12" s="524" t="e">
        <f t="shared" si="27"/>
        <v>#DIV/0!</v>
      </c>
      <c r="CK12" s="525">
        <f t="shared" si="140"/>
        <v>0</v>
      </c>
      <c r="CL12" s="523"/>
      <c r="CM12" s="524" t="e">
        <f t="shared" si="28"/>
        <v>#DIV/0!</v>
      </c>
      <c r="CN12" s="525">
        <f t="shared" si="141"/>
        <v>0</v>
      </c>
      <c r="CO12" s="523"/>
      <c r="CP12" s="524" t="e">
        <f t="shared" si="29"/>
        <v>#DIV/0!</v>
      </c>
      <c r="CQ12" s="525">
        <f t="shared" si="142"/>
        <v>0</v>
      </c>
      <c r="CR12" s="523"/>
      <c r="CS12" s="524" t="e">
        <f t="shared" si="30"/>
        <v>#DIV/0!</v>
      </c>
      <c r="CT12" s="525">
        <f t="shared" si="143"/>
        <v>0</v>
      </c>
      <c r="CU12" s="523"/>
      <c r="CV12" s="524" t="e">
        <f t="shared" si="31"/>
        <v>#DIV/0!</v>
      </c>
      <c r="CW12" s="525">
        <f t="shared" si="144"/>
        <v>0</v>
      </c>
      <c r="CX12" s="523"/>
      <c r="CY12" s="524" t="e">
        <f t="shared" si="32"/>
        <v>#DIV/0!</v>
      </c>
      <c r="CZ12" s="525">
        <f t="shared" si="145"/>
        <v>0</v>
      </c>
      <c r="DA12" s="523"/>
      <c r="DB12" s="524" t="e">
        <f t="shared" si="33"/>
        <v>#DIV/0!</v>
      </c>
      <c r="DC12" s="525">
        <f t="shared" si="146"/>
        <v>0</v>
      </c>
      <c r="DD12" s="523"/>
      <c r="DE12" s="524" t="e">
        <f t="shared" si="34"/>
        <v>#DIV/0!</v>
      </c>
      <c r="DF12" s="525">
        <f t="shared" si="147"/>
        <v>0</v>
      </c>
      <c r="DG12" s="523"/>
      <c r="DH12" s="524" t="e">
        <f t="shared" si="35"/>
        <v>#DIV/0!</v>
      </c>
      <c r="DI12" s="525">
        <v>0</v>
      </c>
      <c r="DJ12" s="523"/>
      <c r="DK12" s="524" t="e">
        <f t="shared" si="36"/>
        <v>#DIV/0!</v>
      </c>
      <c r="DL12" s="525">
        <f t="shared" si="148"/>
        <v>0</v>
      </c>
      <c r="DM12" s="523"/>
      <c r="DN12" s="524" t="e">
        <f t="shared" si="37"/>
        <v>#DIV/0!</v>
      </c>
      <c r="DO12" s="525">
        <f t="shared" si="149"/>
        <v>0</v>
      </c>
      <c r="DP12" s="523"/>
      <c r="DQ12" s="524" t="e">
        <f t="shared" si="38"/>
        <v>#DIV/0!</v>
      </c>
      <c r="DR12" s="525">
        <f t="shared" si="150"/>
        <v>0</v>
      </c>
      <c r="DS12" s="523"/>
      <c r="DT12" s="524" t="e">
        <f t="shared" si="39"/>
        <v>#DIV/0!</v>
      </c>
      <c r="DU12" s="525">
        <f t="shared" si="151"/>
        <v>0</v>
      </c>
      <c r="DV12" s="523"/>
      <c r="DW12" s="524" t="e">
        <f t="shared" si="40"/>
        <v>#DIV/0!</v>
      </c>
      <c r="DX12" s="525">
        <f t="shared" si="152"/>
        <v>0</v>
      </c>
      <c r="DY12" s="523"/>
      <c r="DZ12" s="524" t="e">
        <f t="shared" si="41"/>
        <v>#DIV/0!</v>
      </c>
      <c r="EA12" s="525">
        <f t="shared" si="153"/>
        <v>0</v>
      </c>
      <c r="EB12" s="523"/>
      <c r="EC12" s="524" t="e">
        <f t="shared" si="42"/>
        <v>#DIV/0!</v>
      </c>
      <c r="ED12" s="525">
        <f t="shared" si="154"/>
        <v>0</v>
      </c>
      <c r="EE12" s="523"/>
      <c r="EF12" s="524" t="e">
        <f t="shared" si="43"/>
        <v>#DIV/0!</v>
      </c>
      <c r="EG12" s="525">
        <f t="shared" si="155"/>
        <v>0</v>
      </c>
      <c r="EH12" s="523"/>
      <c r="EI12" s="524" t="e">
        <f t="shared" si="44"/>
        <v>#DIV/0!</v>
      </c>
      <c r="EJ12" s="525">
        <f t="shared" si="156"/>
        <v>0</v>
      </c>
      <c r="EK12" s="523"/>
      <c r="EL12" s="524" t="e">
        <f t="shared" si="45"/>
        <v>#DIV/0!</v>
      </c>
      <c r="EM12" s="525">
        <f t="shared" si="157"/>
        <v>0</v>
      </c>
      <c r="EN12" s="523"/>
      <c r="EO12" s="524" t="e">
        <f t="shared" si="46"/>
        <v>#DIV/0!</v>
      </c>
      <c r="EP12" s="525">
        <f t="shared" si="158"/>
        <v>0</v>
      </c>
      <c r="EQ12" s="523"/>
      <c r="ER12" s="524" t="e">
        <f t="shared" si="47"/>
        <v>#DIV/0!</v>
      </c>
      <c r="ES12" s="525">
        <f t="shared" si="159"/>
        <v>0</v>
      </c>
      <c r="ET12" s="523"/>
      <c r="EU12" s="524" t="e">
        <f t="shared" si="48"/>
        <v>#DIV/0!</v>
      </c>
      <c r="EV12" s="525">
        <f t="shared" si="160"/>
        <v>0</v>
      </c>
      <c r="EW12" s="523"/>
      <c r="EX12" s="524" t="e">
        <f t="shared" si="49"/>
        <v>#DIV/0!</v>
      </c>
      <c r="EY12" s="525">
        <f t="shared" si="161"/>
        <v>0</v>
      </c>
      <c r="EZ12" s="523"/>
      <c r="FA12" s="524" t="e">
        <f t="shared" si="50"/>
        <v>#DIV/0!</v>
      </c>
      <c r="FB12" s="525">
        <f t="shared" si="162"/>
        <v>0</v>
      </c>
      <c r="FC12" s="523"/>
      <c r="FD12" s="524" t="e">
        <f t="shared" si="51"/>
        <v>#DIV/0!</v>
      </c>
      <c r="FE12" s="525">
        <f t="shared" si="163"/>
        <v>0</v>
      </c>
      <c r="FF12" s="523"/>
      <c r="FG12" s="524" t="e">
        <f t="shared" si="52"/>
        <v>#DIV/0!</v>
      </c>
      <c r="FH12" s="525">
        <f t="shared" si="164"/>
        <v>0</v>
      </c>
      <c r="FI12" s="523"/>
      <c r="FJ12" s="524" t="e">
        <f t="shared" si="53"/>
        <v>#DIV/0!</v>
      </c>
      <c r="FK12" s="525">
        <f t="shared" si="165"/>
        <v>0</v>
      </c>
      <c r="FL12" s="523"/>
      <c r="FM12" s="524" t="e">
        <f t="shared" si="54"/>
        <v>#DIV/0!</v>
      </c>
      <c r="FN12" s="525">
        <f t="shared" si="166"/>
        <v>0</v>
      </c>
      <c r="FO12" s="523"/>
      <c r="FP12" s="524" t="e">
        <f t="shared" si="55"/>
        <v>#DIV/0!</v>
      </c>
      <c r="FQ12" s="525">
        <f t="shared" si="167"/>
        <v>0</v>
      </c>
      <c r="FR12" s="523"/>
      <c r="FS12" s="524" t="e">
        <f t="shared" si="56"/>
        <v>#DIV/0!</v>
      </c>
      <c r="FT12" s="525">
        <f t="shared" si="168"/>
        <v>0</v>
      </c>
      <c r="FU12" s="523"/>
      <c r="FV12" s="524" t="e">
        <f t="shared" si="57"/>
        <v>#DIV/0!</v>
      </c>
      <c r="FW12" s="525">
        <f t="shared" si="169"/>
        <v>0</v>
      </c>
      <c r="FX12" s="523"/>
      <c r="FY12" s="524" t="e">
        <f t="shared" si="58"/>
        <v>#DIV/0!</v>
      </c>
      <c r="FZ12" s="525">
        <f t="shared" si="170"/>
        <v>0</v>
      </c>
      <c r="GA12" s="523"/>
      <c r="GB12" s="524" t="e">
        <f t="shared" si="59"/>
        <v>#DIV/0!</v>
      </c>
      <c r="GC12" s="525">
        <f t="shared" si="171"/>
        <v>0</v>
      </c>
      <c r="GD12" s="523"/>
      <c r="GE12" s="524" t="e">
        <f t="shared" si="60"/>
        <v>#DIV/0!</v>
      </c>
      <c r="GF12" s="525">
        <f t="shared" si="172"/>
        <v>0</v>
      </c>
      <c r="GG12" s="523"/>
      <c r="GH12" s="524" t="e">
        <f t="shared" si="61"/>
        <v>#DIV/0!</v>
      </c>
      <c r="GI12" s="525">
        <f t="shared" si="173"/>
        <v>0</v>
      </c>
      <c r="GJ12" s="523"/>
      <c r="GK12" s="524" t="e">
        <f t="shared" si="62"/>
        <v>#DIV/0!</v>
      </c>
      <c r="GL12" s="525">
        <f t="shared" si="174"/>
        <v>0</v>
      </c>
      <c r="GM12" s="523"/>
      <c r="GN12" s="524" t="e">
        <f t="shared" si="63"/>
        <v>#DIV/0!</v>
      </c>
      <c r="GO12" s="525">
        <f t="shared" si="175"/>
        <v>0</v>
      </c>
      <c r="GP12" s="523"/>
      <c r="GQ12" s="524" t="e">
        <f t="shared" si="64"/>
        <v>#DIV/0!</v>
      </c>
      <c r="GR12" s="525">
        <f t="shared" si="176"/>
        <v>0</v>
      </c>
      <c r="GS12" s="523"/>
      <c r="GT12" s="524" t="e">
        <f t="shared" si="65"/>
        <v>#DIV/0!</v>
      </c>
      <c r="GU12" s="525">
        <f t="shared" si="177"/>
        <v>0</v>
      </c>
      <c r="GV12" s="523"/>
      <c r="GW12" s="524" t="e">
        <f t="shared" si="66"/>
        <v>#DIV/0!</v>
      </c>
      <c r="GX12" s="525">
        <f t="shared" si="178"/>
        <v>0</v>
      </c>
      <c r="GY12" s="523"/>
      <c r="GZ12" s="524" t="e">
        <f t="shared" si="67"/>
        <v>#DIV/0!</v>
      </c>
      <c r="HA12" s="525">
        <f t="shared" si="179"/>
        <v>0</v>
      </c>
      <c r="HB12" s="523"/>
      <c r="HC12" s="524" t="e">
        <f t="shared" si="68"/>
        <v>#DIV/0!</v>
      </c>
      <c r="HD12" s="525">
        <f t="shared" si="180"/>
        <v>0</v>
      </c>
      <c r="HE12" s="523"/>
      <c r="HF12" s="524" t="e">
        <f t="shared" si="69"/>
        <v>#DIV/0!</v>
      </c>
      <c r="HG12" s="525">
        <f t="shared" si="181"/>
        <v>0</v>
      </c>
      <c r="HH12" s="523"/>
      <c r="HI12" s="524" t="e">
        <f t="shared" si="70"/>
        <v>#DIV/0!</v>
      </c>
      <c r="HJ12" s="525">
        <f t="shared" si="182"/>
        <v>0</v>
      </c>
      <c r="HK12" s="523"/>
      <c r="HL12" s="524" t="e">
        <f t="shared" si="71"/>
        <v>#DIV/0!</v>
      </c>
      <c r="HM12" s="525">
        <f t="shared" si="183"/>
        <v>0</v>
      </c>
      <c r="HN12" s="523"/>
      <c r="HO12" s="524" t="e">
        <f t="shared" si="72"/>
        <v>#DIV/0!</v>
      </c>
      <c r="HP12" s="525">
        <f t="shared" si="184"/>
        <v>0</v>
      </c>
      <c r="HQ12" s="523"/>
      <c r="HR12" s="524" t="e">
        <f t="shared" si="73"/>
        <v>#DIV/0!</v>
      </c>
      <c r="HS12" s="525">
        <f t="shared" si="185"/>
        <v>0</v>
      </c>
      <c r="HT12" s="523"/>
      <c r="HU12" s="524" t="e">
        <f t="shared" si="74"/>
        <v>#DIV/0!</v>
      </c>
      <c r="HV12" s="525">
        <f t="shared" si="186"/>
        <v>0</v>
      </c>
      <c r="HW12" s="523"/>
      <c r="HX12" s="524" t="e">
        <f t="shared" si="75"/>
        <v>#DIV/0!</v>
      </c>
      <c r="HY12" s="525">
        <f t="shared" si="187"/>
        <v>0</v>
      </c>
      <c r="HZ12" s="523"/>
      <c r="IA12" s="524" t="e">
        <f t="shared" si="76"/>
        <v>#DIV/0!</v>
      </c>
      <c r="IB12" s="525">
        <f t="shared" si="188"/>
        <v>0</v>
      </c>
      <c r="IC12" s="523"/>
      <c r="ID12" s="524" t="e">
        <f t="shared" si="77"/>
        <v>#DIV/0!</v>
      </c>
      <c r="IE12" s="525">
        <f t="shared" si="189"/>
        <v>0</v>
      </c>
      <c r="IF12" s="523"/>
      <c r="IG12" s="524" t="e">
        <f t="shared" si="78"/>
        <v>#DIV/0!</v>
      </c>
      <c r="IH12" s="525">
        <f t="shared" si="190"/>
        <v>0</v>
      </c>
      <c r="II12" s="523"/>
      <c r="IJ12" s="524" t="e">
        <f t="shared" si="79"/>
        <v>#DIV/0!</v>
      </c>
      <c r="IK12" s="525">
        <f t="shared" si="191"/>
        <v>0</v>
      </c>
      <c r="IL12" s="523"/>
      <c r="IM12" s="524" t="e">
        <f t="shared" si="80"/>
        <v>#DIV/0!</v>
      </c>
      <c r="IN12" s="525">
        <f t="shared" si="192"/>
        <v>0</v>
      </c>
      <c r="IO12" s="523"/>
      <c r="IP12" s="524" t="e">
        <f t="shared" si="81"/>
        <v>#DIV/0!</v>
      </c>
      <c r="IQ12" s="525">
        <f t="shared" si="193"/>
        <v>0</v>
      </c>
      <c r="IR12" s="523"/>
      <c r="IS12" s="524" t="e">
        <f t="shared" si="82"/>
        <v>#DIV/0!</v>
      </c>
      <c r="IT12" s="525">
        <f t="shared" si="194"/>
        <v>0</v>
      </c>
      <c r="IU12" s="523"/>
      <c r="IV12" s="524" t="e">
        <f t="shared" si="83"/>
        <v>#DIV/0!</v>
      </c>
      <c r="IW12" s="525">
        <f t="shared" si="195"/>
        <v>0</v>
      </c>
      <c r="IX12" s="523"/>
      <c r="IY12" s="524" t="e">
        <f t="shared" si="84"/>
        <v>#DIV/0!</v>
      </c>
      <c r="IZ12" s="525">
        <f t="shared" si="196"/>
        <v>0</v>
      </c>
      <c r="JA12" s="523"/>
      <c r="JB12" s="524" t="e">
        <f t="shared" si="85"/>
        <v>#DIV/0!</v>
      </c>
      <c r="JC12" s="525">
        <f t="shared" si="197"/>
        <v>0</v>
      </c>
      <c r="JD12" s="523"/>
      <c r="JE12" s="524" t="e">
        <f t="shared" si="86"/>
        <v>#DIV/0!</v>
      </c>
      <c r="JF12" s="525">
        <f t="shared" si="198"/>
        <v>0</v>
      </c>
      <c r="JG12" s="523"/>
      <c r="JH12" s="524" t="e">
        <f t="shared" si="87"/>
        <v>#DIV/0!</v>
      </c>
      <c r="JI12" s="525">
        <f t="shared" si="199"/>
        <v>0</v>
      </c>
      <c r="JJ12" s="523"/>
      <c r="JK12" s="525" t="str">
        <f t="shared" si="88"/>
        <v>0</v>
      </c>
      <c r="JL12" s="525" t="str">
        <f t="shared" si="89"/>
        <v>0</v>
      </c>
      <c r="JM12" s="523"/>
      <c r="JN12" s="525" t="str">
        <f t="shared" si="90"/>
        <v>0</v>
      </c>
      <c r="JO12" s="525" t="str">
        <f t="shared" si="91"/>
        <v>0</v>
      </c>
      <c r="JP12" s="523"/>
      <c r="JQ12" s="525" t="str">
        <f t="shared" si="92"/>
        <v>0</v>
      </c>
      <c r="JR12" s="525" t="str">
        <f t="shared" si="93"/>
        <v>0</v>
      </c>
      <c r="JS12" s="523"/>
      <c r="JT12" s="525" t="str">
        <f t="shared" si="94"/>
        <v>0</v>
      </c>
      <c r="JU12" s="525" t="str">
        <f t="shared" si="95"/>
        <v>0</v>
      </c>
      <c r="JV12" s="523"/>
      <c r="JW12" s="525" t="str">
        <f t="shared" si="96"/>
        <v>0</v>
      </c>
      <c r="JX12" s="525" t="str">
        <f t="shared" si="97"/>
        <v>0</v>
      </c>
      <c r="JY12" s="523"/>
      <c r="JZ12" s="525" t="str">
        <f t="shared" si="98"/>
        <v>0</v>
      </c>
      <c r="KA12" s="525" t="str">
        <f t="shared" si="99"/>
        <v>0</v>
      </c>
      <c r="KB12" s="523"/>
      <c r="KC12" s="525" t="str">
        <f t="shared" si="100"/>
        <v>0</v>
      </c>
      <c r="KD12" s="525" t="str">
        <f t="shared" si="101"/>
        <v>0</v>
      </c>
      <c r="KE12" s="523"/>
      <c r="KF12" s="525" t="str">
        <f t="shared" si="102"/>
        <v>0</v>
      </c>
      <c r="KG12" s="525" t="str">
        <f t="shared" si="103"/>
        <v>0</v>
      </c>
      <c r="KH12" s="523"/>
      <c r="KI12" s="525" t="str">
        <f t="shared" si="104"/>
        <v>0</v>
      </c>
      <c r="KJ12" s="525" t="str">
        <f t="shared" si="105"/>
        <v>0</v>
      </c>
      <c r="KK12" s="523"/>
      <c r="KL12" s="525" t="str">
        <f t="shared" si="106"/>
        <v>0</v>
      </c>
      <c r="KM12" s="525" t="str">
        <f t="shared" si="107"/>
        <v>0</v>
      </c>
      <c r="KN12" s="523"/>
      <c r="KO12" s="525" t="str">
        <f t="shared" si="108"/>
        <v>0</v>
      </c>
      <c r="KP12" s="525" t="str">
        <f t="shared" si="109"/>
        <v>0</v>
      </c>
      <c r="KQ12" s="523"/>
      <c r="KR12" s="525" t="str">
        <f t="shared" si="110"/>
        <v>0</v>
      </c>
      <c r="KS12" s="525" t="str">
        <f t="shared" si="111"/>
        <v>0</v>
      </c>
      <c r="KT12" s="525">
        <f t="shared" si="201"/>
        <v>0</v>
      </c>
      <c r="KU12" s="525">
        <f t="shared" si="202"/>
        <v>0</v>
      </c>
      <c r="KV12" s="261">
        <f t="shared" si="112"/>
        <v>0</v>
      </c>
    </row>
    <row r="13" spans="1:308">
      <c r="A13" s="262">
        <f t="shared" si="200"/>
        <v>45966</v>
      </c>
      <c r="B13" s="263" t="str">
        <f>+Report1!B13</f>
        <v>STOP</v>
      </c>
      <c r="C13" s="263" t="str">
        <f>+Report1!C13</f>
        <v>12</v>
      </c>
      <c r="D13" s="264">
        <f>+Report1!P13</f>
        <v>0</v>
      </c>
      <c r="E13" s="562">
        <f>+Report1!R13</f>
        <v>0</v>
      </c>
      <c r="F13" s="523"/>
      <c r="G13" s="524" t="e">
        <f t="shared" si="0"/>
        <v>#DIV/0!</v>
      </c>
      <c r="H13" s="525">
        <f t="shared" si="113"/>
        <v>0</v>
      </c>
      <c r="I13" s="523"/>
      <c r="J13" s="524" t="e">
        <f t="shared" si="1"/>
        <v>#DIV/0!</v>
      </c>
      <c r="K13" s="525">
        <f t="shared" si="114"/>
        <v>0</v>
      </c>
      <c r="L13" s="523"/>
      <c r="M13" s="524" t="e">
        <f t="shared" si="2"/>
        <v>#DIV/0!</v>
      </c>
      <c r="N13" s="525">
        <f t="shared" si="115"/>
        <v>0</v>
      </c>
      <c r="O13" s="523"/>
      <c r="P13" s="524" t="e">
        <f t="shared" si="3"/>
        <v>#DIV/0!</v>
      </c>
      <c r="Q13" s="525">
        <f t="shared" si="116"/>
        <v>0</v>
      </c>
      <c r="R13" s="523"/>
      <c r="S13" s="524" t="e">
        <f t="shared" si="4"/>
        <v>#DIV/0!</v>
      </c>
      <c r="T13" s="525">
        <f t="shared" si="117"/>
        <v>0</v>
      </c>
      <c r="U13" s="523"/>
      <c r="V13" s="524" t="e">
        <f t="shared" si="5"/>
        <v>#DIV/0!</v>
      </c>
      <c r="W13" s="525">
        <f t="shared" si="118"/>
        <v>0</v>
      </c>
      <c r="X13" s="523"/>
      <c r="Y13" s="524" t="e">
        <f t="shared" si="6"/>
        <v>#DIV/0!</v>
      </c>
      <c r="Z13" s="525">
        <f t="shared" si="119"/>
        <v>0</v>
      </c>
      <c r="AA13" s="523"/>
      <c r="AB13" s="524" t="e">
        <f t="shared" si="7"/>
        <v>#DIV/0!</v>
      </c>
      <c r="AC13" s="525">
        <f t="shared" si="120"/>
        <v>0</v>
      </c>
      <c r="AD13" s="523"/>
      <c r="AE13" s="524" t="e">
        <f t="shared" si="8"/>
        <v>#DIV/0!</v>
      </c>
      <c r="AF13" s="525">
        <f t="shared" si="121"/>
        <v>0</v>
      </c>
      <c r="AG13" s="523"/>
      <c r="AH13" s="524" t="e">
        <f t="shared" si="9"/>
        <v>#DIV/0!</v>
      </c>
      <c r="AI13" s="525">
        <f t="shared" si="122"/>
        <v>0</v>
      </c>
      <c r="AJ13" s="523"/>
      <c r="AK13" s="524" t="e">
        <f t="shared" si="10"/>
        <v>#DIV/0!</v>
      </c>
      <c r="AL13" s="525">
        <f t="shared" si="123"/>
        <v>0</v>
      </c>
      <c r="AM13" s="523"/>
      <c r="AN13" s="524" t="e">
        <f t="shared" si="11"/>
        <v>#DIV/0!</v>
      </c>
      <c r="AO13" s="525">
        <f t="shared" si="124"/>
        <v>0</v>
      </c>
      <c r="AP13" s="523"/>
      <c r="AQ13" s="524" t="e">
        <f t="shared" si="12"/>
        <v>#DIV/0!</v>
      </c>
      <c r="AR13" s="525">
        <f t="shared" si="125"/>
        <v>0</v>
      </c>
      <c r="AS13" s="523"/>
      <c r="AT13" s="524" t="e">
        <f t="shared" si="13"/>
        <v>#DIV/0!</v>
      </c>
      <c r="AU13" s="525">
        <f t="shared" si="126"/>
        <v>0</v>
      </c>
      <c r="AV13" s="523"/>
      <c r="AW13" s="524" t="e">
        <f t="shared" si="14"/>
        <v>#DIV/0!</v>
      </c>
      <c r="AX13" s="525">
        <f t="shared" si="127"/>
        <v>0</v>
      </c>
      <c r="AY13" s="523"/>
      <c r="AZ13" s="524" t="e">
        <f t="shared" si="15"/>
        <v>#DIV/0!</v>
      </c>
      <c r="BA13" s="525">
        <f t="shared" si="128"/>
        <v>0</v>
      </c>
      <c r="BB13" s="523"/>
      <c r="BC13" s="524" t="e">
        <f t="shared" si="16"/>
        <v>#DIV/0!</v>
      </c>
      <c r="BD13" s="525">
        <f t="shared" si="129"/>
        <v>0</v>
      </c>
      <c r="BE13" s="523"/>
      <c r="BF13" s="524" t="e">
        <f t="shared" si="17"/>
        <v>#DIV/0!</v>
      </c>
      <c r="BG13" s="525">
        <f t="shared" si="130"/>
        <v>0</v>
      </c>
      <c r="BH13" s="523"/>
      <c r="BI13" s="524" t="e">
        <f t="shared" si="18"/>
        <v>#DIV/0!</v>
      </c>
      <c r="BJ13" s="525">
        <f t="shared" si="131"/>
        <v>0</v>
      </c>
      <c r="BK13" s="523"/>
      <c r="BL13" s="524" t="e">
        <f t="shared" si="19"/>
        <v>#DIV/0!</v>
      </c>
      <c r="BM13" s="525">
        <f t="shared" si="132"/>
        <v>0</v>
      </c>
      <c r="BN13" s="523"/>
      <c r="BO13" s="524" t="e">
        <f t="shared" si="20"/>
        <v>#DIV/0!</v>
      </c>
      <c r="BP13" s="525">
        <f t="shared" si="133"/>
        <v>0</v>
      </c>
      <c r="BQ13" s="523"/>
      <c r="BR13" s="524" t="e">
        <f t="shared" si="21"/>
        <v>#DIV/0!</v>
      </c>
      <c r="BS13" s="525">
        <f t="shared" si="134"/>
        <v>0</v>
      </c>
      <c r="BT13" s="523"/>
      <c r="BU13" s="524" t="e">
        <f t="shared" si="22"/>
        <v>#DIV/0!</v>
      </c>
      <c r="BV13" s="525">
        <f t="shared" si="135"/>
        <v>0</v>
      </c>
      <c r="BW13" s="523"/>
      <c r="BX13" s="524" t="e">
        <f t="shared" si="23"/>
        <v>#DIV/0!</v>
      </c>
      <c r="BY13" s="525">
        <f t="shared" si="136"/>
        <v>0</v>
      </c>
      <c r="BZ13" s="523"/>
      <c r="CA13" s="524" t="e">
        <f t="shared" si="24"/>
        <v>#DIV/0!</v>
      </c>
      <c r="CB13" s="525">
        <f t="shared" si="137"/>
        <v>0</v>
      </c>
      <c r="CC13" s="523"/>
      <c r="CD13" s="524" t="e">
        <f t="shared" si="25"/>
        <v>#DIV/0!</v>
      </c>
      <c r="CE13" s="525">
        <f t="shared" si="138"/>
        <v>0</v>
      </c>
      <c r="CF13" s="523"/>
      <c r="CG13" s="524" t="e">
        <f t="shared" si="26"/>
        <v>#DIV/0!</v>
      </c>
      <c r="CH13" s="525">
        <f t="shared" si="139"/>
        <v>0</v>
      </c>
      <c r="CI13" s="523"/>
      <c r="CJ13" s="524" t="e">
        <f t="shared" si="27"/>
        <v>#DIV/0!</v>
      </c>
      <c r="CK13" s="525">
        <f t="shared" si="140"/>
        <v>0</v>
      </c>
      <c r="CL13" s="523"/>
      <c r="CM13" s="524" t="e">
        <f t="shared" si="28"/>
        <v>#DIV/0!</v>
      </c>
      <c r="CN13" s="525">
        <f t="shared" si="141"/>
        <v>0</v>
      </c>
      <c r="CO13" s="523"/>
      <c r="CP13" s="524" t="e">
        <f t="shared" si="29"/>
        <v>#DIV/0!</v>
      </c>
      <c r="CQ13" s="525">
        <f t="shared" si="142"/>
        <v>0</v>
      </c>
      <c r="CR13" s="523"/>
      <c r="CS13" s="524" t="e">
        <f t="shared" si="30"/>
        <v>#DIV/0!</v>
      </c>
      <c r="CT13" s="525">
        <f t="shared" si="143"/>
        <v>0</v>
      </c>
      <c r="CU13" s="523"/>
      <c r="CV13" s="524" t="e">
        <f t="shared" si="31"/>
        <v>#DIV/0!</v>
      </c>
      <c r="CW13" s="525">
        <f t="shared" si="144"/>
        <v>0</v>
      </c>
      <c r="CX13" s="523"/>
      <c r="CY13" s="524" t="e">
        <f t="shared" si="32"/>
        <v>#DIV/0!</v>
      </c>
      <c r="CZ13" s="525">
        <f t="shared" si="145"/>
        <v>0</v>
      </c>
      <c r="DA13" s="523"/>
      <c r="DB13" s="524" t="e">
        <f t="shared" si="33"/>
        <v>#DIV/0!</v>
      </c>
      <c r="DC13" s="525">
        <f t="shared" si="146"/>
        <v>0</v>
      </c>
      <c r="DD13" s="523"/>
      <c r="DE13" s="524" t="e">
        <f t="shared" si="34"/>
        <v>#DIV/0!</v>
      </c>
      <c r="DF13" s="525">
        <f t="shared" si="147"/>
        <v>0</v>
      </c>
      <c r="DG13" s="523"/>
      <c r="DH13" s="524" t="e">
        <f t="shared" si="35"/>
        <v>#DIV/0!</v>
      </c>
      <c r="DI13" s="525">
        <v>0</v>
      </c>
      <c r="DJ13" s="523"/>
      <c r="DK13" s="524" t="e">
        <f t="shared" si="36"/>
        <v>#DIV/0!</v>
      </c>
      <c r="DL13" s="525">
        <f t="shared" si="148"/>
        <v>0</v>
      </c>
      <c r="DM13" s="523"/>
      <c r="DN13" s="524" t="e">
        <f t="shared" si="37"/>
        <v>#DIV/0!</v>
      </c>
      <c r="DO13" s="525">
        <f t="shared" si="149"/>
        <v>0</v>
      </c>
      <c r="DP13" s="523"/>
      <c r="DQ13" s="524" t="e">
        <f t="shared" si="38"/>
        <v>#DIV/0!</v>
      </c>
      <c r="DR13" s="525">
        <f t="shared" si="150"/>
        <v>0</v>
      </c>
      <c r="DS13" s="523"/>
      <c r="DT13" s="524" t="e">
        <f t="shared" si="39"/>
        <v>#DIV/0!</v>
      </c>
      <c r="DU13" s="525">
        <f t="shared" si="151"/>
        <v>0</v>
      </c>
      <c r="DV13" s="523"/>
      <c r="DW13" s="524" t="e">
        <f t="shared" si="40"/>
        <v>#DIV/0!</v>
      </c>
      <c r="DX13" s="525">
        <f t="shared" si="152"/>
        <v>0</v>
      </c>
      <c r="DY13" s="523"/>
      <c r="DZ13" s="524" t="e">
        <f t="shared" si="41"/>
        <v>#DIV/0!</v>
      </c>
      <c r="EA13" s="525">
        <f t="shared" si="153"/>
        <v>0</v>
      </c>
      <c r="EB13" s="523"/>
      <c r="EC13" s="524" t="e">
        <f t="shared" si="42"/>
        <v>#DIV/0!</v>
      </c>
      <c r="ED13" s="525">
        <f t="shared" si="154"/>
        <v>0</v>
      </c>
      <c r="EE13" s="523"/>
      <c r="EF13" s="524" t="e">
        <f t="shared" si="43"/>
        <v>#DIV/0!</v>
      </c>
      <c r="EG13" s="525">
        <f t="shared" si="155"/>
        <v>0</v>
      </c>
      <c r="EH13" s="523"/>
      <c r="EI13" s="524" t="e">
        <f t="shared" si="44"/>
        <v>#DIV/0!</v>
      </c>
      <c r="EJ13" s="525">
        <f t="shared" si="156"/>
        <v>0</v>
      </c>
      <c r="EK13" s="523"/>
      <c r="EL13" s="524" t="e">
        <f t="shared" si="45"/>
        <v>#DIV/0!</v>
      </c>
      <c r="EM13" s="525">
        <f t="shared" si="157"/>
        <v>0</v>
      </c>
      <c r="EN13" s="523"/>
      <c r="EO13" s="524" t="e">
        <f t="shared" si="46"/>
        <v>#DIV/0!</v>
      </c>
      <c r="EP13" s="525">
        <f t="shared" si="158"/>
        <v>0</v>
      </c>
      <c r="EQ13" s="523"/>
      <c r="ER13" s="524" t="e">
        <f t="shared" si="47"/>
        <v>#DIV/0!</v>
      </c>
      <c r="ES13" s="525">
        <f t="shared" si="159"/>
        <v>0</v>
      </c>
      <c r="ET13" s="523"/>
      <c r="EU13" s="524" t="e">
        <f t="shared" si="48"/>
        <v>#DIV/0!</v>
      </c>
      <c r="EV13" s="525">
        <f t="shared" si="160"/>
        <v>0</v>
      </c>
      <c r="EW13" s="523"/>
      <c r="EX13" s="524" t="e">
        <f t="shared" si="49"/>
        <v>#DIV/0!</v>
      </c>
      <c r="EY13" s="525">
        <f t="shared" si="161"/>
        <v>0</v>
      </c>
      <c r="EZ13" s="523"/>
      <c r="FA13" s="524" t="e">
        <f t="shared" si="50"/>
        <v>#DIV/0!</v>
      </c>
      <c r="FB13" s="525">
        <f t="shared" si="162"/>
        <v>0</v>
      </c>
      <c r="FC13" s="523"/>
      <c r="FD13" s="524" t="e">
        <f t="shared" si="51"/>
        <v>#DIV/0!</v>
      </c>
      <c r="FE13" s="525">
        <f t="shared" si="163"/>
        <v>0</v>
      </c>
      <c r="FF13" s="523"/>
      <c r="FG13" s="524" t="e">
        <f t="shared" si="52"/>
        <v>#DIV/0!</v>
      </c>
      <c r="FH13" s="525">
        <f t="shared" si="164"/>
        <v>0</v>
      </c>
      <c r="FI13" s="523"/>
      <c r="FJ13" s="524" t="e">
        <f t="shared" si="53"/>
        <v>#DIV/0!</v>
      </c>
      <c r="FK13" s="525">
        <f t="shared" si="165"/>
        <v>0</v>
      </c>
      <c r="FL13" s="523"/>
      <c r="FM13" s="524" t="e">
        <f t="shared" si="54"/>
        <v>#DIV/0!</v>
      </c>
      <c r="FN13" s="525">
        <f t="shared" si="166"/>
        <v>0</v>
      </c>
      <c r="FO13" s="523"/>
      <c r="FP13" s="524" t="e">
        <f t="shared" si="55"/>
        <v>#DIV/0!</v>
      </c>
      <c r="FQ13" s="525">
        <f t="shared" si="167"/>
        <v>0</v>
      </c>
      <c r="FR13" s="523"/>
      <c r="FS13" s="524" t="e">
        <f t="shared" si="56"/>
        <v>#DIV/0!</v>
      </c>
      <c r="FT13" s="525">
        <f t="shared" si="168"/>
        <v>0</v>
      </c>
      <c r="FU13" s="523"/>
      <c r="FV13" s="524" t="e">
        <f t="shared" si="57"/>
        <v>#DIV/0!</v>
      </c>
      <c r="FW13" s="525">
        <f t="shared" si="169"/>
        <v>0</v>
      </c>
      <c r="FX13" s="523"/>
      <c r="FY13" s="524" t="e">
        <f t="shared" si="58"/>
        <v>#DIV/0!</v>
      </c>
      <c r="FZ13" s="525">
        <f t="shared" si="170"/>
        <v>0</v>
      </c>
      <c r="GA13" s="523"/>
      <c r="GB13" s="524" t="e">
        <f t="shared" si="59"/>
        <v>#DIV/0!</v>
      </c>
      <c r="GC13" s="525">
        <f t="shared" si="171"/>
        <v>0</v>
      </c>
      <c r="GD13" s="523"/>
      <c r="GE13" s="524" t="e">
        <f t="shared" si="60"/>
        <v>#DIV/0!</v>
      </c>
      <c r="GF13" s="525">
        <f t="shared" si="172"/>
        <v>0</v>
      </c>
      <c r="GG13" s="523"/>
      <c r="GH13" s="524" t="e">
        <f t="shared" si="61"/>
        <v>#DIV/0!</v>
      </c>
      <c r="GI13" s="525">
        <f t="shared" si="173"/>
        <v>0</v>
      </c>
      <c r="GJ13" s="523"/>
      <c r="GK13" s="524" t="e">
        <f t="shared" si="62"/>
        <v>#DIV/0!</v>
      </c>
      <c r="GL13" s="525">
        <f t="shared" si="174"/>
        <v>0</v>
      </c>
      <c r="GM13" s="523"/>
      <c r="GN13" s="524" t="e">
        <f t="shared" si="63"/>
        <v>#DIV/0!</v>
      </c>
      <c r="GO13" s="525">
        <f t="shared" si="175"/>
        <v>0</v>
      </c>
      <c r="GP13" s="523"/>
      <c r="GQ13" s="524" t="e">
        <f t="shared" si="64"/>
        <v>#DIV/0!</v>
      </c>
      <c r="GR13" s="525">
        <f t="shared" si="176"/>
        <v>0</v>
      </c>
      <c r="GS13" s="523"/>
      <c r="GT13" s="524" t="e">
        <f t="shared" si="65"/>
        <v>#DIV/0!</v>
      </c>
      <c r="GU13" s="525">
        <f t="shared" si="177"/>
        <v>0</v>
      </c>
      <c r="GV13" s="523"/>
      <c r="GW13" s="524" t="e">
        <f t="shared" si="66"/>
        <v>#DIV/0!</v>
      </c>
      <c r="GX13" s="525">
        <f t="shared" si="178"/>
        <v>0</v>
      </c>
      <c r="GY13" s="523"/>
      <c r="GZ13" s="524" t="e">
        <f t="shared" si="67"/>
        <v>#DIV/0!</v>
      </c>
      <c r="HA13" s="525">
        <f t="shared" si="179"/>
        <v>0</v>
      </c>
      <c r="HB13" s="523"/>
      <c r="HC13" s="524" t="e">
        <f t="shared" si="68"/>
        <v>#DIV/0!</v>
      </c>
      <c r="HD13" s="525">
        <f t="shared" si="180"/>
        <v>0</v>
      </c>
      <c r="HE13" s="523"/>
      <c r="HF13" s="524" t="e">
        <f t="shared" si="69"/>
        <v>#DIV/0!</v>
      </c>
      <c r="HG13" s="525">
        <f t="shared" si="181"/>
        <v>0</v>
      </c>
      <c r="HH13" s="523"/>
      <c r="HI13" s="524" t="e">
        <f t="shared" si="70"/>
        <v>#DIV/0!</v>
      </c>
      <c r="HJ13" s="525">
        <f t="shared" si="182"/>
        <v>0</v>
      </c>
      <c r="HK13" s="523"/>
      <c r="HL13" s="524" t="e">
        <f t="shared" si="71"/>
        <v>#DIV/0!</v>
      </c>
      <c r="HM13" s="525">
        <f t="shared" si="183"/>
        <v>0</v>
      </c>
      <c r="HN13" s="523"/>
      <c r="HO13" s="524" t="e">
        <f t="shared" si="72"/>
        <v>#DIV/0!</v>
      </c>
      <c r="HP13" s="525">
        <f t="shared" si="184"/>
        <v>0</v>
      </c>
      <c r="HQ13" s="523"/>
      <c r="HR13" s="524" t="e">
        <f t="shared" si="73"/>
        <v>#DIV/0!</v>
      </c>
      <c r="HS13" s="525">
        <f t="shared" si="185"/>
        <v>0</v>
      </c>
      <c r="HT13" s="523"/>
      <c r="HU13" s="524" t="e">
        <f t="shared" si="74"/>
        <v>#DIV/0!</v>
      </c>
      <c r="HV13" s="525">
        <f t="shared" si="186"/>
        <v>0</v>
      </c>
      <c r="HW13" s="523"/>
      <c r="HX13" s="524" t="e">
        <f t="shared" si="75"/>
        <v>#DIV/0!</v>
      </c>
      <c r="HY13" s="525">
        <f t="shared" si="187"/>
        <v>0</v>
      </c>
      <c r="HZ13" s="523"/>
      <c r="IA13" s="524" t="e">
        <f t="shared" si="76"/>
        <v>#DIV/0!</v>
      </c>
      <c r="IB13" s="525">
        <f t="shared" si="188"/>
        <v>0</v>
      </c>
      <c r="IC13" s="523"/>
      <c r="ID13" s="524" t="e">
        <f t="shared" si="77"/>
        <v>#DIV/0!</v>
      </c>
      <c r="IE13" s="525">
        <f t="shared" si="189"/>
        <v>0</v>
      </c>
      <c r="IF13" s="523"/>
      <c r="IG13" s="524" t="e">
        <f t="shared" si="78"/>
        <v>#DIV/0!</v>
      </c>
      <c r="IH13" s="525">
        <f t="shared" si="190"/>
        <v>0</v>
      </c>
      <c r="II13" s="523"/>
      <c r="IJ13" s="524" t="e">
        <f t="shared" si="79"/>
        <v>#DIV/0!</v>
      </c>
      <c r="IK13" s="525">
        <f t="shared" si="191"/>
        <v>0</v>
      </c>
      <c r="IL13" s="523"/>
      <c r="IM13" s="524" t="e">
        <f t="shared" si="80"/>
        <v>#DIV/0!</v>
      </c>
      <c r="IN13" s="525">
        <f t="shared" si="192"/>
        <v>0</v>
      </c>
      <c r="IO13" s="523"/>
      <c r="IP13" s="524" t="e">
        <f t="shared" si="81"/>
        <v>#DIV/0!</v>
      </c>
      <c r="IQ13" s="525">
        <f t="shared" si="193"/>
        <v>0</v>
      </c>
      <c r="IR13" s="523"/>
      <c r="IS13" s="524" t="e">
        <f t="shared" si="82"/>
        <v>#DIV/0!</v>
      </c>
      <c r="IT13" s="525">
        <f t="shared" si="194"/>
        <v>0</v>
      </c>
      <c r="IU13" s="523"/>
      <c r="IV13" s="524" t="e">
        <f t="shared" si="83"/>
        <v>#DIV/0!</v>
      </c>
      <c r="IW13" s="525">
        <f t="shared" si="195"/>
        <v>0</v>
      </c>
      <c r="IX13" s="523"/>
      <c r="IY13" s="524" t="e">
        <f t="shared" si="84"/>
        <v>#DIV/0!</v>
      </c>
      <c r="IZ13" s="525">
        <f t="shared" si="196"/>
        <v>0</v>
      </c>
      <c r="JA13" s="523"/>
      <c r="JB13" s="524" t="e">
        <f t="shared" si="85"/>
        <v>#DIV/0!</v>
      </c>
      <c r="JC13" s="525">
        <f t="shared" si="197"/>
        <v>0</v>
      </c>
      <c r="JD13" s="523"/>
      <c r="JE13" s="524" t="e">
        <f t="shared" si="86"/>
        <v>#DIV/0!</v>
      </c>
      <c r="JF13" s="525">
        <f t="shared" si="198"/>
        <v>0</v>
      </c>
      <c r="JG13" s="523"/>
      <c r="JH13" s="524" t="e">
        <f t="shared" si="87"/>
        <v>#DIV/0!</v>
      </c>
      <c r="JI13" s="525">
        <f t="shared" si="199"/>
        <v>0</v>
      </c>
      <c r="JJ13" s="523"/>
      <c r="JK13" s="525" t="str">
        <f t="shared" si="88"/>
        <v>0</v>
      </c>
      <c r="JL13" s="525" t="str">
        <f t="shared" si="89"/>
        <v>0</v>
      </c>
      <c r="JM13" s="523"/>
      <c r="JN13" s="525" t="str">
        <f t="shared" si="90"/>
        <v>0</v>
      </c>
      <c r="JO13" s="525" t="str">
        <f t="shared" si="91"/>
        <v>0</v>
      </c>
      <c r="JP13" s="523"/>
      <c r="JQ13" s="525" t="str">
        <f t="shared" si="92"/>
        <v>0</v>
      </c>
      <c r="JR13" s="525" t="str">
        <f t="shared" si="93"/>
        <v>0</v>
      </c>
      <c r="JS13" s="523"/>
      <c r="JT13" s="525" t="str">
        <f t="shared" si="94"/>
        <v>0</v>
      </c>
      <c r="JU13" s="525" t="str">
        <f t="shared" si="95"/>
        <v>0</v>
      </c>
      <c r="JV13" s="523"/>
      <c r="JW13" s="525" t="str">
        <f t="shared" si="96"/>
        <v>0</v>
      </c>
      <c r="JX13" s="525" t="str">
        <f t="shared" si="97"/>
        <v>0</v>
      </c>
      <c r="JY13" s="523"/>
      <c r="JZ13" s="525" t="str">
        <f t="shared" si="98"/>
        <v>0</v>
      </c>
      <c r="KA13" s="525" t="str">
        <f t="shared" si="99"/>
        <v>0</v>
      </c>
      <c r="KB13" s="523"/>
      <c r="KC13" s="525" t="str">
        <f t="shared" si="100"/>
        <v>0</v>
      </c>
      <c r="KD13" s="525" t="str">
        <f t="shared" si="101"/>
        <v>0</v>
      </c>
      <c r="KE13" s="523"/>
      <c r="KF13" s="525" t="str">
        <f t="shared" si="102"/>
        <v>0</v>
      </c>
      <c r="KG13" s="525" t="str">
        <f t="shared" si="103"/>
        <v>0</v>
      </c>
      <c r="KH13" s="523"/>
      <c r="KI13" s="525" t="str">
        <f t="shared" si="104"/>
        <v>0</v>
      </c>
      <c r="KJ13" s="525" t="str">
        <f t="shared" si="105"/>
        <v>0</v>
      </c>
      <c r="KK13" s="523"/>
      <c r="KL13" s="525" t="str">
        <f t="shared" si="106"/>
        <v>0</v>
      </c>
      <c r="KM13" s="525" t="str">
        <f t="shared" si="107"/>
        <v>0</v>
      </c>
      <c r="KN13" s="523"/>
      <c r="KO13" s="525" t="str">
        <f t="shared" si="108"/>
        <v>0</v>
      </c>
      <c r="KP13" s="525" t="str">
        <f t="shared" si="109"/>
        <v>0</v>
      </c>
      <c r="KQ13" s="523"/>
      <c r="KR13" s="525" t="str">
        <f t="shared" si="110"/>
        <v>0</v>
      </c>
      <c r="KS13" s="525" t="str">
        <f t="shared" si="111"/>
        <v>0</v>
      </c>
      <c r="KT13" s="525">
        <f t="shared" si="201"/>
        <v>0</v>
      </c>
      <c r="KU13" s="525">
        <f t="shared" si="202"/>
        <v>0</v>
      </c>
      <c r="KV13" s="261">
        <f t="shared" si="112"/>
        <v>0</v>
      </c>
    </row>
    <row r="14" spans="1:308">
      <c r="A14" s="262">
        <f t="shared" si="200"/>
        <v>45967</v>
      </c>
      <c r="B14" s="263" t="str">
        <f>+Report1!B14</f>
        <v>STOP</v>
      </c>
      <c r="C14" s="263" t="str">
        <f>+Report1!C14</f>
        <v>12</v>
      </c>
      <c r="D14" s="264">
        <f>+Report1!P14</f>
        <v>0</v>
      </c>
      <c r="E14" s="562">
        <f>+Report1!R14</f>
        <v>0</v>
      </c>
      <c r="F14" s="523"/>
      <c r="G14" s="524" t="e">
        <f t="shared" si="0"/>
        <v>#DIV/0!</v>
      </c>
      <c r="H14" s="525">
        <f t="shared" si="113"/>
        <v>0</v>
      </c>
      <c r="I14" s="523"/>
      <c r="J14" s="524" t="e">
        <f t="shared" si="1"/>
        <v>#DIV/0!</v>
      </c>
      <c r="K14" s="525">
        <f t="shared" si="114"/>
        <v>0</v>
      </c>
      <c r="L14" s="523"/>
      <c r="M14" s="524" t="e">
        <f t="shared" si="2"/>
        <v>#DIV/0!</v>
      </c>
      <c r="N14" s="525">
        <f t="shared" si="115"/>
        <v>0</v>
      </c>
      <c r="O14" s="523"/>
      <c r="P14" s="524" t="e">
        <f t="shared" si="3"/>
        <v>#DIV/0!</v>
      </c>
      <c r="Q14" s="525">
        <f t="shared" si="116"/>
        <v>0</v>
      </c>
      <c r="R14" s="523"/>
      <c r="S14" s="524" t="e">
        <f t="shared" si="4"/>
        <v>#DIV/0!</v>
      </c>
      <c r="T14" s="525">
        <f t="shared" si="117"/>
        <v>0</v>
      </c>
      <c r="U14" s="523"/>
      <c r="V14" s="524" t="e">
        <f t="shared" si="5"/>
        <v>#DIV/0!</v>
      </c>
      <c r="W14" s="525">
        <f t="shared" si="118"/>
        <v>0</v>
      </c>
      <c r="X14" s="523"/>
      <c r="Y14" s="524" t="e">
        <f t="shared" si="6"/>
        <v>#DIV/0!</v>
      </c>
      <c r="Z14" s="525">
        <f t="shared" si="119"/>
        <v>0</v>
      </c>
      <c r="AA14" s="523"/>
      <c r="AB14" s="524" t="e">
        <f t="shared" si="7"/>
        <v>#DIV/0!</v>
      </c>
      <c r="AC14" s="525">
        <f t="shared" si="120"/>
        <v>0</v>
      </c>
      <c r="AD14" s="523"/>
      <c r="AE14" s="524" t="e">
        <f t="shared" si="8"/>
        <v>#DIV/0!</v>
      </c>
      <c r="AF14" s="525">
        <f t="shared" si="121"/>
        <v>0</v>
      </c>
      <c r="AG14" s="523"/>
      <c r="AH14" s="524" t="e">
        <f t="shared" si="9"/>
        <v>#DIV/0!</v>
      </c>
      <c r="AI14" s="525">
        <f t="shared" si="122"/>
        <v>0</v>
      </c>
      <c r="AJ14" s="523"/>
      <c r="AK14" s="524" t="e">
        <f t="shared" si="10"/>
        <v>#DIV/0!</v>
      </c>
      <c r="AL14" s="525">
        <f t="shared" si="123"/>
        <v>0</v>
      </c>
      <c r="AM14" s="523"/>
      <c r="AN14" s="524" t="e">
        <f t="shared" si="11"/>
        <v>#DIV/0!</v>
      </c>
      <c r="AO14" s="525">
        <f t="shared" si="124"/>
        <v>0</v>
      </c>
      <c r="AP14" s="523"/>
      <c r="AQ14" s="524" t="e">
        <f t="shared" si="12"/>
        <v>#DIV/0!</v>
      </c>
      <c r="AR14" s="525">
        <f t="shared" si="125"/>
        <v>0</v>
      </c>
      <c r="AS14" s="523"/>
      <c r="AT14" s="524" t="e">
        <f t="shared" si="13"/>
        <v>#DIV/0!</v>
      </c>
      <c r="AU14" s="525">
        <f t="shared" si="126"/>
        <v>0</v>
      </c>
      <c r="AV14" s="523"/>
      <c r="AW14" s="524" t="e">
        <f t="shared" si="14"/>
        <v>#DIV/0!</v>
      </c>
      <c r="AX14" s="525">
        <f t="shared" si="127"/>
        <v>0</v>
      </c>
      <c r="AY14" s="523"/>
      <c r="AZ14" s="524" t="e">
        <f t="shared" si="15"/>
        <v>#DIV/0!</v>
      </c>
      <c r="BA14" s="525">
        <f t="shared" si="128"/>
        <v>0</v>
      </c>
      <c r="BB14" s="523"/>
      <c r="BC14" s="524" t="e">
        <f t="shared" si="16"/>
        <v>#DIV/0!</v>
      </c>
      <c r="BD14" s="525">
        <f t="shared" si="129"/>
        <v>0</v>
      </c>
      <c r="BE14" s="523"/>
      <c r="BF14" s="524" t="e">
        <f t="shared" si="17"/>
        <v>#DIV/0!</v>
      </c>
      <c r="BG14" s="525">
        <f t="shared" si="130"/>
        <v>0</v>
      </c>
      <c r="BH14" s="523"/>
      <c r="BI14" s="524" t="e">
        <f t="shared" si="18"/>
        <v>#DIV/0!</v>
      </c>
      <c r="BJ14" s="525">
        <f t="shared" si="131"/>
        <v>0</v>
      </c>
      <c r="BK14" s="523"/>
      <c r="BL14" s="524" t="e">
        <f t="shared" si="19"/>
        <v>#DIV/0!</v>
      </c>
      <c r="BM14" s="525">
        <f t="shared" si="132"/>
        <v>0</v>
      </c>
      <c r="BN14" s="523"/>
      <c r="BO14" s="524" t="e">
        <f t="shared" si="20"/>
        <v>#DIV/0!</v>
      </c>
      <c r="BP14" s="525">
        <f t="shared" si="133"/>
        <v>0</v>
      </c>
      <c r="BQ14" s="523"/>
      <c r="BR14" s="524" t="e">
        <f t="shared" si="21"/>
        <v>#DIV/0!</v>
      </c>
      <c r="BS14" s="525">
        <f t="shared" si="134"/>
        <v>0</v>
      </c>
      <c r="BT14" s="523"/>
      <c r="BU14" s="524" t="e">
        <f t="shared" si="22"/>
        <v>#DIV/0!</v>
      </c>
      <c r="BV14" s="525">
        <f t="shared" si="135"/>
        <v>0</v>
      </c>
      <c r="BW14" s="523"/>
      <c r="BX14" s="524" t="e">
        <f t="shared" si="23"/>
        <v>#DIV/0!</v>
      </c>
      <c r="BY14" s="525">
        <f t="shared" si="136"/>
        <v>0</v>
      </c>
      <c r="BZ14" s="523"/>
      <c r="CA14" s="524" t="e">
        <f t="shared" si="24"/>
        <v>#DIV/0!</v>
      </c>
      <c r="CB14" s="525">
        <f t="shared" si="137"/>
        <v>0</v>
      </c>
      <c r="CC14" s="523"/>
      <c r="CD14" s="524" t="e">
        <f t="shared" si="25"/>
        <v>#DIV/0!</v>
      </c>
      <c r="CE14" s="525">
        <f t="shared" si="138"/>
        <v>0</v>
      </c>
      <c r="CF14" s="523"/>
      <c r="CG14" s="524" t="e">
        <f t="shared" si="26"/>
        <v>#DIV/0!</v>
      </c>
      <c r="CH14" s="525">
        <f t="shared" si="139"/>
        <v>0</v>
      </c>
      <c r="CI14" s="523"/>
      <c r="CJ14" s="524" t="e">
        <f t="shared" si="27"/>
        <v>#DIV/0!</v>
      </c>
      <c r="CK14" s="525">
        <f t="shared" si="140"/>
        <v>0</v>
      </c>
      <c r="CL14" s="523"/>
      <c r="CM14" s="524" t="e">
        <f t="shared" si="28"/>
        <v>#DIV/0!</v>
      </c>
      <c r="CN14" s="525">
        <f t="shared" si="141"/>
        <v>0</v>
      </c>
      <c r="CO14" s="523"/>
      <c r="CP14" s="524" t="e">
        <f t="shared" si="29"/>
        <v>#DIV/0!</v>
      </c>
      <c r="CQ14" s="525">
        <f t="shared" si="142"/>
        <v>0</v>
      </c>
      <c r="CR14" s="523"/>
      <c r="CS14" s="524" t="e">
        <f t="shared" si="30"/>
        <v>#DIV/0!</v>
      </c>
      <c r="CT14" s="525">
        <f t="shared" si="143"/>
        <v>0</v>
      </c>
      <c r="CU14" s="523"/>
      <c r="CV14" s="524" t="e">
        <f t="shared" si="31"/>
        <v>#DIV/0!</v>
      </c>
      <c r="CW14" s="525">
        <f t="shared" si="144"/>
        <v>0</v>
      </c>
      <c r="CX14" s="523"/>
      <c r="CY14" s="524" t="e">
        <f t="shared" si="32"/>
        <v>#DIV/0!</v>
      </c>
      <c r="CZ14" s="525">
        <f t="shared" si="145"/>
        <v>0</v>
      </c>
      <c r="DA14" s="523"/>
      <c r="DB14" s="524" t="e">
        <f t="shared" si="33"/>
        <v>#DIV/0!</v>
      </c>
      <c r="DC14" s="525">
        <f t="shared" si="146"/>
        <v>0</v>
      </c>
      <c r="DD14" s="523"/>
      <c r="DE14" s="524" t="e">
        <f t="shared" si="34"/>
        <v>#DIV/0!</v>
      </c>
      <c r="DF14" s="525">
        <f t="shared" si="147"/>
        <v>0</v>
      </c>
      <c r="DG14" s="523"/>
      <c r="DH14" s="524" t="e">
        <f t="shared" si="35"/>
        <v>#DIV/0!</v>
      </c>
      <c r="DI14" s="525">
        <f t="shared" ref="DI14:DI39" si="203">+DG14*$H$8</f>
        <v>0</v>
      </c>
      <c r="DJ14" s="523"/>
      <c r="DK14" s="524" t="e">
        <f t="shared" si="36"/>
        <v>#DIV/0!</v>
      </c>
      <c r="DL14" s="525">
        <f t="shared" si="148"/>
        <v>0</v>
      </c>
      <c r="DM14" s="523"/>
      <c r="DN14" s="524" t="e">
        <f t="shared" si="37"/>
        <v>#DIV/0!</v>
      </c>
      <c r="DO14" s="525">
        <f t="shared" si="149"/>
        <v>0</v>
      </c>
      <c r="DP14" s="523"/>
      <c r="DQ14" s="524" t="e">
        <f t="shared" si="38"/>
        <v>#DIV/0!</v>
      </c>
      <c r="DR14" s="525">
        <f t="shared" si="150"/>
        <v>0</v>
      </c>
      <c r="DS14" s="523"/>
      <c r="DT14" s="524" t="e">
        <f t="shared" si="39"/>
        <v>#DIV/0!</v>
      </c>
      <c r="DU14" s="525">
        <f t="shared" si="151"/>
        <v>0</v>
      </c>
      <c r="DV14" s="523"/>
      <c r="DW14" s="524" t="e">
        <f t="shared" si="40"/>
        <v>#DIV/0!</v>
      </c>
      <c r="DX14" s="525">
        <f t="shared" si="152"/>
        <v>0</v>
      </c>
      <c r="DY14" s="523"/>
      <c r="DZ14" s="524" t="e">
        <f t="shared" si="41"/>
        <v>#DIV/0!</v>
      </c>
      <c r="EA14" s="525">
        <f t="shared" si="153"/>
        <v>0</v>
      </c>
      <c r="EB14" s="523"/>
      <c r="EC14" s="524" t="e">
        <f t="shared" si="42"/>
        <v>#DIV/0!</v>
      </c>
      <c r="ED14" s="525">
        <f t="shared" si="154"/>
        <v>0</v>
      </c>
      <c r="EE14" s="523"/>
      <c r="EF14" s="524" t="e">
        <f t="shared" si="43"/>
        <v>#DIV/0!</v>
      </c>
      <c r="EG14" s="525">
        <f t="shared" si="155"/>
        <v>0</v>
      </c>
      <c r="EH14" s="523"/>
      <c r="EI14" s="524" t="e">
        <f t="shared" si="44"/>
        <v>#DIV/0!</v>
      </c>
      <c r="EJ14" s="525">
        <f t="shared" si="156"/>
        <v>0</v>
      </c>
      <c r="EK14" s="523"/>
      <c r="EL14" s="524" t="e">
        <f t="shared" si="45"/>
        <v>#DIV/0!</v>
      </c>
      <c r="EM14" s="525">
        <f t="shared" si="157"/>
        <v>0</v>
      </c>
      <c r="EN14" s="523"/>
      <c r="EO14" s="524" t="e">
        <f t="shared" si="46"/>
        <v>#DIV/0!</v>
      </c>
      <c r="EP14" s="525">
        <f t="shared" si="158"/>
        <v>0</v>
      </c>
      <c r="EQ14" s="523"/>
      <c r="ER14" s="524" t="e">
        <f t="shared" si="47"/>
        <v>#DIV/0!</v>
      </c>
      <c r="ES14" s="525">
        <f t="shared" si="159"/>
        <v>0</v>
      </c>
      <c r="ET14" s="523"/>
      <c r="EU14" s="524" t="e">
        <f t="shared" si="48"/>
        <v>#DIV/0!</v>
      </c>
      <c r="EV14" s="525">
        <f t="shared" si="160"/>
        <v>0</v>
      </c>
      <c r="EW14" s="523"/>
      <c r="EX14" s="524" t="e">
        <f t="shared" si="49"/>
        <v>#DIV/0!</v>
      </c>
      <c r="EY14" s="525">
        <f t="shared" si="161"/>
        <v>0</v>
      </c>
      <c r="EZ14" s="523"/>
      <c r="FA14" s="524" t="e">
        <f t="shared" si="50"/>
        <v>#DIV/0!</v>
      </c>
      <c r="FB14" s="525">
        <f t="shared" si="162"/>
        <v>0</v>
      </c>
      <c r="FC14" s="523"/>
      <c r="FD14" s="524" t="e">
        <f t="shared" si="51"/>
        <v>#DIV/0!</v>
      </c>
      <c r="FE14" s="525">
        <f t="shared" si="163"/>
        <v>0</v>
      </c>
      <c r="FF14" s="523"/>
      <c r="FG14" s="524" t="e">
        <f t="shared" si="52"/>
        <v>#DIV/0!</v>
      </c>
      <c r="FH14" s="525">
        <f t="shared" si="164"/>
        <v>0</v>
      </c>
      <c r="FI14" s="523"/>
      <c r="FJ14" s="524" t="e">
        <f t="shared" si="53"/>
        <v>#DIV/0!</v>
      </c>
      <c r="FK14" s="525">
        <f t="shared" si="165"/>
        <v>0</v>
      </c>
      <c r="FL14" s="523"/>
      <c r="FM14" s="524" t="e">
        <f t="shared" si="54"/>
        <v>#DIV/0!</v>
      </c>
      <c r="FN14" s="525">
        <f t="shared" si="166"/>
        <v>0</v>
      </c>
      <c r="FO14" s="523"/>
      <c r="FP14" s="524" t="e">
        <f t="shared" si="55"/>
        <v>#DIV/0!</v>
      </c>
      <c r="FQ14" s="525">
        <f t="shared" si="167"/>
        <v>0</v>
      </c>
      <c r="FR14" s="523"/>
      <c r="FS14" s="524" t="e">
        <f t="shared" si="56"/>
        <v>#DIV/0!</v>
      </c>
      <c r="FT14" s="525">
        <f t="shared" si="168"/>
        <v>0</v>
      </c>
      <c r="FU14" s="523"/>
      <c r="FV14" s="524" t="e">
        <f t="shared" si="57"/>
        <v>#DIV/0!</v>
      </c>
      <c r="FW14" s="525">
        <f t="shared" si="169"/>
        <v>0</v>
      </c>
      <c r="FX14" s="523"/>
      <c r="FY14" s="524" t="e">
        <f t="shared" si="58"/>
        <v>#DIV/0!</v>
      </c>
      <c r="FZ14" s="525">
        <f t="shared" si="170"/>
        <v>0</v>
      </c>
      <c r="GA14" s="523"/>
      <c r="GB14" s="524" t="e">
        <f t="shared" si="59"/>
        <v>#DIV/0!</v>
      </c>
      <c r="GC14" s="525">
        <f t="shared" si="171"/>
        <v>0</v>
      </c>
      <c r="GD14" s="523"/>
      <c r="GE14" s="524" t="e">
        <f t="shared" si="60"/>
        <v>#DIV/0!</v>
      </c>
      <c r="GF14" s="525">
        <f t="shared" si="172"/>
        <v>0</v>
      </c>
      <c r="GG14" s="523"/>
      <c r="GH14" s="524" t="e">
        <f t="shared" si="61"/>
        <v>#DIV/0!</v>
      </c>
      <c r="GI14" s="525">
        <f t="shared" si="173"/>
        <v>0</v>
      </c>
      <c r="GJ14" s="523"/>
      <c r="GK14" s="524" t="e">
        <f t="shared" si="62"/>
        <v>#DIV/0!</v>
      </c>
      <c r="GL14" s="525">
        <f t="shared" si="174"/>
        <v>0</v>
      </c>
      <c r="GM14" s="523"/>
      <c r="GN14" s="524" t="e">
        <f t="shared" si="63"/>
        <v>#DIV/0!</v>
      </c>
      <c r="GO14" s="525">
        <f t="shared" si="175"/>
        <v>0</v>
      </c>
      <c r="GP14" s="523"/>
      <c r="GQ14" s="524" t="e">
        <f t="shared" si="64"/>
        <v>#DIV/0!</v>
      </c>
      <c r="GR14" s="525">
        <f t="shared" si="176"/>
        <v>0</v>
      </c>
      <c r="GS14" s="523"/>
      <c r="GT14" s="524" t="e">
        <f t="shared" si="65"/>
        <v>#DIV/0!</v>
      </c>
      <c r="GU14" s="525">
        <f t="shared" si="177"/>
        <v>0</v>
      </c>
      <c r="GV14" s="523"/>
      <c r="GW14" s="524" t="e">
        <f t="shared" si="66"/>
        <v>#DIV/0!</v>
      </c>
      <c r="GX14" s="525">
        <f t="shared" si="178"/>
        <v>0</v>
      </c>
      <c r="GY14" s="523"/>
      <c r="GZ14" s="524" t="e">
        <f t="shared" si="67"/>
        <v>#DIV/0!</v>
      </c>
      <c r="HA14" s="525">
        <f t="shared" si="179"/>
        <v>0</v>
      </c>
      <c r="HB14" s="523"/>
      <c r="HC14" s="524" t="e">
        <f t="shared" si="68"/>
        <v>#DIV/0!</v>
      </c>
      <c r="HD14" s="525">
        <f t="shared" si="180"/>
        <v>0</v>
      </c>
      <c r="HE14" s="523"/>
      <c r="HF14" s="524" t="e">
        <f t="shared" si="69"/>
        <v>#DIV/0!</v>
      </c>
      <c r="HG14" s="525">
        <f t="shared" si="181"/>
        <v>0</v>
      </c>
      <c r="HH14" s="523"/>
      <c r="HI14" s="524" t="e">
        <f t="shared" si="70"/>
        <v>#DIV/0!</v>
      </c>
      <c r="HJ14" s="525">
        <f t="shared" si="182"/>
        <v>0</v>
      </c>
      <c r="HK14" s="523"/>
      <c r="HL14" s="524" t="e">
        <f t="shared" si="71"/>
        <v>#DIV/0!</v>
      </c>
      <c r="HM14" s="525">
        <f t="shared" si="183"/>
        <v>0</v>
      </c>
      <c r="HN14" s="523"/>
      <c r="HO14" s="524" t="e">
        <f t="shared" si="72"/>
        <v>#DIV/0!</v>
      </c>
      <c r="HP14" s="525">
        <f t="shared" si="184"/>
        <v>0</v>
      </c>
      <c r="HQ14" s="523"/>
      <c r="HR14" s="524" t="e">
        <f t="shared" si="73"/>
        <v>#DIV/0!</v>
      </c>
      <c r="HS14" s="525">
        <f t="shared" si="185"/>
        <v>0</v>
      </c>
      <c r="HT14" s="523"/>
      <c r="HU14" s="524" t="e">
        <f t="shared" si="74"/>
        <v>#DIV/0!</v>
      </c>
      <c r="HV14" s="525">
        <f t="shared" si="186"/>
        <v>0</v>
      </c>
      <c r="HW14" s="523"/>
      <c r="HX14" s="524" t="e">
        <f t="shared" si="75"/>
        <v>#DIV/0!</v>
      </c>
      <c r="HY14" s="525">
        <f t="shared" si="187"/>
        <v>0</v>
      </c>
      <c r="HZ14" s="523"/>
      <c r="IA14" s="524" t="e">
        <f t="shared" si="76"/>
        <v>#DIV/0!</v>
      </c>
      <c r="IB14" s="525">
        <f t="shared" si="188"/>
        <v>0</v>
      </c>
      <c r="IC14" s="523"/>
      <c r="ID14" s="524" t="e">
        <f t="shared" si="77"/>
        <v>#DIV/0!</v>
      </c>
      <c r="IE14" s="525">
        <f t="shared" si="189"/>
        <v>0</v>
      </c>
      <c r="IF14" s="523"/>
      <c r="IG14" s="524" t="e">
        <f t="shared" si="78"/>
        <v>#DIV/0!</v>
      </c>
      <c r="IH14" s="525">
        <f t="shared" si="190"/>
        <v>0</v>
      </c>
      <c r="II14" s="523"/>
      <c r="IJ14" s="524" t="e">
        <f t="shared" si="79"/>
        <v>#DIV/0!</v>
      </c>
      <c r="IK14" s="525">
        <f t="shared" si="191"/>
        <v>0</v>
      </c>
      <c r="IL14" s="523"/>
      <c r="IM14" s="524" t="e">
        <f t="shared" si="80"/>
        <v>#DIV/0!</v>
      </c>
      <c r="IN14" s="525">
        <f t="shared" si="192"/>
        <v>0</v>
      </c>
      <c r="IO14" s="523"/>
      <c r="IP14" s="524" t="e">
        <f t="shared" si="81"/>
        <v>#DIV/0!</v>
      </c>
      <c r="IQ14" s="525">
        <f t="shared" si="193"/>
        <v>0</v>
      </c>
      <c r="IR14" s="523"/>
      <c r="IS14" s="524" t="e">
        <f t="shared" si="82"/>
        <v>#DIV/0!</v>
      </c>
      <c r="IT14" s="525">
        <f t="shared" si="194"/>
        <v>0</v>
      </c>
      <c r="IU14" s="523"/>
      <c r="IV14" s="524" t="e">
        <f t="shared" si="83"/>
        <v>#DIV/0!</v>
      </c>
      <c r="IW14" s="525">
        <f t="shared" si="195"/>
        <v>0</v>
      </c>
      <c r="IX14" s="523"/>
      <c r="IY14" s="524" t="e">
        <f t="shared" si="84"/>
        <v>#DIV/0!</v>
      </c>
      <c r="IZ14" s="525">
        <f t="shared" si="196"/>
        <v>0</v>
      </c>
      <c r="JA14" s="523"/>
      <c r="JB14" s="524" t="e">
        <f t="shared" si="85"/>
        <v>#DIV/0!</v>
      </c>
      <c r="JC14" s="525">
        <f t="shared" si="197"/>
        <v>0</v>
      </c>
      <c r="JD14" s="523"/>
      <c r="JE14" s="524" t="e">
        <f t="shared" si="86"/>
        <v>#DIV/0!</v>
      </c>
      <c r="JF14" s="525">
        <f t="shared" si="198"/>
        <v>0</v>
      </c>
      <c r="JG14" s="523"/>
      <c r="JH14" s="524" t="e">
        <f t="shared" si="87"/>
        <v>#DIV/0!</v>
      </c>
      <c r="JI14" s="525">
        <f t="shared" si="199"/>
        <v>0</v>
      </c>
      <c r="JJ14" s="523"/>
      <c r="JK14" s="525" t="str">
        <f t="shared" si="88"/>
        <v>0</v>
      </c>
      <c r="JL14" s="525" t="str">
        <f t="shared" si="89"/>
        <v>0</v>
      </c>
      <c r="JM14" s="523"/>
      <c r="JN14" s="525" t="str">
        <f t="shared" si="90"/>
        <v>0</v>
      </c>
      <c r="JO14" s="525" t="str">
        <f t="shared" si="91"/>
        <v>0</v>
      </c>
      <c r="JP14" s="523"/>
      <c r="JQ14" s="525" t="str">
        <f t="shared" si="92"/>
        <v>0</v>
      </c>
      <c r="JR14" s="525" t="str">
        <f t="shared" si="93"/>
        <v>0</v>
      </c>
      <c r="JS14" s="523"/>
      <c r="JT14" s="525" t="str">
        <f t="shared" si="94"/>
        <v>0</v>
      </c>
      <c r="JU14" s="525" t="str">
        <f t="shared" si="95"/>
        <v>0</v>
      </c>
      <c r="JV14" s="523"/>
      <c r="JW14" s="525" t="str">
        <f t="shared" si="96"/>
        <v>0</v>
      </c>
      <c r="JX14" s="525" t="str">
        <f t="shared" si="97"/>
        <v>0</v>
      </c>
      <c r="JY14" s="523"/>
      <c r="JZ14" s="525" t="str">
        <f t="shared" si="98"/>
        <v>0</v>
      </c>
      <c r="KA14" s="525" t="str">
        <f t="shared" si="99"/>
        <v>0</v>
      </c>
      <c r="KB14" s="523"/>
      <c r="KC14" s="525" t="str">
        <f t="shared" si="100"/>
        <v>0</v>
      </c>
      <c r="KD14" s="525" t="str">
        <f t="shared" si="101"/>
        <v>0</v>
      </c>
      <c r="KE14" s="523"/>
      <c r="KF14" s="525" t="str">
        <f t="shared" si="102"/>
        <v>0</v>
      </c>
      <c r="KG14" s="525" t="str">
        <f t="shared" si="103"/>
        <v>0</v>
      </c>
      <c r="KH14" s="523"/>
      <c r="KI14" s="525" t="str">
        <f t="shared" si="104"/>
        <v>0</v>
      </c>
      <c r="KJ14" s="525" t="str">
        <f t="shared" si="105"/>
        <v>0</v>
      </c>
      <c r="KK14" s="523"/>
      <c r="KL14" s="525" t="str">
        <f t="shared" si="106"/>
        <v>0</v>
      </c>
      <c r="KM14" s="525" t="str">
        <f t="shared" si="107"/>
        <v>0</v>
      </c>
      <c r="KN14" s="523"/>
      <c r="KO14" s="525" t="str">
        <f t="shared" si="108"/>
        <v>0</v>
      </c>
      <c r="KP14" s="525" t="str">
        <f t="shared" si="109"/>
        <v>0</v>
      </c>
      <c r="KQ14" s="523"/>
      <c r="KR14" s="525" t="str">
        <f t="shared" si="110"/>
        <v>0</v>
      </c>
      <c r="KS14" s="525" t="str">
        <f t="shared" si="111"/>
        <v>0</v>
      </c>
      <c r="KT14" s="525">
        <f t="shared" si="201"/>
        <v>0</v>
      </c>
      <c r="KU14" s="525">
        <f t="shared" si="202"/>
        <v>0</v>
      </c>
      <c r="KV14" s="261">
        <f t="shared" si="112"/>
        <v>0</v>
      </c>
    </row>
    <row r="15" spans="1:308">
      <c r="A15" s="262">
        <f t="shared" si="200"/>
        <v>45968</v>
      </c>
      <c r="B15" s="263" t="str">
        <f>+Report1!B15</f>
        <v>STOP</v>
      </c>
      <c r="C15" s="263" t="str">
        <f>+Report1!C15</f>
        <v>12</v>
      </c>
      <c r="D15" s="264">
        <f>+Report1!P15</f>
        <v>0</v>
      </c>
      <c r="E15" s="562">
        <f>+Report1!R15</f>
        <v>0</v>
      </c>
      <c r="F15" s="523"/>
      <c r="G15" s="524" t="e">
        <f t="shared" si="0"/>
        <v>#DIV/0!</v>
      </c>
      <c r="H15" s="525">
        <f t="shared" si="113"/>
        <v>0</v>
      </c>
      <c r="I15" s="523"/>
      <c r="J15" s="524" t="e">
        <f t="shared" si="1"/>
        <v>#DIV/0!</v>
      </c>
      <c r="K15" s="525">
        <f t="shared" si="114"/>
        <v>0</v>
      </c>
      <c r="L15" s="523"/>
      <c r="M15" s="524" t="e">
        <f t="shared" si="2"/>
        <v>#DIV/0!</v>
      </c>
      <c r="N15" s="525">
        <f t="shared" si="115"/>
        <v>0</v>
      </c>
      <c r="O15" s="523"/>
      <c r="P15" s="524" t="e">
        <f t="shared" si="3"/>
        <v>#DIV/0!</v>
      </c>
      <c r="Q15" s="525">
        <f t="shared" si="116"/>
        <v>0</v>
      </c>
      <c r="R15" s="523"/>
      <c r="S15" s="524" t="e">
        <f t="shared" si="4"/>
        <v>#DIV/0!</v>
      </c>
      <c r="T15" s="525">
        <f t="shared" si="117"/>
        <v>0</v>
      </c>
      <c r="U15" s="523"/>
      <c r="V15" s="524" t="e">
        <f t="shared" si="5"/>
        <v>#DIV/0!</v>
      </c>
      <c r="W15" s="525">
        <f t="shared" si="118"/>
        <v>0</v>
      </c>
      <c r="X15" s="523"/>
      <c r="Y15" s="524" t="e">
        <f t="shared" si="6"/>
        <v>#DIV/0!</v>
      </c>
      <c r="Z15" s="525">
        <f t="shared" si="119"/>
        <v>0</v>
      </c>
      <c r="AA15" s="523"/>
      <c r="AB15" s="524" t="e">
        <f t="shared" si="7"/>
        <v>#DIV/0!</v>
      </c>
      <c r="AC15" s="525">
        <f t="shared" si="120"/>
        <v>0</v>
      </c>
      <c r="AD15" s="523"/>
      <c r="AE15" s="524" t="e">
        <f t="shared" si="8"/>
        <v>#DIV/0!</v>
      </c>
      <c r="AF15" s="525">
        <f t="shared" si="121"/>
        <v>0</v>
      </c>
      <c r="AG15" s="523"/>
      <c r="AH15" s="524" t="e">
        <f t="shared" si="9"/>
        <v>#DIV/0!</v>
      </c>
      <c r="AI15" s="525">
        <f t="shared" si="122"/>
        <v>0</v>
      </c>
      <c r="AJ15" s="523"/>
      <c r="AK15" s="524" t="e">
        <f t="shared" si="10"/>
        <v>#DIV/0!</v>
      </c>
      <c r="AL15" s="525">
        <f t="shared" si="123"/>
        <v>0</v>
      </c>
      <c r="AM15" s="523"/>
      <c r="AN15" s="524" t="e">
        <f t="shared" si="11"/>
        <v>#DIV/0!</v>
      </c>
      <c r="AO15" s="525">
        <f t="shared" si="124"/>
        <v>0</v>
      </c>
      <c r="AP15" s="523"/>
      <c r="AQ15" s="524" t="e">
        <f t="shared" si="12"/>
        <v>#DIV/0!</v>
      </c>
      <c r="AR15" s="525">
        <f t="shared" si="125"/>
        <v>0</v>
      </c>
      <c r="AS15" s="523"/>
      <c r="AT15" s="524" t="e">
        <f t="shared" si="13"/>
        <v>#DIV/0!</v>
      </c>
      <c r="AU15" s="525">
        <f t="shared" si="126"/>
        <v>0</v>
      </c>
      <c r="AV15" s="523"/>
      <c r="AW15" s="524" t="e">
        <f t="shared" si="14"/>
        <v>#DIV/0!</v>
      </c>
      <c r="AX15" s="525">
        <f t="shared" si="127"/>
        <v>0</v>
      </c>
      <c r="AY15" s="523"/>
      <c r="AZ15" s="524" t="e">
        <f t="shared" si="15"/>
        <v>#DIV/0!</v>
      </c>
      <c r="BA15" s="525">
        <f t="shared" si="128"/>
        <v>0</v>
      </c>
      <c r="BB15" s="523"/>
      <c r="BC15" s="524" t="e">
        <f t="shared" si="16"/>
        <v>#DIV/0!</v>
      </c>
      <c r="BD15" s="525">
        <f t="shared" si="129"/>
        <v>0</v>
      </c>
      <c r="BE15" s="523"/>
      <c r="BF15" s="524" t="e">
        <f t="shared" si="17"/>
        <v>#DIV/0!</v>
      </c>
      <c r="BG15" s="525">
        <f t="shared" si="130"/>
        <v>0</v>
      </c>
      <c r="BH15" s="523"/>
      <c r="BI15" s="524" t="e">
        <f t="shared" si="18"/>
        <v>#DIV/0!</v>
      </c>
      <c r="BJ15" s="525">
        <f t="shared" si="131"/>
        <v>0</v>
      </c>
      <c r="BK15" s="523"/>
      <c r="BL15" s="524" t="e">
        <f t="shared" si="19"/>
        <v>#DIV/0!</v>
      </c>
      <c r="BM15" s="525">
        <f t="shared" si="132"/>
        <v>0</v>
      </c>
      <c r="BN15" s="523"/>
      <c r="BO15" s="524" t="e">
        <f t="shared" si="20"/>
        <v>#DIV/0!</v>
      </c>
      <c r="BP15" s="525">
        <f t="shared" si="133"/>
        <v>0</v>
      </c>
      <c r="BQ15" s="523"/>
      <c r="BR15" s="524" t="e">
        <f t="shared" si="21"/>
        <v>#DIV/0!</v>
      </c>
      <c r="BS15" s="525">
        <f t="shared" si="134"/>
        <v>0</v>
      </c>
      <c r="BT15" s="523"/>
      <c r="BU15" s="524" t="e">
        <f t="shared" si="22"/>
        <v>#DIV/0!</v>
      </c>
      <c r="BV15" s="525">
        <f t="shared" si="135"/>
        <v>0</v>
      </c>
      <c r="BW15" s="523"/>
      <c r="BX15" s="524" t="e">
        <f t="shared" si="23"/>
        <v>#DIV/0!</v>
      </c>
      <c r="BY15" s="525">
        <f t="shared" si="136"/>
        <v>0</v>
      </c>
      <c r="BZ15" s="523"/>
      <c r="CA15" s="524" t="e">
        <f t="shared" si="24"/>
        <v>#DIV/0!</v>
      </c>
      <c r="CB15" s="525">
        <f t="shared" si="137"/>
        <v>0</v>
      </c>
      <c r="CC15" s="523"/>
      <c r="CD15" s="524" t="e">
        <f t="shared" si="25"/>
        <v>#DIV/0!</v>
      </c>
      <c r="CE15" s="525">
        <f t="shared" si="138"/>
        <v>0</v>
      </c>
      <c r="CF15" s="523"/>
      <c r="CG15" s="524" t="e">
        <f t="shared" si="26"/>
        <v>#DIV/0!</v>
      </c>
      <c r="CH15" s="525">
        <f t="shared" si="139"/>
        <v>0</v>
      </c>
      <c r="CI15" s="523"/>
      <c r="CJ15" s="524" t="e">
        <f t="shared" si="27"/>
        <v>#DIV/0!</v>
      </c>
      <c r="CK15" s="525">
        <f t="shared" si="140"/>
        <v>0</v>
      </c>
      <c r="CL15" s="523"/>
      <c r="CM15" s="524" t="e">
        <f t="shared" si="28"/>
        <v>#DIV/0!</v>
      </c>
      <c r="CN15" s="525">
        <f t="shared" si="141"/>
        <v>0</v>
      </c>
      <c r="CO15" s="523"/>
      <c r="CP15" s="524" t="e">
        <f t="shared" si="29"/>
        <v>#DIV/0!</v>
      </c>
      <c r="CQ15" s="525">
        <f t="shared" si="142"/>
        <v>0</v>
      </c>
      <c r="CR15" s="523"/>
      <c r="CS15" s="524" t="e">
        <f t="shared" si="30"/>
        <v>#DIV/0!</v>
      </c>
      <c r="CT15" s="525">
        <f t="shared" si="143"/>
        <v>0</v>
      </c>
      <c r="CU15" s="523"/>
      <c r="CV15" s="524" t="e">
        <f t="shared" si="31"/>
        <v>#DIV/0!</v>
      </c>
      <c r="CW15" s="525">
        <f t="shared" si="144"/>
        <v>0</v>
      </c>
      <c r="CX15" s="523"/>
      <c r="CY15" s="524" t="e">
        <f t="shared" si="32"/>
        <v>#DIV/0!</v>
      </c>
      <c r="CZ15" s="525">
        <f t="shared" si="145"/>
        <v>0</v>
      </c>
      <c r="DA15" s="523"/>
      <c r="DB15" s="524" t="e">
        <f t="shared" si="33"/>
        <v>#DIV/0!</v>
      </c>
      <c r="DC15" s="525">
        <f t="shared" si="146"/>
        <v>0</v>
      </c>
      <c r="DD15" s="523"/>
      <c r="DE15" s="524" t="e">
        <f t="shared" si="34"/>
        <v>#DIV/0!</v>
      </c>
      <c r="DF15" s="525">
        <f t="shared" si="147"/>
        <v>0</v>
      </c>
      <c r="DG15" s="523"/>
      <c r="DH15" s="524" t="e">
        <f t="shared" si="35"/>
        <v>#DIV/0!</v>
      </c>
      <c r="DI15" s="525">
        <f t="shared" si="203"/>
        <v>0</v>
      </c>
      <c r="DJ15" s="523"/>
      <c r="DK15" s="524" t="e">
        <f t="shared" si="36"/>
        <v>#DIV/0!</v>
      </c>
      <c r="DL15" s="525">
        <f t="shared" si="148"/>
        <v>0</v>
      </c>
      <c r="DM15" s="523"/>
      <c r="DN15" s="524" t="e">
        <f t="shared" si="37"/>
        <v>#DIV/0!</v>
      </c>
      <c r="DO15" s="525">
        <f t="shared" si="149"/>
        <v>0</v>
      </c>
      <c r="DP15" s="523"/>
      <c r="DQ15" s="524" t="e">
        <f t="shared" si="38"/>
        <v>#DIV/0!</v>
      </c>
      <c r="DR15" s="525">
        <f t="shared" si="150"/>
        <v>0</v>
      </c>
      <c r="DS15" s="523"/>
      <c r="DT15" s="524" t="e">
        <f t="shared" si="39"/>
        <v>#DIV/0!</v>
      </c>
      <c r="DU15" s="525">
        <f t="shared" si="151"/>
        <v>0</v>
      </c>
      <c r="DV15" s="523"/>
      <c r="DW15" s="524" t="e">
        <f t="shared" si="40"/>
        <v>#DIV/0!</v>
      </c>
      <c r="DX15" s="525">
        <f t="shared" si="152"/>
        <v>0</v>
      </c>
      <c r="DY15" s="523"/>
      <c r="DZ15" s="524" t="e">
        <f t="shared" si="41"/>
        <v>#DIV/0!</v>
      </c>
      <c r="EA15" s="525">
        <f t="shared" si="153"/>
        <v>0</v>
      </c>
      <c r="EB15" s="523"/>
      <c r="EC15" s="524" t="e">
        <f t="shared" si="42"/>
        <v>#DIV/0!</v>
      </c>
      <c r="ED15" s="525">
        <f t="shared" si="154"/>
        <v>0</v>
      </c>
      <c r="EE15" s="523"/>
      <c r="EF15" s="524" t="e">
        <f t="shared" si="43"/>
        <v>#DIV/0!</v>
      </c>
      <c r="EG15" s="525">
        <f t="shared" si="155"/>
        <v>0</v>
      </c>
      <c r="EH15" s="523"/>
      <c r="EI15" s="524" t="e">
        <f t="shared" si="44"/>
        <v>#DIV/0!</v>
      </c>
      <c r="EJ15" s="525">
        <f t="shared" si="156"/>
        <v>0</v>
      </c>
      <c r="EK15" s="523"/>
      <c r="EL15" s="524" t="e">
        <f t="shared" si="45"/>
        <v>#DIV/0!</v>
      </c>
      <c r="EM15" s="525">
        <f t="shared" si="157"/>
        <v>0</v>
      </c>
      <c r="EN15" s="523"/>
      <c r="EO15" s="524" t="e">
        <f t="shared" si="46"/>
        <v>#DIV/0!</v>
      </c>
      <c r="EP15" s="525">
        <f t="shared" si="158"/>
        <v>0</v>
      </c>
      <c r="EQ15" s="523"/>
      <c r="ER15" s="524" t="e">
        <f t="shared" si="47"/>
        <v>#DIV/0!</v>
      </c>
      <c r="ES15" s="525">
        <f t="shared" si="159"/>
        <v>0</v>
      </c>
      <c r="ET15" s="523"/>
      <c r="EU15" s="524" t="e">
        <f t="shared" si="48"/>
        <v>#DIV/0!</v>
      </c>
      <c r="EV15" s="525">
        <f t="shared" si="160"/>
        <v>0</v>
      </c>
      <c r="EW15" s="523"/>
      <c r="EX15" s="524" t="e">
        <f t="shared" si="49"/>
        <v>#DIV/0!</v>
      </c>
      <c r="EY15" s="525">
        <f t="shared" si="161"/>
        <v>0</v>
      </c>
      <c r="EZ15" s="523"/>
      <c r="FA15" s="524" t="e">
        <f t="shared" si="50"/>
        <v>#DIV/0!</v>
      </c>
      <c r="FB15" s="525">
        <f t="shared" si="162"/>
        <v>0</v>
      </c>
      <c r="FC15" s="523"/>
      <c r="FD15" s="524" t="e">
        <f t="shared" si="51"/>
        <v>#DIV/0!</v>
      </c>
      <c r="FE15" s="525">
        <f t="shared" si="163"/>
        <v>0</v>
      </c>
      <c r="FF15" s="523"/>
      <c r="FG15" s="524" t="e">
        <f t="shared" si="52"/>
        <v>#DIV/0!</v>
      </c>
      <c r="FH15" s="525">
        <f t="shared" si="164"/>
        <v>0</v>
      </c>
      <c r="FI15" s="523"/>
      <c r="FJ15" s="524" t="e">
        <f t="shared" si="53"/>
        <v>#DIV/0!</v>
      </c>
      <c r="FK15" s="525">
        <f t="shared" si="165"/>
        <v>0</v>
      </c>
      <c r="FL15" s="523"/>
      <c r="FM15" s="524" t="e">
        <f t="shared" si="54"/>
        <v>#DIV/0!</v>
      </c>
      <c r="FN15" s="525">
        <f t="shared" si="166"/>
        <v>0</v>
      </c>
      <c r="FO15" s="523"/>
      <c r="FP15" s="524" t="e">
        <f t="shared" si="55"/>
        <v>#DIV/0!</v>
      </c>
      <c r="FQ15" s="525">
        <f t="shared" si="167"/>
        <v>0</v>
      </c>
      <c r="FR15" s="523"/>
      <c r="FS15" s="524" t="e">
        <f t="shared" si="56"/>
        <v>#DIV/0!</v>
      </c>
      <c r="FT15" s="525">
        <f t="shared" si="168"/>
        <v>0</v>
      </c>
      <c r="FU15" s="523"/>
      <c r="FV15" s="524" t="e">
        <f t="shared" si="57"/>
        <v>#DIV/0!</v>
      </c>
      <c r="FW15" s="525">
        <f t="shared" si="169"/>
        <v>0</v>
      </c>
      <c r="FX15" s="523"/>
      <c r="FY15" s="524" t="e">
        <f t="shared" si="58"/>
        <v>#DIV/0!</v>
      </c>
      <c r="FZ15" s="525">
        <f t="shared" si="170"/>
        <v>0</v>
      </c>
      <c r="GA15" s="523"/>
      <c r="GB15" s="524" t="e">
        <f t="shared" si="59"/>
        <v>#DIV/0!</v>
      </c>
      <c r="GC15" s="525">
        <f t="shared" si="171"/>
        <v>0</v>
      </c>
      <c r="GD15" s="523"/>
      <c r="GE15" s="524" t="e">
        <f t="shared" si="60"/>
        <v>#DIV/0!</v>
      </c>
      <c r="GF15" s="525">
        <f t="shared" si="172"/>
        <v>0</v>
      </c>
      <c r="GG15" s="523"/>
      <c r="GH15" s="524" t="e">
        <f t="shared" si="61"/>
        <v>#DIV/0!</v>
      </c>
      <c r="GI15" s="525">
        <f t="shared" si="173"/>
        <v>0</v>
      </c>
      <c r="GJ15" s="523"/>
      <c r="GK15" s="524" t="e">
        <f t="shared" si="62"/>
        <v>#DIV/0!</v>
      </c>
      <c r="GL15" s="525">
        <f t="shared" si="174"/>
        <v>0</v>
      </c>
      <c r="GM15" s="523"/>
      <c r="GN15" s="524" t="e">
        <f t="shared" si="63"/>
        <v>#DIV/0!</v>
      </c>
      <c r="GO15" s="525">
        <f t="shared" si="175"/>
        <v>0</v>
      </c>
      <c r="GP15" s="523"/>
      <c r="GQ15" s="524" t="e">
        <f t="shared" si="64"/>
        <v>#DIV/0!</v>
      </c>
      <c r="GR15" s="525">
        <f t="shared" si="176"/>
        <v>0</v>
      </c>
      <c r="GS15" s="523"/>
      <c r="GT15" s="524" t="e">
        <f t="shared" si="65"/>
        <v>#DIV/0!</v>
      </c>
      <c r="GU15" s="525">
        <f t="shared" si="177"/>
        <v>0</v>
      </c>
      <c r="GV15" s="523"/>
      <c r="GW15" s="524" t="e">
        <f t="shared" si="66"/>
        <v>#DIV/0!</v>
      </c>
      <c r="GX15" s="525">
        <f t="shared" si="178"/>
        <v>0</v>
      </c>
      <c r="GY15" s="523"/>
      <c r="GZ15" s="524" t="e">
        <f t="shared" si="67"/>
        <v>#DIV/0!</v>
      </c>
      <c r="HA15" s="525">
        <f t="shared" si="179"/>
        <v>0</v>
      </c>
      <c r="HB15" s="523"/>
      <c r="HC15" s="524" t="e">
        <f t="shared" si="68"/>
        <v>#DIV/0!</v>
      </c>
      <c r="HD15" s="525">
        <f t="shared" si="180"/>
        <v>0</v>
      </c>
      <c r="HE15" s="523"/>
      <c r="HF15" s="524" t="e">
        <f t="shared" si="69"/>
        <v>#DIV/0!</v>
      </c>
      <c r="HG15" s="525">
        <f t="shared" si="181"/>
        <v>0</v>
      </c>
      <c r="HH15" s="523"/>
      <c r="HI15" s="524" t="e">
        <f t="shared" si="70"/>
        <v>#DIV/0!</v>
      </c>
      <c r="HJ15" s="525">
        <f t="shared" si="182"/>
        <v>0</v>
      </c>
      <c r="HK15" s="523"/>
      <c r="HL15" s="524" t="e">
        <f t="shared" si="71"/>
        <v>#DIV/0!</v>
      </c>
      <c r="HM15" s="525">
        <f t="shared" si="183"/>
        <v>0</v>
      </c>
      <c r="HN15" s="523"/>
      <c r="HO15" s="524" t="e">
        <f t="shared" si="72"/>
        <v>#DIV/0!</v>
      </c>
      <c r="HP15" s="525">
        <f t="shared" si="184"/>
        <v>0</v>
      </c>
      <c r="HQ15" s="523"/>
      <c r="HR15" s="524" t="e">
        <f t="shared" si="73"/>
        <v>#DIV/0!</v>
      </c>
      <c r="HS15" s="525">
        <f t="shared" si="185"/>
        <v>0</v>
      </c>
      <c r="HT15" s="523"/>
      <c r="HU15" s="524" t="e">
        <f t="shared" si="74"/>
        <v>#DIV/0!</v>
      </c>
      <c r="HV15" s="525">
        <f t="shared" si="186"/>
        <v>0</v>
      </c>
      <c r="HW15" s="523"/>
      <c r="HX15" s="524" t="e">
        <f t="shared" si="75"/>
        <v>#DIV/0!</v>
      </c>
      <c r="HY15" s="525">
        <f t="shared" si="187"/>
        <v>0</v>
      </c>
      <c r="HZ15" s="523"/>
      <c r="IA15" s="524" t="e">
        <f t="shared" si="76"/>
        <v>#DIV/0!</v>
      </c>
      <c r="IB15" s="525">
        <f t="shared" si="188"/>
        <v>0</v>
      </c>
      <c r="IC15" s="523"/>
      <c r="ID15" s="524" t="e">
        <f t="shared" si="77"/>
        <v>#DIV/0!</v>
      </c>
      <c r="IE15" s="525">
        <f t="shared" si="189"/>
        <v>0</v>
      </c>
      <c r="IF15" s="523"/>
      <c r="IG15" s="524" t="e">
        <f t="shared" si="78"/>
        <v>#DIV/0!</v>
      </c>
      <c r="IH15" s="525">
        <f t="shared" si="190"/>
        <v>0</v>
      </c>
      <c r="II15" s="523"/>
      <c r="IJ15" s="524" t="e">
        <f t="shared" si="79"/>
        <v>#DIV/0!</v>
      </c>
      <c r="IK15" s="525">
        <f t="shared" si="191"/>
        <v>0</v>
      </c>
      <c r="IL15" s="523"/>
      <c r="IM15" s="524" t="e">
        <f t="shared" si="80"/>
        <v>#DIV/0!</v>
      </c>
      <c r="IN15" s="525">
        <f t="shared" si="192"/>
        <v>0</v>
      </c>
      <c r="IO15" s="523"/>
      <c r="IP15" s="524" t="e">
        <f t="shared" si="81"/>
        <v>#DIV/0!</v>
      </c>
      <c r="IQ15" s="525">
        <f t="shared" si="193"/>
        <v>0</v>
      </c>
      <c r="IR15" s="523"/>
      <c r="IS15" s="524" t="e">
        <f t="shared" si="82"/>
        <v>#DIV/0!</v>
      </c>
      <c r="IT15" s="525">
        <f t="shared" si="194"/>
        <v>0</v>
      </c>
      <c r="IU15" s="523"/>
      <c r="IV15" s="524" t="e">
        <f t="shared" si="83"/>
        <v>#DIV/0!</v>
      </c>
      <c r="IW15" s="525">
        <f t="shared" si="195"/>
        <v>0</v>
      </c>
      <c r="IX15" s="523"/>
      <c r="IY15" s="524" t="e">
        <f t="shared" si="84"/>
        <v>#DIV/0!</v>
      </c>
      <c r="IZ15" s="525">
        <f t="shared" si="196"/>
        <v>0</v>
      </c>
      <c r="JA15" s="523"/>
      <c r="JB15" s="524" t="e">
        <f t="shared" si="85"/>
        <v>#DIV/0!</v>
      </c>
      <c r="JC15" s="525">
        <f t="shared" si="197"/>
        <v>0</v>
      </c>
      <c r="JD15" s="523"/>
      <c r="JE15" s="524" t="e">
        <f t="shared" si="86"/>
        <v>#DIV/0!</v>
      </c>
      <c r="JF15" s="525">
        <f t="shared" si="198"/>
        <v>0</v>
      </c>
      <c r="JG15" s="523"/>
      <c r="JH15" s="524" t="e">
        <f t="shared" si="87"/>
        <v>#DIV/0!</v>
      </c>
      <c r="JI15" s="525">
        <f t="shared" si="199"/>
        <v>0</v>
      </c>
      <c r="JJ15" s="523"/>
      <c r="JK15" s="525" t="str">
        <f t="shared" si="88"/>
        <v>0</v>
      </c>
      <c r="JL15" s="525" t="str">
        <f t="shared" si="89"/>
        <v>0</v>
      </c>
      <c r="JM15" s="523"/>
      <c r="JN15" s="525" t="str">
        <f t="shared" si="90"/>
        <v>0</v>
      </c>
      <c r="JO15" s="525" t="str">
        <f t="shared" si="91"/>
        <v>0</v>
      </c>
      <c r="JP15" s="523"/>
      <c r="JQ15" s="525" t="str">
        <f t="shared" si="92"/>
        <v>0</v>
      </c>
      <c r="JR15" s="525" t="str">
        <f t="shared" si="93"/>
        <v>0</v>
      </c>
      <c r="JS15" s="523"/>
      <c r="JT15" s="525" t="str">
        <f t="shared" si="94"/>
        <v>0</v>
      </c>
      <c r="JU15" s="525" t="str">
        <f t="shared" si="95"/>
        <v>0</v>
      </c>
      <c r="JV15" s="523"/>
      <c r="JW15" s="525" t="str">
        <f t="shared" si="96"/>
        <v>0</v>
      </c>
      <c r="JX15" s="525" t="str">
        <f t="shared" si="97"/>
        <v>0</v>
      </c>
      <c r="JY15" s="523"/>
      <c r="JZ15" s="525" t="str">
        <f t="shared" si="98"/>
        <v>0</v>
      </c>
      <c r="KA15" s="525" t="str">
        <f t="shared" si="99"/>
        <v>0</v>
      </c>
      <c r="KB15" s="523"/>
      <c r="KC15" s="525" t="str">
        <f t="shared" si="100"/>
        <v>0</v>
      </c>
      <c r="KD15" s="525" t="str">
        <f t="shared" si="101"/>
        <v>0</v>
      </c>
      <c r="KE15" s="523"/>
      <c r="KF15" s="525" t="str">
        <f t="shared" si="102"/>
        <v>0</v>
      </c>
      <c r="KG15" s="525" t="str">
        <f t="shared" si="103"/>
        <v>0</v>
      </c>
      <c r="KH15" s="523"/>
      <c r="KI15" s="525" t="str">
        <f t="shared" si="104"/>
        <v>0</v>
      </c>
      <c r="KJ15" s="525" t="str">
        <f t="shared" si="105"/>
        <v>0</v>
      </c>
      <c r="KK15" s="523"/>
      <c r="KL15" s="525" t="str">
        <f t="shared" si="106"/>
        <v>0</v>
      </c>
      <c r="KM15" s="525" t="str">
        <f t="shared" si="107"/>
        <v>0</v>
      </c>
      <c r="KN15" s="523"/>
      <c r="KO15" s="525" t="str">
        <f t="shared" si="108"/>
        <v>0</v>
      </c>
      <c r="KP15" s="525" t="str">
        <f t="shared" si="109"/>
        <v>0</v>
      </c>
      <c r="KQ15" s="523"/>
      <c r="KR15" s="525" t="str">
        <f t="shared" si="110"/>
        <v>0</v>
      </c>
      <c r="KS15" s="525" t="str">
        <f t="shared" si="111"/>
        <v>0</v>
      </c>
      <c r="KT15" s="525">
        <f t="shared" si="201"/>
        <v>0</v>
      </c>
      <c r="KU15" s="525">
        <f t="shared" si="202"/>
        <v>0</v>
      </c>
      <c r="KV15" s="261">
        <f t="shared" si="112"/>
        <v>0</v>
      </c>
    </row>
    <row r="16" spans="1:308">
      <c r="A16" s="262">
        <f t="shared" si="200"/>
        <v>45969</v>
      </c>
      <c r="B16" s="263" t="str">
        <f>+Report1!B16</f>
        <v>STOP</v>
      </c>
      <c r="C16" s="263" t="str">
        <f>+Report1!C16</f>
        <v>12</v>
      </c>
      <c r="D16" s="264">
        <f>+Report1!P16</f>
        <v>0</v>
      </c>
      <c r="E16" s="562">
        <f>+Report1!R16</f>
        <v>0</v>
      </c>
      <c r="F16" s="523"/>
      <c r="G16" s="524" t="e">
        <f t="shared" si="0"/>
        <v>#DIV/0!</v>
      </c>
      <c r="H16" s="525">
        <f t="shared" si="113"/>
        <v>0</v>
      </c>
      <c r="I16" s="523"/>
      <c r="J16" s="524" t="e">
        <f t="shared" si="1"/>
        <v>#DIV/0!</v>
      </c>
      <c r="K16" s="525">
        <f t="shared" si="114"/>
        <v>0</v>
      </c>
      <c r="L16" s="523"/>
      <c r="M16" s="524" t="e">
        <f t="shared" si="2"/>
        <v>#DIV/0!</v>
      </c>
      <c r="N16" s="525">
        <f t="shared" si="115"/>
        <v>0</v>
      </c>
      <c r="O16" s="523"/>
      <c r="P16" s="524" t="e">
        <f t="shared" si="3"/>
        <v>#DIV/0!</v>
      </c>
      <c r="Q16" s="525">
        <f t="shared" si="116"/>
        <v>0</v>
      </c>
      <c r="R16" s="523"/>
      <c r="S16" s="524" t="e">
        <f t="shared" si="4"/>
        <v>#DIV/0!</v>
      </c>
      <c r="T16" s="525">
        <f t="shared" si="117"/>
        <v>0</v>
      </c>
      <c r="U16" s="523"/>
      <c r="V16" s="524" t="e">
        <f t="shared" si="5"/>
        <v>#DIV/0!</v>
      </c>
      <c r="W16" s="525">
        <f t="shared" si="118"/>
        <v>0</v>
      </c>
      <c r="X16" s="523"/>
      <c r="Y16" s="524" t="e">
        <f t="shared" si="6"/>
        <v>#DIV/0!</v>
      </c>
      <c r="Z16" s="525">
        <f t="shared" si="119"/>
        <v>0</v>
      </c>
      <c r="AA16" s="523"/>
      <c r="AB16" s="524" t="e">
        <f t="shared" si="7"/>
        <v>#DIV/0!</v>
      </c>
      <c r="AC16" s="525">
        <f t="shared" si="120"/>
        <v>0</v>
      </c>
      <c r="AD16" s="523"/>
      <c r="AE16" s="524" t="e">
        <f t="shared" si="8"/>
        <v>#DIV/0!</v>
      </c>
      <c r="AF16" s="525">
        <f t="shared" si="121"/>
        <v>0</v>
      </c>
      <c r="AG16" s="523"/>
      <c r="AH16" s="524" t="e">
        <f t="shared" si="9"/>
        <v>#DIV/0!</v>
      </c>
      <c r="AI16" s="525">
        <f t="shared" si="122"/>
        <v>0</v>
      </c>
      <c r="AJ16" s="523"/>
      <c r="AK16" s="524" t="e">
        <f t="shared" si="10"/>
        <v>#DIV/0!</v>
      </c>
      <c r="AL16" s="525">
        <f t="shared" si="123"/>
        <v>0</v>
      </c>
      <c r="AM16" s="523"/>
      <c r="AN16" s="524" t="e">
        <f t="shared" si="11"/>
        <v>#DIV/0!</v>
      </c>
      <c r="AO16" s="525">
        <f t="shared" si="124"/>
        <v>0</v>
      </c>
      <c r="AP16" s="523"/>
      <c r="AQ16" s="524" t="e">
        <f t="shared" si="12"/>
        <v>#DIV/0!</v>
      </c>
      <c r="AR16" s="525">
        <f t="shared" si="125"/>
        <v>0</v>
      </c>
      <c r="AS16" s="523"/>
      <c r="AT16" s="524" t="e">
        <f t="shared" si="13"/>
        <v>#DIV/0!</v>
      </c>
      <c r="AU16" s="525">
        <f t="shared" si="126"/>
        <v>0</v>
      </c>
      <c r="AV16" s="523"/>
      <c r="AW16" s="524" t="e">
        <f t="shared" si="14"/>
        <v>#DIV/0!</v>
      </c>
      <c r="AX16" s="525">
        <f t="shared" si="127"/>
        <v>0</v>
      </c>
      <c r="AY16" s="523"/>
      <c r="AZ16" s="524" t="e">
        <f t="shared" si="15"/>
        <v>#DIV/0!</v>
      </c>
      <c r="BA16" s="525">
        <f t="shared" si="128"/>
        <v>0</v>
      </c>
      <c r="BB16" s="523"/>
      <c r="BC16" s="524" t="e">
        <f t="shared" si="16"/>
        <v>#DIV/0!</v>
      </c>
      <c r="BD16" s="525">
        <f t="shared" si="129"/>
        <v>0</v>
      </c>
      <c r="BE16" s="523"/>
      <c r="BF16" s="524" t="e">
        <f t="shared" si="17"/>
        <v>#DIV/0!</v>
      </c>
      <c r="BG16" s="525">
        <f t="shared" si="130"/>
        <v>0</v>
      </c>
      <c r="BH16" s="523"/>
      <c r="BI16" s="524" t="e">
        <f t="shared" si="18"/>
        <v>#DIV/0!</v>
      </c>
      <c r="BJ16" s="525">
        <f t="shared" si="131"/>
        <v>0</v>
      </c>
      <c r="BK16" s="523"/>
      <c r="BL16" s="524" t="e">
        <f t="shared" si="19"/>
        <v>#DIV/0!</v>
      </c>
      <c r="BM16" s="525">
        <f t="shared" si="132"/>
        <v>0</v>
      </c>
      <c r="BN16" s="523"/>
      <c r="BO16" s="524" t="e">
        <f t="shared" si="20"/>
        <v>#DIV/0!</v>
      </c>
      <c r="BP16" s="525">
        <f t="shared" si="133"/>
        <v>0</v>
      </c>
      <c r="BQ16" s="523"/>
      <c r="BR16" s="524" t="e">
        <f t="shared" si="21"/>
        <v>#DIV/0!</v>
      </c>
      <c r="BS16" s="525">
        <f t="shared" si="134"/>
        <v>0</v>
      </c>
      <c r="BT16" s="523"/>
      <c r="BU16" s="524" t="e">
        <f t="shared" si="22"/>
        <v>#DIV/0!</v>
      </c>
      <c r="BV16" s="525">
        <f t="shared" si="135"/>
        <v>0</v>
      </c>
      <c r="BW16" s="523"/>
      <c r="BX16" s="524" t="e">
        <f t="shared" si="23"/>
        <v>#DIV/0!</v>
      </c>
      <c r="BY16" s="525">
        <f t="shared" si="136"/>
        <v>0</v>
      </c>
      <c r="BZ16" s="523"/>
      <c r="CA16" s="524" t="e">
        <f t="shared" si="24"/>
        <v>#DIV/0!</v>
      </c>
      <c r="CB16" s="525">
        <f t="shared" si="137"/>
        <v>0</v>
      </c>
      <c r="CC16" s="523"/>
      <c r="CD16" s="524" t="e">
        <f t="shared" si="25"/>
        <v>#DIV/0!</v>
      </c>
      <c r="CE16" s="525">
        <f t="shared" si="138"/>
        <v>0</v>
      </c>
      <c r="CF16" s="523"/>
      <c r="CG16" s="524" t="e">
        <f t="shared" si="26"/>
        <v>#DIV/0!</v>
      </c>
      <c r="CH16" s="525">
        <f t="shared" si="139"/>
        <v>0</v>
      </c>
      <c r="CI16" s="523"/>
      <c r="CJ16" s="524" t="e">
        <f t="shared" si="27"/>
        <v>#DIV/0!</v>
      </c>
      <c r="CK16" s="525">
        <f t="shared" si="140"/>
        <v>0</v>
      </c>
      <c r="CL16" s="523"/>
      <c r="CM16" s="524" t="e">
        <f t="shared" si="28"/>
        <v>#DIV/0!</v>
      </c>
      <c r="CN16" s="525">
        <f t="shared" si="141"/>
        <v>0</v>
      </c>
      <c r="CO16" s="523"/>
      <c r="CP16" s="524" t="e">
        <f t="shared" si="29"/>
        <v>#DIV/0!</v>
      </c>
      <c r="CQ16" s="525">
        <f t="shared" si="142"/>
        <v>0</v>
      </c>
      <c r="CR16" s="523"/>
      <c r="CS16" s="524" t="e">
        <f t="shared" si="30"/>
        <v>#DIV/0!</v>
      </c>
      <c r="CT16" s="525">
        <f t="shared" si="143"/>
        <v>0</v>
      </c>
      <c r="CU16" s="523"/>
      <c r="CV16" s="524" t="e">
        <f t="shared" si="31"/>
        <v>#DIV/0!</v>
      </c>
      <c r="CW16" s="525">
        <f t="shared" si="144"/>
        <v>0</v>
      </c>
      <c r="CX16" s="523"/>
      <c r="CY16" s="524" t="e">
        <f t="shared" si="32"/>
        <v>#DIV/0!</v>
      </c>
      <c r="CZ16" s="525">
        <f t="shared" si="145"/>
        <v>0</v>
      </c>
      <c r="DA16" s="523"/>
      <c r="DB16" s="524" t="e">
        <f t="shared" si="33"/>
        <v>#DIV/0!</v>
      </c>
      <c r="DC16" s="525">
        <f t="shared" si="146"/>
        <v>0</v>
      </c>
      <c r="DD16" s="523"/>
      <c r="DE16" s="524" t="e">
        <f t="shared" si="34"/>
        <v>#DIV/0!</v>
      </c>
      <c r="DF16" s="525">
        <f t="shared" si="147"/>
        <v>0</v>
      </c>
      <c r="DG16" s="523"/>
      <c r="DH16" s="524" t="e">
        <f t="shared" si="35"/>
        <v>#DIV/0!</v>
      </c>
      <c r="DI16" s="525">
        <f t="shared" si="203"/>
        <v>0</v>
      </c>
      <c r="DJ16" s="523"/>
      <c r="DK16" s="524" t="e">
        <f t="shared" si="36"/>
        <v>#DIV/0!</v>
      </c>
      <c r="DL16" s="525">
        <f t="shared" si="148"/>
        <v>0</v>
      </c>
      <c r="DM16" s="523"/>
      <c r="DN16" s="524" t="e">
        <f t="shared" si="37"/>
        <v>#DIV/0!</v>
      </c>
      <c r="DO16" s="525">
        <f t="shared" si="149"/>
        <v>0</v>
      </c>
      <c r="DP16" s="523"/>
      <c r="DQ16" s="524" t="e">
        <f t="shared" si="38"/>
        <v>#DIV/0!</v>
      </c>
      <c r="DR16" s="525">
        <f t="shared" si="150"/>
        <v>0</v>
      </c>
      <c r="DS16" s="523"/>
      <c r="DT16" s="524" t="e">
        <f t="shared" si="39"/>
        <v>#DIV/0!</v>
      </c>
      <c r="DU16" s="525">
        <f t="shared" si="151"/>
        <v>0</v>
      </c>
      <c r="DV16" s="523"/>
      <c r="DW16" s="524" t="e">
        <f t="shared" si="40"/>
        <v>#DIV/0!</v>
      </c>
      <c r="DX16" s="525">
        <f t="shared" si="152"/>
        <v>0</v>
      </c>
      <c r="DY16" s="523"/>
      <c r="DZ16" s="524" t="e">
        <f t="shared" si="41"/>
        <v>#DIV/0!</v>
      </c>
      <c r="EA16" s="525">
        <f t="shared" si="153"/>
        <v>0</v>
      </c>
      <c r="EB16" s="523"/>
      <c r="EC16" s="524" t="e">
        <f t="shared" si="42"/>
        <v>#DIV/0!</v>
      </c>
      <c r="ED16" s="525">
        <f t="shared" si="154"/>
        <v>0</v>
      </c>
      <c r="EE16" s="523"/>
      <c r="EF16" s="524" t="e">
        <f t="shared" si="43"/>
        <v>#DIV/0!</v>
      </c>
      <c r="EG16" s="525">
        <f t="shared" si="155"/>
        <v>0</v>
      </c>
      <c r="EH16" s="523"/>
      <c r="EI16" s="524" t="e">
        <f t="shared" si="44"/>
        <v>#DIV/0!</v>
      </c>
      <c r="EJ16" s="525">
        <f t="shared" si="156"/>
        <v>0</v>
      </c>
      <c r="EK16" s="523"/>
      <c r="EL16" s="524" t="e">
        <f t="shared" si="45"/>
        <v>#DIV/0!</v>
      </c>
      <c r="EM16" s="525">
        <f t="shared" si="157"/>
        <v>0</v>
      </c>
      <c r="EN16" s="523"/>
      <c r="EO16" s="524" t="e">
        <f t="shared" si="46"/>
        <v>#DIV/0!</v>
      </c>
      <c r="EP16" s="525">
        <f t="shared" si="158"/>
        <v>0</v>
      </c>
      <c r="EQ16" s="523"/>
      <c r="ER16" s="524" t="e">
        <f t="shared" si="47"/>
        <v>#DIV/0!</v>
      </c>
      <c r="ES16" s="525">
        <f t="shared" si="159"/>
        <v>0</v>
      </c>
      <c r="ET16" s="523"/>
      <c r="EU16" s="524" t="e">
        <f t="shared" si="48"/>
        <v>#DIV/0!</v>
      </c>
      <c r="EV16" s="525">
        <f t="shared" si="160"/>
        <v>0</v>
      </c>
      <c r="EW16" s="523"/>
      <c r="EX16" s="524" t="e">
        <f t="shared" si="49"/>
        <v>#DIV/0!</v>
      </c>
      <c r="EY16" s="525">
        <f t="shared" si="161"/>
        <v>0</v>
      </c>
      <c r="EZ16" s="523"/>
      <c r="FA16" s="524" t="e">
        <f t="shared" si="50"/>
        <v>#DIV/0!</v>
      </c>
      <c r="FB16" s="525">
        <f t="shared" si="162"/>
        <v>0</v>
      </c>
      <c r="FC16" s="523"/>
      <c r="FD16" s="524" t="e">
        <f t="shared" si="51"/>
        <v>#DIV/0!</v>
      </c>
      <c r="FE16" s="525">
        <f t="shared" si="163"/>
        <v>0</v>
      </c>
      <c r="FF16" s="523"/>
      <c r="FG16" s="524" t="e">
        <f t="shared" si="52"/>
        <v>#DIV/0!</v>
      </c>
      <c r="FH16" s="525">
        <f t="shared" si="164"/>
        <v>0</v>
      </c>
      <c r="FI16" s="523"/>
      <c r="FJ16" s="524" t="e">
        <f t="shared" si="53"/>
        <v>#DIV/0!</v>
      </c>
      <c r="FK16" s="525">
        <f t="shared" si="165"/>
        <v>0</v>
      </c>
      <c r="FL16" s="523"/>
      <c r="FM16" s="524" t="e">
        <f t="shared" si="54"/>
        <v>#DIV/0!</v>
      </c>
      <c r="FN16" s="525">
        <f t="shared" si="166"/>
        <v>0</v>
      </c>
      <c r="FO16" s="523"/>
      <c r="FP16" s="524" t="e">
        <f t="shared" si="55"/>
        <v>#DIV/0!</v>
      </c>
      <c r="FQ16" s="525">
        <f t="shared" si="167"/>
        <v>0</v>
      </c>
      <c r="FR16" s="523"/>
      <c r="FS16" s="524" t="e">
        <f t="shared" si="56"/>
        <v>#DIV/0!</v>
      </c>
      <c r="FT16" s="525">
        <f t="shared" si="168"/>
        <v>0</v>
      </c>
      <c r="FU16" s="523"/>
      <c r="FV16" s="524" t="e">
        <f t="shared" si="57"/>
        <v>#DIV/0!</v>
      </c>
      <c r="FW16" s="525">
        <f t="shared" si="169"/>
        <v>0</v>
      </c>
      <c r="FX16" s="523"/>
      <c r="FY16" s="524" t="e">
        <f t="shared" si="58"/>
        <v>#DIV/0!</v>
      </c>
      <c r="FZ16" s="525">
        <f t="shared" si="170"/>
        <v>0</v>
      </c>
      <c r="GA16" s="523"/>
      <c r="GB16" s="524" t="e">
        <f t="shared" si="59"/>
        <v>#DIV/0!</v>
      </c>
      <c r="GC16" s="525">
        <f t="shared" si="171"/>
        <v>0</v>
      </c>
      <c r="GD16" s="523"/>
      <c r="GE16" s="524" t="e">
        <f t="shared" si="60"/>
        <v>#DIV/0!</v>
      </c>
      <c r="GF16" s="525">
        <f t="shared" si="172"/>
        <v>0</v>
      </c>
      <c r="GG16" s="523"/>
      <c r="GH16" s="524" t="e">
        <f t="shared" si="61"/>
        <v>#DIV/0!</v>
      </c>
      <c r="GI16" s="525">
        <f t="shared" si="173"/>
        <v>0</v>
      </c>
      <c r="GJ16" s="523"/>
      <c r="GK16" s="524" t="e">
        <f t="shared" si="62"/>
        <v>#DIV/0!</v>
      </c>
      <c r="GL16" s="525">
        <f t="shared" si="174"/>
        <v>0</v>
      </c>
      <c r="GM16" s="523"/>
      <c r="GN16" s="524" t="e">
        <f t="shared" si="63"/>
        <v>#DIV/0!</v>
      </c>
      <c r="GO16" s="525">
        <f t="shared" si="175"/>
        <v>0</v>
      </c>
      <c r="GP16" s="523"/>
      <c r="GQ16" s="524" t="e">
        <f t="shared" si="64"/>
        <v>#DIV/0!</v>
      </c>
      <c r="GR16" s="525">
        <f t="shared" si="176"/>
        <v>0</v>
      </c>
      <c r="GS16" s="523"/>
      <c r="GT16" s="524" t="e">
        <f t="shared" si="65"/>
        <v>#DIV/0!</v>
      </c>
      <c r="GU16" s="525">
        <f t="shared" si="177"/>
        <v>0</v>
      </c>
      <c r="GV16" s="523"/>
      <c r="GW16" s="524" t="e">
        <f t="shared" si="66"/>
        <v>#DIV/0!</v>
      </c>
      <c r="GX16" s="525">
        <f t="shared" si="178"/>
        <v>0</v>
      </c>
      <c r="GY16" s="523"/>
      <c r="GZ16" s="524" t="e">
        <f t="shared" si="67"/>
        <v>#DIV/0!</v>
      </c>
      <c r="HA16" s="525">
        <f t="shared" si="179"/>
        <v>0</v>
      </c>
      <c r="HB16" s="523"/>
      <c r="HC16" s="524" t="e">
        <f t="shared" si="68"/>
        <v>#DIV/0!</v>
      </c>
      <c r="HD16" s="525">
        <f t="shared" si="180"/>
        <v>0</v>
      </c>
      <c r="HE16" s="523"/>
      <c r="HF16" s="524" t="e">
        <f t="shared" si="69"/>
        <v>#DIV/0!</v>
      </c>
      <c r="HG16" s="525">
        <f t="shared" si="181"/>
        <v>0</v>
      </c>
      <c r="HH16" s="523"/>
      <c r="HI16" s="524" t="e">
        <f t="shared" si="70"/>
        <v>#DIV/0!</v>
      </c>
      <c r="HJ16" s="525">
        <f t="shared" si="182"/>
        <v>0</v>
      </c>
      <c r="HK16" s="523"/>
      <c r="HL16" s="524" t="e">
        <f t="shared" si="71"/>
        <v>#DIV/0!</v>
      </c>
      <c r="HM16" s="525">
        <f t="shared" si="183"/>
        <v>0</v>
      </c>
      <c r="HN16" s="523"/>
      <c r="HO16" s="524" t="e">
        <f t="shared" si="72"/>
        <v>#DIV/0!</v>
      </c>
      <c r="HP16" s="525">
        <f t="shared" si="184"/>
        <v>0</v>
      </c>
      <c r="HQ16" s="523"/>
      <c r="HR16" s="524" t="e">
        <f t="shared" si="73"/>
        <v>#DIV/0!</v>
      </c>
      <c r="HS16" s="525">
        <f t="shared" si="185"/>
        <v>0</v>
      </c>
      <c r="HT16" s="523"/>
      <c r="HU16" s="524" t="e">
        <f t="shared" si="74"/>
        <v>#DIV/0!</v>
      </c>
      <c r="HV16" s="525">
        <f t="shared" si="186"/>
        <v>0</v>
      </c>
      <c r="HW16" s="523"/>
      <c r="HX16" s="524" t="e">
        <f t="shared" si="75"/>
        <v>#DIV/0!</v>
      </c>
      <c r="HY16" s="525">
        <f t="shared" si="187"/>
        <v>0</v>
      </c>
      <c r="HZ16" s="523"/>
      <c r="IA16" s="524" t="e">
        <f t="shared" si="76"/>
        <v>#DIV/0!</v>
      </c>
      <c r="IB16" s="525">
        <f t="shared" si="188"/>
        <v>0</v>
      </c>
      <c r="IC16" s="523"/>
      <c r="ID16" s="524" t="e">
        <f t="shared" si="77"/>
        <v>#DIV/0!</v>
      </c>
      <c r="IE16" s="525">
        <f t="shared" si="189"/>
        <v>0</v>
      </c>
      <c r="IF16" s="523"/>
      <c r="IG16" s="524" t="e">
        <f t="shared" si="78"/>
        <v>#DIV/0!</v>
      </c>
      <c r="IH16" s="525">
        <f t="shared" si="190"/>
        <v>0</v>
      </c>
      <c r="II16" s="523"/>
      <c r="IJ16" s="524" t="e">
        <f t="shared" si="79"/>
        <v>#DIV/0!</v>
      </c>
      <c r="IK16" s="525">
        <f t="shared" si="191"/>
        <v>0</v>
      </c>
      <c r="IL16" s="523"/>
      <c r="IM16" s="524" t="e">
        <f t="shared" si="80"/>
        <v>#DIV/0!</v>
      </c>
      <c r="IN16" s="525">
        <f t="shared" si="192"/>
        <v>0</v>
      </c>
      <c r="IO16" s="523"/>
      <c r="IP16" s="524" t="e">
        <f t="shared" si="81"/>
        <v>#DIV/0!</v>
      </c>
      <c r="IQ16" s="525">
        <f t="shared" si="193"/>
        <v>0</v>
      </c>
      <c r="IR16" s="523"/>
      <c r="IS16" s="524" t="e">
        <f t="shared" si="82"/>
        <v>#DIV/0!</v>
      </c>
      <c r="IT16" s="525">
        <f t="shared" si="194"/>
        <v>0</v>
      </c>
      <c r="IU16" s="523"/>
      <c r="IV16" s="524" t="e">
        <f t="shared" si="83"/>
        <v>#DIV/0!</v>
      </c>
      <c r="IW16" s="525">
        <f t="shared" si="195"/>
        <v>0</v>
      </c>
      <c r="IX16" s="523"/>
      <c r="IY16" s="524" t="e">
        <f t="shared" si="84"/>
        <v>#DIV/0!</v>
      </c>
      <c r="IZ16" s="525">
        <f t="shared" si="196"/>
        <v>0</v>
      </c>
      <c r="JA16" s="523"/>
      <c r="JB16" s="524" t="e">
        <f t="shared" si="85"/>
        <v>#DIV/0!</v>
      </c>
      <c r="JC16" s="525">
        <f t="shared" si="197"/>
        <v>0</v>
      </c>
      <c r="JD16" s="523"/>
      <c r="JE16" s="524" t="e">
        <f t="shared" si="86"/>
        <v>#DIV/0!</v>
      </c>
      <c r="JF16" s="525">
        <f t="shared" si="198"/>
        <v>0</v>
      </c>
      <c r="JG16" s="523"/>
      <c r="JH16" s="524" t="e">
        <f t="shared" si="87"/>
        <v>#DIV/0!</v>
      </c>
      <c r="JI16" s="525">
        <f t="shared" si="199"/>
        <v>0</v>
      </c>
      <c r="JJ16" s="523"/>
      <c r="JK16" s="525" t="str">
        <f t="shared" si="88"/>
        <v>0</v>
      </c>
      <c r="JL16" s="525" t="str">
        <f t="shared" si="89"/>
        <v>0</v>
      </c>
      <c r="JM16" s="523"/>
      <c r="JN16" s="525" t="str">
        <f t="shared" si="90"/>
        <v>0</v>
      </c>
      <c r="JO16" s="525" t="str">
        <f t="shared" si="91"/>
        <v>0</v>
      </c>
      <c r="JP16" s="523"/>
      <c r="JQ16" s="525" t="str">
        <f t="shared" si="92"/>
        <v>0</v>
      </c>
      <c r="JR16" s="525" t="str">
        <f t="shared" si="93"/>
        <v>0</v>
      </c>
      <c r="JS16" s="523"/>
      <c r="JT16" s="525" t="str">
        <f t="shared" si="94"/>
        <v>0</v>
      </c>
      <c r="JU16" s="525" t="str">
        <f t="shared" si="95"/>
        <v>0</v>
      </c>
      <c r="JV16" s="523"/>
      <c r="JW16" s="525" t="str">
        <f t="shared" si="96"/>
        <v>0</v>
      </c>
      <c r="JX16" s="525" t="str">
        <f t="shared" si="97"/>
        <v>0</v>
      </c>
      <c r="JY16" s="523"/>
      <c r="JZ16" s="525" t="str">
        <f t="shared" si="98"/>
        <v>0</v>
      </c>
      <c r="KA16" s="525" t="str">
        <f t="shared" si="99"/>
        <v>0</v>
      </c>
      <c r="KB16" s="523"/>
      <c r="KC16" s="525" t="str">
        <f t="shared" si="100"/>
        <v>0</v>
      </c>
      <c r="KD16" s="525" t="str">
        <f t="shared" si="101"/>
        <v>0</v>
      </c>
      <c r="KE16" s="523"/>
      <c r="KF16" s="525" t="str">
        <f t="shared" si="102"/>
        <v>0</v>
      </c>
      <c r="KG16" s="525" t="str">
        <f t="shared" si="103"/>
        <v>0</v>
      </c>
      <c r="KH16" s="523"/>
      <c r="KI16" s="525" t="str">
        <f t="shared" si="104"/>
        <v>0</v>
      </c>
      <c r="KJ16" s="525" t="str">
        <f t="shared" si="105"/>
        <v>0</v>
      </c>
      <c r="KK16" s="523"/>
      <c r="KL16" s="525" t="str">
        <f t="shared" si="106"/>
        <v>0</v>
      </c>
      <c r="KM16" s="525" t="str">
        <f t="shared" si="107"/>
        <v>0</v>
      </c>
      <c r="KN16" s="523"/>
      <c r="KO16" s="525" t="str">
        <f t="shared" si="108"/>
        <v>0</v>
      </c>
      <c r="KP16" s="525" t="str">
        <f t="shared" si="109"/>
        <v>0</v>
      </c>
      <c r="KQ16" s="523"/>
      <c r="KR16" s="525" t="str">
        <f t="shared" si="110"/>
        <v>0</v>
      </c>
      <c r="KS16" s="525" t="str">
        <f t="shared" si="111"/>
        <v>0</v>
      </c>
      <c r="KT16" s="525">
        <f t="shared" si="201"/>
        <v>0</v>
      </c>
      <c r="KU16" s="525">
        <f t="shared" si="202"/>
        <v>0</v>
      </c>
      <c r="KV16" s="261">
        <f t="shared" si="112"/>
        <v>0</v>
      </c>
    </row>
    <row r="17" spans="1:308">
      <c r="A17" s="262">
        <f t="shared" si="200"/>
        <v>45970</v>
      </c>
      <c r="B17" s="263" t="str">
        <f>+Report1!B17</f>
        <v>STOP</v>
      </c>
      <c r="C17" s="263" t="str">
        <f>+Report1!C17</f>
        <v>12</v>
      </c>
      <c r="D17" s="264">
        <f>+Report1!P17</f>
        <v>0</v>
      </c>
      <c r="E17" s="562">
        <f>+Report1!R17</f>
        <v>0</v>
      </c>
      <c r="F17" s="523"/>
      <c r="G17" s="524" t="e">
        <f t="shared" si="0"/>
        <v>#DIV/0!</v>
      </c>
      <c r="H17" s="525">
        <f t="shared" si="113"/>
        <v>0</v>
      </c>
      <c r="I17" s="523"/>
      <c r="J17" s="524" t="e">
        <f t="shared" si="1"/>
        <v>#DIV/0!</v>
      </c>
      <c r="K17" s="525">
        <f t="shared" si="114"/>
        <v>0</v>
      </c>
      <c r="L17" s="523"/>
      <c r="M17" s="524" t="e">
        <f t="shared" si="2"/>
        <v>#DIV/0!</v>
      </c>
      <c r="N17" s="525">
        <f t="shared" si="115"/>
        <v>0</v>
      </c>
      <c r="O17" s="523"/>
      <c r="P17" s="524" t="e">
        <f t="shared" si="3"/>
        <v>#DIV/0!</v>
      </c>
      <c r="Q17" s="525">
        <f t="shared" si="116"/>
        <v>0</v>
      </c>
      <c r="R17" s="523"/>
      <c r="S17" s="524" t="e">
        <f t="shared" si="4"/>
        <v>#DIV/0!</v>
      </c>
      <c r="T17" s="525">
        <f t="shared" si="117"/>
        <v>0</v>
      </c>
      <c r="U17" s="523"/>
      <c r="V17" s="524" t="e">
        <f t="shared" si="5"/>
        <v>#DIV/0!</v>
      </c>
      <c r="W17" s="525">
        <f t="shared" si="118"/>
        <v>0</v>
      </c>
      <c r="X17" s="523"/>
      <c r="Y17" s="524" t="e">
        <f t="shared" si="6"/>
        <v>#DIV/0!</v>
      </c>
      <c r="Z17" s="525">
        <f t="shared" si="119"/>
        <v>0</v>
      </c>
      <c r="AA17" s="523"/>
      <c r="AB17" s="524" t="e">
        <f t="shared" si="7"/>
        <v>#DIV/0!</v>
      </c>
      <c r="AC17" s="525">
        <f t="shared" si="120"/>
        <v>0</v>
      </c>
      <c r="AD17" s="523"/>
      <c r="AE17" s="524" t="e">
        <f t="shared" si="8"/>
        <v>#DIV/0!</v>
      </c>
      <c r="AF17" s="525">
        <f t="shared" si="121"/>
        <v>0</v>
      </c>
      <c r="AG17" s="523"/>
      <c r="AH17" s="524" t="e">
        <f t="shared" si="9"/>
        <v>#DIV/0!</v>
      </c>
      <c r="AI17" s="525">
        <f t="shared" si="122"/>
        <v>0</v>
      </c>
      <c r="AJ17" s="523"/>
      <c r="AK17" s="524" t="e">
        <f t="shared" si="10"/>
        <v>#DIV/0!</v>
      </c>
      <c r="AL17" s="525">
        <f t="shared" si="123"/>
        <v>0</v>
      </c>
      <c r="AM17" s="523"/>
      <c r="AN17" s="524" t="e">
        <f t="shared" si="11"/>
        <v>#DIV/0!</v>
      </c>
      <c r="AO17" s="525">
        <f t="shared" si="124"/>
        <v>0</v>
      </c>
      <c r="AP17" s="523"/>
      <c r="AQ17" s="524" t="e">
        <f t="shared" si="12"/>
        <v>#DIV/0!</v>
      </c>
      <c r="AR17" s="525">
        <f t="shared" si="125"/>
        <v>0</v>
      </c>
      <c r="AS17" s="523"/>
      <c r="AT17" s="524" t="e">
        <f t="shared" si="13"/>
        <v>#DIV/0!</v>
      </c>
      <c r="AU17" s="525">
        <f t="shared" si="126"/>
        <v>0</v>
      </c>
      <c r="AV17" s="523"/>
      <c r="AW17" s="524" t="e">
        <f t="shared" si="14"/>
        <v>#DIV/0!</v>
      </c>
      <c r="AX17" s="525">
        <f t="shared" si="127"/>
        <v>0</v>
      </c>
      <c r="AY17" s="523"/>
      <c r="AZ17" s="524" t="e">
        <f t="shared" si="15"/>
        <v>#DIV/0!</v>
      </c>
      <c r="BA17" s="525">
        <f t="shared" si="128"/>
        <v>0</v>
      </c>
      <c r="BB17" s="523"/>
      <c r="BC17" s="524" t="e">
        <f t="shared" si="16"/>
        <v>#DIV/0!</v>
      </c>
      <c r="BD17" s="525">
        <f t="shared" si="129"/>
        <v>0</v>
      </c>
      <c r="BE17" s="523"/>
      <c r="BF17" s="524" t="e">
        <f t="shared" si="17"/>
        <v>#DIV/0!</v>
      </c>
      <c r="BG17" s="525">
        <f t="shared" si="130"/>
        <v>0</v>
      </c>
      <c r="BH17" s="523"/>
      <c r="BI17" s="524" t="e">
        <f t="shared" si="18"/>
        <v>#DIV/0!</v>
      </c>
      <c r="BJ17" s="525">
        <f t="shared" si="131"/>
        <v>0</v>
      </c>
      <c r="BK17" s="523"/>
      <c r="BL17" s="524" t="e">
        <f t="shared" si="19"/>
        <v>#DIV/0!</v>
      </c>
      <c r="BM17" s="525">
        <f t="shared" si="132"/>
        <v>0</v>
      </c>
      <c r="BN17" s="523"/>
      <c r="BO17" s="524" t="e">
        <f t="shared" si="20"/>
        <v>#DIV/0!</v>
      </c>
      <c r="BP17" s="525">
        <f t="shared" si="133"/>
        <v>0</v>
      </c>
      <c r="BQ17" s="523"/>
      <c r="BR17" s="524" t="e">
        <f t="shared" si="21"/>
        <v>#DIV/0!</v>
      </c>
      <c r="BS17" s="525">
        <f t="shared" si="134"/>
        <v>0</v>
      </c>
      <c r="BT17" s="523"/>
      <c r="BU17" s="524" t="e">
        <f t="shared" si="22"/>
        <v>#DIV/0!</v>
      </c>
      <c r="BV17" s="525">
        <f t="shared" si="135"/>
        <v>0</v>
      </c>
      <c r="BW17" s="523"/>
      <c r="BX17" s="524" t="e">
        <f t="shared" si="23"/>
        <v>#DIV/0!</v>
      </c>
      <c r="BY17" s="525">
        <f t="shared" si="136"/>
        <v>0</v>
      </c>
      <c r="BZ17" s="523"/>
      <c r="CA17" s="524" t="e">
        <f t="shared" si="24"/>
        <v>#DIV/0!</v>
      </c>
      <c r="CB17" s="525">
        <f t="shared" si="137"/>
        <v>0</v>
      </c>
      <c r="CC17" s="523"/>
      <c r="CD17" s="524" t="e">
        <f t="shared" si="25"/>
        <v>#DIV/0!</v>
      </c>
      <c r="CE17" s="525">
        <f t="shared" si="138"/>
        <v>0</v>
      </c>
      <c r="CF17" s="523"/>
      <c r="CG17" s="524" t="e">
        <f t="shared" si="26"/>
        <v>#DIV/0!</v>
      </c>
      <c r="CH17" s="525">
        <f t="shared" si="139"/>
        <v>0</v>
      </c>
      <c r="CI17" s="523"/>
      <c r="CJ17" s="524" t="e">
        <f t="shared" si="27"/>
        <v>#DIV/0!</v>
      </c>
      <c r="CK17" s="525">
        <f t="shared" si="140"/>
        <v>0</v>
      </c>
      <c r="CL17" s="523"/>
      <c r="CM17" s="524" t="e">
        <f t="shared" si="28"/>
        <v>#DIV/0!</v>
      </c>
      <c r="CN17" s="525">
        <f t="shared" si="141"/>
        <v>0</v>
      </c>
      <c r="CO17" s="523"/>
      <c r="CP17" s="524" t="e">
        <f t="shared" si="29"/>
        <v>#DIV/0!</v>
      </c>
      <c r="CQ17" s="525">
        <f t="shared" si="142"/>
        <v>0</v>
      </c>
      <c r="CR17" s="523"/>
      <c r="CS17" s="524" t="e">
        <f t="shared" si="30"/>
        <v>#DIV/0!</v>
      </c>
      <c r="CT17" s="525">
        <f t="shared" si="143"/>
        <v>0</v>
      </c>
      <c r="CU17" s="523"/>
      <c r="CV17" s="524" t="e">
        <f t="shared" si="31"/>
        <v>#DIV/0!</v>
      </c>
      <c r="CW17" s="525">
        <f t="shared" si="144"/>
        <v>0</v>
      </c>
      <c r="CX17" s="523"/>
      <c r="CY17" s="524" t="e">
        <f t="shared" si="32"/>
        <v>#DIV/0!</v>
      </c>
      <c r="CZ17" s="525">
        <f t="shared" si="145"/>
        <v>0</v>
      </c>
      <c r="DA17" s="523"/>
      <c r="DB17" s="524" t="e">
        <f t="shared" si="33"/>
        <v>#DIV/0!</v>
      </c>
      <c r="DC17" s="525">
        <f t="shared" si="146"/>
        <v>0</v>
      </c>
      <c r="DD17" s="523"/>
      <c r="DE17" s="524" t="e">
        <f t="shared" si="34"/>
        <v>#DIV/0!</v>
      </c>
      <c r="DF17" s="525">
        <f t="shared" si="147"/>
        <v>0</v>
      </c>
      <c r="DG17" s="523"/>
      <c r="DH17" s="524" t="e">
        <f t="shared" si="35"/>
        <v>#DIV/0!</v>
      </c>
      <c r="DI17" s="525">
        <f t="shared" si="203"/>
        <v>0</v>
      </c>
      <c r="DJ17" s="523"/>
      <c r="DK17" s="524" t="e">
        <f t="shared" si="36"/>
        <v>#DIV/0!</v>
      </c>
      <c r="DL17" s="525">
        <f t="shared" si="148"/>
        <v>0</v>
      </c>
      <c r="DM17" s="523"/>
      <c r="DN17" s="524" t="e">
        <f t="shared" si="37"/>
        <v>#DIV/0!</v>
      </c>
      <c r="DO17" s="525">
        <f t="shared" si="149"/>
        <v>0</v>
      </c>
      <c r="DP17" s="523"/>
      <c r="DQ17" s="524" t="e">
        <f t="shared" si="38"/>
        <v>#DIV/0!</v>
      </c>
      <c r="DR17" s="525">
        <f t="shared" si="150"/>
        <v>0</v>
      </c>
      <c r="DS17" s="523"/>
      <c r="DT17" s="524" t="e">
        <f t="shared" si="39"/>
        <v>#DIV/0!</v>
      </c>
      <c r="DU17" s="525">
        <f t="shared" si="151"/>
        <v>0</v>
      </c>
      <c r="DV17" s="523"/>
      <c r="DW17" s="524" t="e">
        <f t="shared" si="40"/>
        <v>#DIV/0!</v>
      </c>
      <c r="DX17" s="525">
        <f t="shared" si="152"/>
        <v>0</v>
      </c>
      <c r="DY17" s="523"/>
      <c r="DZ17" s="524" t="e">
        <f t="shared" si="41"/>
        <v>#DIV/0!</v>
      </c>
      <c r="EA17" s="525">
        <f t="shared" si="153"/>
        <v>0</v>
      </c>
      <c r="EB17" s="523"/>
      <c r="EC17" s="524" t="e">
        <f t="shared" si="42"/>
        <v>#DIV/0!</v>
      </c>
      <c r="ED17" s="525">
        <f t="shared" si="154"/>
        <v>0</v>
      </c>
      <c r="EE17" s="523"/>
      <c r="EF17" s="524" t="e">
        <f t="shared" si="43"/>
        <v>#DIV/0!</v>
      </c>
      <c r="EG17" s="525">
        <f t="shared" si="155"/>
        <v>0</v>
      </c>
      <c r="EH17" s="523"/>
      <c r="EI17" s="524" t="e">
        <f t="shared" si="44"/>
        <v>#DIV/0!</v>
      </c>
      <c r="EJ17" s="525">
        <f t="shared" si="156"/>
        <v>0</v>
      </c>
      <c r="EK17" s="523"/>
      <c r="EL17" s="524" t="e">
        <f t="shared" si="45"/>
        <v>#DIV/0!</v>
      </c>
      <c r="EM17" s="525">
        <f t="shared" si="157"/>
        <v>0</v>
      </c>
      <c r="EN17" s="523"/>
      <c r="EO17" s="524" t="e">
        <f t="shared" si="46"/>
        <v>#DIV/0!</v>
      </c>
      <c r="EP17" s="525">
        <f t="shared" si="158"/>
        <v>0</v>
      </c>
      <c r="EQ17" s="523"/>
      <c r="ER17" s="524" t="e">
        <f t="shared" si="47"/>
        <v>#DIV/0!</v>
      </c>
      <c r="ES17" s="525">
        <f t="shared" si="159"/>
        <v>0</v>
      </c>
      <c r="ET17" s="523"/>
      <c r="EU17" s="524" t="e">
        <f t="shared" si="48"/>
        <v>#DIV/0!</v>
      </c>
      <c r="EV17" s="525">
        <f t="shared" si="160"/>
        <v>0</v>
      </c>
      <c r="EW17" s="523"/>
      <c r="EX17" s="524" t="e">
        <f t="shared" si="49"/>
        <v>#DIV/0!</v>
      </c>
      <c r="EY17" s="525">
        <f t="shared" si="161"/>
        <v>0</v>
      </c>
      <c r="EZ17" s="523"/>
      <c r="FA17" s="524" t="e">
        <f t="shared" si="50"/>
        <v>#DIV/0!</v>
      </c>
      <c r="FB17" s="525">
        <f t="shared" si="162"/>
        <v>0</v>
      </c>
      <c r="FC17" s="523"/>
      <c r="FD17" s="524" t="e">
        <f t="shared" si="51"/>
        <v>#DIV/0!</v>
      </c>
      <c r="FE17" s="525">
        <f t="shared" si="163"/>
        <v>0</v>
      </c>
      <c r="FF17" s="523"/>
      <c r="FG17" s="524" t="e">
        <f t="shared" si="52"/>
        <v>#DIV/0!</v>
      </c>
      <c r="FH17" s="525">
        <f t="shared" si="164"/>
        <v>0</v>
      </c>
      <c r="FI17" s="523"/>
      <c r="FJ17" s="524" t="e">
        <f t="shared" si="53"/>
        <v>#DIV/0!</v>
      </c>
      <c r="FK17" s="525">
        <f t="shared" si="165"/>
        <v>0</v>
      </c>
      <c r="FL17" s="523"/>
      <c r="FM17" s="524" t="e">
        <f t="shared" si="54"/>
        <v>#DIV/0!</v>
      </c>
      <c r="FN17" s="525">
        <f t="shared" si="166"/>
        <v>0</v>
      </c>
      <c r="FO17" s="523"/>
      <c r="FP17" s="524" t="e">
        <f t="shared" si="55"/>
        <v>#DIV/0!</v>
      </c>
      <c r="FQ17" s="525">
        <f t="shared" si="167"/>
        <v>0</v>
      </c>
      <c r="FR17" s="523"/>
      <c r="FS17" s="524" t="e">
        <f t="shared" si="56"/>
        <v>#DIV/0!</v>
      </c>
      <c r="FT17" s="525">
        <f t="shared" si="168"/>
        <v>0</v>
      </c>
      <c r="FU17" s="523"/>
      <c r="FV17" s="524" t="e">
        <f t="shared" si="57"/>
        <v>#DIV/0!</v>
      </c>
      <c r="FW17" s="525">
        <f t="shared" si="169"/>
        <v>0</v>
      </c>
      <c r="FX17" s="523"/>
      <c r="FY17" s="524" t="e">
        <f t="shared" si="58"/>
        <v>#DIV/0!</v>
      </c>
      <c r="FZ17" s="525">
        <f t="shared" si="170"/>
        <v>0</v>
      </c>
      <c r="GA17" s="523"/>
      <c r="GB17" s="524" t="e">
        <f t="shared" si="59"/>
        <v>#DIV/0!</v>
      </c>
      <c r="GC17" s="525">
        <f t="shared" si="171"/>
        <v>0</v>
      </c>
      <c r="GD17" s="523"/>
      <c r="GE17" s="524" t="e">
        <f t="shared" si="60"/>
        <v>#DIV/0!</v>
      </c>
      <c r="GF17" s="525">
        <f t="shared" si="172"/>
        <v>0</v>
      </c>
      <c r="GG17" s="523"/>
      <c r="GH17" s="524" t="e">
        <f t="shared" si="61"/>
        <v>#DIV/0!</v>
      </c>
      <c r="GI17" s="525">
        <f t="shared" si="173"/>
        <v>0</v>
      </c>
      <c r="GJ17" s="523"/>
      <c r="GK17" s="524" t="e">
        <f t="shared" si="62"/>
        <v>#DIV/0!</v>
      </c>
      <c r="GL17" s="525">
        <f t="shared" si="174"/>
        <v>0</v>
      </c>
      <c r="GM17" s="523"/>
      <c r="GN17" s="524" t="e">
        <f t="shared" si="63"/>
        <v>#DIV/0!</v>
      </c>
      <c r="GO17" s="525">
        <f t="shared" si="175"/>
        <v>0</v>
      </c>
      <c r="GP17" s="523"/>
      <c r="GQ17" s="524" t="e">
        <f t="shared" si="64"/>
        <v>#DIV/0!</v>
      </c>
      <c r="GR17" s="525">
        <f t="shared" si="176"/>
        <v>0</v>
      </c>
      <c r="GS17" s="523"/>
      <c r="GT17" s="524" t="e">
        <f t="shared" si="65"/>
        <v>#DIV/0!</v>
      </c>
      <c r="GU17" s="525">
        <f t="shared" si="177"/>
        <v>0</v>
      </c>
      <c r="GV17" s="523"/>
      <c r="GW17" s="524" t="e">
        <f t="shared" si="66"/>
        <v>#DIV/0!</v>
      </c>
      <c r="GX17" s="525">
        <f t="shared" si="178"/>
        <v>0</v>
      </c>
      <c r="GY17" s="523"/>
      <c r="GZ17" s="524" t="e">
        <f t="shared" si="67"/>
        <v>#DIV/0!</v>
      </c>
      <c r="HA17" s="525">
        <f t="shared" si="179"/>
        <v>0</v>
      </c>
      <c r="HB17" s="523"/>
      <c r="HC17" s="524" t="e">
        <f t="shared" si="68"/>
        <v>#DIV/0!</v>
      </c>
      <c r="HD17" s="525">
        <f t="shared" si="180"/>
        <v>0</v>
      </c>
      <c r="HE17" s="523"/>
      <c r="HF17" s="524" t="e">
        <f t="shared" si="69"/>
        <v>#DIV/0!</v>
      </c>
      <c r="HG17" s="525">
        <f t="shared" si="181"/>
        <v>0</v>
      </c>
      <c r="HH17" s="523"/>
      <c r="HI17" s="524" t="e">
        <f t="shared" si="70"/>
        <v>#DIV/0!</v>
      </c>
      <c r="HJ17" s="525">
        <f t="shared" si="182"/>
        <v>0</v>
      </c>
      <c r="HK17" s="523"/>
      <c r="HL17" s="524" t="e">
        <f t="shared" si="71"/>
        <v>#DIV/0!</v>
      </c>
      <c r="HM17" s="525">
        <f t="shared" si="183"/>
        <v>0</v>
      </c>
      <c r="HN17" s="523"/>
      <c r="HO17" s="524" t="e">
        <f t="shared" si="72"/>
        <v>#DIV/0!</v>
      </c>
      <c r="HP17" s="525">
        <f t="shared" si="184"/>
        <v>0</v>
      </c>
      <c r="HQ17" s="523"/>
      <c r="HR17" s="524" t="e">
        <f t="shared" si="73"/>
        <v>#DIV/0!</v>
      </c>
      <c r="HS17" s="525">
        <f t="shared" si="185"/>
        <v>0</v>
      </c>
      <c r="HT17" s="523"/>
      <c r="HU17" s="524" t="e">
        <f t="shared" si="74"/>
        <v>#DIV/0!</v>
      </c>
      <c r="HV17" s="525">
        <f t="shared" si="186"/>
        <v>0</v>
      </c>
      <c r="HW17" s="523"/>
      <c r="HX17" s="524" t="e">
        <f t="shared" si="75"/>
        <v>#DIV/0!</v>
      </c>
      <c r="HY17" s="525">
        <f t="shared" si="187"/>
        <v>0</v>
      </c>
      <c r="HZ17" s="523"/>
      <c r="IA17" s="524" t="e">
        <f t="shared" si="76"/>
        <v>#DIV/0!</v>
      </c>
      <c r="IB17" s="525">
        <f t="shared" si="188"/>
        <v>0</v>
      </c>
      <c r="IC17" s="523"/>
      <c r="ID17" s="524" t="e">
        <f t="shared" si="77"/>
        <v>#DIV/0!</v>
      </c>
      <c r="IE17" s="525">
        <f t="shared" si="189"/>
        <v>0</v>
      </c>
      <c r="IF17" s="523"/>
      <c r="IG17" s="524" t="e">
        <f t="shared" si="78"/>
        <v>#DIV/0!</v>
      </c>
      <c r="IH17" s="525">
        <f t="shared" si="190"/>
        <v>0</v>
      </c>
      <c r="II17" s="523"/>
      <c r="IJ17" s="524" t="e">
        <f t="shared" si="79"/>
        <v>#DIV/0!</v>
      </c>
      <c r="IK17" s="525">
        <f t="shared" si="191"/>
        <v>0</v>
      </c>
      <c r="IL17" s="523"/>
      <c r="IM17" s="524" t="e">
        <f t="shared" si="80"/>
        <v>#DIV/0!</v>
      </c>
      <c r="IN17" s="525">
        <f t="shared" si="192"/>
        <v>0</v>
      </c>
      <c r="IO17" s="523"/>
      <c r="IP17" s="524" t="e">
        <f t="shared" si="81"/>
        <v>#DIV/0!</v>
      </c>
      <c r="IQ17" s="525">
        <f t="shared" si="193"/>
        <v>0</v>
      </c>
      <c r="IR17" s="523"/>
      <c r="IS17" s="524" t="e">
        <f t="shared" si="82"/>
        <v>#DIV/0!</v>
      </c>
      <c r="IT17" s="525">
        <f t="shared" si="194"/>
        <v>0</v>
      </c>
      <c r="IU17" s="523"/>
      <c r="IV17" s="524" t="e">
        <f t="shared" si="83"/>
        <v>#DIV/0!</v>
      </c>
      <c r="IW17" s="525">
        <f t="shared" si="195"/>
        <v>0</v>
      </c>
      <c r="IX17" s="523"/>
      <c r="IY17" s="524" t="e">
        <f t="shared" si="84"/>
        <v>#DIV/0!</v>
      </c>
      <c r="IZ17" s="525">
        <f t="shared" si="196"/>
        <v>0</v>
      </c>
      <c r="JA17" s="523"/>
      <c r="JB17" s="524" t="e">
        <f t="shared" si="85"/>
        <v>#DIV/0!</v>
      </c>
      <c r="JC17" s="525">
        <f t="shared" si="197"/>
        <v>0</v>
      </c>
      <c r="JD17" s="523"/>
      <c r="JE17" s="524" t="e">
        <f t="shared" si="86"/>
        <v>#DIV/0!</v>
      </c>
      <c r="JF17" s="525">
        <f t="shared" si="198"/>
        <v>0</v>
      </c>
      <c r="JG17" s="523"/>
      <c r="JH17" s="524" t="e">
        <f t="shared" si="87"/>
        <v>#DIV/0!</v>
      </c>
      <c r="JI17" s="525">
        <f t="shared" si="199"/>
        <v>0</v>
      </c>
      <c r="JJ17" s="523"/>
      <c r="JK17" s="525" t="str">
        <f t="shared" si="88"/>
        <v>0</v>
      </c>
      <c r="JL17" s="525" t="str">
        <f t="shared" si="89"/>
        <v>0</v>
      </c>
      <c r="JM17" s="523"/>
      <c r="JN17" s="525" t="str">
        <f t="shared" si="90"/>
        <v>0</v>
      </c>
      <c r="JO17" s="525" t="str">
        <f t="shared" si="91"/>
        <v>0</v>
      </c>
      <c r="JP17" s="523"/>
      <c r="JQ17" s="525" t="str">
        <f t="shared" si="92"/>
        <v>0</v>
      </c>
      <c r="JR17" s="525" t="str">
        <f t="shared" si="93"/>
        <v>0</v>
      </c>
      <c r="JS17" s="523"/>
      <c r="JT17" s="525" t="str">
        <f t="shared" si="94"/>
        <v>0</v>
      </c>
      <c r="JU17" s="525" t="str">
        <f t="shared" si="95"/>
        <v>0</v>
      </c>
      <c r="JV17" s="523"/>
      <c r="JW17" s="525" t="str">
        <f t="shared" si="96"/>
        <v>0</v>
      </c>
      <c r="JX17" s="525" t="str">
        <f t="shared" si="97"/>
        <v>0</v>
      </c>
      <c r="JY17" s="523"/>
      <c r="JZ17" s="525" t="str">
        <f t="shared" si="98"/>
        <v>0</v>
      </c>
      <c r="KA17" s="525" t="str">
        <f t="shared" si="99"/>
        <v>0</v>
      </c>
      <c r="KB17" s="523"/>
      <c r="KC17" s="525" t="str">
        <f t="shared" si="100"/>
        <v>0</v>
      </c>
      <c r="KD17" s="525" t="str">
        <f t="shared" si="101"/>
        <v>0</v>
      </c>
      <c r="KE17" s="523"/>
      <c r="KF17" s="525" t="str">
        <f t="shared" si="102"/>
        <v>0</v>
      </c>
      <c r="KG17" s="525" t="str">
        <f t="shared" si="103"/>
        <v>0</v>
      </c>
      <c r="KH17" s="523"/>
      <c r="KI17" s="525" t="str">
        <f t="shared" si="104"/>
        <v>0</v>
      </c>
      <c r="KJ17" s="525" t="str">
        <f t="shared" si="105"/>
        <v>0</v>
      </c>
      <c r="KK17" s="523"/>
      <c r="KL17" s="525" t="str">
        <f t="shared" si="106"/>
        <v>0</v>
      </c>
      <c r="KM17" s="525" t="str">
        <f t="shared" si="107"/>
        <v>0</v>
      </c>
      <c r="KN17" s="523"/>
      <c r="KO17" s="525" t="str">
        <f t="shared" si="108"/>
        <v>0</v>
      </c>
      <c r="KP17" s="525" t="str">
        <f t="shared" si="109"/>
        <v>0</v>
      </c>
      <c r="KQ17" s="523"/>
      <c r="KR17" s="525" t="str">
        <f t="shared" si="110"/>
        <v>0</v>
      </c>
      <c r="KS17" s="525" t="str">
        <f t="shared" si="111"/>
        <v>0</v>
      </c>
      <c r="KT17" s="525">
        <f t="shared" si="201"/>
        <v>0</v>
      </c>
      <c r="KU17" s="525">
        <f t="shared" si="202"/>
        <v>0</v>
      </c>
      <c r="KV17" s="261">
        <f t="shared" si="112"/>
        <v>0</v>
      </c>
    </row>
    <row r="18" spans="1:308">
      <c r="A18" s="262">
        <f t="shared" si="200"/>
        <v>45971</v>
      </c>
      <c r="B18" s="263" t="str">
        <f>+Report1!B18</f>
        <v>STOP</v>
      </c>
      <c r="C18" s="263" t="str">
        <f>+Report1!C18</f>
        <v>12</v>
      </c>
      <c r="D18" s="264">
        <f>+Report1!P18</f>
        <v>0</v>
      </c>
      <c r="E18" s="562">
        <f>+Report1!R18</f>
        <v>0</v>
      </c>
      <c r="F18" s="523"/>
      <c r="G18" s="524" t="e">
        <f t="shared" si="0"/>
        <v>#DIV/0!</v>
      </c>
      <c r="H18" s="525">
        <f t="shared" si="113"/>
        <v>0</v>
      </c>
      <c r="I18" s="523"/>
      <c r="J18" s="524" t="e">
        <f t="shared" si="1"/>
        <v>#DIV/0!</v>
      </c>
      <c r="K18" s="525">
        <f t="shared" si="114"/>
        <v>0</v>
      </c>
      <c r="L18" s="523"/>
      <c r="M18" s="524" t="e">
        <f t="shared" si="2"/>
        <v>#DIV/0!</v>
      </c>
      <c r="N18" s="525">
        <f t="shared" si="115"/>
        <v>0</v>
      </c>
      <c r="O18" s="523"/>
      <c r="P18" s="524" t="e">
        <f t="shared" si="3"/>
        <v>#DIV/0!</v>
      </c>
      <c r="Q18" s="525">
        <f t="shared" si="116"/>
        <v>0</v>
      </c>
      <c r="R18" s="523"/>
      <c r="S18" s="524" t="e">
        <f t="shared" si="4"/>
        <v>#DIV/0!</v>
      </c>
      <c r="T18" s="525">
        <f t="shared" si="117"/>
        <v>0</v>
      </c>
      <c r="U18" s="523"/>
      <c r="V18" s="524" t="e">
        <f t="shared" si="5"/>
        <v>#DIV/0!</v>
      </c>
      <c r="W18" s="525">
        <f t="shared" si="118"/>
        <v>0</v>
      </c>
      <c r="X18" s="523"/>
      <c r="Y18" s="524" t="e">
        <f t="shared" si="6"/>
        <v>#DIV/0!</v>
      </c>
      <c r="Z18" s="525">
        <f t="shared" si="119"/>
        <v>0</v>
      </c>
      <c r="AA18" s="523"/>
      <c r="AB18" s="524" t="e">
        <f t="shared" si="7"/>
        <v>#DIV/0!</v>
      </c>
      <c r="AC18" s="525">
        <f t="shared" si="120"/>
        <v>0</v>
      </c>
      <c r="AD18" s="523"/>
      <c r="AE18" s="524" t="e">
        <f t="shared" si="8"/>
        <v>#DIV/0!</v>
      </c>
      <c r="AF18" s="525">
        <f t="shared" si="121"/>
        <v>0</v>
      </c>
      <c r="AG18" s="523"/>
      <c r="AH18" s="524" t="e">
        <f t="shared" si="9"/>
        <v>#DIV/0!</v>
      </c>
      <c r="AI18" s="525">
        <f t="shared" si="122"/>
        <v>0</v>
      </c>
      <c r="AJ18" s="523"/>
      <c r="AK18" s="524" t="e">
        <f t="shared" si="10"/>
        <v>#DIV/0!</v>
      </c>
      <c r="AL18" s="525">
        <f t="shared" si="123"/>
        <v>0</v>
      </c>
      <c r="AM18" s="523"/>
      <c r="AN18" s="524" t="e">
        <f t="shared" si="11"/>
        <v>#DIV/0!</v>
      </c>
      <c r="AO18" s="525">
        <f t="shared" si="124"/>
        <v>0</v>
      </c>
      <c r="AP18" s="523"/>
      <c r="AQ18" s="524" t="e">
        <f t="shared" si="12"/>
        <v>#DIV/0!</v>
      </c>
      <c r="AR18" s="525">
        <f t="shared" si="125"/>
        <v>0</v>
      </c>
      <c r="AS18" s="523"/>
      <c r="AT18" s="524" t="e">
        <f t="shared" si="13"/>
        <v>#DIV/0!</v>
      </c>
      <c r="AU18" s="525">
        <f t="shared" si="126"/>
        <v>0</v>
      </c>
      <c r="AV18" s="523"/>
      <c r="AW18" s="524" t="e">
        <f t="shared" si="14"/>
        <v>#DIV/0!</v>
      </c>
      <c r="AX18" s="525">
        <f t="shared" si="127"/>
        <v>0</v>
      </c>
      <c r="AY18" s="523"/>
      <c r="AZ18" s="524" t="e">
        <f t="shared" si="15"/>
        <v>#DIV/0!</v>
      </c>
      <c r="BA18" s="525">
        <f t="shared" si="128"/>
        <v>0</v>
      </c>
      <c r="BB18" s="523"/>
      <c r="BC18" s="524" t="e">
        <f t="shared" si="16"/>
        <v>#DIV/0!</v>
      </c>
      <c r="BD18" s="525">
        <f t="shared" si="129"/>
        <v>0</v>
      </c>
      <c r="BE18" s="523"/>
      <c r="BF18" s="524" t="e">
        <f t="shared" si="17"/>
        <v>#DIV/0!</v>
      </c>
      <c r="BG18" s="525">
        <f t="shared" si="130"/>
        <v>0</v>
      </c>
      <c r="BH18" s="523"/>
      <c r="BI18" s="524" t="e">
        <f t="shared" si="18"/>
        <v>#DIV/0!</v>
      </c>
      <c r="BJ18" s="525">
        <f t="shared" si="131"/>
        <v>0</v>
      </c>
      <c r="BK18" s="523"/>
      <c r="BL18" s="524" t="e">
        <f t="shared" si="19"/>
        <v>#DIV/0!</v>
      </c>
      <c r="BM18" s="525">
        <f t="shared" si="132"/>
        <v>0</v>
      </c>
      <c r="BN18" s="523"/>
      <c r="BO18" s="524" t="e">
        <f t="shared" si="20"/>
        <v>#DIV/0!</v>
      </c>
      <c r="BP18" s="525">
        <f t="shared" si="133"/>
        <v>0</v>
      </c>
      <c r="BQ18" s="523"/>
      <c r="BR18" s="524" t="e">
        <f t="shared" si="21"/>
        <v>#DIV/0!</v>
      </c>
      <c r="BS18" s="525">
        <f t="shared" si="134"/>
        <v>0</v>
      </c>
      <c r="BT18" s="523"/>
      <c r="BU18" s="524" t="e">
        <f t="shared" si="22"/>
        <v>#DIV/0!</v>
      </c>
      <c r="BV18" s="525">
        <f t="shared" si="135"/>
        <v>0</v>
      </c>
      <c r="BW18" s="523"/>
      <c r="BX18" s="524" t="e">
        <f t="shared" si="23"/>
        <v>#DIV/0!</v>
      </c>
      <c r="BY18" s="525">
        <f t="shared" si="136"/>
        <v>0</v>
      </c>
      <c r="BZ18" s="523"/>
      <c r="CA18" s="524" t="e">
        <f t="shared" si="24"/>
        <v>#DIV/0!</v>
      </c>
      <c r="CB18" s="525">
        <f t="shared" si="137"/>
        <v>0</v>
      </c>
      <c r="CC18" s="523"/>
      <c r="CD18" s="524" t="e">
        <f t="shared" si="25"/>
        <v>#DIV/0!</v>
      </c>
      <c r="CE18" s="525">
        <f t="shared" si="138"/>
        <v>0</v>
      </c>
      <c r="CF18" s="523"/>
      <c r="CG18" s="524" t="e">
        <f t="shared" si="26"/>
        <v>#DIV/0!</v>
      </c>
      <c r="CH18" s="525">
        <f t="shared" si="139"/>
        <v>0</v>
      </c>
      <c r="CI18" s="523"/>
      <c r="CJ18" s="524" t="e">
        <f t="shared" si="27"/>
        <v>#DIV/0!</v>
      </c>
      <c r="CK18" s="525">
        <f t="shared" si="140"/>
        <v>0</v>
      </c>
      <c r="CL18" s="523"/>
      <c r="CM18" s="524" t="e">
        <f t="shared" si="28"/>
        <v>#DIV/0!</v>
      </c>
      <c r="CN18" s="525">
        <f t="shared" si="141"/>
        <v>0</v>
      </c>
      <c r="CO18" s="523"/>
      <c r="CP18" s="524" t="e">
        <f t="shared" si="29"/>
        <v>#DIV/0!</v>
      </c>
      <c r="CQ18" s="525">
        <f t="shared" si="142"/>
        <v>0</v>
      </c>
      <c r="CR18" s="523"/>
      <c r="CS18" s="524" t="e">
        <f t="shared" si="30"/>
        <v>#DIV/0!</v>
      </c>
      <c r="CT18" s="525">
        <f t="shared" si="143"/>
        <v>0</v>
      </c>
      <c r="CU18" s="523"/>
      <c r="CV18" s="524" t="e">
        <f t="shared" si="31"/>
        <v>#DIV/0!</v>
      </c>
      <c r="CW18" s="525">
        <f t="shared" si="144"/>
        <v>0</v>
      </c>
      <c r="CX18" s="523"/>
      <c r="CY18" s="524" t="e">
        <f t="shared" si="32"/>
        <v>#DIV/0!</v>
      </c>
      <c r="CZ18" s="525">
        <f t="shared" si="145"/>
        <v>0</v>
      </c>
      <c r="DA18" s="523"/>
      <c r="DB18" s="524" t="e">
        <f t="shared" si="33"/>
        <v>#DIV/0!</v>
      </c>
      <c r="DC18" s="525">
        <f t="shared" si="146"/>
        <v>0</v>
      </c>
      <c r="DD18" s="523"/>
      <c r="DE18" s="524" t="e">
        <f t="shared" si="34"/>
        <v>#DIV/0!</v>
      </c>
      <c r="DF18" s="525">
        <f t="shared" si="147"/>
        <v>0</v>
      </c>
      <c r="DG18" s="523"/>
      <c r="DH18" s="524" t="e">
        <f t="shared" si="35"/>
        <v>#DIV/0!</v>
      </c>
      <c r="DI18" s="525">
        <f t="shared" si="203"/>
        <v>0</v>
      </c>
      <c r="DJ18" s="523"/>
      <c r="DK18" s="524" t="e">
        <f t="shared" si="36"/>
        <v>#DIV/0!</v>
      </c>
      <c r="DL18" s="525">
        <f t="shared" si="148"/>
        <v>0</v>
      </c>
      <c r="DM18" s="523"/>
      <c r="DN18" s="524" t="e">
        <f t="shared" si="37"/>
        <v>#DIV/0!</v>
      </c>
      <c r="DO18" s="525">
        <f t="shared" si="149"/>
        <v>0</v>
      </c>
      <c r="DP18" s="523"/>
      <c r="DQ18" s="524" t="e">
        <f t="shared" si="38"/>
        <v>#DIV/0!</v>
      </c>
      <c r="DR18" s="525">
        <f t="shared" si="150"/>
        <v>0</v>
      </c>
      <c r="DS18" s="523"/>
      <c r="DT18" s="524" t="e">
        <f t="shared" si="39"/>
        <v>#DIV/0!</v>
      </c>
      <c r="DU18" s="525">
        <f t="shared" si="151"/>
        <v>0</v>
      </c>
      <c r="DV18" s="523"/>
      <c r="DW18" s="524" t="e">
        <f t="shared" si="40"/>
        <v>#DIV/0!</v>
      </c>
      <c r="DX18" s="525">
        <f t="shared" si="152"/>
        <v>0</v>
      </c>
      <c r="DY18" s="523"/>
      <c r="DZ18" s="524" t="e">
        <f t="shared" si="41"/>
        <v>#DIV/0!</v>
      </c>
      <c r="EA18" s="525">
        <f t="shared" si="153"/>
        <v>0</v>
      </c>
      <c r="EB18" s="523"/>
      <c r="EC18" s="524" t="e">
        <f t="shared" si="42"/>
        <v>#DIV/0!</v>
      </c>
      <c r="ED18" s="525">
        <f t="shared" si="154"/>
        <v>0</v>
      </c>
      <c r="EE18" s="523"/>
      <c r="EF18" s="524" t="e">
        <f t="shared" si="43"/>
        <v>#DIV/0!</v>
      </c>
      <c r="EG18" s="525">
        <f t="shared" si="155"/>
        <v>0</v>
      </c>
      <c r="EH18" s="523"/>
      <c r="EI18" s="524" t="e">
        <f t="shared" si="44"/>
        <v>#DIV/0!</v>
      </c>
      <c r="EJ18" s="525">
        <f t="shared" si="156"/>
        <v>0</v>
      </c>
      <c r="EK18" s="523"/>
      <c r="EL18" s="524" t="e">
        <f t="shared" si="45"/>
        <v>#DIV/0!</v>
      </c>
      <c r="EM18" s="525">
        <f t="shared" si="157"/>
        <v>0</v>
      </c>
      <c r="EN18" s="523"/>
      <c r="EO18" s="524" t="e">
        <f t="shared" si="46"/>
        <v>#DIV/0!</v>
      </c>
      <c r="EP18" s="525">
        <f t="shared" si="158"/>
        <v>0</v>
      </c>
      <c r="EQ18" s="523"/>
      <c r="ER18" s="524" t="e">
        <f t="shared" si="47"/>
        <v>#DIV/0!</v>
      </c>
      <c r="ES18" s="525">
        <f t="shared" si="159"/>
        <v>0</v>
      </c>
      <c r="ET18" s="523"/>
      <c r="EU18" s="524" t="e">
        <f t="shared" si="48"/>
        <v>#DIV/0!</v>
      </c>
      <c r="EV18" s="525">
        <f t="shared" si="160"/>
        <v>0</v>
      </c>
      <c r="EW18" s="523"/>
      <c r="EX18" s="524" t="e">
        <f t="shared" si="49"/>
        <v>#DIV/0!</v>
      </c>
      <c r="EY18" s="525">
        <f t="shared" si="161"/>
        <v>0</v>
      </c>
      <c r="EZ18" s="523"/>
      <c r="FA18" s="524" t="e">
        <f t="shared" si="50"/>
        <v>#DIV/0!</v>
      </c>
      <c r="FB18" s="525">
        <f t="shared" si="162"/>
        <v>0</v>
      </c>
      <c r="FC18" s="523"/>
      <c r="FD18" s="524" t="e">
        <f t="shared" si="51"/>
        <v>#DIV/0!</v>
      </c>
      <c r="FE18" s="525">
        <f t="shared" si="163"/>
        <v>0</v>
      </c>
      <c r="FF18" s="523"/>
      <c r="FG18" s="524" t="e">
        <f t="shared" si="52"/>
        <v>#DIV/0!</v>
      </c>
      <c r="FH18" s="525">
        <f t="shared" si="164"/>
        <v>0</v>
      </c>
      <c r="FI18" s="523"/>
      <c r="FJ18" s="524" t="e">
        <f t="shared" si="53"/>
        <v>#DIV/0!</v>
      </c>
      <c r="FK18" s="525">
        <f t="shared" si="165"/>
        <v>0</v>
      </c>
      <c r="FL18" s="523"/>
      <c r="FM18" s="524" t="e">
        <f t="shared" si="54"/>
        <v>#DIV/0!</v>
      </c>
      <c r="FN18" s="525">
        <f t="shared" si="166"/>
        <v>0</v>
      </c>
      <c r="FO18" s="523"/>
      <c r="FP18" s="524" t="e">
        <f t="shared" si="55"/>
        <v>#DIV/0!</v>
      </c>
      <c r="FQ18" s="525">
        <f t="shared" si="167"/>
        <v>0</v>
      </c>
      <c r="FR18" s="523"/>
      <c r="FS18" s="524" t="e">
        <f t="shared" si="56"/>
        <v>#DIV/0!</v>
      </c>
      <c r="FT18" s="525">
        <f t="shared" si="168"/>
        <v>0</v>
      </c>
      <c r="FU18" s="523"/>
      <c r="FV18" s="524" t="e">
        <f t="shared" si="57"/>
        <v>#DIV/0!</v>
      </c>
      <c r="FW18" s="525">
        <f t="shared" si="169"/>
        <v>0</v>
      </c>
      <c r="FX18" s="523"/>
      <c r="FY18" s="524" t="e">
        <f t="shared" si="58"/>
        <v>#DIV/0!</v>
      </c>
      <c r="FZ18" s="525">
        <f t="shared" si="170"/>
        <v>0</v>
      </c>
      <c r="GA18" s="523"/>
      <c r="GB18" s="524" t="e">
        <f t="shared" si="59"/>
        <v>#DIV/0!</v>
      </c>
      <c r="GC18" s="525">
        <f t="shared" si="171"/>
        <v>0</v>
      </c>
      <c r="GD18" s="523"/>
      <c r="GE18" s="524" t="e">
        <f t="shared" si="60"/>
        <v>#DIV/0!</v>
      </c>
      <c r="GF18" s="525">
        <f t="shared" si="172"/>
        <v>0</v>
      </c>
      <c r="GG18" s="523"/>
      <c r="GH18" s="524" t="e">
        <f t="shared" si="61"/>
        <v>#DIV/0!</v>
      </c>
      <c r="GI18" s="525">
        <f t="shared" si="173"/>
        <v>0</v>
      </c>
      <c r="GJ18" s="523"/>
      <c r="GK18" s="524" t="e">
        <f t="shared" si="62"/>
        <v>#DIV/0!</v>
      </c>
      <c r="GL18" s="525">
        <f t="shared" si="174"/>
        <v>0</v>
      </c>
      <c r="GM18" s="523"/>
      <c r="GN18" s="524" t="e">
        <f t="shared" si="63"/>
        <v>#DIV/0!</v>
      </c>
      <c r="GO18" s="525">
        <f t="shared" si="175"/>
        <v>0</v>
      </c>
      <c r="GP18" s="523"/>
      <c r="GQ18" s="524" t="e">
        <f t="shared" si="64"/>
        <v>#DIV/0!</v>
      </c>
      <c r="GR18" s="525">
        <f t="shared" si="176"/>
        <v>0</v>
      </c>
      <c r="GS18" s="523"/>
      <c r="GT18" s="524" t="e">
        <f t="shared" si="65"/>
        <v>#DIV/0!</v>
      </c>
      <c r="GU18" s="525">
        <f t="shared" si="177"/>
        <v>0</v>
      </c>
      <c r="GV18" s="523"/>
      <c r="GW18" s="524" t="e">
        <f t="shared" si="66"/>
        <v>#DIV/0!</v>
      </c>
      <c r="GX18" s="525">
        <f t="shared" si="178"/>
        <v>0</v>
      </c>
      <c r="GY18" s="523"/>
      <c r="GZ18" s="524" t="e">
        <f t="shared" si="67"/>
        <v>#DIV/0!</v>
      </c>
      <c r="HA18" s="525">
        <f t="shared" si="179"/>
        <v>0</v>
      </c>
      <c r="HB18" s="523"/>
      <c r="HC18" s="524" t="e">
        <f t="shared" si="68"/>
        <v>#DIV/0!</v>
      </c>
      <c r="HD18" s="525">
        <f t="shared" si="180"/>
        <v>0</v>
      </c>
      <c r="HE18" s="523"/>
      <c r="HF18" s="524" t="e">
        <f t="shared" si="69"/>
        <v>#DIV/0!</v>
      </c>
      <c r="HG18" s="525">
        <f t="shared" si="181"/>
        <v>0</v>
      </c>
      <c r="HH18" s="523"/>
      <c r="HI18" s="524" t="e">
        <f t="shared" si="70"/>
        <v>#DIV/0!</v>
      </c>
      <c r="HJ18" s="525">
        <f t="shared" si="182"/>
        <v>0</v>
      </c>
      <c r="HK18" s="523"/>
      <c r="HL18" s="524" t="e">
        <f t="shared" si="71"/>
        <v>#DIV/0!</v>
      </c>
      <c r="HM18" s="525">
        <f t="shared" si="183"/>
        <v>0</v>
      </c>
      <c r="HN18" s="523"/>
      <c r="HO18" s="524" t="e">
        <f t="shared" si="72"/>
        <v>#DIV/0!</v>
      </c>
      <c r="HP18" s="525">
        <f t="shared" si="184"/>
        <v>0</v>
      </c>
      <c r="HQ18" s="523"/>
      <c r="HR18" s="524" t="e">
        <f t="shared" si="73"/>
        <v>#DIV/0!</v>
      </c>
      <c r="HS18" s="525">
        <f t="shared" si="185"/>
        <v>0</v>
      </c>
      <c r="HT18" s="523"/>
      <c r="HU18" s="524" t="e">
        <f t="shared" si="74"/>
        <v>#DIV/0!</v>
      </c>
      <c r="HV18" s="525">
        <f t="shared" si="186"/>
        <v>0</v>
      </c>
      <c r="HW18" s="523"/>
      <c r="HX18" s="524" t="e">
        <f t="shared" si="75"/>
        <v>#DIV/0!</v>
      </c>
      <c r="HY18" s="525">
        <f t="shared" si="187"/>
        <v>0</v>
      </c>
      <c r="HZ18" s="523"/>
      <c r="IA18" s="524" t="e">
        <f t="shared" si="76"/>
        <v>#DIV/0!</v>
      </c>
      <c r="IB18" s="525">
        <f t="shared" si="188"/>
        <v>0</v>
      </c>
      <c r="IC18" s="523"/>
      <c r="ID18" s="524" t="e">
        <f t="shared" si="77"/>
        <v>#DIV/0!</v>
      </c>
      <c r="IE18" s="525">
        <f t="shared" si="189"/>
        <v>0</v>
      </c>
      <c r="IF18" s="523"/>
      <c r="IG18" s="524" t="e">
        <f t="shared" si="78"/>
        <v>#DIV/0!</v>
      </c>
      <c r="IH18" s="525">
        <f t="shared" si="190"/>
        <v>0</v>
      </c>
      <c r="II18" s="523"/>
      <c r="IJ18" s="524" t="e">
        <f t="shared" si="79"/>
        <v>#DIV/0!</v>
      </c>
      <c r="IK18" s="525">
        <f t="shared" si="191"/>
        <v>0</v>
      </c>
      <c r="IL18" s="523"/>
      <c r="IM18" s="524" t="e">
        <f t="shared" si="80"/>
        <v>#DIV/0!</v>
      </c>
      <c r="IN18" s="525">
        <f t="shared" si="192"/>
        <v>0</v>
      </c>
      <c r="IO18" s="523"/>
      <c r="IP18" s="524" t="e">
        <f t="shared" si="81"/>
        <v>#DIV/0!</v>
      </c>
      <c r="IQ18" s="525">
        <f t="shared" si="193"/>
        <v>0</v>
      </c>
      <c r="IR18" s="523"/>
      <c r="IS18" s="524" t="e">
        <f t="shared" si="82"/>
        <v>#DIV/0!</v>
      </c>
      <c r="IT18" s="525">
        <f t="shared" si="194"/>
        <v>0</v>
      </c>
      <c r="IU18" s="523"/>
      <c r="IV18" s="524" t="e">
        <f t="shared" si="83"/>
        <v>#DIV/0!</v>
      </c>
      <c r="IW18" s="525">
        <f t="shared" si="195"/>
        <v>0</v>
      </c>
      <c r="IX18" s="523"/>
      <c r="IY18" s="524" t="e">
        <f t="shared" si="84"/>
        <v>#DIV/0!</v>
      </c>
      <c r="IZ18" s="525">
        <f t="shared" si="196"/>
        <v>0</v>
      </c>
      <c r="JA18" s="523"/>
      <c r="JB18" s="524" t="e">
        <f t="shared" si="85"/>
        <v>#DIV/0!</v>
      </c>
      <c r="JC18" s="525">
        <f t="shared" si="197"/>
        <v>0</v>
      </c>
      <c r="JD18" s="523"/>
      <c r="JE18" s="524" t="e">
        <f t="shared" si="86"/>
        <v>#DIV/0!</v>
      </c>
      <c r="JF18" s="525">
        <f t="shared" si="198"/>
        <v>0</v>
      </c>
      <c r="JG18" s="523"/>
      <c r="JH18" s="524" t="e">
        <f t="shared" si="87"/>
        <v>#DIV/0!</v>
      </c>
      <c r="JI18" s="525">
        <f t="shared" si="199"/>
        <v>0</v>
      </c>
      <c r="JJ18" s="523"/>
      <c r="JK18" s="525" t="str">
        <f t="shared" si="88"/>
        <v>0</v>
      </c>
      <c r="JL18" s="525" t="str">
        <f t="shared" si="89"/>
        <v>0</v>
      </c>
      <c r="JM18" s="523"/>
      <c r="JN18" s="525" t="str">
        <f t="shared" si="90"/>
        <v>0</v>
      </c>
      <c r="JO18" s="525" t="str">
        <f t="shared" si="91"/>
        <v>0</v>
      </c>
      <c r="JP18" s="523"/>
      <c r="JQ18" s="525" t="str">
        <f t="shared" si="92"/>
        <v>0</v>
      </c>
      <c r="JR18" s="525" t="str">
        <f t="shared" si="93"/>
        <v>0</v>
      </c>
      <c r="JS18" s="523"/>
      <c r="JT18" s="525" t="str">
        <f t="shared" si="94"/>
        <v>0</v>
      </c>
      <c r="JU18" s="525" t="str">
        <f t="shared" si="95"/>
        <v>0</v>
      </c>
      <c r="JV18" s="523"/>
      <c r="JW18" s="525" t="str">
        <f t="shared" si="96"/>
        <v>0</v>
      </c>
      <c r="JX18" s="525" t="str">
        <f t="shared" si="97"/>
        <v>0</v>
      </c>
      <c r="JY18" s="523"/>
      <c r="JZ18" s="525" t="str">
        <f t="shared" si="98"/>
        <v>0</v>
      </c>
      <c r="KA18" s="525" t="str">
        <f t="shared" si="99"/>
        <v>0</v>
      </c>
      <c r="KB18" s="523"/>
      <c r="KC18" s="525" t="str">
        <f t="shared" si="100"/>
        <v>0</v>
      </c>
      <c r="KD18" s="525" t="str">
        <f t="shared" si="101"/>
        <v>0</v>
      </c>
      <c r="KE18" s="523"/>
      <c r="KF18" s="525" t="str">
        <f t="shared" si="102"/>
        <v>0</v>
      </c>
      <c r="KG18" s="525" t="str">
        <f t="shared" si="103"/>
        <v>0</v>
      </c>
      <c r="KH18" s="523"/>
      <c r="KI18" s="525" t="str">
        <f t="shared" si="104"/>
        <v>0</v>
      </c>
      <c r="KJ18" s="525" t="str">
        <f t="shared" si="105"/>
        <v>0</v>
      </c>
      <c r="KK18" s="523"/>
      <c r="KL18" s="525" t="str">
        <f t="shared" si="106"/>
        <v>0</v>
      </c>
      <c r="KM18" s="525" t="str">
        <f t="shared" si="107"/>
        <v>0</v>
      </c>
      <c r="KN18" s="523"/>
      <c r="KO18" s="525" t="str">
        <f t="shared" si="108"/>
        <v>0</v>
      </c>
      <c r="KP18" s="525" t="str">
        <f t="shared" si="109"/>
        <v>0</v>
      </c>
      <c r="KQ18" s="523"/>
      <c r="KR18" s="525" t="str">
        <f t="shared" si="110"/>
        <v>0</v>
      </c>
      <c r="KS18" s="525" t="str">
        <f t="shared" si="111"/>
        <v>0</v>
      </c>
      <c r="KT18" s="525">
        <f t="shared" si="201"/>
        <v>0</v>
      </c>
      <c r="KU18" s="525">
        <f t="shared" si="202"/>
        <v>0</v>
      </c>
      <c r="KV18" s="261">
        <f t="shared" si="112"/>
        <v>0</v>
      </c>
    </row>
    <row r="19" spans="1:308">
      <c r="A19" s="262">
        <f t="shared" si="200"/>
        <v>45972</v>
      </c>
      <c r="B19" s="263" t="str">
        <f>+Report1!B19</f>
        <v>STOP</v>
      </c>
      <c r="C19" s="263" t="str">
        <f>+Report1!C19</f>
        <v>12</v>
      </c>
      <c r="D19" s="264">
        <f>+Report1!P19</f>
        <v>0</v>
      </c>
      <c r="E19" s="562">
        <f>+Report1!R19</f>
        <v>0</v>
      </c>
      <c r="F19" s="523"/>
      <c r="G19" s="524" t="e">
        <f t="shared" si="0"/>
        <v>#DIV/0!</v>
      </c>
      <c r="H19" s="525">
        <f t="shared" si="113"/>
        <v>0</v>
      </c>
      <c r="I19" s="523"/>
      <c r="J19" s="524" t="e">
        <f t="shared" si="1"/>
        <v>#DIV/0!</v>
      </c>
      <c r="K19" s="525">
        <f t="shared" si="114"/>
        <v>0</v>
      </c>
      <c r="L19" s="523"/>
      <c r="M19" s="524" t="e">
        <f t="shared" si="2"/>
        <v>#DIV/0!</v>
      </c>
      <c r="N19" s="525">
        <f t="shared" si="115"/>
        <v>0</v>
      </c>
      <c r="O19" s="523"/>
      <c r="P19" s="524" t="e">
        <f t="shared" si="3"/>
        <v>#DIV/0!</v>
      </c>
      <c r="Q19" s="525">
        <f t="shared" si="116"/>
        <v>0</v>
      </c>
      <c r="R19" s="523"/>
      <c r="S19" s="524" t="e">
        <f t="shared" si="4"/>
        <v>#DIV/0!</v>
      </c>
      <c r="T19" s="525">
        <f t="shared" si="117"/>
        <v>0</v>
      </c>
      <c r="U19" s="523"/>
      <c r="V19" s="524" t="e">
        <f t="shared" si="5"/>
        <v>#DIV/0!</v>
      </c>
      <c r="W19" s="525">
        <f t="shared" si="118"/>
        <v>0</v>
      </c>
      <c r="X19" s="523"/>
      <c r="Y19" s="524" t="e">
        <f t="shared" si="6"/>
        <v>#DIV/0!</v>
      </c>
      <c r="Z19" s="525">
        <f t="shared" si="119"/>
        <v>0</v>
      </c>
      <c r="AA19" s="523"/>
      <c r="AB19" s="524" t="e">
        <f t="shared" si="7"/>
        <v>#DIV/0!</v>
      </c>
      <c r="AC19" s="525">
        <f t="shared" si="120"/>
        <v>0</v>
      </c>
      <c r="AD19" s="523"/>
      <c r="AE19" s="524" t="e">
        <f t="shared" si="8"/>
        <v>#DIV/0!</v>
      </c>
      <c r="AF19" s="525">
        <f t="shared" si="121"/>
        <v>0</v>
      </c>
      <c r="AG19" s="523"/>
      <c r="AH19" s="524" t="e">
        <f t="shared" si="9"/>
        <v>#DIV/0!</v>
      </c>
      <c r="AI19" s="525">
        <f t="shared" si="122"/>
        <v>0</v>
      </c>
      <c r="AJ19" s="523"/>
      <c r="AK19" s="524" t="e">
        <f t="shared" si="10"/>
        <v>#DIV/0!</v>
      </c>
      <c r="AL19" s="525">
        <f t="shared" si="123"/>
        <v>0</v>
      </c>
      <c r="AM19" s="523"/>
      <c r="AN19" s="524" t="e">
        <f t="shared" si="11"/>
        <v>#DIV/0!</v>
      </c>
      <c r="AO19" s="525">
        <f t="shared" si="124"/>
        <v>0</v>
      </c>
      <c r="AP19" s="523"/>
      <c r="AQ19" s="524" t="e">
        <f t="shared" si="12"/>
        <v>#DIV/0!</v>
      </c>
      <c r="AR19" s="525">
        <f t="shared" si="125"/>
        <v>0</v>
      </c>
      <c r="AS19" s="523"/>
      <c r="AT19" s="524" t="e">
        <f t="shared" si="13"/>
        <v>#DIV/0!</v>
      </c>
      <c r="AU19" s="525">
        <f t="shared" si="126"/>
        <v>0</v>
      </c>
      <c r="AV19" s="523"/>
      <c r="AW19" s="524" t="e">
        <f t="shared" si="14"/>
        <v>#DIV/0!</v>
      </c>
      <c r="AX19" s="525">
        <f t="shared" si="127"/>
        <v>0</v>
      </c>
      <c r="AY19" s="523"/>
      <c r="AZ19" s="524" t="e">
        <f t="shared" si="15"/>
        <v>#DIV/0!</v>
      </c>
      <c r="BA19" s="525">
        <f t="shared" si="128"/>
        <v>0</v>
      </c>
      <c r="BB19" s="523"/>
      <c r="BC19" s="524" t="e">
        <f t="shared" si="16"/>
        <v>#DIV/0!</v>
      </c>
      <c r="BD19" s="525">
        <f t="shared" si="129"/>
        <v>0</v>
      </c>
      <c r="BE19" s="523"/>
      <c r="BF19" s="524" t="e">
        <f t="shared" si="17"/>
        <v>#DIV/0!</v>
      </c>
      <c r="BG19" s="525">
        <f t="shared" si="130"/>
        <v>0</v>
      </c>
      <c r="BH19" s="523"/>
      <c r="BI19" s="524" t="e">
        <f t="shared" si="18"/>
        <v>#DIV/0!</v>
      </c>
      <c r="BJ19" s="525">
        <f t="shared" si="131"/>
        <v>0</v>
      </c>
      <c r="BK19" s="523"/>
      <c r="BL19" s="524" t="e">
        <f t="shared" si="19"/>
        <v>#DIV/0!</v>
      </c>
      <c r="BM19" s="525">
        <f t="shared" si="132"/>
        <v>0</v>
      </c>
      <c r="BN19" s="523"/>
      <c r="BO19" s="524" t="e">
        <f t="shared" si="20"/>
        <v>#DIV/0!</v>
      </c>
      <c r="BP19" s="525">
        <f t="shared" si="133"/>
        <v>0</v>
      </c>
      <c r="BQ19" s="523"/>
      <c r="BR19" s="524" t="e">
        <f t="shared" si="21"/>
        <v>#DIV/0!</v>
      </c>
      <c r="BS19" s="525">
        <f t="shared" si="134"/>
        <v>0</v>
      </c>
      <c r="BT19" s="523"/>
      <c r="BU19" s="524" t="e">
        <f t="shared" si="22"/>
        <v>#DIV/0!</v>
      </c>
      <c r="BV19" s="525">
        <f t="shared" si="135"/>
        <v>0</v>
      </c>
      <c r="BW19" s="523"/>
      <c r="BX19" s="524" t="e">
        <f t="shared" si="23"/>
        <v>#DIV/0!</v>
      </c>
      <c r="BY19" s="525">
        <f t="shared" si="136"/>
        <v>0</v>
      </c>
      <c r="BZ19" s="523"/>
      <c r="CA19" s="524" t="e">
        <f t="shared" si="24"/>
        <v>#DIV/0!</v>
      </c>
      <c r="CB19" s="525">
        <f t="shared" si="137"/>
        <v>0</v>
      </c>
      <c r="CC19" s="523"/>
      <c r="CD19" s="524" t="e">
        <f t="shared" si="25"/>
        <v>#DIV/0!</v>
      </c>
      <c r="CE19" s="525">
        <f t="shared" si="138"/>
        <v>0</v>
      </c>
      <c r="CF19" s="523"/>
      <c r="CG19" s="524" t="e">
        <f t="shared" si="26"/>
        <v>#DIV/0!</v>
      </c>
      <c r="CH19" s="525">
        <f t="shared" si="139"/>
        <v>0</v>
      </c>
      <c r="CI19" s="523"/>
      <c r="CJ19" s="524" t="e">
        <f t="shared" si="27"/>
        <v>#DIV/0!</v>
      </c>
      <c r="CK19" s="525">
        <f t="shared" si="140"/>
        <v>0</v>
      </c>
      <c r="CL19" s="523"/>
      <c r="CM19" s="524" t="e">
        <f t="shared" si="28"/>
        <v>#DIV/0!</v>
      </c>
      <c r="CN19" s="525">
        <f t="shared" si="141"/>
        <v>0</v>
      </c>
      <c r="CO19" s="523"/>
      <c r="CP19" s="524" t="e">
        <f t="shared" si="29"/>
        <v>#DIV/0!</v>
      </c>
      <c r="CQ19" s="525">
        <f t="shared" si="142"/>
        <v>0</v>
      </c>
      <c r="CR19" s="523"/>
      <c r="CS19" s="524" t="e">
        <f t="shared" si="30"/>
        <v>#DIV/0!</v>
      </c>
      <c r="CT19" s="525">
        <f t="shared" si="143"/>
        <v>0</v>
      </c>
      <c r="CU19" s="523"/>
      <c r="CV19" s="524" t="e">
        <f t="shared" si="31"/>
        <v>#DIV/0!</v>
      </c>
      <c r="CW19" s="525">
        <f t="shared" si="144"/>
        <v>0</v>
      </c>
      <c r="CX19" s="523"/>
      <c r="CY19" s="524" t="e">
        <f t="shared" si="32"/>
        <v>#DIV/0!</v>
      </c>
      <c r="CZ19" s="525">
        <f t="shared" si="145"/>
        <v>0</v>
      </c>
      <c r="DA19" s="523"/>
      <c r="DB19" s="524" t="e">
        <f t="shared" si="33"/>
        <v>#DIV/0!</v>
      </c>
      <c r="DC19" s="525">
        <f t="shared" si="146"/>
        <v>0</v>
      </c>
      <c r="DD19" s="523"/>
      <c r="DE19" s="524" t="e">
        <f t="shared" si="34"/>
        <v>#DIV/0!</v>
      </c>
      <c r="DF19" s="525">
        <f t="shared" si="147"/>
        <v>0</v>
      </c>
      <c r="DG19" s="523"/>
      <c r="DH19" s="524" t="e">
        <f t="shared" si="35"/>
        <v>#DIV/0!</v>
      </c>
      <c r="DI19" s="525">
        <f t="shared" si="203"/>
        <v>0</v>
      </c>
      <c r="DJ19" s="523"/>
      <c r="DK19" s="524" t="e">
        <f t="shared" si="36"/>
        <v>#DIV/0!</v>
      </c>
      <c r="DL19" s="525">
        <f t="shared" si="148"/>
        <v>0</v>
      </c>
      <c r="DM19" s="523"/>
      <c r="DN19" s="524" t="e">
        <f t="shared" si="37"/>
        <v>#DIV/0!</v>
      </c>
      <c r="DO19" s="525">
        <f t="shared" si="149"/>
        <v>0</v>
      </c>
      <c r="DP19" s="523"/>
      <c r="DQ19" s="524" t="e">
        <f t="shared" si="38"/>
        <v>#DIV/0!</v>
      </c>
      <c r="DR19" s="525">
        <f t="shared" si="150"/>
        <v>0</v>
      </c>
      <c r="DS19" s="523"/>
      <c r="DT19" s="524" t="e">
        <f t="shared" si="39"/>
        <v>#DIV/0!</v>
      </c>
      <c r="DU19" s="525">
        <f t="shared" si="151"/>
        <v>0</v>
      </c>
      <c r="DV19" s="523"/>
      <c r="DW19" s="524" t="e">
        <f t="shared" si="40"/>
        <v>#DIV/0!</v>
      </c>
      <c r="DX19" s="525">
        <f t="shared" si="152"/>
        <v>0</v>
      </c>
      <c r="DY19" s="523"/>
      <c r="DZ19" s="524" t="e">
        <f t="shared" si="41"/>
        <v>#DIV/0!</v>
      </c>
      <c r="EA19" s="525">
        <f t="shared" si="153"/>
        <v>0</v>
      </c>
      <c r="EB19" s="523"/>
      <c r="EC19" s="524" t="e">
        <f t="shared" si="42"/>
        <v>#DIV/0!</v>
      </c>
      <c r="ED19" s="525">
        <f t="shared" si="154"/>
        <v>0</v>
      </c>
      <c r="EE19" s="523"/>
      <c r="EF19" s="524" t="e">
        <f t="shared" si="43"/>
        <v>#DIV/0!</v>
      </c>
      <c r="EG19" s="525">
        <f t="shared" si="155"/>
        <v>0</v>
      </c>
      <c r="EH19" s="523"/>
      <c r="EI19" s="524" t="e">
        <f t="shared" si="44"/>
        <v>#DIV/0!</v>
      </c>
      <c r="EJ19" s="525">
        <f t="shared" si="156"/>
        <v>0</v>
      </c>
      <c r="EK19" s="523"/>
      <c r="EL19" s="524" t="e">
        <f t="shared" si="45"/>
        <v>#DIV/0!</v>
      </c>
      <c r="EM19" s="525">
        <f t="shared" si="157"/>
        <v>0</v>
      </c>
      <c r="EN19" s="523"/>
      <c r="EO19" s="524" t="e">
        <f t="shared" si="46"/>
        <v>#DIV/0!</v>
      </c>
      <c r="EP19" s="525">
        <f t="shared" si="158"/>
        <v>0</v>
      </c>
      <c r="EQ19" s="523"/>
      <c r="ER19" s="524" t="e">
        <f t="shared" si="47"/>
        <v>#DIV/0!</v>
      </c>
      <c r="ES19" s="525">
        <f t="shared" si="159"/>
        <v>0</v>
      </c>
      <c r="ET19" s="523"/>
      <c r="EU19" s="524" t="e">
        <f t="shared" si="48"/>
        <v>#DIV/0!</v>
      </c>
      <c r="EV19" s="525">
        <f t="shared" si="160"/>
        <v>0</v>
      </c>
      <c r="EW19" s="523"/>
      <c r="EX19" s="524" t="e">
        <f t="shared" si="49"/>
        <v>#DIV/0!</v>
      </c>
      <c r="EY19" s="525">
        <f t="shared" si="161"/>
        <v>0</v>
      </c>
      <c r="EZ19" s="523"/>
      <c r="FA19" s="524" t="e">
        <f t="shared" si="50"/>
        <v>#DIV/0!</v>
      </c>
      <c r="FB19" s="525">
        <f t="shared" si="162"/>
        <v>0</v>
      </c>
      <c r="FC19" s="523"/>
      <c r="FD19" s="524" t="e">
        <f t="shared" si="51"/>
        <v>#DIV/0!</v>
      </c>
      <c r="FE19" s="525">
        <f t="shared" si="163"/>
        <v>0</v>
      </c>
      <c r="FF19" s="523"/>
      <c r="FG19" s="524" t="e">
        <f t="shared" si="52"/>
        <v>#DIV/0!</v>
      </c>
      <c r="FH19" s="525">
        <f t="shared" si="164"/>
        <v>0</v>
      </c>
      <c r="FI19" s="523"/>
      <c r="FJ19" s="524" t="e">
        <f t="shared" si="53"/>
        <v>#DIV/0!</v>
      </c>
      <c r="FK19" s="525">
        <f t="shared" si="165"/>
        <v>0</v>
      </c>
      <c r="FL19" s="523"/>
      <c r="FM19" s="524" t="e">
        <f t="shared" si="54"/>
        <v>#DIV/0!</v>
      </c>
      <c r="FN19" s="525">
        <f t="shared" si="166"/>
        <v>0</v>
      </c>
      <c r="FO19" s="523"/>
      <c r="FP19" s="524" t="e">
        <f t="shared" si="55"/>
        <v>#DIV/0!</v>
      </c>
      <c r="FQ19" s="525">
        <f t="shared" si="167"/>
        <v>0</v>
      </c>
      <c r="FR19" s="523"/>
      <c r="FS19" s="524" t="e">
        <f t="shared" si="56"/>
        <v>#DIV/0!</v>
      </c>
      <c r="FT19" s="525">
        <f t="shared" si="168"/>
        <v>0</v>
      </c>
      <c r="FU19" s="523"/>
      <c r="FV19" s="524" t="e">
        <f t="shared" si="57"/>
        <v>#DIV/0!</v>
      </c>
      <c r="FW19" s="525">
        <f t="shared" si="169"/>
        <v>0</v>
      </c>
      <c r="FX19" s="523"/>
      <c r="FY19" s="524" t="e">
        <f t="shared" si="58"/>
        <v>#DIV/0!</v>
      </c>
      <c r="FZ19" s="525">
        <f t="shared" si="170"/>
        <v>0</v>
      </c>
      <c r="GA19" s="523"/>
      <c r="GB19" s="524" t="e">
        <f t="shared" si="59"/>
        <v>#DIV/0!</v>
      </c>
      <c r="GC19" s="525">
        <f t="shared" si="171"/>
        <v>0</v>
      </c>
      <c r="GD19" s="523"/>
      <c r="GE19" s="524" t="e">
        <f t="shared" si="60"/>
        <v>#DIV/0!</v>
      </c>
      <c r="GF19" s="525">
        <f t="shared" si="172"/>
        <v>0</v>
      </c>
      <c r="GG19" s="523"/>
      <c r="GH19" s="524" t="e">
        <f t="shared" si="61"/>
        <v>#DIV/0!</v>
      </c>
      <c r="GI19" s="525">
        <f t="shared" si="173"/>
        <v>0</v>
      </c>
      <c r="GJ19" s="523"/>
      <c r="GK19" s="524" t="e">
        <f t="shared" si="62"/>
        <v>#DIV/0!</v>
      </c>
      <c r="GL19" s="525">
        <f t="shared" si="174"/>
        <v>0</v>
      </c>
      <c r="GM19" s="523"/>
      <c r="GN19" s="524" t="e">
        <f t="shared" si="63"/>
        <v>#DIV/0!</v>
      </c>
      <c r="GO19" s="525">
        <f t="shared" si="175"/>
        <v>0</v>
      </c>
      <c r="GP19" s="523"/>
      <c r="GQ19" s="524" t="e">
        <f t="shared" si="64"/>
        <v>#DIV/0!</v>
      </c>
      <c r="GR19" s="525">
        <f t="shared" si="176"/>
        <v>0</v>
      </c>
      <c r="GS19" s="523"/>
      <c r="GT19" s="524" t="e">
        <f t="shared" si="65"/>
        <v>#DIV/0!</v>
      </c>
      <c r="GU19" s="525">
        <f t="shared" si="177"/>
        <v>0</v>
      </c>
      <c r="GV19" s="523"/>
      <c r="GW19" s="524" t="e">
        <f t="shared" si="66"/>
        <v>#DIV/0!</v>
      </c>
      <c r="GX19" s="525">
        <f t="shared" si="178"/>
        <v>0</v>
      </c>
      <c r="GY19" s="523"/>
      <c r="GZ19" s="524" t="e">
        <f t="shared" si="67"/>
        <v>#DIV/0!</v>
      </c>
      <c r="HA19" s="525">
        <f t="shared" si="179"/>
        <v>0</v>
      </c>
      <c r="HB19" s="523"/>
      <c r="HC19" s="524" t="e">
        <f t="shared" si="68"/>
        <v>#DIV/0!</v>
      </c>
      <c r="HD19" s="525">
        <f t="shared" si="180"/>
        <v>0</v>
      </c>
      <c r="HE19" s="523"/>
      <c r="HF19" s="524" t="e">
        <f t="shared" si="69"/>
        <v>#DIV/0!</v>
      </c>
      <c r="HG19" s="525">
        <f t="shared" si="181"/>
        <v>0</v>
      </c>
      <c r="HH19" s="523"/>
      <c r="HI19" s="524" t="e">
        <f t="shared" si="70"/>
        <v>#DIV/0!</v>
      </c>
      <c r="HJ19" s="525">
        <f t="shared" si="182"/>
        <v>0</v>
      </c>
      <c r="HK19" s="523"/>
      <c r="HL19" s="524" t="e">
        <f t="shared" si="71"/>
        <v>#DIV/0!</v>
      </c>
      <c r="HM19" s="525">
        <f t="shared" si="183"/>
        <v>0</v>
      </c>
      <c r="HN19" s="523"/>
      <c r="HO19" s="524" t="e">
        <f t="shared" si="72"/>
        <v>#DIV/0!</v>
      </c>
      <c r="HP19" s="525">
        <f t="shared" si="184"/>
        <v>0</v>
      </c>
      <c r="HQ19" s="523"/>
      <c r="HR19" s="524" t="e">
        <f t="shared" si="73"/>
        <v>#DIV/0!</v>
      </c>
      <c r="HS19" s="525">
        <f t="shared" si="185"/>
        <v>0</v>
      </c>
      <c r="HT19" s="523"/>
      <c r="HU19" s="524" t="e">
        <f t="shared" si="74"/>
        <v>#DIV/0!</v>
      </c>
      <c r="HV19" s="525">
        <f t="shared" si="186"/>
        <v>0</v>
      </c>
      <c r="HW19" s="523"/>
      <c r="HX19" s="524" t="e">
        <f t="shared" si="75"/>
        <v>#DIV/0!</v>
      </c>
      <c r="HY19" s="525">
        <f t="shared" si="187"/>
        <v>0</v>
      </c>
      <c r="HZ19" s="523"/>
      <c r="IA19" s="524" t="e">
        <f t="shared" si="76"/>
        <v>#DIV/0!</v>
      </c>
      <c r="IB19" s="525">
        <f t="shared" si="188"/>
        <v>0</v>
      </c>
      <c r="IC19" s="523"/>
      <c r="ID19" s="524" t="e">
        <f t="shared" si="77"/>
        <v>#DIV/0!</v>
      </c>
      <c r="IE19" s="525">
        <f t="shared" si="189"/>
        <v>0</v>
      </c>
      <c r="IF19" s="523"/>
      <c r="IG19" s="524" t="e">
        <f t="shared" si="78"/>
        <v>#DIV/0!</v>
      </c>
      <c r="IH19" s="525">
        <f t="shared" si="190"/>
        <v>0</v>
      </c>
      <c r="II19" s="523"/>
      <c r="IJ19" s="524" t="e">
        <f t="shared" si="79"/>
        <v>#DIV/0!</v>
      </c>
      <c r="IK19" s="525">
        <f t="shared" si="191"/>
        <v>0</v>
      </c>
      <c r="IL19" s="523"/>
      <c r="IM19" s="524" t="e">
        <f t="shared" si="80"/>
        <v>#DIV/0!</v>
      </c>
      <c r="IN19" s="525">
        <f t="shared" si="192"/>
        <v>0</v>
      </c>
      <c r="IO19" s="523"/>
      <c r="IP19" s="524" t="e">
        <f t="shared" si="81"/>
        <v>#DIV/0!</v>
      </c>
      <c r="IQ19" s="525">
        <f t="shared" si="193"/>
        <v>0</v>
      </c>
      <c r="IR19" s="523"/>
      <c r="IS19" s="524" t="e">
        <f t="shared" si="82"/>
        <v>#DIV/0!</v>
      </c>
      <c r="IT19" s="525">
        <f t="shared" si="194"/>
        <v>0</v>
      </c>
      <c r="IU19" s="523"/>
      <c r="IV19" s="524" t="e">
        <f t="shared" si="83"/>
        <v>#DIV/0!</v>
      </c>
      <c r="IW19" s="525">
        <f t="shared" si="195"/>
        <v>0</v>
      </c>
      <c r="IX19" s="523"/>
      <c r="IY19" s="524" t="e">
        <f t="shared" si="84"/>
        <v>#DIV/0!</v>
      </c>
      <c r="IZ19" s="525">
        <f t="shared" si="196"/>
        <v>0</v>
      </c>
      <c r="JA19" s="523"/>
      <c r="JB19" s="524" t="e">
        <f t="shared" si="85"/>
        <v>#DIV/0!</v>
      </c>
      <c r="JC19" s="525">
        <f t="shared" si="197"/>
        <v>0</v>
      </c>
      <c r="JD19" s="523"/>
      <c r="JE19" s="524" t="e">
        <f t="shared" si="86"/>
        <v>#DIV/0!</v>
      </c>
      <c r="JF19" s="525">
        <f t="shared" si="198"/>
        <v>0</v>
      </c>
      <c r="JG19" s="523"/>
      <c r="JH19" s="524" t="e">
        <f t="shared" si="87"/>
        <v>#DIV/0!</v>
      </c>
      <c r="JI19" s="525">
        <f t="shared" si="199"/>
        <v>0</v>
      </c>
      <c r="JJ19" s="523"/>
      <c r="JK19" s="525" t="str">
        <f t="shared" si="88"/>
        <v>0</v>
      </c>
      <c r="JL19" s="525" t="str">
        <f t="shared" si="89"/>
        <v>0</v>
      </c>
      <c r="JM19" s="523"/>
      <c r="JN19" s="525" t="str">
        <f t="shared" si="90"/>
        <v>0</v>
      </c>
      <c r="JO19" s="525" t="str">
        <f t="shared" si="91"/>
        <v>0</v>
      </c>
      <c r="JP19" s="523"/>
      <c r="JQ19" s="525" t="str">
        <f t="shared" si="92"/>
        <v>0</v>
      </c>
      <c r="JR19" s="525" t="str">
        <f t="shared" si="93"/>
        <v>0</v>
      </c>
      <c r="JS19" s="523"/>
      <c r="JT19" s="525" t="str">
        <f t="shared" si="94"/>
        <v>0</v>
      </c>
      <c r="JU19" s="525" t="str">
        <f t="shared" si="95"/>
        <v>0</v>
      </c>
      <c r="JV19" s="523"/>
      <c r="JW19" s="525" t="str">
        <f t="shared" si="96"/>
        <v>0</v>
      </c>
      <c r="JX19" s="525" t="str">
        <f t="shared" si="97"/>
        <v>0</v>
      </c>
      <c r="JY19" s="523"/>
      <c r="JZ19" s="525" t="str">
        <f t="shared" si="98"/>
        <v>0</v>
      </c>
      <c r="KA19" s="525" t="str">
        <f t="shared" si="99"/>
        <v>0</v>
      </c>
      <c r="KB19" s="523"/>
      <c r="KC19" s="525" t="str">
        <f t="shared" si="100"/>
        <v>0</v>
      </c>
      <c r="KD19" s="525" t="str">
        <f t="shared" si="101"/>
        <v>0</v>
      </c>
      <c r="KE19" s="523"/>
      <c r="KF19" s="525" t="str">
        <f t="shared" si="102"/>
        <v>0</v>
      </c>
      <c r="KG19" s="525" t="str">
        <f t="shared" si="103"/>
        <v>0</v>
      </c>
      <c r="KH19" s="523"/>
      <c r="KI19" s="525" t="str">
        <f t="shared" si="104"/>
        <v>0</v>
      </c>
      <c r="KJ19" s="525" t="str">
        <f t="shared" si="105"/>
        <v>0</v>
      </c>
      <c r="KK19" s="523"/>
      <c r="KL19" s="525" t="str">
        <f t="shared" si="106"/>
        <v>0</v>
      </c>
      <c r="KM19" s="525" t="str">
        <f t="shared" si="107"/>
        <v>0</v>
      </c>
      <c r="KN19" s="523"/>
      <c r="KO19" s="525" t="str">
        <f t="shared" si="108"/>
        <v>0</v>
      </c>
      <c r="KP19" s="525" t="str">
        <f t="shared" si="109"/>
        <v>0</v>
      </c>
      <c r="KQ19" s="523"/>
      <c r="KR19" s="525" t="str">
        <f t="shared" si="110"/>
        <v>0</v>
      </c>
      <c r="KS19" s="525" t="str">
        <f t="shared" si="111"/>
        <v>0</v>
      </c>
      <c r="KT19" s="525">
        <f t="shared" si="201"/>
        <v>0</v>
      </c>
      <c r="KU19" s="525">
        <f t="shared" si="202"/>
        <v>0</v>
      </c>
      <c r="KV19" s="261">
        <f t="shared" si="112"/>
        <v>0</v>
      </c>
    </row>
    <row r="20" spans="1:308">
      <c r="A20" s="262">
        <f t="shared" si="200"/>
        <v>45973</v>
      </c>
      <c r="B20" s="263" t="str">
        <f>+Report1!B20</f>
        <v>STOP</v>
      </c>
      <c r="C20" s="263" t="str">
        <f>+Report1!C20</f>
        <v>12</v>
      </c>
      <c r="D20" s="264">
        <f>+Report1!P20</f>
        <v>0</v>
      </c>
      <c r="E20" s="562">
        <f>+Report1!R20</f>
        <v>0</v>
      </c>
      <c r="F20" s="523"/>
      <c r="G20" s="524" t="e">
        <f t="shared" si="0"/>
        <v>#DIV/0!</v>
      </c>
      <c r="H20" s="525">
        <f t="shared" si="113"/>
        <v>0</v>
      </c>
      <c r="I20" s="523"/>
      <c r="J20" s="524" t="e">
        <f t="shared" si="1"/>
        <v>#DIV/0!</v>
      </c>
      <c r="K20" s="525">
        <f t="shared" si="114"/>
        <v>0</v>
      </c>
      <c r="L20" s="523"/>
      <c r="M20" s="524" t="e">
        <f t="shared" si="2"/>
        <v>#DIV/0!</v>
      </c>
      <c r="N20" s="525">
        <f t="shared" si="115"/>
        <v>0</v>
      </c>
      <c r="O20" s="523"/>
      <c r="P20" s="524" t="e">
        <f t="shared" si="3"/>
        <v>#DIV/0!</v>
      </c>
      <c r="Q20" s="525">
        <f t="shared" si="116"/>
        <v>0</v>
      </c>
      <c r="R20" s="523"/>
      <c r="S20" s="524" t="e">
        <f t="shared" si="4"/>
        <v>#DIV/0!</v>
      </c>
      <c r="T20" s="525">
        <f t="shared" si="117"/>
        <v>0</v>
      </c>
      <c r="U20" s="523"/>
      <c r="V20" s="524" t="e">
        <f t="shared" si="5"/>
        <v>#DIV/0!</v>
      </c>
      <c r="W20" s="525">
        <f t="shared" si="118"/>
        <v>0</v>
      </c>
      <c r="X20" s="523"/>
      <c r="Y20" s="524" t="e">
        <f t="shared" si="6"/>
        <v>#DIV/0!</v>
      </c>
      <c r="Z20" s="525">
        <f t="shared" si="119"/>
        <v>0</v>
      </c>
      <c r="AA20" s="523"/>
      <c r="AB20" s="524" t="e">
        <f t="shared" si="7"/>
        <v>#DIV/0!</v>
      </c>
      <c r="AC20" s="525">
        <f t="shared" si="120"/>
        <v>0</v>
      </c>
      <c r="AD20" s="523"/>
      <c r="AE20" s="524" t="e">
        <f t="shared" si="8"/>
        <v>#DIV/0!</v>
      </c>
      <c r="AF20" s="525">
        <f t="shared" si="121"/>
        <v>0</v>
      </c>
      <c r="AG20" s="523"/>
      <c r="AH20" s="524" t="e">
        <f t="shared" si="9"/>
        <v>#DIV/0!</v>
      </c>
      <c r="AI20" s="525">
        <f t="shared" si="122"/>
        <v>0</v>
      </c>
      <c r="AJ20" s="523"/>
      <c r="AK20" s="524" t="e">
        <f t="shared" si="10"/>
        <v>#DIV/0!</v>
      </c>
      <c r="AL20" s="525">
        <f t="shared" si="123"/>
        <v>0</v>
      </c>
      <c r="AM20" s="523"/>
      <c r="AN20" s="524" t="e">
        <f t="shared" si="11"/>
        <v>#DIV/0!</v>
      </c>
      <c r="AO20" s="525">
        <f t="shared" si="124"/>
        <v>0</v>
      </c>
      <c r="AP20" s="523"/>
      <c r="AQ20" s="524" t="e">
        <f t="shared" si="12"/>
        <v>#DIV/0!</v>
      </c>
      <c r="AR20" s="525">
        <f t="shared" si="125"/>
        <v>0</v>
      </c>
      <c r="AS20" s="523"/>
      <c r="AT20" s="524" t="e">
        <f t="shared" si="13"/>
        <v>#DIV/0!</v>
      </c>
      <c r="AU20" s="525">
        <f t="shared" si="126"/>
        <v>0</v>
      </c>
      <c r="AV20" s="523"/>
      <c r="AW20" s="524" t="e">
        <f t="shared" si="14"/>
        <v>#DIV/0!</v>
      </c>
      <c r="AX20" s="525">
        <f t="shared" si="127"/>
        <v>0</v>
      </c>
      <c r="AY20" s="523"/>
      <c r="AZ20" s="524" t="e">
        <f t="shared" si="15"/>
        <v>#DIV/0!</v>
      </c>
      <c r="BA20" s="525">
        <f t="shared" si="128"/>
        <v>0</v>
      </c>
      <c r="BB20" s="523"/>
      <c r="BC20" s="524" t="e">
        <f t="shared" si="16"/>
        <v>#DIV/0!</v>
      </c>
      <c r="BD20" s="525">
        <f t="shared" si="129"/>
        <v>0</v>
      </c>
      <c r="BE20" s="523"/>
      <c r="BF20" s="524" t="e">
        <f t="shared" si="17"/>
        <v>#DIV/0!</v>
      </c>
      <c r="BG20" s="525">
        <f t="shared" si="130"/>
        <v>0</v>
      </c>
      <c r="BH20" s="523"/>
      <c r="BI20" s="524" t="e">
        <f t="shared" si="18"/>
        <v>#DIV/0!</v>
      </c>
      <c r="BJ20" s="525">
        <f t="shared" si="131"/>
        <v>0</v>
      </c>
      <c r="BK20" s="523"/>
      <c r="BL20" s="524" t="e">
        <f t="shared" si="19"/>
        <v>#DIV/0!</v>
      </c>
      <c r="BM20" s="525">
        <f t="shared" si="132"/>
        <v>0</v>
      </c>
      <c r="BN20" s="523"/>
      <c r="BO20" s="524" t="e">
        <f t="shared" si="20"/>
        <v>#DIV/0!</v>
      </c>
      <c r="BP20" s="525">
        <f t="shared" si="133"/>
        <v>0</v>
      </c>
      <c r="BQ20" s="523"/>
      <c r="BR20" s="524" t="e">
        <f t="shared" si="21"/>
        <v>#DIV/0!</v>
      </c>
      <c r="BS20" s="525">
        <f t="shared" si="134"/>
        <v>0</v>
      </c>
      <c r="BT20" s="523"/>
      <c r="BU20" s="524" t="e">
        <f t="shared" si="22"/>
        <v>#DIV/0!</v>
      </c>
      <c r="BV20" s="525">
        <f t="shared" si="135"/>
        <v>0</v>
      </c>
      <c r="BW20" s="523"/>
      <c r="BX20" s="524" t="e">
        <f t="shared" si="23"/>
        <v>#DIV/0!</v>
      </c>
      <c r="BY20" s="525">
        <f t="shared" si="136"/>
        <v>0</v>
      </c>
      <c r="BZ20" s="523"/>
      <c r="CA20" s="524" t="e">
        <f t="shared" si="24"/>
        <v>#DIV/0!</v>
      </c>
      <c r="CB20" s="525">
        <f t="shared" si="137"/>
        <v>0</v>
      </c>
      <c r="CC20" s="523"/>
      <c r="CD20" s="524" t="e">
        <f t="shared" si="25"/>
        <v>#DIV/0!</v>
      </c>
      <c r="CE20" s="525">
        <f t="shared" si="138"/>
        <v>0</v>
      </c>
      <c r="CF20" s="523"/>
      <c r="CG20" s="524" t="e">
        <f t="shared" si="26"/>
        <v>#DIV/0!</v>
      </c>
      <c r="CH20" s="525">
        <f t="shared" si="139"/>
        <v>0</v>
      </c>
      <c r="CI20" s="523"/>
      <c r="CJ20" s="524" t="e">
        <f t="shared" si="27"/>
        <v>#DIV/0!</v>
      </c>
      <c r="CK20" s="525">
        <f t="shared" si="140"/>
        <v>0</v>
      </c>
      <c r="CL20" s="523"/>
      <c r="CM20" s="524" t="e">
        <f t="shared" si="28"/>
        <v>#DIV/0!</v>
      </c>
      <c r="CN20" s="525">
        <f t="shared" si="141"/>
        <v>0</v>
      </c>
      <c r="CO20" s="523"/>
      <c r="CP20" s="524" t="e">
        <f t="shared" si="29"/>
        <v>#DIV/0!</v>
      </c>
      <c r="CQ20" s="525">
        <f t="shared" si="142"/>
        <v>0</v>
      </c>
      <c r="CR20" s="523"/>
      <c r="CS20" s="524" t="e">
        <f t="shared" si="30"/>
        <v>#DIV/0!</v>
      </c>
      <c r="CT20" s="525">
        <f t="shared" si="143"/>
        <v>0</v>
      </c>
      <c r="CU20" s="523"/>
      <c r="CV20" s="524" t="e">
        <f t="shared" si="31"/>
        <v>#DIV/0!</v>
      </c>
      <c r="CW20" s="525">
        <f t="shared" si="144"/>
        <v>0</v>
      </c>
      <c r="CX20" s="523"/>
      <c r="CY20" s="524" t="e">
        <f t="shared" si="32"/>
        <v>#DIV/0!</v>
      </c>
      <c r="CZ20" s="525">
        <f t="shared" si="145"/>
        <v>0</v>
      </c>
      <c r="DA20" s="523"/>
      <c r="DB20" s="524" t="e">
        <f t="shared" si="33"/>
        <v>#DIV/0!</v>
      </c>
      <c r="DC20" s="525">
        <f t="shared" si="146"/>
        <v>0</v>
      </c>
      <c r="DD20" s="523"/>
      <c r="DE20" s="524" t="e">
        <f t="shared" si="34"/>
        <v>#DIV/0!</v>
      </c>
      <c r="DF20" s="525">
        <f t="shared" si="147"/>
        <v>0</v>
      </c>
      <c r="DG20" s="523"/>
      <c r="DH20" s="524" t="e">
        <f t="shared" si="35"/>
        <v>#DIV/0!</v>
      </c>
      <c r="DI20" s="525">
        <f t="shared" si="203"/>
        <v>0</v>
      </c>
      <c r="DJ20" s="523"/>
      <c r="DK20" s="524" t="e">
        <f t="shared" si="36"/>
        <v>#DIV/0!</v>
      </c>
      <c r="DL20" s="525">
        <f t="shared" si="148"/>
        <v>0</v>
      </c>
      <c r="DM20" s="523"/>
      <c r="DN20" s="524" t="e">
        <f t="shared" si="37"/>
        <v>#DIV/0!</v>
      </c>
      <c r="DO20" s="525">
        <f t="shared" si="149"/>
        <v>0</v>
      </c>
      <c r="DP20" s="523"/>
      <c r="DQ20" s="524" t="e">
        <f t="shared" si="38"/>
        <v>#DIV/0!</v>
      </c>
      <c r="DR20" s="525">
        <f t="shared" si="150"/>
        <v>0</v>
      </c>
      <c r="DS20" s="523"/>
      <c r="DT20" s="524" t="e">
        <f t="shared" si="39"/>
        <v>#DIV/0!</v>
      </c>
      <c r="DU20" s="525">
        <f t="shared" si="151"/>
        <v>0</v>
      </c>
      <c r="DV20" s="523"/>
      <c r="DW20" s="524" t="e">
        <f t="shared" si="40"/>
        <v>#DIV/0!</v>
      </c>
      <c r="DX20" s="525">
        <f t="shared" si="152"/>
        <v>0</v>
      </c>
      <c r="DY20" s="523"/>
      <c r="DZ20" s="524" t="e">
        <f t="shared" si="41"/>
        <v>#DIV/0!</v>
      </c>
      <c r="EA20" s="525">
        <f t="shared" si="153"/>
        <v>0</v>
      </c>
      <c r="EB20" s="523"/>
      <c r="EC20" s="524" t="e">
        <f t="shared" si="42"/>
        <v>#DIV/0!</v>
      </c>
      <c r="ED20" s="525">
        <f t="shared" si="154"/>
        <v>0</v>
      </c>
      <c r="EE20" s="523"/>
      <c r="EF20" s="524" t="e">
        <f t="shared" si="43"/>
        <v>#DIV/0!</v>
      </c>
      <c r="EG20" s="525">
        <f t="shared" si="155"/>
        <v>0</v>
      </c>
      <c r="EH20" s="523"/>
      <c r="EI20" s="524" t="e">
        <f t="shared" si="44"/>
        <v>#DIV/0!</v>
      </c>
      <c r="EJ20" s="525">
        <f t="shared" si="156"/>
        <v>0</v>
      </c>
      <c r="EK20" s="523"/>
      <c r="EL20" s="524" t="e">
        <f t="shared" si="45"/>
        <v>#DIV/0!</v>
      </c>
      <c r="EM20" s="525">
        <f t="shared" si="157"/>
        <v>0</v>
      </c>
      <c r="EN20" s="523"/>
      <c r="EO20" s="524" t="e">
        <f t="shared" si="46"/>
        <v>#DIV/0!</v>
      </c>
      <c r="EP20" s="525">
        <f t="shared" si="158"/>
        <v>0</v>
      </c>
      <c r="EQ20" s="523"/>
      <c r="ER20" s="524" t="e">
        <f t="shared" si="47"/>
        <v>#DIV/0!</v>
      </c>
      <c r="ES20" s="525">
        <f t="shared" si="159"/>
        <v>0</v>
      </c>
      <c r="ET20" s="523"/>
      <c r="EU20" s="524" t="e">
        <f t="shared" si="48"/>
        <v>#DIV/0!</v>
      </c>
      <c r="EV20" s="525">
        <f t="shared" si="160"/>
        <v>0</v>
      </c>
      <c r="EW20" s="523"/>
      <c r="EX20" s="524" t="e">
        <f t="shared" si="49"/>
        <v>#DIV/0!</v>
      </c>
      <c r="EY20" s="525">
        <f t="shared" si="161"/>
        <v>0</v>
      </c>
      <c r="EZ20" s="523"/>
      <c r="FA20" s="524" t="e">
        <f t="shared" si="50"/>
        <v>#DIV/0!</v>
      </c>
      <c r="FB20" s="525">
        <f t="shared" si="162"/>
        <v>0</v>
      </c>
      <c r="FC20" s="523"/>
      <c r="FD20" s="524" t="e">
        <f t="shared" si="51"/>
        <v>#DIV/0!</v>
      </c>
      <c r="FE20" s="525">
        <f t="shared" si="163"/>
        <v>0</v>
      </c>
      <c r="FF20" s="523"/>
      <c r="FG20" s="524" t="e">
        <f t="shared" si="52"/>
        <v>#DIV/0!</v>
      </c>
      <c r="FH20" s="525">
        <f t="shared" si="164"/>
        <v>0</v>
      </c>
      <c r="FI20" s="523"/>
      <c r="FJ20" s="524" t="e">
        <f t="shared" si="53"/>
        <v>#DIV/0!</v>
      </c>
      <c r="FK20" s="525">
        <f t="shared" si="165"/>
        <v>0</v>
      </c>
      <c r="FL20" s="523"/>
      <c r="FM20" s="524" t="e">
        <f t="shared" si="54"/>
        <v>#DIV/0!</v>
      </c>
      <c r="FN20" s="525">
        <f t="shared" si="166"/>
        <v>0</v>
      </c>
      <c r="FO20" s="523"/>
      <c r="FP20" s="524" t="e">
        <f t="shared" si="55"/>
        <v>#DIV/0!</v>
      </c>
      <c r="FQ20" s="525">
        <f t="shared" si="167"/>
        <v>0</v>
      </c>
      <c r="FR20" s="523"/>
      <c r="FS20" s="524" t="e">
        <f t="shared" si="56"/>
        <v>#DIV/0!</v>
      </c>
      <c r="FT20" s="525">
        <f t="shared" si="168"/>
        <v>0</v>
      </c>
      <c r="FU20" s="523"/>
      <c r="FV20" s="524" t="e">
        <f t="shared" si="57"/>
        <v>#DIV/0!</v>
      </c>
      <c r="FW20" s="525">
        <f t="shared" si="169"/>
        <v>0</v>
      </c>
      <c r="FX20" s="523"/>
      <c r="FY20" s="524" t="e">
        <f t="shared" si="58"/>
        <v>#DIV/0!</v>
      </c>
      <c r="FZ20" s="525">
        <f t="shared" si="170"/>
        <v>0</v>
      </c>
      <c r="GA20" s="523"/>
      <c r="GB20" s="524" t="e">
        <f t="shared" si="59"/>
        <v>#DIV/0!</v>
      </c>
      <c r="GC20" s="525">
        <f t="shared" si="171"/>
        <v>0</v>
      </c>
      <c r="GD20" s="523"/>
      <c r="GE20" s="524" t="e">
        <f t="shared" si="60"/>
        <v>#DIV/0!</v>
      </c>
      <c r="GF20" s="525">
        <f t="shared" si="172"/>
        <v>0</v>
      </c>
      <c r="GG20" s="523"/>
      <c r="GH20" s="524" t="e">
        <f t="shared" si="61"/>
        <v>#DIV/0!</v>
      </c>
      <c r="GI20" s="525">
        <f t="shared" si="173"/>
        <v>0</v>
      </c>
      <c r="GJ20" s="523"/>
      <c r="GK20" s="524" t="e">
        <f t="shared" si="62"/>
        <v>#DIV/0!</v>
      </c>
      <c r="GL20" s="525">
        <f t="shared" si="174"/>
        <v>0</v>
      </c>
      <c r="GM20" s="523"/>
      <c r="GN20" s="524" t="e">
        <f t="shared" si="63"/>
        <v>#DIV/0!</v>
      </c>
      <c r="GO20" s="525">
        <f t="shared" si="175"/>
        <v>0</v>
      </c>
      <c r="GP20" s="523"/>
      <c r="GQ20" s="524" t="e">
        <f t="shared" si="64"/>
        <v>#DIV/0!</v>
      </c>
      <c r="GR20" s="525">
        <f t="shared" si="176"/>
        <v>0</v>
      </c>
      <c r="GS20" s="523"/>
      <c r="GT20" s="524" t="e">
        <f t="shared" si="65"/>
        <v>#DIV/0!</v>
      </c>
      <c r="GU20" s="525">
        <f t="shared" si="177"/>
        <v>0</v>
      </c>
      <c r="GV20" s="523"/>
      <c r="GW20" s="524" t="e">
        <f t="shared" si="66"/>
        <v>#DIV/0!</v>
      </c>
      <c r="GX20" s="525">
        <f t="shared" si="178"/>
        <v>0</v>
      </c>
      <c r="GY20" s="523"/>
      <c r="GZ20" s="524" t="e">
        <f t="shared" si="67"/>
        <v>#DIV/0!</v>
      </c>
      <c r="HA20" s="525">
        <f t="shared" si="179"/>
        <v>0</v>
      </c>
      <c r="HB20" s="523"/>
      <c r="HC20" s="524" t="e">
        <f t="shared" si="68"/>
        <v>#DIV/0!</v>
      </c>
      <c r="HD20" s="525">
        <f t="shared" si="180"/>
        <v>0</v>
      </c>
      <c r="HE20" s="523"/>
      <c r="HF20" s="524" t="e">
        <f t="shared" si="69"/>
        <v>#DIV/0!</v>
      </c>
      <c r="HG20" s="525">
        <f t="shared" si="181"/>
        <v>0</v>
      </c>
      <c r="HH20" s="523"/>
      <c r="HI20" s="524" t="e">
        <f t="shared" si="70"/>
        <v>#DIV/0!</v>
      </c>
      <c r="HJ20" s="525">
        <f t="shared" si="182"/>
        <v>0</v>
      </c>
      <c r="HK20" s="523"/>
      <c r="HL20" s="524" t="e">
        <f t="shared" si="71"/>
        <v>#DIV/0!</v>
      </c>
      <c r="HM20" s="525">
        <f t="shared" si="183"/>
        <v>0</v>
      </c>
      <c r="HN20" s="523"/>
      <c r="HO20" s="524" t="e">
        <f t="shared" si="72"/>
        <v>#DIV/0!</v>
      </c>
      <c r="HP20" s="525">
        <f t="shared" si="184"/>
        <v>0</v>
      </c>
      <c r="HQ20" s="523"/>
      <c r="HR20" s="524" t="e">
        <f t="shared" si="73"/>
        <v>#DIV/0!</v>
      </c>
      <c r="HS20" s="525">
        <f t="shared" si="185"/>
        <v>0</v>
      </c>
      <c r="HT20" s="523"/>
      <c r="HU20" s="524" t="e">
        <f t="shared" si="74"/>
        <v>#DIV/0!</v>
      </c>
      <c r="HV20" s="525">
        <f t="shared" si="186"/>
        <v>0</v>
      </c>
      <c r="HW20" s="523"/>
      <c r="HX20" s="524" t="e">
        <f t="shared" si="75"/>
        <v>#DIV/0!</v>
      </c>
      <c r="HY20" s="525">
        <f t="shared" si="187"/>
        <v>0</v>
      </c>
      <c r="HZ20" s="523"/>
      <c r="IA20" s="524" t="e">
        <f t="shared" si="76"/>
        <v>#DIV/0!</v>
      </c>
      <c r="IB20" s="525">
        <f t="shared" si="188"/>
        <v>0</v>
      </c>
      <c r="IC20" s="523"/>
      <c r="ID20" s="524" t="e">
        <f t="shared" si="77"/>
        <v>#DIV/0!</v>
      </c>
      <c r="IE20" s="525">
        <f t="shared" si="189"/>
        <v>0</v>
      </c>
      <c r="IF20" s="523"/>
      <c r="IG20" s="524" t="e">
        <f t="shared" si="78"/>
        <v>#DIV/0!</v>
      </c>
      <c r="IH20" s="525">
        <f t="shared" si="190"/>
        <v>0</v>
      </c>
      <c r="II20" s="523"/>
      <c r="IJ20" s="524" t="e">
        <f t="shared" si="79"/>
        <v>#DIV/0!</v>
      </c>
      <c r="IK20" s="525">
        <f t="shared" si="191"/>
        <v>0</v>
      </c>
      <c r="IL20" s="523"/>
      <c r="IM20" s="524" t="e">
        <f t="shared" si="80"/>
        <v>#DIV/0!</v>
      </c>
      <c r="IN20" s="525">
        <f t="shared" si="192"/>
        <v>0</v>
      </c>
      <c r="IO20" s="523"/>
      <c r="IP20" s="524" t="e">
        <f t="shared" si="81"/>
        <v>#DIV/0!</v>
      </c>
      <c r="IQ20" s="525">
        <f t="shared" si="193"/>
        <v>0</v>
      </c>
      <c r="IR20" s="523"/>
      <c r="IS20" s="524" t="e">
        <f t="shared" si="82"/>
        <v>#DIV/0!</v>
      </c>
      <c r="IT20" s="525">
        <f t="shared" si="194"/>
        <v>0</v>
      </c>
      <c r="IU20" s="523"/>
      <c r="IV20" s="524" t="e">
        <f t="shared" si="83"/>
        <v>#DIV/0!</v>
      </c>
      <c r="IW20" s="525">
        <f t="shared" si="195"/>
        <v>0</v>
      </c>
      <c r="IX20" s="523"/>
      <c r="IY20" s="524" t="e">
        <f t="shared" si="84"/>
        <v>#DIV/0!</v>
      </c>
      <c r="IZ20" s="525">
        <f t="shared" si="196"/>
        <v>0</v>
      </c>
      <c r="JA20" s="523"/>
      <c r="JB20" s="524" t="e">
        <f t="shared" si="85"/>
        <v>#DIV/0!</v>
      </c>
      <c r="JC20" s="525">
        <f t="shared" si="197"/>
        <v>0</v>
      </c>
      <c r="JD20" s="523"/>
      <c r="JE20" s="524" t="e">
        <f t="shared" si="86"/>
        <v>#DIV/0!</v>
      </c>
      <c r="JF20" s="525">
        <f t="shared" si="198"/>
        <v>0</v>
      </c>
      <c r="JG20" s="523"/>
      <c r="JH20" s="524" t="e">
        <f t="shared" si="87"/>
        <v>#DIV/0!</v>
      </c>
      <c r="JI20" s="525">
        <f t="shared" si="199"/>
        <v>0</v>
      </c>
      <c r="JJ20" s="523"/>
      <c r="JK20" s="525" t="str">
        <f t="shared" si="88"/>
        <v>0</v>
      </c>
      <c r="JL20" s="525" t="str">
        <f t="shared" si="89"/>
        <v>0</v>
      </c>
      <c r="JM20" s="523"/>
      <c r="JN20" s="525" t="str">
        <f t="shared" si="90"/>
        <v>0</v>
      </c>
      <c r="JO20" s="525" t="str">
        <f t="shared" si="91"/>
        <v>0</v>
      </c>
      <c r="JP20" s="523"/>
      <c r="JQ20" s="525" t="str">
        <f t="shared" si="92"/>
        <v>0</v>
      </c>
      <c r="JR20" s="525" t="str">
        <f t="shared" si="93"/>
        <v>0</v>
      </c>
      <c r="JS20" s="523"/>
      <c r="JT20" s="525" t="str">
        <f t="shared" si="94"/>
        <v>0</v>
      </c>
      <c r="JU20" s="525" t="str">
        <f t="shared" si="95"/>
        <v>0</v>
      </c>
      <c r="JV20" s="523"/>
      <c r="JW20" s="525" t="str">
        <f t="shared" si="96"/>
        <v>0</v>
      </c>
      <c r="JX20" s="525" t="str">
        <f t="shared" si="97"/>
        <v>0</v>
      </c>
      <c r="JY20" s="523"/>
      <c r="JZ20" s="525" t="str">
        <f t="shared" si="98"/>
        <v>0</v>
      </c>
      <c r="KA20" s="525" t="str">
        <f t="shared" si="99"/>
        <v>0</v>
      </c>
      <c r="KB20" s="523"/>
      <c r="KC20" s="525" t="str">
        <f t="shared" si="100"/>
        <v>0</v>
      </c>
      <c r="KD20" s="525" t="str">
        <f t="shared" si="101"/>
        <v>0</v>
      </c>
      <c r="KE20" s="523"/>
      <c r="KF20" s="525" t="str">
        <f t="shared" si="102"/>
        <v>0</v>
      </c>
      <c r="KG20" s="525" t="str">
        <f t="shared" si="103"/>
        <v>0</v>
      </c>
      <c r="KH20" s="523"/>
      <c r="KI20" s="525" t="str">
        <f t="shared" si="104"/>
        <v>0</v>
      </c>
      <c r="KJ20" s="525" t="str">
        <f t="shared" si="105"/>
        <v>0</v>
      </c>
      <c r="KK20" s="523"/>
      <c r="KL20" s="525" t="str">
        <f t="shared" si="106"/>
        <v>0</v>
      </c>
      <c r="KM20" s="525" t="str">
        <f t="shared" si="107"/>
        <v>0</v>
      </c>
      <c r="KN20" s="523"/>
      <c r="KO20" s="525" t="str">
        <f t="shared" si="108"/>
        <v>0</v>
      </c>
      <c r="KP20" s="525" t="str">
        <f t="shared" si="109"/>
        <v>0</v>
      </c>
      <c r="KQ20" s="523"/>
      <c r="KR20" s="525" t="str">
        <f t="shared" si="110"/>
        <v>0</v>
      </c>
      <c r="KS20" s="525" t="str">
        <f t="shared" si="111"/>
        <v>0</v>
      </c>
      <c r="KT20" s="525">
        <f t="shared" si="201"/>
        <v>0</v>
      </c>
      <c r="KU20" s="525">
        <f t="shared" si="202"/>
        <v>0</v>
      </c>
      <c r="KV20" s="261">
        <f t="shared" si="112"/>
        <v>0</v>
      </c>
    </row>
    <row r="21" spans="1:308">
      <c r="A21" s="262">
        <f t="shared" si="200"/>
        <v>45974</v>
      </c>
      <c r="B21" s="263" t="str">
        <f>+Report1!B21</f>
        <v>STOP</v>
      </c>
      <c r="C21" s="263" t="str">
        <f>+Report1!C21</f>
        <v>12</v>
      </c>
      <c r="D21" s="264">
        <f>+Report1!P21</f>
        <v>0</v>
      </c>
      <c r="E21" s="562">
        <f>+Report1!R21</f>
        <v>0</v>
      </c>
      <c r="F21" s="523"/>
      <c r="G21" s="524" t="e">
        <f t="shared" si="0"/>
        <v>#DIV/0!</v>
      </c>
      <c r="H21" s="525">
        <f t="shared" si="113"/>
        <v>0</v>
      </c>
      <c r="I21" s="523"/>
      <c r="J21" s="524" t="e">
        <f t="shared" si="1"/>
        <v>#DIV/0!</v>
      </c>
      <c r="K21" s="525">
        <f t="shared" si="114"/>
        <v>0</v>
      </c>
      <c r="L21" s="523"/>
      <c r="M21" s="524" t="e">
        <f t="shared" si="2"/>
        <v>#DIV/0!</v>
      </c>
      <c r="N21" s="525">
        <f t="shared" si="115"/>
        <v>0</v>
      </c>
      <c r="O21" s="523"/>
      <c r="P21" s="524" t="e">
        <f t="shared" si="3"/>
        <v>#DIV/0!</v>
      </c>
      <c r="Q21" s="525">
        <f t="shared" si="116"/>
        <v>0</v>
      </c>
      <c r="R21" s="523"/>
      <c r="S21" s="524" t="e">
        <f t="shared" si="4"/>
        <v>#DIV/0!</v>
      </c>
      <c r="T21" s="525">
        <f t="shared" si="117"/>
        <v>0</v>
      </c>
      <c r="U21" s="523"/>
      <c r="V21" s="524" t="e">
        <f t="shared" si="5"/>
        <v>#DIV/0!</v>
      </c>
      <c r="W21" s="525">
        <f t="shared" si="118"/>
        <v>0</v>
      </c>
      <c r="X21" s="523"/>
      <c r="Y21" s="524" t="e">
        <f t="shared" si="6"/>
        <v>#DIV/0!</v>
      </c>
      <c r="Z21" s="525">
        <f t="shared" si="119"/>
        <v>0</v>
      </c>
      <c r="AA21" s="523"/>
      <c r="AB21" s="524" t="e">
        <f t="shared" si="7"/>
        <v>#DIV/0!</v>
      </c>
      <c r="AC21" s="525">
        <f t="shared" si="120"/>
        <v>0</v>
      </c>
      <c r="AD21" s="523"/>
      <c r="AE21" s="524" t="e">
        <f t="shared" si="8"/>
        <v>#DIV/0!</v>
      </c>
      <c r="AF21" s="525">
        <f t="shared" si="121"/>
        <v>0</v>
      </c>
      <c r="AG21" s="523"/>
      <c r="AH21" s="524" t="e">
        <f t="shared" si="9"/>
        <v>#DIV/0!</v>
      </c>
      <c r="AI21" s="525">
        <f t="shared" si="122"/>
        <v>0</v>
      </c>
      <c r="AJ21" s="523"/>
      <c r="AK21" s="524" t="e">
        <f t="shared" si="10"/>
        <v>#DIV/0!</v>
      </c>
      <c r="AL21" s="525">
        <f t="shared" si="123"/>
        <v>0</v>
      </c>
      <c r="AM21" s="523"/>
      <c r="AN21" s="524" t="e">
        <f t="shared" si="11"/>
        <v>#DIV/0!</v>
      </c>
      <c r="AO21" s="525">
        <f t="shared" si="124"/>
        <v>0</v>
      </c>
      <c r="AP21" s="523"/>
      <c r="AQ21" s="524" t="e">
        <f t="shared" si="12"/>
        <v>#DIV/0!</v>
      </c>
      <c r="AR21" s="525">
        <f t="shared" si="125"/>
        <v>0</v>
      </c>
      <c r="AS21" s="523"/>
      <c r="AT21" s="524" t="e">
        <f t="shared" si="13"/>
        <v>#DIV/0!</v>
      </c>
      <c r="AU21" s="525">
        <f t="shared" si="126"/>
        <v>0</v>
      </c>
      <c r="AV21" s="523"/>
      <c r="AW21" s="524" t="e">
        <f t="shared" si="14"/>
        <v>#DIV/0!</v>
      </c>
      <c r="AX21" s="525">
        <f t="shared" si="127"/>
        <v>0</v>
      </c>
      <c r="AY21" s="523"/>
      <c r="AZ21" s="524" t="e">
        <f t="shared" si="15"/>
        <v>#DIV/0!</v>
      </c>
      <c r="BA21" s="525">
        <f t="shared" si="128"/>
        <v>0</v>
      </c>
      <c r="BB21" s="523"/>
      <c r="BC21" s="524" t="e">
        <f t="shared" si="16"/>
        <v>#DIV/0!</v>
      </c>
      <c r="BD21" s="525">
        <f t="shared" si="129"/>
        <v>0</v>
      </c>
      <c r="BE21" s="523"/>
      <c r="BF21" s="524" t="e">
        <f t="shared" si="17"/>
        <v>#DIV/0!</v>
      </c>
      <c r="BG21" s="525">
        <f t="shared" si="130"/>
        <v>0</v>
      </c>
      <c r="BH21" s="523"/>
      <c r="BI21" s="524" t="e">
        <f t="shared" si="18"/>
        <v>#DIV/0!</v>
      </c>
      <c r="BJ21" s="525">
        <f t="shared" si="131"/>
        <v>0</v>
      </c>
      <c r="BK21" s="523"/>
      <c r="BL21" s="524" t="e">
        <f t="shared" si="19"/>
        <v>#DIV/0!</v>
      </c>
      <c r="BM21" s="525">
        <f t="shared" si="132"/>
        <v>0</v>
      </c>
      <c r="BN21" s="523"/>
      <c r="BO21" s="524" t="e">
        <f t="shared" si="20"/>
        <v>#DIV/0!</v>
      </c>
      <c r="BP21" s="525">
        <f t="shared" si="133"/>
        <v>0</v>
      </c>
      <c r="BQ21" s="523"/>
      <c r="BR21" s="524" t="e">
        <f t="shared" si="21"/>
        <v>#DIV/0!</v>
      </c>
      <c r="BS21" s="525">
        <f t="shared" si="134"/>
        <v>0</v>
      </c>
      <c r="BT21" s="523"/>
      <c r="BU21" s="524" t="e">
        <f t="shared" si="22"/>
        <v>#DIV/0!</v>
      </c>
      <c r="BV21" s="525">
        <f t="shared" si="135"/>
        <v>0</v>
      </c>
      <c r="BW21" s="523"/>
      <c r="BX21" s="524" t="e">
        <f t="shared" si="23"/>
        <v>#DIV/0!</v>
      </c>
      <c r="BY21" s="525">
        <f t="shared" si="136"/>
        <v>0</v>
      </c>
      <c r="BZ21" s="523"/>
      <c r="CA21" s="524" t="e">
        <f t="shared" si="24"/>
        <v>#DIV/0!</v>
      </c>
      <c r="CB21" s="525">
        <f t="shared" si="137"/>
        <v>0</v>
      </c>
      <c r="CC21" s="523"/>
      <c r="CD21" s="524" t="e">
        <f t="shared" si="25"/>
        <v>#DIV/0!</v>
      </c>
      <c r="CE21" s="525">
        <f t="shared" si="138"/>
        <v>0</v>
      </c>
      <c r="CF21" s="523"/>
      <c r="CG21" s="524" t="e">
        <f t="shared" si="26"/>
        <v>#DIV/0!</v>
      </c>
      <c r="CH21" s="525">
        <f t="shared" si="139"/>
        <v>0</v>
      </c>
      <c r="CI21" s="523"/>
      <c r="CJ21" s="524" t="e">
        <f t="shared" si="27"/>
        <v>#DIV/0!</v>
      </c>
      <c r="CK21" s="525">
        <f t="shared" si="140"/>
        <v>0</v>
      </c>
      <c r="CL21" s="523"/>
      <c r="CM21" s="524" t="e">
        <f t="shared" si="28"/>
        <v>#DIV/0!</v>
      </c>
      <c r="CN21" s="525">
        <f t="shared" si="141"/>
        <v>0</v>
      </c>
      <c r="CO21" s="523"/>
      <c r="CP21" s="524" t="e">
        <f t="shared" si="29"/>
        <v>#DIV/0!</v>
      </c>
      <c r="CQ21" s="525">
        <f t="shared" si="142"/>
        <v>0</v>
      </c>
      <c r="CR21" s="523"/>
      <c r="CS21" s="524" t="e">
        <f t="shared" si="30"/>
        <v>#DIV/0!</v>
      </c>
      <c r="CT21" s="525">
        <f t="shared" si="143"/>
        <v>0</v>
      </c>
      <c r="CU21" s="523"/>
      <c r="CV21" s="524" t="e">
        <f t="shared" si="31"/>
        <v>#DIV/0!</v>
      </c>
      <c r="CW21" s="525">
        <f t="shared" si="144"/>
        <v>0</v>
      </c>
      <c r="CX21" s="523"/>
      <c r="CY21" s="524" t="e">
        <f t="shared" si="32"/>
        <v>#DIV/0!</v>
      </c>
      <c r="CZ21" s="525">
        <f t="shared" si="145"/>
        <v>0</v>
      </c>
      <c r="DA21" s="523"/>
      <c r="DB21" s="524" t="e">
        <f t="shared" si="33"/>
        <v>#DIV/0!</v>
      </c>
      <c r="DC21" s="525">
        <f t="shared" si="146"/>
        <v>0</v>
      </c>
      <c r="DD21" s="523"/>
      <c r="DE21" s="524" t="e">
        <f t="shared" si="34"/>
        <v>#DIV/0!</v>
      </c>
      <c r="DF21" s="525">
        <f t="shared" si="147"/>
        <v>0</v>
      </c>
      <c r="DG21" s="523"/>
      <c r="DH21" s="524" t="e">
        <f t="shared" si="35"/>
        <v>#DIV/0!</v>
      </c>
      <c r="DI21" s="525">
        <f t="shared" si="203"/>
        <v>0</v>
      </c>
      <c r="DJ21" s="523"/>
      <c r="DK21" s="524" t="e">
        <f t="shared" si="36"/>
        <v>#DIV/0!</v>
      </c>
      <c r="DL21" s="525">
        <f t="shared" si="148"/>
        <v>0</v>
      </c>
      <c r="DM21" s="523"/>
      <c r="DN21" s="524" t="e">
        <f t="shared" si="37"/>
        <v>#DIV/0!</v>
      </c>
      <c r="DO21" s="525">
        <f t="shared" si="149"/>
        <v>0</v>
      </c>
      <c r="DP21" s="523"/>
      <c r="DQ21" s="524" t="e">
        <f t="shared" si="38"/>
        <v>#DIV/0!</v>
      </c>
      <c r="DR21" s="525">
        <f t="shared" si="150"/>
        <v>0</v>
      </c>
      <c r="DS21" s="523"/>
      <c r="DT21" s="524" t="e">
        <f t="shared" si="39"/>
        <v>#DIV/0!</v>
      </c>
      <c r="DU21" s="525">
        <f t="shared" si="151"/>
        <v>0</v>
      </c>
      <c r="DV21" s="523"/>
      <c r="DW21" s="524" t="e">
        <f t="shared" si="40"/>
        <v>#DIV/0!</v>
      </c>
      <c r="DX21" s="525">
        <f t="shared" si="152"/>
        <v>0</v>
      </c>
      <c r="DY21" s="523"/>
      <c r="DZ21" s="524" t="e">
        <f t="shared" si="41"/>
        <v>#DIV/0!</v>
      </c>
      <c r="EA21" s="525">
        <f t="shared" si="153"/>
        <v>0</v>
      </c>
      <c r="EB21" s="523"/>
      <c r="EC21" s="524" t="e">
        <f t="shared" si="42"/>
        <v>#DIV/0!</v>
      </c>
      <c r="ED21" s="525">
        <f t="shared" si="154"/>
        <v>0</v>
      </c>
      <c r="EE21" s="523"/>
      <c r="EF21" s="524" t="e">
        <f t="shared" si="43"/>
        <v>#DIV/0!</v>
      </c>
      <c r="EG21" s="525">
        <f t="shared" si="155"/>
        <v>0</v>
      </c>
      <c r="EH21" s="523"/>
      <c r="EI21" s="524" t="e">
        <f t="shared" si="44"/>
        <v>#DIV/0!</v>
      </c>
      <c r="EJ21" s="525">
        <f t="shared" si="156"/>
        <v>0</v>
      </c>
      <c r="EK21" s="523"/>
      <c r="EL21" s="524" t="e">
        <f t="shared" si="45"/>
        <v>#DIV/0!</v>
      </c>
      <c r="EM21" s="525">
        <f t="shared" si="157"/>
        <v>0</v>
      </c>
      <c r="EN21" s="523"/>
      <c r="EO21" s="524" t="e">
        <f t="shared" si="46"/>
        <v>#DIV/0!</v>
      </c>
      <c r="EP21" s="525">
        <f t="shared" si="158"/>
        <v>0</v>
      </c>
      <c r="EQ21" s="523"/>
      <c r="ER21" s="524" t="e">
        <f t="shared" si="47"/>
        <v>#DIV/0!</v>
      </c>
      <c r="ES21" s="525">
        <f t="shared" si="159"/>
        <v>0</v>
      </c>
      <c r="ET21" s="523"/>
      <c r="EU21" s="524" t="e">
        <f t="shared" si="48"/>
        <v>#DIV/0!</v>
      </c>
      <c r="EV21" s="525">
        <f t="shared" si="160"/>
        <v>0</v>
      </c>
      <c r="EW21" s="523"/>
      <c r="EX21" s="524" t="e">
        <f t="shared" si="49"/>
        <v>#DIV/0!</v>
      </c>
      <c r="EY21" s="525">
        <f t="shared" si="161"/>
        <v>0</v>
      </c>
      <c r="EZ21" s="523"/>
      <c r="FA21" s="524" t="e">
        <f t="shared" si="50"/>
        <v>#DIV/0!</v>
      </c>
      <c r="FB21" s="525">
        <f t="shared" si="162"/>
        <v>0</v>
      </c>
      <c r="FC21" s="523"/>
      <c r="FD21" s="524" t="e">
        <f t="shared" si="51"/>
        <v>#DIV/0!</v>
      </c>
      <c r="FE21" s="525">
        <f t="shared" si="163"/>
        <v>0</v>
      </c>
      <c r="FF21" s="523"/>
      <c r="FG21" s="524" t="e">
        <f t="shared" si="52"/>
        <v>#DIV/0!</v>
      </c>
      <c r="FH21" s="525">
        <f t="shared" si="164"/>
        <v>0</v>
      </c>
      <c r="FI21" s="523"/>
      <c r="FJ21" s="524" t="e">
        <f t="shared" si="53"/>
        <v>#DIV/0!</v>
      </c>
      <c r="FK21" s="525">
        <f t="shared" si="165"/>
        <v>0</v>
      </c>
      <c r="FL21" s="523"/>
      <c r="FM21" s="524" t="e">
        <f t="shared" si="54"/>
        <v>#DIV/0!</v>
      </c>
      <c r="FN21" s="525">
        <f t="shared" si="166"/>
        <v>0</v>
      </c>
      <c r="FO21" s="523"/>
      <c r="FP21" s="524" t="e">
        <f t="shared" si="55"/>
        <v>#DIV/0!</v>
      </c>
      <c r="FQ21" s="525">
        <f t="shared" si="167"/>
        <v>0</v>
      </c>
      <c r="FR21" s="523"/>
      <c r="FS21" s="524" t="e">
        <f t="shared" si="56"/>
        <v>#DIV/0!</v>
      </c>
      <c r="FT21" s="525">
        <f t="shared" si="168"/>
        <v>0</v>
      </c>
      <c r="FU21" s="523"/>
      <c r="FV21" s="524" t="e">
        <f t="shared" si="57"/>
        <v>#DIV/0!</v>
      </c>
      <c r="FW21" s="525">
        <f t="shared" si="169"/>
        <v>0</v>
      </c>
      <c r="FX21" s="523"/>
      <c r="FY21" s="524" t="e">
        <f t="shared" si="58"/>
        <v>#DIV/0!</v>
      </c>
      <c r="FZ21" s="525">
        <f t="shared" si="170"/>
        <v>0</v>
      </c>
      <c r="GA21" s="523"/>
      <c r="GB21" s="524" t="e">
        <f t="shared" si="59"/>
        <v>#DIV/0!</v>
      </c>
      <c r="GC21" s="525">
        <f t="shared" si="171"/>
        <v>0</v>
      </c>
      <c r="GD21" s="523"/>
      <c r="GE21" s="524" t="e">
        <f t="shared" si="60"/>
        <v>#DIV/0!</v>
      </c>
      <c r="GF21" s="525">
        <f t="shared" si="172"/>
        <v>0</v>
      </c>
      <c r="GG21" s="523"/>
      <c r="GH21" s="524" t="e">
        <f t="shared" si="61"/>
        <v>#DIV/0!</v>
      </c>
      <c r="GI21" s="525">
        <f t="shared" si="173"/>
        <v>0</v>
      </c>
      <c r="GJ21" s="523"/>
      <c r="GK21" s="524" t="e">
        <f t="shared" si="62"/>
        <v>#DIV/0!</v>
      </c>
      <c r="GL21" s="525">
        <f t="shared" si="174"/>
        <v>0</v>
      </c>
      <c r="GM21" s="523"/>
      <c r="GN21" s="524" t="e">
        <f t="shared" si="63"/>
        <v>#DIV/0!</v>
      </c>
      <c r="GO21" s="525">
        <f t="shared" si="175"/>
        <v>0</v>
      </c>
      <c r="GP21" s="523"/>
      <c r="GQ21" s="524" t="e">
        <f t="shared" si="64"/>
        <v>#DIV/0!</v>
      </c>
      <c r="GR21" s="525">
        <f t="shared" si="176"/>
        <v>0</v>
      </c>
      <c r="GS21" s="523"/>
      <c r="GT21" s="524" t="e">
        <f t="shared" si="65"/>
        <v>#DIV/0!</v>
      </c>
      <c r="GU21" s="525">
        <f t="shared" si="177"/>
        <v>0</v>
      </c>
      <c r="GV21" s="523"/>
      <c r="GW21" s="524" t="e">
        <f t="shared" si="66"/>
        <v>#DIV/0!</v>
      </c>
      <c r="GX21" s="525">
        <f t="shared" si="178"/>
        <v>0</v>
      </c>
      <c r="GY21" s="523"/>
      <c r="GZ21" s="524" t="e">
        <f t="shared" si="67"/>
        <v>#DIV/0!</v>
      </c>
      <c r="HA21" s="525">
        <f t="shared" si="179"/>
        <v>0</v>
      </c>
      <c r="HB21" s="523"/>
      <c r="HC21" s="524" t="e">
        <f t="shared" si="68"/>
        <v>#DIV/0!</v>
      </c>
      <c r="HD21" s="525">
        <f t="shared" si="180"/>
        <v>0</v>
      </c>
      <c r="HE21" s="523"/>
      <c r="HF21" s="524" t="e">
        <f t="shared" si="69"/>
        <v>#DIV/0!</v>
      </c>
      <c r="HG21" s="525">
        <f t="shared" si="181"/>
        <v>0</v>
      </c>
      <c r="HH21" s="523"/>
      <c r="HI21" s="524" t="e">
        <f t="shared" si="70"/>
        <v>#DIV/0!</v>
      </c>
      <c r="HJ21" s="525">
        <f t="shared" si="182"/>
        <v>0</v>
      </c>
      <c r="HK21" s="523"/>
      <c r="HL21" s="524" t="e">
        <f t="shared" si="71"/>
        <v>#DIV/0!</v>
      </c>
      <c r="HM21" s="525">
        <f t="shared" si="183"/>
        <v>0</v>
      </c>
      <c r="HN21" s="523"/>
      <c r="HO21" s="524" t="e">
        <f t="shared" si="72"/>
        <v>#DIV/0!</v>
      </c>
      <c r="HP21" s="525">
        <f t="shared" si="184"/>
        <v>0</v>
      </c>
      <c r="HQ21" s="523"/>
      <c r="HR21" s="524" t="e">
        <f t="shared" si="73"/>
        <v>#DIV/0!</v>
      </c>
      <c r="HS21" s="525">
        <f t="shared" si="185"/>
        <v>0</v>
      </c>
      <c r="HT21" s="523"/>
      <c r="HU21" s="524" t="e">
        <f t="shared" si="74"/>
        <v>#DIV/0!</v>
      </c>
      <c r="HV21" s="525">
        <f t="shared" si="186"/>
        <v>0</v>
      </c>
      <c r="HW21" s="523"/>
      <c r="HX21" s="524" t="e">
        <f t="shared" si="75"/>
        <v>#DIV/0!</v>
      </c>
      <c r="HY21" s="525">
        <f t="shared" si="187"/>
        <v>0</v>
      </c>
      <c r="HZ21" s="523"/>
      <c r="IA21" s="524" t="e">
        <f t="shared" si="76"/>
        <v>#DIV/0!</v>
      </c>
      <c r="IB21" s="525">
        <f t="shared" si="188"/>
        <v>0</v>
      </c>
      <c r="IC21" s="523"/>
      <c r="ID21" s="524" t="e">
        <f t="shared" si="77"/>
        <v>#DIV/0!</v>
      </c>
      <c r="IE21" s="525">
        <f t="shared" si="189"/>
        <v>0</v>
      </c>
      <c r="IF21" s="523"/>
      <c r="IG21" s="524" t="e">
        <f t="shared" si="78"/>
        <v>#DIV/0!</v>
      </c>
      <c r="IH21" s="525">
        <f t="shared" si="190"/>
        <v>0</v>
      </c>
      <c r="II21" s="523"/>
      <c r="IJ21" s="524" t="e">
        <f t="shared" si="79"/>
        <v>#DIV/0!</v>
      </c>
      <c r="IK21" s="525">
        <f t="shared" si="191"/>
        <v>0</v>
      </c>
      <c r="IL21" s="523"/>
      <c r="IM21" s="524" t="e">
        <f t="shared" si="80"/>
        <v>#DIV/0!</v>
      </c>
      <c r="IN21" s="525">
        <f t="shared" si="192"/>
        <v>0</v>
      </c>
      <c r="IO21" s="523"/>
      <c r="IP21" s="524" t="e">
        <f t="shared" si="81"/>
        <v>#DIV/0!</v>
      </c>
      <c r="IQ21" s="525">
        <f t="shared" si="193"/>
        <v>0</v>
      </c>
      <c r="IR21" s="523"/>
      <c r="IS21" s="524" t="e">
        <f t="shared" si="82"/>
        <v>#DIV/0!</v>
      </c>
      <c r="IT21" s="525">
        <f t="shared" si="194"/>
        <v>0</v>
      </c>
      <c r="IU21" s="523"/>
      <c r="IV21" s="524" t="e">
        <f t="shared" si="83"/>
        <v>#DIV/0!</v>
      </c>
      <c r="IW21" s="525">
        <f t="shared" si="195"/>
        <v>0</v>
      </c>
      <c r="IX21" s="523"/>
      <c r="IY21" s="524" t="e">
        <f t="shared" si="84"/>
        <v>#DIV/0!</v>
      </c>
      <c r="IZ21" s="525">
        <f t="shared" si="196"/>
        <v>0</v>
      </c>
      <c r="JA21" s="523"/>
      <c r="JB21" s="524" t="e">
        <f t="shared" si="85"/>
        <v>#DIV/0!</v>
      </c>
      <c r="JC21" s="525">
        <f t="shared" si="197"/>
        <v>0</v>
      </c>
      <c r="JD21" s="523"/>
      <c r="JE21" s="524" t="e">
        <f t="shared" si="86"/>
        <v>#DIV/0!</v>
      </c>
      <c r="JF21" s="525">
        <f t="shared" si="198"/>
        <v>0</v>
      </c>
      <c r="JG21" s="523"/>
      <c r="JH21" s="524" t="e">
        <f t="shared" si="87"/>
        <v>#DIV/0!</v>
      </c>
      <c r="JI21" s="525">
        <f t="shared" si="199"/>
        <v>0</v>
      </c>
      <c r="JJ21" s="523"/>
      <c r="JK21" s="525" t="str">
        <f t="shared" si="88"/>
        <v>0</v>
      </c>
      <c r="JL21" s="525" t="str">
        <f t="shared" si="89"/>
        <v>0</v>
      </c>
      <c r="JM21" s="523"/>
      <c r="JN21" s="525" t="str">
        <f t="shared" si="90"/>
        <v>0</v>
      </c>
      <c r="JO21" s="525" t="str">
        <f t="shared" si="91"/>
        <v>0</v>
      </c>
      <c r="JP21" s="523"/>
      <c r="JQ21" s="525" t="str">
        <f t="shared" si="92"/>
        <v>0</v>
      </c>
      <c r="JR21" s="525" t="str">
        <f t="shared" si="93"/>
        <v>0</v>
      </c>
      <c r="JS21" s="523"/>
      <c r="JT21" s="525" t="str">
        <f t="shared" si="94"/>
        <v>0</v>
      </c>
      <c r="JU21" s="525" t="str">
        <f t="shared" si="95"/>
        <v>0</v>
      </c>
      <c r="JV21" s="523"/>
      <c r="JW21" s="525" t="str">
        <f t="shared" si="96"/>
        <v>0</v>
      </c>
      <c r="JX21" s="525" t="str">
        <f t="shared" si="97"/>
        <v>0</v>
      </c>
      <c r="JY21" s="523"/>
      <c r="JZ21" s="525" t="str">
        <f t="shared" si="98"/>
        <v>0</v>
      </c>
      <c r="KA21" s="525" t="str">
        <f t="shared" si="99"/>
        <v>0</v>
      </c>
      <c r="KB21" s="523"/>
      <c r="KC21" s="525" t="str">
        <f t="shared" si="100"/>
        <v>0</v>
      </c>
      <c r="KD21" s="525" t="str">
        <f t="shared" si="101"/>
        <v>0</v>
      </c>
      <c r="KE21" s="523"/>
      <c r="KF21" s="525" t="str">
        <f t="shared" si="102"/>
        <v>0</v>
      </c>
      <c r="KG21" s="525" t="str">
        <f t="shared" si="103"/>
        <v>0</v>
      </c>
      <c r="KH21" s="523"/>
      <c r="KI21" s="525" t="str">
        <f t="shared" si="104"/>
        <v>0</v>
      </c>
      <c r="KJ21" s="525" t="str">
        <f t="shared" si="105"/>
        <v>0</v>
      </c>
      <c r="KK21" s="523"/>
      <c r="KL21" s="525" t="str">
        <f t="shared" si="106"/>
        <v>0</v>
      </c>
      <c r="KM21" s="525" t="str">
        <f t="shared" si="107"/>
        <v>0</v>
      </c>
      <c r="KN21" s="523"/>
      <c r="KO21" s="525" t="str">
        <f t="shared" si="108"/>
        <v>0</v>
      </c>
      <c r="KP21" s="525" t="str">
        <f t="shared" si="109"/>
        <v>0</v>
      </c>
      <c r="KQ21" s="523"/>
      <c r="KR21" s="525" t="str">
        <f t="shared" si="110"/>
        <v>0</v>
      </c>
      <c r="KS21" s="525" t="str">
        <f t="shared" si="111"/>
        <v>0</v>
      </c>
      <c r="KT21" s="525">
        <f t="shared" si="201"/>
        <v>0</v>
      </c>
      <c r="KU21" s="525">
        <f t="shared" si="202"/>
        <v>0</v>
      </c>
      <c r="KV21" s="261">
        <f t="shared" si="112"/>
        <v>0</v>
      </c>
    </row>
    <row r="22" spans="1:308">
      <c r="A22" s="262">
        <f t="shared" si="200"/>
        <v>45975</v>
      </c>
      <c r="B22" s="263" t="str">
        <f>+Report1!B22</f>
        <v>STOP</v>
      </c>
      <c r="C22" s="263" t="str">
        <f>+Report1!C22</f>
        <v>12</v>
      </c>
      <c r="D22" s="264">
        <f>+Report1!P22</f>
        <v>0</v>
      </c>
      <c r="E22" s="562">
        <f>+Report1!R22</f>
        <v>0</v>
      </c>
      <c r="F22" s="523"/>
      <c r="G22" s="524" t="e">
        <f t="shared" si="0"/>
        <v>#DIV/0!</v>
      </c>
      <c r="H22" s="525">
        <f t="shared" si="113"/>
        <v>0</v>
      </c>
      <c r="I22" s="523"/>
      <c r="J22" s="524" t="e">
        <f t="shared" si="1"/>
        <v>#DIV/0!</v>
      </c>
      <c r="K22" s="525">
        <f t="shared" si="114"/>
        <v>0</v>
      </c>
      <c r="L22" s="523"/>
      <c r="M22" s="524" t="e">
        <f t="shared" si="2"/>
        <v>#DIV/0!</v>
      </c>
      <c r="N22" s="525">
        <f t="shared" si="115"/>
        <v>0</v>
      </c>
      <c r="O22" s="523"/>
      <c r="P22" s="524" t="e">
        <f t="shared" si="3"/>
        <v>#DIV/0!</v>
      </c>
      <c r="Q22" s="525">
        <f t="shared" si="116"/>
        <v>0</v>
      </c>
      <c r="R22" s="523"/>
      <c r="S22" s="524" t="e">
        <f t="shared" si="4"/>
        <v>#DIV/0!</v>
      </c>
      <c r="T22" s="525">
        <f t="shared" si="117"/>
        <v>0</v>
      </c>
      <c r="U22" s="523"/>
      <c r="V22" s="524" t="e">
        <f t="shared" si="5"/>
        <v>#DIV/0!</v>
      </c>
      <c r="W22" s="525">
        <f t="shared" si="118"/>
        <v>0</v>
      </c>
      <c r="X22" s="523"/>
      <c r="Y22" s="524" t="e">
        <f t="shared" si="6"/>
        <v>#DIV/0!</v>
      </c>
      <c r="Z22" s="525">
        <f t="shared" si="119"/>
        <v>0</v>
      </c>
      <c r="AA22" s="523"/>
      <c r="AB22" s="524" t="e">
        <f t="shared" si="7"/>
        <v>#DIV/0!</v>
      </c>
      <c r="AC22" s="525">
        <f t="shared" si="120"/>
        <v>0</v>
      </c>
      <c r="AD22" s="523"/>
      <c r="AE22" s="524" t="e">
        <f t="shared" si="8"/>
        <v>#DIV/0!</v>
      </c>
      <c r="AF22" s="525">
        <f t="shared" si="121"/>
        <v>0</v>
      </c>
      <c r="AG22" s="523"/>
      <c r="AH22" s="524" t="e">
        <f t="shared" si="9"/>
        <v>#DIV/0!</v>
      </c>
      <c r="AI22" s="525">
        <f t="shared" si="122"/>
        <v>0</v>
      </c>
      <c r="AJ22" s="523"/>
      <c r="AK22" s="524" t="e">
        <f t="shared" si="10"/>
        <v>#DIV/0!</v>
      </c>
      <c r="AL22" s="525">
        <f t="shared" si="123"/>
        <v>0</v>
      </c>
      <c r="AM22" s="523"/>
      <c r="AN22" s="524" t="e">
        <f t="shared" si="11"/>
        <v>#DIV/0!</v>
      </c>
      <c r="AO22" s="525">
        <f t="shared" si="124"/>
        <v>0</v>
      </c>
      <c r="AP22" s="523"/>
      <c r="AQ22" s="524" t="e">
        <f t="shared" si="12"/>
        <v>#DIV/0!</v>
      </c>
      <c r="AR22" s="525">
        <f t="shared" si="125"/>
        <v>0</v>
      </c>
      <c r="AS22" s="523"/>
      <c r="AT22" s="524" t="e">
        <f t="shared" si="13"/>
        <v>#DIV/0!</v>
      </c>
      <c r="AU22" s="525">
        <f t="shared" si="126"/>
        <v>0</v>
      </c>
      <c r="AV22" s="523"/>
      <c r="AW22" s="524" t="e">
        <f t="shared" si="14"/>
        <v>#DIV/0!</v>
      </c>
      <c r="AX22" s="525">
        <f t="shared" si="127"/>
        <v>0</v>
      </c>
      <c r="AY22" s="523"/>
      <c r="AZ22" s="524" t="e">
        <f t="shared" si="15"/>
        <v>#DIV/0!</v>
      </c>
      <c r="BA22" s="525">
        <f t="shared" si="128"/>
        <v>0</v>
      </c>
      <c r="BB22" s="523"/>
      <c r="BC22" s="524" t="e">
        <f t="shared" si="16"/>
        <v>#DIV/0!</v>
      </c>
      <c r="BD22" s="525">
        <f t="shared" si="129"/>
        <v>0</v>
      </c>
      <c r="BE22" s="523"/>
      <c r="BF22" s="524" t="e">
        <f t="shared" si="17"/>
        <v>#DIV/0!</v>
      </c>
      <c r="BG22" s="525">
        <f t="shared" si="130"/>
        <v>0</v>
      </c>
      <c r="BH22" s="523"/>
      <c r="BI22" s="524" t="e">
        <f t="shared" si="18"/>
        <v>#DIV/0!</v>
      </c>
      <c r="BJ22" s="525">
        <f t="shared" si="131"/>
        <v>0</v>
      </c>
      <c r="BK22" s="523"/>
      <c r="BL22" s="524" t="e">
        <f t="shared" si="19"/>
        <v>#DIV/0!</v>
      </c>
      <c r="BM22" s="525">
        <f t="shared" si="132"/>
        <v>0</v>
      </c>
      <c r="BN22" s="523"/>
      <c r="BO22" s="524" t="e">
        <f t="shared" si="20"/>
        <v>#DIV/0!</v>
      </c>
      <c r="BP22" s="525">
        <f t="shared" si="133"/>
        <v>0</v>
      </c>
      <c r="BQ22" s="523"/>
      <c r="BR22" s="524" t="e">
        <f t="shared" si="21"/>
        <v>#DIV/0!</v>
      </c>
      <c r="BS22" s="525">
        <f t="shared" si="134"/>
        <v>0</v>
      </c>
      <c r="BT22" s="523"/>
      <c r="BU22" s="524" t="e">
        <f t="shared" si="22"/>
        <v>#DIV/0!</v>
      </c>
      <c r="BV22" s="525">
        <f t="shared" si="135"/>
        <v>0</v>
      </c>
      <c r="BW22" s="523"/>
      <c r="BX22" s="524" t="e">
        <f t="shared" si="23"/>
        <v>#DIV/0!</v>
      </c>
      <c r="BY22" s="525">
        <f t="shared" si="136"/>
        <v>0</v>
      </c>
      <c r="BZ22" s="523"/>
      <c r="CA22" s="524" t="e">
        <f t="shared" si="24"/>
        <v>#DIV/0!</v>
      </c>
      <c r="CB22" s="525">
        <f t="shared" si="137"/>
        <v>0</v>
      </c>
      <c r="CC22" s="523"/>
      <c r="CD22" s="524" t="e">
        <f t="shared" si="25"/>
        <v>#DIV/0!</v>
      </c>
      <c r="CE22" s="525">
        <f t="shared" si="138"/>
        <v>0</v>
      </c>
      <c r="CF22" s="523"/>
      <c r="CG22" s="524" t="e">
        <f t="shared" si="26"/>
        <v>#DIV/0!</v>
      </c>
      <c r="CH22" s="525">
        <f t="shared" si="139"/>
        <v>0</v>
      </c>
      <c r="CI22" s="523"/>
      <c r="CJ22" s="524" t="e">
        <f t="shared" si="27"/>
        <v>#DIV/0!</v>
      </c>
      <c r="CK22" s="525">
        <f t="shared" si="140"/>
        <v>0</v>
      </c>
      <c r="CL22" s="523"/>
      <c r="CM22" s="524" t="e">
        <f t="shared" si="28"/>
        <v>#DIV/0!</v>
      </c>
      <c r="CN22" s="525">
        <f t="shared" si="141"/>
        <v>0</v>
      </c>
      <c r="CO22" s="523"/>
      <c r="CP22" s="524" t="e">
        <f t="shared" si="29"/>
        <v>#DIV/0!</v>
      </c>
      <c r="CQ22" s="525">
        <f t="shared" si="142"/>
        <v>0</v>
      </c>
      <c r="CR22" s="523"/>
      <c r="CS22" s="524" t="e">
        <f t="shared" si="30"/>
        <v>#DIV/0!</v>
      </c>
      <c r="CT22" s="525">
        <f t="shared" si="143"/>
        <v>0</v>
      </c>
      <c r="CU22" s="523"/>
      <c r="CV22" s="524" t="e">
        <f t="shared" si="31"/>
        <v>#DIV/0!</v>
      </c>
      <c r="CW22" s="525">
        <f t="shared" si="144"/>
        <v>0</v>
      </c>
      <c r="CX22" s="523"/>
      <c r="CY22" s="524" t="e">
        <f t="shared" si="32"/>
        <v>#DIV/0!</v>
      </c>
      <c r="CZ22" s="525">
        <f t="shared" si="145"/>
        <v>0</v>
      </c>
      <c r="DA22" s="523"/>
      <c r="DB22" s="524" t="e">
        <f t="shared" si="33"/>
        <v>#DIV/0!</v>
      </c>
      <c r="DC22" s="525">
        <f t="shared" si="146"/>
        <v>0</v>
      </c>
      <c r="DD22" s="523"/>
      <c r="DE22" s="524" t="e">
        <f t="shared" si="34"/>
        <v>#DIV/0!</v>
      </c>
      <c r="DF22" s="525">
        <f t="shared" si="147"/>
        <v>0</v>
      </c>
      <c r="DG22" s="523"/>
      <c r="DH22" s="524" t="e">
        <f t="shared" si="35"/>
        <v>#DIV/0!</v>
      </c>
      <c r="DI22" s="525">
        <f t="shared" si="203"/>
        <v>0</v>
      </c>
      <c r="DJ22" s="523"/>
      <c r="DK22" s="524" t="e">
        <f t="shared" si="36"/>
        <v>#DIV/0!</v>
      </c>
      <c r="DL22" s="525">
        <f t="shared" si="148"/>
        <v>0</v>
      </c>
      <c r="DM22" s="523"/>
      <c r="DN22" s="524" t="e">
        <f t="shared" si="37"/>
        <v>#DIV/0!</v>
      </c>
      <c r="DO22" s="525">
        <f t="shared" si="149"/>
        <v>0</v>
      </c>
      <c r="DP22" s="523"/>
      <c r="DQ22" s="524" t="e">
        <f t="shared" si="38"/>
        <v>#DIV/0!</v>
      </c>
      <c r="DR22" s="525">
        <f t="shared" si="150"/>
        <v>0</v>
      </c>
      <c r="DS22" s="523"/>
      <c r="DT22" s="524" t="e">
        <f t="shared" si="39"/>
        <v>#DIV/0!</v>
      </c>
      <c r="DU22" s="525">
        <f t="shared" si="151"/>
        <v>0</v>
      </c>
      <c r="DV22" s="523"/>
      <c r="DW22" s="524" t="e">
        <f t="shared" si="40"/>
        <v>#DIV/0!</v>
      </c>
      <c r="DX22" s="525">
        <f t="shared" si="152"/>
        <v>0</v>
      </c>
      <c r="DY22" s="523"/>
      <c r="DZ22" s="524" t="e">
        <f t="shared" si="41"/>
        <v>#DIV/0!</v>
      </c>
      <c r="EA22" s="525">
        <f t="shared" si="153"/>
        <v>0</v>
      </c>
      <c r="EB22" s="523"/>
      <c r="EC22" s="524" t="e">
        <f t="shared" si="42"/>
        <v>#DIV/0!</v>
      </c>
      <c r="ED22" s="525">
        <f t="shared" si="154"/>
        <v>0</v>
      </c>
      <c r="EE22" s="523"/>
      <c r="EF22" s="524" t="e">
        <f t="shared" si="43"/>
        <v>#DIV/0!</v>
      </c>
      <c r="EG22" s="525">
        <f t="shared" si="155"/>
        <v>0</v>
      </c>
      <c r="EH22" s="523"/>
      <c r="EI22" s="524" t="e">
        <f t="shared" si="44"/>
        <v>#DIV/0!</v>
      </c>
      <c r="EJ22" s="525">
        <f t="shared" si="156"/>
        <v>0</v>
      </c>
      <c r="EK22" s="523"/>
      <c r="EL22" s="524" t="e">
        <f t="shared" si="45"/>
        <v>#DIV/0!</v>
      </c>
      <c r="EM22" s="525">
        <f t="shared" si="157"/>
        <v>0</v>
      </c>
      <c r="EN22" s="523"/>
      <c r="EO22" s="524" t="e">
        <f t="shared" si="46"/>
        <v>#DIV/0!</v>
      </c>
      <c r="EP22" s="525">
        <f t="shared" si="158"/>
        <v>0</v>
      </c>
      <c r="EQ22" s="523"/>
      <c r="ER22" s="524" t="e">
        <f t="shared" si="47"/>
        <v>#DIV/0!</v>
      </c>
      <c r="ES22" s="525">
        <f t="shared" si="159"/>
        <v>0</v>
      </c>
      <c r="ET22" s="523"/>
      <c r="EU22" s="524" t="e">
        <f t="shared" si="48"/>
        <v>#DIV/0!</v>
      </c>
      <c r="EV22" s="525">
        <f t="shared" si="160"/>
        <v>0</v>
      </c>
      <c r="EW22" s="523"/>
      <c r="EX22" s="524" t="e">
        <f t="shared" si="49"/>
        <v>#DIV/0!</v>
      </c>
      <c r="EY22" s="525">
        <f t="shared" si="161"/>
        <v>0</v>
      </c>
      <c r="EZ22" s="523"/>
      <c r="FA22" s="524" t="e">
        <f t="shared" si="50"/>
        <v>#DIV/0!</v>
      </c>
      <c r="FB22" s="525">
        <f t="shared" si="162"/>
        <v>0</v>
      </c>
      <c r="FC22" s="523"/>
      <c r="FD22" s="524" t="e">
        <f t="shared" si="51"/>
        <v>#DIV/0!</v>
      </c>
      <c r="FE22" s="525">
        <f t="shared" si="163"/>
        <v>0</v>
      </c>
      <c r="FF22" s="523"/>
      <c r="FG22" s="524" t="e">
        <f t="shared" si="52"/>
        <v>#DIV/0!</v>
      </c>
      <c r="FH22" s="525">
        <f t="shared" si="164"/>
        <v>0</v>
      </c>
      <c r="FI22" s="523"/>
      <c r="FJ22" s="524" t="e">
        <f t="shared" si="53"/>
        <v>#DIV/0!</v>
      </c>
      <c r="FK22" s="525">
        <f t="shared" si="165"/>
        <v>0</v>
      </c>
      <c r="FL22" s="523"/>
      <c r="FM22" s="524" t="e">
        <f t="shared" si="54"/>
        <v>#DIV/0!</v>
      </c>
      <c r="FN22" s="525">
        <f t="shared" si="166"/>
        <v>0</v>
      </c>
      <c r="FO22" s="523"/>
      <c r="FP22" s="524" t="e">
        <f t="shared" si="55"/>
        <v>#DIV/0!</v>
      </c>
      <c r="FQ22" s="525">
        <f t="shared" si="167"/>
        <v>0</v>
      </c>
      <c r="FR22" s="523"/>
      <c r="FS22" s="524" t="e">
        <f t="shared" si="56"/>
        <v>#DIV/0!</v>
      </c>
      <c r="FT22" s="525">
        <f t="shared" si="168"/>
        <v>0</v>
      </c>
      <c r="FU22" s="523"/>
      <c r="FV22" s="524" t="e">
        <f t="shared" si="57"/>
        <v>#DIV/0!</v>
      </c>
      <c r="FW22" s="525">
        <f t="shared" si="169"/>
        <v>0</v>
      </c>
      <c r="FX22" s="523"/>
      <c r="FY22" s="524" t="e">
        <f t="shared" si="58"/>
        <v>#DIV/0!</v>
      </c>
      <c r="FZ22" s="525">
        <f t="shared" si="170"/>
        <v>0</v>
      </c>
      <c r="GA22" s="523"/>
      <c r="GB22" s="524" t="e">
        <f t="shared" si="59"/>
        <v>#DIV/0!</v>
      </c>
      <c r="GC22" s="525">
        <f t="shared" si="171"/>
        <v>0</v>
      </c>
      <c r="GD22" s="523"/>
      <c r="GE22" s="524" t="e">
        <f t="shared" si="60"/>
        <v>#DIV/0!</v>
      </c>
      <c r="GF22" s="525">
        <f t="shared" si="172"/>
        <v>0</v>
      </c>
      <c r="GG22" s="523"/>
      <c r="GH22" s="524" t="e">
        <f t="shared" si="61"/>
        <v>#DIV/0!</v>
      </c>
      <c r="GI22" s="525">
        <f t="shared" si="173"/>
        <v>0</v>
      </c>
      <c r="GJ22" s="523"/>
      <c r="GK22" s="524" t="e">
        <f t="shared" si="62"/>
        <v>#DIV/0!</v>
      </c>
      <c r="GL22" s="525">
        <f t="shared" si="174"/>
        <v>0</v>
      </c>
      <c r="GM22" s="523"/>
      <c r="GN22" s="524" t="e">
        <f t="shared" si="63"/>
        <v>#DIV/0!</v>
      </c>
      <c r="GO22" s="525">
        <f t="shared" si="175"/>
        <v>0</v>
      </c>
      <c r="GP22" s="523"/>
      <c r="GQ22" s="524" t="e">
        <f t="shared" si="64"/>
        <v>#DIV/0!</v>
      </c>
      <c r="GR22" s="525">
        <f t="shared" si="176"/>
        <v>0</v>
      </c>
      <c r="GS22" s="523"/>
      <c r="GT22" s="524" t="e">
        <f t="shared" si="65"/>
        <v>#DIV/0!</v>
      </c>
      <c r="GU22" s="525">
        <f t="shared" si="177"/>
        <v>0</v>
      </c>
      <c r="GV22" s="523"/>
      <c r="GW22" s="524" t="e">
        <f t="shared" si="66"/>
        <v>#DIV/0!</v>
      </c>
      <c r="GX22" s="525">
        <f t="shared" si="178"/>
        <v>0</v>
      </c>
      <c r="GY22" s="523"/>
      <c r="GZ22" s="524" t="e">
        <f t="shared" si="67"/>
        <v>#DIV/0!</v>
      </c>
      <c r="HA22" s="525">
        <f t="shared" si="179"/>
        <v>0</v>
      </c>
      <c r="HB22" s="523"/>
      <c r="HC22" s="524" t="e">
        <f t="shared" si="68"/>
        <v>#DIV/0!</v>
      </c>
      <c r="HD22" s="525">
        <f t="shared" si="180"/>
        <v>0</v>
      </c>
      <c r="HE22" s="523"/>
      <c r="HF22" s="524" t="e">
        <f t="shared" si="69"/>
        <v>#DIV/0!</v>
      </c>
      <c r="HG22" s="525">
        <f t="shared" si="181"/>
        <v>0</v>
      </c>
      <c r="HH22" s="523"/>
      <c r="HI22" s="524" t="e">
        <f t="shared" si="70"/>
        <v>#DIV/0!</v>
      </c>
      <c r="HJ22" s="525">
        <f t="shared" si="182"/>
        <v>0</v>
      </c>
      <c r="HK22" s="523"/>
      <c r="HL22" s="524" t="e">
        <f t="shared" si="71"/>
        <v>#DIV/0!</v>
      </c>
      <c r="HM22" s="525">
        <f t="shared" si="183"/>
        <v>0</v>
      </c>
      <c r="HN22" s="523"/>
      <c r="HO22" s="524" t="e">
        <f t="shared" si="72"/>
        <v>#DIV/0!</v>
      </c>
      <c r="HP22" s="525">
        <f t="shared" si="184"/>
        <v>0</v>
      </c>
      <c r="HQ22" s="523"/>
      <c r="HR22" s="524" t="e">
        <f t="shared" si="73"/>
        <v>#DIV/0!</v>
      </c>
      <c r="HS22" s="525">
        <f t="shared" si="185"/>
        <v>0</v>
      </c>
      <c r="HT22" s="523"/>
      <c r="HU22" s="524" t="e">
        <f t="shared" si="74"/>
        <v>#DIV/0!</v>
      </c>
      <c r="HV22" s="525">
        <f t="shared" si="186"/>
        <v>0</v>
      </c>
      <c r="HW22" s="523"/>
      <c r="HX22" s="524" t="e">
        <f t="shared" si="75"/>
        <v>#DIV/0!</v>
      </c>
      <c r="HY22" s="525">
        <f t="shared" si="187"/>
        <v>0</v>
      </c>
      <c r="HZ22" s="523"/>
      <c r="IA22" s="524" t="e">
        <f t="shared" si="76"/>
        <v>#DIV/0!</v>
      </c>
      <c r="IB22" s="525">
        <f t="shared" si="188"/>
        <v>0</v>
      </c>
      <c r="IC22" s="523"/>
      <c r="ID22" s="524" t="e">
        <f t="shared" si="77"/>
        <v>#DIV/0!</v>
      </c>
      <c r="IE22" s="525">
        <f t="shared" si="189"/>
        <v>0</v>
      </c>
      <c r="IF22" s="523"/>
      <c r="IG22" s="524" t="e">
        <f t="shared" si="78"/>
        <v>#DIV/0!</v>
      </c>
      <c r="IH22" s="525">
        <f t="shared" si="190"/>
        <v>0</v>
      </c>
      <c r="II22" s="523"/>
      <c r="IJ22" s="524" t="e">
        <f t="shared" si="79"/>
        <v>#DIV/0!</v>
      </c>
      <c r="IK22" s="525">
        <f t="shared" si="191"/>
        <v>0</v>
      </c>
      <c r="IL22" s="523"/>
      <c r="IM22" s="524" t="e">
        <f t="shared" si="80"/>
        <v>#DIV/0!</v>
      </c>
      <c r="IN22" s="525">
        <f t="shared" si="192"/>
        <v>0</v>
      </c>
      <c r="IO22" s="523"/>
      <c r="IP22" s="524" t="e">
        <f t="shared" si="81"/>
        <v>#DIV/0!</v>
      </c>
      <c r="IQ22" s="525">
        <f t="shared" si="193"/>
        <v>0</v>
      </c>
      <c r="IR22" s="523"/>
      <c r="IS22" s="524" t="e">
        <f t="shared" si="82"/>
        <v>#DIV/0!</v>
      </c>
      <c r="IT22" s="525">
        <f t="shared" si="194"/>
        <v>0</v>
      </c>
      <c r="IU22" s="523"/>
      <c r="IV22" s="524" t="e">
        <f t="shared" si="83"/>
        <v>#DIV/0!</v>
      </c>
      <c r="IW22" s="525">
        <f t="shared" si="195"/>
        <v>0</v>
      </c>
      <c r="IX22" s="523"/>
      <c r="IY22" s="524" t="e">
        <f t="shared" si="84"/>
        <v>#DIV/0!</v>
      </c>
      <c r="IZ22" s="525">
        <f t="shared" si="196"/>
        <v>0</v>
      </c>
      <c r="JA22" s="523"/>
      <c r="JB22" s="524" t="e">
        <f t="shared" si="85"/>
        <v>#DIV/0!</v>
      </c>
      <c r="JC22" s="525">
        <f t="shared" si="197"/>
        <v>0</v>
      </c>
      <c r="JD22" s="523"/>
      <c r="JE22" s="524" t="e">
        <f t="shared" si="86"/>
        <v>#DIV/0!</v>
      </c>
      <c r="JF22" s="525">
        <f t="shared" si="198"/>
        <v>0</v>
      </c>
      <c r="JG22" s="523"/>
      <c r="JH22" s="524" t="e">
        <f t="shared" si="87"/>
        <v>#DIV/0!</v>
      </c>
      <c r="JI22" s="525">
        <f t="shared" si="199"/>
        <v>0</v>
      </c>
      <c r="JJ22" s="523"/>
      <c r="JK22" s="525" t="str">
        <f t="shared" si="88"/>
        <v>0</v>
      </c>
      <c r="JL22" s="525" t="str">
        <f t="shared" si="89"/>
        <v>0</v>
      </c>
      <c r="JM22" s="523"/>
      <c r="JN22" s="525" t="str">
        <f t="shared" si="90"/>
        <v>0</v>
      </c>
      <c r="JO22" s="525" t="str">
        <f t="shared" si="91"/>
        <v>0</v>
      </c>
      <c r="JP22" s="523"/>
      <c r="JQ22" s="525" t="str">
        <f t="shared" si="92"/>
        <v>0</v>
      </c>
      <c r="JR22" s="525" t="str">
        <f t="shared" si="93"/>
        <v>0</v>
      </c>
      <c r="JS22" s="523"/>
      <c r="JT22" s="525" t="str">
        <f t="shared" si="94"/>
        <v>0</v>
      </c>
      <c r="JU22" s="525" t="str">
        <f t="shared" si="95"/>
        <v>0</v>
      </c>
      <c r="JV22" s="523"/>
      <c r="JW22" s="525" t="str">
        <f t="shared" si="96"/>
        <v>0</v>
      </c>
      <c r="JX22" s="525" t="str">
        <f t="shared" si="97"/>
        <v>0</v>
      </c>
      <c r="JY22" s="523"/>
      <c r="JZ22" s="525" t="str">
        <f t="shared" si="98"/>
        <v>0</v>
      </c>
      <c r="KA22" s="525" t="str">
        <f t="shared" si="99"/>
        <v>0</v>
      </c>
      <c r="KB22" s="523"/>
      <c r="KC22" s="525" t="str">
        <f t="shared" si="100"/>
        <v>0</v>
      </c>
      <c r="KD22" s="525" t="str">
        <f t="shared" si="101"/>
        <v>0</v>
      </c>
      <c r="KE22" s="523"/>
      <c r="KF22" s="525" t="str">
        <f t="shared" si="102"/>
        <v>0</v>
      </c>
      <c r="KG22" s="525" t="str">
        <f t="shared" si="103"/>
        <v>0</v>
      </c>
      <c r="KH22" s="523"/>
      <c r="KI22" s="525" t="str">
        <f t="shared" si="104"/>
        <v>0</v>
      </c>
      <c r="KJ22" s="525" t="str">
        <f t="shared" si="105"/>
        <v>0</v>
      </c>
      <c r="KK22" s="523"/>
      <c r="KL22" s="525" t="str">
        <f t="shared" si="106"/>
        <v>0</v>
      </c>
      <c r="KM22" s="525" t="str">
        <f t="shared" si="107"/>
        <v>0</v>
      </c>
      <c r="KN22" s="523"/>
      <c r="KO22" s="525" t="str">
        <f t="shared" si="108"/>
        <v>0</v>
      </c>
      <c r="KP22" s="525" t="str">
        <f t="shared" si="109"/>
        <v>0</v>
      </c>
      <c r="KQ22" s="523"/>
      <c r="KR22" s="525" t="str">
        <f t="shared" si="110"/>
        <v>0</v>
      </c>
      <c r="KS22" s="525" t="str">
        <f t="shared" si="111"/>
        <v>0</v>
      </c>
      <c r="KT22" s="525">
        <f t="shared" si="201"/>
        <v>0</v>
      </c>
      <c r="KU22" s="525">
        <f t="shared" si="202"/>
        <v>0</v>
      </c>
      <c r="KV22" s="261">
        <f t="shared" si="112"/>
        <v>0</v>
      </c>
    </row>
    <row r="23" spans="1:308">
      <c r="A23" s="262">
        <f t="shared" si="200"/>
        <v>45976</v>
      </c>
      <c r="B23" s="263" t="str">
        <f>+Report1!B23</f>
        <v>STOP</v>
      </c>
      <c r="C23" s="263" t="str">
        <f>+Report1!C23</f>
        <v>12</v>
      </c>
      <c r="D23" s="264">
        <f>+Report1!P23</f>
        <v>0</v>
      </c>
      <c r="E23" s="562">
        <f>+Report1!R23</f>
        <v>0</v>
      </c>
      <c r="F23" s="523"/>
      <c r="G23" s="524" t="e">
        <f t="shared" si="0"/>
        <v>#DIV/0!</v>
      </c>
      <c r="H23" s="525">
        <f t="shared" si="113"/>
        <v>0</v>
      </c>
      <c r="I23" s="523"/>
      <c r="J23" s="524" t="e">
        <f t="shared" si="1"/>
        <v>#DIV/0!</v>
      </c>
      <c r="K23" s="525">
        <f t="shared" si="114"/>
        <v>0</v>
      </c>
      <c r="L23" s="523"/>
      <c r="M23" s="524" t="e">
        <f t="shared" si="2"/>
        <v>#DIV/0!</v>
      </c>
      <c r="N23" s="525">
        <f t="shared" si="115"/>
        <v>0</v>
      </c>
      <c r="O23" s="523"/>
      <c r="P23" s="524" t="e">
        <f t="shared" si="3"/>
        <v>#DIV/0!</v>
      </c>
      <c r="Q23" s="525">
        <f t="shared" si="116"/>
        <v>0</v>
      </c>
      <c r="R23" s="523"/>
      <c r="S23" s="524" t="e">
        <f t="shared" si="4"/>
        <v>#DIV/0!</v>
      </c>
      <c r="T23" s="525">
        <f t="shared" si="117"/>
        <v>0</v>
      </c>
      <c r="U23" s="523"/>
      <c r="V23" s="524" t="e">
        <f t="shared" si="5"/>
        <v>#DIV/0!</v>
      </c>
      <c r="W23" s="525">
        <f t="shared" si="118"/>
        <v>0</v>
      </c>
      <c r="X23" s="523"/>
      <c r="Y23" s="524" t="e">
        <f t="shared" si="6"/>
        <v>#DIV/0!</v>
      </c>
      <c r="Z23" s="525">
        <f t="shared" si="119"/>
        <v>0</v>
      </c>
      <c r="AA23" s="523"/>
      <c r="AB23" s="524" t="e">
        <f t="shared" si="7"/>
        <v>#DIV/0!</v>
      </c>
      <c r="AC23" s="525">
        <f t="shared" si="120"/>
        <v>0</v>
      </c>
      <c r="AD23" s="523"/>
      <c r="AE23" s="524" t="e">
        <f t="shared" si="8"/>
        <v>#DIV/0!</v>
      </c>
      <c r="AF23" s="525">
        <f t="shared" si="121"/>
        <v>0</v>
      </c>
      <c r="AG23" s="523"/>
      <c r="AH23" s="524" t="e">
        <f t="shared" si="9"/>
        <v>#DIV/0!</v>
      </c>
      <c r="AI23" s="525">
        <f t="shared" si="122"/>
        <v>0</v>
      </c>
      <c r="AJ23" s="523"/>
      <c r="AK23" s="524" t="e">
        <f t="shared" si="10"/>
        <v>#DIV/0!</v>
      </c>
      <c r="AL23" s="525">
        <f t="shared" si="123"/>
        <v>0</v>
      </c>
      <c r="AM23" s="523"/>
      <c r="AN23" s="524" t="e">
        <f t="shared" si="11"/>
        <v>#DIV/0!</v>
      </c>
      <c r="AO23" s="525">
        <f t="shared" si="124"/>
        <v>0</v>
      </c>
      <c r="AP23" s="523"/>
      <c r="AQ23" s="524" t="e">
        <f t="shared" si="12"/>
        <v>#DIV/0!</v>
      </c>
      <c r="AR23" s="525">
        <f t="shared" si="125"/>
        <v>0</v>
      </c>
      <c r="AS23" s="523"/>
      <c r="AT23" s="524" t="e">
        <f t="shared" si="13"/>
        <v>#DIV/0!</v>
      </c>
      <c r="AU23" s="525">
        <f t="shared" si="126"/>
        <v>0</v>
      </c>
      <c r="AV23" s="523"/>
      <c r="AW23" s="524" t="e">
        <f t="shared" si="14"/>
        <v>#DIV/0!</v>
      </c>
      <c r="AX23" s="525">
        <f t="shared" si="127"/>
        <v>0</v>
      </c>
      <c r="AY23" s="523"/>
      <c r="AZ23" s="524" t="e">
        <f t="shared" si="15"/>
        <v>#DIV/0!</v>
      </c>
      <c r="BA23" s="525">
        <f t="shared" si="128"/>
        <v>0</v>
      </c>
      <c r="BB23" s="523"/>
      <c r="BC23" s="524" t="e">
        <f t="shared" si="16"/>
        <v>#DIV/0!</v>
      </c>
      <c r="BD23" s="525">
        <f t="shared" si="129"/>
        <v>0</v>
      </c>
      <c r="BE23" s="523"/>
      <c r="BF23" s="524" t="e">
        <f t="shared" si="17"/>
        <v>#DIV/0!</v>
      </c>
      <c r="BG23" s="525">
        <f t="shared" si="130"/>
        <v>0</v>
      </c>
      <c r="BH23" s="523"/>
      <c r="BI23" s="524" t="e">
        <f t="shared" si="18"/>
        <v>#DIV/0!</v>
      </c>
      <c r="BJ23" s="525">
        <f t="shared" si="131"/>
        <v>0</v>
      </c>
      <c r="BK23" s="523"/>
      <c r="BL23" s="524" t="e">
        <f t="shared" si="19"/>
        <v>#DIV/0!</v>
      </c>
      <c r="BM23" s="525">
        <f t="shared" si="132"/>
        <v>0</v>
      </c>
      <c r="BN23" s="523"/>
      <c r="BO23" s="524" t="e">
        <f t="shared" si="20"/>
        <v>#DIV/0!</v>
      </c>
      <c r="BP23" s="525">
        <f t="shared" si="133"/>
        <v>0</v>
      </c>
      <c r="BQ23" s="523"/>
      <c r="BR23" s="524" t="e">
        <f t="shared" si="21"/>
        <v>#DIV/0!</v>
      </c>
      <c r="BS23" s="525">
        <f t="shared" si="134"/>
        <v>0</v>
      </c>
      <c r="BT23" s="523"/>
      <c r="BU23" s="524" t="e">
        <f t="shared" si="22"/>
        <v>#DIV/0!</v>
      </c>
      <c r="BV23" s="525">
        <f t="shared" si="135"/>
        <v>0</v>
      </c>
      <c r="BW23" s="523"/>
      <c r="BX23" s="524" t="e">
        <f t="shared" si="23"/>
        <v>#DIV/0!</v>
      </c>
      <c r="BY23" s="525">
        <f t="shared" si="136"/>
        <v>0</v>
      </c>
      <c r="BZ23" s="523"/>
      <c r="CA23" s="524" t="e">
        <f t="shared" si="24"/>
        <v>#DIV/0!</v>
      </c>
      <c r="CB23" s="525">
        <f t="shared" si="137"/>
        <v>0</v>
      </c>
      <c r="CC23" s="523"/>
      <c r="CD23" s="524" t="e">
        <f t="shared" si="25"/>
        <v>#DIV/0!</v>
      </c>
      <c r="CE23" s="525">
        <f t="shared" si="138"/>
        <v>0</v>
      </c>
      <c r="CF23" s="523"/>
      <c r="CG23" s="524" t="e">
        <f t="shared" si="26"/>
        <v>#DIV/0!</v>
      </c>
      <c r="CH23" s="525">
        <f t="shared" si="139"/>
        <v>0</v>
      </c>
      <c r="CI23" s="523"/>
      <c r="CJ23" s="524" t="e">
        <f t="shared" si="27"/>
        <v>#DIV/0!</v>
      </c>
      <c r="CK23" s="525">
        <f t="shared" si="140"/>
        <v>0</v>
      </c>
      <c r="CL23" s="523"/>
      <c r="CM23" s="524" t="e">
        <f t="shared" si="28"/>
        <v>#DIV/0!</v>
      </c>
      <c r="CN23" s="525">
        <f t="shared" si="141"/>
        <v>0</v>
      </c>
      <c r="CO23" s="523"/>
      <c r="CP23" s="524" t="e">
        <f t="shared" si="29"/>
        <v>#DIV/0!</v>
      </c>
      <c r="CQ23" s="525">
        <f t="shared" si="142"/>
        <v>0</v>
      </c>
      <c r="CR23" s="523"/>
      <c r="CS23" s="524" t="e">
        <f t="shared" si="30"/>
        <v>#DIV/0!</v>
      </c>
      <c r="CT23" s="525">
        <f t="shared" si="143"/>
        <v>0</v>
      </c>
      <c r="CU23" s="523"/>
      <c r="CV23" s="524" t="e">
        <f t="shared" si="31"/>
        <v>#DIV/0!</v>
      </c>
      <c r="CW23" s="525">
        <f t="shared" si="144"/>
        <v>0</v>
      </c>
      <c r="CX23" s="523"/>
      <c r="CY23" s="524" t="e">
        <f t="shared" si="32"/>
        <v>#DIV/0!</v>
      </c>
      <c r="CZ23" s="525">
        <f t="shared" si="145"/>
        <v>0</v>
      </c>
      <c r="DA23" s="523"/>
      <c r="DB23" s="524" t="e">
        <f t="shared" si="33"/>
        <v>#DIV/0!</v>
      </c>
      <c r="DC23" s="525">
        <f t="shared" si="146"/>
        <v>0</v>
      </c>
      <c r="DD23" s="523"/>
      <c r="DE23" s="524" t="e">
        <f t="shared" si="34"/>
        <v>#DIV/0!</v>
      </c>
      <c r="DF23" s="525">
        <f t="shared" si="147"/>
        <v>0</v>
      </c>
      <c r="DG23" s="523"/>
      <c r="DH23" s="524" t="e">
        <f t="shared" si="35"/>
        <v>#DIV/0!</v>
      </c>
      <c r="DI23" s="525">
        <f t="shared" si="203"/>
        <v>0</v>
      </c>
      <c r="DJ23" s="523"/>
      <c r="DK23" s="524" t="e">
        <f t="shared" si="36"/>
        <v>#DIV/0!</v>
      </c>
      <c r="DL23" s="525">
        <f t="shared" si="148"/>
        <v>0</v>
      </c>
      <c r="DM23" s="523"/>
      <c r="DN23" s="524" t="e">
        <f t="shared" si="37"/>
        <v>#DIV/0!</v>
      </c>
      <c r="DO23" s="525">
        <f t="shared" si="149"/>
        <v>0</v>
      </c>
      <c r="DP23" s="523"/>
      <c r="DQ23" s="524" t="e">
        <f t="shared" si="38"/>
        <v>#DIV/0!</v>
      </c>
      <c r="DR23" s="525">
        <f t="shared" si="150"/>
        <v>0</v>
      </c>
      <c r="DS23" s="523"/>
      <c r="DT23" s="524" t="e">
        <f t="shared" si="39"/>
        <v>#DIV/0!</v>
      </c>
      <c r="DU23" s="525">
        <f t="shared" si="151"/>
        <v>0</v>
      </c>
      <c r="DV23" s="523"/>
      <c r="DW23" s="524" t="e">
        <f t="shared" si="40"/>
        <v>#DIV/0!</v>
      </c>
      <c r="DX23" s="525">
        <f t="shared" si="152"/>
        <v>0</v>
      </c>
      <c r="DY23" s="523"/>
      <c r="DZ23" s="524" t="e">
        <f t="shared" si="41"/>
        <v>#DIV/0!</v>
      </c>
      <c r="EA23" s="525">
        <f t="shared" si="153"/>
        <v>0</v>
      </c>
      <c r="EB23" s="523"/>
      <c r="EC23" s="524" t="e">
        <f t="shared" si="42"/>
        <v>#DIV/0!</v>
      </c>
      <c r="ED23" s="525">
        <f t="shared" si="154"/>
        <v>0</v>
      </c>
      <c r="EE23" s="523"/>
      <c r="EF23" s="524" t="e">
        <f t="shared" si="43"/>
        <v>#DIV/0!</v>
      </c>
      <c r="EG23" s="525">
        <f t="shared" si="155"/>
        <v>0</v>
      </c>
      <c r="EH23" s="523"/>
      <c r="EI23" s="524" t="e">
        <f t="shared" si="44"/>
        <v>#DIV/0!</v>
      </c>
      <c r="EJ23" s="525">
        <f t="shared" si="156"/>
        <v>0</v>
      </c>
      <c r="EK23" s="523"/>
      <c r="EL23" s="524" t="e">
        <f t="shared" si="45"/>
        <v>#DIV/0!</v>
      </c>
      <c r="EM23" s="525">
        <f t="shared" si="157"/>
        <v>0</v>
      </c>
      <c r="EN23" s="523"/>
      <c r="EO23" s="524" t="e">
        <f t="shared" si="46"/>
        <v>#DIV/0!</v>
      </c>
      <c r="EP23" s="525">
        <f t="shared" si="158"/>
        <v>0</v>
      </c>
      <c r="EQ23" s="523"/>
      <c r="ER23" s="524" t="e">
        <f t="shared" si="47"/>
        <v>#DIV/0!</v>
      </c>
      <c r="ES23" s="525">
        <f t="shared" si="159"/>
        <v>0</v>
      </c>
      <c r="ET23" s="523"/>
      <c r="EU23" s="524" t="e">
        <f t="shared" si="48"/>
        <v>#DIV/0!</v>
      </c>
      <c r="EV23" s="525">
        <f t="shared" si="160"/>
        <v>0</v>
      </c>
      <c r="EW23" s="523"/>
      <c r="EX23" s="524" t="e">
        <f t="shared" si="49"/>
        <v>#DIV/0!</v>
      </c>
      <c r="EY23" s="525">
        <f t="shared" si="161"/>
        <v>0</v>
      </c>
      <c r="EZ23" s="523"/>
      <c r="FA23" s="524" t="e">
        <f t="shared" si="50"/>
        <v>#DIV/0!</v>
      </c>
      <c r="FB23" s="525">
        <f t="shared" si="162"/>
        <v>0</v>
      </c>
      <c r="FC23" s="523"/>
      <c r="FD23" s="524" t="e">
        <f t="shared" si="51"/>
        <v>#DIV/0!</v>
      </c>
      <c r="FE23" s="525">
        <f t="shared" si="163"/>
        <v>0</v>
      </c>
      <c r="FF23" s="523"/>
      <c r="FG23" s="524" t="e">
        <f t="shared" si="52"/>
        <v>#DIV/0!</v>
      </c>
      <c r="FH23" s="525">
        <f t="shared" si="164"/>
        <v>0</v>
      </c>
      <c r="FI23" s="523"/>
      <c r="FJ23" s="524" t="e">
        <f t="shared" si="53"/>
        <v>#DIV/0!</v>
      </c>
      <c r="FK23" s="525">
        <f t="shared" si="165"/>
        <v>0</v>
      </c>
      <c r="FL23" s="523"/>
      <c r="FM23" s="524" t="e">
        <f t="shared" si="54"/>
        <v>#DIV/0!</v>
      </c>
      <c r="FN23" s="525">
        <f t="shared" si="166"/>
        <v>0</v>
      </c>
      <c r="FO23" s="523"/>
      <c r="FP23" s="524" t="e">
        <f t="shared" si="55"/>
        <v>#DIV/0!</v>
      </c>
      <c r="FQ23" s="525">
        <f t="shared" si="167"/>
        <v>0</v>
      </c>
      <c r="FR23" s="523"/>
      <c r="FS23" s="524" t="e">
        <f t="shared" si="56"/>
        <v>#DIV/0!</v>
      </c>
      <c r="FT23" s="525">
        <f t="shared" si="168"/>
        <v>0</v>
      </c>
      <c r="FU23" s="523"/>
      <c r="FV23" s="524" t="e">
        <f t="shared" si="57"/>
        <v>#DIV/0!</v>
      </c>
      <c r="FW23" s="525">
        <f t="shared" si="169"/>
        <v>0</v>
      </c>
      <c r="FX23" s="523"/>
      <c r="FY23" s="524" t="e">
        <f t="shared" si="58"/>
        <v>#DIV/0!</v>
      </c>
      <c r="FZ23" s="525">
        <f t="shared" si="170"/>
        <v>0</v>
      </c>
      <c r="GA23" s="523"/>
      <c r="GB23" s="524" t="e">
        <f t="shared" si="59"/>
        <v>#DIV/0!</v>
      </c>
      <c r="GC23" s="525">
        <f t="shared" si="171"/>
        <v>0</v>
      </c>
      <c r="GD23" s="523"/>
      <c r="GE23" s="524" t="e">
        <f t="shared" si="60"/>
        <v>#DIV/0!</v>
      </c>
      <c r="GF23" s="525">
        <f t="shared" si="172"/>
        <v>0</v>
      </c>
      <c r="GG23" s="523"/>
      <c r="GH23" s="524" t="e">
        <f t="shared" si="61"/>
        <v>#DIV/0!</v>
      </c>
      <c r="GI23" s="525">
        <f t="shared" si="173"/>
        <v>0</v>
      </c>
      <c r="GJ23" s="523"/>
      <c r="GK23" s="524" t="e">
        <f t="shared" si="62"/>
        <v>#DIV/0!</v>
      </c>
      <c r="GL23" s="525">
        <f t="shared" si="174"/>
        <v>0</v>
      </c>
      <c r="GM23" s="523"/>
      <c r="GN23" s="524" t="e">
        <f t="shared" si="63"/>
        <v>#DIV/0!</v>
      </c>
      <c r="GO23" s="525">
        <f t="shared" si="175"/>
        <v>0</v>
      </c>
      <c r="GP23" s="523"/>
      <c r="GQ23" s="524" t="e">
        <f t="shared" si="64"/>
        <v>#DIV/0!</v>
      </c>
      <c r="GR23" s="525">
        <f t="shared" si="176"/>
        <v>0</v>
      </c>
      <c r="GS23" s="523"/>
      <c r="GT23" s="524" t="e">
        <f t="shared" si="65"/>
        <v>#DIV/0!</v>
      </c>
      <c r="GU23" s="525">
        <f t="shared" si="177"/>
        <v>0</v>
      </c>
      <c r="GV23" s="523"/>
      <c r="GW23" s="524" t="e">
        <f t="shared" si="66"/>
        <v>#DIV/0!</v>
      </c>
      <c r="GX23" s="525">
        <f t="shared" si="178"/>
        <v>0</v>
      </c>
      <c r="GY23" s="523"/>
      <c r="GZ23" s="524" t="e">
        <f t="shared" si="67"/>
        <v>#DIV/0!</v>
      </c>
      <c r="HA23" s="525">
        <f t="shared" si="179"/>
        <v>0</v>
      </c>
      <c r="HB23" s="523"/>
      <c r="HC23" s="524" t="e">
        <f t="shared" si="68"/>
        <v>#DIV/0!</v>
      </c>
      <c r="HD23" s="525">
        <f t="shared" si="180"/>
        <v>0</v>
      </c>
      <c r="HE23" s="523"/>
      <c r="HF23" s="524" t="e">
        <f t="shared" si="69"/>
        <v>#DIV/0!</v>
      </c>
      <c r="HG23" s="525">
        <f t="shared" si="181"/>
        <v>0</v>
      </c>
      <c r="HH23" s="523"/>
      <c r="HI23" s="524" t="e">
        <f t="shared" si="70"/>
        <v>#DIV/0!</v>
      </c>
      <c r="HJ23" s="525">
        <f t="shared" si="182"/>
        <v>0</v>
      </c>
      <c r="HK23" s="523"/>
      <c r="HL23" s="524" t="e">
        <f t="shared" si="71"/>
        <v>#DIV/0!</v>
      </c>
      <c r="HM23" s="525">
        <f t="shared" si="183"/>
        <v>0</v>
      </c>
      <c r="HN23" s="523"/>
      <c r="HO23" s="524" t="e">
        <f t="shared" si="72"/>
        <v>#DIV/0!</v>
      </c>
      <c r="HP23" s="525">
        <f t="shared" si="184"/>
        <v>0</v>
      </c>
      <c r="HQ23" s="523"/>
      <c r="HR23" s="524" t="e">
        <f t="shared" si="73"/>
        <v>#DIV/0!</v>
      </c>
      <c r="HS23" s="525">
        <f t="shared" si="185"/>
        <v>0</v>
      </c>
      <c r="HT23" s="523"/>
      <c r="HU23" s="524" t="e">
        <f t="shared" si="74"/>
        <v>#DIV/0!</v>
      </c>
      <c r="HV23" s="525">
        <f t="shared" si="186"/>
        <v>0</v>
      </c>
      <c r="HW23" s="523"/>
      <c r="HX23" s="524" t="e">
        <f t="shared" si="75"/>
        <v>#DIV/0!</v>
      </c>
      <c r="HY23" s="525">
        <f t="shared" si="187"/>
        <v>0</v>
      </c>
      <c r="HZ23" s="523"/>
      <c r="IA23" s="524" t="e">
        <f t="shared" si="76"/>
        <v>#DIV/0!</v>
      </c>
      <c r="IB23" s="525">
        <f t="shared" si="188"/>
        <v>0</v>
      </c>
      <c r="IC23" s="523"/>
      <c r="ID23" s="524" t="e">
        <f t="shared" si="77"/>
        <v>#DIV/0!</v>
      </c>
      <c r="IE23" s="525">
        <f t="shared" si="189"/>
        <v>0</v>
      </c>
      <c r="IF23" s="523"/>
      <c r="IG23" s="524" t="e">
        <f t="shared" si="78"/>
        <v>#DIV/0!</v>
      </c>
      <c r="IH23" s="525">
        <f t="shared" si="190"/>
        <v>0</v>
      </c>
      <c r="II23" s="523"/>
      <c r="IJ23" s="524" t="e">
        <f t="shared" si="79"/>
        <v>#DIV/0!</v>
      </c>
      <c r="IK23" s="525">
        <f t="shared" si="191"/>
        <v>0</v>
      </c>
      <c r="IL23" s="523"/>
      <c r="IM23" s="524" t="e">
        <f t="shared" si="80"/>
        <v>#DIV/0!</v>
      </c>
      <c r="IN23" s="525">
        <f t="shared" si="192"/>
        <v>0</v>
      </c>
      <c r="IO23" s="523"/>
      <c r="IP23" s="524" t="e">
        <f t="shared" si="81"/>
        <v>#DIV/0!</v>
      </c>
      <c r="IQ23" s="525">
        <f t="shared" si="193"/>
        <v>0</v>
      </c>
      <c r="IR23" s="523"/>
      <c r="IS23" s="524" t="e">
        <f t="shared" si="82"/>
        <v>#DIV/0!</v>
      </c>
      <c r="IT23" s="525">
        <f t="shared" si="194"/>
        <v>0</v>
      </c>
      <c r="IU23" s="523"/>
      <c r="IV23" s="524" t="e">
        <f t="shared" si="83"/>
        <v>#DIV/0!</v>
      </c>
      <c r="IW23" s="525">
        <f t="shared" si="195"/>
        <v>0</v>
      </c>
      <c r="IX23" s="523"/>
      <c r="IY23" s="524" t="e">
        <f t="shared" si="84"/>
        <v>#DIV/0!</v>
      </c>
      <c r="IZ23" s="525">
        <f t="shared" si="196"/>
        <v>0</v>
      </c>
      <c r="JA23" s="523"/>
      <c r="JB23" s="524" t="e">
        <f t="shared" si="85"/>
        <v>#DIV/0!</v>
      </c>
      <c r="JC23" s="525">
        <f t="shared" si="197"/>
        <v>0</v>
      </c>
      <c r="JD23" s="523"/>
      <c r="JE23" s="524" t="e">
        <f t="shared" si="86"/>
        <v>#DIV/0!</v>
      </c>
      <c r="JF23" s="525">
        <f t="shared" si="198"/>
        <v>0</v>
      </c>
      <c r="JG23" s="523"/>
      <c r="JH23" s="524" t="e">
        <f t="shared" si="87"/>
        <v>#DIV/0!</v>
      </c>
      <c r="JI23" s="525">
        <f t="shared" si="199"/>
        <v>0</v>
      </c>
      <c r="JJ23" s="523"/>
      <c r="JK23" s="525" t="str">
        <f t="shared" si="88"/>
        <v>0</v>
      </c>
      <c r="JL23" s="525" t="str">
        <f t="shared" si="89"/>
        <v>0</v>
      </c>
      <c r="JM23" s="523"/>
      <c r="JN23" s="525" t="str">
        <f t="shared" si="90"/>
        <v>0</v>
      </c>
      <c r="JO23" s="525" t="str">
        <f t="shared" si="91"/>
        <v>0</v>
      </c>
      <c r="JP23" s="523"/>
      <c r="JQ23" s="525" t="str">
        <f t="shared" si="92"/>
        <v>0</v>
      </c>
      <c r="JR23" s="525" t="str">
        <f t="shared" si="93"/>
        <v>0</v>
      </c>
      <c r="JS23" s="523"/>
      <c r="JT23" s="525" t="str">
        <f t="shared" si="94"/>
        <v>0</v>
      </c>
      <c r="JU23" s="525" t="str">
        <f t="shared" si="95"/>
        <v>0</v>
      </c>
      <c r="JV23" s="523"/>
      <c r="JW23" s="525" t="str">
        <f t="shared" si="96"/>
        <v>0</v>
      </c>
      <c r="JX23" s="525" t="str">
        <f t="shared" si="97"/>
        <v>0</v>
      </c>
      <c r="JY23" s="523"/>
      <c r="JZ23" s="525" t="str">
        <f t="shared" si="98"/>
        <v>0</v>
      </c>
      <c r="KA23" s="525" t="str">
        <f t="shared" si="99"/>
        <v>0</v>
      </c>
      <c r="KB23" s="523"/>
      <c r="KC23" s="525" t="str">
        <f t="shared" si="100"/>
        <v>0</v>
      </c>
      <c r="KD23" s="525" t="str">
        <f t="shared" si="101"/>
        <v>0</v>
      </c>
      <c r="KE23" s="523"/>
      <c r="KF23" s="525" t="str">
        <f t="shared" si="102"/>
        <v>0</v>
      </c>
      <c r="KG23" s="525" t="str">
        <f t="shared" si="103"/>
        <v>0</v>
      </c>
      <c r="KH23" s="523"/>
      <c r="KI23" s="525" t="str">
        <f t="shared" si="104"/>
        <v>0</v>
      </c>
      <c r="KJ23" s="525" t="str">
        <f t="shared" si="105"/>
        <v>0</v>
      </c>
      <c r="KK23" s="523"/>
      <c r="KL23" s="525" t="str">
        <f t="shared" si="106"/>
        <v>0</v>
      </c>
      <c r="KM23" s="525" t="str">
        <f t="shared" si="107"/>
        <v>0</v>
      </c>
      <c r="KN23" s="523"/>
      <c r="KO23" s="525" t="str">
        <f t="shared" si="108"/>
        <v>0</v>
      </c>
      <c r="KP23" s="525" t="str">
        <f t="shared" si="109"/>
        <v>0</v>
      </c>
      <c r="KQ23" s="523"/>
      <c r="KR23" s="525" t="str">
        <f t="shared" si="110"/>
        <v>0</v>
      </c>
      <c r="KS23" s="525" t="str">
        <f t="shared" si="111"/>
        <v>0</v>
      </c>
      <c r="KT23" s="525">
        <f t="shared" si="201"/>
        <v>0</v>
      </c>
      <c r="KU23" s="525">
        <f t="shared" si="202"/>
        <v>0</v>
      </c>
      <c r="KV23" s="261">
        <f t="shared" si="112"/>
        <v>0</v>
      </c>
    </row>
    <row r="24" spans="1:308">
      <c r="A24" s="262">
        <f t="shared" si="200"/>
        <v>45977</v>
      </c>
      <c r="B24" s="263" t="str">
        <f>+Report1!B24</f>
        <v>Facial</v>
      </c>
      <c r="C24" s="263" t="str">
        <f>+Report1!C24</f>
        <v>12</v>
      </c>
      <c r="D24" s="264">
        <f>+Report1!P24</f>
        <v>24.817</v>
      </c>
      <c r="E24" s="562">
        <f>+Report1!R24</f>
        <v>22.440999999999999</v>
      </c>
      <c r="F24" s="523"/>
      <c r="G24" s="524">
        <f t="shared" si="0"/>
        <v>0</v>
      </c>
      <c r="H24" s="525">
        <f t="shared" si="113"/>
        <v>0</v>
      </c>
      <c r="I24" s="523">
        <v>232.55813953488376</v>
      </c>
      <c r="J24" s="524">
        <f t="shared" si="1"/>
        <v>10.3630916418557</v>
      </c>
      <c r="K24" s="525">
        <f t="shared" si="114"/>
        <v>0</v>
      </c>
      <c r="L24" s="523"/>
      <c r="M24" s="524">
        <f t="shared" si="2"/>
        <v>0</v>
      </c>
      <c r="N24" s="525">
        <f t="shared" si="115"/>
        <v>0</v>
      </c>
      <c r="O24" s="523">
        <v>2.9999999999999716</v>
      </c>
      <c r="P24" s="524">
        <f t="shared" si="3"/>
        <v>0.13368388217993724</v>
      </c>
      <c r="Q24" s="525">
        <f t="shared" si="116"/>
        <v>0</v>
      </c>
      <c r="R24" s="523"/>
      <c r="S24" s="524">
        <f t="shared" si="4"/>
        <v>0</v>
      </c>
      <c r="T24" s="525">
        <f t="shared" si="117"/>
        <v>0</v>
      </c>
      <c r="U24" s="523">
        <v>2.5625</v>
      </c>
      <c r="V24" s="524">
        <f t="shared" si="5"/>
        <v>0.11418831602869747</v>
      </c>
      <c r="W24" s="525">
        <f t="shared" si="118"/>
        <v>0</v>
      </c>
      <c r="X24" s="523"/>
      <c r="Y24" s="524">
        <f t="shared" si="6"/>
        <v>0</v>
      </c>
      <c r="Z24" s="525">
        <f t="shared" si="119"/>
        <v>0</v>
      </c>
      <c r="AA24" s="523"/>
      <c r="AB24" s="524">
        <f t="shared" si="7"/>
        <v>0</v>
      </c>
      <c r="AC24" s="525">
        <f t="shared" si="120"/>
        <v>0</v>
      </c>
      <c r="AD24" s="523"/>
      <c r="AE24" s="524">
        <f t="shared" si="8"/>
        <v>0</v>
      </c>
      <c r="AF24" s="525">
        <f t="shared" si="121"/>
        <v>0</v>
      </c>
      <c r="AG24" s="523"/>
      <c r="AH24" s="524">
        <f t="shared" si="9"/>
        <v>0</v>
      </c>
      <c r="AI24" s="525">
        <f t="shared" si="122"/>
        <v>0</v>
      </c>
      <c r="AJ24" s="523"/>
      <c r="AK24" s="524">
        <f t="shared" si="10"/>
        <v>0</v>
      </c>
      <c r="AL24" s="525">
        <f t="shared" si="123"/>
        <v>0</v>
      </c>
      <c r="AM24" s="523">
        <v>44.679487179487182</v>
      </c>
      <c r="AN24" s="524">
        <f t="shared" si="11"/>
        <v>1.9909757666542125</v>
      </c>
      <c r="AO24" s="525">
        <f t="shared" si="124"/>
        <v>0</v>
      </c>
      <c r="AP24" s="523"/>
      <c r="AQ24" s="524">
        <f t="shared" si="12"/>
        <v>0</v>
      </c>
      <c r="AR24" s="525">
        <f t="shared" si="125"/>
        <v>0</v>
      </c>
      <c r="AS24" s="523"/>
      <c r="AT24" s="524">
        <f t="shared" si="13"/>
        <v>0</v>
      </c>
      <c r="AU24" s="525">
        <f t="shared" si="126"/>
        <v>0</v>
      </c>
      <c r="AV24" s="523"/>
      <c r="AW24" s="524">
        <f t="shared" si="14"/>
        <v>0</v>
      </c>
      <c r="AX24" s="525">
        <f t="shared" si="127"/>
        <v>0</v>
      </c>
      <c r="AY24" s="523">
        <v>60.666666666666657</v>
      </c>
      <c r="AZ24" s="524">
        <f t="shared" si="15"/>
        <v>2.7033851729720895</v>
      </c>
      <c r="BA24" s="525">
        <f t="shared" si="128"/>
        <v>0</v>
      </c>
      <c r="BB24" s="523"/>
      <c r="BC24" s="524">
        <f t="shared" si="16"/>
        <v>0</v>
      </c>
      <c r="BD24" s="525">
        <f t="shared" si="129"/>
        <v>0</v>
      </c>
      <c r="BE24" s="523"/>
      <c r="BF24" s="524">
        <f t="shared" si="17"/>
        <v>0</v>
      </c>
      <c r="BG24" s="525">
        <f t="shared" si="130"/>
        <v>0</v>
      </c>
      <c r="BH24" s="523"/>
      <c r="BI24" s="524">
        <f t="shared" si="18"/>
        <v>0</v>
      </c>
      <c r="BJ24" s="525">
        <f t="shared" si="131"/>
        <v>0</v>
      </c>
      <c r="BK24" s="523"/>
      <c r="BL24" s="524">
        <f t="shared" si="19"/>
        <v>0</v>
      </c>
      <c r="BM24" s="525">
        <f t="shared" si="132"/>
        <v>0</v>
      </c>
      <c r="BN24" s="523"/>
      <c r="BO24" s="524">
        <f t="shared" si="20"/>
        <v>0</v>
      </c>
      <c r="BP24" s="525">
        <f t="shared" si="133"/>
        <v>0</v>
      </c>
      <c r="BQ24" s="523"/>
      <c r="BR24" s="524">
        <f t="shared" si="21"/>
        <v>0</v>
      </c>
      <c r="BS24" s="525">
        <f t="shared" si="134"/>
        <v>0</v>
      </c>
      <c r="BT24" s="523"/>
      <c r="BU24" s="524">
        <f t="shared" si="22"/>
        <v>0</v>
      </c>
      <c r="BV24" s="525">
        <f t="shared" si="135"/>
        <v>0</v>
      </c>
      <c r="BW24" s="523"/>
      <c r="BX24" s="524">
        <f t="shared" si="23"/>
        <v>0</v>
      </c>
      <c r="BY24" s="525">
        <f t="shared" si="136"/>
        <v>0</v>
      </c>
      <c r="BZ24" s="523"/>
      <c r="CA24" s="524">
        <f t="shared" si="24"/>
        <v>0</v>
      </c>
      <c r="CB24" s="525">
        <f t="shared" si="137"/>
        <v>0</v>
      </c>
      <c r="CC24" s="523"/>
      <c r="CD24" s="524">
        <f t="shared" si="25"/>
        <v>0</v>
      </c>
      <c r="CE24" s="525">
        <f t="shared" si="138"/>
        <v>0</v>
      </c>
      <c r="CF24" s="523">
        <v>0.39999999999999858</v>
      </c>
      <c r="CG24" s="524">
        <f t="shared" si="26"/>
        <v>1.7824517623991738E-2</v>
      </c>
      <c r="CH24" s="525">
        <f t="shared" si="139"/>
        <v>0</v>
      </c>
      <c r="CI24" s="523"/>
      <c r="CJ24" s="524">
        <f t="shared" si="27"/>
        <v>0</v>
      </c>
      <c r="CK24" s="525">
        <f t="shared" si="140"/>
        <v>0</v>
      </c>
      <c r="CL24" s="523"/>
      <c r="CM24" s="524">
        <f t="shared" si="28"/>
        <v>0</v>
      </c>
      <c r="CN24" s="525">
        <f t="shared" si="141"/>
        <v>0</v>
      </c>
      <c r="CO24" s="523"/>
      <c r="CP24" s="524">
        <f t="shared" si="29"/>
        <v>0</v>
      </c>
      <c r="CQ24" s="525">
        <f t="shared" si="142"/>
        <v>0</v>
      </c>
      <c r="CR24" s="523"/>
      <c r="CS24" s="524">
        <f t="shared" si="30"/>
        <v>0</v>
      </c>
      <c r="CT24" s="525">
        <f t="shared" si="143"/>
        <v>0</v>
      </c>
      <c r="CU24" s="523"/>
      <c r="CV24" s="524">
        <f t="shared" si="31"/>
        <v>0</v>
      </c>
      <c r="CW24" s="525">
        <f t="shared" si="144"/>
        <v>0</v>
      </c>
      <c r="CX24" s="523"/>
      <c r="CY24" s="524">
        <f t="shared" si="32"/>
        <v>0</v>
      </c>
      <c r="CZ24" s="525">
        <f t="shared" si="145"/>
        <v>0</v>
      </c>
      <c r="DA24" s="523"/>
      <c r="DB24" s="524">
        <f t="shared" si="33"/>
        <v>0</v>
      </c>
      <c r="DC24" s="525">
        <f t="shared" si="146"/>
        <v>0</v>
      </c>
      <c r="DD24" s="523"/>
      <c r="DE24" s="524">
        <f t="shared" si="34"/>
        <v>0</v>
      </c>
      <c r="DF24" s="525">
        <f t="shared" si="147"/>
        <v>0</v>
      </c>
      <c r="DG24" s="523"/>
      <c r="DH24" s="524">
        <f t="shared" si="35"/>
        <v>0</v>
      </c>
      <c r="DI24" s="525">
        <f t="shared" si="203"/>
        <v>0</v>
      </c>
      <c r="DJ24" s="523"/>
      <c r="DK24" s="524">
        <f t="shared" si="36"/>
        <v>0</v>
      </c>
      <c r="DL24" s="525">
        <f t="shared" si="148"/>
        <v>0</v>
      </c>
      <c r="DM24" s="523"/>
      <c r="DN24" s="524">
        <f t="shared" si="37"/>
        <v>0</v>
      </c>
      <c r="DO24" s="525">
        <f t="shared" si="149"/>
        <v>0</v>
      </c>
      <c r="DP24" s="523"/>
      <c r="DQ24" s="524">
        <f t="shared" si="38"/>
        <v>0</v>
      </c>
      <c r="DR24" s="525">
        <f t="shared" si="150"/>
        <v>0</v>
      </c>
      <c r="DS24" s="523"/>
      <c r="DT24" s="524">
        <f t="shared" si="39"/>
        <v>0</v>
      </c>
      <c r="DU24" s="525">
        <f t="shared" si="151"/>
        <v>0</v>
      </c>
      <c r="DV24" s="523"/>
      <c r="DW24" s="524">
        <f t="shared" si="40"/>
        <v>0</v>
      </c>
      <c r="DX24" s="525">
        <f t="shared" si="152"/>
        <v>0</v>
      </c>
      <c r="DY24" s="523"/>
      <c r="DZ24" s="524">
        <f t="shared" si="41"/>
        <v>0</v>
      </c>
      <c r="EA24" s="525">
        <f t="shared" si="153"/>
        <v>0</v>
      </c>
      <c r="EB24" s="523"/>
      <c r="EC24" s="524">
        <f t="shared" si="42"/>
        <v>0</v>
      </c>
      <c r="ED24" s="525">
        <f t="shared" si="154"/>
        <v>0</v>
      </c>
      <c r="EE24" s="523">
        <v>258.30588235294113</v>
      </c>
      <c r="EF24" s="524">
        <f t="shared" si="43"/>
        <v>11.510444380951879</v>
      </c>
      <c r="EG24" s="525">
        <f t="shared" si="155"/>
        <v>0</v>
      </c>
      <c r="EH24" s="523"/>
      <c r="EI24" s="524">
        <f t="shared" si="44"/>
        <v>0</v>
      </c>
      <c r="EJ24" s="525">
        <f t="shared" si="156"/>
        <v>0</v>
      </c>
      <c r="EK24" s="523"/>
      <c r="EL24" s="524">
        <f t="shared" si="45"/>
        <v>0</v>
      </c>
      <c r="EM24" s="525">
        <f t="shared" si="157"/>
        <v>0</v>
      </c>
      <c r="EN24" s="523"/>
      <c r="EO24" s="524">
        <f t="shared" si="46"/>
        <v>0</v>
      </c>
      <c r="EP24" s="525">
        <f t="shared" si="158"/>
        <v>0</v>
      </c>
      <c r="EQ24" s="523"/>
      <c r="ER24" s="524">
        <f t="shared" si="47"/>
        <v>0</v>
      </c>
      <c r="ES24" s="525">
        <f t="shared" si="159"/>
        <v>0</v>
      </c>
      <c r="ET24" s="523"/>
      <c r="EU24" s="524">
        <f t="shared" si="48"/>
        <v>0</v>
      </c>
      <c r="EV24" s="525">
        <f t="shared" si="160"/>
        <v>0</v>
      </c>
      <c r="EW24" s="523"/>
      <c r="EX24" s="524">
        <f t="shared" si="49"/>
        <v>0</v>
      </c>
      <c r="EY24" s="525">
        <f t="shared" si="161"/>
        <v>0</v>
      </c>
      <c r="EZ24" s="523"/>
      <c r="FA24" s="524">
        <f t="shared" si="50"/>
        <v>0</v>
      </c>
      <c r="FB24" s="525">
        <f t="shared" si="162"/>
        <v>0</v>
      </c>
      <c r="FC24" s="523"/>
      <c r="FD24" s="524">
        <f t="shared" si="51"/>
        <v>0</v>
      </c>
      <c r="FE24" s="525">
        <f t="shared" si="163"/>
        <v>0</v>
      </c>
      <c r="FF24" s="523"/>
      <c r="FG24" s="524">
        <f t="shared" si="52"/>
        <v>0</v>
      </c>
      <c r="FH24" s="525">
        <f t="shared" si="164"/>
        <v>0</v>
      </c>
      <c r="FI24" s="523"/>
      <c r="FJ24" s="524">
        <f t="shared" si="53"/>
        <v>0</v>
      </c>
      <c r="FK24" s="525">
        <f t="shared" si="165"/>
        <v>0</v>
      </c>
      <c r="FL24" s="523"/>
      <c r="FM24" s="524">
        <f t="shared" si="54"/>
        <v>0</v>
      </c>
      <c r="FN24" s="525">
        <f t="shared" si="166"/>
        <v>0</v>
      </c>
      <c r="FO24" s="523"/>
      <c r="FP24" s="524">
        <f t="shared" si="55"/>
        <v>0</v>
      </c>
      <c r="FQ24" s="525">
        <f t="shared" si="167"/>
        <v>0</v>
      </c>
      <c r="FR24" s="523"/>
      <c r="FS24" s="524">
        <f t="shared" si="56"/>
        <v>0</v>
      </c>
      <c r="FT24" s="525">
        <f t="shared" si="168"/>
        <v>0</v>
      </c>
      <c r="FU24" s="523"/>
      <c r="FV24" s="524">
        <f t="shared" si="57"/>
        <v>0</v>
      </c>
      <c r="FW24" s="525">
        <f t="shared" si="169"/>
        <v>0</v>
      </c>
      <c r="FX24" s="523"/>
      <c r="FY24" s="524">
        <f t="shared" si="58"/>
        <v>0</v>
      </c>
      <c r="FZ24" s="525">
        <f t="shared" si="170"/>
        <v>0</v>
      </c>
      <c r="GA24" s="523"/>
      <c r="GB24" s="524">
        <f t="shared" si="59"/>
        <v>0</v>
      </c>
      <c r="GC24" s="525">
        <f t="shared" si="171"/>
        <v>0</v>
      </c>
      <c r="GD24" s="523"/>
      <c r="GE24" s="524">
        <f t="shared" si="60"/>
        <v>0</v>
      </c>
      <c r="GF24" s="525">
        <f t="shared" si="172"/>
        <v>0</v>
      </c>
      <c r="GG24" s="523"/>
      <c r="GH24" s="524">
        <f t="shared" si="61"/>
        <v>0</v>
      </c>
      <c r="GI24" s="525">
        <f t="shared" si="173"/>
        <v>0</v>
      </c>
      <c r="GJ24" s="523"/>
      <c r="GK24" s="524">
        <f t="shared" si="62"/>
        <v>0</v>
      </c>
      <c r="GL24" s="525">
        <f t="shared" si="174"/>
        <v>0</v>
      </c>
      <c r="GM24" s="523"/>
      <c r="GN24" s="524">
        <f t="shared" si="63"/>
        <v>0</v>
      </c>
      <c r="GO24" s="525">
        <f t="shared" si="175"/>
        <v>0</v>
      </c>
      <c r="GP24" s="523"/>
      <c r="GQ24" s="524">
        <f t="shared" si="64"/>
        <v>0</v>
      </c>
      <c r="GR24" s="525">
        <f t="shared" si="176"/>
        <v>0</v>
      </c>
      <c r="GS24" s="523"/>
      <c r="GT24" s="524">
        <f t="shared" si="65"/>
        <v>0</v>
      </c>
      <c r="GU24" s="525">
        <f t="shared" si="177"/>
        <v>0</v>
      </c>
      <c r="GV24" s="523"/>
      <c r="GW24" s="524">
        <f t="shared" si="66"/>
        <v>0</v>
      </c>
      <c r="GX24" s="525">
        <f t="shared" si="178"/>
        <v>0</v>
      </c>
      <c r="GY24" s="523"/>
      <c r="GZ24" s="524">
        <f t="shared" si="67"/>
        <v>0</v>
      </c>
      <c r="HA24" s="525">
        <f t="shared" si="179"/>
        <v>0</v>
      </c>
      <c r="HB24" s="523"/>
      <c r="HC24" s="524">
        <f t="shared" si="68"/>
        <v>0</v>
      </c>
      <c r="HD24" s="525">
        <f t="shared" si="180"/>
        <v>0</v>
      </c>
      <c r="HE24" s="523"/>
      <c r="HF24" s="524">
        <f t="shared" si="69"/>
        <v>0</v>
      </c>
      <c r="HG24" s="525">
        <f t="shared" si="181"/>
        <v>0</v>
      </c>
      <c r="HH24" s="523"/>
      <c r="HI24" s="524">
        <f t="shared" si="70"/>
        <v>0</v>
      </c>
      <c r="HJ24" s="525">
        <f t="shared" si="182"/>
        <v>0</v>
      </c>
      <c r="HK24" s="523"/>
      <c r="HL24" s="524">
        <f t="shared" si="71"/>
        <v>0</v>
      </c>
      <c r="HM24" s="525">
        <f t="shared" si="183"/>
        <v>0</v>
      </c>
      <c r="HN24" s="523"/>
      <c r="HO24" s="524">
        <f t="shared" si="72"/>
        <v>0</v>
      </c>
      <c r="HP24" s="525">
        <f t="shared" si="184"/>
        <v>0</v>
      </c>
      <c r="HQ24" s="523"/>
      <c r="HR24" s="524">
        <f t="shared" si="73"/>
        <v>0</v>
      </c>
      <c r="HS24" s="525">
        <f t="shared" si="185"/>
        <v>0</v>
      </c>
      <c r="HT24" s="523"/>
      <c r="HU24" s="524">
        <f t="shared" si="74"/>
        <v>0</v>
      </c>
      <c r="HV24" s="525">
        <f t="shared" si="186"/>
        <v>0</v>
      </c>
      <c r="HW24" s="523"/>
      <c r="HX24" s="524">
        <f t="shared" si="75"/>
        <v>0</v>
      </c>
      <c r="HY24" s="525">
        <f t="shared" si="187"/>
        <v>0</v>
      </c>
      <c r="HZ24" s="523"/>
      <c r="IA24" s="524">
        <f t="shared" si="76"/>
        <v>0</v>
      </c>
      <c r="IB24" s="525">
        <f t="shared" si="188"/>
        <v>0</v>
      </c>
      <c r="IC24" s="523"/>
      <c r="ID24" s="524">
        <f t="shared" si="77"/>
        <v>0</v>
      </c>
      <c r="IE24" s="525">
        <f t="shared" si="189"/>
        <v>0</v>
      </c>
      <c r="IF24" s="523"/>
      <c r="IG24" s="524">
        <f t="shared" si="78"/>
        <v>0</v>
      </c>
      <c r="IH24" s="525">
        <f t="shared" si="190"/>
        <v>0</v>
      </c>
      <c r="II24" s="523"/>
      <c r="IJ24" s="524">
        <f t="shared" si="79"/>
        <v>0</v>
      </c>
      <c r="IK24" s="525">
        <f t="shared" si="191"/>
        <v>0</v>
      </c>
      <c r="IL24" s="523"/>
      <c r="IM24" s="524">
        <f t="shared" si="80"/>
        <v>0</v>
      </c>
      <c r="IN24" s="525">
        <f t="shared" si="192"/>
        <v>0</v>
      </c>
      <c r="IO24" s="523"/>
      <c r="IP24" s="524">
        <f t="shared" si="81"/>
        <v>0</v>
      </c>
      <c r="IQ24" s="525">
        <f t="shared" si="193"/>
        <v>0</v>
      </c>
      <c r="IR24" s="523"/>
      <c r="IS24" s="524">
        <f t="shared" si="82"/>
        <v>0</v>
      </c>
      <c r="IT24" s="525">
        <f t="shared" si="194"/>
        <v>0</v>
      </c>
      <c r="IU24" s="523"/>
      <c r="IV24" s="524">
        <f t="shared" si="83"/>
        <v>0</v>
      </c>
      <c r="IW24" s="525">
        <f t="shared" si="195"/>
        <v>0</v>
      </c>
      <c r="IX24" s="523"/>
      <c r="IY24" s="524">
        <f t="shared" si="84"/>
        <v>0</v>
      </c>
      <c r="IZ24" s="525">
        <f t="shared" si="196"/>
        <v>0</v>
      </c>
      <c r="JA24" s="523"/>
      <c r="JB24" s="524">
        <f t="shared" si="85"/>
        <v>0</v>
      </c>
      <c r="JC24" s="525">
        <f t="shared" si="197"/>
        <v>0</v>
      </c>
      <c r="JD24" s="523"/>
      <c r="JE24" s="524">
        <f t="shared" si="86"/>
        <v>0</v>
      </c>
      <c r="JF24" s="525">
        <f t="shared" si="198"/>
        <v>0</v>
      </c>
      <c r="JG24" s="523"/>
      <c r="JH24" s="524">
        <f t="shared" si="87"/>
        <v>0</v>
      </c>
      <c r="JI24" s="525">
        <f t="shared" si="199"/>
        <v>0</v>
      </c>
      <c r="JJ24" s="523"/>
      <c r="JK24" s="525" t="str">
        <f t="shared" si="88"/>
        <v>0</v>
      </c>
      <c r="JL24" s="525" t="str">
        <f t="shared" si="89"/>
        <v>0</v>
      </c>
      <c r="JM24" s="523"/>
      <c r="JN24" s="525" t="str">
        <f t="shared" si="90"/>
        <v>0</v>
      </c>
      <c r="JO24" s="525" t="str">
        <f t="shared" si="91"/>
        <v>0</v>
      </c>
      <c r="JP24" s="523"/>
      <c r="JQ24" s="525" t="str">
        <f t="shared" si="92"/>
        <v>0</v>
      </c>
      <c r="JR24" s="525" t="str">
        <f t="shared" si="93"/>
        <v>0</v>
      </c>
      <c r="JS24" s="523"/>
      <c r="JT24" s="525" t="str">
        <f t="shared" si="94"/>
        <v>0</v>
      </c>
      <c r="JU24" s="525" t="str">
        <f t="shared" si="95"/>
        <v>0</v>
      </c>
      <c r="JV24" s="523"/>
      <c r="JW24" s="525" t="str">
        <f t="shared" si="96"/>
        <v>0</v>
      </c>
      <c r="JX24" s="525" t="str">
        <f t="shared" si="97"/>
        <v>0</v>
      </c>
      <c r="JY24" s="523"/>
      <c r="JZ24" s="525" t="str">
        <f t="shared" si="98"/>
        <v>0</v>
      </c>
      <c r="KA24" s="525" t="str">
        <f t="shared" si="99"/>
        <v>0</v>
      </c>
      <c r="KB24" s="523"/>
      <c r="KC24" s="525" t="str">
        <f t="shared" si="100"/>
        <v>0</v>
      </c>
      <c r="KD24" s="525" t="str">
        <f t="shared" si="101"/>
        <v>0</v>
      </c>
      <c r="KE24" s="523"/>
      <c r="KF24" s="525" t="str">
        <f t="shared" si="102"/>
        <v>0</v>
      </c>
      <c r="KG24" s="525" t="str">
        <f t="shared" si="103"/>
        <v>0</v>
      </c>
      <c r="KH24" s="523"/>
      <c r="KI24" s="525" t="str">
        <f t="shared" si="104"/>
        <v>0</v>
      </c>
      <c r="KJ24" s="525" t="str">
        <f t="shared" si="105"/>
        <v>0</v>
      </c>
      <c r="KK24" s="523"/>
      <c r="KL24" s="525" t="str">
        <f t="shared" si="106"/>
        <v>0</v>
      </c>
      <c r="KM24" s="525" t="str">
        <f t="shared" si="107"/>
        <v>0</v>
      </c>
      <c r="KN24" s="523"/>
      <c r="KO24" s="525" t="str">
        <f t="shared" si="108"/>
        <v>0</v>
      </c>
      <c r="KP24" s="525" t="str">
        <f t="shared" si="109"/>
        <v>0</v>
      </c>
      <c r="KQ24" s="523"/>
      <c r="KR24" s="525" t="str">
        <f t="shared" si="110"/>
        <v>0</v>
      </c>
      <c r="KS24" s="525" t="str">
        <f t="shared" si="111"/>
        <v>0</v>
      </c>
      <c r="KT24" s="525">
        <f t="shared" si="201"/>
        <v>0</v>
      </c>
      <c r="KU24" s="525">
        <f t="shared" si="202"/>
        <v>0</v>
      </c>
      <c r="KV24" s="261">
        <f t="shared" si="112"/>
        <v>602.17267573397862</v>
      </c>
    </row>
    <row r="25" spans="1:308">
      <c r="A25" s="262">
        <f t="shared" si="200"/>
        <v>45978</v>
      </c>
      <c r="B25" s="263" t="str">
        <f>+Report1!B25</f>
        <v>Facial</v>
      </c>
      <c r="C25" s="263" t="str">
        <f>+Report1!C25</f>
        <v>12</v>
      </c>
      <c r="D25" s="264">
        <f>+Report1!P25</f>
        <v>33.996000000000002</v>
      </c>
      <c r="E25" s="562">
        <f>+Report1!R25</f>
        <v>25.547000000000001</v>
      </c>
      <c r="F25" s="523"/>
      <c r="G25" s="524">
        <f t="shared" si="0"/>
        <v>0</v>
      </c>
      <c r="H25" s="525">
        <f t="shared" si="113"/>
        <v>0</v>
      </c>
      <c r="I25" s="523">
        <v>186.04651162790697</v>
      </c>
      <c r="J25" s="524">
        <f t="shared" si="1"/>
        <v>7.2825189504797807</v>
      </c>
      <c r="K25" s="525">
        <f t="shared" si="114"/>
        <v>0</v>
      </c>
      <c r="L25" s="523"/>
      <c r="M25" s="524">
        <f t="shared" si="2"/>
        <v>0</v>
      </c>
      <c r="N25" s="525">
        <f t="shared" si="115"/>
        <v>0</v>
      </c>
      <c r="O25" s="523">
        <v>3</v>
      </c>
      <c r="P25" s="524">
        <f t="shared" si="3"/>
        <v>0.11743061807648647</v>
      </c>
      <c r="Q25" s="525">
        <f t="shared" si="116"/>
        <v>0</v>
      </c>
      <c r="R25" s="523"/>
      <c r="S25" s="524">
        <f t="shared" si="4"/>
        <v>0</v>
      </c>
      <c r="T25" s="525">
        <f t="shared" si="117"/>
        <v>0</v>
      </c>
      <c r="U25" s="523">
        <v>2.5625000000000284</v>
      </c>
      <c r="V25" s="524">
        <f t="shared" si="5"/>
        <v>0.10030531960699998</v>
      </c>
      <c r="W25" s="525">
        <f t="shared" si="118"/>
        <v>0</v>
      </c>
      <c r="X25" s="523"/>
      <c r="Y25" s="524">
        <f t="shared" si="6"/>
        <v>0</v>
      </c>
      <c r="Z25" s="525">
        <f t="shared" si="119"/>
        <v>0</v>
      </c>
      <c r="AA25" s="523"/>
      <c r="AB25" s="524">
        <f t="shared" si="7"/>
        <v>0</v>
      </c>
      <c r="AC25" s="525">
        <f t="shared" si="120"/>
        <v>0</v>
      </c>
      <c r="AD25" s="523"/>
      <c r="AE25" s="524">
        <f t="shared" si="8"/>
        <v>0</v>
      </c>
      <c r="AF25" s="525">
        <f t="shared" si="121"/>
        <v>0</v>
      </c>
      <c r="AG25" s="523"/>
      <c r="AH25" s="524">
        <f t="shared" si="9"/>
        <v>0</v>
      </c>
      <c r="AI25" s="525">
        <f t="shared" si="122"/>
        <v>0</v>
      </c>
      <c r="AJ25" s="523"/>
      <c r="AK25" s="524">
        <f t="shared" si="10"/>
        <v>0</v>
      </c>
      <c r="AL25" s="525">
        <f t="shared" si="123"/>
        <v>0</v>
      </c>
      <c r="AM25" s="523">
        <v>28.910256410256409</v>
      </c>
      <c r="AN25" s="524">
        <f t="shared" si="11"/>
        <v>1.131649759668705</v>
      </c>
      <c r="AO25" s="525">
        <f t="shared" si="124"/>
        <v>0</v>
      </c>
      <c r="AP25" s="523"/>
      <c r="AQ25" s="524">
        <f t="shared" si="12"/>
        <v>0</v>
      </c>
      <c r="AR25" s="525">
        <f t="shared" si="125"/>
        <v>0</v>
      </c>
      <c r="AS25" s="523"/>
      <c r="AT25" s="524">
        <f t="shared" si="13"/>
        <v>0</v>
      </c>
      <c r="AU25" s="525">
        <f t="shared" si="126"/>
        <v>0</v>
      </c>
      <c r="AV25" s="523"/>
      <c r="AW25" s="524">
        <f t="shared" si="14"/>
        <v>0</v>
      </c>
      <c r="AX25" s="525">
        <f t="shared" si="127"/>
        <v>0</v>
      </c>
      <c r="AY25" s="523">
        <v>65.333333333333343</v>
      </c>
      <c r="AZ25" s="524">
        <f t="shared" si="15"/>
        <v>2.5573779047768168</v>
      </c>
      <c r="BA25" s="525">
        <f t="shared" si="128"/>
        <v>0</v>
      </c>
      <c r="BB25" s="523"/>
      <c r="BC25" s="524">
        <f t="shared" si="16"/>
        <v>0</v>
      </c>
      <c r="BD25" s="525">
        <f t="shared" si="129"/>
        <v>0</v>
      </c>
      <c r="BE25" s="523"/>
      <c r="BF25" s="524">
        <f t="shared" si="17"/>
        <v>0</v>
      </c>
      <c r="BG25" s="525">
        <f t="shared" si="130"/>
        <v>0</v>
      </c>
      <c r="BH25" s="523"/>
      <c r="BI25" s="524">
        <f t="shared" si="18"/>
        <v>0</v>
      </c>
      <c r="BJ25" s="525">
        <f t="shared" si="131"/>
        <v>0</v>
      </c>
      <c r="BK25" s="523"/>
      <c r="BL25" s="524">
        <f t="shared" si="19"/>
        <v>0</v>
      </c>
      <c r="BM25" s="525">
        <f t="shared" si="132"/>
        <v>0</v>
      </c>
      <c r="BN25" s="523"/>
      <c r="BO25" s="524">
        <f t="shared" si="20"/>
        <v>0</v>
      </c>
      <c r="BP25" s="525">
        <f t="shared" si="133"/>
        <v>0</v>
      </c>
      <c r="BQ25" s="523"/>
      <c r="BR25" s="524">
        <f t="shared" si="21"/>
        <v>0</v>
      </c>
      <c r="BS25" s="525">
        <f t="shared" si="134"/>
        <v>0</v>
      </c>
      <c r="BT25" s="523"/>
      <c r="BU25" s="524">
        <f t="shared" si="22"/>
        <v>0</v>
      </c>
      <c r="BV25" s="525">
        <f t="shared" si="135"/>
        <v>0</v>
      </c>
      <c r="BW25" s="523"/>
      <c r="BX25" s="524">
        <f t="shared" si="23"/>
        <v>0</v>
      </c>
      <c r="BY25" s="525">
        <f t="shared" si="136"/>
        <v>0</v>
      </c>
      <c r="BZ25" s="523"/>
      <c r="CA25" s="524">
        <f t="shared" si="24"/>
        <v>0</v>
      </c>
      <c r="CB25" s="525">
        <f t="shared" si="137"/>
        <v>0</v>
      </c>
      <c r="CC25" s="523"/>
      <c r="CD25" s="524">
        <f t="shared" si="25"/>
        <v>0</v>
      </c>
      <c r="CE25" s="525">
        <f t="shared" si="138"/>
        <v>0</v>
      </c>
      <c r="CF25" s="523">
        <v>0.30000000000000071</v>
      </c>
      <c r="CG25" s="524">
        <f t="shared" si="26"/>
        <v>1.1743061807648674E-2</v>
      </c>
      <c r="CH25" s="525">
        <f t="shared" si="139"/>
        <v>0</v>
      </c>
      <c r="CI25" s="523"/>
      <c r="CJ25" s="524">
        <f t="shared" si="27"/>
        <v>0</v>
      </c>
      <c r="CK25" s="525">
        <f t="shared" si="140"/>
        <v>0</v>
      </c>
      <c r="CL25" s="523"/>
      <c r="CM25" s="524">
        <f t="shared" si="28"/>
        <v>0</v>
      </c>
      <c r="CN25" s="525">
        <f t="shared" si="141"/>
        <v>0</v>
      </c>
      <c r="CO25" s="523"/>
      <c r="CP25" s="524">
        <f t="shared" si="29"/>
        <v>0</v>
      </c>
      <c r="CQ25" s="525">
        <f t="shared" si="142"/>
        <v>0</v>
      </c>
      <c r="CR25" s="523"/>
      <c r="CS25" s="524">
        <f t="shared" si="30"/>
        <v>0</v>
      </c>
      <c r="CT25" s="525">
        <f t="shared" si="143"/>
        <v>0</v>
      </c>
      <c r="CU25" s="523"/>
      <c r="CV25" s="524">
        <f t="shared" si="31"/>
        <v>0</v>
      </c>
      <c r="CW25" s="525">
        <f t="shared" si="144"/>
        <v>0</v>
      </c>
      <c r="CX25" s="523"/>
      <c r="CY25" s="524">
        <f t="shared" si="32"/>
        <v>0</v>
      </c>
      <c r="CZ25" s="525">
        <f t="shared" si="145"/>
        <v>0</v>
      </c>
      <c r="DA25" s="523"/>
      <c r="DB25" s="524">
        <f t="shared" si="33"/>
        <v>0</v>
      </c>
      <c r="DC25" s="525">
        <f t="shared" si="146"/>
        <v>0</v>
      </c>
      <c r="DD25" s="523"/>
      <c r="DE25" s="524">
        <f t="shared" si="34"/>
        <v>0</v>
      </c>
      <c r="DF25" s="525">
        <f t="shared" si="147"/>
        <v>0</v>
      </c>
      <c r="DG25" s="523"/>
      <c r="DH25" s="524">
        <f t="shared" si="35"/>
        <v>0</v>
      </c>
      <c r="DI25" s="525">
        <f t="shared" si="203"/>
        <v>0</v>
      </c>
      <c r="DJ25" s="523"/>
      <c r="DK25" s="524">
        <f t="shared" si="36"/>
        <v>0</v>
      </c>
      <c r="DL25" s="525">
        <f t="shared" si="148"/>
        <v>0</v>
      </c>
      <c r="DM25" s="523"/>
      <c r="DN25" s="524">
        <f t="shared" si="37"/>
        <v>0</v>
      </c>
      <c r="DO25" s="525">
        <f t="shared" si="149"/>
        <v>0</v>
      </c>
      <c r="DP25" s="523"/>
      <c r="DQ25" s="524">
        <f t="shared" si="38"/>
        <v>0</v>
      </c>
      <c r="DR25" s="525">
        <f t="shared" si="150"/>
        <v>0</v>
      </c>
      <c r="DS25" s="523"/>
      <c r="DT25" s="524">
        <f t="shared" si="39"/>
        <v>0</v>
      </c>
      <c r="DU25" s="525">
        <f t="shared" si="151"/>
        <v>0</v>
      </c>
      <c r="DV25" s="523"/>
      <c r="DW25" s="524">
        <f t="shared" si="40"/>
        <v>0</v>
      </c>
      <c r="DX25" s="525">
        <f t="shared" si="152"/>
        <v>0</v>
      </c>
      <c r="DY25" s="523"/>
      <c r="DZ25" s="524">
        <f t="shared" si="41"/>
        <v>0</v>
      </c>
      <c r="EA25" s="525">
        <f t="shared" si="153"/>
        <v>0</v>
      </c>
      <c r="EB25" s="523"/>
      <c r="EC25" s="524">
        <f t="shared" si="42"/>
        <v>0</v>
      </c>
      <c r="ED25" s="525">
        <f t="shared" si="154"/>
        <v>0</v>
      </c>
      <c r="EE25" s="523">
        <v>58.705882352941217</v>
      </c>
      <c r="EF25" s="524">
        <f t="shared" si="43"/>
        <v>2.2979560164771291</v>
      </c>
      <c r="EG25" s="525">
        <f t="shared" si="155"/>
        <v>0</v>
      </c>
      <c r="EH25" s="523"/>
      <c r="EI25" s="524">
        <f t="shared" si="44"/>
        <v>0</v>
      </c>
      <c r="EJ25" s="525">
        <f t="shared" si="156"/>
        <v>0</v>
      </c>
      <c r="EK25" s="523"/>
      <c r="EL25" s="524">
        <f t="shared" si="45"/>
        <v>0</v>
      </c>
      <c r="EM25" s="525">
        <f t="shared" si="157"/>
        <v>0</v>
      </c>
      <c r="EN25" s="523"/>
      <c r="EO25" s="524">
        <f t="shared" si="46"/>
        <v>0</v>
      </c>
      <c r="EP25" s="525">
        <f t="shared" si="158"/>
        <v>0</v>
      </c>
      <c r="EQ25" s="523"/>
      <c r="ER25" s="524">
        <f t="shared" si="47"/>
        <v>0</v>
      </c>
      <c r="ES25" s="525">
        <f t="shared" si="159"/>
        <v>0</v>
      </c>
      <c r="ET25" s="523"/>
      <c r="EU25" s="524">
        <f t="shared" si="48"/>
        <v>0</v>
      </c>
      <c r="EV25" s="525">
        <f t="shared" si="160"/>
        <v>0</v>
      </c>
      <c r="EW25" s="523"/>
      <c r="EX25" s="524">
        <f t="shared" si="49"/>
        <v>0</v>
      </c>
      <c r="EY25" s="525">
        <f t="shared" si="161"/>
        <v>0</v>
      </c>
      <c r="EZ25" s="523"/>
      <c r="FA25" s="524">
        <f t="shared" si="50"/>
        <v>0</v>
      </c>
      <c r="FB25" s="525">
        <f t="shared" si="162"/>
        <v>0</v>
      </c>
      <c r="FC25" s="523"/>
      <c r="FD25" s="524">
        <f t="shared" si="51"/>
        <v>0</v>
      </c>
      <c r="FE25" s="525">
        <f t="shared" si="163"/>
        <v>0</v>
      </c>
      <c r="FF25" s="523"/>
      <c r="FG25" s="524">
        <f t="shared" si="52"/>
        <v>0</v>
      </c>
      <c r="FH25" s="525">
        <f t="shared" si="164"/>
        <v>0</v>
      </c>
      <c r="FI25" s="523"/>
      <c r="FJ25" s="524">
        <f t="shared" si="53"/>
        <v>0</v>
      </c>
      <c r="FK25" s="525">
        <f t="shared" si="165"/>
        <v>0</v>
      </c>
      <c r="FL25" s="523"/>
      <c r="FM25" s="524">
        <f t="shared" si="54"/>
        <v>0</v>
      </c>
      <c r="FN25" s="525">
        <f t="shared" si="166"/>
        <v>0</v>
      </c>
      <c r="FO25" s="523"/>
      <c r="FP25" s="524">
        <f t="shared" si="55"/>
        <v>0</v>
      </c>
      <c r="FQ25" s="525">
        <f t="shared" si="167"/>
        <v>0</v>
      </c>
      <c r="FR25" s="523"/>
      <c r="FS25" s="524">
        <f t="shared" si="56"/>
        <v>0</v>
      </c>
      <c r="FT25" s="525">
        <f t="shared" si="168"/>
        <v>0</v>
      </c>
      <c r="FU25" s="523"/>
      <c r="FV25" s="524">
        <f t="shared" si="57"/>
        <v>0</v>
      </c>
      <c r="FW25" s="525">
        <f t="shared" si="169"/>
        <v>0</v>
      </c>
      <c r="FX25" s="523"/>
      <c r="FY25" s="524">
        <f t="shared" si="58"/>
        <v>0</v>
      </c>
      <c r="FZ25" s="525">
        <f t="shared" si="170"/>
        <v>0</v>
      </c>
      <c r="GA25" s="523"/>
      <c r="GB25" s="524">
        <f t="shared" si="59"/>
        <v>0</v>
      </c>
      <c r="GC25" s="525">
        <f t="shared" si="171"/>
        <v>0</v>
      </c>
      <c r="GD25" s="523"/>
      <c r="GE25" s="524">
        <f t="shared" si="60"/>
        <v>0</v>
      </c>
      <c r="GF25" s="525">
        <f t="shared" si="172"/>
        <v>0</v>
      </c>
      <c r="GG25" s="523"/>
      <c r="GH25" s="524">
        <f t="shared" si="61"/>
        <v>0</v>
      </c>
      <c r="GI25" s="525">
        <f t="shared" si="173"/>
        <v>0</v>
      </c>
      <c r="GJ25" s="523"/>
      <c r="GK25" s="524">
        <f t="shared" si="62"/>
        <v>0</v>
      </c>
      <c r="GL25" s="525">
        <f t="shared" si="174"/>
        <v>0</v>
      </c>
      <c r="GM25" s="523"/>
      <c r="GN25" s="524">
        <f t="shared" si="63"/>
        <v>0</v>
      </c>
      <c r="GO25" s="525">
        <f t="shared" si="175"/>
        <v>0</v>
      </c>
      <c r="GP25" s="523"/>
      <c r="GQ25" s="524">
        <f t="shared" si="64"/>
        <v>0</v>
      </c>
      <c r="GR25" s="525">
        <f t="shared" si="176"/>
        <v>0</v>
      </c>
      <c r="GS25" s="523"/>
      <c r="GT25" s="524">
        <f t="shared" si="65"/>
        <v>0</v>
      </c>
      <c r="GU25" s="525">
        <f t="shared" si="177"/>
        <v>0</v>
      </c>
      <c r="GV25" s="523"/>
      <c r="GW25" s="524">
        <f t="shared" si="66"/>
        <v>0</v>
      </c>
      <c r="GX25" s="525">
        <f t="shared" si="178"/>
        <v>0</v>
      </c>
      <c r="GY25" s="523"/>
      <c r="GZ25" s="524">
        <f t="shared" si="67"/>
        <v>0</v>
      </c>
      <c r="HA25" s="525">
        <f t="shared" si="179"/>
        <v>0</v>
      </c>
      <c r="HB25" s="523"/>
      <c r="HC25" s="524">
        <f t="shared" si="68"/>
        <v>0</v>
      </c>
      <c r="HD25" s="525">
        <f t="shared" si="180"/>
        <v>0</v>
      </c>
      <c r="HE25" s="523"/>
      <c r="HF25" s="524">
        <f t="shared" si="69"/>
        <v>0</v>
      </c>
      <c r="HG25" s="525">
        <f t="shared" si="181"/>
        <v>0</v>
      </c>
      <c r="HH25" s="523"/>
      <c r="HI25" s="524">
        <f t="shared" si="70"/>
        <v>0</v>
      </c>
      <c r="HJ25" s="525">
        <f t="shared" si="182"/>
        <v>0</v>
      </c>
      <c r="HK25" s="523"/>
      <c r="HL25" s="524">
        <f t="shared" si="71"/>
        <v>0</v>
      </c>
      <c r="HM25" s="525">
        <f t="shared" si="183"/>
        <v>0</v>
      </c>
      <c r="HN25" s="523"/>
      <c r="HO25" s="524">
        <f t="shared" si="72"/>
        <v>0</v>
      </c>
      <c r="HP25" s="525">
        <f t="shared" si="184"/>
        <v>0</v>
      </c>
      <c r="HQ25" s="523"/>
      <c r="HR25" s="524">
        <f t="shared" si="73"/>
        <v>0</v>
      </c>
      <c r="HS25" s="525">
        <f t="shared" si="185"/>
        <v>0</v>
      </c>
      <c r="HT25" s="523"/>
      <c r="HU25" s="524">
        <f t="shared" si="74"/>
        <v>0</v>
      </c>
      <c r="HV25" s="525">
        <f t="shared" si="186"/>
        <v>0</v>
      </c>
      <c r="HW25" s="523"/>
      <c r="HX25" s="524">
        <f t="shared" si="75"/>
        <v>0</v>
      </c>
      <c r="HY25" s="525">
        <f t="shared" si="187"/>
        <v>0</v>
      </c>
      <c r="HZ25" s="523"/>
      <c r="IA25" s="524">
        <f t="shared" si="76"/>
        <v>0</v>
      </c>
      <c r="IB25" s="525">
        <f t="shared" si="188"/>
        <v>0</v>
      </c>
      <c r="IC25" s="523"/>
      <c r="ID25" s="524">
        <f t="shared" si="77"/>
        <v>0</v>
      </c>
      <c r="IE25" s="525">
        <f t="shared" si="189"/>
        <v>0</v>
      </c>
      <c r="IF25" s="523"/>
      <c r="IG25" s="524">
        <f t="shared" si="78"/>
        <v>0</v>
      </c>
      <c r="IH25" s="525">
        <f t="shared" si="190"/>
        <v>0</v>
      </c>
      <c r="II25" s="523"/>
      <c r="IJ25" s="524">
        <f t="shared" si="79"/>
        <v>0</v>
      </c>
      <c r="IK25" s="525">
        <f t="shared" si="191"/>
        <v>0</v>
      </c>
      <c r="IL25" s="523"/>
      <c r="IM25" s="524">
        <f t="shared" si="80"/>
        <v>0</v>
      </c>
      <c r="IN25" s="525">
        <f t="shared" si="192"/>
        <v>0</v>
      </c>
      <c r="IO25" s="523"/>
      <c r="IP25" s="524">
        <f t="shared" si="81"/>
        <v>0</v>
      </c>
      <c r="IQ25" s="525">
        <f t="shared" si="193"/>
        <v>0</v>
      </c>
      <c r="IR25" s="523"/>
      <c r="IS25" s="524">
        <f t="shared" si="82"/>
        <v>0</v>
      </c>
      <c r="IT25" s="525">
        <f t="shared" si="194"/>
        <v>0</v>
      </c>
      <c r="IU25" s="523"/>
      <c r="IV25" s="524">
        <f t="shared" si="83"/>
        <v>0</v>
      </c>
      <c r="IW25" s="525">
        <f t="shared" si="195"/>
        <v>0</v>
      </c>
      <c r="IX25" s="523"/>
      <c r="IY25" s="524">
        <f t="shared" si="84"/>
        <v>0</v>
      </c>
      <c r="IZ25" s="525">
        <f t="shared" si="196"/>
        <v>0</v>
      </c>
      <c r="JA25" s="523"/>
      <c r="JB25" s="524">
        <f t="shared" si="85"/>
        <v>0</v>
      </c>
      <c r="JC25" s="525">
        <f t="shared" si="197"/>
        <v>0</v>
      </c>
      <c r="JD25" s="523"/>
      <c r="JE25" s="524">
        <f t="shared" si="86"/>
        <v>0</v>
      </c>
      <c r="JF25" s="525">
        <f t="shared" si="198"/>
        <v>0</v>
      </c>
      <c r="JG25" s="523"/>
      <c r="JH25" s="524">
        <f t="shared" si="87"/>
        <v>0</v>
      </c>
      <c r="JI25" s="525">
        <f t="shared" si="199"/>
        <v>0</v>
      </c>
      <c r="JJ25" s="523"/>
      <c r="JK25" s="525" t="str">
        <f t="shared" si="88"/>
        <v>0</v>
      </c>
      <c r="JL25" s="525" t="str">
        <f t="shared" si="89"/>
        <v>0</v>
      </c>
      <c r="JM25" s="523"/>
      <c r="JN25" s="525" t="str">
        <f t="shared" si="90"/>
        <v>0</v>
      </c>
      <c r="JO25" s="525" t="str">
        <f t="shared" si="91"/>
        <v>0</v>
      </c>
      <c r="JP25" s="523"/>
      <c r="JQ25" s="525" t="str">
        <f t="shared" si="92"/>
        <v>0</v>
      </c>
      <c r="JR25" s="525" t="str">
        <f t="shared" si="93"/>
        <v>0</v>
      </c>
      <c r="JS25" s="523"/>
      <c r="JT25" s="525" t="str">
        <f t="shared" si="94"/>
        <v>0</v>
      </c>
      <c r="JU25" s="525" t="str">
        <f t="shared" si="95"/>
        <v>0</v>
      </c>
      <c r="JV25" s="523"/>
      <c r="JW25" s="525" t="str">
        <f t="shared" si="96"/>
        <v>0</v>
      </c>
      <c r="JX25" s="525" t="str">
        <f t="shared" si="97"/>
        <v>0</v>
      </c>
      <c r="JY25" s="523"/>
      <c r="JZ25" s="525" t="str">
        <f t="shared" si="98"/>
        <v>0</v>
      </c>
      <c r="KA25" s="525" t="str">
        <f t="shared" si="99"/>
        <v>0</v>
      </c>
      <c r="KB25" s="523"/>
      <c r="KC25" s="525" t="str">
        <f t="shared" si="100"/>
        <v>0</v>
      </c>
      <c r="KD25" s="525" t="str">
        <f t="shared" si="101"/>
        <v>0</v>
      </c>
      <c r="KE25" s="523"/>
      <c r="KF25" s="525" t="str">
        <f t="shared" si="102"/>
        <v>0</v>
      </c>
      <c r="KG25" s="525" t="str">
        <f t="shared" si="103"/>
        <v>0</v>
      </c>
      <c r="KH25" s="523"/>
      <c r="KI25" s="525" t="str">
        <f t="shared" si="104"/>
        <v>0</v>
      </c>
      <c r="KJ25" s="525" t="str">
        <f t="shared" si="105"/>
        <v>0</v>
      </c>
      <c r="KK25" s="523"/>
      <c r="KL25" s="525" t="str">
        <f t="shared" si="106"/>
        <v>0</v>
      </c>
      <c r="KM25" s="525" t="str">
        <f t="shared" si="107"/>
        <v>0</v>
      </c>
      <c r="KN25" s="523"/>
      <c r="KO25" s="525" t="str">
        <f t="shared" si="108"/>
        <v>0</v>
      </c>
      <c r="KP25" s="525" t="str">
        <f t="shared" si="109"/>
        <v>0</v>
      </c>
      <c r="KQ25" s="523"/>
      <c r="KR25" s="525" t="str">
        <f t="shared" si="110"/>
        <v>0</v>
      </c>
      <c r="KS25" s="525" t="str">
        <f t="shared" si="111"/>
        <v>0</v>
      </c>
      <c r="KT25" s="525">
        <f t="shared" si="201"/>
        <v>0</v>
      </c>
      <c r="KU25" s="525">
        <f t="shared" si="202"/>
        <v>0</v>
      </c>
      <c r="KV25" s="261">
        <f t="shared" si="112"/>
        <v>344.85848372443797</v>
      </c>
    </row>
    <row r="26" spans="1:308">
      <c r="A26" s="262">
        <f t="shared" si="200"/>
        <v>45979</v>
      </c>
      <c r="B26" s="263" t="str">
        <f>+Report1!B26</f>
        <v>Facial</v>
      </c>
      <c r="C26" s="263" t="str">
        <f>+Report1!C26</f>
        <v>12/10,3</v>
      </c>
      <c r="D26" s="264">
        <f>+Report1!P26</f>
        <v>35.665999999999997</v>
      </c>
      <c r="E26" s="562">
        <f>+Report1!R26</f>
        <v>34.366999999999997</v>
      </c>
      <c r="F26" s="523"/>
      <c r="G26" s="524">
        <f t="shared" si="0"/>
        <v>0</v>
      </c>
      <c r="H26" s="525">
        <f t="shared" si="113"/>
        <v>0</v>
      </c>
      <c r="I26" s="523">
        <v>255.81395348837214</v>
      </c>
      <c r="J26" s="524">
        <f t="shared" si="1"/>
        <v>7.4435927921660943</v>
      </c>
      <c r="K26" s="525">
        <f t="shared" si="114"/>
        <v>0</v>
      </c>
      <c r="L26" s="523"/>
      <c r="M26" s="524">
        <f t="shared" si="2"/>
        <v>0</v>
      </c>
      <c r="N26" s="525">
        <f t="shared" si="115"/>
        <v>0</v>
      </c>
      <c r="O26" s="523">
        <v>3.0000000000000284</v>
      </c>
      <c r="P26" s="524">
        <f t="shared" si="3"/>
        <v>8.7293042744494093E-2</v>
      </c>
      <c r="Q26" s="525">
        <f t="shared" si="116"/>
        <v>0</v>
      </c>
      <c r="R26" s="523"/>
      <c r="S26" s="524">
        <f t="shared" si="4"/>
        <v>0</v>
      </c>
      <c r="T26" s="525">
        <f t="shared" si="117"/>
        <v>0</v>
      </c>
      <c r="U26" s="523">
        <v>2.5625</v>
      </c>
      <c r="V26" s="524">
        <f t="shared" si="5"/>
        <v>7.4562807344254675E-2</v>
      </c>
      <c r="W26" s="525">
        <f t="shared" si="118"/>
        <v>0</v>
      </c>
      <c r="X26" s="523"/>
      <c r="Y26" s="524">
        <f t="shared" si="6"/>
        <v>0</v>
      </c>
      <c r="Z26" s="525">
        <f t="shared" si="119"/>
        <v>0</v>
      </c>
      <c r="AA26" s="523"/>
      <c r="AB26" s="524">
        <f t="shared" si="7"/>
        <v>0</v>
      </c>
      <c r="AC26" s="525">
        <f t="shared" si="120"/>
        <v>0</v>
      </c>
      <c r="AD26" s="523"/>
      <c r="AE26" s="524">
        <f t="shared" si="8"/>
        <v>0</v>
      </c>
      <c r="AF26" s="525">
        <f t="shared" si="121"/>
        <v>0</v>
      </c>
      <c r="AG26" s="523"/>
      <c r="AH26" s="524">
        <f t="shared" si="9"/>
        <v>0</v>
      </c>
      <c r="AI26" s="525">
        <f t="shared" si="122"/>
        <v>0</v>
      </c>
      <c r="AJ26" s="523"/>
      <c r="AK26" s="524">
        <f t="shared" si="10"/>
        <v>0</v>
      </c>
      <c r="AL26" s="525">
        <f t="shared" si="123"/>
        <v>0</v>
      </c>
      <c r="AM26" s="523"/>
      <c r="AN26" s="524">
        <f t="shared" si="11"/>
        <v>0</v>
      </c>
      <c r="AO26" s="525">
        <f t="shared" si="124"/>
        <v>0</v>
      </c>
      <c r="AP26" s="523">
        <v>34.177215189873408</v>
      </c>
      <c r="AQ26" s="524">
        <f t="shared" si="12"/>
        <v>0.99447770215245468</v>
      </c>
      <c r="AR26" s="525">
        <f t="shared" si="125"/>
        <v>0</v>
      </c>
      <c r="AS26" s="523"/>
      <c r="AT26" s="524">
        <f t="shared" si="13"/>
        <v>0</v>
      </c>
      <c r="AU26" s="525">
        <f t="shared" si="126"/>
        <v>0</v>
      </c>
      <c r="AV26" s="523"/>
      <c r="AW26" s="524">
        <f t="shared" si="14"/>
        <v>0</v>
      </c>
      <c r="AX26" s="525">
        <f t="shared" si="127"/>
        <v>0</v>
      </c>
      <c r="AY26" s="523">
        <v>49</v>
      </c>
      <c r="AZ26" s="524">
        <f t="shared" si="15"/>
        <v>1.4257863648267235</v>
      </c>
      <c r="BA26" s="525">
        <f t="shared" si="128"/>
        <v>0</v>
      </c>
      <c r="BB26" s="523"/>
      <c r="BC26" s="524">
        <f t="shared" si="16"/>
        <v>0</v>
      </c>
      <c r="BD26" s="525">
        <f t="shared" si="129"/>
        <v>0</v>
      </c>
      <c r="BE26" s="523"/>
      <c r="BF26" s="524">
        <f t="shared" si="17"/>
        <v>0</v>
      </c>
      <c r="BG26" s="525">
        <f t="shared" si="130"/>
        <v>0</v>
      </c>
      <c r="BH26" s="523"/>
      <c r="BI26" s="524">
        <f t="shared" si="18"/>
        <v>0</v>
      </c>
      <c r="BJ26" s="525">
        <f t="shared" si="131"/>
        <v>0</v>
      </c>
      <c r="BK26" s="523"/>
      <c r="BL26" s="524">
        <f t="shared" si="19"/>
        <v>0</v>
      </c>
      <c r="BM26" s="525">
        <f t="shared" si="132"/>
        <v>0</v>
      </c>
      <c r="BN26" s="523"/>
      <c r="BO26" s="524">
        <f t="shared" si="20"/>
        <v>0</v>
      </c>
      <c r="BP26" s="525">
        <f t="shared" si="133"/>
        <v>0</v>
      </c>
      <c r="BQ26" s="523"/>
      <c r="BR26" s="524">
        <f t="shared" si="21"/>
        <v>0</v>
      </c>
      <c r="BS26" s="525">
        <f t="shared" si="134"/>
        <v>0</v>
      </c>
      <c r="BT26" s="523"/>
      <c r="BU26" s="524">
        <f t="shared" si="22"/>
        <v>0</v>
      </c>
      <c r="BV26" s="525">
        <f t="shared" si="135"/>
        <v>0</v>
      </c>
      <c r="BW26" s="523"/>
      <c r="BX26" s="524">
        <f t="shared" si="23"/>
        <v>0</v>
      </c>
      <c r="BY26" s="525">
        <f t="shared" si="136"/>
        <v>0</v>
      </c>
      <c r="BZ26" s="523"/>
      <c r="CA26" s="524">
        <f t="shared" si="24"/>
        <v>0</v>
      </c>
      <c r="CB26" s="525">
        <f t="shared" si="137"/>
        <v>0</v>
      </c>
      <c r="CC26" s="523"/>
      <c r="CD26" s="524">
        <f t="shared" si="25"/>
        <v>0</v>
      </c>
      <c r="CE26" s="525">
        <f t="shared" si="138"/>
        <v>0</v>
      </c>
      <c r="CF26" s="523">
        <v>0.30000000000000071</v>
      </c>
      <c r="CG26" s="524">
        <f t="shared" si="26"/>
        <v>8.7293042744493472E-3</v>
      </c>
      <c r="CH26" s="525">
        <f t="shared" si="139"/>
        <v>0</v>
      </c>
      <c r="CI26" s="523"/>
      <c r="CJ26" s="524">
        <f t="shared" si="27"/>
        <v>0</v>
      </c>
      <c r="CK26" s="525">
        <f t="shared" si="140"/>
        <v>0</v>
      </c>
      <c r="CL26" s="523"/>
      <c r="CM26" s="524">
        <f t="shared" si="28"/>
        <v>0</v>
      </c>
      <c r="CN26" s="525">
        <f t="shared" si="141"/>
        <v>0</v>
      </c>
      <c r="CO26" s="523"/>
      <c r="CP26" s="524">
        <f t="shared" si="29"/>
        <v>0</v>
      </c>
      <c r="CQ26" s="525">
        <f t="shared" si="142"/>
        <v>0</v>
      </c>
      <c r="CR26" s="523"/>
      <c r="CS26" s="524">
        <f t="shared" si="30"/>
        <v>0</v>
      </c>
      <c r="CT26" s="525">
        <f t="shared" si="143"/>
        <v>0</v>
      </c>
      <c r="CU26" s="523"/>
      <c r="CV26" s="524">
        <f t="shared" si="31"/>
        <v>0</v>
      </c>
      <c r="CW26" s="525">
        <f t="shared" si="144"/>
        <v>0</v>
      </c>
      <c r="CX26" s="523"/>
      <c r="CY26" s="524">
        <f t="shared" si="32"/>
        <v>0</v>
      </c>
      <c r="CZ26" s="525">
        <f t="shared" si="145"/>
        <v>0</v>
      </c>
      <c r="DA26" s="523"/>
      <c r="DB26" s="524">
        <f t="shared" si="33"/>
        <v>0</v>
      </c>
      <c r="DC26" s="525">
        <f t="shared" si="146"/>
        <v>0</v>
      </c>
      <c r="DD26" s="523"/>
      <c r="DE26" s="524">
        <f t="shared" si="34"/>
        <v>0</v>
      </c>
      <c r="DF26" s="525">
        <f t="shared" si="147"/>
        <v>0</v>
      </c>
      <c r="DG26" s="523"/>
      <c r="DH26" s="524">
        <f t="shared" si="35"/>
        <v>0</v>
      </c>
      <c r="DI26" s="525">
        <f t="shared" si="203"/>
        <v>0</v>
      </c>
      <c r="DJ26" s="523"/>
      <c r="DK26" s="524">
        <f t="shared" si="36"/>
        <v>0</v>
      </c>
      <c r="DL26" s="525">
        <f t="shared" si="148"/>
        <v>0</v>
      </c>
      <c r="DM26" s="523"/>
      <c r="DN26" s="524">
        <f t="shared" si="37"/>
        <v>0</v>
      </c>
      <c r="DO26" s="525">
        <f t="shared" si="149"/>
        <v>0</v>
      </c>
      <c r="DP26" s="523"/>
      <c r="DQ26" s="524">
        <f t="shared" si="38"/>
        <v>0</v>
      </c>
      <c r="DR26" s="525">
        <f t="shared" si="150"/>
        <v>0</v>
      </c>
      <c r="DS26" s="523"/>
      <c r="DT26" s="524">
        <f t="shared" si="39"/>
        <v>0</v>
      </c>
      <c r="DU26" s="525">
        <f t="shared" si="151"/>
        <v>0</v>
      </c>
      <c r="DV26" s="523"/>
      <c r="DW26" s="524">
        <f t="shared" si="40"/>
        <v>0</v>
      </c>
      <c r="DX26" s="525">
        <f t="shared" si="152"/>
        <v>0</v>
      </c>
      <c r="DY26" s="523"/>
      <c r="DZ26" s="524">
        <f t="shared" si="41"/>
        <v>0</v>
      </c>
      <c r="EA26" s="525">
        <f t="shared" si="153"/>
        <v>0</v>
      </c>
      <c r="EB26" s="523"/>
      <c r="EC26" s="524">
        <f t="shared" si="42"/>
        <v>0</v>
      </c>
      <c r="ED26" s="525">
        <f t="shared" si="154"/>
        <v>0</v>
      </c>
      <c r="EE26" s="523">
        <v>46.964705882352973</v>
      </c>
      <c r="EF26" s="524">
        <f t="shared" si="43"/>
        <v>1.3665640260235976</v>
      </c>
      <c r="EG26" s="525">
        <f t="shared" si="155"/>
        <v>0</v>
      </c>
      <c r="EH26" s="523"/>
      <c r="EI26" s="524">
        <f t="shared" si="44"/>
        <v>0</v>
      </c>
      <c r="EJ26" s="525">
        <f t="shared" si="156"/>
        <v>0</v>
      </c>
      <c r="EK26" s="523"/>
      <c r="EL26" s="524">
        <f t="shared" si="45"/>
        <v>0</v>
      </c>
      <c r="EM26" s="525">
        <f t="shared" si="157"/>
        <v>0</v>
      </c>
      <c r="EN26" s="523"/>
      <c r="EO26" s="524">
        <f t="shared" si="46"/>
        <v>0</v>
      </c>
      <c r="EP26" s="525">
        <f t="shared" si="158"/>
        <v>0</v>
      </c>
      <c r="EQ26" s="523"/>
      <c r="ER26" s="524">
        <f t="shared" si="47"/>
        <v>0</v>
      </c>
      <c r="ES26" s="525">
        <f t="shared" si="159"/>
        <v>0</v>
      </c>
      <c r="ET26" s="523"/>
      <c r="EU26" s="524">
        <f t="shared" si="48"/>
        <v>0</v>
      </c>
      <c r="EV26" s="525">
        <f t="shared" si="160"/>
        <v>0</v>
      </c>
      <c r="EW26" s="523"/>
      <c r="EX26" s="524">
        <f t="shared" si="49"/>
        <v>0</v>
      </c>
      <c r="EY26" s="525">
        <f t="shared" si="161"/>
        <v>0</v>
      </c>
      <c r="EZ26" s="523"/>
      <c r="FA26" s="524">
        <f t="shared" si="50"/>
        <v>0</v>
      </c>
      <c r="FB26" s="525">
        <f t="shared" si="162"/>
        <v>0</v>
      </c>
      <c r="FC26" s="523"/>
      <c r="FD26" s="524">
        <f t="shared" si="51"/>
        <v>0</v>
      </c>
      <c r="FE26" s="525">
        <f t="shared" si="163"/>
        <v>0</v>
      </c>
      <c r="FF26" s="523"/>
      <c r="FG26" s="524">
        <f t="shared" si="52"/>
        <v>0</v>
      </c>
      <c r="FH26" s="525">
        <f t="shared" si="164"/>
        <v>0</v>
      </c>
      <c r="FI26" s="523"/>
      <c r="FJ26" s="524">
        <f t="shared" si="53"/>
        <v>0</v>
      </c>
      <c r="FK26" s="525">
        <f t="shared" si="165"/>
        <v>0</v>
      </c>
      <c r="FL26" s="523"/>
      <c r="FM26" s="524">
        <f t="shared" si="54"/>
        <v>0</v>
      </c>
      <c r="FN26" s="525">
        <f t="shared" si="166"/>
        <v>0</v>
      </c>
      <c r="FO26" s="523"/>
      <c r="FP26" s="524">
        <f t="shared" si="55"/>
        <v>0</v>
      </c>
      <c r="FQ26" s="525">
        <f t="shared" si="167"/>
        <v>0</v>
      </c>
      <c r="FR26" s="523"/>
      <c r="FS26" s="524">
        <f t="shared" si="56"/>
        <v>0</v>
      </c>
      <c r="FT26" s="525">
        <f t="shared" si="168"/>
        <v>0</v>
      </c>
      <c r="FU26" s="523"/>
      <c r="FV26" s="524">
        <f t="shared" si="57"/>
        <v>0</v>
      </c>
      <c r="FW26" s="525">
        <f t="shared" si="169"/>
        <v>0</v>
      </c>
      <c r="FX26" s="523"/>
      <c r="FY26" s="524">
        <f t="shared" si="58"/>
        <v>0</v>
      </c>
      <c r="FZ26" s="525">
        <f t="shared" si="170"/>
        <v>0</v>
      </c>
      <c r="GA26" s="523"/>
      <c r="GB26" s="524">
        <f t="shared" si="59"/>
        <v>0</v>
      </c>
      <c r="GC26" s="525">
        <f t="shared" si="171"/>
        <v>0</v>
      </c>
      <c r="GD26" s="523"/>
      <c r="GE26" s="524">
        <f t="shared" si="60"/>
        <v>0</v>
      </c>
      <c r="GF26" s="525">
        <f t="shared" si="172"/>
        <v>0</v>
      </c>
      <c r="GG26" s="523"/>
      <c r="GH26" s="524">
        <f t="shared" si="61"/>
        <v>0</v>
      </c>
      <c r="GI26" s="525">
        <f t="shared" si="173"/>
        <v>0</v>
      </c>
      <c r="GJ26" s="523"/>
      <c r="GK26" s="524">
        <f t="shared" si="62"/>
        <v>0</v>
      </c>
      <c r="GL26" s="525">
        <f t="shared" si="174"/>
        <v>0</v>
      </c>
      <c r="GM26" s="523"/>
      <c r="GN26" s="524">
        <f t="shared" si="63"/>
        <v>0</v>
      </c>
      <c r="GO26" s="525">
        <f t="shared" si="175"/>
        <v>0</v>
      </c>
      <c r="GP26" s="523"/>
      <c r="GQ26" s="524">
        <f t="shared" si="64"/>
        <v>0</v>
      </c>
      <c r="GR26" s="525">
        <f t="shared" si="176"/>
        <v>0</v>
      </c>
      <c r="GS26" s="523"/>
      <c r="GT26" s="524">
        <f t="shared" si="65"/>
        <v>0</v>
      </c>
      <c r="GU26" s="525">
        <f t="shared" si="177"/>
        <v>0</v>
      </c>
      <c r="GV26" s="523"/>
      <c r="GW26" s="524">
        <f t="shared" si="66"/>
        <v>0</v>
      </c>
      <c r="GX26" s="525">
        <f t="shared" si="178"/>
        <v>0</v>
      </c>
      <c r="GY26" s="523"/>
      <c r="GZ26" s="524">
        <f t="shared" si="67"/>
        <v>0</v>
      </c>
      <c r="HA26" s="525">
        <f t="shared" si="179"/>
        <v>0</v>
      </c>
      <c r="HB26" s="523"/>
      <c r="HC26" s="524">
        <f t="shared" si="68"/>
        <v>0</v>
      </c>
      <c r="HD26" s="525">
        <f t="shared" si="180"/>
        <v>0</v>
      </c>
      <c r="HE26" s="523"/>
      <c r="HF26" s="524">
        <f t="shared" si="69"/>
        <v>0</v>
      </c>
      <c r="HG26" s="525">
        <f t="shared" si="181"/>
        <v>0</v>
      </c>
      <c r="HH26" s="523"/>
      <c r="HI26" s="524">
        <f t="shared" si="70"/>
        <v>0</v>
      </c>
      <c r="HJ26" s="525">
        <f t="shared" si="182"/>
        <v>0</v>
      </c>
      <c r="HK26" s="523"/>
      <c r="HL26" s="524">
        <f t="shared" si="71"/>
        <v>0</v>
      </c>
      <c r="HM26" s="525">
        <f t="shared" si="183"/>
        <v>0</v>
      </c>
      <c r="HN26" s="523"/>
      <c r="HO26" s="524">
        <f t="shared" si="72"/>
        <v>0</v>
      </c>
      <c r="HP26" s="525">
        <f t="shared" si="184"/>
        <v>0</v>
      </c>
      <c r="HQ26" s="523"/>
      <c r="HR26" s="524">
        <f t="shared" si="73"/>
        <v>0</v>
      </c>
      <c r="HS26" s="525">
        <f t="shared" si="185"/>
        <v>0</v>
      </c>
      <c r="HT26" s="523"/>
      <c r="HU26" s="524">
        <f t="shared" si="74"/>
        <v>0</v>
      </c>
      <c r="HV26" s="525">
        <f t="shared" si="186"/>
        <v>0</v>
      </c>
      <c r="HW26" s="523"/>
      <c r="HX26" s="524">
        <f t="shared" si="75"/>
        <v>0</v>
      </c>
      <c r="HY26" s="525">
        <f t="shared" si="187"/>
        <v>0</v>
      </c>
      <c r="HZ26" s="523"/>
      <c r="IA26" s="524">
        <f t="shared" si="76"/>
        <v>0</v>
      </c>
      <c r="IB26" s="525">
        <f t="shared" si="188"/>
        <v>0</v>
      </c>
      <c r="IC26" s="523"/>
      <c r="ID26" s="524">
        <f t="shared" si="77"/>
        <v>0</v>
      </c>
      <c r="IE26" s="525">
        <f t="shared" si="189"/>
        <v>0</v>
      </c>
      <c r="IF26" s="523"/>
      <c r="IG26" s="524">
        <f t="shared" si="78"/>
        <v>0</v>
      </c>
      <c r="IH26" s="525">
        <f t="shared" si="190"/>
        <v>0</v>
      </c>
      <c r="II26" s="523"/>
      <c r="IJ26" s="524">
        <f t="shared" si="79"/>
        <v>0</v>
      </c>
      <c r="IK26" s="525">
        <f t="shared" si="191"/>
        <v>0</v>
      </c>
      <c r="IL26" s="523"/>
      <c r="IM26" s="524">
        <f t="shared" si="80"/>
        <v>0</v>
      </c>
      <c r="IN26" s="525">
        <f t="shared" si="192"/>
        <v>0</v>
      </c>
      <c r="IO26" s="523"/>
      <c r="IP26" s="524">
        <f t="shared" si="81"/>
        <v>0</v>
      </c>
      <c r="IQ26" s="525">
        <f t="shared" si="193"/>
        <v>0</v>
      </c>
      <c r="IR26" s="523"/>
      <c r="IS26" s="524">
        <f t="shared" si="82"/>
        <v>0</v>
      </c>
      <c r="IT26" s="525">
        <f t="shared" si="194"/>
        <v>0</v>
      </c>
      <c r="IU26" s="523"/>
      <c r="IV26" s="524">
        <f t="shared" si="83"/>
        <v>0</v>
      </c>
      <c r="IW26" s="525">
        <f t="shared" si="195"/>
        <v>0</v>
      </c>
      <c r="IX26" s="523"/>
      <c r="IY26" s="524">
        <f t="shared" si="84"/>
        <v>0</v>
      </c>
      <c r="IZ26" s="525">
        <f t="shared" si="196"/>
        <v>0</v>
      </c>
      <c r="JA26" s="523"/>
      <c r="JB26" s="524">
        <f t="shared" si="85"/>
        <v>0</v>
      </c>
      <c r="JC26" s="525">
        <f t="shared" si="197"/>
        <v>0</v>
      </c>
      <c r="JD26" s="523"/>
      <c r="JE26" s="524">
        <f t="shared" si="86"/>
        <v>0</v>
      </c>
      <c r="JF26" s="525">
        <f t="shared" si="198"/>
        <v>0</v>
      </c>
      <c r="JG26" s="523"/>
      <c r="JH26" s="524">
        <f t="shared" si="87"/>
        <v>0</v>
      </c>
      <c r="JI26" s="525">
        <f t="shared" si="199"/>
        <v>0</v>
      </c>
      <c r="JJ26" s="523"/>
      <c r="JK26" s="525" t="str">
        <f t="shared" si="88"/>
        <v>0</v>
      </c>
      <c r="JL26" s="525" t="str">
        <f t="shared" si="89"/>
        <v>0</v>
      </c>
      <c r="JM26" s="523"/>
      <c r="JN26" s="525" t="str">
        <f t="shared" si="90"/>
        <v>0</v>
      </c>
      <c r="JO26" s="525" t="str">
        <f t="shared" si="91"/>
        <v>0</v>
      </c>
      <c r="JP26" s="523"/>
      <c r="JQ26" s="525" t="str">
        <f t="shared" si="92"/>
        <v>0</v>
      </c>
      <c r="JR26" s="525" t="str">
        <f t="shared" si="93"/>
        <v>0</v>
      </c>
      <c r="JS26" s="523"/>
      <c r="JT26" s="525" t="str">
        <f t="shared" si="94"/>
        <v>0</v>
      </c>
      <c r="JU26" s="525" t="str">
        <f t="shared" si="95"/>
        <v>0</v>
      </c>
      <c r="JV26" s="523"/>
      <c r="JW26" s="525" t="str">
        <f t="shared" si="96"/>
        <v>0</v>
      </c>
      <c r="JX26" s="525" t="str">
        <f t="shared" si="97"/>
        <v>0</v>
      </c>
      <c r="JY26" s="523"/>
      <c r="JZ26" s="525" t="str">
        <f t="shared" si="98"/>
        <v>0</v>
      </c>
      <c r="KA26" s="525" t="str">
        <f t="shared" si="99"/>
        <v>0</v>
      </c>
      <c r="KB26" s="523"/>
      <c r="KC26" s="525" t="str">
        <f t="shared" si="100"/>
        <v>0</v>
      </c>
      <c r="KD26" s="525" t="str">
        <f t="shared" si="101"/>
        <v>0</v>
      </c>
      <c r="KE26" s="523"/>
      <c r="KF26" s="525" t="str">
        <f t="shared" si="102"/>
        <v>0</v>
      </c>
      <c r="KG26" s="525" t="str">
        <f t="shared" si="103"/>
        <v>0</v>
      </c>
      <c r="KH26" s="523"/>
      <c r="KI26" s="525" t="str">
        <f t="shared" si="104"/>
        <v>0</v>
      </c>
      <c r="KJ26" s="525" t="str">
        <f t="shared" si="105"/>
        <v>0</v>
      </c>
      <c r="KK26" s="523"/>
      <c r="KL26" s="525" t="str">
        <f t="shared" si="106"/>
        <v>0</v>
      </c>
      <c r="KM26" s="525" t="str">
        <f t="shared" si="107"/>
        <v>0</v>
      </c>
      <c r="KN26" s="523"/>
      <c r="KO26" s="525" t="str">
        <f t="shared" si="108"/>
        <v>0</v>
      </c>
      <c r="KP26" s="525" t="str">
        <f t="shared" si="109"/>
        <v>0</v>
      </c>
      <c r="KQ26" s="523"/>
      <c r="KR26" s="525" t="str">
        <f t="shared" si="110"/>
        <v>0</v>
      </c>
      <c r="KS26" s="525" t="str">
        <f t="shared" si="111"/>
        <v>0</v>
      </c>
      <c r="KT26" s="525">
        <f t="shared" si="201"/>
        <v>0</v>
      </c>
      <c r="KU26" s="525">
        <f t="shared" si="202"/>
        <v>0</v>
      </c>
      <c r="KV26" s="261">
        <f t="shared" si="112"/>
        <v>391.81837456059856</v>
      </c>
    </row>
    <row r="27" spans="1:308">
      <c r="A27" s="262">
        <f t="shared" si="200"/>
        <v>45980</v>
      </c>
      <c r="B27" s="263" t="str">
        <f>+Report1!B27</f>
        <v>Facial</v>
      </c>
      <c r="C27" s="263" t="str">
        <f>+Report1!C27</f>
        <v>12</v>
      </c>
      <c r="D27" s="264">
        <f>+Report1!P27</f>
        <v>20.191000000000003</v>
      </c>
      <c r="E27" s="562">
        <f>+Report1!R27</f>
        <v>25.437000000000001</v>
      </c>
      <c r="F27" s="523"/>
      <c r="G27" s="524">
        <f t="shared" si="0"/>
        <v>0</v>
      </c>
      <c r="H27" s="525">
        <f t="shared" si="113"/>
        <v>0</v>
      </c>
      <c r="I27" s="523">
        <v>104.65116279069764</v>
      </c>
      <c r="J27" s="524">
        <f t="shared" si="1"/>
        <v>4.1141314931280277</v>
      </c>
      <c r="K27" s="525">
        <f t="shared" si="114"/>
        <v>0</v>
      </c>
      <c r="L27" s="523"/>
      <c r="M27" s="524">
        <f t="shared" si="2"/>
        <v>0</v>
      </c>
      <c r="N27" s="525">
        <f t="shared" si="115"/>
        <v>0</v>
      </c>
      <c r="O27" s="523">
        <v>2.9999999999999716</v>
      </c>
      <c r="P27" s="524">
        <f t="shared" si="3"/>
        <v>0.11793843613633571</v>
      </c>
      <c r="Q27" s="525">
        <f t="shared" si="116"/>
        <v>0</v>
      </c>
      <c r="R27" s="523"/>
      <c r="S27" s="524">
        <f t="shared" si="4"/>
        <v>0</v>
      </c>
      <c r="T27" s="525">
        <f t="shared" si="117"/>
        <v>0</v>
      </c>
      <c r="U27" s="523">
        <v>2.5624999999999716</v>
      </c>
      <c r="V27" s="524">
        <f t="shared" si="5"/>
        <v>0.10073908086645325</v>
      </c>
      <c r="W27" s="525">
        <f t="shared" si="118"/>
        <v>0</v>
      </c>
      <c r="X27" s="523"/>
      <c r="Y27" s="524">
        <f t="shared" si="6"/>
        <v>0</v>
      </c>
      <c r="Z27" s="525">
        <f t="shared" si="119"/>
        <v>0</v>
      </c>
      <c r="AA27" s="523"/>
      <c r="AB27" s="524">
        <f t="shared" si="7"/>
        <v>0</v>
      </c>
      <c r="AC27" s="525">
        <f t="shared" si="120"/>
        <v>0</v>
      </c>
      <c r="AD27" s="523"/>
      <c r="AE27" s="524">
        <f t="shared" si="8"/>
        <v>0</v>
      </c>
      <c r="AF27" s="525">
        <f t="shared" si="121"/>
        <v>0</v>
      </c>
      <c r="AG27" s="523"/>
      <c r="AH27" s="524">
        <f t="shared" si="9"/>
        <v>0</v>
      </c>
      <c r="AI27" s="525">
        <f t="shared" si="122"/>
        <v>0</v>
      </c>
      <c r="AJ27" s="523"/>
      <c r="AK27" s="524">
        <f t="shared" si="10"/>
        <v>0</v>
      </c>
      <c r="AL27" s="525">
        <f t="shared" si="123"/>
        <v>0</v>
      </c>
      <c r="AM27" s="523"/>
      <c r="AN27" s="524">
        <f t="shared" si="11"/>
        <v>0</v>
      </c>
      <c r="AO27" s="525">
        <f t="shared" si="124"/>
        <v>0</v>
      </c>
      <c r="AP27" s="523">
        <v>22.784810126582215</v>
      </c>
      <c r="AQ27" s="524">
        <f t="shared" si="12"/>
        <v>0.89573495799749236</v>
      </c>
      <c r="AR27" s="525">
        <f t="shared" si="125"/>
        <v>0</v>
      </c>
      <c r="AS27" s="523"/>
      <c r="AT27" s="524">
        <f t="shared" si="13"/>
        <v>0</v>
      </c>
      <c r="AU27" s="525">
        <f t="shared" si="126"/>
        <v>0</v>
      </c>
      <c r="AV27" s="523"/>
      <c r="AW27" s="524">
        <f t="shared" si="14"/>
        <v>0</v>
      </c>
      <c r="AX27" s="525">
        <f t="shared" si="127"/>
        <v>0</v>
      </c>
      <c r="AY27" s="523">
        <v>21</v>
      </c>
      <c r="AZ27" s="524">
        <f t="shared" si="15"/>
        <v>0.82556905295435778</v>
      </c>
      <c r="BA27" s="525">
        <f t="shared" si="128"/>
        <v>0</v>
      </c>
      <c r="BB27" s="523"/>
      <c r="BC27" s="524">
        <f t="shared" si="16"/>
        <v>0</v>
      </c>
      <c r="BD27" s="525">
        <f t="shared" si="129"/>
        <v>0</v>
      </c>
      <c r="BE27" s="523"/>
      <c r="BF27" s="524">
        <f t="shared" si="17"/>
        <v>0</v>
      </c>
      <c r="BG27" s="525">
        <f t="shared" si="130"/>
        <v>0</v>
      </c>
      <c r="BH27" s="523"/>
      <c r="BI27" s="524">
        <f t="shared" si="18"/>
        <v>0</v>
      </c>
      <c r="BJ27" s="525">
        <f t="shared" si="131"/>
        <v>0</v>
      </c>
      <c r="BK27" s="523"/>
      <c r="BL27" s="524">
        <f t="shared" si="19"/>
        <v>0</v>
      </c>
      <c r="BM27" s="525">
        <f t="shared" si="132"/>
        <v>0</v>
      </c>
      <c r="BN27" s="523"/>
      <c r="BO27" s="524">
        <f t="shared" si="20"/>
        <v>0</v>
      </c>
      <c r="BP27" s="525">
        <f t="shared" si="133"/>
        <v>0</v>
      </c>
      <c r="BQ27" s="523"/>
      <c r="BR27" s="524">
        <f t="shared" si="21"/>
        <v>0</v>
      </c>
      <c r="BS27" s="525">
        <f t="shared" si="134"/>
        <v>0</v>
      </c>
      <c r="BT27" s="523"/>
      <c r="BU27" s="524">
        <f t="shared" si="22"/>
        <v>0</v>
      </c>
      <c r="BV27" s="525">
        <f t="shared" si="135"/>
        <v>0</v>
      </c>
      <c r="BW27" s="523"/>
      <c r="BX27" s="524">
        <f t="shared" si="23"/>
        <v>0</v>
      </c>
      <c r="BY27" s="525">
        <f t="shared" si="136"/>
        <v>0</v>
      </c>
      <c r="BZ27" s="523"/>
      <c r="CA27" s="524">
        <f t="shared" si="24"/>
        <v>0</v>
      </c>
      <c r="CB27" s="525">
        <f t="shared" si="137"/>
        <v>0</v>
      </c>
      <c r="CC27" s="523"/>
      <c r="CD27" s="524">
        <f t="shared" si="25"/>
        <v>0</v>
      </c>
      <c r="CE27" s="525">
        <f t="shared" si="138"/>
        <v>0</v>
      </c>
      <c r="CF27" s="523">
        <v>0.30000000000000071</v>
      </c>
      <c r="CG27" s="524">
        <f t="shared" si="26"/>
        <v>1.179384361363371E-2</v>
      </c>
      <c r="CH27" s="525">
        <f t="shared" si="139"/>
        <v>0</v>
      </c>
      <c r="CI27" s="523"/>
      <c r="CJ27" s="524">
        <f t="shared" si="27"/>
        <v>0</v>
      </c>
      <c r="CK27" s="525">
        <f t="shared" si="140"/>
        <v>0</v>
      </c>
      <c r="CL27" s="523"/>
      <c r="CM27" s="524">
        <f t="shared" si="28"/>
        <v>0</v>
      </c>
      <c r="CN27" s="525">
        <f t="shared" si="141"/>
        <v>0</v>
      </c>
      <c r="CO27" s="523"/>
      <c r="CP27" s="524">
        <f t="shared" si="29"/>
        <v>0</v>
      </c>
      <c r="CQ27" s="525">
        <f t="shared" si="142"/>
        <v>0</v>
      </c>
      <c r="CR27" s="523"/>
      <c r="CS27" s="524">
        <f t="shared" si="30"/>
        <v>0</v>
      </c>
      <c r="CT27" s="525">
        <f t="shared" si="143"/>
        <v>0</v>
      </c>
      <c r="CU27" s="523"/>
      <c r="CV27" s="524">
        <f t="shared" si="31"/>
        <v>0</v>
      </c>
      <c r="CW27" s="525">
        <f t="shared" si="144"/>
        <v>0</v>
      </c>
      <c r="CX27" s="523"/>
      <c r="CY27" s="524">
        <f t="shared" si="32"/>
        <v>0</v>
      </c>
      <c r="CZ27" s="525">
        <f t="shared" si="145"/>
        <v>0</v>
      </c>
      <c r="DA27" s="523"/>
      <c r="DB27" s="524">
        <f t="shared" si="33"/>
        <v>0</v>
      </c>
      <c r="DC27" s="525">
        <f t="shared" si="146"/>
        <v>0</v>
      </c>
      <c r="DD27" s="523"/>
      <c r="DE27" s="524">
        <f t="shared" si="34"/>
        <v>0</v>
      </c>
      <c r="DF27" s="525">
        <f t="shared" si="147"/>
        <v>0</v>
      </c>
      <c r="DG27" s="523"/>
      <c r="DH27" s="524">
        <f t="shared" si="35"/>
        <v>0</v>
      </c>
      <c r="DI27" s="525">
        <f t="shared" si="203"/>
        <v>0</v>
      </c>
      <c r="DJ27" s="523"/>
      <c r="DK27" s="524">
        <f t="shared" si="36"/>
        <v>0</v>
      </c>
      <c r="DL27" s="525">
        <f t="shared" si="148"/>
        <v>0</v>
      </c>
      <c r="DM27" s="523"/>
      <c r="DN27" s="524">
        <f t="shared" si="37"/>
        <v>0</v>
      </c>
      <c r="DO27" s="525">
        <f t="shared" si="149"/>
        <v>0</v>
      </c>
      <c r="DP27" s="523"/>
      <c r="DQ27" s="524">
        <f t="shared" si="38"/>
        <v>0</v>
      </c>
      <c r="DR27" s="525">
        <f t="shared" si="150"/>
        <v>0</v>
      </c>
      <c r="DS27" s="523"/>
      <c r="DT27" s="524">
        <f t="shared" si="39"/>
        <v>0</v>
      </c>
      <c r="DU27" s="525">
        <f t="shared" si="151"/>
        <v>0</v>
      </c>
      <c r="DV27" s="523"/>
      <c r="DW27" s="524">
        <f t="shared" si="40"/>
        <v>0</v>
      </c>
      <c r="DX27" s="525">
        <f t="shared" si="152"/>
        <v>0</v>
      </c>
      <c r="DY27" s="523"/>
      <c r="DZ27" s="524">
        <f t="shared" si="41"/>
        <v>0</v>
      </c>
      <c r="EA27" s="525">
        <f t="shared" si="153"/>
        <v>0</v>
      </c>
      <c r="EB27" s="523"/>
      <c r="EC27" s="524">
        <f t="shared" si="42"/>
        <v>0</v>
      </c>
      <c r="ED27" s="525">
        <f t="shared" si="154"/>
        <v>0</v>
      </c>
      <c r="EE27" s="523">
        <v>70.44705882352946</v>
      </c>
      <c r="EF27" s="524">
        <f t="shared" si="43"/>
        <v>2.7694719826838643</v>
      </c>
      <c r="EG27" s="525">
        <f t="shared" si="155"/>
        <v>0</v>
      </c>
      <c r="EH27" s="523"/>
      <c r="EI27" s="524">
        <f t="shared" si="44"/>
        <v>0</v>
      </c>
      <c r="EJ27" s="525">
        <f t="shared" si="156"/>
        <v>0</v>
      </c>
      <c r="EK27" s="523"/>
      <c r="EL27" s="524">
        <f t="shared" si="45"/>
        <v>0</v>
      </c>
      <c r="EM27" s="525">
        <f t="shared" si="157"/>
        <v>0</v>
      </c>
      <c r="EN27" s="523"/>
      <c r="EO27" s="524">
        <f t="shared" si="46"/>
        <v>0</v>
      </c>
      <c r="EP27" s="525">
        <f t="shared" si="158"/>
        <v>0</v>
      </c>
      <c r="EQ27" s="523"/>
      <c r="ER27" s="524">
        <f t="shared" si="47"/>
        <v>0</v>
      </c>
      <c r="ES27" s="525">
        <f t="shared" si="159"/>
        <v>0</v>
      </c>
      <c r="ET27" s="523"/>
      <c r="EU27" s="524">
        <f t="shared" si="48"/>
        <v>0</v>
      </c>
      <c r="EV27" s="525">
        <f t="shared" si="160"/>
        <v>0</v>
      </c>
      <c r="EW27" s="523"/>
      <c r="EX27" s="524">
        <f t="shared" si="49"/>
        <v>0</v>
      </c>
      <c r="EY27" s="525">
        <f t="shared" si="161"/>
        <v>0</v>
      </c>
      <c r="EZ27" s="523"/>
      <c r="FA27" s="524">
        <f t="shared" si="50"/>
        <v>0</v>
      </c>
      <c r="FB27" s="525">
        <f t="shared" si="162"/>
        <v>0</v>
      </c>
      <c r="FC27" s="523"/>
      <c r="FD27" s="524">
        <f t="shared" si="51"/>
        <v>0</v>
      </c>
      <c r="FE27" s="525">
        <f t="shared" si="163"/>
        <v>0</v>
      </c>
      <c r="FF27" s="523"/>
      <c r="FG27" s="524">
        <f t="shared" si="52"/>
        <v>0</v>
      </c>
      <c r="FH27" s="525">
        <f t="shared" si="164"/>
        <v>0</v>
      </c>
      <c r="FI27" s="523"/>
      <c r="FJ27" s="524">
        <f t="shared" si="53"/>
        <v>0</v>
      </c>
      <c r="FK27" s="525">
        <f t="shared" si="165"/>
        <v>0</v>
      </c>
      <c r="FL27" s="523"/>
      <c r="FM27" s="524">
        <f t="shared" si="54"/>
        <v>0</v>
      </c>
      <c r="FN27" s="525">
        <f t="shared" si="166"/>
        <v>0</v>
      </c>
      <c r="FO27" s="523"/>
      <c r="FP27" s="524">
        <f t="shared" si="55"/>
        <v>0</v>
      </c>
      <c r="FQ27" s="525">
        <f t="shared" si="167"/>
        <v>0</v>
      </c>
      <c r="FR27" s="523"/>
      <c r="FS27" s="524">
        <f t="shared" si="56"/>
        <v>0</v>
      </c>
      <c r="FT27" s="525">
        <f t="shared" si="168"/>
        <v>0</v>
      </c>
      <c r="FU27" s="523"/>
      <c r="FV27" s="524">
        <f t="shared" si="57"/>
        <v>0</v>
      </c>
      <c r="FW27" s="525">
        <f t="shared" si="169"/>
        <v>0</v>
      </c>
      <c r="FX27" s="523"/>
      <c r="FY27" s="524">
        <f t="shared" si="58"/>
        <v>0</v>
      </c>
      <c r="FZ27" s="525">
        <f t="shared" si="170"/>
        <v>0</v>
      </c>
      <c r="GA27" s="523"/>
      <c r="GB27" s="524">
        <f t="shared" si="59"/>
        <v>0</v>
      </c>
      <c r="GC27" s="525">
        <f t="shared" si="171"/>
        <v>0</v>
      </c>
      <c r="GD27" s="523"/>
      <c r="GE27" s="524">
        <f t="shared" si="60"/>
        <v>0</v>
      </c>
      <c r="GF27" s="525">
        <f t="shared" si="172"/>
        <v>0</v>
      </c>
      <c r="GG27" s="523"/>
      <c r="GH27" s="524">
        <f t="shared" si="61"/>
        <v>0</v>
      </c>
      <c r="GI27" s="525">
        <f t="shared" si="173"/>
        <v>0</v>
      </c>
      <c r="GJ27" s="523"/>
      <c r="GK27" s="524">
        <f t="shared" si="62"/>
        <v>0</v>
      </c>
      <c r="GL27" s="525">
        <f t="shared" si="174"/>
        <v>0</v>
      </c>
      <c r="GM27" s="523"/>
      <c r="GN27" s="524">
        <f t="shared" si="63"/>
        <v>0</v>
      </c>
      <c r="GO27" s="525">
        <f t="shared" si="175"/>
        <v>0</v>
      </c>
      <c r="GP27" s="523"/>
      <c r="GQ27" s="524">
        <f t="shared" si="64"/>
        <v>0</v>
      </c>
      <c r="GR27" s="525">
        <f t="shared" si="176"/>
        <v>0</v>
      </c>
      <c r="GS27" s="523"/>
      <c r="GT27" s="524">
        <f t="shared" si="65"/>
        <v>0</v>
      </c>
      <c r="GU27" s="525">
        <f t="shared" si="177"/>
        <v>0</v>
      </c>
      <c r="GV27" s="523"/>
      <c r="GW27" s="524">
        <f t="shared" si="66"/>
        <v>0</v>
      </c>
      <c r="GX27" s="525">
        <f t="shared" si="178"/>
        <v>0</v>
      </c>
      <c r="GY27" s="523"/>
      <c r="GZ27" s="524">
        <f t="shared" si="67"/>
        <v>0</v>
      </c>
      <c r="HA27" s="525">
        <f t="shared" si="179"/>
        <v>0</v>
      </c>
      <c r="HB27" s="523"/>
      <c r="HC27" s="524">
        <f t="shared" si="68"/>
        <v>0</v>
      </c>
      <c r="HD27" s="525">
        <f t="shared" si="180"/>
        <v>0</v>
      </c>
      <c r="HE27" s="523"/>
      <c r="HF27" s="524">
        <f t="shared" si="69"/>
        <v>0</v>
      </c>
      <c r="HG27" s="525">
        <f t="shared" si="181"/>
        <v>0</v>
      </c>
      <c r="HH27" s="523"/>
      <c r="HI27" s="524">
        <f t="shared" si="70"/>
        <v>0</v>
      </c>
      <c r="HJ27" s="525">
        <f t="shared" si="182"/>
        <v>0</v>
      </c>
      <c r="HK27" s="523"/>
      <c r="HL27" s="524">
        <f t="shared" si="71"/>
        <v>0</v>
      </c>
      <c r="HM27" s="525">
        <f t="shared" si="183"/>
        <v>0</v>
      </c>
      <c r="HN27" s="523"/>
      <c r="HO27" s="524">
        <f t="shared" si="72"/>
        <v>0</v>
      </c>
      <c r="HP27" s="525">
        <f t="shared" si="184"/>
        <v>0</v>
      </c>
      <c r="HQ27" s="523"/>
      <c r="HR27" s="524">
        <f t="shared" si="73"/>
        <v>0</v>
      </c>
      <c r="HS27" s="525">
        <f t="shared" si="185"/>
        <v>0</v>
      </c>
      <c r="HT27" s="523"/>
      <c r="HU27" s="524">
        <f t="shared" si="74"/>
        <v>0</v>
      </c>
      <c r="HV27" s="525">
        <f t="shared" si="186"/>
        <v>0</v>
      </c>
      <c r="HW27" s="523"/>
      <c r="HX27" s="524">
        <f t="shared" si="75"/>
        <v>0</v>
      </c>
      <c r="HY27" s="525">
        <f t="shared" si="187"/>
        <v>0</v>
      </c>
      <c r="HZ27" s="523"/>
      <c r="IA27" s="524">
        <f t="shared" si="76"/>
        <v>0</v>
      </c>
      <c r="IB27" s="525">
        <f t="shared" si="188"/>
        <v>0</v>
      </c>
      <c r="IC27" s="523"/>
      <c r="ID27" s="524">
        <f t="shared" si="77"/>
        <v>0</v>
      </c>
      <c r="IE27" s="525">
        <f t="shared" si="189"/>
        <v>0</v>
      </c>
      <c r="IF27" s="523"/>
      <c r="IG27" s="524">
        <f t="shared" si="78"/>
        <v>0</v>
      </c>
      <c r="IH27" s="525">
        <f t="shared" si="190"/>
        <v>0</v>
      </c>
      <c r="II27" s="523"/>
      <c r="IJ27" s="524">
        <f t="shared" si="79"/>
        <v>0</v>
      </c>
      <c r="IK27" s="525">
        <f t="shared" si="191"/>
        <v>0</v>
      </c>
      <c r="IL27" s="523"/>
      <c r="IM27" s="524">
        <f t="shared" si="80"/>
        <v>0</v>
      </c>
      <c r="IN27" s="525">
        <f t="shared" si="192"/>
        <v>0</v>
      </c>
      <c r="IO27" s="523"/>
      <c r="IP27" s="524">
        <f t="shared" si="81"/>
        <v>0</v>
      </c>
      <c r="IQ27" s="525">
        <f t="shared" si="193"/>
        <v>0</v>
      </c>
      <c r="IR27" s="523"/>
      <c r="IS27" s="524">
        <f t="shared" si="82"/>
        <v>0</v>
      </c>
      <c r="IT27" s="525">
        <f t="shared" si="194"/>
        <v>0</v>
      </c>
      <c r="IU27" s="523"/>
      <c r="IV27" s="524">
        <f t="shared" si="83"/>
        <v>0</v>
      </c>
      <c r="IW27" s="525">
        <f t="shared" si="195"/>
        <v>0</v>
      </c>
      <c r="IX27" s="523"/>
      <c r="IY27" s="524">
        <f t="shared" si="84"/>
        <v>0</v>
      </c>
      <c r="IZ27" s="525">
        <f t="shared" si="196"/>
        <v>0</v>
      </c>
      <c r="JA27" s="523"/>
      <c r="JB27" s="524">
        <f t="shared" si="85"/>
        <v>0</v>
      </c>
      <c r="JC27" s="525">
        <f t="shared" si="197"/>
        <v>0</v>
      </c>
      <c r="JD27" s="523"/>
      <c r="JE27" s="524">
        <f t="shared" si="86"/>
        <v>0</v>
      </c>
      <c r="JF27" s="525">
        <f t="shared" si="198"/>
        <v>0</v>
      </c>
      <c r="JG27" s="523"/>
      <c r="JH27" s="524">
        <f t="shared" si="87"/>
        <v>0</v>
      </c>
      <c r="JI27" s="525">
        <f t="shared" si="199"/>
        <v>0</v>
      </c>
      <c r="JJ27" s="523"/>
      <c r="JK27" s="525" t="str">
        <f t="shared" si="88"/>
        <v>0</v>
      </c>
      <c r="JL27" s="525" t="str">
        <f t="shared" si="89"/>
        <v>0</v>
      </c>
      <c r="JM27" s="523"/>
      <c r="JN27" s="525" t="str">
        <f t="shared" si="90"/>
        <v>0</v>
      </c>
      <c r="JO27" s="525" t="str">
        <f t="shared" si="91"/>
        <v>0</v>
      </c>
      <c r="JP27" s="523"/>
      <c r="JQ27" s="525" t="str">
        <f t="shared" si="92"/>
        <v>0</v>
      </c>
      <c r="JR27" s="525" t="str">
        <f t="shared" si="93"/>
        <v>0</v>
      </c>
      <c r="JS27" s="523"/>
      <c r="JT27" s="525" t="str">
        <f t="shared" si="94"/>
        <v>0</v>
      </c>
      <c r="JU27" s="525" t="str">
        <f t="shared" si="95"/>
        <v>0</v>
      </c>
      <c r="JV27" s="523"/>
      <c r="JW27" s="525" t="str">
        <f t="shared" si="96"/>
        <v>0</v>
      </c>
      <c r="JX27" s="525" t="str">
        <f t="shared" si="97"/>
        <v>0</v>
      </c>
      <c r="JY27" s="523"/>
      <c r="JZ27" s="525" t="str">
        <f t="shared" si="98"/>
        <v>0</v>
      </c>
      <c r="KA27" s="525" t="str">
        <f t="shared" si="99"/>
        <v>0</v>
      </c>
      <c r="KB27" s="523"/>
      <c r="KC27" s="525" t="str">
        <f t="shared" si="100"/>
        <v>0</v>
      </c>
      <c r="KD27" s="525" t="str">
        <f t="shared" si="101"/>
        <v>0</v>
      </c>
      <c r="KE27" s="523"/>
      <c r="KF27" s="525" t="str">
        <f t="shared" si="102"/>
        <v>0</v>
      </c>
      <c r="KG27" s="525" t="str">
        <f t="shared" si="103"/>
        <v>0</v>
      </c>
      <c r="KH27" s="523"/>
      <c r="KI27" s="525" t="str">
        <f t="shared" si="104"/>
        <v>0</v>
      </c>
      <c r="KJ27" s="525" t="str">
        <f t="shared" si="105"/>
        <v>0</v>
      </c>
      <c r="KK27" s="523"/>
      <c r="KL27" s="525" t="str">
        <f t="shared" si="106"/>
        <v>0</v>
      </c>
      <c r="KM27" s="525" t="str">
        <f t="shared" si="107"/>
        <v>0</v>
      </c>
      <c r="KN27" s="523"/>
      <c r="KO27" s="525" t="str">
        <f t="shared" si="108"/>
        <v>0</v>
      </c>
      <c r="KP27" s="525" t="str">
        <f t="shared" si="109"/>
        <v>0</v>
      </c>
      <c r="KQ27" s="523"/>
      <c r="KR27" s="525" t="str">
        <f t="shared" si="110"/>
        <v>0</v>
      </c>
      <c r="KS27" s="525" t="str">
        <f t="shared" si="111"/>
        <v>0</v>
      </c>
      <c r="KT27" s="525">
        <f t="shared" si="201"/>
        <v>0</v>
      </c>
      <c r="KU27" s="525">
        <f t="shared" si="202"/>
        <v>0</v>
      </c>
      <c r="KV27" s="261">
        <f t="shared" si="112"/>
        <v>224.74553174080927</v>
      </c>
    </row>
    <row r="28" spans="1:308">
      <c r="A28" s="262">
        <f t="shared" si="200"/>
        <v>45981</v>
      </c>
      <c r="B28" s="263" t="str">
        <f>+Report1!B28</f>
        <v>Facial</v>
      </c>
      <c r="C28" s="263" t="str">
        <f>+Report1!C28</f>
        <v>13/14</v>
      </c>
      <c r="D28" s="264">
        <f>+Report1!P28</f>
        <v>19.975999999999999</v>
      </c>
      <c r="E28" s="562">
        <f>+Report1!R28</f>
        <v>11.805</v>
      </c>
      <c r="F28" s="523"/>
      <c r="G28" s="524">
        <f t="shared" si="0"/>
        <v>0</v>
      </c>
      <c r="H28" s="525">
        <f t="shared" si="113"/>
        <v>0</v>
      </c>
      <c r="I28" s="523">
        <v>186.04651162790708</v>
      </c>
      <c r="J28" s="524">
        <f t="shared" si="1"/>
        <v>15.759975572037872</v>
      </c>
      <c r="K28" s="525">
        <f t="shared" si="114"/>
        <v>0</v>
      </c>
      <c r="L28" s="523"/>
      <c r="M28" s="524">
        <f t="shared" si="2"/>
        <v>0</v>
      </c>
      <c r="N28" s="525">
        <f t="shared" si="115"/>
        <v>0</v>
      </c>
      <c r="O28" s="523">
        <v>3</v>
      </c>
      <c r="P28" s="524">
        <f t="shared" si="3"/>
        <v>0.25412960609911056</v>
      </c>
      <c r="Q28" s="525">
        <f t="shared" si="116"/>
        <v>0</v>
      </c>
      <c r="R28" s="523"/>
      <c r="S28" s="524">
        <f t="shared" si="4"/>
        <v>0</v>
      </c>
      <c r="T28" s="525">
        <f t="shared" si="117"/>
        <v>0</v>
      </c>
      <c r="U28" s="523">
        <v>2.5625000000000284</v>
      </c>
      <c r="V28" s="524">
        <f t="shared" si="5"/>
        <v>0.21706903854299267</v>
      </c>
      <c r="W28" s="525">
        <f t="shared" si="118"/>
        <v>0</v>
      </c>
      <c r="X28" s="523"/>
      <c r="Y28" s="524">
        <f t="shared" si="6"/>
        <v>0</v>
      </c>
      <c r="Z28" s="525">
        <f t="shared" si="119"/>
        <v>0</v>
      </c>
      <c r="AA28" s="523"/>
      <c r="AB28" s="524">
        <f t="shared" si="7"/>
        <v>0</v>
      </c>
      <c r="AC28" s="525">
        <f t="shared" si="120"/>
        <v>0</v>
      </c>
      <c r="AD28" s="523"/>
      <c r="AE28" s="524">
        <f t="shared" si="8"/>
        <v>0</v>
      </c>
      <c r="AF28" s="525">
        <f t="shared" si="121"/>
        <v>0</v>
      </c>
      <c r="AG28" s="523"/>
      <c r="AH28" s="524">
        <f t="shared" si="9"/>
        <v>0</v>
      </c>
      <c r="AI28" s="525">
        <f t="shared" si="122"/>
        <v>0</v>
      </c>
      <c r="AJ28" s="523"/>
      <c r="AK28" s="524">
        <f t="shared" si="10"/>
        <v>0</v>
      </c>
      <c r="AL28" s="525">
        <f t="shared" si="123"/>
        <v>0</v>
      </c>
      <c r="AM28" s="523"/>
      <c r="AN28" s="524">
        <f t="shared" si="11"/>
        <v>0</v>
      </c>
      <c r="AO28" s="525">
        <f t="shared" si="124"/>
        <v>0</v>
      </c>
      <c r="AP28" s="523">
        <v>22.784810126582329</v>
      </c>
      <c r="AQ28" s="524">
        <f t="shared" si="12"/>
        <v>1.9300982741704642</v>
      </c>
      <c r="AR28" s="525">
        <f t="shared" si="125"/>
        <v>0</v>
      </c>
      <c r="AS28" s="523"/>
      <c r="AT28" s="524">
        <f t="shared" si="13"/>
        <v>0</v>
      </c>
      <c r="AU28" s="525">
        <f t="shared" si="126"/>
        <v>0</v>
      </c>
      <c r="AV28" s="523"/>
      <c r="AW28" s="524">
        <f t="shared" si="14"/>
        <v>0</v>
      </c>
      <c r="AX28" s="525">
        <f t="shared" si="127"/>
        <v>0</v>
      </c>
      <c r="AY28" s="523">
        <v>28</v>
      </c>
      <c r="AZ28" s="524">
        <f t="shared" si="15"/>
        <v>2.3718763235916986</v>
      </c>
      <c r="BA28" s="525">
        <f t="shared" si="128"/>
        <v>0</v>
      </c>
      <c r="BB28" s="523"/>
      <c r="BC28" s="524">
        <f t="shared" si="16"/>
        <v>0</v>
      </c>
      <c r="BD28" s="525">
        <f t="shared" si="129"/>
        <v>0</v>
      </c>
      <c r="BE28" s="523"/>
      <c r="BF28" s="524">
        <f t="shared" si="17"/>
        <v>0</v>
      </c>
      <c r="BG28" s="525">
        <f t="shared" si="130"/>
        <v>0</v>
      </c>
      <c r="BH28" s="523"/>
      <c r="BI28" s="524">
        <f t="shared" si="18"/>
        <v>0</v>
      </c>
      <c r="BJ28" s="525">
        <f t="shared" si="131"/>
        <v>0</v>
      </c>
      <c r="BK28" s="523"/>
      <c r="BL28" s="524">
        <f t="shared" si="19"/>
        <v>0</v>
      </c>
      <c r="BM28" s="525">
        <f t="shared" si="132"/>
        <v>0</v>
      </c>
      <c r="BN28" s="523"/>
      <c r="BO28" s="524">
        <f t="shared" si="20"/>
        <v>0</v>
      </c>
      <c r="BP28" s="525">
        <f t="shared" si="133"/>
        <v>0</v>
      </c>
      <c r="BQ28" s="523"/>
      <c r="BR28" s="524">
        <f t="shared" si="21"/>
        <v>0</v>
      </c>
      <c r="BS28" s="525">
        <f t="shared" si="134"/>
        <v>0</v>
      </c>
      <c r="BT28" s="523"/>
      <c r="BU28" s="524">
        <f t="shared" si="22"/>
        <v>0</v>
      </c>
      <c r="BV28" s="525">
        <f t="shared" si="135"/>
        <v>0</v>
      </c>
      <c r="BW28" s="523"/>
      <c r="BX28" s="524">
        <f t="shared" si="23"/>
        <v>0</v>
      </c>
      <c r="BY28" s="525">
        <f t="shared" si="136"/>
        <v>0</v>
      </c>
      <c r="BZ28" s="523"/>
      <c r="CA28" s="524">
        <f t="shared" si="24"/>
        <v>0</v>
      </c>
      <c r="CB28" s="525">
        <f t="shared" si="137"/>
        <v>0</v>
      </c>
      <c r="CC28" s="523"/>
      <c r="CD28" s="524">
        <f t="shared" si="25"/>
        <v>0</v>
      </c>
      <c r="CE28" s="525">
        <f t="shared" si="138"/>
        <v>0</v>
      </c>
      <c r="CF28" s="523">
        <v>0.30000000000000071</v>
      </c>
      <c r="CG28" s="524">
        <f t="shared" si="26"/>
        <v>2.5412960609911116E-2</v>
      </c>
      <c r="CH28" s="525">
        <f t="shared" si="139"/>
        <v>0</v>
      </c>
      <c r="CI28" s="523"/>
      <c r="CJ28" s="524">
        <f t="shared" si="27"/>
        <v>0</v>
      </c>
      <c r="CK28" s="525">
        <f t="shared" si="140"/>
        <v>0</v>
      </c>
      <c r="CL28" s="523"/>
      <c r="CM28" s="524">
        <f t="shared" si="28"/>
        <v>0</v>
      </c>
      <c r="CN28" s="525">
        <f t="shared" si="141"/>
        <v>0</v>
      </c>
      <c r="CO28" s="523"/>
      <c r="CP28" s="524">
        <f t="shared" si="29"/>
        <v>0</v>
      </c>
      <c r="CQ28" s="525">
        <f t="shared" si="142"/>
        <v>0</v>
      </c>
      <c r="CR28" s="523"/>
      <c r="CS28" s="524">
        <f t="shared" si="30"/>
        <v>0</v>
      </c>
      <c r="CT28" s="525">
        <f t="shared" si="143"/>
        <v>0</v>
      </c>
      <c r="CU28" s="523"/>
      <c r="CV28" s="524">
        <f t="shared" si="31"/>
        <v>0</v>
      </c>
      <c r="CW28" s="525">
        <f t="shared" si="144"/>
        <v>0</v>
      </c>
      <c r="CX28" s="523"/>
      <c r="CY28" s="524">
        <f t="shared" si="32"/>
        <v>0</v>
      </c>
      <c r="CZ28" s="525">
        <f t="shared" si="145"/>
        <v>0</v>
      </c>
      <c r="DA28" s="523"/>
      <c r="DB28" s="524">
        <f t="shared" si="33"/>
        <v>0</v>
      </c>
      <c r="DC28" s="525">
        <f t="shared" si="146"/>
        <v>0</v>
      </c>
      <c r="DD28" s="523"/>
      <c r="DE28" s="524">
        <f t="shared" si="34"/>
        <v>0</v>
      </c>
      <c r="DF28" s="525">
        <f t="shared" si="147"/>
        <v>0</v>
      </c>
      <c r="DG28" s="523"/>
      <c r="DH28" s="524">
        <f t="shared" si="35"/>
        <v>0</v>
      </c>
      <c r="DI28" s="525">
        <f t="shared" si="203"/>
        <v>0</v>
      </c>
      <c r="DJ28" s="523"/>
      <c r="DK28" s="524">
        <f t="shared" si="36"/>
        <v>0</v>
      </c>
      <c r="DL28" s="525">
        <f t="shared" si="148"/>
        <v>0</v>
      </c>
      <c r="DM28" s="523"/>
      <c r="DN28" s="524">
        <f t="shared" si="37"/>
        <v>0</v>
      </c>
      <c r="DO28" s="525">
        <f t="shared" si="149"/>
        <v>0</v>
      </c>
      <c r="DP28" s="523"/>
      <c r="DQ28" s="524">
        <f t="shared" si="38"/>
        <v>0</v>
      </c>
      <c r="DR28" s="525">
        <f t="shared" si="150"/>
        <v>0</v>
      </c>
      <c r="DS28" s="523"/>
      <c r="DT28" s="524">
        <f t="shared" si="39"/>
        <v>0</v>
      </c>
      <c r="DU28" s="525">
        <f t="shared" si="151"/>
        <v>0</v>
      </c>
      <c r="DV28" s="523"/>
      <c r="DW28" s="524">
        <f t="shared" si="40"/>
        <v>0</v>
      </c>
      <c r="DX28" s="525">
        <f t="shared" si="152"/>
        <v>0</v>
      </c>
      <c r="DY28" s="523"/>
      <c r="DZ28" s="524">
        <f t="shared" si="41"/>
        <v>0</v>
      </c>
      <c r="EA28" s="525">
        <f t="shared" si="153"/>
        <v>0</v>
      </c>
      <c r="EB28" s="523"/>
      <c r="EC28" s="524">
        <f t="shared" si="42"/>
        <v>0</v>
      </c>
      <c r="ED28" s="525">
        <f t="shared" si="154"/>
        <v>0</v>
      </c>
      <c r="EE28" s="523">
        <v>23.482352941176487</v>
      </c>
      <c r="EF28" s="524">
        <f t="shared" si="43"/>
        <v>1.9891870344071569</v>
      </c>
      <c r="EG28" s="525">
        <f t="shared" si="155"/>
        <v>0</v>
      </c>
      <c r="EH28" s="523"/>
      <c r="EI28" s="524">
        <f t="shared" si="44"/>
        <v>0</v>
      </c>
      <c r="EJ28" s="525">
        <f t="shared" si="156"/>
        <v>0</v>
      </c>
      <c r="EK28" s="523"/>
      <c r="EL28" s="524">
        <f t="shared" si="45"/>
        <v>0</v>
      </c>
      <c r="EM28" s="525">
        <f t="shared" si="157"/>
        <v>0</v>
      </c>
      <c r="EN28" s="523"/>
      <c r="EO28" s="524">
        <f t="shared" si="46"/>
        <v>0</v>
      </c>
      <c r="EP28" s="525">
        <f t="shared" si="158"/>
        <v>0</v>
      </c>
      <c r="EQ28" s="523"/>
      <c r="ER28" s="524">
        <f t="shared" si="47"/>
        <v>0</v>
      </c>
      <c r="ES28" s="525">
        <f t="shared" si="159"/>
        <v>0</v>
      </c>
      <c r="ET28" s="523"/>
      <c r="EU28" s="524">
        <f t="shared" si="48"/>
        <v>0</v>
      </c>
      <c r="EV28" s="525">
        <f t="shared" si="160"/>
        <v>0</v>
      </c>
      <c r="EW28" s="523"/>
      <c r="EX28" s="524">
        <f t="shared" si="49"/>
        <v>0</v>
      </c>
      <c r="EY28" s="525">
        <f t="shared" si="161"/>
        <v>0</v>
      </c>
      <c r="EZ28" s="523"/>
      <c r="FA28" s="524">
        <f t="shared" si="50"/>
        <v>0</v>
      </c>
      <c r="FB28" s="525">
        <f t="shared" si="162"/>
        <v>0</v>
      </c>
      <c r="FC28" s="523"/>
      <c r="FD28" s="524">
        <f t="shared" si="51"/>
        <v>0</v>
      </c>
      <c r="FE28" s="525">
        <f t="shared" si="163"/>
        <v>0</v>
      </c>
      <c r="FF28" s="523"/>
      <c r="FG28" s="524">
        <f t="shared" si="52"/>
        <v>0</v>
      </c>
      <c r="FH28" s="525">
        <f t="shared" si="164"/>
        <v>0</v>
      </c>
      <c r="FI28" s="523"/>
      <c r="FJ28" s="524">
        <f t="shared" si="53"/>
        <v>0</v>
      </c>
      <c r="FK28" s="525">
        <f t="shared" si="165"/>
        <v>0</v>
      </c>
      <c r="FL28" s="523"/>
      <c r="FM28" s="524">
        <f t="shared" si="54"/>
        <v>0</v>
      </c>
      <c r="FN28" s="525">
        <f t="shared" si="166"/>
        <v>0</v>
      </c>
      <c r="FO28" s="523"/>
      <c r="FP28" s="524">
        <f t="shared" si="55"/>
        <v>0</v>
      </c>
      <c r="FQ28" s="525">
        <f t="shared" si="167"/>
        <v>0</v>
      </c>
      <c r="FR28" s="523"/>
      <c r="FS28" s="524">
        <f t="shared" si="56"/>
        <v>0</v>
      </c>
      <c r="FT28" s="525">
        <f t="shared" si="168"/>
        <v>0</v>
      </c>
      <c r="FU28" s="523"/>
      <c r="FV28" s="524">
        <f t="shared" si="57"/>
        <v>0</v>
      </c>
      <c r="FW28" s="525">
        <f t="shared" si="169"/>
        <v>0</v>
      </c>
      <c r="FX28" s="523"/>
      <c r="FY28" s="524">
        <f t="shared" si="58"/>
        <v>0</v>
      </c>
      <c r="FZ28" s="525">
        <f t="shared" si="170"/>
        <v>0</v>
      </c>
      <c r="GA28" s="523"/>
      <c r="GB28" s="524">
        <f t="shared" si="59"/>
        <v>0</v>
      </c>
      <c r="GC28" s="525">
        <f t="shared" si="171"/>
        <v>0</v>
      </c>
      <c r="GD28" s="523"/>
      <c r="GE28" s="524">
        <f t="shared" si="60"/>
        <v>0</v>
      </c>
      <c r="GF28" s="525">
        <f t="shared" si="172"/>
        <v>0</v>
      </c>
      <c r="GG28" s="523"/>
      <c r="GH28" s="524">
        <f t="shared" si="61"/>
        <v>0</v>
      </c>
      <c r="GI28" s="525">
        <f t="shared" si="173"/>
        <v>0</v>
      </c>
      <c r="GJ28" s="523"/>
      <c r="GK28" s="524">
        <f t="shared" si="62"/>
        <v>0</v>
      </c>
      <c r="GL28" s="525">
        <f t="shared" si="174"/>
        <v>0</v>
      </c>
      <c r="GM28" s="523"/>
      <c r="GN28" s="524">
        <f t="shared" si="63"/>
        <v>0</v>
      </c>
      <c r="GO28" s="525">
        <f t="shared" si="175"/>
        <v>0</v>
      </c>
      <c r="GP28" s="523"/>
      <c r="GQ28" s="524">
        <f t="shared" si="64"/>
        <v>0</v>
      </c>
      <c r="GR28" s="525">
        <f t="shared" si="176"/>
        <v>0</v>
      </c>
      <c r="GS28" s="523"/>
      <c r="GT28" s="524">
        <f t="shared" si="65"/>
        <v>0</v>
      </c>
      <c r="GU28" s="525">
        <f t="shared" si="177"/>
        <v>0</v>
      </c>
      <c r="GV28" s="523"/>
      <c r="GW28" s="524">
        <f t="shared" si="66"/>
        <v>0</v>
      </c>
      <c r="GX28" s="525">
        <f t="shared" si="178"/>
        <v>0</v>
      </c>
      <c r="GY28" s="523"/>
      <c r="GZ28" s="524">
        <f t="shared" si="67"/>
        <v>0</v>
      </c>
      <c r="HA28" s="525">
        <f t="shared" si="179"/>
        <v>0</v>
      </c>
      <c r="HB28" s="523"/>
      <c r="HC28" s="524">
        <f t="shared" si="68"/>
        <v>0</v>
      </c>
      <c r="HD28" s="525">
        <f t="shared" si="180"/>
        <v>0</v>
      </c>
      <c r="HE28" s="523"/>
      <c r="HF28" s="524">
        <f t="shared" si="69"/>
        <v>0</v>
      </c>
      <c r="HG28" s="525">
        <f t="shared" si="181"/>
        <v>0</v>
      </c>
      <c r="HH28" s="523"/>
      <c r="HI28" s="524">
        <f t="shared" si="70"/>
        <v>0</v>
      </c>
      <c r="HJ28" s="525">
        <f t="shared" si="182"/>
        <v>0</v>
      </c>
      <c r="HK28" s="523"/>
      <c r="HL28" s="524">
        <f t="shared" si="71"/>
        <v>0</v>
      </c>
      <c r="HM28" s="525">
        <f t="shared" si="183"/>
        <v>0</v>
      </c>
      <c r="HN28" s="523"/>
      <c r="HO28" s="524">
        <f t="shared" si="72"/>
        <v>0</v>
      </c>
      <c r="HP28" s="525">
        <f t="shared" si="184"/>
        <v>0</v>
      </c>
      <c r="HQ28" s="523"/>
      <c r="HR28" s="524">
        <f t="shared" si="73"/>
        <v>0</v>
      </c>
      <c r="HS28" s="525">
        <f t="shared" si="185"/>
        <v>0</v>
      </c>
      <c r="HT28" s="523"/>
      <c r="HU28" s="524">
        <f t="shared" si="74"/>
        <v>0</v>
      </c>
      <c r="HV28" s="525">
        <f t="shared" si="186"/>
        <v>0</v>
      </c>
      <c r="HW28" s="523"/>
      <c r="HX28" s="524">
        <f t="shared" si="75"/>
        <v>0</v>
      </c>
      <c r="HY28" s="525">
        <f t="shared" si="187"/>
        <v>0</v>
      </c>
      <c r="HZ28" s="523"/>
      <c r="IA28" s="524">
        <f t="shared" si="76"/>
        <v>0</v>
      </c>
      <c r="IB28" s="525">
        <f t="shared" si="188"/>
        <v>0</v>
      </c>
      <c r="IC28" s="523"/>
      <c r="ID28" s="524">
        <f t="shared" si="77"/>
        <v>0</v>
      </c>
      <c r="IE28" s="525">
        <f t="shared" si="189"/>
        <v>0</v>
      </c>
      <c r="IF28" s="523"/>
      <c r="IG28" s="524">
        <f t="shared" si="78"/>
        <v>0</v>
      </c>
      <c r="IH28" s="525">
        <f t="shared" si="190"/>
        <v>0</v>
      </c>
      <c r="II28" s="523"/>
      <c r="IJ28" s="524">
        <f t="shared" si="79"/>
        <v>0</v>
      </c>
      <c r="IK28" s="525">
        <f t="shared" si="191"/>
        <v>0</v>
      </c>
      <c r="IL28" s="523"/>
      <c r="IM28" s="524">
        <f t="shared" si="80"/>
        <v>0</v>
      </c>
      <c r="IN28" s="525">
        <f t="shared" si="192"/>
        <v>0</v>
      </c>
      <c r="IO28" s="523"/>
      <c r="IP28" s="524">
        <f t="shared" si="81"/>
        <v>0</v>
      </c>
      <c r="IQ28" s="525">
        <f t="shared" si="193"/>
        <v>0</v>
      </c>
      <c r="IR28" s="523"/>
      <c r="IS28" s="524">
        <f t="shared" si="82"/>
        <v>0</v>
      </c>
      <c r="IT28" s="525">
        <f t="shared" si="194"/>
        <v>0</v>
      </c>
      <c r="IU28" s="523"/>
      <c r="IV28" s="524">
        <f t="shared" si="83"/>
        <v>0</v>
      </c>
      <c r="IW28" s="525">
        <f t="shared" si="195"/>
        <v>0</v>
      </c>
      <c r="IX28" s="523"/>
      <c r="IY28" s="524">
        <f t="shared" si="84"/>
        <v>0</v>
      </c>
      <c r="IZ28" s="525">
        <f t="shared" si="196"/>
        <v>0</v>
      </c>
      <c r="JA28" s="523"/>
      <c r="JB28" s="524">
        <f t="shared" si="85"/>
        <v>0</v>
      </c>
      <c r="JC28" s="525">
        <f t="shared" si="197"/>
        <v>0</v>
      </c>
      <c r="JD28" s="523"/>
      <c r="JE28" s="524">
        <f t="shared" si="86"/>
        <v>0</v>
      </c>
      <c r="JF28" s="525">
        <f t="shared" si="198"/>
        <v>0</v>
      </c>
      <c r="JG28" s="523"/>
      <c r="JH28" s="524">
        <f t="shared" si="87"/>
        <v>0</v>
      </c>
      <c r="JI28" s="525">
        <f t="shared" si="199"/>
        <v>0</v>
      </c>
      <c r="JJ28" s="523"/>
      <c r="JK28" s="525" t="str">
        <f t="shared" si="88"/>
        <v>0</v>
      </c>
      <c r="JL28" s="525" t="str">
        <f t="shared" si="89"/>
        <v>0</v>
      </c>
      <c r="JM28" s="523"/>
      <c r="JN28" s="525" t="str">
        <f t="shared" si="90"/>
        <v>0</v>
      </c>
      <c r="JO28" s="525" t="str">
        <f t="shared" si="91"/>
        <v>0</v>
      </c>
      <c r="JP28" s="523"/>
      <c r="JQ28" s="525" t="str">
        <f t="shared" si="92"/>
        <v>0</v>
      </c>
      <c r="JR28" s="525" t="str">
        <f t="shared" si="93"/>
        <v>0</v>
      </c>
      <c r="JS28" s="523"/>
      <c r="JT28" s="525" t="str">
        <f t="shared" si="94"/>
        <v>0</v>
      </c>
      <c r="JU28" s="525" t="str">
        <f t="shared" si="95"/>
        <v>0</v>
      </c>
      <c r="JV28" s="523"/>
      <c r="JW28" s="525" t="str">
        <f t="shared" si="96"/>
        <v>0</v>
      </c>
      <c r="JX28" s="525" t="str">
        <f t="shared" si="97"/>
        <v>0</v>
      </c>
      <c r="JY28" s="523"/>
      <c r="JZ28" s="525" t="str">
        <f t="shared" si="98"/>
        <v>0</v>
      </c>
      <c r="KA28" s="525" t="str">
        <f t="shared" si="99"/>
        <v>0</v>
      </c>
      <c r="KB28" s="523"/>
      <c r="KC28" s="525" t="str">
        <f t="shared" si="100"/>
        <v>0</v>
      </c>
      <c r="KD28" s="525" t="str">
        <f t="shared" si="101"/>
        <v>0</v>
      </c>
      <c r="KE28" s="523"/>
      <c r="KF28" s="525" t="str">
        <f t="shared" si="102"/>
        <v>0</v>
      </c>
      <c r="KG28" s="525" t="str">
        <f t="shared" si="103"/>
        <v>0</v>
      </c>
      <c r="KH28" s="523"/>
      <c r="KI28" s="525" t="str">
        <f t="shared" si="104"/>
        <v>0</v>
      </c>
      <c r="KJ28" s="525" t="str">
        <f t="shared" si="105"/>
        <v>0</v>
      </c>
      <c r="KK28" s="523"/>
      <c r="KL28" s="525" t="str">
        <f t="shared" si="106"/>
        <v>0</v>
      </c>
      <c r="KM28" s="525" t="str">
        <f t="shared" si="107"/>
        <v>0</v>
      </c>
      <c r="KN28" s="523"/>
      <c r="KO28" s="525" t="str">
        <f t="shared" si="108"/>
        <v>0</v>
      </c>
      <c r="KP28" s="525" t="str">
        <f t="shared" si="109"/>
        <v>0</v>
      </c>
      <c r="KQ28" s="523"/>
      <c r="KR28" s="525" t="str">
        <f t="shared" si="110"/>
        <v>0</v>
      </c>
      <c r="KS28" s="525" t="str">
        <f t="shared" si="111"/>
        <v>0</v>
      </c>
      <c r="KT28" s="525">
        <f t="shared" si="201"/>
        <v>0</v>
      </c>
      <c r="KU28" s="525">
        <f t="shared" si="202"/>
        <v>0</v>
      </c>
      <c r="KV28" s="261">
        <f t="shared" si="112"/>
        <v>266.17617469566596</v>
      </c>
    </row>
    <row r="29" spans="1:308">
      <c r="A29" s="262">
        <f t="shared" si="200"/>
        <v>45982</v>
      </c>
      <c r="B29" s="263" t="str">
        <f>+Report1!B29</f>
        <v>Facial</v>
      </c>
      <c r="C29" s="263" t="str">
        <f>+Report1!C29</f>
        <v>13/14/11</v>
      </c>
      <c r="D29" s="264">
        <f>+Report1!P29</f>
        <v>39.033999999999999</v>
      </c>
      <c r="E29" s="562">
        <f>+Report1!R29</f>
        <v>39.662999999999997</v>
      </c>
      <c r="F29" s="523"/>
      <c r="G29" s="524">
        <f t="shared" si="0"/>
        <v>0</v>
      </c>
      <c r="H29" s="525">
        <f t="shared" si="113"/>
        <v>0</v>
      </c>
      <c r="I29" s="523">
        <v>220.93023255813955</v>
      </c>
      <c r="J29" s="524">
        <f t="shared" si="1"/>
        <v>5.5701846193716955</v>
      </c>
      <c r="K29" s="525">
        <f t="shared" si="114"/>
        <v>0</v>
      </c>
      <c r="L29" s="523"/>
      <c r="M29" s="524">
        <f t="shared" si="2"/>
        <v>0</v>
      </c>
      <c r="N29" s="525">
        <f t="shared" si="115"/>
        <v>0</v>
      </c>
      <c r="O29" s="523">
        <v>3.0000000000000284</v>
      </c>
      <c r="P29" s="524">
        <f t="shared" si="3"/>
        <v>7.5637243778837418E-2</v>
      </c>
      <c r="Q29" s="525">
        <f t="shared" si="116"/>
        <v>0</v>
      </c>
      <c r="R29" s="523"/>
      <c r="S29" s="524">
        <f t="shared" si="4"/>
        <v>0</v>
      </c>
      <c r="T29" s="525">
        <f t="shared" si="117"/>
        <v>0</v>
      </c>
      <c r="U29" s="523">
        <v>2.5625</v>
      </c>
      <c r="V29" s="524">
        <f t="shared" si="5"/>
        <v>6.4606812394423022E-2</v>
      </c>
      <c r="W29" s="525">
        <f t="shared" si="118"/>
        <v>0</v>
      </c>
      <c r="X29" s="523"/>
      <c r="Y29" s="524">
        <f t="shared" si="6"/>
        <v>0</v>
      </c>
      <c r="Z29" s="525">
        <f t="shared" si="119"/>
        <v>0</v>
      </c>
      <c r="AA29" s="523"/>
      <c r="AB29" s="524">
        <f t="shared" si="7"/>
        <v>0</v>
      </c>
      <c r="AC29" s="525">
        <f t="shared" si="120"/>
        <v>0</v>
      </c>
      <c r="AD29" s="523"/>
      <c r="AE29" s="524">
        <f t="shared" si="8"/>
        <v>0</v>
      </c>
      <c r="AF29" s="525">
        <f t="shared" si="121"/>
        <v>0</v>
      </c>
      <c r="AG29" s="523"/>
      <c r="AH29" s="524">
        <f t="shared" si="9"/>
        <v>0</v>
      </c>
      <c r="AI29" s="525">
        <f t="shared" si="122"/>
        <v>0</v>
      </c>
      <c r="AJ29" s="523"/>
      <c r="AK29" s="524">
        <f t="shared" si="10"/>
        <v>0</v>
      </c>
      <c r="AL29" s="525">
        <f t="shared" si="123"/>
        <v>0</v>
      </c>
      <c r="AM29" s="523"/>
      <c r="AN29" s="524">
        <f t="shared" si="11"/>
        <v>0</v>
      </c>
      <c r="AO29" s="525">
        <f t="shared" si="124"/>
        <v>0</v>
      </c>
      <c r="AP29" s="523">
        <v>45.569620253164544</v>
      </c>
      <c r="AQ29" s="524">
        <f t="shared" si="12"/>
        <v>1.1489201586658737</v>
      </c>
      <c r="AR29" s="525">
        <f t="shared" si="125"/>
        <v>0</v>
      </c>
      <c r="AS29" s="523"/>
      <c r="AT29" s="524">
        <f t="shared" si="13"/>
        <v>0</v>
      </c>
      <c r="AU29" s="525">
        <f t="shared" si="126"/>
        <v>0</v>
      </c>
      <c r="AV29" s="523"/>
      <c r="AW29" s="524">
        <f t="shared" si="14"/>
        <v>0</v>
      </c>
      <c r="AX29" s="525">
        <f t="shared" si="127"/>
        <v>0</v>
      </c>
      <c r="AY29" s="523">
        <v>79.333333333333314</v>
      </c>
      <c r="AZ29" s="524">
        <f t="shared" si="15"/>
        <v>2.0001848910403481</v>
      </c>
      <c r="BA29" s="525">
        <f t="shared" si="128"/>
        <v>0</v>
      </c>
      <c r="BB29" s="523"/>
      <c r="BC29" s="524">
        <f t="shared" si="16"/>
        <v>0</v>
      </c>
      <c r="BD29" s="525">
        <f t="shared" si="129"/>
        <v>0</v>
      </c>
      <c r="BE29" s="523"/>
      <c r="BF29" s="524">
        <f t="shared" si="17"/>
        <v>0</v>
      </c>
      <c r="BG29" s="525">
        <f t="shared" si="130"/>
        <v>0</v>
      </c>
      <c r="BH29" s="523"/>
      <c r="BI29" s="524">
        <f t="shared" si="18"/>
        <v>0</v>
      </c>
      <c r="BJ29" s="525">
        <f t="shared" si="131"/>
        <v>0</v>
      </c>
      <c r="BK29" s="523"/>
      <c r="BL29" s="524">
        <f t="shared" si="19"/>
        <v>0</v>
      </c>
      <c r="BM29" s="525">
        <f t="shared" si="132"/>
        <v>0</v>
      </c>
      <c r="BN29" s="523"/>
      <c r="BO29" s="524">
        <f t="shared" si="20"/>
        <v>0</v>
      </c>
      <c r="BP29" s="525">
        <f t="shared" si="133"/>
        <v>0</v>
      </c>
      <c r="BQ29" s="523"/>
      <c r="BR29" s="524">
        <f t="shared" si="21"/>
        <v>0</v>
      </c>
      <c r="BS29" s="525">
        <f t="shared" si="134"/>
        <v>0</v>
      </c>
      <c r="BT29" s="523"/>
      <c r="BU29" s="524">
        <f t="shared" si="22"/>
        <v>0</v>
      </c>
      <c r="BV29" s="525">
        <f t="shared" si="135"/>
        <v>0</v>
      </c>
      <c r="BW29" s="523"/>
      <c r="BX29" s="524">
        <f t="shared" si="23"/>
        <v>0</v>
      </c>
      <c r="BY29" s="525">
        <f t="shared" si="136"/>
        <v>0</v>
      </c>
      <c r="BZ29" s="523"/>
      <c r="CA29" s="524">
        <f t="shared" si="24"/>
        <v>0</v>
      </c>
      <c r="CB29" s="525">
        <f t="shared" si="137"/>
        <v>0</v>
      </c>
      <c r="CC29" s="523"/>
      <c r="CD29" s="524">
        <f t="shared" si="25"/>
        <v>0</v>
      </c>
      <c r="CE29" s="525">
        <f t="shared" si="138"/>
        <v>0</v>
      </c>
      <c r="CF29" s="523">
        <v>0.30000000000000071</v>
      </c>
      <c r="CG29" s="524">
        <f t="shared" si="26"/>
        <v>7.5637243778836887E-3</v>
      </c>
      <c r="CH29" s="525">
        <f t="shared" si="139"/>
        <v>0</v>
      </c>
      <c r="CI29" s="523"/>
      <c r="CJ29" s="524">
        <f t="shared" si="27"/>
        <v>0</v>
      </c>
      <c r="CK29" s="525">
        <f t="shared" si="140"/>
        <v>0</v>
      </c>
      <c r="CL29" s="523"/>
      <c r="CM29" s="524">
        <f t="shared" si="28"/>
        <v>0</v>
      </c>
      <c r="CN29" s="525">
        <f t="shared" si="141"/>
        <v>0</v>
      </c>
      <c r="CO29" s="523"/>
      <c r="CP29" s="524">
        <f t="shared" si="29"/>
        <v>0</v>
      </c>
      <c r="CQ29" s="525">
        <f t="shared" si="142"/>
        <v>0</v>
      </c>
      <c r="CR29" s="523"/>
      <c r="CS29" s="524">
        <f t="shared" si="30"/>
        <v>0</v>
      </c>
      <c r="CT29" s="525">
        <f t="shared" si="143"/>
        <v>0</v>
      </c>
      <c r="CU29" s="523"/>
      <c r="CV29" s="524">
        <f t="shared" si="31"/>
        <v>0</v>
      </c>
      <c r="CW29" s="525">
        <f t="shared" si="144"/>
        <v>0</v>
      </c>
      <c r="CX29" s="523"/>
      <c r="CY29" s="524">
        <f t="shared" si="32"/>
        <v>0</v>
      </c>
      <c r="CZ29" s="525">
        <f t="shared" si="145"/>
        <v>0</v>
      </c>
      <c r="DA29" s="523"/>
      <c r="DB29" s="524">
        <f t="shared" si="33"/>
        <v>0</v>
      </c>
      <c r="DC29" s="525">
        <f t="shared" si="146"/>
        <v>0</v>
      </c>
      <c r="DD29" s="523"/>
      <c r="DE29" s="524">
        <f t="shared" si="34"/>
        <v>0</v>
      </c>
      <c r="DF29" s="525">
        <f t="shared" si="147"/>
        <v>0</v>
      </c>
      <c r="DG29" s="523"/>
      <c r="DH29" s="524">
        <f t="shared" si="35"/>
        <v>0</v>
      </c>
      <c r="DI29" s="525">
        <f t="shared" si="203"/>
        <v>0</v>
      </c>
      <c r="DJ29" s="523"/>
      <c r="DK29" s="524">
        <f t="shared" si="36"/>
        <v>0</v>
      </c>
      <c r="DL29" s="525">
        <f t="shared" si="148"/>
        <v>0</v>
      </c>
      <c r="DM29" s="523"/>
      <c r="DN29" s="524">
        <f t="shared" si="37"/>
        <v>0</v>
      </c>
      <c r="DO29" s="525">
        <f t="shared" si="149"/>
        <v>0</v>
      </c>
      <c r="DP29" s="523"/>
      <c r="DQ29" s="524">
        <f t="shared" si="38"/>
        <v>0</v>
      </c>
      <c r="DR29" s="525">
        <f t="shared" si="150"/>
        <v>0</v>
      </c>
      <c r="DS29" s="523"/>
      <c r="DT29" s="524">
        <f t="shared" si="39"/>
        <v>0</v>
      </c>
      <c r="DU29" s="525">
        <f t="shared" si="151"/>
        <v>0</v>
      </c>
      <c r="DV29" s="523"/>
      <c r="DW29" s="524">
        <f t="shared" si="40"/>
        <v>0</v>
      </c>
      <c r="DX29" s="525">
        <f t="shared" si="152"/>
        <v>0</v>
      </c>
      <c r="DY29" s="523"/>
      <c r="DZ29" s="524">
        <f t="shared" si="41"/>
        <v>0</v>
      </c>
      <c r="EA29" s="525">
        <f t="shared" si="153"/>
        <v>0</v>
      </c>
      <c r="EB29" s="523"/>
      <c r="EC29" s="524">
        <f t="shared" si="42"/>
        <v>0</v>
      </c>
      <c r="ED29" s="525">
        <f t="shared" si="154"/>
        <v>0</v>
      </c>
      <c r="EE29" s="523">
        <v>35.22352941176473</v>
      </c>
      <c r="EF29" s="524">
        <f t="shared" si="43"/>
        <v>0.88807022695622451</v>
      </c>
      <c r="EG29" s="525">
        <f t="shared" si="155"/>
        <v>0</v>
      </c>
      <c r="EH29" s="523"/>
      <c r="EI29" s="524">
        <f t="shared" si="44"/>
        <v>0</v>
      </c>
      <c r="EJ29" s="525">
        <f t="shared" si="156"/>
        <v>0</v>
      </c>
      <c r="EK29" s="523"/>
      <c r="EL29" s="524">
        <f t="shared" si="45"/>
        <v>0</v>
      </c>
      <c r="EM29" s="525">
        <f t="shared" si="157"/>
        <v>0</v>
      </c>
      <c r="EN29" s="523"/>
      <c r="EO29" s="524">
        <f t="shared" si="46"/>
        <v>0</v>
      </c>
      <c r="EP29" s="525">
        <f t="shared" si="158"/>
        <v>0</v>
      </c>
      <c r="EQ29" s="523"/>
      <c r="ER29" s="524">
        <f t="shared" si="47"/>
        <v>0</v>
      </c>
      <c r="ES29" s="525">
        <f t="shared" si="159"/>
        <v>0</v>
      </c>
      <c r="ET29" s="523"/>
      <c r="EU29" s="524">
        <f t="shared" si="48"/>
        <v>0</v>
      </c>
      <c r="EV29" s="525">
        <f t="shared" si="160"/>
        <v>0</v>
      </c>
      <c r="EW29" s="523"/>
      <c r="EX29" s="524">
        <f t="shared" si="49"/>
        <v>0</v>
      </c>
      <c r="EY29" s="525">
        <f t="shared" si="161"/>
        <v>0</v>
      </c>
      <c r="EZ29" s="523"/>
      <c r="FA29" s="524">
        <f t="shared" si="50"/>
        <v>0</v>
      </c>
      <c r="FB29" s="525">
        <f t="shared" si="162"/>
        <v>0</v>
      </c>
      <c r="FC29" s="523"/>
      <c r="FD29" s="524">
        <f t="shared" si="51"/>
        <v>0</v>
      </c>
      <c r="FE29" s="525">
        <f t="shared" si="163"/>
        <v>0</v>
      </c>
      <c r="FF29" s="523"/>
      <c r="FG29" s="524">
        <f t="shared" si="52"/>
        <v>0</v>
      </c>
      <c r="FH29" s="525">
        <f t="shared" si="164"/>
        <v>0</v>
      </c>
      <c r="FI29" s="523"/>
      <c r="FJ29" s="524">
        <f t="shared" si="53"/>
        <v>0</v>
      </c>
      <c r="FK29" s="525">
        <f t="shared" si="165"/>
        <v>0</v>
      </c>
      <c r="FL29" s="523"/>
      <c r="FM29" s="524">
        <f t="shared" si="54"/>
        <v>0</v>
      </c>
      <c r="FN29" s="525">
        <f t="shared" si="166"/>
        <v>0</v>
      </c>
      <c r="FO29" s="523"/>
      <c r="FP29" s="524">
        <f t="shared" si="55"/>
        <v>0</v>
      </c>
      <c r="FQ29" s="525">
        <f t="shared" si="167"/>
        <v>0</v>
      </c>
      <c r="FR29" s="523"/>
      <c r="FS29" s="524">
        <f t="shared" si="56"/>
        <v>0</v>
      </c>
      <c r="FT29" s="525">
        <f t="shared" si="168"/>
        <v>0</v>
      </c>
      <c r="FU29" s="523"/>
      <c r="FV29" s="524">
        <f t="shared" si="57"/>
        <v>0</v>
      </c>
      <c r="FW29" s="525">
        <f t="shared" si="169"/>
        <v>0</v>
      </c>
      <c r="FX29" s="523"/>
      <c r="FY29" s="524">
        <f t="shared" si="58"/>
        <v>0</v>
      </c>
      <c r="FZ29" s="525">
        <f t="shared" si="170"/>
        <v>0</v>
      </c>
      <c r="GA29" s="523"/>
      <c r="GB29" s="524">
        <f t="shared" si="59"/>
        <v>0</v>
      </c>
      <c r="GC29" s="525">
        <f t="shared" si="171"/>
        <v>0</v>
      </c>
      <c r="GD29" s="523"/>
      <c r="GE29" s="524">
        <f t="shared" si="60"/>
        <v>0</v>
      </c>
      <c r="GF29" s="525">
        <f t="shared" si="172"/>
        <v>0</v>
      </c>
      <c r="GG29" s="523"/>
      <c r="GH29" s="524">
        <f t="shared" si="61"/>
        <v>0</v>
      </c>
      <c r="GI29" s="525">
        <f t="shared" si="173"/>
        <v>0</v>
      </c>
      <c r="GJ29" s="523"/>
      <c r="GK29" s="524">
        <f t="shared" si="62"/>
        <v>0</v>
      </c>
      <c r="GL29" s="525">
        <f t="shared" si="174"/>
        <v>0</v>
      </c>
      <c r="GM29" s="523"/>
      <c r="GN29" s="524">
        <f t="shared" si="63"/>
        <v>0</v>
      </c>
      <c r="GO29" s="525">
        <f t="shared" si="175"/>
        <v>0</v>
      </c>
      <c r="GP29" s="523"/>
      <c r="GQ29" s="524">
        <f t="shared" si="64"/>
        <v>0</v>
      </c>
      <c r="GR29" s="525">
        <f t="shared" si="176"/>
        <v>0</v>
      </c>
      <c r="GS29" s="523"/>
      <c r="GT29" s="524">
        <f t="shared" si="65"/>
        <v>0</v>
      </c>
      <c r="GU29" s="525">
        <f t="shared" si="177"/>
        <v>0</v>
      </c>
      <c r="GV29" s="523"/>
      <c r="GW29" s="524">
        <f t="shared" si="66"/>
        <v>0</v>
      </c>
      <c r="GX29" s="525">
        <f t="shared" si="178"/>
        <v>0</v>
      </c>
      <c r="GY29" s="523"/>
      <c r="GZ29" s="524">
        <f t="shared" si="67"/>
        <v>0</v>
      </c>
      <c r="HA29" s="525">
        <f t="shared" si="179"/>
        <v>0</v>
      </c>
      <c r="HB29" s="523"/>
      <c r="HC29" s="524">
        <f t="shared" si="68"/>
        <v>0</v>
      </c>
      <c r="HD29" s="525">
        <f t="shared" si="180"/>
        <v>0</v>
      </c>
      <c r="HE29" s="523"/>
      <c r="HF29" s="524">
        <f t="shared" si="69"/>
        <v>0</v>
      </c>
      <c r="HG29" s="525">
        <f t="shared" si="181"/>
        <v>0</v>
      </c>
      <c r="HH29" s="523"/>
      <c r="HI29" s="524">
        <f t="shared" si="70"/>
        <v>0</v>
      </c>
      <c r="HJ29" s="525">
        <f t="shared" si="182"/>
        <v>0</v>
      </c>
      <c r="HK29" s="523"/>
      <c r="HL29" s="524">
        <f t="shared" si="71"/>
        <v>0</v>
      </c>
      <c r="HM29" s="525">
        <f t="shared" si="183"/>
        <v>0</v>
      </c>
      <c r="HN29" s="523"/>
      <c r="HO29" s="524">
        <f t="shared" si="72"/>
        <v>0</v>
      </c>
      <c r="HP29" s="525">
        <f t="shared" si="184"/>
        <v>0</v>
      </c>
      <c r="HQ29" s="523"/>
      <c r="HR29" s="524">
        <f t="shared" si="73"/>
        <v>0</v>
      </c>
      <c r="HS29" s="525">
        <f t="shared" si="185"/>
        <v>0</v>
      </c>
      <c r="HT29" s="523"/>
      <c r="HU29" s="524">
        <f t="shared" si="74"/>
        <v>0</v>
      </c>
      <c r="HV29" s="525">
        <f t="shared" si="186"/>
        <v>0</v>
      </c>
      <c r="HW29" s="523"/>
      <c r="HX29" s="524">
        <f t="shared" si="75"/>
        <v>0</v>
      </c>
      <c r="HY29" s="525">
        <f t="shared" si="187"/>
        <v>0</v>
      </c>
      <c r="HZ29" s="523"/>
      <c r="IA29" s="524">
        <f t="shared" si="76"/>
        <v>0</v>
      </c>
      <c r="IB29" s="525">
        <f t="shared" si="188"/>
        <v>0</v>
      </c>
      <c r="IC29" s="523"/>
      <c r="ID29" s="524">
        <f t="shared" si="77"/>
        <v>0</v>
      </c>
      <c r="IE29" s="525">
        <f t="shared" si="189"/>
        <v>0</v>
      </c>
      <c r="IF29" s="523"/>
      <c r="IG29" s="524">
        <f t="shared" si="78"/>
        <v>0</v>
      </c>
      <c r="IH29" s="525">
        <f t="shared" si="190"/>
        <v>0</v>
      </c>
      <c r="II29" s="523"/>
      <c r="IJ29" s="524">
        <f t="shared" si="79"/>
        <v>0</v>
      </c>
      <c r="IK29" s="525">
        <f t="shared" si="191"/>
        <v>0</v>
      </c>
      <c r="IL29" s="523"/>
      <c r="IM29" s="524">
        <f t="shared" si="80"/>
        <v>0</v>
      </c>
      <c r="IN29" s="525">
        <f t="shared" si="192"/>
        <v>0</v>
      </c>
      <c r="IO29" s="523"/>
      <c r="IP29" s="524">
        <f t="shared" si="81"/>
        <v>0</v>
      </c>
      <c r="IQ29" s="525">
        <f t="shared" si="193"/>
        <v>0</v>
      </c>
      <c r="IR29" s="523"/>
      <c r="IS29" s="524">
        <f t="shared" si="82"/>
        <v>0</v>
      </c>
      <c r="IT29" s="525">
        <f t="shared" si="194"/>
        <v>0</v>
      </c>
      <c r="IU29" s="523"/>
      <c r="IV29" s="524">
        <f t="shared" si="83"/>
        <v>0</v>
      </c>
      <c r="IW29" s="525">
        <f t="shared" si="195"/>
        <v>0</v>
      </c>
      <c r="IX29" s="523"/>
      <c r="IY29" s="524">
        <f t="shared" si="84"/>
        <v>0</v>
      </c>
      <c r="IZ29" s="525">
        <f t="shared" si="196"/>
        <v>0</v>
      </c>
      <c r="JA29" s="523"/>
      <c r="JB29" s="524">
        <f t="shared" si="85"/>
        <v>0</v>
      </c>
      <c r="JC29" s="525">
        <f t="shared" si="197"/>
        <v>0</v>
      </c>
      <c r="JD29" s="523"/>
      <c r="JE29" s="524">
        <f t="shared" si="86"/>
        <v>0</v>
      </c>
      <c r="JF29" s="525">
        <f t="shared" si="198"/>
        <v>0</v>
      </c>
      <c r="JG29" s="523"/>
      <c r="JH29" s="524">
        <f t="shared" si="87"/>
        <v>0</v>
      </c>
      <c r="JI29" s="525">
        <f t="shared" si="199"/>
        <v>0</v>
      </c>
      <c r="JJ29" s="523"/>
      <c r="JK29" s="525" t="str">
        <f t="shared" si="88"/>
        <v>0</v>
      </c>
      <c r="JL29" s="525" t="str">
        <f t="shared" si="89"/>
        <v>0</v>
      </c>
      <c r="JM29" s="523"/>
      <c r="JN29" s="525" t="str">
        <f t="shared" si="90"/>
        <v>0</v>
      </c>
      <c r="JO29" s="525" t="str">
        <f t="shared" si="91"/>
        <v>0</v>
      </c>
      <c r="JP29" s="523"/>
      <c r="JQ29" s="525" t="str">
        <f t="shared" si="92"/>
        <v>0</v>
      </c>
      <c r="JR29" s="525" t="str">
        <f t="shared" si="93"/>
        <v>0</v>
      </c>
      <c r="JS29" s="523"/>
      <c r="JT29" s="525" t="str">
        <f t="shared" si="94"/>
        <v>0</v>
      </c>
      <c r="JU29" s="525" t="str">
        <f t="shared" si="95"/>
        <v>0</v>
      </c>
      <c r="JV29" s="523"/>
      <c r="JW29" s="525" t="str">
        <f t="shared" si="96"/>
        <v>0</v>
      </c>
      <c r="JX29" s="525" t="str">
        <f t="shared" si="97"/>
        <v>0</v>
      </c>
      <c r="JY29" s="523"/>
      <c r="JZ29" s="525" t="str">
        <f t="shared" si="98"/>
        <v>0</v>
      </c>
      <c r="KA29" s="525" t="str">
        <f t="shared" si="99"/>
        <v>0</v>
      </c>
      <c r="KB29" s="523"/>
      <c r="KC29" s="525" t="str">
        <f t="shared" si="100"/>
        <v>0</v>
      </c>
      <c r="KD29" s="525" t="str">
        <f t="shared" si="101"/>
        <v>0</v>
      </c>
      <c r="KE29" s="523"/>
      <c r="KF29" s="525" t="str">
        <f t="shared" si="102"/>
        <v>0</v>
      </c>
      <c r="KG29" s="525" t="str">
        <f t="shared" si="103"/>
        <v>0</v>
      </c>
      <c r="KH29" s="523"/>
      <c r="KI29" s="525" t="str">
        <f t="shared" si="104"/>
        <v>0</v>
      </c>
      <c r="KJ29" s="525" t="str">
        <f t="shared" si="105"/>
        <v>0</v>
      </c>
      <c r="KK29" s="523"/>
      <c r="KL29" s="525" t="str">
        <f t="shared" si="106"/>
        <v>0</v>
      </c>
      <c r="KM29" s="525" t="str">
        <f t="shared" si="107"/>
        <v>0</v>
      </c>
      <c r="KN29" s="523"/>
      <c r="KO29" s="525" t="str">
        <f t="shared" si="108"/>
        <v>0</v>
      </c>
      <c r="KP29" s="525" t="str">
        <f t="shared" si="109"/>
        <v>0</v>
      </c>
      <c r="KQ29" s="523"/>
      <c r="KR29" s="525" t="str">
        <f t="shared" si="110"/>
        <v>0</v>
      </c>
      <c r="KS29" s="525" t="str">
        <f t="shared" si="111"/>
        <v>0</v>
      </c>
      <c r="KT29" s="525">
        <f t="shared" si="201"/>
        <v>0</v>
      </c>
      <c r="KU29" s="525">
        <f t="shared" si="202"/>
        <v>0</v>
      </c>
      <c r="KV29" s="261">
        <f t="shared" si="112"/>
        <v>386.91921555640215</v>
      </c>
    </row>
    <row r="30" spans="1:308">
      <c r="A30" s="262">
        <f t="shared" si="200"/>
        <v>45983</v>
      </c>
      <c r="B30" s="263" t="str">
        <f>+Report1!B30</f>
        <v>Facial</v>
      </c>
      <c r="C30" s="263" t="str">
        <f>+Report1!C30</f>
        <v>11/13</v>
      </c>
      <c r="D30" s="264">
        <f>+Report1!P30</f>
        <v>36.606999999999999</v>
      </c>
      <c r="E30" s="562">
        <f>+Report1!R30</f>
        <v>34.344999999999999</v>
      </c>
      <c r="F30" s="523"/>
      <c r="G30" s="524">
        <f t="shared" si="0"/>
        <v>0</v>
      </c>
      <c r="H30" s="525">
        <f t="shared" si="113"/>
        <v>0</v>
      </c>
      <c r="I30" s="523">
        <v>163.5452790697675</v>
      </c>
      <c r="J30" s="524">
        <f t="shared" si="1"/>
        <v>4.761836630361552</v>
      </c>
      <c r="K30" s="525">
        <f t="shared" si="114"/>
        <v>0</v>
      </c>
      <c r="L30" s="523"/>
      <c r="M30" s="524">
        <f t="shared" si="2"/>
        <v>0</v>
      </c>
      <c r="N30" s="525">
        <f t="shared" si="115"/>
        <v>0</v>
      </c>
      <c r="O30" s="523">
        <v>1.4555999999999756</v>
      </c>
      <c r="P30" s="524">
        <f t="shared" si="3"/>
        <v>4.2381714951229457E-2</v>
      </c>
      <c r="Q30" s="525">
        <f t="shared" si="116"/>
        <v>0</v>
      </c>
      <c r="R30" s="523"/>
      <c r="S30" s="524">
        <f t="shared" si="4"/>
        <v>0</v>
      </c>
      <c r="T30" s="525">
        <f t="shared" si="117"/>
        <v>0</v>
      </c>
      <c r="U30" s="523">
        <v>1.2416000000000054</v>
      </c>
      <c r="V30" s="524">
        <f t="shared" si="5"/>
        <v>3.61508225360316E-2</v>
      </c>
      <c r="W30" s="525">
        <f t="shared" si="118"/>
        <v>0</v>
      </c>
      <c r="X30" s="523"/>
      <c r="Y30" s="524">
        <f t="shared" si="6"/>
        <v>0</v>
      </c>
      <c r="Z30" s="525">
        <f t="shared" si="119"/>
        <v>0</v>
      </c>
      <c r="AA30" s="523"/>
      <c r="AB30" s="524">
        <f t="shared" si="7"/>
        <v>0</v>
      </c>
      <c r="AC30" s="525">
        <f t="shared" si="120"/>
        <v>0</v>
      </c>
      <c r="AD30" s="523"/>
      <c r="AE30" s="524">
        <f t="shared" si="8"/>
        <v>0</v>
      </c>
      <c r="AF30" s="525">
        <f t="shared" si="121"/>
        <v>0</v>
      </c>
      <c r="AG30" s="523"/>
      <c r="AH30" s="524">
        <f t="shared" si="9"/>
        <v>0</v>
      </c>
      <c r="AI30" s="525">
        <f t="shared" si="122"/>
        <v>0</v>
      </c>
      <c r="AJ30" s="523"/>
      <c r="AK30" s="524">
        <f t="shared" si="10"/>
        <v>0</v>
      </c>
      <c r="AL30" s="525">
        <f t="shared" si="123"/>
        <v>0</v>
      </c>
      <c r="AM30" s="523"/>
      <c r="AN30" s="524">
        <f t="shared" si="11"/>
        <v>0</v>
      </c>
      <c r="AO30" s="525">
        <f t="shared" si="124"/>
        <v>0</v>
      </c>
      <c r="AP30" s="523">
        <v>49.723299999999995</v>
      </c>
      <c r="AQ30" s="524">
        <f t="shared" si="12"/>
        <v>1.447759499199301</v>
      </c>
      <c r="AR30" s="525">
        <f t="shared" si="125"/>
        <v>0</v>
      </c>
      <c r="AS30" s="523"/>
      <c r="AT30" s="524">
        <f t="shared" si="13"/>
        <v>0</v>
      </c>
      <c r="AU30" s="525">
        <f t="shared" si="126"/>
        <v>0</v>
      </c>
      <c r="AV30" s="523"/>
      <c r="AW30" s="524">
        <f t="shared" si="14"/>
        <v>0</v>
      </c>
      <c r="AX30" s="525">
        <f t="shared" si="127"/>
        <v>0</v>
      </c>
      <c r="AY30" s="523">
        <v>47.528133333333301</v>
      </c>
      <c r="AZ30" s="524">
        <f t="shared" si="15"/>
        <v>1.3838443247440182</v>
      </c>
      <c r="BA30" s="525">
        <f t="shared" si="128"/>
        <v>0</v>
      </c>
      <c r="BB30" s="523"/>
      <c r="BC30" s="524">
        <f t="shared" si="16"/>
        <v>0</v>
      </c>
      <c r="BD30" s="525">
        <f t="shared" si="129"/>
        <v>0</v>
      </c>
      <c r="BE30" s="523"/>
      <c r="BF30" s="524">
        <f t="shared" si="17"/>
        <v>0</v>
      </c>
      <c r="BG30" s="525">
        <f t="shared" si="130"/>
        <v>0</v>
      </c>
      <c r="BH30" s="523"/>
      <c r="BI30" s="524">
        <f t="shared" si="18"/>
        <v>0</v>
      </c>
      <c r="BJ30" s="525">
        <f t="shared" si="131"/>
        <v>0</v>
      </c>
      <c r="BK30" s="523"/>
      <c r="BL30" s="524">
        <f t="shared" si="19"/>
        <v>0</v>
      </c>
      <c r="BM30" s="525">
        <f t="shared" si="132"/>
        <v>0</v>
      </c>
      <c r="BN30" s="523"/>
      <c r="BO30" s="524">
        <f t="shared" si="20"/>
        <v>0</v>
      </c>
      <c r="BP30" s="525">
        <f t="shared" si="133"/>
        <v>0</v>
      </c>
      <c r="BQ30" s="523"/>
      <c r="BR30" s="524">
        <f t="shared" si="21"/>
        <v>0</v>
      </c>
      <c r="BS30" s="525">
        <f t="shared" si="134"/>
        <v>0</v>
      </c>
      <c r="BT30" s="523"/>
      <c r="BU30" s="524">
        <f t="shared" si="22"/>
        <v>0</v>
      </c>
      <c r="BV30" s="525">
        <f t="shared" si="135"/>
        <v>0</v>
      </c>
      <c r="BW30" s="523"/>
      <c r="BX30" s="524">
        <f t="shared" si="23"/>
        <v>0</v>
      </c>
      <c r="BY30" s="525">
        <f t="shared" si="136"/>
        <v>0</v>
      </c>
      <c r="BZ30" s="523"/>
      <c r="CA30" s="524">
        <f t="shared" si="24"/>
        <v>0</v>
      </c>
      <c r="CB30" s="525">
        <f t="shared" si="137"/>
        <v>0</v>
      </c>
      <c r="CC30" s="523"/>
      <c r="CD30" s="524">
        <f t="shared" si="25"/>
        <v>0</v>
      </c>
      <c r="CE30" s="525">
        <f t="shared" si="138"/>
        <v>0</v>
      </c>
      <c r="CF30" s="523">
        <v>0.30000000000000071</v>
      </c>
      <c r="CG30" s="524">
        <f t="shared" si="26"/>
        <v>8.7348959091571032E-3</v>
      </c>
      <c r="CH30" s="525">
        <f t="shared" si="139"/>
        <v>0</v>
      </c>
      <c r="CI30" s="523"/>
      <c r="CJ30" s="524">
        <f t="shared" si="27"/>
        <v>0</v>
      </c>
      <c r="CK30" s="525">
        <f t="shared" si="140"/>
        <v>0</v>
      </c>
      <c r="CL30" s="523"/>
      <c r="CM30" s="524">
        <f t="shared" si="28"/>
        <v>0</v>
      </c>
      <c r="CN30" s="525">
        <f t="shared" si="141"/>
        <v>0</v>
      </c>
      <c r="CO30" s="523"/>
      <c r="CP30" s="524">
        <f t="shared" si="29"/>
        <v>0</v>
      </c>
      <c r="CQ30" s="525">
        <f t="shared" si="142"/>
        <v>0</v>
      </c>
      <c r="CR30" s="523"/>
      <c r="CS30" s="524">
        <f t="shared" si="30"/>
        <v>0</v>
      </c>
      <c r="CT30" s="525">
        <f t="shared" si="143"/>
        <v>0</v>
      </c>
      <c r="CU30" s="523"/>
      <c r="CV30" s="524">
        <f t="shared" si="31"/>
        <v>0</v>
      </c>
      <c r="CW30" s="525">
        <f t="shared" si="144"/>
        <v>0</v>
      </c>
      <c r="CX30" s="523"/>
      <c r="CY30" s="524">
        <f t="shared" si="32"/>
        <v>0</v>
      </c>
      <c r="CZ30" s="525">
        <f t="shared" si="145"/>
        <v>0</v>
      </c>
      <c r="DA30" s="523">
        <v>14.098790697674531</v>
      </c>
      <c r="DB30" s="524">
        <f t="shared" si="33"/>
        <v>0.41050489729726397</v>
      </c>
      <c r="DC30" s="525">
        <f t="shared" si="146"/>
        <v>0</v>
      </c>
      <c r="DD30" s="523"/>
      <c r="DE30" s="524">
        <f t="shared" si="34"/>
        <v>0</v>
      </c>
      <c r="DF30" s="525">
        <f t="shared" si="147"/>
        <v>0</v>
      </c>
      <c r="DG30" s="523"/>
      <c r="DH30" s="524">
        <f t="shared" si="35"/>
        <v>0</v>
      </c>
      <c r="DI30" s="525">
        <f t="shared" si="203"/>
        <v>0</v>
      </c>
      <c r="DJ30" s="523"/>
      <c r="DK30" s="524">
        <f t="shared" si="36"/>
        <v>0</v>
      </c>
      <c r="DL30" s="525">
        <f t="shared" si="148"/>
        <v>0</v>
      </c>
      <c r="DM30" s="523"/>
      <c r="DN30" s="524">
        <f t="shared" si="37"/>
        <v>0</v>
      </c>
      <c r="DO30" s="525">
        <f t="shared" si="149"/>
        <v>0</v>
      </c>
      <c r="DP30" s="523"/>
      <c r="DQ30" s="524">
        <f t="shared" si="38"/>
        <v>0</v>
      </c>
      <c r="DR30" s="525">
        <f t="shared" si="150"/>
        <v>0</v>
      </c>
      <c r="DS30" s="523"/>
      <c r="DT30" s="524">
        <f t="shared" si="39"/>
        <v>0</v>
      </c>
      <c r="DU30" s="525">
        <f t="shared" si="151"/>
        <v>0</v>
      </c>
      <c r="DV30" s="523"/>
      <c r="DW30" s="524">
        <f t="shared" si="40"/>
        <v>0</v>
      </c>
      <c r="DX30" s="525">
        <f t="shared" si="152"/>
        <v>0</v>
      </c>
      <c r="DY30" s="523"/>
      <c r="DZ30" s="524">
        <f t="shared" si="41"/>
        <v>0</v>
      </c>
      <c r="EA30" s="525">
        <f t="shared" si="153"/>
        <v>0</v>
      </c>
      <c r="EB30" s="523"/>
      <c r="EC30" s="524">
        <f t="shared" si="42"/>
        <v>0</v>
      </c>
      <c r="ED30" s="525">
        <f t="shared" si="154"/>
        <v>0</v>
      </c>
      <c r="EE30" s="523">
        <v>39.855882352940966</v>
      </c>
      <c r="EF30" s="524">
        <f t="shared" si="43"/>
        <v>1.1604566124018334</v>
      </c>
      <c r="EG30" s="525">
        <f t="shared" si="155"/>
        <v>0</v>
      </c>
      <c r="EH30" s="523"/>
      <c r="EI30" s="524">
        <f t="shared" si="44"/>
        <v>0</v>
      </c>
      <c r="EJ30" s="525">
        <f t="shared" si="156"/>
        <v>0</v>
      </c>
      <c r="EK30" s="523"/>
      <c r="EL30" s="524">
        <f t="shared" si="45"/>
        <v>0</v>
      </c>
      <c r="EM30" s="525">
        <f t="shared" si="157"/>
        <v>0</v>
      </c>
      <c r="EN30" s="523"/>
      <c r="EO30" s="524">
        <f t="shared" si="46"/>
        <v>0</v>
      </c>
      <c r="EP30" s="525">
        <f t="shared" si="158"/>
        <v>0</v>
      </c>
      <c r="EQ30" s="523"/>
      <c r="ER30" s="524">
        <f t="shared" si="47"/>
        <v>0</v>
      </c>
      <c r="ES30" s="525">
        <f t="shared" si="159"/>
        <v>0</v>
      </c>
      <c r="ET30" s="523"/>
      <c r="EU30" s="524">
        <f t="shared" si="48"/>
        <v>0</v>
      </c>
      <c r="EV30" s="525">
        <f t="shared" si="160"/>
        <v>0</v>
      </c>
      <c r="EW30" s="523"/>
      <c r="EX30" s="524">
        <f t="shared" si="49"/>
        <v>0</v>
      </c>
      <c r="EY30" s="525">
        <f t="shared" si="161"/>
        <v>0</v>
      </c>
      <c r="EZ30" s="523"/>
      <c r="FA30" s="524">
        <f t="shared" si="50"/>
        <v>0</v>
      </c>
      <c r="FB30" s="525">
        <f t="shared" si="162"/>
        <v>0</v>
      </c>
      <c r="FC30" s="523"/>
      <c r="FD30" s="524">
        <f t="shared" si="51"/>
        <v>0</v>
      </c>
      <c r="FE30" s="525">
        <f t="shared" si="163"/>
        <v>0</v>
      </c>
      <c r="FF30" s="523"/>
      <c r="FG30" s="524">
        <f t="shared" si="52"/>
        <v>0</v>
      </c>
      <c r="FH30" s="525">
        <f t="shared" si="164"/>
        <v>0</v>
      </c>
      <c r="FI30" s="523"/>
      <c r="FJ30" s="524">
        <f t="shared" si="53"/>
        <v>0</v>
      </c>
      <c r="FK30" s="525">
        <f t="shared" si="165"/>
        <v>0</v>
      </c>
      <c r="FL30" s="523"/>
      <c r="FM30" s="524">
        <f t="shared" si="54"/>
        <v>0</v>
      </c>
      <c r="FN30" s="525">
        <f t="shared" si="166"/>
        <v>0</v>
      </c>
      <c r="FO30" s="523"/>
      <c r="FP30" s="524">
        <f t="shared" si="55"/>
        <v>0</v>
      </c>
      <c r="FQ30" s="525">
        <f t="shared" si="167"/>
        <v>0</v>
      </c>
      <c r="FR30" s="523"/>
      <c r="FS30" s="524">
        <f t="shared" si="56"/>
        <v>0</v>
      </c>
      <c r="FT30" s="525">
        <f t="shared" si="168"/>
        <v>0</v>
      </c>
      <c r="FU30" s="523"/>
      <c r="FV30" s="524">
        <f t="shared" si="57"/>
        <v>0</v>
      </c>
      <c r="FW30" s="525">
        <f t="shared" si="169"/>
        <v>0</v>
      </c>
      <c r="FX30" s="523"/>
      <c r="FY30" s="524">
        <f t="shared" si="58"/>
        <v>0</v>
      </c>
      <c r="FZ30" s="525">
        <f t="shared" si="170"/>
        <v>0</v>
      </c>
      <c r="GA30" s="523"/>
      <c r="GB30" s="524">
        <f t="shared" si="59"/>
        <v>0</v>
      </c>
      <c r="GC30" s="525">
        <f t="shared" si="171"/>
        <v>0</v>
      </c>
      <c r="GD30" s="523"/>
      <c r="GE30" s="524">
        <f t="shared" si="60"/>
        <v>0</v>
      </c>
      <c r="GF30" s="525">
        <f t="shared" si="172"/>
        <v>0</v>
      </c>
      <c r="GG30" s="523"/>
      <c r="GH30" s="524">
        <f t="shared" si="61"/>
        <v>0</v>
      </c>
      <c r="GI30" s="525">
        <f t="shared" si="173"/>
        <v>0</v>
      </c>
      <c r="GJ30" s="523"/>
      <c r="GK30" s="524">
        <f t="shared" si="62"/>
        <v>0</v>
      </c>
      <c r="GL30" s="525">
        <f t="shared" si="174"/>
        <v>0</v>
      </c>
      <c r="GM30" s="523"/>
      <c r="GN30" s="524">
        <f t="shared" si="63"/>
        <v>0</v>
      </c>
      <c r="GO30" s="525">
        <f t="shared" si="175"/>
        <v>0</v>
      </c>
      <c r="GP30" s="523"/>
      <c r="GQ30" s="524">
        <f t="shared" si="64"/>
        <v>0</v>
      </c>
      <c r="GR30" s="525">
        <f t="shared" si="176"/>
        <v>0</v>
      </c>
      <c r="GS30" s="523"/>
      <c r="GT30" s="524">
        <f t="shared" si="65"/>
        <v>0</v>
      </c>
      <c r="GU30" s="525">
        <f t="shared" si="177"/>
        <v>0</v>
      </c>
      <c r="GV30" s="523"/>
      <c r="GW30" s="524">
        <f t="shared" si="66"/>
        <v>0</v>
      </c>
      <c r="GX30" s="525">
        <f t="shared" si="178"/>
        <v>0</v>
      </c>
      <c r="GY30" s="523"/>
      <c r="GZ30" s="524">
        <f t="shared" si="67"/>
        <v>0</v>
      </c>
      <c r="HA30" s="525">
        <f t="shared" si="179"/>
        <v>0</v>
      </c>
      <c r="HB30" s="523"/>
      <c r="HC30" s="524">
        <f t="shared" si="68"/>
        <v>0</v>
      </c>
      <c r="HD30" s="525">
        <f t="shared" si="180"/>
        <v>0</v>
      </c>
      <c r="HE30" s="523"/>
      <c r="HF30" s="524">
        <f t="shared" si="69"/>
        <v>0</v>
      </c>
      <c r="HG30" s="525">
        <f t="shared" si="181"/>
        <v>0</v>
      </c>
      <c r="HH30" s="523"/>
      <c r="HI30" s="524">
        <f t="shared" si="70"/>
        <v>0</v>
      </c>
      <c r="HJ30" s="525">
        <f t="shared" si="182"/>
        <v>0</v>
      </c>
      <c r="HK30" s="523"/>
      <c r="HL30" s="524">
        <f t="shared" si="71"/>
        <v>0</v>
      </c>
      <c r="HM30" s="525">
        <f t="shared" si="183"/>
        <v>0</v>
      </c>
      <c r="HN30" s="523"/>
      <c r="HO30" s="524">
        <f t="shared" si="72"/>
        <v>0</v>
      </c>
      <c r="HP30" s="525">
        <f t="shared" si="184"/>
        <v>0</v>
      </c>
      <c r="HQ30" s="523"/>
      <c r="HR30" s="524">
        <f t="shared" si="73"/>
        <v>0</v>
      </c>
      <c r="HS30" s="525">
        <f t="shared" si="185"/>
        <v>0</v>
      </c>
      <c r="HT30" s="523"/>
      <c r="HU30" s="524">
        <f t="shared" si="74"/>
        <v>0</v>
      </c>
      <c r="HV30" s="525">
        <f t="shared" si="186"/>
        <v>0</v>
      </c>
      <c r="HW30" s="523"/>
      <c r="HX30" s="524">
        <f t="shared" si="75"/>
        <v>0</v>
      </c>
      <c r="HY30" s="525">
        <f t="shared" si="187"/>
        <v>0</v>
      </c>
      <c r="HZ30" s="523"/>
      <c r="IA30" s="524">
        <f t="shared" si="76"/>
        <v>0</v>
      </c>
      <c r="IB30" s="525">
        <f t="shared" si="188"/>
        <v>0</v>
      </c>
      <c r="IC30" s="523"/>
      <c r="ID30" s="524">
        <f t="shared" si="77"/>
        <v>0</v>
      </c>
      <c r="IE30" s="525">
        <f t="shared" si="189"/>
        <v>0</v>
      </c>
      <c r="IF30" s="523"/>
      <c r="IG30" s="524">
        <f t="shared" si="78"/>
        <v>0</v>
      </c>
      <c r="IH30" s="525">
        <f t="shared" si="190"/>
        <v>0</v>
      </c>
      <c r="II30" s="523"/>
      <c r="IJ30" s="524">
        <f t="shared" si="79"/>
        <v>0</v>
      </c>
      <c r="IK30" s="525">
        <f t="shared" si="191"/>
        <v>0</v>
      </c>
      <c r="IL30" s="523"/>
      <c r="IM30" s="524">
        <f t="shared" si="80"/>
        <v>0</v>
      </c>
      <c r="IN30" s="525">
        <f t="shared" si="192"/>
        <v>0</v>
      </c>
      <c r="IO30" s="523"/>
      <c r="IP30" s="524">
        <f t="shared" si="81"/>
        <v>0</v>
      </c>
      <c r="IQ30" s="525">
        <f t="shared" si="193"/>
        <v>0</v>
      </c>
      <c r="IR30" s="523"/>
      <c r="IS30" s="524">
        <f t="shared" si="82"/>
        <v>0</v>
      </c>
      <c r="IT30" s="525">
        <f t="shared" si="194"/>
        <v>0</v>
      </c>
      <c r="IU30" s="523"/>
      <c r="IV30" s="524">
        <f t="shared" si="83"/>
        <v>0</v>
      </c>
      <c r="IW30" s="525">
        <f t="shared" si="195"/>
        <v>0</v>
      </c>
      <c r="IX30" s="523"/>
      <c r="IY30" s="524">
        <f t="shared" si="84"/>
        <v>0</v>
      </c>
      <c r="IZ30" s="525">
        <f t="shared" si="196"/>
        <v>0</v>
      </c>
      <c r="JA30" s="523"/>
      <c r="JB30" s="524">
        <f t="shared" si="85"/>
        <v>0</v>
      </c>
      <c r="JC30" s="525">
        <f t="shared" si="197"/>
        <v>0</v>
      </c>
      <c r="JD30" s="523"/>
      <c r="JE30" s="524">
        <f t="shared" si="86"/>
        <v>0</v>
      </c>
      <c r="JF30" s="525">
        <f t="shared" si="198"/>
        <v>0</v>
      </c>
      <c r="JG30" s="523"/>
      <c r="JH30" s="524">
        <f t="shared" si="87"/>
        <v>0</v>
      </c>
      <c r="JI30" s="525">
        <f t="shared" si="199"/>
        <v>0</v>
      </c>
      <c r="JJ30" s="523"/>
      <c r="JK30" s="525" t="str">
        <f t="shared" si="88"/>
        <v>0</v>
      </c>
      <c r="JL30" s="525" t="str">
        <f t="shared" si="89"/>
        <v>0</v>
      </c>
      <c r="JM30" s="523"/>
      <c r="JN30" s="525" t="str">
        <f t="shared" si="90"/>
        <v>0</v>
      </c>
      <c r="JO30" s="525" t="str">
        <f t="shared" si="91"/>
        <v>0</v>
      </c>
      <c r="JP30" s="523"/>
      <c r="JQ30" s="525" t="str">
        <f t="shared" si="92"/>
        <v>0</v>
      </c>
      <c r="JR30" s="525" t="str">
        <f t="shared" si="93"/>
        <v>0</v>
      </c>
      <c r="JS30" s="523"/>
      <c r="JT30" s="525" t="str">
        <f t="shared" si="94"/>
        <v>0</v>
      </c>
      <c r="JU30" s="525" t="str">
        <f t="shared" si="95"/>
        <v>0</v>
      </c>
      <c r="JV30" s="523"/>
      <c r="JW30" s="525" t="str">
        <f t="shared" si="96"/>
        <v>0</v>
      </c>
      <c r="JX30" s="525" t="str">
        <f t="shared" si="97"/>
        <v>0</v>
      </c>
      <c r="JY30" s="523"/>
      <c r="JZ30" s="525" t="str">
        <f t="shared" si="98"/>
        <v>0</v>
      </c>
      <c r="KA30" s="525" t="str">
        <f t="shared" si="99"/>
        <v>0</v>
      </c>
      <c r="KB30" s="523"/>
      <c r="KC30" s="525" t="str">
        <f t="shared" si="100"/>
        <v>0</v>
      </c>
      <c r="KD30" s="525" t="str">
        <f t="shared" si="101"/>
        <v>0</v>
      </c>
      <c r="KE30" s="523"/>
      <c r="KF30" s="525" t="str">
        <f t="shared" si="102"/>
        <v>0</v>
      </c>
      <c r="KG30" s="525" t="str">
        <f t="shared" si="103"/>
        <v>0</v>
      </c>
      <c r="KH30" s="523"/>
      <c r="KI30" s="525" t="str">
        <f t="shared" si="104"/>
        <v>0</v>
      </c>
      <c r="KJ30" s="525" t="str">
        <f t="shared" si="105"/>
        <v>0</v>
      </c>
      <c r="KK30" s="523"/>
      <c r="KL30" s="525" t="str">
        <f t="shared" si="106"/>
        <v>0</v>
      </c>
      <c r="KM30" s="525" t="str">
        <f t="shared" si="107"/>
        <v>0</v>
      </c>
      <c r="KN30" s="523"/>
      <c r="KO30" s="525" t="str">
        <f t="shared" si="108"/>
        <v>0</v>
      </c>
      <c r="KP30" s="525" t="str">
        <f t="shared" si="109"/>
        <v>0</v>
      </c>
      <c r="KQ30" s="523"/>
      <c r="KR30" s="525" t="str">
        <f t="shared" si="110"/>
        <v>0</v>
      </c>
      <c r="KS30" s="525" t="str">
        <f t="shared" si="111"/>
        <v>0</v>
      </c>
      <c r="KT30" s="525">
        <f t="shared" si="201"/>
        <v>0</v>
      </c>
      <c r="KU30" s="525">
        <f t="shared" si="202"/>
        <v>0</v>
      </c>
      <c r="KV30" s="261">
        <f t="shared" si="112"/>
        <v>317.74858545371632</v>
      </c>
    </row>
    <row r="31" spans="1:308">
      <c r="A31" s="262">
        <f t="shared" si="200"/>
        <v>45984</v>
      </c>
      <c r="B31" s="263" t="str">
        <f>+Report1!B31</f>
        <v>Facial/Toilet</v>
      </c>
      <c r="C31" s="263" t="str">
        <f>+Report1!C31</f>
        <v>13/14/14</v>
      </c>
      <c r="D31" s="264">
        <f>+Report1!P31</f>
        <v>38.872999999999998</v>
      </c>
      <c r="E31" s="562">
        <f>+Report1!R31</f>
        <v>37.584000000000003</v>
      </c>
      <c r="F31" s="523"/>
      <c r="G31" s="524">
        <f t="shared" si="0"/>
        <v>0</v>
      </c>
      <c r="H31" s="525">
        <f t="shared" si="113"/>
        <v>0</v>
      </c>
      <c r="I31" s="523">
        <v>173.66519999999991</v>
      </c>
      <c r="J31" s="524">
        <f t="shared" si="1"/>
        <v>4.6207215836526156</v>
      </c>
      <c r="K31" s="525">
        <f t="shared" si="114"/>
        <v>0</v>
      </c>
      <c r="L31" s="523"/>
      <c r="M31" s="524">
        <f t="shared" si="2"/>
        <v>0</v>
      </c>
      <c r="N31" s="525">
        <f t="shared" si="115"/>
        <v>0</v>
      </c>
      <c r="O31" s="523">
        <v>1.5428000000000281</v>
      </c>
      <c r="P31" s="524">
        <f t="shared" si="3"/>
        <v>4.1049382716050131E-2</v>
      </c>
      <c r="Q31" s="525">
        <f t="shared" si="116"/>
        <v>0</v>
      </c>
      <c r="R31" s="523"/>
      <c r="S31" s="524">
        <f t="shared" si="4"/>
        <v>0</v>
      </c>
      <c r="T31" s="525">
        <f t="shared" si="117"/>
        <v>0</v>
      </c>
      <c r="U31" s="523">
        <v>1.3183999999999969</v>
      </c>
      <c r="V31" s="524">
        <f t="shared" si="5"/>
        <v>3.5078756917837295E-2</v>
      </c>
      <c r="W31" s="525">
        <f t="shared" si="118"/>
        <v>0</v>
      </c>
      <c r="X31" s="523"/>
      <c r="Y31" s="524">
        <f t="shared" si="6"/>
        <v>0</v>
      </c>
      <c r="Z31" s="525">
        <f t="shared" si="119"/>
        <v>0</v>
      </c>
      <c r="AA31" s="523"/>
      <c r="AB31" s="524">
        <f t="shared" si="7"/>
        <v>0</v>
      </c>
      <c r="AC31" s="525">
        <f t="shared" si="120"/>
        <v>0</v>
      </c>
      <c r="AD31" s="523"/>
      <c r="AE31" s="524">
        <f t="shared" si="8"/>
        <v>0</v>
      </c>
      <c r="AF31" s="525">
        <f t="shared" si="121"/>
        <v>0</v>
      </c>
      <c r="AG31" s="523"/>
      <c r="AH31" s="524">
        <f t="shared" si="9"/>
        <v>0</v>
      </c>
      <c r="AI31" s="525">
        <f t="shared" si="122"/>
        <v>0</v>
      </c>
      <c r="AJ31" s="523"/>
      <c r="AK31" s="524">
        <f t="shared" si="10"/>
        <v>0</v>
      </c>
      <c r="AL31" s="525">
        <f t="shared" si="123"/>
        <v>0</v>
      </c>
      <c r="AM31" s="523"/>
      <c r="AN31" s="524">
        <f t="shared" si="11"/>
        <v>0</v>
      </c>
      <c r="AO31" s="525">
        <f t="shared" si="124"/>
        <v>0</v>
      </c>
      <c r="AP31" s="523">
        <v>52.804500000000004</v>
      </c>
      <c r="AQ31" s="524">
        <f t="shared" si="12"/>
        <v>1.4049728607918264</v>
      </c>
      <c r="AR31" s="525">
        <f t="shared" si="125"/>
        <v>0</v>
      </c>
      <c r="AS31" s="523"/>
      <c r="AT31" s="524">
        <f t="shared" si="13"/>
        <v>0</v>
      </c>
      <c r="AU31" s="525">
        <f t="shared" si="126"/>
        <v>0</v>
      </c>
      <c r="AV31" s="523"/>
      <c r="AW31" s="524">
        <f t="shared" si="14"/>
        <v>0</v>
      </c>
      <c r="AX31" s="525">
        <f t="shared" si="127"/>
        <v>0</v>
      </c>
      <c r="AY31" s="523">
        <v>50.47120000000001</v>
      </c>
      <c r="AZ31" s="524">
        <f t="shared" si="15"/>
        <v>1.3428905917411667</v>
      </c>
      <c r="BA31" s="525">
        <f t="shared" si="128"/>
        <v>0</v>
      </c>
      <c r="BB31" s="523"/>
      <c r="BC31" s="524">
        <f t="shared" si="16"/>
        <v>0</v>
      </c>
      <c r="BD31" s="525">
        <f t="shared" si="129"/>
        <v>0</v>
      </c>
      <c r="BE31" s="523"/>
      <c r="BF31" s="524">
        <f t="shared" si="17"/>
        <v>0</v>
      </c>
      <c r="BG31" s="525">
        <f t="shared" si="130"/>
        <v>0</v>
      </c>
      <c r="BH31" s="523"/>
      <c r="BI31" s="524">
        <f t="shared" si="18"/>
        <v>0</v>
      </c>
      <c r="BJ31" s="525">
        <f t="shared" si="131"/>
        <v>0</v>
      </c>
      <c r="BK31" s="523"/>
      <c r="BL31" s="524">
        <f t="shared" si="19"/>
        <v>0</v>
      </c>
      <c r="BM31" s="525">
        <f t="shared" si="132"/>
        <v>0</v>
      </c>
      <c r="BN31" s="523"/>
      <c r="BO31" s="524">
        <f t="shared" si="20"/>
        <v>0</v>
      </c>
      <c r="BP31" s="525">
        <f t="shared" si="133"/>
        <v>0</v>
      </c>
      <c r="BQ31" s="523"/>
      <c r="BR31" s="524">
        <f t="shared" si="21"/>
        <v>0</v>
      </c>
      <c r="BS31" s="525">
        <f t="shared" si="134"/>
        <v>0</v>
      </c>
      <c r="BT31" s="523"/>
      <c r="BU31" s="524">
        <f t="shared" si="22"/>
        <v>0</v>
      </c>
      <c r="BV31" s="525">
        <f t="shared" si="135"/>
        <v>0</v>
      </c>
      <c r="BW31" s="523"/>
      <c r="BX31" s="524">
        <f t="shared" si="23"/>
        <v>0</v>
      </c>
      <c r="BY31" s="525">
        <f t="shared" si="136"/>
        <v>0</v>
      </c>
      <c r="BZ31" s="523"/>
      <c r="CA31" s="524">
        <f t="shared" si="24"/>
        <v>0</v>
      </c>
      <c r="CB31" s="525">
        <f t="shared" si="137"/>
        <v>0</v>
      </c>
      <c r="CC31" s="523"/>
      <c r="CD31" s="524">
        <f t="shared" si="25"/>
        <v>0</v>
      </c>
      <c r="CE31" s="525">
        <f t="shared" si="138"/>
        <v>0</v>
      </c>
      <c r="CF31" s="523">
        <v>0.3</v>
      </c>
      <c r="CG31" s="524">
        <f t="shared" si="26"/>
        <v>7.9821200510855669E-3</v>
      </c>
      <c r="CH31" s="525">
        <f t="shared" si="139"/>
        <v>0</v>
      </c>
      <c r="CI31" s="523"/>
      <c r="CJ31" s="524">
        <f t="shared" si="27"/>
        <v>0</v>
      </c>
      <c r="CK31" s="525">
        <f t="shared" si="140"/>
        <v>0</v>
      </c>
      <c r="CL31" s="523"/>
      <c r="CM31" s="524">
        <f t="shared" si="28"/>
        <v>0</v>
      </c>
      <c r="CN31" s="525">
        <f t="shared" si="141"/>
        <v>0</v>
      </c>
      <c r="CO31" s="523"/>
      <c r="CP31" s="524">
        <f t="shared" si="29"/>
        <v>0</v>
      </c>
      <c r="CQ31" s="525">
        <f t="shared" si="142"/>
        <v>0</v>
      </c>
      <c r="CR31" s="523"/>
      <c r="CS31" s="524">
        <f t="shared" si="30"/>
        <v>0</v>
      </c>
      <c r="CT31" s="525">
        <f t="shared" si="143"/>
        <v>0</v>
      </c>
      <c r="CU31" s="523"/>
      <c r="CV31" s="524">
        <f t="shared" si="31"/>
        <v>0</v>
      </c>
      <c r="CW31" s="525">
        <f t="shared" si="144"/>
        <v>0</v>
      </c>
      <c r="CX31" s="523"/>
      <c r="CY31" s="524">
        <f t="shared" si="32"/>
        <v>0</v>
      </c>
      <c r="CZ31" s="525">
        <f t="shared" si="145"/>
        <v>0</v>
      </c>
      <c r="DA31" s="523">
        <v>14.975999999999999</v>
      </c>
      <c r="DB31" s="524">
        <f t="shared" si="33"/>
        <v>0.39846743295019149</v>
      </c>
      <c r="DC31" s="525">
        <f t="shared" si="146"/>
        <v>0</v>
      </c>
      <c r="DD31" s="523"/>
      <c r="DE31" s="524">
        <f t="shared" si="34"/>
        <v>0</v>
      </c>
      <c r="DF31" s="525">
        <f t="shared" si="147"/>
        <v>0</v>
      </c>
      <c r="DG31" s="523"/>
      <c r="DH31" s="524">
        <f t="shared" si="35"/>
        <v>0</v>
      </c>
      <c r="DI31" s="525">
        <f t="shared" si="203"/>
        <v>0</v>
      </c>
      <c r="DJ31" s="523"/>
      <c r="DK31" s="524">
        <f t="shared" si="36"/>
        <v>0</v>
      </c>
      <c r="DL31" s="525">
        <f t="shared" si="148"/>
        <v>0</v>
      </c>
      <c r="DM31" s="523"/>
      <c r="DN31" s="524">
        <f t="shared" si="37"/>
        <v>0</v>
      </c>
      <c r="DO31" s="525">
        <f t="shared" si="149"/>
        <v>0</v>
      </c>
      <c r="DP31" s="523"/>
      <c r="DQ31" s="524">
        <f t="shared" si="38"/>
        <v>0</v>
      </c>
      <c r="DR31" s="525">
        <f t="shared" si="150"/>
        <v>0</v>
      </c>
      <c r="DS31" s="523"/>
      <c r="DT31" s="524">
        <f t="shared" si="39"/>
        <v>0</v>
      </c>
      <c r="DU31" s="525">
        <f t="shared" si="151"/>
        <v>0</v>
      </c>
      <c r="DV31" s="523"/>
      <c r="DW31" s="524">
        <f t="shared" si="40"/>
        <v>0</v>
      </c>
      <c r="DX31" s="525">
        <f t="shared" si="152"/>
        <v>0</v>
      </c>
      <c r="DY31" s="523"/>
      <c r="DZ31" s="524">
        <f t="shared" si="41"/>
        <v>0</v>
      </c>
      <c r="EA31" s="525">
        <f t="shared" si="153"/>
        <v>0</v>
      </c>
      <c r="EB31" s="523"/>
      <c r="EC31" s="524">
        <f t="shared" si="42"/>
        <v>0</v>
      </c>
      <c r="ED31" s="525">
        <f t="shared" si="154"/>
        <v>0</v>
      </c>
      <c r="EE31" s="523">
        <v>42.330000000000041</v>
      </c>
      <c r="EF31" s="524">
        <f t="shared" si="43"/>
        <v>1.1262771392081747</v>
      </c>
      <c r="EG31" s="525">
        <f t="shared" si="155"/>
        <v>0</v>
      </c>
      <c r="EH31" s="523"/>
      <c r="EI31" s="524">
        <f t="shared" si="44"/>
        <v>0</v>
      </c>
      <c r="EJ31" s="525">
        <f t="shared" si="156"/>
        <v>0</v>
      </c>
      <c r="EK31" s="523"/>
      <c r="EL31" s="524">
        <f t="shared" si="45"/>
        <v>0</v>
      </c>
      <c r="EM31" s="525">
        <f t="shared" si="157"/>
        <v>0</v>
      </c>
      <c r="EN31" s="523"/>
      <c r="EO31" s="524">
        <f t="shared" si="46"/>
        <v>0</v>
      </c>
      <c r="EP31" s="525">
        <f t="shared" si="158"/>
        <v>0</v>
      </c>
      <c r="EQ31" s="523"/>
      <c r="ER31" s="524">
        <f t="shared" si="47"/>
        <v>0</v>
      </c>
      <c r="ES31" s="525">
        <f t="shared" si="159"/>
        <v>0</v>
      </c>
      <c r="ET31" s="523"/>
      <c r="EU31" s="524">
        <f t="shared" si="48"/>
        <v>0</v>
      </c>
      <c r="EV31" s="525">
        <f t="shared" si="160"/>
        <v>0</v>
      </c>
      <c r="EW31" s="523"/>
      <c r="EX31" s="524">
        <f t="shared" si="49"/>
        <v>0</v>
      </c>
      <c r="EY31" s="525">
        <f t="shared" si="161"/>
        <v>0</v>
      </c>
      <c r="EZ31" s="523"/>
      <c r="FA31" s="524">
        <f t="shared" si="50"/>
        <v>0</v>
      </c>
      <c r="FB31" s="525">
        <f t="shared" si="162"/>
        <v>0</v>
      </c>
      <c r="FC31" s="523"/>
      <c r="FD31" s="524">
        <f t="shared" si="51"/>
        <v>0</v>
      </c>
      <c r="FE31" s="525">
        <f t="shared" si="163"/>
        <v>0</v>
      </c>
      <c r="FF31" s="523"/>
      <c r="FG31" s="524">
        <f t="shared" si="52"/>
        <v>0</v>
      </c>
      <c r="FH31" s="525">
        <f t="shared" si="164"/>
        <v>0</v>
      </c>
      <c r="FI31" s="523"/>
      <c r="FJ31" s="524">
        <f t="shared" si="53"/>
        <v>0</v>
      </c>
      <c r="FK31" s="525">
        <f t="shared" si="165"/>
        <v>0</v>
      </c>
      <c r="FL31" s="523"/>
      <c r="FM31" s="524">
        <f t="shared" si="54"/>
        <v>0</v>
      </c>
      <c r="FN31" s="525">
        <f t="shared" si="166"/>
        <v>0</v>
      </c>
      <c r="FO31" s="523"/>
      <c r="FP31" s="524">
        <f t="shared" si="55"/>
        <v>0</v>
      </c>
      <c r="FQ31" s="525">
        <f t="shared" si="167"/>
        <v>0</v>
      </c>
      <c r="FR31" s="523"/>
      <c r="FS31" s="524">
        <f t="shared" si="56"/>
        <v>0</v>
      </c>
      <c r="FT31" s="525">
        <f t="shared" si="168"/>
        <v>0</v>
      </c>
      <c r="FU31" s="523"/>
      <c r="FV31" s="524">
        <f t="shared" si="57"/>
        <v>0</v>
      </c>
      <c r="FW31" s="525">
        <f t="shared" si="169"/>
        <v>0</v>
      </c>
      <c r="FX31" s="523"/>
      <c r="FY31" s="524">
        <f t="shared" si="58"/>
        <v>0</v>
      </c>
      <c r="FZ31" s="525">
        <f t="shared" si="170"/>
        <v>0</v>
      </c>
      <c r="GA31" s="523"/>
      <c r="GB31" s="524">
        <f t="shared" si="59"/>
        <v>0</v>
      </c>
      <c r="GC31" s="525">
        <f t="shared" si="171"/>
        <v>0</v>
      </c>
      <c r="GD31" s="523"/>
      <c r="GE31" s="524">
        <f t="shared" si="60"/>
        <v>0</v>
      </c>
      <c r="GF31" s="525">
        <f t="shared" si="172"/>
        <v>0</v>
      </c>
      <c r="GG31" s="523"/>
      <c r="GH31" s="524">
        <f t="shared" si="61"/>
        <v>0</v>
      </c>
      <c r="GI31" s="525">
        <f t="shared" si="173"/>
        <v>0</v>
      </c>
      <c r="GJ31" s="523"/>
      <c r="GK31" s="524">
        <f t="shared" si="62"/>
        <v>0</v>
      </c>
      <c r="GL31" s="525">
        <f t="shared" si="174"/>
        <v>0</v>
      </c>
      <c r="GM31" s="523"/>
      <c r="GN31" s="524">
        <f t="shared" si="63"/>
        <v>0</v>
      </c>
      <c r="GO31" s="525">
        <f t="shared" si="175"/>
        <v>0</v>
      </c>
      <c r="GP31" s="523"/>
      <c r="GQ31" s="524">
        <f t="shared" si="64"/>
        <v>0</v>
      </c>
      <c r="GR31" s="525">
        <f t="shared" si="176"/>
        <v>0</v>
      </c>
      <c r="GS31" s="523"/>
      <c r="GT31" s="524">
        <f t="shared" si="65"/>
        <v>0</v>
      </c>
      <c r="GU31" s="525">
        <f t="shared" si="177"/>
        <v>0</v>
      </c>
      <c r="GV31" s="523"/>
      <c r="GW31" s="524">
        <f t="shared" si="66"/>
        <v>0</v>
      </c>
      <c r="GX31" s="525">
        <f t="shared" si="178"/>
        <v>0</v>
      </c>
      <c r="GY31" s="523"/>
      <c r="GZ31" s="524">
        <f t="shared" si="67"/>
        <v>0</v>
      </c>
      <c r="HA31" s="525">
        <f t="shared" si="179"/>
        <v>0</v>
      </c>
      <c r="HB31" s="523"/>
      <c r="HC31" s="524">
        <f t="shared" si="68"/>
        <v>0</v>
      </c>
      <c r="HD31" s="525">
        <f t="shared" si="180"/>
        <v>0</v>
      </c>
      <c r="HE31" s="523"/>
      <c r="HF31" s="524">
        <f t="shared" si="69"/>
        <v>0</v>
      </c>
      <c r="HG31" s="525">
        <f t="shared" si="181"/>
        <v>0</v>
      </c>
      <c r="HH31" s="523"/>
      <c r="HI31" s="524">
        <f t="shared" si="70"/>
        <v>0</v>
      </c>
      <c r="HJ31" s="525">
        <f t="shared" si="182"/>
        <v>0</v>
      </c>
      <c r="HK31" s="523"/>
      <c r="HL31" s="524">
        <f t="shared" si="71"/>
        <v>0</v>
      </c>
      <c r="HM31" s="525">
        <f t="shared" si="183"/>
        <v>0</v>
      </c>
      <c r="HN31" s="523"/>
      <c r="HO31" s="524">
        <f t="shared" si="72"/>
        <v>0</v>
      </c>
      <c r="HP31" s="525">
        <f t="shared" si="184"/>
        <v>0</v>
      </c>
      <c r="HQ31" s="523"/>
      <c r="HR31" s="524">
        <f t="shared" si="73"/>
        <v>0</v>
      </c>
      <c r="HS31" s="525">
        <f t="shared" si="185"/>
        <v>0</v>
      </c>
      <c r="HT31" s="523"/>
      <c r="HU31" s="524">
        <f t="shared" si="74"/>
        <v>0</v>
      </c>
      <c r="HV31" s="525">
        <f t="shared" si="186"/>
        <v>0</v>
      </c>
      <c r="HW31" s="523"/>
      <c r="HX31" s="524">
        <f t="shared" si="75"/>
        <v>0</v>
      </c>
      <c r="HY31" s="525">
        <f t="shared" si="187"/>
        <v>0</v>
      </c>
      <c r="HZ31" s="523"/>
      <c r="IA31" s="524">
        <f t="shared" si="76"/>
        <v>0</v>
      </c>
      <c r="IB31" s="525">
        <f t="shared" si="188"/>
        <v>0</v>
      </c>
      <c r="IC31" s="523"/>
      <c r="ID31" s="524">
        <f t="shared" si="77"/>
        <v>0</v>
      </c>
      <c r="IE31" s="525">
        <f t="shared" si="189"/>
        <v>0</v>
      </c>
      <c r="IF31" s="523"/>
      <c r="IG31" s="524">
        <f t="shared" si="78"/>
        <v>0</v>
      </c>
      <c r="IH31" s="525">
        <f t="shared" si="190"/>
        <v>0</v>
      </c>
      <c r="II31" s="523"/>
      <c r="IJ31" s="524">
        <f t="shared" si="79"/>
        <v>0</v>
      </c>
      <c r="IK31" s="525">
        <f t="shared" si="191"/>
        <v>0</v>
      </c>
      <c r="IL31" s="523"/>
      <c r="IM31" s="524">
        <f t="shared" si="80"/>
        <v>0</v>
      </c>
      <c r="IN31" s="525">
        <f t="shared" si="192"/>
        <v>0</v>
      </c>
      <c r="IO31" s="523"/>
      <c r="IP31" s="524">
        <f t="shared" si="81"/>
        <v>0</v>
      </c>
      <c r="IQ31" s="525">
        <f t="shared" si="193"/>
        <v>0</v>
      </c>
      <c r="IR31" s="523"/>
      <c r="IS31" s="524">
        <f t="shared" si="82"/>
        <v>0</v>
      </c>
      <c r="IT31" s="525">
        <f t="shared" si="194"/>
        <v>0</v>
      </c>
      <c r="IU31" s="523"/>
      <c r="IV31" s="524">
        <f t="shared" si="83"/>
        <v>0</v>
      </c>
      <c r="IW31" s="525">
        <f t="shared" si="195"/>
        <v>0</v>
      </c>
      <c r="IX31" s="523"/>
      <c r="IY31" s="524">
        <f t="shared" si="84"/>
        <v>0</v>
      </c>
      <c r="IZ31" s="525">
        <f t="shared" si="196"/>
        <v>0</v>
      </c>
      <c r="JA31" s="523"/>
      <c r="JB31" s="524">
        <f t="shared" si="85"/>
        <v>0</v>
      </c>
      <c r="JC31" s="525">
        <f t="shared" si="197"/>
        <v>0</v>
      </c>
      <c r="JD31" s="523"/>
      <c r="JE31" s="524">
        <f t="shared" si="86"/>
        <v>0</v>
      </c>
      <c r="JF31" s="525">
        <f t="shared" si="198"/>
        <v>0</v>
      </c>
      <c r="JG31" s="523"/>
      <c r="JH31" s="524">
        <f t="shared" si="87"/>
        <v>0</v>
      </c>
      <c r="JI31" s="525">
        <f t="shared" si="199"/>
        <v>0</v>
      </c>
      <c r="JJ31" s="523"/>
      <c r="JK31" s="525" t="str">
        <f t="shared" si="88"/>
        <v>0</v>
      </c>
      <c r="JL31" s="525" t="str">
        <f t="shared" si="89"/>
        <v>0</v>
      </c>
      <c r="JM31" s="523"/>
      <c r="JN31" s="525" t="str">
        <f t="shared" si="90"/>
        <v>0</v>
      </c>
      <c r="JO31" s="525" t="str">
        <f t="shared" si="91"/>
        <v>0</v>
      </c>
      <c r="JP31" s="523"/>
      <c r="JQ31" s="525" t="str">
        <f t="shared" si="92"/>
        <v>0</v>
      </c>
      <c r="JR31" s="525" t="str">
        <f t="shared" si="93"/>
        <v>0</v>
      </c>
      <c r="JS31" s="523"/>
      <c r="JT31" s="525" t="str">
        <f t="shared" si="94"/>
        <v>0</v>
      </c>
      <c r="JU31" s="525" t="str">
        <f t="shared" si="95"/>
        <v>0</v>
      </c>
      <c r="JV31" s="523"/>
      <c r="JW31" s="525" t="str">
        <f t="shared" si="96"/>
        <v>0</v>
      </c>
      <c r="JX31" s="525" t="str">
        <f t="shared" si="97"/>
        <v>0</v>
      </c>
      <c r="JY31" s="523"/>
      <c r="JZ31" s="525" t="str">
        <f t="shared" si="98"/>
        <v>0</v>
      </c>
      <c r="KA31" s="525" t="str">
        <f t="shared" si="99"/>
        <v>0</v>
      </c>
      <c r="KB31" s="523"/>
      <c r="KC31" s="525" t="str">
        <f t="shared" si="100"/>
        <v>0</v>
      </c>
      <c r="KD31" s="525" t="str">
        <f t="shared" si="101"/>
        <v>0</v>
      </c>
      <c r="KE31" s="523"/>
      <c r="KF31" s="525" t="str">
        <f t="shared" si="102"/>
        <v>0</v>
      </c>
      <c r="KG31" s="525" t="str">
        <f t="shared" si="103"/>
        <v>0</v>
      </c>
      <c r="KH31" s="523"/>
      <c r="KI31" s="525" t="str">
        <f t="shared" si="104"/>
        <v>0</v>
      </c>
      <c r="KJ31" s="525" t="str">
        <f t="shared" si="105"/>
        <v>0</v>
      </c>
      <c r="KK31" s="523"/>
      <c r="KL31" s="525" t="str">
        <f t="shared" si="106"/>
        <v>0</v>
      </c>
      <c r="KM31" s="525" t="str">
        <f t="shared" si="107"/>
        <v>0</v>
      </c>
      <c r="KN31" s="523"/>
      <c r="KO31" s="525" t="str">
        <f t="shared" si="108"/>
        <v>0</v>
      </c>
      <c r="KP31" s="525" t="str">
        <f t="shared" si="109"/>
        <v>0</v>
      </c>
      <c r="KQ31" s="523"/>
      <c r="KR31" s="525" t="str">
        <f t="shared" si="110"/>
        <v>0</v>
      </c>
      <c r="KS31" s="525" t="str">
        <f t="shared" si="111"/>
        <v>0</v>
      </c>
      <c r="KT31" s="525">
        <f t="shared" si="201"/>
        <v>0</v>
      </c>
      <c r="KU31" s="525">
        <f t="shared" si="202"/>
        <v>0</v>
      </c>
      <c r="KV31" s="261">
        <f t="shared" si="112"/>
        <v>337.40809999999999</v>
      </c>
    </row>
    <row r="32" spans="1:308">
      <c r="A32" s="262">
        <f t="shared" si="200"/>
        <v>45985</v>
      </c>
      <c r="B32" s="263" t="str">
        <f>+Report1!B32</f>
        <v>Toilet</v>
      </c>
      <c r="C32" s="263" t="str">
        <f>+Report1!C32</f>
        <v>14</v>
      </c>
      <c r="D32" s="264">
        <f>+Report1!P32</f>
        <v>37.686</v>
      </c>
      <c r="E32" s="562">
        <f>+Report1!R32</f>
        <v>35.371000000000002</v>
      </c>
      <c r="F32" s="523"/>
      <c r="G32" s="524">
        <f t="shared" si="0"/>
        <v>0</v>
      </c>
      <c r="H32" s="525">
        <f t="shared" si="113"/>
        <v>0</v>
      </c>
      <c r="I32" s="523">
        <v>23.254637209302246</v>
      </c>
      <c r="J32" s="524">
        <f t="shared" si="1"/>
        <v>0.65744924399373061</v>
      </c>
      <c r="K32" s="525">
        <f t="shared" si="114"/>
        <v>0</v>
      </c>
      <c r="L32" s="523"/>
      <c r="M32" s="524">
        <f t="shared" si="2"/>
        <v>0</v>
      </c>
      <c r="N32" s="525">
        <f t="shared" si="115"/>
        <v>0</v>
      </c>
      <c r="O32" s="523">
        <v>3.0015999999999678</v>
      </c>
      <c r="P32" s="524">
        <f t="shared" si="3"/>
        <v>8.486047892341092E-2</v>
      </c>
      <c r="Q32" s="525">
        <f t="shared" si="116"/>
        <v>0</v>
      </c>
      <c r="R32" s="523"/>
      <c r="S32" s="524">
        <f t="shared" si="4"/>
        <v>0</v>
      </c>
      <c r="T32" s="525">
        <f t="shared" si="117"/>
        <v>0</v>
      </c>
      <c r="U32" s="523">
        <v>2.5649999999999693</v>
      </c>
      <c r="V32" s="524">
        <f t="shared" si="5"/>
        <v>7.2517033728194541E-2</v>
      </c>
      <c r="W32" s="525">
        <f t="shared" si="118"/>
        <v>0</v>
      </c>
      <c r="X32" s="523"/>
      <c r="Y32" s="524">
        <f t="shared" si="6"/>
        <v>0</v>
      </c>
      <c r="Z32" s="525">
        <f t="shared" si="119"/>
        <v>0</v>
      </c>
      <c r="AA32" s="523"/>
      <c r="AB32" s="524">
        <f t="shared" si="7"/>
        <v>0</v>
      </c>
      <c r="AC32" s="525">
        <f t="shared" si="120"/>
        <v>0</v>
      </c>
      <c r="AD32" s="523"/>
      <c r="AE32" s="524">
        <f t="shared" si="8"/>
        <v>0</v>
      </c>
      <c r="AF32" s="525">
        <f t="shared" si="121"/>
        <v>0</v>
      </c>
      <c r="AG32" s="523"/>
      <c r="AH32" s="524">
        <f t="shared" si="9"/>
        <v>0</v>
      </c>
      <c r="AI32" s="525">
        <f t="shared" si="122"/>
        <v>0</v>
      </c>
      <c r="AJ32" s="523"/>
      <c r="AK32" s="524">
        <f t="shared" si="10"/>
        <v>0</v>
      </c>
      <c r="AL32" s="525">
        <f t="shared" si="123"/>
        <v>0</v>
      </c>
      <c r="AM32" s="523"/>
      <c r="AN32" s="524">
        <f t="shared" si="11"/>
        <v>0</v>
      </c>
      <c r="AO32" s="525">
        <f t="shared" si="124"/>
        <v>0</v>
      </c>
      <c r="AP32" s="523">
        <v>39.877263291139229</v>
      </c>
      <c r="AQ32" s="524">
        <f t="shared" si="12"/>
        <v>1.1273999403788195</v>
      </c>
      <c r="AR32" s="525">
        <f t="shared" si="125"/>
        <v>0</v>
      </c>
      <c r="AS32" s="523"/>
      <c r="AT32" s="524">
        <f t="shared" si="13"/>
        <v>0</v>
      </c>
      <c r="AU32" s="525">
        <f t="shared" si="126"/>
        <v>0</v>
      </c>
      <c r="AV32" s="523"/>
      <c r="AW32" s="524">
        <f t="shared" si="14"/>
        <v>0</v>
      </c>
      <c r="AX32" s="525">
        <f t="shared" si="127"/>
        <v>0</v>
      </c>
      <c r="AY32" s="523">
        <v>35.00066666666666</v>
      </c>
      <c r="AZ32" s="524">
        <f t="shared" si="15"/>
        <v>0.98953002930837852</v>
      </c>
      <c r="BA32" s="525">
        <f t="shared" si="128"/>
        <v>0</v>
      </c>
      <c r="BB32" s="523"/>
      <c r="BC32" s="524">
        <f t="shared" si="16"/>
        <v>0</v>
      </c>
      <c r="BD32" s="525">
        <f t="shared" si="129"/>
        <v>0</v>
      </c>
      <c r="BE32" s="523"/>
      <c r="BF32" s="524">
        <f t="shared" si="17"/>
        <v>0</v>
      </c>
      <c r="BG32" s="525">
        <f t="shared" si="130"/>
        <v>0</v>
      </c>
      <c r="BH32" s="523"/>
      <c r="BI32" s="524">
        <f t="shared" si="18"/>
        <v>0</v>
      </c>
      <c r="BJ32" s="525">
        <f t="shared" si="131"/>
        <v>0</v>
      </c>
      <c r="BK32" s="523"/>
      <c r="BL32" s="524">
        <f t="shared" si="19"/>
        <v>0</v>
      </c>
      <c r="BM32" s="525">
        <f t="shared" si="132"/>
        <v>0</v>
      </c>
      <c r="BN32" s="523"/>
      <c r="BO32" s="524">
        <f t="shared" si="20"/>
        <v>0</v>
      </c>
      <c r="BP32" s="525">
        <f t="shared" si="133"/>
        <v>0</v>
      </c>
      <c r="BQ32" s="523"/>
      <c r="BR32" s="524">
        <f t="shared" si="21"/>
        <v>0</v>
      </c>
      <c r="BS32" s="525">
        <f t="shared" si="134"/>
        <v>0</v>
      </c>
      <c r="BT32" s="523"/>
      <c r="BU32" s="524">
        <f t="shared" si="22"/>
        <v>0</v>
      </c>
      <c r="BV32" s="525">
        <f t="shared" si="135"/>
        <v>0</v>
      </c>
      <c r="BW32" s="523"/>
      <c r="BX32" s="524">
        <f t="shared" si="23"/>
        <v>0</v>
      </c>
      <c r="BY32" s="525">
        <f t="shared" si="136"/>
        <v>0</v>
      </c>
      <c r="BZ32" s="523"/>
      <c r="CA32" s="524">
        <f t="shared" si="24"/>
        <v>0</v>
      </c>
      <c r="CB32" s="525">
        <f t="shared" si="137"/>
        <v>0</v>
      </c>
      <c r="CC32" s="523"/>
      <c r="CD32" s="524">
        <f t="shared" si="25"/>
        <v>0</v>
      </c>
      <c r="CE32" s="525">
        <f t="shared" si="138"/>
        <v>0</v>
      </c>
      <c r="CF32" s="523">
        <v>0.30000000000000071</v>
      </c>
      <c r="CG32" s="524">
        <f t="shared" si="26"/>
        <v>8.4815244126544547E-3</v>
      </c>
      <c r="CH32" s="525">
        <f t="shared" si="139"/>
        <v>0</v>
      </c>
      <c r="CI32" s="523"/>
      <c r="CJ32" s="524">
        <f t="shared" si="27"/>
        <v>0</v>
      </c>
      <c r="CK32" s="525">
        <f t="shared" si="140"/>
        <v>0</v>
      </c>
      <c r="CL32" s="523"/>
      <c r="CM32" s="524">
        <f t="shared" si="28"/>
        <v>0</v>
      </c>
      <c r="CN32" s="525">
        <f t="shared" si="141"/>
        <v>0</v>
      </c>
      <c r="CO32" s="523"/>
      <c r="CP32" s="524">
        <f t="shared" si="29"/>
        <v>0</v>
      </c>
      <c r="CQ32" s="525">
        <f t="shared" si="142"/>
        <v>0</v>
      </c>
      <c r="CR32" s="523"/>
      <c r="CS32" s="524">
        <f t="shared" si="30"/>
        <v>0</v>
      </c>
      <c r="CT32" s="525">
        <f t="shared" si="143"/>
        <v>0</v>
      </c>
      <c r="CU32" s="523"/>
      <c r="CV32" s="524">
        <f t="shared" si="31"/>
        <v>0</v>
      </c>
      <c r="CW32" s="525">
        <f t="shared" si="144"/>
        <v>0</v>
      </c>
      <c r="CX32" s="523"/>
      <c r="CY32" s="524">
        <f t="shared" si="32"/>
        <v>0</v>
      </c>
      <c r="CZ32" s="525">
        <f t="shared" si="145"/>
        <v>0</v>
      </c>
      <c r="DA32" s="523">
        <v>145.34381395348828</v>
      </c>
      <c r="DB32" s="524">
        <f t="shared" si="33"/>
        <v>4.1091236875827164</v>
      </c>
      <c r="DC32" s="525">
        <f t="shared" si="146"/>
        <v>0</v>
      </c>
      <c r="DD32" s="523"/>
      <c r="DE32" s="524">
        <f t="shared" si="34"/>
        <v>0</v>
      </c>
      <c r="DF32" s="525">
        <f t="shared" si="147"/>
        <v>0</v>
      </c>
      <c r="DG32" s="523"/>
      <c r="DH32" s="524">
        <f t="shared" si="35"/>
        <v>0</v>
      </c>
      <c r="DI32" s="525">
        <f t="shared" si="203"/>
        <v>0</v>
      </c>
      <c r="DJ32" s="523"/>
      <c r="DK32" s="524">
        <f t="shared" si="36"/>
        <v>0</v>
      </c>
      <c r="DL32" s="525">
        <f t="shared" si="148"/>
        <v>0</v>
      </c>
      <c r="DM32" s="523"/>
      <c r="DN32" s="524">
        <f t="shared" si="37"/>
        <v>0</v>
      </c>
      <c r="DO32" s="525">
        <f t="shared" si="149"/>
        <v>0</v>
      </c>
      <c r="DP32" s="523"/>
      <c r="DQ32" s="524">
        <f t="shared" si="38"/>
        <v>0</v>
      </c>
      <c r="DR32" s="525">
        <f t="shared" si="150"/>
        <v>0</v>
      </c>
      <c r="DS32" s="523"/>
      <c r="DT32" s="524">
        <f t="shared" si="39"/>
        <v>0</v>
      </c>
      <c r="DU32" s="525">
        <f t="shared" si="151"/>
        <v>0</v>
      </c>
      <c r="DV32" s="523"/>
      <c r="DW32" s="524">
        <f t="shared" si="40"/>
        <v>0</v>
      </c>
      <c r="DX32" s="525">
        <f t="shared" si="152"/>
        <v>0</v>
      </c>
      <c r="DY32" s="523"/>
      <c r="DZ32" s="524">
        <f t="shared" si="41"/>
        <v>0</v>
      </c>
      <c r="EA32" s="525">
        <f t="shared" si="153"/>
        <v>0</v>
      </c>
      <c r="EB32" s="523"/>
      <c r="EC32" s="524">
        <f t="shared" si="42"/>
        <v>0</v>
      </c>
      <c r="ED32" s="525">
        <f t="shared" si="154"/>
        <v>0</v>
      </c>
      <c r="EE32" s="523">
        <v>82.190588235294172</v>
      </c>
      <c r="EF32" s="524">
        <f t="shared" si="43"/>
        <v>2.3236716020269195</v>
      </c>
      <c r="EG32" s="525">
        <f t="shared" si="155"/>
        <v>0</v>
      </c>
      <c r="EH32" s="523"/>
      <c r="EI32" s="524">
        <f t="shared" si="44"/>
        <v>0</v>
      </c>
      <c r="EJ32" s="525">
        <f t="shared" si="156"/>
        <v>0</v>
      </c>
      <c r="EK32" s="523"/>
      <c r="EL32" s="524">
        <f t="shared" si="45"/>
        <v>0</v>
      </c>
      <c r="EM32" s="525">
        <f t="shared" si="157"/>
        <v>0</v>
      </c>
      <c r="EN32" s="523"/>
      <c r="EO32" s="524">
        <f t="shared" si="46"/>
        <v>0</v>
      </c>
      <c r="EP32" s="525">
        <f t="shared" si="158"/>
        <v>0</v>
      </c>
      <c r="EQ32" s="523"/>
      <c r="ER32" s="524">
        <f t="shared" si="47"/>
        <v>0</v>
      </c>
      <c r="ES32" s="525">
        <f t="shared" si="159"/>
        <v>0</v>
      </c>
      <c r="ET32" s="523"/>
      <c r="EU32" s="524">
        <f t="shared" si="48"/>
        <v>0</v>
      </c>
      <c r="EV32" s="525">
        <f t="shared" si="160"/>
        <v>0</v>
      </c>
      <c r="EW32" s="523"/>
      <c r="EX32" s="524">
        <f t="shared" si="49"/>
        <v>0</v>
      </c>
      <c r="EY32" s="525">
        <f t="shared" si="161"/>
        <v>0</v>
      </c>
      <c r="EZ32" s="523"/>
      <c r="FA32" s="524">
        <f t="shared" si="50"/>
        <v>0</v>
      </c>
      <c r="FB32" s="525">
        <f t="shared" si="162"/>
        <v>0</v>
      </c>
      <c r="FC32" s="523"/>
      <c r="FD32" s="524">
        <f t="shared" si="51"/>
        <v>0</v>
      </c>
      <c r="FE32" s="525">
        <f t="shared" si="163"/>
        <v>0</v>
      </c>
      <c r="FF32" s="523"/>
      <c r="FG32" s="524">
        <f t="shared" si="52"/>
        <v>0</v>
      </c>
      <c r="FH32" s="525">
        <f t="shared" si="164"/>
        <v>0</v>
      </c>
      <c r="FI32" s="523"/>
      <c r="FJ32" s="524">
        <f t="shared" si="53"/>
        <v>0</v>
      </c>
      <c r="FK32" s="525">
        <f t="shared" si="165"/>
        <v>0</v>
      </c>
      <c r="FL32" s="523"/>
      <c r="FM32" s="524">
        <f t="shared" si="54"/>
        <v>0</v>
      </c>
      <c r="FN32" s="525">
        <f t="shared" si="166"/>
        <v>0</v>
      </c>
      <c r="FO32" s="523"/>
      <c r="FP32" s="524">
        <f t="shared" si="55"/>
        <v>0</v>
      </c>
      <c r="FQ32" s="525">
        <f t="shared" si="167"/>
        <v>0</v>
      </c>
      <c r="FR32" s="523"/>
      <c r="FS32" s="524">
        <f t="shared" si="56"/>
        <v>0</v>
      </c>
      <c r="FT32" s="525">
        <f t="shared" si="168"/>
        <v>0</v>
      </c>
      <c r="FU32" s="523"/>
      <c r="FV32" s="524">
        <f t="shared" si="57"/>
        <v>0</v>
      </c>
      <c r="FW32" s="525">
        <f t="shared" si="169"/>
        <v>0</v>
      </c>
      <c r="FX32" s="523"/>
      <c r="FY32" s="524">
        <f t="shared" si="58"/>
        <v>0</v>
      </c>
      <c r="FZ32" s="525">
        <f t="shared" si="170"/>
        <v>0</v>
      </c>
      <c r="GA32" s="523"/>
      <c r="GB32" s="524">
        <f t="shared" si="59"/>
        <v>0</v>
      </c>
      <c r="GC32" s="525">
        <f t="shared" si="171"/>
        <v>0</v>
      </c>
      <c r="GD32" s="523"/>
      <c r="GE32" s="524">
        <f t="shared" si="60"/>
        <v>0</v>
      </c>
      <c r="GF32" s="525">
        <f t="shared" si="172"/>
        <v>0</v>
      </c>
      <c r="GG32" s="523"/>
      <c r="GH32" s="524">
        <f t="shared" si="61"/>
        <v>0</v>
      </c>
      <c r="GI32" s="525">
        <f t="shared" si="173"/>
        <v>0</v>
      </c>
      <c r="GJ32" s="523"/>
      <c r="GK32" s="524">
        <f t="shared" si="62"/>
        <v>0</v>
      </c>
      <c r="GL32" s="525">
        <f t="shared" si="174"/>
        <v>0</v>
      </c>
      <c r="GM32" s="523"/>
      <c r="GN32" s="524">
        <f t="shared" si="63"/>
        <v>0</v>
      </c>
      <c r="GO32" s="525">
        <f t="shared" si="175"/>
        <v>0</v>
      </c>
      <c r="GP32" s="523"/>
      <c r="GQ32" s="524">
        <f t="shared" si="64"/>
        <v>0</v>
      </c>
      <c r="GR32" s="525">
        <f t="shared" si="176"/>
        <v>0</v>
      </c>
      <c r="GS32" s="523"/>
      <c r="GT32" s="524">
        <f t="shared" si="65"/>
        <v>0</v>
      </c>
      <c r="GU32" s="525">
        <f t="shared" si="177"/>
        <v>0</v>
      </c>
      <c r="GV32" s="523"/>
      <c r="GW32" s="524">
        <f t="shared" si="66"/>
        <v>0</v>
      </c>
      <c r="GX32" s="525">
        <f t="shared" si="178"/>
        <v>0</v>
      </c>
      <c r="GY32" s="523"/>
      <c r="GZ32" s="524">
        <f t="shared" si="67"/>
        <v>0</v>
      </c>
      <c r="HA32" s="525">
        <f t="shared" si="179"/>
        <v>0</v>
      </c>
      <c r="HB32" s="523"/>
      <c r="HC32" s="524">
        <f t="shared" si="68"/>
        <v>0</v>
      </c>
      <c r="HD32" s="525">
        <f t="shared" si="180"/>
        <v>0</v>
      </c>
      <c r="HE32" s="523"/>
      <c r="HF32" s="524">
        <f t="shared" si="69"/>
        <v>0</v>
      </c>
      <c r="HG32" s="525">
        <f t="shared" si="181"/>
        <v>0</v>
      </c>
      <c r="HH32" s="523"/>
      <c r="HI32" s="524">
        <f t="shared" si="70"/>
        <v>0</v>
      </c>
      <c r="HJ32" s="525">
        <f t="shared" si="182"/>
        <v>0</v>
      </c>
      <c r="HK32" s="523"/>
      <c r="HL32" s="524">
        <f t="shared" si="71"/>
        <v>0</v>
      </c>
      <c r="HM32" s="525">
        <f t="shared" si="183"/>
        <v>0</v>
      </c>
      <c r="HN32" s="523"/>
      <c r="HO32" s="524">
        <f t="shared" si="72"/>
        <v>0</v>
      </c>
      <c r="HP32" s="525">
        <f t="shared" si="184"/>
        <v>0</v>
      </c>
      <c r="HQ32" s="523"/>
      <c r="HR32" s="524">
        <f t="shared" si="73"/>
        <v>0</v>
      </c>
      <c r="HS32" s="525">
        <f t="shared" si="185"/>
        <v>0</v>
      </c>
      <c r="HT32" s="523"/>
      <c r="HU32" s="524">
        <f t="shared" si="74"/>
        <v>0</v>
      </c>
      <c r="HV32" s="525">
        <f t="shared" si="186"/>
        <v>0</v>
      </c>
      <c r="HW32" s="523"/>
      <c r="HX32" s="524">
        <f t="shared" si="75"/>
        <v>0</v>
      </c>
      <c r="HY32" s="525">
        <f t="shared" si="187"/>
        <v>0</v>
      </c>
      <c r="HZ32" s="523"/>
      <c r="IA32" s="524">
        <f t="shared" si="76"/>
        <v>0</v>
      </c>
      <c r="IB32" s="525">
        <f t="shared" si="188"/>
        <v>0</v>
      </c>
      <c r="IC32" s="523"/>
      <c r="ID32" s="524">
        <f t="shared" si="77"/>
        <v>0</v>
      </c>
      <c r="IE32" s="525">
        <f t="shared" si="189"/>
        <v>0</v>
      </c>
      <c r="IF32" s="523"/>
      <c r="IG32" s="524">
        <f t="shared" si="78"/>
        <v>0</v>
      </c>
      <c r="IH32" s="525">
        <f t="shared" si="190"/>
        <v>0</v>
      </c>
      <c r="II32" s="523"/>
      <c r="IJ32" s="524">
        <f t="shared" si="79"/>
        <v>0</v>
      </c>
      <c r="IK32" s="525">
        <f t="shared" si="191"/>
        <v>0</v>
      </c>
      <c r="IL32" s="523"/>
      <c r="IM32" s="524">
        <f t="shared" si="80"/>
        <v>0</v>
      </c>
      <c r="IN32" s="525">
        <f t="shared" si="192"/>
        <v>0</v>
      </c>
      <c r="IO32" s="523"/>
      <c r="IP32" s="524">
        <f t="shared" si="81"/>
        <v>0</v>
      </c>
      <c r="IQ32" s="525">
        <f t="shared" si="193"/>
        <v>0</v>
      </c>
      <c r="IR32" s="523"/>
      <c r="IS32" s="524">
        <f t="shared" si="82"/>
        <v>0</v>
      </c>
      <c r="IT32" s="525">
        <f t="shared" si="194"/>
        <v>0</v>
      </c>
      <c r="IU32" s="523"/>
      <c r="IV32" s="524">
        <f t="shared" si="83"/>
        <v>0</v>
      </c>
      <c r="IW32" s="525">
        <f t="shared" si="195"/>
        <v>0</v>
      </c>
      <c r="IX32" s="523"/>
      <c r="IY32" s="524">
        <f t="shared" si="84"/>
        <v>0</v>
      </c>
      <c r="IZ32" s="525">
        <f t="shared" si="196"/>
        <v>0</v>
      </c>
      <c r="JA32" s="523"/>
      <c r="JB32" s="524">
        <f t="shared" si="85"/>
        <v>0</v>
      </c>
      <c r="JC32" s="525">
        <f t="shared" si="197"/>
        <v>0</v>
      </c>
      <c r="JD32" s="523"/>
      <c r="JE32" s="524">
        <f t="shared" si="86"/>
        <v>0</v>
      </c>
      <c r="JF32" s="525">
        <f t="shared" si="198"/>
        <v>0</v>
      </c>
      <c r="JG32" s="523"/>
      <c r="JH32" s="524">
        <f t="shared" si="87"/>
        <v>0</v>
      </c>
      <c r="JI32" s="525">
        <f t="shared" si="199"/>
        <v>0</v>
      </c>
      <c r="JJ32" s="523"/>
      <c r="JK32" s="525" t="str">
        <f t="shared" si="88"/>
        <v>0</v>
      </c>
      <c r="JL32" s="525" t="str">
        <f t="shared" si="89"/>
        <v>0</v>
      </c>
      <c r="JM32" s="523"/>
      <c r="JN32" s="525" t="str">
        <f t="shared" si="90"/>
        <v>0</v>
      </c>
      <c r="JO32" s="525" t="str">
        <f t="shared" si="91"/>
        <v>0</v>
      </c>
      <c r="JP32" s="523"/>
      <c r="JQ32" s="525" t="str">
        <f t="shared" si="92"/>
        <v>0</v>
      </c>
      <c r="JR32" s="525" t="str">
        <f t="shared" si="93"/>
        <v>0</v>
      </c>
      <c r="JS32" s="523"/>
      <c r="JT32" s="525" t="str">
        <f t="shared" si="94"/>
        <v>0</v>
      </c>
      <c r="JU32" s="525" t="str">
        <f t="shared" si="95"/>
        <v>0</v>
      </c>
      <c r="JV32" s="523"/>
      <c r="JW32" s="525" t="str">
        <f t="shared" si="96"/>
        <v>0</v>
      </c>
      <c r="JX32" s="525" t="str">
        <f t="shared" si="97"/>
        <v>0</v>
      </c>
      <c r="JY32" s="523"/>
      <c r="JZ32" s="525" t="str">
        <f t="shared" si="98"/>
        <v>0</v>
      </c>
      <c r="KA32" s="525" t="str">
        <f t="shared" si="99"/>
        <v>0</v>
      </c>
      <c r="KB32" s="523"/>
      <c r="KC32" s="525" t="str">
        <f t="shared" si="100"/>
        <v>0</v>
      </c>
      <c r="KD32" s="525" t="str">
        <f t="shared" si="101"/>
        <v>0</v>
      </c>
      <c r="KE32" s="523"/>
      <c r="KF32" s="525" t="str">
        <f t="shared" si="102"/>
        <v>0</v>
      </c>
      <c r="KG32" s="525" t="str">
        <f t="shared" si="103"/>
        <v>0</v>
      </c>
      <c r="KH32" s="523"/>
      <c r="KI32" s="525" t="str">
        <f t="shared" si="104"/>
        <v>0</v>
      </c>
      <c r="KJ32" s="525" t="str">
        <f t="shared" si="105"/>
        <v>0</v>
      </c>
      <c r="KK32" s="523"/>
      <c r="KL32" s="525" t="str">
        <f t="shared" si="106"/>
        <v>0</v>
      </c>
      <c r="KM32" s="525" t="str">
        <f t="shared" si="107"/>
        <v>0</v>
      </c>
      <c r="KN32" s="523"/>
      <c r="KO32" s="525" t="str">
        <f t="shared" si="108"/>
        <v>0</v>
      </c>
      <c r="KP32" s="525" t="str">
        <f t="shared" si="109"/>
        <v>0</v>
      </c>
      <c r="KQ32" s="523"/>
      <c r="KR32" s="525" t="str">
        <f t="shared" si="110"/>
        <v>0</v>
      </c>
      <c r="KS32" s="525" t="str">
        <f t="shared" si="111"/>
        <v>0</v>
      </c>
      <c r="KT32" s="525">
        <f t="shared" si="201"/>
        <v>0</v>
      </c>
      <c r="KU32" s="525">
        <f t="shared" si="202"/>
        <v>0</v>
      </c>
      <c r="KV32" s="261">
        <f t="shared" si="112"/>
        <v>331.53356935589051</v>
      </c>
    </row>
    <row r="33" spans="1:308" ht="15" customHeight="1">
      <c r="A33" s="262">
        <f t="shared" si="200"/>
        <v>45986</v>
      </c>
      <c r="B33" s="263" t="str">
        <f>+Report1!B33</f>
        <v>Toilet</v>
      </c>
      <c r="C33" s="263" t="str">
        <f>+Report1!C33</f>
        <v>14/15</v>
      </c>
      <c r="D33" s="264">
        <f>+Report1!P33</f>
        <v>40.597000000000001</v>
      </c>
      <c r="E33" s="562">
        <f>+Report1!R33</f>
        <v>38.463000000000001</v>
      </c>
      <c r="F33" s="523"/>
      <c r="G33" s="524">
        <f t="shared" si="0"/>
        <v>0</v>
      </c>
      <c r="H33" s="525">
        <f t="shared" si="113"/>
        <v>0</v>
      </c>
      <c r="I33" s="523"/>
      <c r="J33" s="524">
        <f t="shared" si="1"/>
        <v>0</v>
      </c>
      <c r="K33" s="525">
        <f t="shared" si="114"/>
        <v>0</v>
      </c>
      <c r="L33" s="523"/>
      <c r="M33" s="524">
        <f t="shared" si="2"/>
        <v>0</v>
      </c>
      <c r="N33" s="525">
        <f t="shared" si="115"/>
        <v>0</v>
      </c>
      <c r="O33" s="523">
        <v>3.0000000000000284</v>
      </c>
      <c r="P33" s="524">
        <f t="shared" si="3"/>
        <v>7.7997036112628454E-2</v>
      </c>
      <c r="Q33" s="525">
        <f t="shared" si="116"/>
        <v>0</v>
      </c>
      <c r="R33" s="523"/>
      <c r="S33" s="524">
        <f t="shared" si="4"/>
        <v>0</v>
      </c>
      <c r="T33" s="525">
        <f t="shared" si="117"/>
        <v>0</v>
      </c>
      <c r="U33" s="523">
        <v>2.5625000000000284</v>
      </c>
      <c r="V33" s="524">
        <f t="shared" si="5"/>
        <v>6.6622468346203584E-2</v>
      </c>
      <c r="W33" s="525">
        <f t="shared" si="118"/>
        <v>0</v>
      </c>
      <c r="X33" s="523"/>
      <c r="Y33" s="524">
        <f t="shared" si="6"/>
        <v>0</v>
      </c>
      <c r="Z33" s="525">
        <f t="shared" si="119"/>
        <v>0</v>
      </c>
      <c r="AA33" s="523"/>
      <c r="AB33" s="524">
        <f t="shared" si="7"/>
        <v>0</v>
      </c>
      <c r="AC33" s="525">
        <f t="shared" si="120"/>
        <v>0</v>
      </c>
      <c r="AD33" s="523"/>
      <c r="AE33" s="524">
        <f t="shared" si="8"/>
        <v>0</v>
      </c>
      <c r="AF33" s="525">
        <f t="shared" si="121"/>
        <v>0</v>
      </c>
      <c r="AG33" s="523"/>
      <c r="AH33" s="524">
        <f t="shared" si="9"/>
        <v>0</v>
      </c>
      <c r="AI33" s="525">
        <f t="shared" si="122"/>
        <v>0</v>
      </c>
      <c r="AJ33" s="523"/>
      <c r="AK33" s="524">
        <f t="shared" si="10"/>
        <v>0</v>
      </c>
      <c r="AL33" s="525">
        <f t="shared" si="123"/>
        <v>0</v>
      </c>
      <c r="AM33" s="523"/>
      <c r="AN33" s="524">
        <f t="shared" si="11"/>
        <v>0</v>
      </c>
      <c r="AO33" s="525">
        <f t="shared" si="124"/>
        <v>0</v>
      </c>
      <c r="AP33" s="523">
        <v>11.392405063291164</v>
      </c>
      <c r="AQ33" s="524">
        <f t="shared" si="12"/>
        <v>0.29619127637706794</v>
      </c>
      <c r="AR33" s="525">
        <f t="shared" si="125"/>
        <v>0</v>
      </c>
      <c r="AS33" s="523"/>
      <c r="AT33" s="524">
        <f t="shared" si="13"/>
        <v>0</v>
      </c>
      <c r="AU33" s="525">
        <f t="shared" si="126"/>
        <v>0</v>
      </c>
      <c r="AV33" s="523"/>
      <c r="AW33" s="524">
        <f t="shared" si="14"/>
        <v>0</v>
      </c>
      <c r="AX33" s="525">
        <f t="shared" si="127"/>
        <v>0</v>
      </c>
      <c r="AY33" s="523">
        <v>49.000000000000028</v>
      </c>
      <c r="AZ33" s="524">
        <f t="shared" si="15"/>
        <v>1.2739515898395868</v>
      </c>
      <c r="BA33" s="525">
        <f t="shared" si="128"/>
        <v>0</v>
      </c>
      <c r="BB33" s="523"/>
      <c r="BC33" s="524">
        <f t="shared" si="16"/>
        <v>0</v>
      </c>
      <c r="BD33" s="525">
        <f t="shared" si="129"/>
        <v>0</v>
      </c>
      <c r="BE33" s="523"/>
      <c r="BF33" s="524">
        <f t="shared" si="17"/>
        <v>0</v>
      </c>
      <c r="BG33" s="525">
        <f t="shared" si="130"/>
        <v>0</v>
      </c>
      <c r="BH33" s="523"/>
      <c r="BI33" s="524">
        <f t="shared" si="18"/>
        <v>0</v>
      </c>
      <c r="BJ33" s="525">
        <f t="shared" si="131"/>
        <v>0</v>
      </c>
      <c r="BK33" s="523"/>
      <c r="BL33" s="524">
        <f t="shared" si="19"/>
        <v>0</v>
      </c>
      <c r="BM33" s="525">
        <f t="shared" si="132"/>
        <v>0</v>
      </c>
      <c r="BN33" s="523"/>
      <c r="BO33" s="524">
        <f t="shared" si="20"/>
        <v>0</v>
      </c>
      <c r="BP33" s="525">
        <f t="shared" si="133"/>
        <v>0</v>
      </c>
      <c r="BQ33" s="523"/>
      <c r="BR33" s="524">
        <f t="shared" si="21"/>
        <v>0</v>
      </c>
      <c r="BS33" s="525">
        <f t="shared" si="134"/>
        <v>0</v>
      </c>
      <c r="BT33" s="523"/>
      <c r="BU33" s="524">
        <f t="shared" si="22"/>
        <v>0</v>
      </c>
      <c r="BV33" s="525">
        <f t="shared" si="135"/>
        <v>0</v>
      </c>
      <c r="BW33" s="523"/>
      <c r="BX33" s="524">
        <f t="shared" si="23"/>
        <v>0</v>
      </c>
      <c r="BY33" s="525">
        <f t="shared" si="136"/>
        <v>0</v>
      </c>
      <c r="BZ33" s="523"/>
      <c r="CA33" s="524">
        <f t="shared" si="24"/>
        <v>0</v>
      </c>
      <c r="CB33" s="525">
        <f t="shared" si="137"/>
        <v>0</v>
      </c>
      <c r="CC33" s="523"/>
      <c r="CD33" s="524">
        <f t="shared" si="25"/>
        <v>0</v>
      </c>
      <c r="CE33" s="525">
        <f t="shared" si="138"/>
        <v>0</v>
      </c>
      <c r="CF33" s="523">
        <v>0.30000000000000071</v>
      </c>
      <c r="CG33" s="524">
        <f t="shared" si="26"/>
        <v>7.7997036112627902E-3</v>
      </c>
      <c r="CH33" s="525">
        <f t="shared" si="139"/>
        <v>0</v>
      </c>
      <c r="CI33" s="523"/>
      <c r="CJ33" s="524">
        <f t="shared" si="27"/>
        <v>0</v>
      </c>
      <c r="CK33" s="525">
        <f t="shared" si="140"/>
        <v>0</v>
      </c>
      <c r="CL33" s="523"/>
      <c r="CM33" s="524">
        <f t="shared" si="28"/>
        <v>0</v>
      </c>
      <c r="CN33" s="525">
        <f t="shared" si="141"/>
        <v>0</v>
      </c>
      <c r="CO33" s="523"/>
      <c r="CP33" s="524">
        <f t="shared" si="29"/>
        <v>0</v>
      </c>
      <c r="CQ33" s="525">
        <f t="shared" si="142"/>
        <v>0</v>
      </c>
      <c r="CR33" s="523"/>
      <c r="CS33" s="524">
        <f t="shared" si="30"/>
        <v>0</v>
      </c>
      <c r="CT33" s="525">
        <f t="shared" si="143"/>
        <v>0</v>
      </c>
      <c r="CU33" s="523"/>
      <c r="CV33" s="524">
        <f t="shared" si="31"/>
        <v>0</v>
      </c>
      <c r="CW33" s="525">
        <f t="shared" si="144"/>
        <v>0</v>
      </c>
      <c r="CX33" s="523"/>
      <c r="CY33" s="524">
        <f t="shared" si="32"/>
        <v>0</v>
      </c>
      <c r="CZ33" s="525">
        <f t="shared" si="145"/>
        <v>0</v>
      </c>
      <c r="DA33" s="523">
        <v>130.81395348837214</v>
      </c>
      <c r="DB33" s="524">
        <f t="shared" si="33"/>
        <v>3.4010335514227212</v>
      </c>
      <c r="DC33" s="525">
        <f t="shared" si="146"/>
        <v>0</v>
      </c>
      <c r="DD33" s="523"/>
      <c r="DE33" s="524">
        <f t="shared" si="34"/>
        <v>0</v>
      </c>
      <c r="DF33" s="525">
        <f t="shared" si="147"/>
        <v>0</v>
      </c>
      <c r="DG33" s="523"/>
      <c r="DH33" s="524">
        <f t="shared" si="35"/>
        <v>0</v>
      </c>
      <c r="DI33" s="525">
        <f t="shared" si="203"/>
        <v>0</v>
      </c>
      <c r="DJ33" s="523"/>
      <c r="DK33" s="524">
        <f t="shared" si="36"/>
        <v>0</v>
      </c>
      <c r="DL33" s="525">
        <f t="shared" si="148"/>
        <v>0</v>
      </c>
      <c r="DM33" s="523"/>
      <c r="DN33" s="524">
        <f t="shared" si="37"/>
        <v>0</v>
      </c>
      <c r="DO33" s="525">
        <f t="shared" si="149"/>
        <v>0</v>
      </c>
      <c r="DP33" s="523"/>
      <c r="DQ33" s="524">
        <f t="shared" si="38"/>
        <v>0</v>
      </c>
      <c r="DR33" s="525">
        <f t="shared" si="150"/>
        <v>0</v>
      </c>
      <c r="DS33" s="523"/>
      <c r="DT33" s="524">
        <f t="shared" si="39"/>
        <v>0</v>
      </c>
      <c r="DU33" s="525">
        <f t="shared" si="151"/>
        <v>0</v>
      </c>
      <c r="DV33" s="523"/>
      <c r="DW33" s="524">
        <f t="shared" si="40"/>
        <v>0</v>
      </c>
      <c r="DX33" s="525">
        <f t="shared" si="152"/>
        <v>0</v>
      </c>
      <c r="DY33" s="523"/>
      <c r="DZ33" s="524">
        <f t="shared" si="41"/>
        <v>0</v>
      </c>
      <c r="EA33" s="525">
        <f t="shared" si="153"/>
        <v>0</v>
      </c>
      <c r="EB33" s="523"/>
      <c r="EC33" s="524">
        <f t="shared" si="42"/>
        <v>0</v>
      </c>
      <c r="ED33" s="525">
        <f t="shared" si="154"/>
        <v>0</v>
      </c>
      <c r="EE33" s="523">
        <v>46.964705882352973</v>
      </c>
      <c r="EF33" s="524">
        <f t="shared" si="43"/>
        <v>1.2210359535749413</v>
      </c>
      <c r="EG33" s="525">
        <f t="shared" si="155"/>
        <v>0</v>
      </c>
      <c r="EH33" s="523"/>
      <c r="EI33" s="524">
        <f t="shared" si="44"/>
        <v>0</v>
      </c>
      <c r="EJ33" s="525">
        <f t="shared" si="156"/>
        <v>0</v>
      </c>
      <c r="EK33" s="523"/>
      <c r="EL33" s="524">
        <f t="shared" si="45"/>
        <v>0</v>
      </c>
      <c r="EM33" s="525">
        <f t="shared" si="157"/>
        <v>0</v>
      </c>
      <c r="EN33" s="523"/>
      <c r="EO33" s="524">
        <f t="shared" si="46"/>
        <v>0</v>
      </c>
      <c r="EP33" s="525">
        <f t="shared" si="158"/>
        <v>0</v>
      </c>
      <c r="EQ33" s="523"/>
      <c r="ER33" s="524">
        <f t="shared" si="47"/>
        <v>0</v>
      </c>
      <c r="ES33" s="525">
        <f t="shared" si="159"/>
        <v>0</v>
      </c>
      <c r="ET33" s="523"/>
      <c r="EU33" s="524">
        <f t="shared" si="48"/>
        <v>0</v>
      </c>
      <c r="EV33" s="525">
        <f t="shared" si="160"/>
        <v>0</v>
      </c>
      <c r="EW33" s="523"/>
      <c r="EX33" s="524">
        <f t="shared" si="49"/>
        <v>0</v>
      </c>
      <c r="EY33" s="525">
        <f t="shared" si="161"/>
        <v>0</v>
      </c>
      <c r="EZ33" s="523"/>
      <c r="FA33" s="524">
        <f t="shared" si="50"/>
        <v>0</v>
      </c>
      <c r="FB33" s="525">
        <f t="shared" si="162"/>
        <v>0</v>
      </c>
      <c r="FC33" s="523"/>
      <c r="FD33" s="524">
        <f t="shared" si="51"/>
        <v>0</v>
      </c>
      <c r="FE33" s="525">
        <f t="shared" si="163"/>
        <v>0</v>
      </c>
      <c r="FF33" s="523"/>
      <c r="FG33" s="524">
        <f t="shared" si="52"/>
        <v>0</v>
      </c>
      <c r="FH33" s="525">
        <f t="shared" si="164"/>
        <v>0</v>
      </c>
      <c r="FI33" s="523"/>
      <c r="FJ33" s="524">
        <f t="shared" si="53"/>
        <v>0</v>
      </c>
      <c r="FK33" s="525">
        <f t="shared" si="165"/>
        <v>0</v>
      </c>
      <c r="FL33" s="523"/>
      <c r="FM33" s="524">
        <f t="shared" si="54"/>
        <v>0</v>
      </c>
      <c r="FN33" s="525">
        <f t="shared" si="166"/>
        <v>0</v>
      </c>
      <c r="FO33" s="523"/>
      <c r="FP33" s="524">
        <f t="shared" si="55"/>
        <v>0</v>
      </c>
      <c r="FQ33" s="525">
        <f t="shared" si="167"/>
        <v>0</v>
      </c>
      <c r="FR33" s="523"/>
      <c r="FS33" s="524">
        <f t="shared" si="56"/>
        <v>0</v>
      </c>
      <c r="FT33" s="525">
        <f t="shared" si="168"/>
        <v>0</v>
      </c>
      <c r="FU33" s="523"/>
      <c r="FV33" s="524">
        <f t="shared" si="57"/>
        <v>0</v>
      </c>
      <c r="FW33" s="525">
        <f t="shared" si="169"/>
        <v>0</v>
      </c>
      <c r="FX33" s="523"/>
      <c r="FY33" s="524">
        <f t="shared" si="58"/>
        <v>0</v>
      </c>
      <c r="FZ33" s="525">
        <f t="shared" si="170"/>
        <v>0</v>
      </c>
      <c r="GA33" s="523"/>
      <c r="GB33" s="524">
        <f t="shared" si="59"/>
        <v>0</v>
      </c>
      <c r="GC33" s="525">
        <f t="shared" si="171"/>
        <v>0</v>
      </c>
      <c r="GD33" s="523"/>
      <c r="GE33" s="524">
        <f t="shared" si="60"/>
        <v>0</v>
      </c>
      <c r="GF33" s="525">
        <f t="shared" si="172"/>
        <v>0</v>
      </c>
      <c r="GG33" s="523"/>
      <c r="GH33" s="524">
        <f t="shared" si="61"/>
        <v>0</v>
      </c>
      <c r="GI33" s="525">
        <f t="shared" si="173"/>
        <v>0</v>
      </c>
      <c r="GJ33" s="523"/>
      <c r="GK33" s="524">
        <f t="shared" si="62"/>
        <v>0</v>
      </c>
      <c r="GL33" s="525">
        <f t="shared" si="174"/>
        <v>0</v>
      </c>
      <c r="GM33" s="523"/>
      <c r="GN33" s="524">
        <f t="shared" si="63"/>
        <v>0</v>
      </c>
      <c r="GO33" s="525">
        <f t="shared" si="175"/>
        <v>0</v>
      </c>
      <c r="GP33" s="523"/>
      <c r="GQ33" s="524">
        <f t="shared" si="64"/>
        <v>0</v>
      </c>
      <c r="GR33" s="525">
        <f t="shared" si="176"/>
        <v>0</v>
      </c>
      <c r="GS33" s="523"/>
      <c r="GT33" s="524">
        <f t="shared" si="65"/>
        <v>0</v>
      </c>
      <c r="GU33" s="525">
        <f t="shared" si="177"/>
        <v>0</v>
      </c>
      <c r="GV33" s="523"/>
      <c r="GW33" s="524">
        <f t="shared" si="66"/>
        <v>0</v>
      </c>
      <c r="GX33" s="525">
        <f t="shared" si="178"/>
        <v>0</v>
      </c>
      <c r="GY33" s="523"/>
      <c r="GZ33" s="524">
        <f t="shared" si="67"/>
        <v>0</v>
      </c>
      <c r="HA33" s="525">
        <f t="shared" si="179"/>
        <v>0</v>
      </c>
      <c r="HB33" s="523"/>
      <c r="HC33" s="524">
        <f t="shared" si="68"/>
        <v>0</v>
      </c>
      <c r="HD33" s="525">
        <f t="shared" si="180"/>
        <v>0</v>
      </c>
      <c r="HE33" s="523"/>
      <c r="HF33" s="524">
        <f t="shared" si="69"/>
        <v>0</v>
      </c>
      <c r="HG33" s="525">
        <f t="shared" si="181"/>
        <v>0</v>
      </c>
      <c r="HH33" s="523"/>
      <c r="HI33" s="524">
        <f t="shared" si="70"/>
        <v>0</v>
      </c>
      <c r="HJ33" s="525">
        <f t="shared" si="182"/>
        <v>0</v>
      </c>
      <c r="HK33" s="523"/>
      <c r="HL33" s="524">
        <f t="shared" si="71"/>
        <v>0</v>
      </c>
      <c r="HM33" s="525">
        <f t="shared" si="183"/>
        <v>0</v>
      </c>
      <c r="HN33" s="523"/>
      <c r="HO33" s="524">
        <f t="shared" si="72"/>
        <v>0</v>
      </c>
      <c r="HP33" s="525">
        <f t="shared" si="184"/>
        <v>0</v>
      </c>
      <c r="HQ33" s="523"/>
      <c r="HR33" s="524">
        <f t="shared" si="73"/>
        <v>0</v>
      </c>
      <c r="HS33" s="525">
        <f t="shared" si="185"/>
        <v>0</v>
      </c>
      <c r="HT33" s="523"/>
      <c r="HU33" s="524">
        <f t="shared" si="74"/>
        <v>0</v>
      </c>
      <c r="HV33" s="525">
        <f t="shared" si="186"/>
        <v>0</v>
      </c>
      <c r="HW33" s="523"/>
      <c r="HX33" s="524">
        <f t="shared" si="75"/>
        <v>0</v>
      </c>
      <c r="HY33" s="525">
        <f t="shared" si="187"/>
        <v>0</v>
      </c>
      <c r="HZ33" s="523"/>
      <c r="IA33" s="524">
        <f t="shared" si="76"/>
        <v>0</v>
      </c>
      <c r="IB33" s="525">
        <f t="shared" si="188"/>
        <v>0</v>
      </c>
      <c r="IC33" s="523"/>
      <c r="ID33" s="524">
        <f t="shared" si="77"/>
        <v>0</v>
      </c>
      <c r="IE33" s="525">
        <f t="shared" si="189"/>
        <v>0</v>
      </c>
      <c r="IF33" s="523"/>
      <c r="IG33" s="524">
        <f t="shared" si="78"/>
        <v>0</v>
      </c>
      <c r="IH33" s="525">
        <f t="shared" si="190"/>
        <v>0</v>
      </c>
      <c r="II33" s="523"/>
      <c r="IJ33" s="524">
        <f t="shared" si="79"/>
        <v>0</v>
      </c>
      <c r="IK33" s="525">
        <f t="shared" si="191"/>
        <v>0</v>
      </c>
      <c r="IL33" s="523"/>
      <c r="IM33" s="524">
        <f t="shared" si="80"/>
        <v>0</v>
      </c>
      <c r="IN33" s="525">
        <f t="shared" si="192"/>
        <v>0</v>
      </c>
      <c r="IO33" s="523"/>
      <c r="IP33" s="524">
        <f t="shared" si="81"/>
        <v>0</v>
      </c>
      <c r="IQ33" s="525">
        <f t="shared" si="193"/>
        <v>0</v>
      </c>
      <c r="IR33" s="523"/>
      <c r="IS33" s="524">
        <f t="shared" si="82"/>
        <v>0</v>
      </c>
      <c r="IT33" s="525">
        <f t="shared" si="194"/>
        <v>0</v>
      </c>
      <c r="IU33" s="523"/>
      <c r="IV33" s="524">
        <f t="shared" si="83"/>
        <v>0</v>
      </c>
      <c r="IW33" s="525">
        <f t="shared" si="195"/>
        <v>0</v>
      </c>
      <c r="IX33" s="523"/>
      <c r="IY33" s="524">
        <f t="shared" si="84"/>
        <v>0</v>
      </c>
      <c r="IZ33" s="525">
        <f t="shared" si="196"/>
        <v>0</v>
      </c>
      <c r="JA33" s="523"/>
      <c r="JB33" s="524">
        <f t="shared" si="85"/>
        <v>0</v>
      </c>
      <c r="JC33" s="525">
        <f t="shared" si="197"/>
        <v>0</v>
      </c>
      <c r="JD33" s="523"/>
      <c r="JE33" s="524">
        <f t="shared" si="86"/>
        <v>0</v>
      </c>
      <c r="JF33" s="525">
        <f t="shared" si="198"/>
        <v>0</v>
      </c>
      <c r="JG33" s="523"/>
      <c r="JH33" s="524">
        <f t="shared" si="87"/>
        <v>0</v>
      </c>
      <c r="JI33" s="525">
        <f t="shared" si="199"/>
        <v>0</v>
      </c>
      <c r="JJ33" s="523"/>
      <c r="JK33" s="525" t="str">
        <f t="shared" si="88"/>
        <v>0</v>
      </c>
      <c r="JL33" s="525" t="str">
        <f t="shared" si="89"/>
        <v>0</v>
      </c>
      <c r="JM33" s="523"/>
      <c r="JN33" s="525" t="str">
        <f t="shared" si="90"/>
        <v>0</v>
      </c>
      <c r="JO33" s="525" t="str">
        <f t="shared" si="91"/>
        <v>0</v>
      </c>
      <c r="JP33" s="523"/>
      <c r="JQ33" s="525" t="str">
        <f t="shared" si="92"/>
        <v>0</v>
      </c>
      <c r="JR33" s="525" t="str">
        <f t="shared" si="93"/>
        <v>0</v>
      </c>
      <c r="JS33" s="523"/>
      <c r="JT33" s="525" t="str">
        <f t="shared" si="94"/>
        <v>0</v>
      </c>
      <c r="JU33" s="525" t="str">
        <f t="shared" si="95"/>
        <v>0</v>
      </c>
      <c r="JV33" s="523"/>
      <c r="JW33" s="525" t="str">
        <f t="shared" si="96"/>
        <v>0</v>
      </c>
      <c r="JX33" s="525" t="str">
        <f t="shared" si="97"/>
        <v>0</v>
      </c>
      <c r="JY33" s="523"/>
      <c r="JZ33" s="525" t="str">
        <f t="shared" si="98"/>
        <v>0</v>
      </c>
      <c r="KA33" s="525" t="str">
        <f t="shared" si="99"/>
        <v>0</v>
      </c>
      <c r="KB33" s="523"/>
      <c r="KC33" s="525" t="str">
        <f t="shared" si="100"/>
        <v>0</v>
      </c>
      <c r="KD33" s="525" t="str">
        <f t="shared" si="101"/>
        <v>0</v>
      </c>
      <c r="KE33" s="523"/>
      <c r="KF33" s="525" t="str">
        <f t="shared" si="102"/>
        <v>0</v>
      </c>
      <c r="KG33" s="525" t="str">
        <f t="shared" si="103"/>
        <v>0</v>
      </c>
      <c r="KH33" s="523"/>
      <c r="KI33" s="525" t="str">
        <f t="shared" si="104"/>
        <v>0</v>
      </c>
      <c r="KJ33" s="525" t="str">
        <f t="shared" si="105"/>
        <v>0</v>
      </c>
      <c r="KK33" s="523"/>
      <c r="KL33" s="525" t="str">
        <f t="shared" si="106"/>
        <v>0</v>
      </c>
      <c r="KM33" s="525" t="str">
        <f t="shared" si="107"/>
        <v>0</v>
      </c>
      <c r="KN33" s="523"/>
      <c r="KO33" s="525" t="str">
        <f t="shared" si="108"/>
        <v>0</v>
      </c>
      <c r="KP33" s="525" t="str">
        <f t="shared" si="109"/>
        <v>0</v>
      </c>
      <c r="KQ33" s="523"/>
      <c r="KR33" s="525" t="str">
        <f t="shared" si="110"/>
        <v>0</v>
      </c>
      <c r="KS33" s="525" t="str">
        <f t="shared" si="111"/>
        <v>0</v>
      </c>
      <c r="KT33" s="525">
        <f t="shared" si="201"/>
        <v>0</v>
      </c>
      <c r="KU33" s="525">
        <f t="shared" si="202"/>
        <v>0</v>
      </c>
      <c r="KV33" s="261">
        <f t="shared" si="112"/>
        <v>244.03356443401634</v>
      </c>
    </row>
    <row r="34" spans="1:308" ht="15" customHeight="1">
      <c r="A34" s="262">
        <f t="shared" si="200"/>
        <v>45987</v>
      </c>
      <c r="B34" s="263" t="str">
        <f>+Report1!B34</f>
        <v>Toilet</v>
      </c>
      <c r="C34" s="263" t="str">
        <f>+Report1!C34</f>
        <v>15</v>
      </c>
      <c r="D34" s="264">
        <f>+Report1!P34</f>
        <v>42.676000000000002</v>
      </c>
      <c r="E34" s="562">
        <f>+Report1!R34</f>
        <v>38.930999999999997</v>
      </c>
      <c r="F34" s="523"/>
      <c r="G34" s="524">
        <f t="shared" si="0"/>
        <v>0</v>
      </c>
      <c r="H34" s="525">
        <f t="shared" si="113"/>
        <v>0</v>
      </c>
      <c r="I34" s="523"/>
      <c r="J34" s="524">
        <f t="shared" si="1"/>
        <v>0</v>
      </c>
      <c r="K34" s="525">
        <f t="shared" si="114"/>
        <v>0</v>
      </c>
      <c r="L34" s="523"/>
      <c r="M34" s="524">
        <f t="shared" si="2"/>
        <v>0</v>
      </c>
      <c r="N34" s="525">
        <f t="shared" si="115"/>
        <v>0</v>
      </c>
      <c r="O34" s="523">
        <v>2.9999999999999716</v>
      </c>
      <c r="P34" s="524">
        <f t="shared" si="3"/>
        <v>7.7059412807273686E-2</v>
      </c>
      <c r="Q34" s="525">
        <f t="shared" si="116"/>
        <v>0</v>
      </c>
      <c r="R34" s="523"/>
      <c r="S34" s="524">
        <f t="shared" si="4"/>
        <v>0</v>
      </c>
      <c r="T34" s="525">
        <f t="shared" si="117"/>
        <v>0</v>
      </c>
      <c r="U34" s="523">
        <v>2.5625</v>
      </c>
      <c r="V34" s="524">
        <f t="shared" si="5"/>
        <v>6.5821581772880222E-2</v>
      </c>
      <c r="W34" s="525">
        <f t="shared" si="118"/>
        <v>0</v>
      </c>
      <c r="X34" s="523"/>
      <c r="Y34" s="524">
        <f t="shared" si="6"/>
        <v>0</v>
      </c>
      <c r="Z34" s="525">
        <f t="shared" si="119"/>
        <v>0</v>
      </c>
      <c r="AA34" s="523"/>
      <c r="AB34" s="524">
        <f t="shared" si="7"/>
        <v>0</v>
      </c>
      <c r="AC34" s="525">
        <f t="shared" si="120"/>
        <v>0</v>
      </c>
      <c r="AD34" s="523"/>
      <c r="AE34" s="524">
        <f t="shared" si="8"/>
        <v>0</v>
      </c>
      <c r="AF34" s="525">
        <f t="shared" si="121"/>
        <v>0</v>
      </c>
      <c r="AG34" s="523"/>
      <c r="AH34" s="524">
        <f t="shared" si="9"/>
        <v>0</v>
      </c>
      <c r="AI34" s="525">
        <f t="shared" si="122"/>
        <v>0</v>
      </c>
      <c r="AJ34" s="523"/>
      <c r="AK34" s="524">
        <f t="shared" si="10"/>
        <v>0</v>
      </c>
      <c r="AL34" s="525">
        <f t="shared" si="123"/>
        <v>0</v>
      </c>
      <c r="AM34" s="523"/>
      <c r="AN34" s="524">
        <f t="shared" si="11"/>
        <v>0</v>
      </c>
      <c r="AO34" s="525">
        <f t="shared" si="124"/>
        <v>0</v>
      </c>
      <c r="AP34" s="523">
        <v>62.658227848101234</v>
      </c>
      <c r="AQ34" s="524">
        <f t="shared" si="12"/>
        <v>1.6094687485063635</v>
      </c>
      <c r="AR34" s="525">
        <f t="shared" si="125"/>
        <v>0</v>
      </c>
      <c r="AS34" s="523"/>
      <c r="AT34" s="524">
        <f t="shared" si="13"/>
        <v>0</v>
      </c>
      <c r="AU34" s="525">
        <f t="shared" si="126"/>
        <v>0</v>
      </c>
      <c r="AV34" s="523"/>
      <c r="AW34" s="524">
        <f t="shared" si="14"/>
        <v>0</v>
      </c>
      <c r="AX34" s="525">
        <f t="shared" si="127"/>
        <v>0</v>
      </c>
      <c r="AY34" s="523">
        <v>39.666666666666657</v>
      </c>
      <c r="AZ34" s="524">
        <f t="shared" si="15"/>
        <v>1.0188966804517392</v>
      </c>
      <c r="BA34" s="525">
        <f t="shared" si="128"/>
        <v>0</v>
      </c>
      <c r="BB34" s="523"/>
      <c r="BC34" s="524">
        <f t="shared" si="16"/>
        <v>0</v>
      </c>
      <c r="BD34" s="525">
        <f t="shared" si="129"/>
        <v>0</v>
      </c>
      <c r="BE34" s="523"/>
      <c r="BF34" s="524">
        <f t="shared" si="17"/>
        <v>0</v>
      </c>
      <c r="BG34" s="525">
        <f t="shared" si="130"/>
        <v>0</v>
      </c>
      <c r="BH34" s="523"/>
      <c r="BI34" s="524">
        <f t="shared" si="18"/>
        <v>0</v>
      </c>
      <c r="BJ34" s="525">
        <f t="shared" si="131"/>
        <v>0</v>
      </c>
      <c r="BK34" s="523"/>
      <c r="BL34" s="524">
        <f t="shared" si="19"/>
        <v>0</v>
      </c>
      <c r="BM34" s="525">
        <f t="shared" si="132"/>
        <v>0</v>
      </c>
      <c r="BN34" s="523"/>
      <c r="BO34" s="524">
        <f t="shared" si="20"/>
        <v>0</v>
      </c>
      <c r="BP34" s="525">
        <f t="shared" si="133"/>
        <v>0</v>
      </c>
      <c r="BQ34" s="523"/>
      <c r="BR34" s="524">
        <f t="shared" si="21"/>
        <v>0</v>
      </c>
      <c r="BS34" s="525">
        <f t="shared" si="134"/>
        <v>0</v>
      </c>
      <c r="BT34" s="523"/>
      <c r="BU34" s="524">
        <f t="shared" si="22"/>
        <v>0</v>
      </c>
      <c r="BV34" s="525">
        <f t="shared" si="135"/>
        <v>0</v>
      </c>
      <c r="BW34" s="523"/>
      <c r="BX34" s="524">
        <f t="shared" si="23"/>
        <v>0</v>
      </c>
      <c r="BY34" s="525">
        <f t="shared" si="136"/>
        <v>0</v>
      </c>
      <c r="BZ34" s="523"/>
      <c r="CA34" s="524">
        <f t="shared" si="24"/>
        <v>0</v>
      </c>
      <c r="CB34" s="525">
        <f t="shared" si="137"/>
        <v>0</v>
      </c>
      <c r="CC34" s="523"/>
      <c r="CD34" s="524">
        <f t="shared" si="25"/>
        <v>0</v>
      </c>
      <c r="CE34" s="525">
        <f t="shared" si="138"/>
        <v>0</v>
      </c>
      <c r="CF34" s="523">
        <v>0.10000000000000142</v>
      </c>
      <c r="CG34" s="524">
        <f t="shared" si="26"/>
        <v>2.5686470935758505E-3</v>
      </c>
      <c r="CH34" s="525">
        <f t="shared" si="139"/>
        <v>0</v>
      </c>
      <c r="CI34" s="523"/>
      <c r="CJ34" s="524">
        <f t="shared" si="27"/>
        <v>0</v>
      </c>
      <c r="CK34" s="525">
        <f t="shared" si="140"/>
        <v>0</v>
      </c>
      <c r="CL34" s="523"/>
      <c r="CM34" s="524">
        <f t="shared" si="28"/>
        <v>0</v>
      </c>
      <c r="CN34" s="525">
        <f t="shared" si="141"/>
        <v>0</v>
      </c>
      <c r="CO34" s="523"/>
      <c r="CP34" s="524">
        <f t="shared" si="29"/>
        <v>0</v>
      </c>
      <c r="CQ34" s="525">
        <f t="shared" si="142"/>
        <v>0</v>
      </c>
      <c r="CR34" s="523"/>
      <c r="CS34" s="524">
        <f t="shared" si="30"/>
        <v>0</v>
      </c>
      <c r="CT34" s="525">
        <f t="shared" si="143"/>
        <v>0</v>
      </c>
      <c r="CU34" s="523"/>
      <c r="CV34" s="524">
        <f t="shared" si="31"/>
        <v>0</v>
      </c>
      <c r="CW34" s="525">
        <f t="shared" si="144"/>
        <v>0</v>
      </c>
      <c r="CX34" s="523"/>
      <c r="CY34" s="524">
        <f t="shared" si="32"/>
        <v>0</v>
      </c>
      <c r="CZ34" s="525">
        <f t="shared" si="145"/>
        <v>0</v>
      </c>
      <c r="DA34" s="523">
        <v>145.3488372093023</v>
      </c>
      <c r="DB34" s="524">
        <f t="shared" si="33"/>
        <v>3.7334986825229848</v>
      </c>
      <c r="DC34" s="525">
        <f t="shared" si="146"/>
        <v>0</v>
      </c>
      <c r="DD34" s="523"/>
      <c r="DE34" s="524">
        <f t="shared" si="34"/>
        <v>0</v>
      </c>
      <c r="DF34" s="525">
        <f t="shared" si="147"/>
        <v>0</v>
      </c>
      <c r="DG34" s="523"/>
      <c r="DH34" s="524">
        <f t="shared" si="35"/>
        <v>0</v>
      </c>
      <c r="DI34" s="525">
        <f t="shared" si="203"/>
        <v>0</v>
      </c>
      <c r="DJ34" s="523"/>
      <c r="DK34" s="524">
        <f t="shared" si="36"/>
        <v>0</v>
      </c>
      <c r="DL34" s="525">
        <f t="shared" si="148"/>
        <v>0</v>
      </c>
      <c r="DM34" s="523"/>
      <c r="DN34" s="524">
        <f t="shared" si="37"/>
        <v>0</v>
      </c>
      <c r="DO34" s="525">
        <f t="shared" si="149"/>
        <v>0</v>
      </c>
      <c r="DP34" s="523"/>
      <c r="DQ34" s="524">
        <f t="shared" si="38"/>
        <v>0</v>
      </c>
      <c r="DR34" s="525">
        <f t="shared" si="150"/>
        <v>0</v>
      </c>
      <c r="DS34" s="523"/>
      <c r="DT34" s="524">
        <f t="shared" si="39"/>
        <v>0</v>
      </c>
      <c r="DU34" s="525">
        <f t="shared" si="151"/>
        <v>0</v>
      </c>
      <c r="DV34" s="523"/>
      <c r="DW34" s="524">
        <f t="shared" si="40"/>
        <v>0</v>
      </c>
      <c r="DX34" s="525">
        <f t="shared" si="152"/>
        <v>0</v>
      </c>
      <c r="DY34" s="523"/>
      <c r="DZ34" s="524">
        <f t="shared" si="41"/>
        <v>0</v>
      </c>
      <c r="EA34" s="525">
        <f t="shared" si="153"/>
        <v>0</v>
      </c>
      <c r="EB34" s="523"/>
      <c r="EC34" s="524">
        <f t="shared" si="42"/>
        <v>0</v>
      </c>
      <c r="ED34" s="525">
        <f t="shared" si="154"/>
        <v>0</v>
      </c>
      <c r="EE34" s="523">
        <v>70.447058823529346</v>
      </c>
      <c r="EF34" s="524">
        <f t="shared" si="43"/>
        <v>1.8095363289802304</v>
      </c>
      <c r="EG34" s="525">
        <f t="shared" si="155"/>
        <v>0</v>
      </c>
      <c r="EH34" s="523"/>
      <c r="EI34" s="524">
        <f t="shared" si="44"/>
        <v>0</v>
      </c>
      <c r="EJ34" s="525">
        <f t="shared" si="156"/>
        <v>0</v>
      </c>
      <c r="EK34" s="523"/>
      <c r="EL34" s="524">
        <f t="shared" si="45"/>
        <v>0</v>
      </c>
      <c r="EM34" s="525">
        <f t="shared" si="157"/>
        <v>0</v>
      </c>
      <c r="EN34" s="523"/>
      <c r="EO34" s="524">
        <f t="shared" si="46"/>
        <v>0</v>
      </c>
      <c r="EP34" s="525">
        <f t="shared" si="158"/>
        <v>0</v>
      </c>
      <c r="EQ34" s="523"/>
      <c r="ER34" s="524">
        <f t="shared" si="47"/>
        <v>0</v>
      </c>
      <c r="ES34" s="525">
        <f t="shared" si="159"/>
        <v>0</v>
      </c>
      <c r="ET34" s="523"/>
      <c r="EU34" s="524">
        <f t="shared" si="48"/>
        <v>0</v>
      </c>
      <c r="EV34" s="525">
        <f t="shared" si="160"/>
        <v>0</v>
      </c>
      <c r="EW34" s="523"/>
      <c r="EX34" s="524">
        <f t="shared" si="49"/>
        <v>0</v>
      </c>
      <c r="EY34" s="525">
        <f t="shared" si="161"/>
        <v>0</v>
      </c>
      <c r="EZ34" s="523"/>
      <c r="FA34" s="524">
        <f t="shared" si="50"/>
        <v>0</v>
      </c>
      <c r="FB34" s="525">
        <f t="shared" si="162"/>
        <v>0</v>
      </c>
      <c r="FC34" s="523"/>
      <c r="FD34" s="524">
        <f t="shared" si="51"/>
        <v>0</v>
      </c>
      <c r="FE34" s="525">
        <f t="shared" si="163"/>
        <v>0</v>
      </c>
      <c r="FF34" s="523"/>
      <c r="FG34" s="524">
        <f t="shared" si="52"/>
        <v>0</v>
      </c>
      <c r="FH34" s="525">
        <f t="shared" si="164"/>
        <v>0</v>
      </c>
      <c r="FI34" s="523"/>
      <c r="FJ34" s="524">
        <f t="shared" si="53"/>
        <v>0</v>
      </c>
      <c r="FK34" s="525">
        <f t="shared" si="165"/>
        <v>0</v>
      </c>
      <c r="FL34" s="523"/>
      <c r="FM34" s="524">
        <f t="shared" si="54"/>
        <v>0</v>
      </c>
      <c r="FN34" s="525">
        <f t="shared" si="166"/>
        <v>0</v>
      </c>
      <c r="FO34" s="523"/>
      <c r="FP34" s="524">
        <f t="shared" si="55"/>
        <v>0</v>
      </c>
      <c r="FQ34" s="525">
        <f t="shared" si="167"/>
        <v>0</v>
      </c>
      <c r="FR34" s="523"/>
      <c r="FS34" s="524">
        <f t="shared" si="56"/>
        <v>0</v>
      </c>
      <c r="FT34" s="525">
        <f t="shared" si="168"/>
        <v>0</v>
      </c>
      <c r="FU34" s="523"/>
      <c r="FV34" s="524">
        <f t="shared" si="57"/>
        <v>0</v>
      </c>
      <c r="FW34" s="525">
        <f t="shared" si="169"/>
        <v>0</v>
      </c>
      <c r="FX34" s="523"/>
      <c r="FY34" s="524">
        <f t="shared" si="58"/>
        <v>0</v>
      </c>
      <c r="FZ34" s="525">
        <f t="shared" si="170"/>
        <v>0</v>
      </c>
      <c r="GA34" s="523"/>
      <c r="GB34" s="524">
        <f t="shared" si="59"/>
        <v>0</v>
      </c>
      <c r="GC34" s="525">
        <f t="shared" si="171"/>
        <v>0</v>
      </c>
      <c r="GD34" s="523"/>
      <c r="GE34" s="524">
        <f t="shared" si="60"/>
        <v>0</v>
      </c>
      <c r="GF34" s="525">
        <f t="shared" si="172"/>
        <v>0</v>
      </c>
      <c r="GG34" s="523"/>
      <c r="GH34" s="524">
        <f t="shared" si="61"/>
        <v>0</v>
      </c>
      <c r="GI34" s="525">
        <f t="shared" si="173"/>
        <v>0</v>
      </c>
      <c r="GJ34" s="523"/>
      <c r="GK34" s="524">
        <f t="shared" si="62"/>
        <v>0</v>
      </c>
      <c r="GL34" s="525">
        <f t="shared" si="174"/>
        <v>0</v>
      </c>
      <c r="GM34" s="523"/>
      <c r="GN34" s="524">
        <f t="shared" si="63"/>
        <v>0</v>
      </c>
      <c r="GO34" s="525">
        <f t="shared" si="175"/>
        <v>0</v>
      </c>
      <c r="GP34" s="523"/>
      <c r="GQ34" s="524">
        <f t="shared" si="64"/>
        <v>0</v>
      </c>
      <c r="GR34" s="525">
        <f t="shared" si="176"/>
        <v>0</v>
      </c>
      <c r="GS34" s="523"/>
      <c r="GT34" s="524">
        <f t="shared" si="65"/>
        <v>0</v>
      </c>
      <c r="GU34" s="525">
        <f t="shared" si="177"/>
        <v>0</v>
      </c>
      <c r="GV34" s="523"/>
      <c r="GW34" s="524">
        <f t="shared" si="66"/>
        <v>0</v>
      </c>
      <c r="GX34" s="525">
        <f t="shared" si="178"/>
        <v>0</v>
      </c>
      <c r="GY34" s="523"/>
      <c r="GZ34" s="524">
        <f t="shared" si="67"/>
        <v>0</v>
      </c>
      <c r="HA34" s="525">
        <f t="shared" si="179"/>
        <v>0</v>
      </c>
      <c r="HB34" s="523"/>
      <c r="HC34" s="524">
        <f t="shared" si="68"/>
        <v>0</v>
      </c>
      <c r="HD34" s="525">
        <f t="shared" si="180"/>
        <v>0</v>
      </c>
      <c r="HE34" s="523"/>
      <c r="HF34" s="524">
        <f t="shared" si="69"/>
        <v>0</v>
      </c>
      <c r="HG34" s="525">
        <f t="shared" si="181"/>
        <v>0</v>
      </c>
      <c r="HH34" s="523"/>
      <c r="HI34" s="524">
        <f t="shared" si="70"/>
        <v>0</v>
      </c>
      <c r="HJ34" s="525">
        <f t="shared" si="182"/>
        <v>0</v>
      </c>
      <c r="HK34" s="523"/>
      <c r="HL34" s="524">
        <f t="shared" si="71"/>
        <v>0</v>
      </c>
      <c r="HM34" s="525">
        <f t="shared" si="183"/>
        <v>0</v>
      </c>
      <c r="HN34" s="523"/>
      <c r="HO34" s="524">
        <f t="shared" si="72"/>
        <v>0</v>
      </c>
      <c r="HP34" s="525">
        <f t="shared" si="184"/>
        <v>0</v>
      </c>
      <c r="HQ34" s="523"/>
      <c r="HR34" s="524">
        <f t="shared" si="73"/>
        <v>0</v>
      </c>
      <c r="HS34" s="525">
        <f t="shared" si="185"/>
        <v>0</v>
      </c>
      <c r="HT34" s="523"/>
      <c r="HU34" s="524">
        <f t="shared" si="74"/>
        <v>0</v>
      </c>
      <c r="HV34" s="525">
        <f t="shared" si="186"/>
        <v>0</v>
      </c>
      <c r="HW34" s="523"/>
      <c r="HX34" s="524">
        <f t="shared" si="75"/>
        <v>0</v>
      </c>
      <c r="HY34" s="525">
        <f t="shared" si="187"/>
        <v>0</v>
      </c>
      <c r="HZ34" s="523"/>
      <c r="IA34" s="524">
        <f t="shared" si="76"/>
        <v>0</v>
      </c>
      <c r="IB34" s="525">
        <f t="shared" si="188"/>
        <v>0</v>
      </c>
      <c r="IC34" s="523"/>
      <c r="ID34" s="524">
        <f t="shared" si="77"/>
        <v>0</v>
      </c>
      <c r="IE34" s="525">
        <f t="shared" si="189"/>
        <v>0</v>
      </c>
      <c r="IF34" s="523"/>
      <c r="IG34" s="524">
        <f t="shared" si="78"/>
        <v>0</v>
      </c>
      <c r="IH34" s="525">
        <f t="shared" si="190"/>
        <v>0</v>
      </c>
      <c r="II34" s="523"/>
      <c r="IJ34" s="524">
        <f t="shared" si="79"/>
        <v>0</v>
      </c>
      <c r="IK34" s="525">
        <f t="shared" si="191"/>
        <v>0</v>
      </c>
      <c r="IL34" s="523"/>
      <c r="IM34" s="524">
        <f t="shared" si="80"/>
        <v>0</v>
      </c>
      <c r="IN34" s="525">
        <f t="shared" si="192"/>
        <v>0</v>
      </c>
      <c r="IO34" s="523"/>
      <c r="IP34" s="524">
        <f t="shared" si="81"/>
        <v>0</v>
      </c>
      <c r="IQ34" s="525">
        <f t="shared" si="193"/>
        <v>0</v>
      </c>
      <c r="IR34" s="523"/>
      <c r="IS34" s="524">
        <f t="shared" si="82"/>
        <v>0</v>
      </c>
      <c r="IT34" s="525">
        <f t="shared" si="194"/>
        <v>0</v>
      </c>
      <c r="IU34" s="523"/>
      <c r="IV34" s="524">
        <f t="shared" si="83"/>
        <v>0</v>
      </c>
      <c r="IW34" s="525">
        <f t="shared" si="195"/>
        <v>0</v>
      </c>
      <c r="IX34" s="523"/>
      <c r="IY34" s="524">
        <f t="shared" si="84"/>
        <v>0</v>
      </c>
      <c r="IZ34" s="525">
        <f t="shared" si="196"/>
        <v>0</v>
      </c>
      <c r="JA34" s="523"/>
      <c r="JB34" s="524">
        <f t="shared" si="85"/>
        <v>0</v>
      </c>
      <c r="JC34" s="525">
        <f t="shared" si="197"/>
        <v>0</v>
      </c>
      <c r="JD34" s="523"/>
      <c r="JE34" s="524">
        <f t="shared" si="86"/>
        <v>0</v>
      </c>
      <c r="JF34" s="525">
        <f t="shared" si="198"/>
        <v>0</v>
      </c>
      <c r="JG34" s="523"/>
      <c r="JH34" s="524">
        <f t="shared" si="87"/>
        <v>0</v>
      </c>
      <c r="JI34" s="525">
        <f t="shared" si="199"/>
        <v>0</v>
      </c>
      <c r="JJ34" s="523"/>
      <c r="JK34" s="525" t="str">
        <f t="shared" si="88"/>
        <v>0</v>
      </c>
      <c r="JL34" s="525" t="str">
        <f t="shared" si="89"/>
        <v>0</v>
      </c>
      <c r="JM34" s="523"/>
      <c r="JN34" s="525" t="str">
        <f t="shared" si="90"/>
        <v>0</v>
      </c>
      <c r="JO34" s="525" t="str">
        <f t="shared" si="91"/>
        <v>0</v>
      </c>
      <c r="JP34" s="523"/>
      <c r="JQ34" s="525" t="str">
        <f t="shared" si="92"/>
        <v>0</v>
      </c>
      <c r="JR34" s="525" t="str">
        <f t="shared" si="93"/>
        <v>0</v>
      </c>
      <c r="JS34" s="523"/>
      <c r="JT34" s="525" t="str">
        <f t="shared" si="94"/>
        <v>0</v>
      </c>
      <c r="JU34" s="525" t="str">
        <f t="shared" si="95"/>
        <v>0</v>
      </c>
      <c r="JV34" s="523"/>
      <c r="JW34" s="525" t="str">
        <f t="shared" si="96"/>
        <v>0</v>
      </c>
      <c r="JX34" s="525" t="str">
        <f t="shared" si="97"/>
        <v>0</v>
      </c>
      <c r="JY34" s="523"/>
      <c r="JZ34" s="525" t="str">
        <f t="shared" si="98"/>
        <v>0</v>
      </c>
      <c r="KA34" s="525" t="str">
        <f t="shared" si="99"/>
        <v>0</v>
      </c>
      <c r="KB34" s="523"/>
      <c r="KC34" s="525" t="str">
        <f t="shared" si="100"/>
        <v>0</v>
      </c>
      <c r="KD34" s="525" t="str">
        <f t="shared" si="101"/>
        <v>0</v>
      </c>
      <c r="KE34" s="523"/>
      <c r="KF34" s="525" t="str">
        <f t="shared" si="102"/>
        <v>0</v>
      </c>
      <c r="KG34" s="525" t="str">
        <f t="shared" si="103"/>
        <v>0</v>
      </c>
      <c r="KH34" s="523"/>
      <c r="KI34" s="525" t="str">
        <f t="shared" si="104"/>
        <v>0</v>
      </c>
      <c r="KJ34" s="525" t="str">
        <f t="shared" si="105"/>
        <v>0</v>
      </c>
      <c r="KK34" s="523"/>
      <c r="KL34" s="525" t="str">
        <f t="shared" si="106"/>
        <v>0</v>
      </c>
      <c r="KM34" s="525" t="str">
        <f t="shared" si="107"/>
        <v>0</v>
      </c>
      <c r="KN34" s="523"/>
      <c r="KO34" s="525" t="str">
        <f t="shared" si="108"/>
        <v>0</v>
      </c>
      <c r="KP34" s="525" t="str">
        <f t="shared" si="109"/>
        <v>0</v>
      </c>
      <c r="KQ34" s="523"/>
      <c r="KR34" s="525" t="str">
        <f t="shared" si="110"/>
        <v>0</v>
      </c>
      <c r="KS34" s="525" t="str">
        <f t="shared" si="111"/>
        <v>0</v>
      </c>
      <c r="KT34" s="525">
        <f t="shared" si="201"/>
        <v>0</v>
      </c>
      <c r="KU34" s="525">
        <f t="shared" si="202"/>
        <v>0</v>
      </c>
      <c r="KV34" s="261">
        <f t="shared" si="112"/>
        <v>323.78329054759951</v>
      </c>
    </row>
    <row r="35" spans="1:308" ht="15" customHeight="1">
      <c r="A35" s="262">
        <f t="shared" si="200"/>
        <v>45988</v>
      </c>
      <c r="B35" s="263" t="str">
        <f>+Report1!B35</f>
        <v>Toilet/Facial</v>
      </c>
      <c r="C35" s="263" t="str">
        <f>+Report1!C35</f>
        <v>15/12</v>
      </c>
      <c r="D35" s="264">
        <f>+Report1!P35</f>
        <v>37.760999999999996</v>
      </c>
      <c r="E35" s="562">
        <f>+Report1!R35</f>
        <v>37.44</v>
      </c>
      <c r="F35" s="523"/>
      <c r="G35" s="524">
        <f t="shared" si="0"/>
        <v>0</v>
      </c>
      <c r="H35" s="525">
        <f t="shared" si="113"/>
        <v>0</v>
      </c>
      <c r="I35" s="523">
        <v>220.93023255813955</v>
      </c>
      <c r="J35" s="524">
        <f t="shared" si="1"/>
        <v>5.9009143311468897</v>
      </c>
      <c r="K35" s="525">
        <f t="shared" si="114"/>
        <v>0</v>
      </c>
      <c r="L35" s="523"/>
      <c r="M35" s="524">
        <f t="shared" si="2"/>
        <v>0</v>
      </c>
      <c r="N35" s="525">
        <f t="shared" si="115"/>
        <v>0</v>
      </c>
      <c r="O35" s="523">
        <v>3</v>
      </c>
      <c r="P35" s="524">
        <f t="shared" si="3"/>
        <v>8.0128205128205135E-2</v>
      </c>
      <c r="Q35" s="525">
        <f t="shared" si="116"/>
        <v>0</v>
      </c>
      <c r="R35" s="523"/>
      <c r="S35" s="524">
        <f t="shared" si="4"/>
        <v>0</v>
      </c>
      <c r="T35" s="525">
        <f t="shared" si="117"/>
        <v>0</v>
      </c>
      <c r="U35" s="523">
        <v>2.5624999999999716</v>
      </c>
      <c r="V35" s="524">
        <f t="shared" si="5"/>
        <v>6.8442841880341124E-2</v>
      </c>
      <c r="W35" s="525">
        <f t="shared" si="118"/>
        <v>0</v>
      </c>
      <c r="X35" s="523"/>
      <c r="Y35" s="524">
        <f t="shared" si="6"/>
        <v>0</v>
      </c>
      <c r="Z35" s="525">
        <f t="shared" si="119"/>
        <v>0</v>
      </c>
      <c r="AA35" s="523"/>
      <c r="AB35" s="524">
        <f t="shared" si="7"/>
        <v>0</v>
      </c>
      <c r="AC35" s="525">
        <f t="shared" si="120"/>
        <v>0</v>
      </c>
      <c r="AD35" s="523"/>
      <c r="AE35" s="524">
        <f t="shared" si="8"/>
        <v>0</v>
      </c>
      <c r="AF35" s="525">
        <f t="shared" si="121"/>
        <v>0</v>
      </c>
      <c r="AG35" s="523"/>
      <c r="AH35" s="524">
        <f t="shared" si="9"/>
        <v>0</v>
      </c>
      <c r="AI35" s="525">
        <f t="shared" si="122"/>
        <v>0</v>
      </c>
      <c r="AJ35" s="523"/>
      <c r="AK35" s="524">
        <f t="shared" si="10"/>
        <v>0</v>
      </c>
      <c r="AL35" s="525">
        <f t="shared" si="123"/>
        <v>0</v>
      </c>
      <c r="AM35" s="523"/>
      <c r="AN35" s="524">
        <f t="shared" si="11"/>
        <v>0</v>
      </c>
      <c r="AO35" s="525">
        <f t="shared" si="124"/>
        <v>0</v>
      </c>
      <c r="AP35" s="523">
        <v>42.721518987341796</v>
      </c>
      <c r="AQ35" s="524">
        <f t="shared" si="12"/>
        <v>1.1410662122687447</v>
      </c>
      <c r="AR35" s="525">
        <f t="shared" si="125"/>
        <v>0</v>
      </c>
      <c r="AS35" s="523"/>
      <c r="AT35" s="524">
        <f t="shared" si="13"/>
        <v>0</v>
      </c>
      <c r="AU35" s="525">
        <f t="shared" si="126"/>
        <v>0</v>
      </c>
      <c r="AV35" s="523"/>
      <c r="AW35" s="524">
        <f t="shared" si="14"/>
        <v>0</v>
      </c>
      <c r="AX35" s="525">
        <f t="shared" si="127"/>
        <v>0</v>
      </c>
      <c r="AY35" s="523">
        <v>72.333333333333329</v>
      </c>
      <c r="AZ35" s="524">
        <f t="shared" si="15"/>
        <v>1.9319800569800569</v>
      </c>
      <c r="BA35" s="525">
        <f t="shared" si="128"/>
        <v>0</v>
      </c>
      <c r="BB35" s="523"/>
      <c r="BC35" s="524">
        <f t="shared" si="16"/>
        <v>0</v>
      </c>
      <c r="BD35" s="525">
        <f t="shared" si="129"/>
        <v>0</v>
      </c>
      <c r="BE35" s="523"/>
      <c r="BF35" s="524">
        <f t="shared" si="17"/>
        <v>0</v>
      </c>
      <c r="BG35" s="525">
        <f t="shared" si="130"/>
        <v>0</v>
      </c>
      <c r="BH35" s="523"/>
      <c r="BI35" s="524">
        <f t="shared" si="18"/>
        <v>0</v>
      </c>
      <c r="BJ35" s="525">
        <f t="shared" si="131"/>
        <v>0</v>
      </c>
      <c r="BK35" s="523"/>
      <c r="BL35" s="524">
        <f t="shared" si="19"/>
        <v>0</v>
      </c>
      <c r="BM35" s="525">
        <f t="shared" si="132"/>
        <v>0</v>
      </c>
      <c r="BN35" s="523"/>
      <c r="BO35" s="524">
        <f t="shared" si="20"/>
        <v>0</v>
      </c>
      <c r="BP35" s="525">
        <f t="shared" si="133"/>
        <v>0</v>
      </c>
      <c r="BQ35" s="523"/>
      <c r="BR35" s="524">
        <f t="shared" si="21"/>
        <v>0</v>
      </c>
      <c r="BS35" s="525">
        <f t="shared" si="134"/>
        <v>0</v>
      </c>
      <c r="BT35" s="523"/>
      <c r="BU35" s="524">
        <f t="shared" si="22"/>
        <v>0</v>
      </c>
      <c r="BV35" s="525">
        <f t="shared" si="135"/>
        <v>0</v>
      </c>
      <c r="BW35" s="523"/>
      <c r="BX35" s="524">
        <f t="shared" si="23"/>
        <v>0</v>
      </c>
      <c r="BY35" s="525">
        <f t="shared" si="136"/>
        <v>0</v>
      </c>
      <c r="BZ35" s="523"/>
      <c r="CA35" s="524">
        <f t="shared" si="24"/>
        <v>0</v>
      </c>
      <c r="CB35" s="525">
        <f t="shared" si="137"/>
        <v>0</v>
      </c>
      <c r="CC35" s="523"/>
      <c r="CD35" s="524">
        <f t="shared" si="25"/>
        <v>0</v>
      </c>
      <c r="CE35" s="525">
        <f t="shared" si="138"/>
        <v>0</v>
      </c>
      <c r="CF35" s="523">
        <v>0.30000000000000071</v>
      </c>
      <c r="CG35" s="524">
        <f t="shared" si="26"/>
        <v>8.0128205128205329E-3</v>
      </c>
      <c r="CH35" s="525">
        <f t="shared" si="139"/>
        <v>0</v>
      </c>
      <c r="CI35" s="523"/>
      <c r="CJ35" s="524">
        <f t="shared" si="27"/>
        <v>0</v>
      </c>
      <c r="CK35" s="525">
        <f t="shared" si="140"/>
        <v>0</v>
      </c>
      <c r="CL35" s="523"/>
      <c r="CM35" s="524">
        <f t="shared" si="28"/>
        <v>0</v>
      </c>
      <c r="CN35" s="525">
        <f t="shared" si="141"/>
        <v>0</v>
      </c>
      <c r="CO35" s="523"/>
      <c r="CP35" s="524">
        <f t="shared" si="29"/>
        <v>0</v>
      </c>
      <c r="CQ35" s="525">
        <f t="shared" si="142"/>
        <v>0</v>
      </c>
      <c r="CR35" s="523"/>
      <c r="CS35" s="524">
        <f t="shared" si="30"/>
        <v>0</v>
      </c>
      <c r="CT35" s="525">
        <f t="shared" si="143"/>
        <v>0</v>
      </c>
      <c r="CU35" s="523"/>
      <c r="CV35" s="524">
        <f t="shared" si="31"/>
        <v>0</v>
      </c>
      <c r="CW35" s="525">
        <f t="shared" si="144"/>
        <v>0</v>
      </c>
      <c r="CX35" s="523"/>
      <c r="CY35" s="524">
        <f t="shared" si="32"/>
        <v>0</v>
      </c>
      <c r="CZ35" s="525">
        <f t="shared" si="145"/>
        <v>0</v>
      </c>
      <c r="DA35" s="523">
        <v>14.534883720930225</v>
      </c>
      <c r="DB35" s="524">
        <f t="shared" si="33"/>
        <v>0.38821804810176885</v>
      </c>
      <c r="DC35" s="525">
        <f t="shared" si="146"/>
        <v>0</v>
      </c>
      <c r="DD35" s="523"/>
      <c r="DE35" s="524">
        <f t="shared" si="34"/>
        <v>0</v>
      </c>
      <c r="DF35" s="525">
        <f t="shared" si="147"/>
        <v>0</v>
      </c>
      <c r="DG35" s="523"/>
      <c r="DH35" s="524">
        <f t="shared" si="35"/>
        <v>0</v>
      </c>
      <c r="DI35" s="525">
        <f t="shared" si="203"/>
        <v>0</v>
      </c>
      <c r="DJ35" s="523"/>
      <c r="DK35" s="524">
        <f t="shared" si="36"/>
        <v>0</v>
      </c>
      <c r="DL35" s="525">
        <f t="shared" si="148"/>
        <v>0</v>
      </c>
      <c r="DM35" s="523"/>
      <c r="DN35" s="524">
        <f t="shared" si="37"/>
        <v>0</v>
      </c>
      <c r="DO35" s="525">
        <f t="shared" si="149"/>
        <v>0</v>
      </c>
      <c r="DP35" s="523"/>
      <c r="DQ35" s="524">
        <f t="shared" si="38"/>
        <v>0</v>
      </c>
      <c r="DR35" s="525">
        <f t="shared" si="150"/>
        <v>0</v>
      </c>
      <c r="DS35" s="523"/>
      <c r="DT35" s="524">
        <f t="shared" si="39"/>
        <v>0</v>
      </c>
      <c r="DU35" s="525">
        <f t="shared" si="151"/>
        <v>0</v>
      </c>
      <c r="DV35" s="523"/>
      <c r="DW35" s="524">
        <f t="shared" si="40"/>
        <v>0</v>
      </c>
      <c r="DX35" s="525">
        <f t="shared" si="152"/>
        <v>0</v>
      </c>
      <c r="DY35" s="523"/>
      <c r="DZ35" s="524">
        <f t="shared" si="41"/>
        <v>0</v>
      </c>
      <c r="EA35" s="525">
        <f t="shared" si="153"/>
        <v>0</v>
      </c>
      <c r="EB35" s="523"/>
      <c r="EC35" s="524">
        <f t="shared" si="42"/>
        <v>0</v>
      </c>
      <c r="ED35" s="525">
        <f t="shared" si="154"/>
        <v>0</v>
      </c>
      <c r="EE35" s="523">
        <v>70.44705882352946</v>
      </c>
      <c r="EF35" s="524">
        <f t="shared" si="43"/>
        <v>1.8815987933635006</v>
      </c>
      <c r="EG35" s="525">
        <f t="shared" si="155"/>
        <v>0</v>
      </c>
      <c r="EH35" s="523"/>
      <c r="EI35" s="524">
        <f t="shared" si="44"/>
        <v>0</v>
      </c>
      <c r="EJ35" s="525">
        <f t="shared" si="156"/>
        <v>0</v>
      </c>
      <c r="EK35" s="523"/>
      <c r="EL35" s="524">
        <f t="shared" si="45"/>
        <v>0</v>
      </c>
      <c r="EM35" s="525">
        <f t="shared" si="157"/>
        <v>0</v>
      </c>
      <c r="EN35" s="523"/>
      <c r="EO35" s="524">
        <f t="shared" si="46"/>
        <v>0</v>
      </c>
      <c r="EP35" s="525">
        <f t="shared" si="158"/>
        <v>0</v>
      </c>
      <c r="EQ35" s="523"/>
      <c r="ER35" s="524">
        <f t="shared" si="47"/>
        <v>0</v>
      </c>
      <c r="ES35" s="525">
        <f t="shared" si="159"/>
        <v>0</v>
      </c>
      <c r="ET35" s="523"/>
      <c r="EU35" s="524">
        <f t="shared" si="48"/>
        <v>0</v>
      </c>
      <c r="EV35" s="525">
        <f t="shared" si="160"/>
        <v>0</v>
      </c>
      <c r="EW35" s="523"/>
      <c r="EX35" s="524">
        <f t="shared" si="49"/>
        <v>0</v>
      </c>
      <c r="EY35" s="525">
        <f t="shared" si="161"/>
        <v>0</v>
      </c>
      <c r="EZ35" s="523"/>
      <c r="FA35" s="524">
        <f t="shared" si="50"/>
        <v>0</v>
      </c>
      <c r="FB35" s="525">
        <f t="shared" si="162"/>
        <v>0</v>
      </c>
      <c r="FC35" s="523"/>
      <c r="FD35" s="524">
        <f t="shared" si="51"/>
        <v>0</v>
      </c>
      <c r="FE35" s="525">
        <f t="shared" si="163"/>
        <v>0</v>
      </c>
      <c r="FF35" s="523"/>
      <c r="FG35" s="524">
        <f t="shared" si="52"/>
        <v>0</v>
      </c>
      <c r="FH35" s="525">
        <f t="shared" si="164"/>
        <v>0</v>
      </c>
      <c r="FI35" s="523"/>
      <c r="FJ35" s="524">
        <f t="shared" si="53"/>
        <v>0</v>
      </c>
      <c r="FK35" s="525">
        <f t="shared" si="165"/>
        <v>0</v>
      </c>
      <c r="FL35" s="523"/>
      <c r="FM35" s="524">
        <f t="shared" si="54"/>
        <v>0</v>
      </c>
      <c r="FN35" s="525">
        <f t="shared" si="166"/>
        <v>0</v>
      </c>
      <c r="FO35" s="523"/>
      <c r="FP35" s="524">
        <f t="shared" si="55"/>
        <v>0</v>
      </c>
      <c r="FQ35" s="525">
        <f t="shared" si="167"/>
        <v>0</v>
      </c>
      <c r="FR35" s="523"/>
      <c r="FS35" s="524">
        <f t="shared" si="56"/>
        <v>0</v>
      </c>
      <c r="FT35" s="525">
        <f t="shared" si="168"/>
        <v>0</v>
      </c>
      <c r="FU35" s="523"/>
      <c r="FV35" s="524">
        <f t="shared" si="57"/>
        <v>0</v>
      </c>
      <c r="FW35" s="525">
        <f t="shared" si="169"/>
        <v>0</v>
      </c>
      <c r="FX35" s="523"/>
      <c r="FY35" s="524">
        <f t="shared" si="58"/>
        <v>0</v>
      </c>
      <c r="FZ35" s="525">
        <f t="shared" si="170"/>
        <v>0</v>
      </c>
      <c r="GA35" s="523"/>
      <c r="GB35" s="524">
        <f t="shared" si="59"/>
        <v>0</v>
      </c>
      <c r="GC35" s="525">
        <f t="shared" si="171"/>
        <v>0</v>
      </c>
      <c r="GD35" s="523"/>
      <c r="GE35" s="524">
        <f t="shared" si="60"/>
        <v>0</v>
      </c>
      <c r="GF35" s="525">
        <f t="shared" si="172"/>
        <v>0</v>
      </c>
      <c r="GG35" s="523"/>
      <c r="GH35" s="524">
        <f t="shared" si="61"/>
        <v>0</v>
      </c>
      <c r="GI35" s="525">
        <f t="shared" si="173"/>
        <v>0</v>
      </c>
      <c r="GJ35" s="523"/>
      <c r="GK35" s="524">
        <f t="shared" si="62"/>
        <v>0</v>
      </c>
      <c r="GL35" s="525">
        <f t="shared" si="174"/>
        <v>0</v>
      </c>
      <c r="GM35" s="523"/>
      <c r="GN35" s="524">
        <f t="shared" si="63"/>
        <v>0</v>
      </c>
      <c r="GO35" s="525">
        <f t="shared" si="175"/>
        <v>0</v>
      </c>
      <c r="GP35" s="523"/>
      <c r="GQ35" s="524">
        <f t="shared" si="64"/>
        <v>0</v>
      </c>
      <c r="GR35" s="525">
        <f t="shared" si="176"/>
        <v>0</v>
      </c>
      <c r="GS35" s="523"/>
      <c r="GT35" s="524">
        <f t="shared" si="65"/>
        <v>0</v>
      </c>
      <c r="GU35" s="525">
        <f t="shared" si="177"/>
        <v>0</v>
      </c>
      <c r="GV35" s="523"/>
      <c r="GW35" s="524">
        <f t="shared" si="66"/>
        <v>0</v>
      </c>
      <c r="GX35" s="525">
        <f t="shared" si="178"/>
        <v>0</v>
      </c>
      <c r="GY35" s="523"/>
      <c r="GZ35" s="524">
        <f t="shared" si="67"/>
        <v>0</v>
      </c>
      <c r="HA35" s="525">
        <f t="shared" si="179"/>
        <v>0</v>
      </c>
      <c r="HB35" s="523"/>
      <c r="HC35" s="524">
        <f t="shared" si="68"/>
        <v>0</v>
      </c>
      <c r="HD35" s="525">
        <f t="shared" si="180"/>
        <v>0</v>
      </c>
      <c r="HE35" s="523"/>
      <c r="HF35" s="524">
        <f t="shared" si="69"/>
        <v>0</v>
      </c>
      <c r="HG35" s="525">
        <f t="shared" si="181"/>
        <v>0</v>
      </c>
      <c r="HH35" s="523"/>
      <c r="HI35" s="524">
        <f t="shared" si="70"/>
        <v>0</v>
      </c>
      <c r="HJ35" s="525">
        <f t="shared" si="182"/>
        <v>0</v>
      </c>
      <c r="HK35" s="523"/>
      <c r="HL35" s="524">
        <f t="shared" si="71"/>
        <v>0</v>
      </c>
      <c r="HM35" s="525">
        <f t="shared" si="183"/>
        <v>0</v>
      </c>
      <c r="HN35" s="523"/>
      <c r="HO35" s="524">
        <f t="shared" si="72"/>
        <v>0</v>
      </c>
      <c r="HP35" s="525">
        <f t="shared" si="184"/>
        <v>0</v>
      </c>
      <c r="HQ35" s="523"/>
      <c r="HR35" s="524">
        <f t="shared" si="73"/>
        <v>0</v>
      </c>
      <c r="HS35" s="525">
        <f t="shared" si="185"/>
        <v>0</v>
      </c>
      <c r="HT35" s="523"/>
      <c r="HU35" s="524">
        <f t="shared" si="74"/>
        <v>0</v>
      </c>
      <c r="HV35" s="525">
        <f t="shared" si="186"/>
        <v>0</v>
      </c>
      <c r="HW35" s="523"/>
      <c r="HX35" s="524">
        <f t="shared" si="75"/>
        <v>0</v>
      </c>
      <c r="HY35" s="525">
        <f t="shared" si="187"/>
        <v>0</v>
      </c>
      <c r="HZ35" s="523"/>
      <c r="IA35" s="524">
        <f t="shared" si="76"/>
        <v>0</v>
      </c>
      <c r="IB35" s="525">
        <f t="shared" si="188"/>
        <v>0</v>
      </c>
      <c r="IC35" s="523"/>
      <c r="ID35" s="524">
        <f t="shared" si="77"/>
        <v>0</v>
      </c>
      <c r="IE35" s="525">
        <f t="shared" si="189"/>
        <v>0</v>
      </c>
      <c r="IF35" s="523"/>
      <c r="IG35" s="524">
        <f t="shared" si="78"/>
        <v>0</v>
      </c>
      <c r="IH35" s="525">
        <f t="shared" si="190"/>
        <v>0</v>
      </c>
      <c r="II35" s="523"/>
      <c r="IJ35" s="524">
        <f t="shared" si="79"/>
        <v>0</v>
      </c>
      <c r="IK35" s="525">
        <f t="shared" si="191"/>
        <v>0</v>
      </c>
      <c r="IL35" s="523"/>
      <c r="IM35" s="524">
        <f t="shared" si="80"/>
        <v>0</v>
      </c>
      <c r="IN35" s="525">
        <f t="shared" si="192"/>
        <v>0</v>
      </c>
      <c r="IO35" s="523"/>
      <c r="IP35" s="524">
        <f t="shared" si="81"/>
        <v>0</v>
      </c>
      <c r="IQ35" s="525">
        <f t="shared" si="193"/>
        <v>0</v>
      </c>
      <c r="IR35" s="523"/>
      <c r="IS35" s="524">
        <f t="shared" si="82"/>
        <v>0</v>
      </c>
      <c r="IT35" s="525">
        <f t="shared" si="194"/>
        <v>0</v>
      </c>
      <c r="IU35" s="523"/>
      <c r="IV35" s="524">
        <f t="shared" si="83"/>
        <v>0</v>
      </c>
      <c r="IW35" s="525">
        <f t="shared" si="195"/>
        <v>0</v>
      </c>
      <c r="IX35" s="523"/>
      <c r="IY35" s="524">
        <f t="shared" si="84"/>
        <v>0</v>
      </c>
      <c r="IZ35" s="525">
        <f t="shared" si="196"/>
        <v>0</v>
      </c>
      <c r="JA35" s="523"/>
      <c r="JB35" s="524">
        <f t="shared" si="85"/>
        <v>0</v>
      </c>
      <c r="JC35" s="525">
        <f t="shared" si="197"/>
        <v>0</v>
      </c>
      <c r="JD35" s="523"/>
      <c r="JE35" s="524">
        <f t="shared" si="86"/>
        <v>0</v>
      </c>
      <c r="JF35" s="525">
        <f t="shared" si="198"/>
        <v>0</v>
      </c>
      <c r="JG35" s="523"/>
      <c r="JH35" s="524">
        <f t="shared" si="87"/>
        <v>0</v>
      </c>
      <c r="JI35" s="525">
        <f t="shared" si="199"/>
        <v>0</v>
      </c>
      <c r="JJ35" s="523"/>
      <c r="JK35" s="525" t="str">
        <f t="shared" si="88"/>
        <v>0</v>
      </c>
      <c r="JL35" s="525" t="str">
        <f t="shared" si="89"/>
        <v>0</v>
      </c>
      <c r="JM35" s="523"/>
      <c r="JN35" s="525" t="str">
        <f t="shared" si="90"/>
        <v>0</v>
      </c>
      <c r="JO35" s="525" t="str">
        <f t="shared" si="91"/>
        <v>0</v>
      </c>
      <c r="JP35" s="523"/>
      <c r="JQ35" s="525" t="str">
        <f t="shared" si="92"/>
        <v>0</v>
      </c>
      <c r="JR35" s="525" t="str">
        <f t="shared" si="93"/>
        <v>0</v>
      </c>
      <c r="JS35" s="523"/>
      <c r="JT35" s="525" t="str">
        <f t="shared" si="94"/>
        <v>0</v>
      </c>
      <c r="JU35" s="525" t="str">
        <f t="shared" si="95"/>
        <v>0</v>
      </c>
      <c r="JV35" s="523"/>
      <c r="JW35" s="525" t="str">
        <f t="shared" si="96"/>
        <v>0</v>
      </c>
      <c r="JX35" s="525" t="str">
        <f t="shared" si="97"/>
        <v>0</v>
      </c>
      <c r="JY35" s="523"/>
      <c r="JZ35" s="525" t="str">
        <f t="shared" si="98"/>
        <v>0</v>
      </c>
      <c r="KA35" s="525" t="str">
        <f t="shared" si="99"/>
        <v>0</v>
      </c>
      <c r="KB35" s="523"/>
      <c r="KC35" s="525" t="str">
        <f t="shared" si="100"/>
        <v>0</v>
      </c>
      <c r="KD35" s="525" t="str">
        <f t="shared" si="101"/>
        <v>0</v>
      </c>
      <c r="KE35" s="523"/>
      <c r="KF35" s="525" t="str">
        <f t="shared" si="102"/>
        <v>0</v>
      </c>
      <c r="KG35" s="525" t="str">
        <f t="shared" si="103"/>
        <v>0</v>
      </c>
      <c r="KH35" s="523"/>
      <c r="KI35" s="525" t="str">
        <f t="shared" si="104"/>
        <v>0</v>
      </c>
      <c r="KJ35" s="525" t="str">
        <f t="shared" si="105"/>
        <v>0</v>
      </c>
      <c r="KK35" s="523"/>
      <c r="KL35" s="525" t="str">
        <f t="shared" si="106"/>
        <v>0</v>
      </c>
      <c r="KM35" s="525" t="str">
        <f t="shared" si="107"/>
        <v>0</v>
      </c>
      <c r="KN35" s="523"/>
      <c r="KO35" s="525" t="str">
        <f t="shared" si="108"/>
        <v>0</v>
      </c>
      <c r="KP35" s="525" t="str">
        <f t="shared" si="109"/>
        <v>0</v>
      </c>
      <c r="KQ35" s="523"/>
      <c r="KR35" s="525" t="str">
        <f t="shared" si="110"/>
        <v>0</v>
      </c>
      <c r="KS35" s="525" t="str">
        <f t="shared" si="111"/>
        <v>0</v>
      </c>
      <c r="KT35" s="525">
        <f t="shared" si="201"/>
        <v>0</v>
      </c>
      <c r="KU35" s="525">
        <f t="shared" si="202"/>
        <v>0</v>
      </c>
      <c r="KV35" s="261">
        <f t="shared" si="112"/>
        <v>426.82952742327433</v>
      </c>
    </row>
    <row r="36" spans="1:308" ht="15" customHeight="1">
      <c r="A36" s="262">
        <f t="shared" si="200"/>
        <v>45989</v>
      </c>
      <c r="B36" s="263" t="str">
        <f>+Report1!B36</f>
        <v>Facial</v>
      </c>
      <c r="C36" s="263" t="str">
        <f>+Report1!C36</f>
        <v>12/13</v>
      </c>
      <c r="D36" s="264">
        <f>+Report1!P36</f>
        <v>40.918000000000006</v>
      </c>
      <c r="E36" s="562">
        <f>+Report1!R36</f>
        <v>39.106999999999999</v>
      </c>
      <c r="F36" s="523"/>
      <c r="G36" s="524">
        <f t="shared" si="0"/>
        <v>0</v>
      </c>
      <c r="H36" s="525">
        <f t="shared" si="113"/>
        <v>0</v>
      </c>
      <c r="I36" s="523">
        <v>232.55813953488371</v>
      </c>
      <c r="J36" s="524">
        <f t="shared" si="1"/>
        <v>5.9467138756458873</v>
      </c>
      <c r="K36" s="525">
        <f t="shared" si="114"/>
        <v>0</v>
      </c>
      <c r="L36" s="523"/>
      <c r="M36" s="524">
        <f t="shared" si="2"/>
        <v>0</v>
      </c>
      <c r="N36" s="525">
        <f t="shared" si="115"/>
        <v>0</v>
      </c>
      <c r="O36" s="523">
        <v>3</v>
      </c>
      <c r="P36" s="524">
        <f t="shared" si="3"/>
        <v>7.6712608995831946E-2</v>
      </c>
      <c r="Q36" s="525">
        <f t="shared" si="116"/>
        <v>0</v>
      </c>
      <c r="R36" s="523"/>
      <c r="S36" s="524">
        <f t="shared" si="4"/>
        <v>0</v>
      </c>
      <c r="T36" s="525">
        <f t="shared" si="117"/>
        <v>0</v>
      </c>
      <c r="U36" s="523">
        <v>2.5625000000000284</v>
      </c>
      <c r="V36" s="524">
        <f t="shared" si="5"/>
        <v>6.5525353517273857E-2</v>
      </c>
      <c r="W36" s="525">
        <f t="shared" si="118"/>
        <v>0</v>
      </c>
      <c r="X36" s="523"/>
      <c r="Y36" s="524">
        <f t="shared" si="6"/>
        <v>0</v>
      </c>
      <c r="Z36" s="525">
        <f t="shared" si="119"/>
        <v>0</v>
      </c>
      <c r="AA36" s="523"/>
      <c r="AB36" s="524">
        <f t="shared" si="7"/>
        <v>0</v>
      </c>
      <c r="AC36" s="525">
        <f t="shared" si="120"/>
        <v>0</v>
      </c>
      <c r="AD36" s="523"/>
      <c r="AE36" s="524">
        <f t="shared" si="8"/>
        <v>0</v>
      </c>
      <c r="AF36" s="525">
        <f t="shared" si="121"/>
        <v>0</v>
      </c>
      <c r="AG36" s="523"/>
      <c r="AH36" s="524">
        <f t="shared" si="9"/>
        <v>0</v>
      </c>
      <c r="AI36" s="525">
        <f t="shared" si="122"/>
        <v>0</v>
      </c>
      <c r="AJ36" s="523"/>
      <c r="AK36" s="524">
        <f t="shared" si="10"/>
        <v>0</v>
      </c>
      <c r="AL36" s="525">
        <f t="shared" si="123"/>
        <v>0</v>
      </c>
      <c r="AM36" s="523"/>
      <c r="AN36" s="524">
        <f t="shared" si="11"/>
        <v>0</v>
      </c>
      <c r="AO36" s="525">
        <f t="shared" si="124"/>
        <v>0</v>
      </c>
      <c r="AP36" s="523">
        <v>45.569620253164516</v>
      </c>
      <c r="AQ36" s="524">
        <f t="shared" si="12"/>
        <v>1.1652548201898514</v>
      </c>
      <c r="AR36" s="525">
        <f t="shared" si="125"/>
        <v>0</v>
      </c>
      <c r="AS36" s="523"/>
      <c r="AT36" s="524">
        <f t="shared" si="13"/>
        <v>0</v>
      </c>
      <c r="AU36" s="525">
        <f t="shared" si="126"/>
        <v>0</v>
      </c>
      <c r="AV36" s="523"/>
      <c r="AW36" s="524">
        <f t="shared" si="14"/>
        <v>0</v>
      </c>
      <c r="AX36" s="525">
        <f t="shared" si="127"/>
        <v>0</v>
      </c>
      <c r="AY36" s="523">
        <v>51.333333333333329</v>
      </c>
      <c r="AZ36" s="524">
        <f t="shared" si="15"/>
        <v>1.3126379761509022</v>
      </c>
      <c r="BA36" s="525">
        <f t="shared" si="128"/>
        <v>0</v>
      </c>
      <c r="BB36" s="523"/>
      <c r="BC36" s="524">
        <f t="shared" si="16"/>
        <v>0</v>
      </c>
      <c r="BD36" s="525">
        <f t="shared" si="129"/>
        <v>0</v>
      </c>
      <c r="BE36" s="523"/>
      <c r="BF36" s="524">
        <f t="shared" si="17"/>
        <v>0</v>
      </c>
      <c r="BG36" s="525">
        <f t="shared" si="130"/>
        <v>0</v>
      </c>
      <c r="BH36" s="523"/>
      <c r="BI36" s="524">
        <f t="shared" si="18"/>
        <v>0</v>
      </c>
      <c r="BJ36" s="525">
        <f t="shared" si="131"/>
        <v>0</v>
      </c>
      <c r="BK36" s="523"/>
      <c r="BL36" s="524">
        <f t="shared" si="19"/>
        <v>0</v>
      </c>
      <c r="BM36" s="525">
        <f t="shared" si="132"/>
        <v>0</v>
      </c>
      <c r="BN36" s="523"/>
      <c r="BO36" s="524">
        <f t="shared" si="20"/>
        <v>0</v>
      </c>
      <c r="BP36" s="525">
        <f t="shared" si="133"/>
        <v>0</v>
      </c>
      <c r="BQ36" s="523">
        <v>73.417721518987264</v>
      </c>
      <c r="BR36" s="524">
        <f t="shared" si="21"/>
        <v>1.8773549880836491</v>
      </c>
      <c r="BS36" s="525">
        <f t="shared" si="134"/>
        <v>0</v>
      </c>
      <c r="BT36" s="523"/>
      <c r="BU36" s="524">
        <f t="shared" si="22"/>
        <v>0</v>
      </c>
      <c r="BV36" s="525">
        <f t="shared" si="135"/>
        <v>0</v>
      </c>
      <c r="BW36" s="523"/>
      <c r="BX36" s="524">
        <f t="shared" si="23"/>
        <v>0</v>
      </c>
      <c r="BY36" s="525">
        <f t="shared" si="136"/>
        <v>0</v>
      </c>
      <c r="BZ36" s="523"/>
      <c r="CA36" s="524">
        <f t="shared" si="24"/>
        <v>0</v>
      </c>
      <c r="CB36" s="525">
        <f t="shared" si="137"/>
        <v>0</v>
      </c>
      <c r="CC36" s="523"/>
      <c r="CD36" s="524">
        <f t="shared" si="25"/>
        <v>0</v>
      </c>
      <c r="CE36" s="525">
        <f t="shared" si="138"/>
        <v>0</v>
      </c>
      <c r="CF36" s="523">
        <v>0.30000000000000071</v>
      </c>
      <c r="CG36" s="524">
        <f t="shared" si="26"/>
        <v>7.6712608995832135E-3</v>
      </c>
      <c r="CH36" s="525">
        <f t="shared" si="139"/>
        <v>0</v>
      </c>
      <c r="CI36" s="523"/>
      <c r="CJ36" s="524">
        <f t="shared" si="27"/>
        <v>0</v>
      </c>
      <c r="CK36" s="525">
        <f t="shared" si="140"/>
        <v>0</v>
      </c>
      <c r="CL36" s="523"/>
      <c r="CM36" s="524">
        <f t="shared" si="28"/>
        <v>0</v>
      </c>
      <c r="CN36" s="525">
        <f t="shared" si="141"/>
        <v>0</v>
      </c>
      <c r="CO36" s="523"/>
      <c r="CP36" s="524">
        <f t="shared" si="29"/>
        <v>0</v>
      </c>
      <c r="CQ36" s="525">
        <f t="shared" si="142"/>
        <v>0</v>
      </c>
      <c r="CR36" s="523"/>
      <c r="CS36" s="524">
        <f t="shared" si="30"/>
        <v>0</v>
      </c>
      <c r="CT36" s="525">
        <f t="shared" si="143"/>
        <v>0</v>
      </c>
      <c r="CU36" s="523"/>
      <c r="CV36" s="524">
        <f t="shared" si="31"/>
        <v>0</v>
      </c>
      <c r="CW36" s="525">
        <f t="shared" si="144"/>
        <v>0</v>
      </c>
      <c r="CX36" s="523"/>
      <c r="CY36" s="524">
        <f t="shared" si="32"/>
        <v>0</v>
      </c>
      <c r="CZ36" s="525">
        <f t="shared" si="145"/>
        <v>0</v>
      </c>
      <c r="DA36" s="523"/>
      <c r="DB36" s="524">
        <f t="shared" si="33"/>
        <v>0</v>
      </c>
      <c r="DC36" s="525">
        <f t="shared" si="146"/>
        <v>0</v>
      </c>
      <c r="DD36" s="523"/>
      <c r="DE36" s="524">
        <f t="shared" si="34"/>
        <v>0</v>
      </c>
      <c r="DF36" s="525">
        <f t="shared" si="147"/>
        <v>0</v>
      </c>
      <c r="DG36" s="523"/>
      <c r="DH36" s="524">
        <f t="shared" si="35"/>
        <v>0</v>
      </c>
      <c r="DI36" s="525">
        <f t="shared" si="203"/>
        <v>0</v>
      </c>
      <c r="DJ36" s="523"/>
      <c r="DK36" s="524">
        <f t="shared" si="36"/>
        <v>0</v>
      </c>
      <c r="DL36" s="525">
        <f t="shared" si="148"/>
        <v>0</v>
      </c>
      <c r="DM36" s="523"/>
      <c r="DN36" s="524">
        <f t="shared" si="37"/>
        <v>0</v>
      </c>
      <c r="DO36" s="525">
        <f t="shared" si="149"/>
        <v>0</v>
      </c>
      <c r="DP36" s="523"/>
      <c r="DQ36" s="524">
        <f t="shared" si="38"/>
        <v>0</v>
      </c>
      <c r="DR36" s="525">
        <f t="shared" si="150"/>
        <v>0</v>
      </c>
      <c r="DS36" s="523"/>
      <c r="DT36" s="524">
        <f t="shared" si="39"/>
        <v>0</v>
      </c>
      <c r="DU36" s="525">
        <f t="shared" si="151"/>
        <v>0</v>
      </c>
      <c r="DV36" s="523"/>
      <c r="DW36" s="524">
        <f t="shared" si="40"/>
        <v>0</v>
      </c>
      <c r="DX36" s="525">
        <f t="shared" si="152"/>
        <v>0</v>
      </c>
      <c r="DY36" s="523"/>
      <c r="DZ36" s="524">
        <f t="shared" si="41"/>
        <v>0</v>
      </c>
      <c r="EA36" s="525">
        <f t="shared" si="153"/>
        <v>0</v>
      </c>
      <c r="EB36" s="523"/>
      <c r="EC36" s="524">
        <f t="shared" si="42"/>
        <v>0</v>
      </c>
      <c r="ED36" s="525">
        <f t="shared" si="154"/>
        <v>0</v>
      </c>
      <c r="EE36" s="523">
        <v>82.18823529411759</v>
      </c>
      <c r="EF36" s="524">
        <f t="shared" si="43"/>
        <v>2.1016246527250262</v>
      </c>
      <c r="EG36" s="525">
        <f t="shared" si="155"/>
        <v>0</v>
      </c>
      <c r="EH36" s="523"/>
      <c r="EI36" s="524">
        <f t="shared" si="44"/>
        <v>0</v>
      </c>
      <c r="EJ36" s="525">
        <f t="shared" si="156"/>
        <v>0</v>
      </c>
      <c r="EK36" s="523"/>
      <c r="EL36" s="524">
        <f t="shared" si="45"/>
        <v>0</v>
      </c>
      <c r="EM36" s="525">
        <f t="shared" si="157"/>
        <v>0</v>
      </c>
      <c r="EN36" s="523"/>
      <c r="EO36" s="524">
        <f t="shared" si="46"/>
        <v>0</v>
      </c>
      <c r="EP36" s="525">
        <f t="shared" si="158"/>
        <v>0</v>
      </c>
      <c r="EQ36" s="523"/>
      <c r="ER36" s="524">
        <f t="shared" si="47"/>
        <v>0</v>
      </c>
      <c r="ES36" s="525">
        <f t="shared" si="159"/>
        <v>0</v>
      </c>
      <c r="ET36" s="523"/>
      <c r="EU36" s="524">
        <f t="shared" si="48"/>
        <v>0</v>
      </c>
      <c r="EV36" s="525">
        <f t="shared" si="160"/>
        <v>0</v>
      </c>
      <c r="EW36" s="523"/>
      <c r="EX36" s="524">
        <f t="shared" si="49"/>
        <v>0</v>
      </c>
      <c r="EY36" s="525">
        <f t="shared" si="161"/>
        <v>0</v>
      </c>
      <c r="EZ36" s="523"/>
      <c r="FA36" s="524">
        <f t="shared" si="50"/>
        <v>0</v>
      </c>
      <c r="FB36" s="525">
        <f t="shared" si="162"/>
        <v>0</v>
      </c>
      <c r="FC36" s="523"/>
      <c r="FD36" s="524">
        <f t="shared" si="51"/>
        <v>0</v>
      </c>
      <c r="FE36" s="525">
        <f t="shared" si="163"/>
        <v>0</v>
      </c>
      <c r="FF36" s="523"/>
      <c r="FG36" s="524">
        <f t="shared" si="52"/>
        <v>0</v>
      </c>
      <c r="FH36" s="525">
        <f t="shared" si="164"/>
        <v>0</v>
      </c>
      <c r="FI36" s="523"/>
      <c r="FJ36" s="524">
        <f t="shared" si="53"/>
        <v>0</v>
      </c>
      <c r="FK36" s="525">
        <f t="shared" si="165"/>
        <v>0</v>
      </c>
      <c r="FL36" s="523"/>
      <c r="FM36" s="524">
        <f t="shared" si="54"/>
        <v>0</v>
      </c>
      <c r="FN36" s="525">
        <f t="shared" si="166"/>
        <v>0</v>
      </c>
      <c r="FO36" s="523"/>
      <c r="FP36" s="524">
        <f t="shared" si="55"/>
        <v>0</v>
      </c>
      <c r="FQ36" s="525">
        <f t="shared" si="167"/>
        <v>0</v>
      </c>
      <c r="FR36" s="523"/>
      <c r="FS36" s="524">
        <f t="shared" si="56"/>
        <v>0</v>
      </c>
      <c r="FT36" s="525">
        <f t="shared" si="168"/>
        <v>0</v>
      </c>
      <c r="FU36" s="523"/>
      <c r="FV36" s="524">
        <f t="shared" si="57"/>
        <v>0</v>
      </c>
      <c r="FW36" s="525">
        <f t="shared" si="169"/>
        <v>0</v>
      </c>
      <c r="FX36" s="523"/>
      <c r="FY36" s="524">
        <f t="shared" si="58"/>
        <v>0</v>
      </c>
      <c r="FZ36" s="525">
        <f t="shared" si="170"/>
        <v>0</v>
      </c>
      <c r="GA36" s="523"/>
      <c r="GB36" s="524">
        <f t="shared" si="59"/>
        <v>0</v>
      </c>
      <c r="GC36" s="525">
        <f t="shared" si="171"/>
        <v>0</v>
      </c>
      <c r="GD36" s="523"/>
      <c r="GE36" s="524">
        <f t="shared" si="60"/>
        <v>0</v>
      </c>
      <c r="GF36" s="525">
        <f t="shared" si="172"/>
        <v>0</v>
      </c>
      <c r="GG36" s="523"/>
      <c r="GH36" s="524">
        <f t="shared" si="61"/>
        <v>0</v>
      </c>
      <c r="GI36" s="525">
        <f t="shared" si="173"/>
        <v>0</v>
      </c>
      <c r="GJ36" s="523"/>
      <c r="GK36" s="524">
        <f t="shared" si="62"/>
        <v>0</v>
      </c>
      <c r="GL36" s="525">
        <f t="shared" si="174"/>
        <v>0</v>
      </c>
      <c r="GM36" s="523"/>
      <c r="GN36" s="524">
        <f t="shared" si="63"/>
        <v>0</v>
      </c>
      <c r="GO36" s="525">
        <f t="shared" si="175"/>
        <v>0</v>
      </c>
      <c r="GP36" s="523"/>
      <c r="GQ36" s="524">
        <f t="shared" si="64"/>
        <v>0</v>
      </c>
      <c r="GR36" s="525">
        <f t="shared" si="176"/>
        <v>0</v>
      </c>
      <c r="GS36" s="523"/>
      <c r="GT36" s="524">
        <f t="shared" si="65"/>
        <v>0</v>
      </c>
      <c r="GU36" s="525">
        <f t="shared" si="177"/>
        <v>0</v>
      </c>
      <c r="GV36" s="523"/>
      <c r="GW36" s="524">
        <f t="shared" si="66"/>
        <v>0</v>
      </c>
      <c r="GX36" s="525">
        <f t="shared" si="178"/>
        <v>0</v>
      </c>
      <c r="GY36" s="523"/>
      <c r="GZ36" s="524">
        <f t="shared" si="67"/>
        <v>0</v>
      </c>
      <c r="HA36" s="525">
        <f t="shared" si="179"/>
        <v>0</v>
      </c>
      <c r="HB36" s="523"/>
      <c r="HC36" s="524">
        <f t="shared" si="68"/>
        <v>0</v>
      </c>
      <c r="HD36" s="525">
        <f t="shared" si="180"/>
        <v>0</v>
      </c>
      <c r="HE36" s="523"/>
      <c r="HF36" s="524">
        <f t="shared" si="69"/>
        <v>0</v>
      </c>
      <c r="HG36" s="525">
        <f t="shared" si="181"/>
        <v>0</v>
      </c>
      <c r="HH36" s="523"/>
      <c r="HI36" s="524">
        <f t="shared" si="70"/>
        <v>0</v>
      </c>
      <c r="HJ36" s="525">
        <f t="shared" si="182"/>
        <v>0</v>
      </c>
      <c r="HK36" s="523"/>
      <c r="HL36" s="524">
        <f t="shared" si="71"/>
        <v>0</v>
      </c>
      <c r="HM36" s="525">
        <f t="shared" si="183"/>
        <v>0</v>
      </c>
      <c r="HN36" s="523"/>
      <c r="HO36" s="524">
        <f t="shared" si="72"/>
        <v>0</v>
      </c>
      <c r="HP36" s="525">
        <f t="shared" si="184"/>
        <v>0</v>
      </c>
      <c r="HQ36" s="523"/>
      <c r="HR36" s="524">
        <f t="shared" si="73"/>
        <v>0</v>
      </c>
      <c r="HS36" s="525">
        <f t="shared" si="185"/>
        <v>0</v>
      </c>
      <c r="HT36" s="523"/>
      <c r="HU36" s="524">
        <f t="shared" si="74"/>
        <v>0</v>
      </c>
      <c r="HV36" s="525">
        <f t="shared" si="186"/>
        <v>0</v>
      </c>
      <c r="HW36" s="523"/>
      <c r="HX36" s="524">
        <f t="shared" si="75"/>
        <v>0</v>
      </c>
      <c r="HY36" s="525">
        <f t="shared" si="187"/>
        <v>0</v>
      </c>
      <c r="HZ36" s="523"/>
      <c r="IA36" s="524">
        <f t="shared" si="76"/>
        <v>0</v>
      </c>
      <c r="IB36" s="525">
        <f t="shared" si="188"/>
        <v>0</v>
      </c>
      <c r="IC36" s="523"/>
      <c r="ID36" s="524">
        <f t="shared" si="77"/>
        <v>0</v>
      </c>
      <c r="IE36" s="525">
        <f t="shared" si="189"/>
        <v>0</v>
      </c>
      <c r="IF36" s="523"/>
      <c r="IG36" s="524">
        <f t="shared" si="78"/>
        <v>0</v>
      </c>
      <c r="IH36" s="525">
        <f t="shared" si="190"/>
        <v>0</v>
      </c>
      <c r="II36" s="523"/>
      <c r="IJ36" s="524">
        <f t="shared" si="79"/>
        <v>0</v>
      </c>
      <c r="IK36" s="525">
        <f t="shared" si="191"/>
        <v>0</v>
      </c>
      <c r="IL36" s="523"/>
      <c r="IM36" s="524">
        <f t="shared" si="80"/>
        <v>0</v>
      </c>
      <c r="IN36" s="525">
        <f t="shared" si="192"/>
        <v>0</v>
      </c>
      <c r="IO36" s="523"/>
      <c r="IP36" s="524">
        <f t="shared" si="81"/>
        <v>0</v>
      </c>
      <c r="IQ36" s="525">
        <f t="shared" si="193"/>
        <v>0</v>
      </c>
      <c r="IR36" s="523"/>
      <c r="IS36" s="524">
        <f t="shared" si="82"/>
        <v>0</v>
      </c>
      <c r="IT36" s="525">
        <f t="shared" si="194"/>
        <v>0</v>
      </c>
      <c r="IU36" s="523"/>
      <c r="IV36" s="524">
        <f t="shared" si="83"/>
        <v>0</v>
      </c>
      <c r="IW36" s="525">
        <f t="shared" si="195"/>
        <v>0</v>
      </c>
      <c r="IX36" s="523"/>
      <c r="IY36" s="524">
        <f t="shared" si="84"/>
        <v>0</v>
      </c>
      <c r="IZ36" s="525">
        <f t="shared" si="196"/>
        <v>0</v>
      </c>
      <c r="JA36" s="523"/>
      <c r="JB36" s="524">
        <f t="shared" si="85"/>
        <v>0</v>
      </c>
      <c r="JC36" s="525">
        <f t="shared" si="197"/>
        <v>0</v>
      </c>
      <c r="JD36" s="523"/>
      <c r="JE36" s="524">
        <f t="shared" si="86"/>
        <v>0</v>
      </c>
      <c r="JF36" s="525">
        <f t="shared" si="198"/>
        <v>0</v>
      </c>
      <c r="JG36" s="523"/>
      <c r="JH36" s="524">
        <f t="shared" si="87"/>
        <v>0</v>
      </c>
      <c r="JI36" s="525">
        <f t="shared" si="199"/>
        <v>0</v>
      </c>
      <c r="JJ36" s="523"/>
      <c r="JK36" s="525" t="str">
        <f t="shared" si="88"/>
        <v>0</v>
      </c>
      <c r="JL36" s="525" t="str">
        <f t="shared" si="89"/>
        <v>0</v>
      </c>
      <c r="JM36" s="523"/>
      <c r="JN36" s="525" t="str">
        <f t="shared" si="90"/>
        <v>0</v>
      </c>
      <c r="JO36" s="525" t="str">
        <f t="shared" si="91"/>
        <v>0</v>
      </c>
      <c r="JP36" s="523"/>
      <c r="JQ36" s="525" t="str">
        <f t="shared" si="92"/>
        <v>0</v>
      </c>
      <c r="JR36" s="525" t="str">
        <f t="shared" si="93"/>
        <v>0</v>
      </c>
      <c r="JS36" s="523"/>
      <c r="JT36" s="525" t="str">
        <f t="shared" si="94"/>
        <v>0</v>
      </c>
      <c r="JU36" s="525" t="str">
        <f t="shared" si="95"/>
        <v>0</v>
      </c>
      <c r="JV36" s="523"/>
      <c r="JW36" s="525" t="str">
        <f t="shared" si="96"/>
        <v>0</v>
      </c>
      <c r="JX36" s="525" t="str">
        <f t="shared" si="97"/>
        <v>0</v>
      </c>
      <c r="JY36" s="523"/>
      <c r="JZ36" s="525" t="str">
        <f t="shared" si="98"/>
        <v>0</v>
      </c>
      <c r="KA36" s="525" t="str">
        <f t="shared" si="99"/>
        <v>0</v>
      </c>
      <c r="KB36" s="523"/>
      <c r="KC36" s="525" t="str">
        <f t="shared" si="100"/>
        <v>0</v>
      </c>
      <c r="KD36" s="525" t="str">
        <f t="shared" si="101"/>
        <v>0</v>
      </c>
      <c r="KE36" s="523"/>
      <c r="KF36" s="525" t="str">
        <f t="shared" si="102"/>
        <v>0</v>
      </c>
      <c r="KG36" s="525" t="str">
        <f t="shared" si="103"/>
        <v>0</v>
      </c>
      <c r="KH36" s="523"/>
      <c r="KI36" s="525" t="str">
        <f t="shared" si="104"/>
        <v>0</v>
      </c>
      <c r="KJ36" s="525" t="str">
        <f t="shared" si="105"/>
        <v>0</v>
      </c>
      <c r="KK36" s="523"/>
      <c r="KL36" s="525" t="str">
        <f t="shared" si="106"/>
        <v>0</v>
      </c>
      <c r="KM36" s="525" t="str">
        <f t="shared" si="107"/>
        <v>0</v>
      </c>
      <c r="KN36" s="523"/>
      <c r="KO36" s="525" t="str">
        <f t="shared" si="108"/>
        <v>0</v>
      </c>
      <c r="KP36" s="525" t="str">
        <f t="shared" si="109"/>
        <v>0</v>
      </c>
      <c r="KQ36" s="523"/>
      <c r="KR36" s="525" t="str">
        <f t="shared" si="110"/>
        <v>0</v>
      </c>
      <c r="KS36" s="525" t="str">
        <f t="shared" si="111"/>
        <v>0</v>
      </c>
      <c r="KT36" s="525">
        <f t="shared" si="201"/>
        <v>0</v>
      </c>
      <c r="KU36" s="525">
        <f t="shared" si="202"/>
        <v>0</v>
      </c>
      <c r="KV36" s="261">
        <f t="shared" si="112"/>
        <v>490.92954993448643</v>
      </c>
    </row>
    <row r="37" spans="1:308" ht="15" customHeight="1">
      <c r="A37" s="262">
        <f t="shared" si="200"/>
        <v>45990</v>
      </c>
      <c r="B37" s="263" t="str">
        <f>+Report1!B37</f>
        <v>Facial</v>
      </c>
      <c r="C37" s="263" t="str">
        <f>+Report1!C37</f>
        <v>12/14</v>
      </c>
      <c r="D37" s="264">
        <f>+Report1!P37</f>
        <v>41.548000000000002</v>
      </c>
      <c r="E37" s="562">
        <f>+Report1!R37</f>
        <v>38.677</v>
      </c>
      <c r="F37" s="523"/>
      <c r="G37" s="524">
        <f t="shared" si="0"/>
        <v>0</v>
      </c>
      <c r="H37" s="525">
        <f t="shared" si="113"/>
        <v>0</v>
      </c>
      <c r="I37" s="523">
        <v>212.29979069767455</v>
      </c>
      <c r="J37" s="524">
        <f t="shared" si="1"/>
        <v>5.4890449284503591</v>
      </c>
      <c r="K37" s="525">
        <f t="shared" si="114"/>
        <v>0</v>
      </c>
      <c r="L37" s="523"/>
      <c r="M37" s="524">
        <f t="shared" si="2"/>
        <v>0</v>
      </c>
      <c r="N37" s="525">
        <f t="shared" si="115"/>
        <v>0</v>
      </c>
      <c r="O37" s="523">
        <v>1.4819999999999993</v>
      </c>
      <c r="P37" s="524">
        <f t="shared" si="3"/>
        <v>3.8317346226439467E-2</v>
      </c>
      <c r="Q37" s="525">
        <f t="shared" si="116"/>
        <v>0</v>
      </c>
      <c r="R37" s="523"/>
      <c r="S37" s="524">
        <f t="shared" si="4"/>
        <v>0</v>
      </c>
      <c r="T37" s="525">
        <f t="shared" si="117"/>
        <v>0</v>
      </c>
      <c r="U37" s="523">
        <v>1.2651000000000181</v>
      </c>
      <c r="V37" s="524">
        <f t="shared" si="5"/>
        <v>3.2709362153218145E-2</v>
      </c>
      <c r="W37" s="525">
        <f t="shared" si="118"/>
        <v>0</v>
      </c>
      <c r="X37" s="523"/>
      <c r="Y37" s="524">
        <f t="shared" si="6"/>
        <v>0</v>
      </c>
      <c r="Z37" s="525">
        <f t="shared" si="119"/>
        <v>0</v>
      </c>
      <c r="AA37" s="523">
        <v>6.2714999999999748</v>
      </c>
      <c r="AB37" s="524">
        <f t="shared" si="7"/>
        <v>0.16215063215864661</v>
      </c>
      <c r="AC37" s="525">
        <f t="shared" si="120"/>
        <v>0</v>
      </c>
      <c r="AD37" s="523"/>
      <c r="AE37" s="524">
        <f t="shared" si="8"/>
        <v>0</v>
      </c>
      <c r="AF37" s="525">
        <f t="shared" si="121"/>
        <v>0</v>
      </c>
      <c r="AG37" s="523"/>
      <c r="AH37" s="524">
        <f t="shared" si="9"/>
        <v>0</v>
      </c>
      <c r="AI37" s="525">
        <f t="shared" si="122"/>
        <v>0</v>
      </c>
      <c r="AJ37" s="523"/>
      <c r="AK37" s="524">
        <f t="shared" si="10"/>
        <v>0</v>
      </c>
      <c r="AL37" s="525">
        <f t="shared" si="123"/>
        <v>0</v>
      </c>
      <c r="AM37" s="523"/>
      <c r="AN37" s="524">
        <f t="shared" si="11"/>
        <v>0</v>
      </c>
      <c r="AO37" s="525">
        <f t="shared" si="124"/>
        <v>0</v>
      </c>
      <c r="AP37" s="523">
        <v>44.97316455696199</v>
      </c>
      <c r="AQ37" s="524">
        <f t="shared" si="12"/>
        <v>1.1627883382103574</v>
      </c>
      <c r="AR37" s="525">
        <f t="shared" si="125"/>
        <v>0</v>
      </c>
      <c r="AS37" s="523"/>
      <c r="AT37" s="524">
        <f t="shared" si="13"/>
        <v>0</v>
      </c>
      <c r="AU37" s="525">
        <f t="shared" si="126"/>
        <v>0</v>
      </c>
      <c r="AV37" s="523"/>
      <c r="AW37" s="524">
        <f t="shared" si="14"/>
        <v>0</v>
      </c>
      <c r="AX37" s="525">
        <f t="shared" si="127"/>
        <v>0</v>
      </c>
      <c r="AY37" s="523">
        <v>55.265199999999993</v>
      </c>
      <c r="AZ37" s="524">
        <f t="shared" si="15"/>
        <v>1.4288905551102722</v>
      </c>
      <c r="BA37" s="525">
        <f t="shared" si="128"/>
        <v>0</v>
      </c>
      <c r="BB37" s="523"/>
      <c r="BC37" s="524">
        <f t="shared" si="16"/>
        <v>0</v>
      </c>
      <c r="BD37" s="525">
        <f t="shared" si="129"/>
        <v>0</v>
      </c>
      <c r="BE37" s="523"/>
      <c r="BF37" s="524">
        <f t="shared" si="17"/>
        <v>0</v>
      </c>
      <c r="BG37" s="525">
        <f t="shared" si="130"/>
        <v>0</v>
      </c>
      <c r="BH37" s="523"/>
      <c r="BI37" s="524">
        <f t="shared" si="18"/>
        <v>0</v>
      </c>
      <c r="BJ37" s="525">
        <f t="shared" si="131"/>
        <v>0</v>
      </c>
      <c r="BK37" s="523"/>
      <c r="BL37" s="524">
        <f t="shared" si="19"/>
        <v>0</v>
      </c>
      <c r="BM37" s="525">
        <f t="shared" si="132"/>
        <v>0</v>
      </c>
      <c r="BN37" s="523"/>
      <c r="BO37" s="524">
        <f t="shared" si="20"/>
        <v>0</v>
      </c>
      <c r="BP37" s="525">
        <f t="shared" si="133"/>
        <v>0</v>
      </c>
      <c r="BQ37" s="523">
        <v>369.77927632911405</v>
      </c>
      <c r="BR37" s="524">
        <f t="shared" si="21"/>
        <v>9.5607021312178837</v>
      </c>
      <c r="BS37" s="525">
        <f t="shared" si="134"/>
        <v>0</v>
      </c>
      <c r="BT37" s="523"/>
      <c r="BU37" s="524">
        <f t="shared" si="22"/>
        <v>0</v>
      </c>
      <c r="BV37" s="525">
        <f t="shared" si="135"/>
        <v>0</v>
      </c>
      <c r="BW37" s="523"/>
      <c r="BX37" s="524">
        <f t="shared" si="23"/>
        <v>0</v>
      </c>
      <c r="BY37" s="525">
        <f t="shared" si="136"/>
        <v>0</v>
      </c>
      <c r="BZ37" s="523"/>
      <c r="CA37" s="524">
        <f t="shared" si="24"/>
        <v>0</v>
      </c>
      <c r="CB37" s="525">
        <f t="shared" si="137"/>
        <v>0</v>
      </c>
      <c r="CC37" s="523"/>
      <c r="CD37" s="524">
        <f t="shared" si="25"/>
        <v>0</v>
      </c>
      <c r="CE37" s="525">
        <f t="shared" si="138"/>
        <v>0</v>
      </c>
      <c r="CF37" s="523">
        <v>0.5</v>
      </c>
      <c r="CG37" s="524">
        <f t="shared" si="26"/>
        <v>1.2927579698528842E-2</v>
      </c>
      <c r="CH37" s="525">
        <f t="shared" si="139"/>
        <v>0</v>
      </c>
      <c r="CI37" s="523"/>
      <c r="CJ37" s="524">
        <f t="shared" si="27"/>
        <v>0</v>
      </c>
      <c r="CK37" s="525">
        <f t="shared" si="140"/>
        <v>0</v>
      </c>
      <c r="CL37" s="523"/>
      <c r="CM37" s="524">
        <f t="shared" si="28"/>
        <v>0</v>
      </c>
      <c r="CN37" s="525">
        <f t="shared" si="141"/>
        <v>0</v>
      </c>
      <c r="CO37" s="523"/>
      <c r="CP37" s="524">
        <f t="shared" si="29"/>
        <v>0</v>
      </c>
      <c r="CQ37" s="525">
        <f t="shared" si="142"/>
        <v>0</v>
      </c>
      <c r="CR37" s="523"/>
      <c r="CS37" s="524">
        <f t="shared" si="30"/>
        <v>0</v>
      </c>
      <c r="CT37" s="525">
        <f t="shared" si="143"/>
        <v>0</v>
      </c>
      <c r="CU37" s="523"/>
      <c r="CV37" s="524">
        <f t="shared" si="31"/>
        <v>0</v>
      </c>
      <c r="CW37" s="525">
        <f t="shared" si="144"/>
        <v>0</v>
      </c>
      <c r="CX37" s="523"/>
      <c r="CY37" s="524">
        <f t="shared" si="32"/>
        <v>0</v>
      </c>
      <c r="CZ37" s="525">
        <f t="shared" si="145"/>
        <v>0</v>
      </c>
      <c r="DA37" s="523"/>
      <c r="DB37" s="524">
        <f t="shared" si="33"/>
        <v>0</v>
      </c>
      <c r="DC37" s="525">
        <f t="shared" si="146"/>
        <v>0</v>
      </c>
      <c r="DD37" s="523"/>
      <c r="DE37" s="524">
        <f t="shared" si="34"/>
        <v>0</v>
      </c>
      <c r="DF37" s="525">
        <f t="shared" si="147"/>
        <v>0</v>
      </c>
      <c r="DG37" s="523"/>
      <c r="DH37" s="524">
        <f t="shared" si="35"/>
        <v>0</v>
      </c>
      <c r="DI37" s="525">
        <f t="shared" si="203"/>
        <v>0</v>
      </c>
      <c r="DJ37" s="523"/>
      <c r="DK37" s="524">
        <f t="shared" si="36"/>
        <v>0</v>
      </c>
      <c r="DL37" s="525">
        <f t="shared" si="148"/>
        <v>0</v>
      </c>
      <c r="DM37" s="523"/>
      <c r="DN37" s="524">
        <f t="shared" si="37"/>
        <v>0</v>
      </c>
      <c r="DO37" s="525">
        <f t="shared" si="149"/>
        <v>0</v>
      </c>
      <c r="DP37" s="523"/>
      <c r="DQ37" s="524">
        <f t="shared" si="38"/>
        <v>0</v>
      </c>
      <c r="DR37" s="525">
        <f t="shared" si="150"/>
        <v>0</v>
      </c>
      <c r="DS37" s="523"/>
      <c r="DT37" s="524">
        <f t="shared" si="39"/>
        <v>0</v>
      </c>
      <c r="DU37" s="525">
        <f t="shared" si="151"/>
        <v>0</v>
      </c>
      <c r="DV37" s="523"/>
      <c r="DW37" s="524">
        <f t="shared" si="40"/>
        <v>0</v>
      </c>
      <c r="DX37" s="525">
        <f t="shared" si="152"/>
        <v>0</v>
      </c>
      <c r="DY37" s="523"/>
      <c r="DZ37" s="524">
        <f t="shared" si="41"/>
        <v>0</v>
      </c>
      <c r="EA37" s="525">
        <f t="shared" si="153"/>
        <v>0</v>
      </c>
      <c r="EB37" s="523"/>
      <c r="EC37" s="524">
        <f t="shared" si="42"/>
        <v>0</v>
      </c>
      <c r="ED37" s="525">
        <f t="shared" si="154"/>
        <v>0</v>
      </c>
      <c r="EE37" s="523">
        <v>69.52235294117645</v>
      </c>
      <c r="EF37" s="524">
        <f t="shared" si="43"/>
        <v>1.7975115169526192</v>
      </c>
      <c r="EG37" s="525">
        <f t="shared" si="155"/>
        <v>0</v>
      </c>
      <c r="EH37" s="523"/>
      <c r="EI37" s="524">
        <f t="shared" si="44"/>
        <v>0</v>
      </c>
      <c r="EJ37" s="525">
        <f t="shared" si="156"/>
        <v>0</v>
      </c>
      <c r="EK37" s="523"/>
      <c r="EL37" s="524">
        <f t="shared" si="45"/>
        <v>0</v>
      </c>
      <c r="EM37" s="525">
        <f t="shared" si="157"/>
        <v>0</v>
      </c>
      <c r="EN37" s="523"/>
      <c r="EO37" s="524">
        <f t="shared" si="46"/>
        <v>0</v>
      </c>
      <c r="EP37" s="525">
        <f t="shared" si="158"/>
        <v>0</v>
      </c>
      <c r="EQ37" s="523"/>
      <c r="ER37" s="524">
        <f t="shared" si="47"/>
        <v>0</v>
      </c>
      <c r="ES37" s="525">
        <f t="shared" si="159"/>
        <v>0</v>
      </c>
      <c r="ET37" s="523"/>
      <c r="EU37" s="524">
        <f t="shared" si="48"/>
        <v>0</v>
      </c>
      <c r="EV37" s="525">
        <f t="shared" si="160"/>
        <v>0</v>
      </c>
      <c r="EW37" s="523"/>
      <c r="EX37" s="524">
        <f t="shared" si="49"/>
        <v>0</v>
      </c>
      <c r="EY37" s="525">
        <f t="shared" si="161"/>
        <v>0</v>
      </c>
      <c r="EZ37" s="523"/>
      <c r="FA37" s="524">
        <f t="shared" si="50"/>
        <v>0</v>
      </c>
      <c r="FB37" s="525">
        <f t="shared" si="162"/>
        <v>0</v>
      </c>
      <c r="FC37" s="523"/>
      <c r="FD37" s="524">
        <f t="shared" si="51"/>
        <v>0</v>
      </c>
      <c r="FE37" s="525">
        <f t="shared" si="163"/>
        <v>0</v>
      </c>
      <c r="FF37" s="523"/>
      <c r="FG37" s="524">
        <f t="shared" si="52"/>
        <v>0</v>
      </c>
      <c r="FH37" s="525">
        <f t="shared" si="164"/>
        <v>0</v>
      </c>
      <c r="FI37" s="523"/>
      <c r="FJ37" s="524">
        <f t="shared" si="53"/>
        <v>0</v>
      </c>
      <c r="FK37" s="525">
        <f t="shared" si="165"/>
        <v>0</v>
      </c>
      <c r="FL37" s="523"/>
      <c r="FM37" s="524">
        <f t="shared" si="54"/>
        <v>0</v>
      </c>
      <c r="FN37" s="525">
        <f t="shared" si="166"/>
        <v>0</v>
      </c>
      <c r="FO37" s="523"/>
      <c r="FP37" s="524">
        <f t="shared" si="55"/>
        <v>0</v>
      </c>
      <c r="FQ37" s="525">
        <f t="shared" si="167"/>
        <v>0</v>
      </c>
      <c r="FR37" s="523"/>
      <c r="FS37" s="524">
        <f t="shared" si="56"/>
        <v>0</v>
      </c>
      <c r="FT37" s="525">
        <f t="shared" si="168"/>
        <v>0</v>
      </c>
      <c r="FU37" s="523"/>
      <c r="FV37" s="524">
        <f t="shared" si="57"/>
        <v>0</v>
      </c>
      <c r="FW37" s="525">
        <f t="shared" si="169"/>
        <v>0</v>
      </c>
      <c r="FX37" s="523"/>
      <c r="FY37" s="524">
        <f t="shared" si="58"/>
        <v>0</v>
      </c>
      <c r="FZ37" s="525">
        <f t="shared" si="170"/>
        <v>0</v>
      </c>
      <c r="GA37" s="523"/>
      <c r="GB37" s="524">
        <f t="shared" si="59"/>
        <v>0</v>
      </c>
      <c r="GC37" s="525">
        <f t="shared" si="171"/>
        <v>0</v>
      </c>
      <c r="GD37" s="523"/>
      <c r="GE37" s="524">
        <f t="shared" si="60"/>
        <v>0</v>
      </c>
      <c r="GF37" s="525">
        <f t="shared" si="172"/>
        <v>0</v>
      </c>
      <c r="GG37" s="523"/>
      <c r="GH37" s="524">
        <f t="shared" si="61"/>
        <v>0</v>
      </c>
      <c r="GI37" s="525">
        <f t="shared" si="173"/>
        <v>0</v>
      </c>
      <c r="GJ37" s="523"/>
      <c r="GK37" s="524">
        <f t="shared" si="62"/>
        <v>0</v>
      </c>
      <c r="GL37" s="525">
        <f t="shared" si="174"/>
        <v>0</v>
      </c>
      <c r="GM37" s="523"/>
      <c r="GN37" s="524">
        <f t="shared" si="63"/>
        <v>0</v>
      </c>
      <c r="GO37" s="525">
        <f t="shared" si="175"/>
        <v>0</v>
      </c>
      <c r="GP37" s="523"/>
      <c r="GQ37" s="524">
        <f t="shared" si="64"/>
        <v>0</v>
      </c>
      <c r="GR37" s="525">
        <f t="shared" si="176"/>
        <v>0</v>
      </c>
      <c r="GS37" s="523"/>
      <c r="GT37" s="524">
        <f t="shared" si="65"/>
        <v>0</v>
      </c>
      <c r="GU37" s="525">
        <f t="shared" si="177"/>
        <v>0</v>
      </c>
      <c r="GV37" s="523"/>
      <c r="GW37" s="524">
        <f t="shared" si="66"/>
        <v>0</v>
      </c>
      <c r="GX37" s="525">
        <f t="shared" si="178"/>
        <v>0</v>
      </c>
      <c r="GY37" s="523"/>
      <c r="GZ37" s="524">
        <f t="shared" si="67"/>
        <v>0</v>
      </c>
      <c r="HA37" s="525">
        <f t="shared" si="179"/>
        <v>0</v>
      </c>
      <c r="HB37" s="523"/>
      <c r="HC37" s="524">
        <f t="shared" si="68"/>
        <v>0</v>
      </c>
      <c r="HD37" s="525">
        <f t="shared" si="180"/>
        <v>0</v>
      </c>
      <c r="HE37" s="523"/>
      <c r="HF37" s="524">
        <f t="shared" si="69"/>
        <v>0</v>
      </c>
      <c r="HG37" s="525">
        <f t="shared" si="181"/>
        <v>0</v>
      </c>
      <c r="HH37" s="523"/>
      <c r="HI37" s="524">
        <f t="shared" si="70"/>
        <v>0</v>
      </c>
      <c r="HJ37" s="525">
        <f t="shared" si="182"/>
        <v>0</v>
      </c>
      <c r="HK37" s="523"/>
      <c r="HL37" s="524">
        <f t="shared" si="71"/>
        <v>0</v>
      </c>
      <c r="HM37" s="525">
        <f t="shared" si="183"/>
        <v>0</v>
      </c>
      <c r="HN37" s="523"/>
      <c r="HO37" s="524">
        <f t="shared" si="72"/>
        <v>0</v>
      </c>
      <c r="HP37" s="525">
        <f t="shared" si="184"/>
        <v>0</v>
      </c>
      <c r="HQ37" s="523"/>
      <c r="HR37" s="524">
        <f t="shared" si="73"/>
        <v>0</v>
      </c>
      <c r="HS37" s="525">
        <f t="shared" si="185"/>
        <v>0</v>
      </c>
      <c r="HT37" s="523"/>
      <c r="HU37" s="524">
        <f t="shared" si="74"/>
        <v>0</v>
      </c>
      <c r="HV37" s="525">
        <f t="shared" si="186"/>
        <v>0</v>
      </c>
      <c r="HW37" s="523"/>
      <c r="HX37" s="524">
        <f t="shared" si="75"/>
        <v>0</v>
      </c>
      <c r="HY37" s="525">
        <f t="shared" si="187"/>
        <v>0</v>
      </c>
      <c r="HZ37" s="523"/>
      <c r="IA37" s="524">
        <f t="shared" si="76"/>
        <v>0</v>
      </c>
      <c r="IB37" s="525">
        <f t="shared" si="188"/>
        <v>0</v>
      </c>
      <c r="IC37" s="523"/>
      <c r="ID37" s="524">
        <f t="shared" si="77"/>
        <v>0</v>
      </c>
      <c r="IE37" s="525">
        <f t="shared" si="189"/>
        <v>0</v>
      </c>
      <c r="IF37" s="523"/>
      <c r="IG37" s="524">
        <f t="shared" si="78"/>
        <v>0</v>
      </c>
      <c r="IH37" s="525">
        <f t="shared" si="190"/>
        <v>0</v>
      </c>
      <c r="II37" s="523"/>
      <c r="IJ37" s="524">
        <f t="shared" si="79"/>
        <v>0</v>
      </c>
      <c r="IK37" s="525">
        <f t="shared" si="191"/>
        <v>0</v>
      </c>
      <c r="IL37" s="523"/>
      <c r="IM37" s="524">
        <f t="shared" si="80"/>
        <v>0</v>
      </c>
      <c r="IN37" s="525">
        <f t="shared" si="192"/>
        <v>0</v>
      </c>
      <c r="IO37" s="523"/>
      <c r="IP37" s="524">
        <f t="shared" si="81"/>
        <v>0</v>
      </c>
      <c r="IQ37" s="525">
        <f t="shared" si="193"/>
        <v>0</v>
      </c>
      <c r="IR37" s="523"/>
      <c r="IS37" s="524">
        <f t="shared" si="82"/>
        <v>0</v>
      </c>
      <c r="IT37" s="525">
        <f t="shared" si="194"/>
        <v>0</v>
      </c>
      <c r="IU37" s="523"/>
      <c r="IV37" s="524">
        <f t="shared" si="83"/>
        <v>0</v>
      </c>
      <c r="IW37" s="525">
        <f t="shared" si="195"/>
        <v>0</v>
      </c>
      <c r="IX37" s="523"/>
      <c r="IY37" s="524">
        <f t="shared" si="84"/>
        <v>0</v>
      </c>
      <c r="IZ37" s="525">
        <f t="shared" si="196"/>
        <v>0</v>
      </c>
      <c r="JA37" s="523"/>
      <c r="JB37" s="524">
        <f t="shared" si="85"/>
        <v>0</v>
      </c>
      <c r="JC37" s="525">
        <f t="shared" si="197"/>
        <v>0</v>
      </c>
      <c r="JD37" s="523"/>
      <c r="JE37" s="524">
        <f t="shared" si="86"/>
        <v>0</v>
      </c>
      <c r="JF37" s="525">
        <f t="shared" si="198"/>
        <v>0</v>
      </c>
      <c r="JG37" s="523"/>
      <c r="JH37" s="524">
        <f t="shared" si="87"/>
        <v>0</v>
      </c>
      <c r="JI37" s="525">
        <f t="shared" si="199"/>
        <v>0</v>
      </c>
      <c r="JJ37" s="523"/>
      <c r="JK37" s="525" t="str">
        <f t="shared" si="88"/>
        <v>0</v>
      </c>
      <c r="JL37" s="525" t="str">
        <f t="shared" si="89"/>
        <v>0</v>
      </c>
      <c r="JM37" s="523"/>
      <c r="JN37" s="525" t="str">
        <f t="shared" si="90"/>
        <v>0</v>
      </c>
      <c r="JO37" s="525" t="str">
        <f t="shared" si="91"/>
        <v>0</v>
      </c>
      <c r="JP37" s="523"/>
      <c r="JQ37" s="525" t="str">
        <f t="shared" si="92"/>
        <v>0</v>
      </c>
      <c r="JR37" s="525" t="str">
        <f t="shared" si="93"/>
        <v>0</v>
      </c>
      <c r="JS37" s="523"/>
      <c r="JT37" s="525" t="str">
        <f t="shared" si="94"/>
        <v>0</v>
      </c>
      <c r="JU37" s="525" t="str">
        <f t="shared" si="95"/>
        <v>0</v>
      </c>
      <c r="JV37" s="523"/>
      <c r="JW37" s="525" t="str">
        <f t="shared" si="96"/>
        <v>0</v>
      </c>
      <c r="JX37" s="525" t="str">
        <f t="shared" si="97"/>
        <v>0</v>
      </c>
      <c r="JY37" s="523"/>
      <c r="JZ37" s="525" t="str">
        <f t="shared" si="98"/>
        <v>0</v>
      </c>
      <c r="KA37" s="525" t="str">
        <f t="shared" si="99"/>
        <v>0</v>
      </c>
      <c r="KB37" s="523"/>
      <c r="KC37" s="525" t="str">
        <f t="shared" si="100"/>
        <v>0</v>
      </c>
      <c r="KD37" s="525" t="str">
        <f t="shared" si="101"/>
        <v>0</v>
      </c>
      <c r="KE37" s="523"/>
      <c r="KF37" s="525" t="str">
        <f t="shared" si="102"/>
        <v>0</v>
      </c>
      <c r="KG37" s="525" t="str">
        <f t="shared" si="103"/>
        <v>0</v>
      </c>
      <c r="KH37" s="523"/>
      <c r="KI37" s="525" t="str">
        <f t="shared" si="104"/>
        <v>0</v>
      </c>
      <c r="KJ37" s="525" t="str">
        <f t="shared" si="105"/>
        <v>0</v>
      </c>
      <c r="KK37" s="523"/>
      <c r="KL37" s="525" t="str">
        <f t="shared" si="106"/>
        <v>0</v>
      </c>
      <c r="KM37" s="525" t="str">
        <f t="shared" si="107"/>
        <v>0</v>
      </c>
      <c r="KN37" s="523"/>
      <c r="KO37" s="525" t="str">
        <f t="shared" si="108"/>
        <v>0</v>
      </c>
      <c r="KP37" s="525" t="str">
        <f t="shared" si="109"/>
        <v>0</v>
      </c>
      <c r="KQ37" s="523"/>
      <c r="KR37" s="525" t="str">
        <f t="shared" si="110"/>
        <v>0</v>
      </c>
      <c r="KS37" s="525" t="str">
        <f t="shared" si="111"/>
        <v>0</v>
      </c>
      <c r="KT37" s="525">
        <f t="shared" si="201"/>
        <v>0</v>
      </c>
      <c r="KU37" s="525">
        <f t="shared" si="202"/>
        <v>0</v>
      </c>
      <c r="KV37" s="261">
        <f t="shared" si="112"/>
        <v>761.35838452492703</v>
      </c>
    </row>
    <row r="38" spans="1:308" ht="15" customHeight="1">
      <c r="A38" s="262">
        <f t="shared" si="200"/>
        <v>45991</v>
      </c>
      <c r="B38" s="263" t="str">
        <f>+Report1!B38</f>
        <v>Facial</v>
      </c>
      <c r="C38" s="263" t="str">
        <f>+Report1!C38</f>
        <v>14</v>
      </c>
      <c r="D38" s="264">
        <f>+Report1!P38</f>
        <v>42.650999999999996</v>
      </c>
      <c r="E38" s="562">
        <f>+Report1!R38</f>
        <v>41.048999999999999</v>
      </c>
      <c r="F38" s="523"/>
      <c r="G38" s="524">
        <f t="shared" si="0"/>
        <v>0</v>
      </c>
      <c r="H38" s="525">
        <f t="shared" si="113"/>
        <v>0</v>
      </c>
      <c r="I38" s="523">
        <v>217.93319999999994</v>
      </c>
      <c r="J38" s="524">
        <f t="shared" si="1"/>
        <v>5.30909888182416</v>
      </c>
      <c r="K38" s="525">
        <f t="shared" si="114"/>
        <v>0</v>
      </c>
      <c r="L38" s="523"/>
      <c r="M38" s="524">
        <f t="shared" si="2"/>
        <v>0</v>
      </c>
      <c r="N38" s="525">
        <f t="shared" si="115"/>
        <v>0</v>
      </c>
      <c r="O38" s="523">
        <v>1.519599999999997</v>
      </c>
      <c r="P38" s="524">
        <f t="shared" si="3"/>
        <v>3.7019172208823524E-2</v>
      </c>
      <c r="Q38" s="525">
        <f t="shared" si="116"/>
        <v>0</v>
      </c>
      <c r="R38" s="523"/>
      <c r="S38" s="524">
        <f t="shared" si="4"/>
        <v>0</v>
      </c>
      <c r="T38" s="525">
        <f t="shared" si="117"/>
        <v>0</v>
      </c>
      <c r="U38" s="523">
        <v>1.2977999999999952</v>
      </c>
      <c r="V38" s="524">
        <f t="shared" si="5"/>
        <v>3.1615873711905169E-2</v>
      </c>
      <c r="W38" s="525">
        <f t="shared" si="118"/>
        <v>0</v>
      </c>
      <c r="X38" s="523"/>
      <c r="Y38" s="524">
        <f t="shared" si="6"/>
        <v>0</v>
      </c>
      <c r="Z38" s="525">
        <f t="shared" si="119"/>
        <v>0</v>
      </c>
      <c r="AA38" s="523">
        <v>6.3345000000000198</v>
      </c>
      <c r="AB38" s="524">
        <f t="shared" si="7"/>
        <v>0.15431557407001437</v>
      </c>
      <c r="AC38" s="525">
        <f t="shared" si="120"/>
        <v>0</v>
      </c>
      <c r="AD38" s="523"/>
      <c r="AE38" s="524">
        <f t="shared" si="8"/>
        <v>0</v>
      </c>
      <c r="AF38" s="525">
        <f t="shared" si="121"/>
        <v>0</v>
      </c>
      <c r="AG38" s="523"/>
      <c r="AH38" s="524">
        <f t="shared" si="9"/>
        <v>0</v>
      </c>
      <c r="AI38" s="525">
        <f t="shared" si="122"/>
        <v>0</v>
      </c>
      <c r="AJ38" s="523"/>
      <c r="AK38" s="524">
        <f t="shared" si="10"/>
        <v>0</v>
      </c>
      <c r="AL38" s="525">
        <f t="shared" si="123"/>
        <v>0</v>
      </c>
      <c r="AM38" s="523"/>
      <c r="AN38" s="524">
        <f t="shared" si="11"/>
        <v>0</v>
      </c>
      <c r="AO38" s="525">
        <f t="shared" si="124"/>
        <v>0</v>
      </c>
      <c r="AP38" s="523">
        <v>46.170500000000004</v>
      </c>
      <c r="AQ38" s="524">
        <f t="shared" si="12"/>
        <v>1.1247655241296988</v>
      </c>
      <c r="AR38" s="525">
        <f t="shared" si="125"/>
        <v>0</v>
      </c>
      <c r="AS38" s="523"/>
      <c r="AT38" s="524">
        <f t="shared" si="13"/>
        <v>0</v>
      </c>
      <c r="AU38" s="525">
        <f t="shared" si="126"/>
        <v>0</v>
      </c>
      <c r="AV38" s="523"/>
      <c r="AW38" s="524">
        <f t="shared" si="14"/>
        <v>0</v>
      </c>
      <c r="AX38" s="525">
        <f t="shared" si="127"/>
        <v>0</v>
      </c>
      <c r="AY38" s="523">
        <v>56.736400000000003</v>
      </c>
      <c r="AZ38" s="524">
        <f t="shared" si="15"/>
        <v>1.3821627810665302</v>
      </c>
      <c r="BA38" s="525">
        <f t="shared" si="128"/>
        <v>0</v>
      </c>
      <c r="BB38" s="523"/>
      <c r="BC38" s="524">
        <f t="shared" si="16"/>
        <v>0</v>
      </c>
      <c r="BD38" s="525">
        <f t="shared" si="129"/>
        <v>0</v>
      </c>
      <c r="BE38" s="523"/>
      <c r="BF38" s="524">
        <f t="shared" si="17"/>
        <v>0</v>
      </c>
      <c r="BG38" s="525">
        <f t="shared" si="130"/>
        <v>0</v>
      </c>
      <c r="BH38" s="523"/>
      <c r="BI38" s="524">
        <f t="shared" si="18"/>
        <v>0</v>
      </c>
      <c r="BJ38" s="525">
        <f t="shared" si="131"/>
        <v>0</v>
      </c>
      <c r="BK38" s="523"/>
      <c r="BL38" s="524">
        <f t="shared" si="19"/>
        <v>0</v>
      </c>
      <c r="BM38" s="525">
        <f t="shared" si="132"/>
        <v>0</v>
      </c>
      <c r="BN38" s="523"/>
      <c r="BO38" s="524">
        <f t="shared" si="20"/>
        <v>0</v>
      </c>
      <c r="BP38" s="525">
        <f t="shared" si="133"/>
        <v>0</v>
      </c>
      <c r="BQ38" s="523">
        <v>379.58947000000001</v>
      </c>
      <c r="BR38" s="524">
        <f t="shared" si="21"/>
        <v>9.2472281906989213</v>
      </c>
      <c r="BS38" s="525">
        <f t="shared" si="134"/>
        <v>0</v>
      </c>
      <c r="BT38" s="523"/>
      <c r="BU38" s="524">
        <f t="shared" si="22"/>
        <v>0</v>
      </c>
      <c r="BV38" s="525">
        <f t="shared" si="135"/>
        <v>0</v>
      </c>
      <c r="BW38" s="523"/>
      <c r="BX38" s="524">
        <f t="shared" si="23"/>
        <v>0</v>
      </c>
      <c r="BY38" s="525">
        <f t="shared" si="136"/>
        <v>0</v>
      </c>
      <c r="BZ38" s="523"/>
      <c r="CA38" s="524">
        <f t="shared" si="24"/>
        <v>0</v>
      </c>
      <c r="CB38" s="525">
        <f t="shared" si="137"/>
        <v>0</v>
      </c>
      <c r="CC38" s="523"/>
      <c r="CD38" s="524">
        <f t="shared" si="25"/>
        <v>0</v>
      </c>
      <c r="CE38" s="525">
        <f t="shared" si="138"/>
        <v>0</v>
      </c>
      <c r="CF38" s="523">
        <v>0.5</v>
      </c>
      <c r="CG38" s="524">
        <f t="shared" si="26"/>
        <v>1.2180564690979074E-2</v>
      </c>
      <c r="CH38" s="525">
        <f t="shared" si="139"/>
        <v>0</v>
      </c>
      <c r="CI38" s="523"/>
      <c r="CJ38" s="524">
        <f t="shared" si="27"/>
        <v>0</v>
      </c>
      <c r="CK38" s="525">
        <f t="shared" si="140"/>
        <v>0</v>
      </c>
      <c r="CL38" s="523"/>
      <c r="CM38" s="524">
        <f t="shared" si="28"/>
        <v>0</v>
      </c>
      <c r="CN38" s="525">
        <f t="shared" si="141"/>
        <v>0</v>
      </c>
      <c r="CO38" s="523"/>
      <c r="CP38" s="524">
        <f t="shared" si="29"/>
        <v>0</v>
      </c>
      <c r="CQ38" s="525">
        <f t="shared" si="142"/>
        <v>0</v>
      </c>
      <c r="CR38" s="523"/>
      <c r="CS38" s="524">
        <f t="shared" si="30"/>
        <v>0</v>
      </c>
      <c r="CT38" s="525">
        <f t="shared" si="143"/>
        <v>0</v>
      </c>
      <c r="CU38" s="523"/>
      <c r="CV38" s="524">
        <f t="shared" si="31"/>
        <v>0</v>
      </c>
      <c r="CW38" s="525">
        <f t="shared" si="144"/>
        <v>0</v>
      </c>
      <c r="CX38" s="523"/>
      <c r="CY38" s="524">
        <f t="shared" si="32"/>
        <v>0</v>
      </c>
      <c r="CZ38" s="525">
        <f t="shared" si="145"/>
        <v>0</v>
      </c>
      <c r="DA38" s="523"/>
      <c r="DB38" s="524">
        <f t="shared" si="33"/>
        <v>0</v>
      </c>
      <c r="DC38" s="525">
        <f t="shared" si="146"/>
        <v>0</v>
      </c>
      <c r="DD38" s="523"/>
      <c r="DE38" s="524">
        <f t="shared" si="34"/>
        <v>0</v>
      </c>
      <c r="DF38" s="525">
        <f t="shared" si="147"/>
        <v>0</v>
      </c>
      <c r="DG38" s="523"/>
      <c r="DH38" s="524">
        <f t="shared" si="35"/>
        <v>0</v>
      </c>
      <c r="DI38" s="525">
        <f t="shared" si="203"/>
        <v>0</v>
      </c>
      <c r="DJ38" s="523"/>
      <c r="DK38" s="524">
        <f t="shared" si="36"/>
        <v>0</v>
      </c>
      <c r="DL38" s="525">
        <f t="shared" si="148"/>
        <v>0</v>
      </c>
      <c r="DM38" s="523"/>
      <c r="DN38" s="524">
        <f t="shared" si="37"/>
        <v>0</v>
      </c>
      <c r="DO38" s="525">
        <f t="shared" si="149"/>
        <v>0</v>
      </c>
      <c r="DP38" s="523"/>
      <c r="DQ38" s="524">
        <f t="shared" si="38"/>
        <v>0</v>
      </c>
      <c r="DR38" s="525">
        <f t="shared" si="150"/>
        <v>0</v>
      </c>
      <c r="DS38" s="523"/>
      <c r="DT38" s="524">
        <f t="shared" si="39"/>
        <v>0</v>
      </c>
      <c r="DU38" s="525">
        <f t="shared" si="151"/>
        <v>0</v>
      </c>
      <c r="DV38" s="523"/>
      <c r="DW38" s="524">
        <f t="shared" si="40"/>
        <v>0</v>
      </c>
      <c r="DX38" s="525">
        <f t="shared" si="152"/>
        <v>0</v>
      </c>
      <c r="DY38" s="523"/>
      <c r="DZ38" s="524">
        <f t="shared" si="41"/>
        <v>0</v>
      </c>
      <c r="EA38" s="525">
        <f t="shared" si="153"/>
        <v>0</v>
      </c>
      <c r="EB38" s="523"/>
      <c r="EC38" s="524">
        <f t="shared" si="42"/>
        <v>0</v>
      </c>
      <c r="ED38" s="525">
        <f t="shared" si="154"/>
        <v>0</v>
      </c>
      <c r="EE38" s="523">
        <v>71.37</v>
      </c>
      <c r="EF38" s="524">
        <f t="shared" si="43"/>
        <v>1.7386538039903532</v>
      </c>
      <c r="EG38" s="525">
        <f t="shared" si="155"/>
        <v>0</v>
      </c>
      <c r="EH38" s="523"/>
      <c r="EI38" s="524">
        <f t="shared" si="44"/>
        <v>0</v>
      </c>
      <c r="EJ38" s="525">
        <f t="shared" si="156"/>
        <v>0</v>
      </c>
      <c r="EK38" s="523"/>
      <c r="EL38" s="524">
        <f t="shared" si="45"/>
        <v>0</v>
      </c>
      <c r="EM38" s="525">
        <f t="shared" si="157"/>
        <v>0</v>
      </c>
      <c r="EN38" s="523"/>
      <c r="EO38" s="524">
        <f t="shared" si="46"/>
        <v>0</v>
      </c>
      <c r="EP38" s="525">
        <f t="shared" si="158"/>
        <v>0</v>
      </c>
      <c r="EQ38" s="523"/>
      <c r="ER38" s="524">
        <f t="shared" si="47"/>
        <v>0</v>
      </c>
      <c r="ES38" s="525">
        <f t="shared" si="159"/>
        <v>0</v>
      </c>
      <c r="ET38" s="523"/>
      <c r="EU38" s="524">
        <f t="shared" si="48"/>
        <v>0</v>
      </c>
      <c r="EV38" s="525">
        <f t="shared" si="160"/>
        <v>0</v>
      </c>
      <c r="EW38" s="523"/>
      <c r="EX38" s="524">
        <f t="shared" si="49"/>
        <v>0</v>
      </c>
      <c r="EY38" s="525">
        <f t="shared" si="161"/>
        <v>0</v>
      </c>
      <c r="EZ38" s="523"/>
      <c r="FA38" s="524">
        <f t="shared" si="50"/>
        <v>0</v>
      </c>
      <c r="FB38" s="525">
        <f t="shared" si="162"/>
        <v>0</v>
      </c>
      <c r="FC38" s="523"/>
      <c r="FD38" s="524">
        <f t="shared" si="51"/>
        <v>0</v>
      </c>
      <c r="FE38" s="525">
        <f t="shared" si="163"/>
        <v>0</v>
      </c>
      <c r="FF38" s="523"/>
      <c r="FG38" s="524">
        <f t="shared" si="52"/>
        <v>0</v>
      </c>
      <c r="FH38" s="525">
        <f t="shared" si="164"/>
        <v>0</v>
      </c>
      <c r="FI38" s="523"/>
      <c r="FJ38" s="524">
        <f t="shared" si="53"/>
        <v>0</v>
      </c>
      <c r="FK38" s="525">
        <f t="shared" si="165"/>
        <v>0</v>
      </c>
      <c r="FL38" s="523"/>
      <c r="FM38" s="524">
        <f t="shared" si="54"/>
        <v>0</v>
      </c>
      <c r="FN38" s="525">
        <f t="shared" si="166"/>
        <v>0</v>
      </c>
      <c r="FO38" s="523"/>
      <c r="FP38" s="524">
        <f t="shared" si="55"/>
        <v>0</v>
      </c>
      <c r="FQ38" s="525">
        <f t="shared" si="167"/>
        <v>0</v>
      </c>
      <c r="FR38" s="523"/>
      <c r="FS38" s="524">
        <f t="shared" si="56"/>
        <v>0</v>
      </c>
      <c r="FT38" s="525">
        <f t="shared" si="168"/>
        <v>0</v>
      </c>
      <c r="FU38" s="523"/>
      <c r="FV38" s="524">
        <f t="shared" si="57"/>
        <v>0</v>
      </c>
      <c r="FW38" s="525">
        <f t="shared" si="169"/>
        <v>0</v>
      </c>
      <c r="FX38" s="523"/>
      <c r="FY38" s="524">
        <f t="shared" si="58"/>
        <v>0</v>
      </c>
      <c r="FZ38" s="525">
        <f t="shared" si="170"/>
        <v>0</v>
      </c>
      <c r="GA38" s="523"/>
      <c r="GB38" s="524">
        <f t="shared" si="59"/>
        <v>0</v>
      </c>
      <c r="GC38" s="525">
        <f t="shared" si="171"/>
        <v>0</v>
      </c>
      <c r="GD38" s="523"/>
      <c r="GE38" s="524">
        <f t="shared" si="60"/>
        <v>0</v>
      </c>
      <c r="GF38" s="525">
        <f t="shared" si="172"/>
        <v>0</v>
      </c>
      <c r="GG38" s="523"/>
      <c r="GH38" s="524">
        <f t="shared" si="61"/>
        <v>0</v>
      </c>
      <c r="GI38" s="525">
        <f t="shared" si="173"/>
        <v>0</v>
      </c>
      <c r="GJ38" s="523"/>
      <c r="GK38" s="524">
        <f t="shared" si="62"/>
        <v>0</v>
      </c>
      <c r="GL38" s="525">
        <f t="shared" si="174"/>
        <v>0</v>
      </c>
      <c r="GM38" s="523"/>
      <c r="GN38" s="524">
        <f t="shared" si="63"/>
        <v>0</v>
      </c>
      <c r="GO38" s="525">
        <f t="shared" si="175"/>
        <v>0</v>
      </c>
      <c r="GP38" s="523"/>
      <c r="GQ38" s="524">
        <f t="shared" si="64"/>
        <v>0</v>
      </c>
      <c r="GR38" s="525">
        <f t="shared" si="176"/>
        <v>0</v>
      </c>
      <c r="GS38" s="523"/>
      <c r="GT38" s="524">
        <f t="shared" si="65"/>
        <v>0</v>
      </c>
      <c r="GU38" s="525">
        <f t="shared" si="177"/>
        <v>0</v>
      </c>
      <c r="GV38" s="523"/>
      <c r="GW38" s="524">
        <f t="shared" si="66"/>
        <v>0</v>
      </c>
      <c r="GX38" s="525">
        <f t="shared" si="178"/>
        <v>0</v>
      </c>
      <c r="GY38" s="523"/>
      <c r="GZ38" s="524">
        <f t="shared" si="67"/>
        <v>0</v>
      </c>
      <c r="HA38" s="525">
        <f t="shared" si="179"/>
        <v>0</v>
      </c>
      <c r="HB38" s="523"/>
      <c r="HC38" s="524">
        <f t="shared" si="68"/>
        <v>0</v>
      </c>
      <c r="HD38" s="525">
        <f t="shared" si="180"/>
        <v>0</v>
      </c>
      <c r="HE38" s="523"/>
      <c r="HF38" s="524">
        <f t="shared" si="69"/>
        <v>0</v>
      </c>
      <c r="HG38" s="525">
        <f t="shared" si="181"/>
        <v>0</v>
      </c>
      <c r="HH38" s="523"/>
      <c r="HI38" s="524">
        <f t="shared" si="70"/>
        <v>0</v>
      </c>
      <c r="HJ38" s="525">
        <f t="shared" si="182"/>
        <v>0</v>
      </c>
      <c r="HK38" s="523"/>
      <c r="HL38" s="524">
        <f t="shared" si="71"/>
        <v>0</v>
      </c>
      <c r="HM38" s="525">
        <f t="shared" si="183"/>
        <v>0</v>
      </c>
      <c r="HN38" s="523"/>
      <c r="HO38" s="524">
        <f t="shared" si="72"/>
        <v>0</v>
      </c>
      <c r="HP38" s="525">
        <f t="shared" si="184"/>
        <v>0</v>
      </c>
      <c r="HQ38" s="523"/>
      <c r="HR38" s="524">
        <f t="shared" si="73"/>
        <v>0</v>
      </c>
      <c r="HS38" s="525">
        <f t="shared" si="185"/>
        <v>0</v>
      </c>
      <c r="HT38" s="523"/>
      <c r="HU38" s="524">
        <f t="shared" si="74"/>
        <v>0</v>
      </c>
      <c r="HV38" s="525">
        <f t="shared" si="186"/>
        <v>0</v>
      </c>
      <c r="HW38" s="523"/>
      <c r="HX38" s="524">
        <f t="shared" si="75"/>
        <v>0</v>
      </c>
      <c r="HY38" s="525">
        <f t="shared" si="187"/>
        <v>0</v>
      </c>
      <c r="HZ38" s="523"/>
      <c r="IA38" s="524">
        <f t="shared" si="76"/>
        <v>0</v>
      </c>
      <c r="IB38" s="525">
        <f t="shared" si="188"/>
        <v>0</v>
      </c>
      <c r="IC38" s="523"/>
      <c r="ID38" s="524">
        <f t="shared" si="77"/>
        <v>0</v>
      </c>
      <c r="IE38" s="525">
        <f t="shared" si="189"/>
        <v>0</v>
      </c>
      <c r="IF38" s="523"/>
      <c r="IG38" s="524">
        <f t="shared" si="78"/>
        <v>0</v>
      </c>
      <c r="IH38" s="525">
        <f t="shared" si="190"/>
        <v>0</v>
      </c>
      <c r="II38" s="523"/>
      <c r="IJ38" s="524">
        <f t="shared" si="79"/>
        <v>0</v>
      </c>
      <c r="IK38" s="525">
        <f t="shared" si="191"/>
        <v>0</v>
      </c>
      <c r="IL38" s="523"/>
      <c r="IM38" s="524">
        <f t="shared" si="80"/>
        <v>0</v>
      </c>
      <c r="IN38" s="525">
        <f t="shared" si="192"/>
        <v>0</v>
      </c>
      <c r="IO38" s="523"/>
      <c r="IP38" s="524">
        <f t="shared" si="81"/>
        <v>0</v>
      </c>
      <c r="IQ38" s="525">
        <f t="shared" si="193"/>
        <v>0</v>
      </c>
      <c r="IR38" s="523"/>
      <c r="IS38" s="524">
        <f t="shared" si="82"/>
        <v>0</v>
      </c>
      <c r="IT38" s="525">
        <f t="shared" si="194"/>
        <v>0</v>
      </c>
      <c r="IU38" s="523"/>
      <c r="IV38" s="524">
        <f t="shared" si="83"/>
        <v>0</v>
      </c>
      <c r="IW38" s="525">
        <f t="shared" si="195"/>
        <v>0</v>
      </c>
      <c r="IX38" s="523"/>
      <c r="IY38" s="524">
        <f t="shared" si="84"/>
        <v>0</v>
      </c>
      <c r="IZ38" s="525">
        <f t="shared" si="196"/>
        <v>0</v>
      </c>
      <c r="JA38" s="523"/>
      <c r="JB38" s="524">
        <f t="shared" si="85"/>
        <v>0</v>
      </c>
      <c r="JC38" s="525">
        <f t="shared" si="197"/>
        <v>0</v>
      </c>
      <c r="JD38" s="523"/>
      <c r="JE38" s="524">
        <f t="shared" si="86"/>
        <v>0</v>
      </c>
      <c r="JF38" s="525">
        <f t="shared" si="198"/>
        <v>0</v>
      </c>
      <c r="JG38" s="523"/>
      <c r="JH38" s="524">
        <f t="shared" si="87"/>
        <v>0</v>
      </c>
      <c r="JI38" s="525">
        <f t="shared" si="199"/>
        <v>0</v>
      </c>
      <c r="JJ38" s="523"/>
      <c r="JK38" s="525" t="str">
        <f t="shared" si="88"/>
        <v>0</v>
      </c>
      <c r="JL38" s="525" t="str">
        <f t="shared" si="89"/>
        <v>0</v>
      </c>
      <c r="JM38" s="523"/>
      <c r="JN38" s="525" t="str">
        <f t="shared" si="90"/>
        <v>0</v>
      </c>
      <c r="JO38" s="525" t="str">
        <f t="shared" si="91"/>
        <v>0</v>
      </c>
      <c r="JP38" s="523"/>
      <c r="JQ38" s="525" t="str">
        <f t="shared" si="92"/>
        <v>0</v>
      </c>
      <c r="JR38" s="525" t="str">
        <f t="shared" si="93"/>
        <v>0</v>
      </c>
      <c r="JS38" s="523"/>
      <c r="JT38" s="525" t="str">
        <f t="shared" si="94"/>
        <v>0</v>
      </c>
      <c r="JU38" s="525" t="str">
        <f t="shared" si="95"/>
        <v>0</v>
      </c>
      <c r="JV38" s="523"/>
      <c r="JW38" s="525" t="str">
        <f t="shared" si="96"/>
        <v>0</v>
      </c>
      <c r="JX38" s="525" t="str">
        <f t="shared" si="97"/>
        <v>0</v>
      </c>
      <c r="JY38" s="523"/>
      <c r="JZ38" s="525" t="str">
        <f t="shared" si="98"/>
        <v>0</v>
      </c>
      <c r="KA38" s="525" t="str">
        <f t="shared" si="99"/>
        <v>0</v>
      </c>
      <c r="KB38" s="523"/>
      <c r="KC38" s="525" t="str">
        <f t="shared" si="100"/>
        <v>0</v>
      </c>
      <c r="KD38" s="525" t="str">
        <f t="shared" si="101"/>
        <v>0</v>
      </c>
      <c r="KE38" s="523"/>
      <c r="KF38" s="525" t="str">
        <f t="shared" si="102"/>
        <v>0</v>
      </c>
      <c r="KG38" s="525" t="str">
        <f t="shared" si="103"/>
        <v>0</v>
      </c>
      <c r="KH38" s="523"/>
      <c r="KI38" s="525" t="str">
        <f t="shared" si="104"/>
        <v>0</v>
      </c>
      <c r="KJ38" s="525" t="str">
        <f t="shared" si="105"/>
        <v>0</v>
      </c>
      <c r="KK38" s="523"/>
      <c r="KL38" s="525" t="str">
        <f t="shared" si="106"/>
        <v>0</v>
      </c>
      <c r="KM38" s="525" t="str">
        <f t="shared" si="107"/>
        <v>0</v>
      </c>
      <c r="KN38" s="523"/>
      <c r="KO38" s="525" t="str">
        <f t="shared" si="108"/>
        <v>0</v>
      </c>
      <c r="KP38" s="525" t="str">
        <f t="shared" si="109"/>
        <v>0</v>
      </c>
      <c r="KQ38" s="523"/>
      <c r="KR38" s="525" t="str">
        <f t="shared" si="110"/>
        <v>0</v>
      </c>
      <c r="KS38" s="525" t="str">
        <f t="shared" si="111"/>
        <v>0</v>
      </c>
      <c r="KT38" s="525">
        <f t="shared" si="201"/>
        <v>0</v>
      </c>
      <c r="KU38" s="525">
        <f t="shared" si="202"/>
        <v>0</v>
      </c>
      <c r="KV38" s="261">
        <f t="shared" si="112"/>
        <v>781.45146999999997</v>
      </c>
    </row>
    <row r="39" spans="1:308" ht="15" customHeight="1">
      <c r="A39" s="262">
        <f t="shared" si="200"/>
        <v>45992</v>
      </c>
      <c r="B39" s="263">
        <f>+Report1!B39</f>
        <v>0</v>
      </c>
      <c r="C39" s="263">
        <f>+Report1!C39</f>
        <v>0</v>
      </c>
      <c r="D39" s="264">
        <f>+Report1!P39</f>
        <v>0</v>
      </c>
      <c r="E39" s="562">
        <f>+Report1!R39</f>
        <v>0</v>
      </c>
      <c r="F39" s="523"/>
      <c r="G39" s="524" t="e">
        <f t="shared" si="0"/>
        <v>#DIV/0!</v>
      </c>
      <c r="H39" s="525">
        <f t="shared" si="113"/>
        <v>0</v>
      </c>
      <c r="I39" s="523"/>
      <c r="J39" s="524" t="e">
        <f t="shared" si="1"/>
        <v>#DIV/0!</v>
      </c>
      <c r="K39" s="525">
        <f t="shared" si="114"/>
        <v>0</v>
      </c>
      <c r="L39" s="523"/>
      <c r="M39" s="524" t="e">
        <f t="shared" si="2"/>
        <v>#DIV/0!</v>
      </c>
      <c r="N39" s="525">
        <f t="shared" si="115"/>
        <v>0</v>
      </c>
      <c r="O39" s="523"/>
      <c r="P39" s="524" t="e">
        <f t="shared" si="3"/>
        <v>#DIV/0!</v>
      </c>
      <c r="Q39" s="525">
        <f t="shared" si="116"/>
        <v>0</v>
      </c>
      <c r="R39" s="523"/>
      <c r="S39" s="524" t="e">
        <f t="shared" si="4"/>
        <v>#DIV/0!</v>
      </c>
      <c r="T39" s="525">
        <f t="shared" si="117"/>
        <v>0</v>
      </c>
      <c r="U39" s="523"/>
      <c r="V39" s="524" t="e">
        <f t="shared" si="5"/>
        <v>#DIV/0!</v>
      </c>
      <c r="W39" s="525">
        <f t="shared" si="118"/>
        <v>0</v>
      </c>
      <c r="X39" s="523"/>
      <c r="Y39" s="524" t="e">
        <f t="shared" si="6"/>
        <v>#DIV/0!</v>
      </c>
      <c r="Z39" s="525">
        <f t="shared" si="119"/>
        <v>0</v>
      </c>
      <c r="AA39" s="523"/>
      <c r="AB39" s="524" t="e">
        <f t="shared" si="7"/>
        <v>#DIV/0!</v>
      </c>
      <c r="AC39" s="525">
        <f t="shared" si="120"/>
        <v>0</v>
      </c>
      <c r="AD39" s="523"/>
      <c r="AE39" s="524" t="e">
        <f t="shared" si="8"/>
        <v>#DIV/0!</v>
      </c>
      <c r="AF39" s="525">
        <f t="shared" si="121"/>
        <v>0</v>
      </c>
      <c r="AG39" s="523"/>
      <c r="AH39" s="524" t="e">
        <f t="shared" si="9"/>
        <v>#DIV/0!</v>
      </c>
      <c r="AI39" s="525">
        <f t="shared" si="122"/>
        <v>0</v>
      </c>
      <c r="AJ39" s="523"/>
      <c r="AK39" s="524" t="e">
        <f t="shared" si="10"/>
        <v>#DIV/0!</v>
      </c>
      <c r="AL39" s="525">
        <f t="shared" si="123"/>
        <v>0</v>
      </c>
      <c r="AM39" s="523"/>
      <c r="AN39" s="524" t="e">
        <f t="shared" si="11"/>
        <v>#DIV/0!</v>
      </c>
      <c r="AO39" s="525">
        <f t="shared" si="124"/>
        <v>0</v>
      </c>
      <c r="AP39" s="523"/>
      <c r="AQ39" s="524" t="e">
        <f t="shared" si="12"/>
        <v>#DIV/0!</v>
      </c>
      <c r="AR39" s="525">
        <f t="shared" si="125"/>
        <v>0</v>
      </c>
      <c r="AS39" s="523"/>
      <c r="AT39" s="524" t="e">
        <f t="shared" si="13"/>
        <v>#DIV/0!</v>
      </c>
      <c r="AU39" s="525">
        <f t="shared" si="126"/>
        <v>0</v>
      </c>
      <c r="AV39" s="523"/>
      <c r="AW39" s="524" t="e">
        <f t="shared" si="14"/>
        <v>#DIV/0!</v>
      </c>
      <c r="AX39" s="525">
        <f t="shared" si="127"/>
        <v>0</v>
      </c>
      <c r="AY39" s="523"/>
      <c r="AZ39" s="524" t="e">
        <f t="shared" si="15"/>
        <v>#DIV/0!</v>
      </c>
      <c r="BA39" s="525">
        <f t="shared" si="128"/>
        <v>0</v>
      </c>
      <c r="BB39" s="523"/>
      <c r="BC39" s="524" t="e">
        <f t="shared" si="16"/>
        <v>#DIV/0!</v>
      </c>
      <c r="BD39" s="525">
        <f t="shared" si="129"/>
        <v>0</v>
      </c>
      <c r="BE39" s="523"/>
      <c r="BF39" s="524" t="e">
        <f t="shared" si="17"/>
        <v>#DIV/0!</v>
      </c>
      <c r="BG39" s="525">
        <f t="shared" si="130"/>
        <v>0</v>
      </c>
      <c r="BH39" s="523"/>
      <c r="BI39" s="524" t="e">
        <f t="shared" si="18"/>
        <v>#DIV/0!</v>
      </c>
      <c r="BJ39" s="525">
        <f t="shared" si="131"/>
        <v>0</v>
      </c>
      <c r="BK39" s="523"/>
      <c r="BL39" s="524" t="e">
        <f t="shared" si="19"/>
        <v>#DIV/0!</v>
      </c>
      <c r="BM39" s="525">
        <f t="shared" si="132"/>
        <v>0</v>
      </c>
      <c r="BN39" s="523"/>
      <c r="BO39" s="524" t="e">
        <f t="shared" si="20"/>
        <v>#DIV/0!</v>
      </c>
      <c r="BP39" s="525">
        <f t="shared" si="133"/>
        <v>0</v>
      </c>
      <c r="BQ39" s="523"/>
      <c r="BR39" s="524" t="e">
        <f t="shared" si="21"/>
        <v>#DIV/0!</v>
      </c>
      <c r="BS39" s="525">
        <f t="shared" si="134"/>
        <v>0</v>
      </c>
      <c r="BT39" s="523"/>
      <c r="BU39" s="524" t="e">
        <f t="shared" si="22"/>
        <v>#DIV/0!</v>
      </c>
      <c r="BV39" s="525">
        <f t="shared" si="135"/>
        <v>0</v>
      </c>
      <c r="BW39" s="523"/>
      <c r="BX39" s="524" t="e">
        <f t="shared" si="23"/>
        <v>#DIV/0!</v>
      </c>
      <c r="BY39" s="525">
        <f t="shared" si="136"/>
        <v>0</v>
      </c>
      <c r="BZ39" s="523"/>
      <c r="CA39" s="524" t="e">
        <f t="shared" si="24"/>
        <v>#DIV/0!</v>
      </c>
      <c r="CB39" s="525">
        <f t="shared" si="137"/>
        <v>0</v>
      </c>
      <c r="CC39" s="523"/>
      <c r="CD39" s="524" t="e">
        <f t="shared" si="25"/>
        <v>#DIV/0!</v>
      </c>
      <c r="CE39" s="525">
        <f t="shared" si="138"/>
        <v>0</v>
      </c>
      <c r="CF39" s="523"/>
      <c r="CG39" s="524" t="e">
        <f t="shared" si="26"/>
        <v>#DIV/0!</v>
      </c>
      <c r="CH39" s="525">
        <f t="shared" si="139"/>
        <v>0</v>
      </c>
      <c r="CI39" s="523"/>
      <c r="CJ39" s="524" t="e">
        <f t="shared" si="27"/>
        <v>#DIV/0!</v>
      </c>
      <c r="CK39" s="525">
        <f t="shared" si="140"/>
        <v>0</v>
      </c>
      <c r="CL39" s="523"/>
      <c r="CM39" s="524" t="e">
        <f t="shared" si="28"/>
        <v>#DIV/0!</v>
      </c>
      <c r="CN39" s="525">
        <f t="shared" si="141"/>
        <v>0</v>
      </c>
      <c r="CO39" s="523"/>
      <c r="CP39" s="524" t="e">
        <f t="shared" si="29"/>
        <v>#DIV/0!</v>
      </c>
      <c r="CQ39" s="525">
        <f t="shared" si="142"/>
        <v>0</v>
      </c>
      <c r="CR39" s="523"/>
      <c r="CS39" s="524" t="e">
        <f t="shared" si="30"/>
        <v>#DIV/0!</v>
      </c>
      <c r="CT39" s="525">
        <f t="shared" si="143"/>
        <v>0</v>
      </c>
      <c r="CU39" s="523"/>
      <c r="CV39" s="524" t="e">
        <f t="shared" si="31"/>
        <v>#DIV/0!</v>
      </c>
      <c r="CW39" s="525">
        <f t="shared" si="144"/>
        <v>0</v>
      </c>
      <c r="CX39" s="523"/>
      <c r="CY39" s="524" t="e">
        <f t="shared" si="32"/>
        <v>#DIV/0!</v>
      </c>
      <c r="CZ39" s="525">
        <f t="shared" si="145"/>
        <v>0</v>
      </c>
      <c r="DA39" s="523"/>
      <c r="DB39" s="524" t="e">
        <f t="shared" si="33"/>
        <v>#DIV/0!</v>
      </c>
      <c r="DC39" s="525">
        <f t="shared" si="146"/>
        <v>0</v>
      </c>
      <c r="DD39" s="523"/>
      <c r="DE39" s="524" t="e">
        <f t="shared" si="34"/>
        <v>#DIV/0!</v>
      </c>
      <c r="DF39" s="525">
        <f t="shared" si="147"/>
        <v>0</v>
      </c>
      <c r="DG39" s="523"/>
      <c r="DH39" s="524" t="e">
        <f t="shared" si="35"/>
        <v>#DIV/0!</v>
      </c>
      <c r="DI39" s="525">
        <f t="shared" si="203"/>
        <v>0</v>
      </c>
      <c r="DJ39" s="523"/>
      <c r="DK39" s="524" t="e">
        <f t="shared" si="36"/>
        <v>#DIV/0!</v>
      </c>
      <c r="DL39" s="525">
        <f t="shared" si="148"/>
        <v>0</v>
      </c>
      <c r="DM39" s="523"/>
      <c r="DN39" s="524" t="e">
        <f t="shared" si="37"/>
        <v>#DIV/0!</v>
      </c>
      <c r="DO39" s="525">
        <f t="shared" si="149"/>
        <v>0</v>
      </c>
      <c r="DP39" s="523"/>
      <c r="DQ39" s="524" t="e">
        <f t="shared" si="38"/>
        <v>#DIV/0!</v>
      </c>
      <c r="DR39" s="525">
        <f t="shared" si="150"/>
        <v>0</v>
      </c>
      <c r="DS39" s="523"/>
      <c r="DT39" s="524" t="e">
        <f t="shared" si="39"/>
        <v>#DIV/0!</v>
      </c>
      <c r="DU39" s="525">
        <f t="shared" si="151"/>
        <v>0</v>
      </c>
      <c r="DV39" s="523"/>
      <c r="DW39" s="524" t="e">
        <f t="shared" si="40"/>
        <v>#DIV/0!</v>
      </c>
      <c r="DX39" s="525">
        <f t="shared" si="152"/>
        <v>0</v>
      </c>
      <c r="DY39" s="523"/>
      <c r="DZ39" s="524" t="e">
        <f t="shared" si="41"/>
        <v>#DIV/0!</v>
      </c>
      <c r="EA39" s="525">
        <f t="shared" si="153"/>
        <v>0</v>
      </c>
      <c r="EB39" s="523"/>
      <c r="EC39" s="524" t="e">
        <f t="shared" si="42"/>
        <v>#DIV/0!</v>
      </c>
      <c r="ED39" s="525">
        <f t="shared" si="154"/>
        <v>0</v>
      </c>
      <c r="EE39" s="523"/>
      <c r="EF39" s="524" t="e">
        <f t="shared" si="43"/>
        <v>#DIV/0!</v>
      </c>
      <c r="EG39" s="525">
        <f t="shared" si="155"/>
        <v>0</v>
      </c>
      <c r="EH39" s="523"/>
      <c r="EI39" s="524" t="e">
        <f t="shared" si="44"/>
        <v>#DIV/0!</v>
      </c>
      <c r="EJ39" s="525">
        <f t="shared" si="156"/>
        <v>0</v>
      </c>
      <c r="EK39" s="523"/>
      <c r="EL39" s="524" t="e">
        <f t="shared" si="45"/>
        <v>#DIV/0!</v>
      </c>
      <c r="EM39" s="525">
        <f t="shared" si="157"/>
        <v>0</v>
      </c>
      <c r="EN39" s="523"/>
      <c r="EO39" s="524" t="e">
        <f t="shared" si="46"/>
        <v>#DIV/0!</v>
      </c>
      <c r="EP39" s="525">
        <f t="shared" si="158"/>
        <v>0</v>
      </c>
      <c r="EQ39" s="523"/>
      <c r="ER39" s="524" t="e">
        <f t="shared" si="47"/>
        <v>#DIV/0!</v>
      </c>
      <c r="ES39" s="525">
        <f t="shared" si="159"/>
        <v>0</v>
      </c>
      <c r="ET39" s="523"/>
      <c r="EU39" s="524" t="e">
        <f t="shared" si="48"/>
        <v>#DIV/0!</v>
      </c>
      <c r="EV39" s="525">
        <f t="shared" si="160"/>
        <v>0</v>
      </c>
      <c r="EW39" s="523"/>
      <c r="EX39" s="524" t="e">
        <f t="shared" si="49"/>
        <v>#DIV/0!</v>
      </c>
      <c r="EY39" s="525">
        <f t="shared" si="161"/>
        <v>0</v>
      </c>
      <c r="EZ39" s="523"/>
      <c r="FA39" s="524" t="e">
        <f t="shared" si="50"/>
        <v>#DIV/0!</v>
      </c>
      <c r="FB39" s="525">
        <f t="shared" si="162"/>
        <v>0</v>
      </c>
      <c r="FC39" s="523"/>
      <c r="FD39" s="524" t="e">
        <f t="shared" si="51"/>
        <v>#DIV/0!</v>
      </c>
      <c r="FE39" s="525">
        <f t="shared" si="163"/>
        <v>0</v>
      </c>
      <c r="FF39" s="523"/>
      <c r="FG39" s="524" t="e">
        <f t="shared" si="52"/>
        <v>#DIV/0!</v>
      </c>
      <c r="FH39" s="525">
        <f t="shared" si="164"/>
        <v>0</v>
      </c>
      <c r="FI39" s="523"/>
      <c r="FJ39" s="524" t="e">
        <f t="shared" si="53"/>
        <v>#DIV/0!</v>
      </c>
      <c r="FK39" s="525">
        <f t="shared" si="165"/>
        <v>0</v>
      </c>
      <c r="FL39" s="523"/>
      <c r="FM39" s="524" t="e">
        <f t="shared" si="54"/>
        <v>#DIV/0!</v>
      </c>
      <c r="FN39" s="525">
        <f t="shared" si="166"/>
        <v>0</v>
      </c>
      <c r="FO39" s="523"/>
      <c r="FP39" s="524" t="e">
        <f t="shared" si="55"/>
        <v>#DIV/0!</v>
      </c>
      <c r="FQ39" s="525">
        <f t="shared" si="167"/>
        <v>0</v>
      </c>
      <c r="FR39" s="523"/>
      <c r="FS39" s="524" t="e">
        <f t="shared" si="56"/>
        <v>#DIV/0!</v>
      </c>
      <c r="FT39" s="525">
        <f t="shared" si="168"/>
        <v>0</v>
      </c>
      <c r="FU39" s="523"/>
      <c r="FV39" s="524" t="e">
        <f t="shared" si="57"/>
        <v>#DIV/0!</v>
      </c>
      <c r="FW39" s="525">
        <f t="shared" si="169"/>
        <v>0</v>
      </c>
      <c r="FX39" s="523"/>
      <c r="FY39" s="524" t="e">
        <f t="shared" si="58"/>
        <v>#DIV/0!</v>
      </c>
      <c r="FZ39" s="525">
        <f t="shared" si="170"/>
        <v>0</v>
      </c>
      <c r="GA39" s="523"/>
      <c r="GB39" s="524" t="e">
        <f t="shared" si="59"/>
        <v>#DIV/0!</v>
      </c>
      <c r="GC39" s="525">
        <f t="shared" si="171"/>
        <v>0</v>
      </c>
      <c r="GD39" s="523"/>
      <c r="GE39" s="524" t="e">
        <f t="shared" si="60"/>
        <v>#DIV/0!</v>
      </c>
      <c r="GF39" s="525">
        <f t="shared" si="172"/>
        <v>0</v>
      </c>
      <c r="GG39" s="523"/>
      <c r="GH39" s="524" t="e">
        <f t="shared" si="61"/>
        <v>#DIV/0!</v>
      </c>
      <c r="GI39" s="525">
        <f t="shared" si="173"/>
        <v>0</v>
      </c>
      <c r="GJ39" s="523"/>
      <c r="GK39" s="524" t="e">
        <f t="shared" si="62"/>
        <v>#DIV/0!</v>
      </c>
      <c r="GL39" s="525">
        <f t="shared" si="174"/>
        <v>0</v>
      </c>
      <c r="GM39" s="523"/>
      <c r="GN39" s="524" t="e">
        <f t="shared" si="63"/>
        <v>#DIV/0!</v>
      </c>
      <c r="GO39" s="525">
        <f t="shared" si="175"/>
        <v>0</v>
      </c>
      <c r="GP39" s="523"/>
      <c r="GQ39" s="524" t="e">
        <f t="shared" si="64"/>
        <v>#DIV/0!</v>
      </c>
      <c r="GR39" s="525">
        <f t="shared" si="176"/>
        <v>0</v>
      </c>
      <c r="GS39" s="523"/>
      <c r="GT39" s="524" t="e">
        <f t="shared" si="65"/>
        <v>#DIV/0!</v>
      </c>
      <c r="GU39" s="525">
        <f t="shared" si="177"/>
        <v>0</v>
      </c>
      <c r="GV39" s="523"/>
      <c r="GW39" s="524" t="e">
        <f t="shared" si="66"/>
        <v>#DIV/0!</v>
      </c>
      <c r="GX39" s="525">
        <f t="shared" si="178"/>
        <v>0</v>
      </c>
      <c r="GY39" s="523"/>
      <c r="GZ39" s="524" t="e">
        <f t="shared" si="67"/>
        <v>#DIV/0!</v>
      </c>
      <c r="HA39" s="525">
        <f t="shared" si="179"/>
        <v>0</v>
      </c>
      <c r="HB39" s="523"/>
      <c r="HC39" s="524" t="e">
        <f t="shared" si="68"/>
        <v>#DIV/0!</v>
      </c>
      <c r="HD39" s="525">
        <f t="shared" si="180"/>
        <v>0</v>
      </c>
      <c r="HE39" s="523"/>
      <c r="HF39" s="524" t="e">
        <f t="shared" si="69"/>
        <v>#DIV/0!</v>
      </c>
      <c r="HG39" s="525">
        <f t="shared" si="181"/>
        <v>0</v>
      </c>
      <c r="HH39" s="523"/>
      <c r="HI39" s="524" t="e">
        <f t="shared" si="70"/>
        <v>#DIV/0!</v>
      </c>
      <c r="HJ39" s="525">
        <f t="shared" si="182"/>
        <v>0</v>
      </c>
      <c r="HK39" s="523"/>
      <c r="HL39" s="524" t="e">
        <f t="shared" si="71"/>
        <v>#DIV/0!</v>
      </c>
      <c r="HM39" s="525">
        <f t="shared" si="183"/>
        <v>0</v>
      </c>
      <c r="HN39" s="523"/>
      <c r="HO39" s="524" t="e">
        <f t="shared" si="72"/>
        <v>#DIV/0!</v>
      </c>
      <c r="HP39" s="525">
        <f t="shared" si="184"/>
        <v>0</v>
      </c>
      <c r="HQ39" s="523"/>
      <c r="HR39" s="524" t="e">
        <f t="shared" si="73"/>
        <v>#DIV/0!</v>
      </c>
      <c r="HS39" s="525">
        <f t="shared" si="185"/>
        <v>0</v>
      </c>
      <c r="HT39" s="523"/>
      <c r="HU39" s="524" t="e">
        <f t="shared" si="74"/>
        <v>#DIV/0!</v>
      </c>
      <c r="HV39" s="525">
        <f t="shared" si="186"/>
        <v>0</v>
      </c>
      <c r="HW39" s="523"/>
      <c r="HX39" s="524" t="e">
        <f t="shared" si="75"/>
        <v>#DIV/0!</v>
      </c>
      <c r="HY39" s="525">
        <f t="shared" si="187"/>
        <v>0</v>
      </c>
      <c r="HZ39" s="523"/>
      <c r="IA39" s="524" t="e">
        <f t="shared" si="76"/>
        <v>#DIV/0!</v>
      </c>
      <c r="IB39" s="525">
        <f t="shared" si="188"/>
        <v>0</v>
      </c>
      <c r="IC39" s="523"/>
      <c r="ID39" s="524" t="e">
        <f t="shared" si="77"/>
        <v>#DIV/0!</v>
      </c>
      <c r="IE39" s="525">
        <f t="shared" si="189"/>
        <v>0</v>
      </c>
      <c r="IF39" s="523"/>
      <c r="IG39" s="524" t="e">
        <f t="shared" si="78"/>
        <v>#DIV/0!</v>
      </c>
      <c r="IH39" s="525">
        <f t="shared" si="190"/>
        <v>0</v>
      </c>
      <c r="II39" s="523"/>
      <c r="IJ39" s="524" t="e">
        <f t="shared" si="79"/>
        <v>#DIV/0!</v>
      </c>
      <c r="IK39" s="525">
        <f t="shared" si="191"/>
        <v>0</v>
      </c>
      <c r="IL39" s="523"/>
      <c r="IM39" s="524" t="e">
        <f t="shared" si="80"/>
        <v>#DIV/0!</v>
      </c>
      <c r="IN39" s="525">
        <f t="shared" si="192"/>
        <v>0</v>
      </c>
      <c r="IO39" s="523"/>
      <c r="IP39" s="524" t="e">
        <f t="shared" si="81"/>
        <v>#DIV/0!</v>
      </c>
      <c r="IQ39" s="525">
        <f t="shared" si="193"/>
        <v>0</v>
      </c>
      <c r="IR39" s="523"/>
      <c r="IS39" s="524" t="e">
        <f t="shared" si="82"/>
        <v>#DIV/0!</v>
      </c>
      <c r="IT39" s="525">
        <f t="shared" si="194"/>
        <v>0</v>
      </c>
      <c r="IU39" s="523"/>
      <c r="IV39" s="524" t="e">
        <f t="shared" si="83"/>
        <v>#DIV/0!</v>
      </c>
      <c r="IW39" s="525">
        <f t="shared" si="195"/>
        <v>0</v>
      </c>
      <c r="IX39" s="523"/>
      <c r="IY39" s="524" t="e">
        <f t="shared" si="84"/>
        <v>#DIV/0!</v>
      </c>
      <c r="IZ39" s="525">
        <f t="shared" si="196"/>
        <v>0</v>
      </c>
      <c r="JA39" s="523"/>
      <c r="JB39" s="524" t="e">
        <f t="shared" si="85"/>
        <v>#DIV/0!</v>
      </c>
      <c r="JC39" s="525">
        <f t="shared" si="197"/>
        <v>0</v>
      </c>
      <c r="JD39" s="523"/>
      <c r="JE39" s="524" t="e">
        <f t="shared" si="86"/>
        <v>#DIV/0!</v>
      </c>
      <c r="JF39" s="525">
        <f t="shared" si="198"/>
        <v>0</v>
      </c>
      <c r="JG39" s="523"/>
      <c r="JH39" s="524" t="e">
        <f t="shared" si="87"/>
        <v>#DIV/0!</v>
      </c>
      <c r="JI39" s="525">
        <f t="shared" si="199"/>
        <v>0</v>
      </c>
      <c r="JJ39" s="523"/>
      <c r="JK39" s="525" t="str">
        <f t="shared" si="88"/>
        <v>0</v>
      </c>
      <c r="JL39" s="525" t="str">
        <f t="shared" si="89"/>
        <v>0</v>
      </c>
      <c r="JM39" s="523"/>
      <c r="JN39" s="525" t="str">
        <f t="shared" si="90"/>
        <v>0</v>
      </c>
      <c r="JO39" s="525" t="str">
        <f t="shared" si="91"/>
        <v>0</v>
      </c>
      <c r="JP39" s="523"/>
      <c r="JQ39" s="525" t="str">
        <f t="shared" si="92"/>
        <v>0</v>
      </c>
      <c r="JR39" s="525" t="str">
        <f t="shared" si="93"/>
        <v>0</v>
      </c>
      <c r="JS39" s="523"/>
      <c r="JT39" s="525" t="str">
        <f t="shared" si="94"/>
        <v>0</v>
      </c>
      <c r="JU39" s="525" t="str">
        <f t="shared" si="95"/>
        <v>0</v>
      </c>
      <c r="JV39" s="523"/>
      <c r="JW39" s="525" t="str">
        <f t="shared" si="96"/>
        <v>0</v>
      </c>
      <c r="JX39" s="525" t="str">
        <f t="shared" si="97"/>
        <v>0</v>
      </c>
      <c r="JY39" s="523"/>
      <c r="JZ39" s="525" t="str">
        <f t="shared" si="98"/>
        <v>0</v>
      </c>
      <c r="KA39" s="525" t="str">
        <f t="shared" si="99"/>
        <v>0</v>
      </c>
      <c r="KB39" s="523"/>
      <c r="KC39" s="525" t="str">
        <f t="shared" si="100"/>
        <v>0</v>
      </c>
      <c r="KD39" s="525" t="str">
        <f t="shared" si="101"/>
        <v>0</v>
      </c>
      <c r="KE39" s="523"/>
      <c r="KF39" s="525" t="str">
        <f t="shared" si="102"/>
        <v>0</v>
      </c>
      <c r="KG39" s="525" t="str">
        <f t="shared" si="103"/>
        <v>0</v>
      </c>
      <c r="KH39" s="523"/>
      <c r="KI39" s="525" t="str">
        <f t="shared" si="104"/>
        <v>0</v>
      </c>
      <c r="KJ39" s="525" t="str">
        <f t="shared" si="105"/>
        <v>0</v>
      </c>
      <c r="KK39" s="523"/>
      <c r="KL39" s="525" t="str">
        <f t="shared" si="106"/>
        <v>0</v>
      </c>
      <c r="KM39" s="525" t="str">
        <f t="shared" si="107"/>
        <v>0</v>
      </c>
      <c r="KN39" s="523"/>
      <c r="KO39" s="525" t="str">
        <f t="shared" si="108"/>
        <v>0</v>
      </c>
      <c r="KP39" s="525" t="str">
        <f t="shared" si="109"/>
        <v>0</v>
      </c>
      <c r="KQ39" s="523"/>
      <c r="KR39" s="525" t="str">
        <f t="shared" si="110"/>
        <v>0</v>
      </c>
      <c r="KS39" s="525" t="str">
        <f t="shared" si="111"/>
        <v>0</v>
      </c>
      <c r="KT39" s="525">
        <f t="shared" si="201"/>
        <v>0</v>
      </c>
      <c r="KU39" s="525">
        <f t="shared" si="202"/>
        <v>0</v>
      </c>
      <c r="KV39" s="261">
        <f t="shared" si="112"/>
        <v>0</v>
      </c>
    </row>
    <row r="40" spans="1:308" ht="15" customHeight="1" thickBot="1">
      <c r="A40" s="265"/>
      <c r="B40" s="266"/>
      <c r="C40" s="267"/>
      <c r="D40" s="267"/>
      <c r="E40" s="562"/>
      <c r="F40" s="523"/>
      <c r="G40" s="524"/>
      <c r="H40" s="525"/>
      <c r="I40" s="523"/>
      <c r="J40" s="524"/>
      <c r="K40" s="525"/>
      <c r="L40" s="523"/>
      <c r="M40" s="524"/>
      <c r="N40" s="525"/>
      <c r="O40" s="523"/>
      <c r="P40" s="524"/>
      <c r="Q40" s="525"/>
      <c r="R40" s="523"/>
      <c r="S40" s="524"/>
      <c r="T40" s="525"/>
      <c r="U40" s="523"/>
      <c r="V40" s="524"/>
      <c r="W40" s="525"/>
      <c r="X40" s="523"/>
      <c r="Y40" s="524"/>
      <c r="Z40" s="525"/>
      <c r="AA40" s="523"/>
      <c r="AB40" s="524"/>
      <c r="AC40" s="525"/>
      <c r="AD40" s="523"/>
      <c r="AE40" s="524"/>
      <c r="AF40" s="525"/>
      <c r="AG40" s="523"/>
      <c r="AH40" s="524"/>
      <c r="AI40" s="525"/>
      <c r="AJ40" s="523"/>
      <c r="AK40" s="524"/>
      <c r="AL40" s="525"/>
      <c r="AM40" s="523"/>
      <c r="AN40" s="524"/>
      <c r="AO40" s="525"/>
      <c r="AP40" s="523"/>
      <c r="AQ40" s="524"/>
      <c r="AR40" s="525"/>
      <c r="AS40" s="523"/>
      <c r="AT40" s="524"/>
      <c r="AU40" s="525"/>
      <c r="AV40" s="523"/>
      <c r="AW40" s="524"/>
      <c r="AX40" s="525"/>
      <c r="AY40" s="523"/>
      <c r="AZ40" s="524"/>
      <c r="BA40" s="525"/>
      <c r="BB40" s="523"/>
      <c r="BC40" s="524"/>
      <c r="BD40" s="525"/>
      <c r="BE40" s="523"/>
      <c r="BF40" s="524"/>
      <c r="BG40" s="525"/>
      <c r="BH40" s="523"/>
      <c r="BI40" s="524"/>
      <c r="BJ40" s="525"/>
      <c r="BK40" s="523"/>
      <c r="BL40" s="524"/>
      <c r="BM40" s="525"/>
      <c r="BN40" s="523"/>
      <c r="BO40" s="524"/>
      <c r="BP40" s="525"/>
      <c r="BQ40" s="523"/>
      <c r="BR40" s="524"/>
      <c r="BS40" s="525"/>
      <c r="BT40" s="523"/>
      <c r="BU40" s="524"/>
      <c r="BV40" s="525"/>
      <c r="BW40" s="523"/>
      <c r="BX40" s="524"/>
      <c r="BY40" s="525"/>
      <c r="BZ40" s="523"/>
      <c r="CA40" s="524"/>
      <c r="CB40" s="525"/>
      <c r="CC40" s="523"/>
      <c r="CD40" s="524"/>
      <c r="CE40" s="525"/>
      <c r="CF40" s="523"/>
      <c r="CG40" s="524"/>
      <c r="CH40" s="525"/>
      <c r="CI40" s="523"/>
      <c r="CJ40" s="524"/>
      <c r="CK40" s="525"/>
      <c r="CL40" s="523"/>
      <c r="CM40" s="524"/>
      <c r="CN40" s="525"/>
      <c r="CO40" s="523"/>
      <c r="CP40" s="524"/>
      <c r="CQ40" s="525"/>
      <c r="CR40" s="523"/>
      <c r="CS40" s="524"/>
      <c r="CT40" s="525"/>
      <c r="CU40" s="523"/>
      <c r="CV40" s="524"/>
      <c r="CW40" s="525"/>
      <c r="CX40" s="523"/>
      <c r="CY40" s="524"/>
      <c r="CZ40" s="525"/>
      <c r="DA40" s="523"/>
      <c r="DB40" s="524"/>
      <c r="DC40" s="525"/>
      <c r="DD40" s="523"/>
      <c r="DE40" s="524"/>
      <c r="DF40" s="525"/>
      <c r="DG40" s="523"/>
      <c r="DH40" s="524"/>
      <c r="DI40" s="525"/>
      <c r="DJ40" s="523"/>
      <c r="DK40" s="524"/>
      <c r="DL40" s="525"/>
      <c r="DM40" s="523"/>
      <c r="DN40" s="524"/>
      <c r="DO40" s="525"/>
      <c r="DP40" s="523"/>
      <c r="DQ40" s="524"/>
      <c r="DR40" s="525"/>
      <c r="DS40" s="523"/>
      <c r="DT40" s="524"/>
      <c r="DU40" s="525"/>
      <c r="DV40" s="523"/>
      <c r="DW40" s="524"/>
      <c r="DX40" s="525"/>
      <c r="DY40" s="523"/>
      <c r="DZ40" s="524"/>
      <c r="EA40" s="525"/>
      <c r="EB40" s="523"/>
      <c r="EC40" s="524"/>
      <c r="ED40" s="525"/>
      <c r="EE40" s="523"/>
      <c r="EF40" s="524"/>
      <c r="EG40" s="525"/>
      <c r="EH40" s="523"/>
      <c r="EI40" s="524"/>
      <c r="EJ40" s="525"/>
      <c r="EK40" s="523"/>
      <c r="EL40" s="524"/>
      <c r="EM40" s="525"/>
      <c r="EN40" s="523"/>
      <c r="EO40" s="524"/>
      <c r="EP40" s="525"/>
      <c r="EQ40" s="523"/>
      <c r="ER40" s="524"/>
      <c r="ES40" s="525"/>
      <c r="ET40" s="523"/>
      <c r="EU40" s="524"/>
      <c r="EV40" s="525"/>
      <c r="EW40" s="523"/>
      <c r="EX40" s="524"/>
      <c r="EY40" s="525"/>
      <c r="EZ40" s="523"/>
      <c r="FA40" s="524"/>
      <c r="FB40" s="525"/>
      <c r="FC40" s="523"/>
      <c r="FD40" s="524"/>
      <c r="FE40" s="525"/>
      <c r="FF40" s="523"/>
      <c r="FG40" s="524"/>
      <c r="FH40" s="525"/>
      <c r="FI40" s="523"/>
      <c r="FJ40" s="524"/>
      <c r="FK40" s="525"/>
      <c r="FL40" s="523"/>
      <c r="FM40" s="524"/>
      <c r="FN40" s="525"/>
      <c r="FO40" s="523"/>
      <c r="FP40" s="524"/>
      <c r="FQ40" s="525"/>
      <c r="FR40" s="523"/>
      <c r="FS40" s="524"/>
      <c r="FT40" s="525"/>
      <c r="FU40" s="523"/>
      <c r="FV40" s="524"/>
      <c r="FW40" s="525"/>
      <c r="FX40" s="523"/>
      <c r="FY40" s="524"/>
      <c r="FZ40" s="525"/>
      <c r="GA40" s="523"/>
      <c r="GB40" s="524"/>
      <c r="GC40" s="525"/>
      <c r="GD40" s="523"/>
      <c r="GE40" s="524"/>
      <c r="GF40" s="525"/>
      <c r="GG40" s="523"/>
      <c r="GH40" s="524"/>
      <c r="GI40" s="525"/>
      <c r="GJ40" s="523"/>
      <c r="GK40" s="524"/>
      <c r="GL40" s="525"/>
      <c r="GM40" s="523"/>
      <c r="GN40" s="524"/>
      <c r="GO40" s="525"/>
      <c r="GP40" s="523"/>
      <c r="GQ40" s="524"/>
      <c r="GR40" s="525"/>
      <c r="GS40" s="523"/>
      <c r="GT40" s="524"/>
      <c r="GU40" s="525"/>
      <c r="GV40" s="523"/>
      <c r="GW40" s="524"/>
      <c r="GX40" s="525"/>
      <c r="GY40" s="523"/>
      <c r="GZ40" s="524"/>
      <c r="HA40" s="525"/>
      <c r="HB40" s="523"/>
      <c r="HC40" s="524"/>
      <c r="HD40" s="525"/>
      <c r="HE40" s="523"/>
      <c r="HF40" s="524"/>
      <c r="HG40" s="525"/>
      <c r="HH40" s="523"/>
      <c r="HI40" s="524"/>
      <c r="HJ40" s="525"/>
      <c r="HK40" s="523"/>
      <c r="HL40" s="524"/>
      <c r="HM40" s="525"/>
      <c r="HN40" s="523"/>
      <c r="HO40" s="524"/>
      <c r="HP40" s="525"/>
      <c r="HQ40" s="523"/>
      <c r="HR40" s="524"/>
      <c r="HS40" s="525"/>
      <c r="HT40" s="523"/>
      <c r="HU40" s="524"/>
      <c r="HV40" s="525"/>
      <c r="HW40" s="523"/>
      <c r="HX40" s="524"/>
      <c r="HY40" s="525"/>
      <c r="HZ40" s="523"/>
      <c r="IA40" s="524"/>
      <c r="IB40" s="525"/>
      <c r="IC40" s="523"/>
      <c r="ID40" s="524"/>
      <c r="IE40" s="525"/>
      <c r="IF40" s="523"/>
      <c r="IG40" s="524"/>
      <c r="IH40" s="525"/>
      <c r="II40" s="523"/>
      <c r="IJ40" s="524"/>
      <c r="IK40" s="525"/>
      <c r="IL40" s="523"/>
      <c r="IM40" s="524"/>
      <c r="IN40" s="525"/>
      <c r="IO40" s="523"/>
      <c r="IP40" s="524"/>
      <c r="IQ40" s="525"/>
      <c r="IR40" s="523"/>
      <c r="IS40" s="524"/>
      <c r="IT40" s="525"/>
      <c r="IU40" s="523"/>
      <c r="IV40" s="524"/>
      <c r="IW40" s="525"/>
      <c r="IX40" s="523"/>
      <c r="IY40" s="524"/>
      <c r="IZ40" s="525"/>
      <c r="JA40" s="523"/>
      <c r="JB40" s="524"/>
      <c r="JC40" s="525"/>
      <c r="JD40" s="523"/>
      <c r="JE40" s="524"/>
      <c r="JF40" s="525"/>
      <c r="JG40" s="523"/>
      <c r="JH40" s="524"/>
      <c r="JI40" s="525"/>
      <c r="JJ40" s="523"/>
      <c r="JK40" s="525"/>
      <c r="JL40" s="525"/>
      <c r="JM40" s="523"/>
      <c r="JN40" s="525"/>
      <c r="JO40" s="525"/>
      <c r="JP40" s="523"/>
      <c r="JQ40" s="525"/>
      <c r="JR40" s="525"/>
      <c r="JS40" s="523"/>
      <c r="JT40" s="525"/>
      <c r="JU40" s="525"/>
      <c r="JV40" s="523"/>
      <c r="JW40" s="525"/>
      <c r="JX40" s="525"/>
      <c r="JY40" s="523"/>
      <c r="JZ40" s="525"/>
      <c r="KA40" s="525"/>
      <c r="KB40" s="523"/>
      <c r="KC40" s="525"/>
      <c r="KD40" s="525"/>
      <c r="KE40" s="523"/>
      <c r="KF40" s="525"/>
      <c r="KG40" s="525"/>
      <c r="KH40" s="523"/>
      <c r="KI40" s="525"/>
      <c r="KJ40" s="525"/>
      <c r="KK40" s="523"/>
      <c r="KL40" s="525"/>
      <c r="KM40" s="525"/>
      <c r="KN40" s="523"/>
      <c r="KO40" s="525"/>
      <c r="KP40" s="525"/>
      <c r="KQ40" s="523"/>
      <c r="KR40" s="525"/>
      <c r="KS40" s="525"/>
      <c r="KT40" s="525"/>
      <c r="KU40" s="525"/>
      <c r="KV40" s="261"/>
    </row>
    <row r="41" spans="1:308" s="528" customFormat="1" ht="15" customHeight="1" thickTop="1" thickBot="1">
      <c r="A41" s="734" t="s">
        <v>27</v>
      </c>
      <c r="B41" s="735"/>
      <c r="C41" s="736"/>
      <c r="D41" s="563">
        <f>SUM(D9:D40)</f>
        <v>532.99699999999996</v>
      </c>
      <c r="E41" s="562">
        <v>0</v>
      </c>
      <c r="F41" s="526">
        <f>SUM(F9:F39)</f>
        <v>0</v>
      </c>
      <c r="G41" s="526">
        <f>IFERROR((F41/$L$41),0)</f>
        <v>0</v>
      </c>
      <c r="H41" s="526">
        <f>IFERROR(((F41*H$8)/$L$41),0)</f>
        <v>0</v>
      </c>
      <c r="I41" s="526">
        <f>SUM(I9:I39)</f>
        <v>2430.2329906976743</v>
      </c>
      <c r="J41" s="526">
        <f>IFERROR((I41/$L$41),0)</f>
        <v>0</v>
      </c>
      <c r="K41" s="526">
        <f>IFERROR(((I41*K$8)/$L$41),0)</f>
        <v>0</v>
      </c>
      <c r="L41" s="526">
        <f>SUM(L9:L39)</f>
        <v>0</v>
      </c>
      <c r="M41" s="526">
        <f>IFERROR((L41/$L$41),0)</f>
        <v>0</v>
      </c>
      <c r="N41" s="526">
        <f>IFERROR(((L41*N$8)/$L$41),0)</f>
        <v>0</v>
      </c>
      <c r="O41" s="526">
        <f>SUM(O9:O39)</f>
        <v>39.001599999999968</v>
      </c>
      <c r="P41" s="526">
        <f>IFERROR((O41/$L$41),0)</f>
        <v>0</v>
      </c>
      <c r="Q41" s="526">
        <f>IFERROR(((O41*Q$8)/$L$41),0)</f>
        <v>0</v>
      </c>
      <c r="R41" s="526">
        <f>SUM(R9:R39)</f>
        <v>0</v>
      </c>
      <c r="S41" s="526">
        <f>IFERROR((R41/$L$41),0)</f>
        <v>0</v>
      </c>
      <c r="T41" s="526">
        <f>IFERROR(((R41*T$8)/$L$41),0)</f>
        <v>0</v>
      </c>
      <c r="U41" s="526">
        <f>SUM(U9:U39)</f>
        <v>33.312900000000042</v>
      </c>
      <c r="V41" s="526">
        <f>IFERROR((U41/$L$41),0)</f>
        <v>0</v>
      </c>
      <c r="W41" s="526">
        <f>IFERROR(((U41*W$8)/$L$41),0)</f>
        <v>0</v>
      </c>
      <c r="X41" s="526">
        <f>SUM(X9:X39)</f>
        <v>0</v>
      </c>
      <c r="Y41" s="526">
        <f>IFERROR((X41/$L$41),0)</f>
        <v>0</v>
      </c>
      <c r="Z41" s="526">
        <f>IFERROR(((X41*Z$8)/$L$41),0)</f>
        <v>0</v>
      </c>
      <c r="AA41" s="526">
        <f>SUM(AA9:AA39)</f>
        <v>12.605999999999995</v>
      </c>
      <c r="AB41" s="526">
        <f>IFERROR((AA41/$L$41),0)</f>
        <v>0</v>
      </c>
      <c r="AC41" s="526">
        <f>IFERROR(((AA41*AC$8)/$L$41),0)</f>
        <v>0</v>
      </c>
      <c r="AD41" s="526">
        <f>SUM(AD9:AD39)</f>
        <v>0</v>
      </c>
      <c r="AE41" s="526">
        <f>IFERROR((AD41/$L$41),0)</f>
        <v>0</v>
      </c>
      <c r="AF41" s="526">
        <f>IFERROR(((AD41*AF$8)/$L$41),0)</f>
        <v>0</v>
      </c>
      <c r="AG41" s="526">
        <f>SUM(AG9:AG39)</f>
        <v>0</v>
      </c>
      <c r="AH41" s="526">
        <f>IFERROR((AG41/$L$41),0)</f>
        <v>0</v>
      </c>
      <c r="AI41" s="526">
        <f>IFERROR(((AG41*AI$8)/$L$41),0)</f>
        <v>0</v>
      </c>
      <c r="AJ41" s="526">
        <f>SUM(AJ9:AJ39)</f>
        <v>0</v>
      </c>
      <c r="AK41" s="526">
        <f>IFERROR((AJ41/$L$41),0)</f>
        <v>0</v>
      </c>
      <c r="AL41" s="526">
        <f>IFERROR(((AJ41*AL$8)/$L$41),0)</f>
        <v>0</v>
      </c>
      <c r="AM41" s="526">
        <f>SUM(AM9:AM39)</f>
        <v>73.589743589743591</v>
      </c>
      <c r="AN41" s="526">
        <f>IFERROR((AM41/$L$41),0)</f>
        <v>0</v>
      </c>
      <c r="AO41" s="526">
        <f>IFERROR(((AM41*AO$8)/$L$41),0)</f>
        <v>0</v>
      </c>
      <c r="AP41" s="526">
        <f>SUM(AP9:AP39)</f>
        <v>521.2069556962025</v>
      </c>
      <c r="AQ41" s="526">
        <f>IFERROR((AP41/$L$41),0)</f>
        <v>0</v>
      </c>
      <c r="AR41" s="526">
        <f>IFERROR(((AP41*AR$8)/$L$41),0)</f>
        <v>0</v>
      </c>
      <c r="AS41" s="526">
        <f>SUM(AS9:AS39)</f>
        <v>0</v>
      </c>
      <c r="AT41" s="526">
        <f>IFERROR((AS41/$L$41),0)</f>
        <v>0</v>
      </c>
      <c r="AU41" s="526">
        <f>IFERROR(((AS41*AU$8)/$L$41),0)</f>
        <v>0</v>
      </c>
      <c r="AV41" s="526">
        <f>SUM(AV9:AV39)</f>
        <v>0</v>
      </c>
      <c r="AW41" s="526">
        <f>IFERROR((AV41/$L$41),0)</f>
        <v>0</v>
      </c>
      <c r="AX41" s="526">
        <f>IFERROR(((AV41*AX$8)/$L$41),0)</f>
        <v>0</v>
      </c>
      <c r="AY41" s="526">
        <f>SUM(AY9:AY39)</f>
        <v>760.66826666666657</v>
      </c>
      <c r="AZ41" s="526">
        <f>IFERROR((AY41/$L$41),0)</f>
        <v>0</v>
      </c>
      <c r="BA41" s="526">
        <f>IFERROR(((AY41*BA$8)/$L$41),0)</f>
        <v>0</v>
      </c>
      <c r="BB41" s="526">
        <f>SUM(BB9:BB39)</f>
        <v>0</v>
      </c>
      <c r="BC41" s="526">
        <f>IFERROR((BB41/$L$41),0)</f>
        <v>0</v>
      </c>
      <c r="BD41" s="526">
        <f>IFERROR(((BB41*BD$8)/$L$41),0)</f>
        <v>0</v>
      </c>
      <c r="BE41" s="526">
        <f>SUM(BE9:BE39)</f>
        <v>0</v>
      </c>
      <c r="BF41" s="526">
        <f>IFERROR((BE41/$L$41),0)</f>
        <v>0</v>
      </c>
      <c r="BG41" s="526">
        <f>IFERROR(((BE41*BG$8)/$L$41),0)</f>
        <v>0</v>
      </c>
      <c r="BH41" s="526">
        <f>SUM(BH9:BH39)</f>
        <v>0</v>
      </c>
      <c r="BI41" s="526">
        <f>IFERROR((BH41/$L$41),0)</f>
        <v>0</v>
      </c>
      <c r="BJ41" s="526">
        <f>IFERROR(((BH41*BJ$8)/$L$41),0)</f>
        <v>0</v>
      </c>
      <c r="BK41" s="526">
        <f>SUM(BK9:BK39)</f>
        <v>0</v>
      </c>
      <c r="BL41" s="526">
        <f>IFERROR((BK41/$L$41),0)</f>
        <v>0</v>
      </c>
      <c r="BM41" s="526">
        <f>IFERROR(((BK41*BM$8)/$L$41),0)</f>
        <v>0</v>
      </c>
      <c r="BN41" s="526">
        <f>SUM(BN9:BN39)</f>
        <v>0</v>
      </c>
      <c r="BO41" s="526">
        <f>IFERROR((BN41/$L$41),0)</f>
        <v>0</v>
      </c>
      <c r="BP41" s="526">
        <f>IFERROR(((BN41*BP$8)/$L$41),0)</f>
        <v>0</v>
      </c>
      <c r="BQ41" s="526">
        <f>SUM(BQ9:BQ39)</f>
        <v>822.78646784810132</v>
      </c>
      <c r="BR41" s="526">
        <f>IFERROR((BQ41/$L$41),0)</f>
        <v>0</v>
      </c>
      <c r="BS41" s="526">
        <f>IFERROR(((BQ41*BS$8)/$L$41),0)</f>
        <v>0</v>
      </c>
      <c r="BT41" s="526">
        <f>SUM(BT9:BT39)</f>
        <v>0</v>
      </c>
      <c r="BU41" s="526">
        <f>IFERROR((BT41/$L$41),0)</f>
        <v>0</v>
      </c>
      <c r="BV41" s="526">
        <f>IFERROR(((BT41*BV$8)/$L$41),0)</f>
        <v>0</v>
      </c>
      <c r="BW41" s="526">
        <f>SUM(BW9:BW39)</f>
        <v>0</v>
      </c>
      <c r="BX41" s="526">
        <f>IFERROR((BW41/$L$41),0)</f>
        <v>0</v>
      </c>
      <c r="BY41" s="526">
        <f>IFERROR(((BW41*BY$8)/$L$41),0)</f>
        <v>0</v>
      </c>
      <c r="BZ41" s="526">
        <f>SUM(BZ9:BZ39)</f>
        <v>0</v>
      </c>
      <c r="CA41" s="526">
        <f>IFERROR((BZ41/$L$41),0)</f>
        <v>0</v>
      </c>
      <c r="CB41" s="526">
        <f>IFERROR(((BZ41*CB$8)/$L$41),0)</f>
        <v>0</v>
      </c>
      <c r="CC41" s="526">
        <f>SUM(CC9:CC39)</f>
        <v>0</v>
      </c>
      <c r="CD41" s="526">
        <f>IFERROR((CC41/$L$41),0)</f>
        <v>0</v>
      </c>
      <c r="CE41" s="526">
        <f>IFERROR(((CC41*CE$8)/$L$41),0)</f>
        <v>0</v>
      </c>
      <c r="CF41" s="526">
        <f>SUM(CF9:CF39)</f>
        <v>4.8000000000000069</v>
      </c>
      <c r="CG41" s="526">
        <f>IFERROR((CF41/$L$41),0)</f>
        <v>0</v>
      </c>
      <c r="CH41" s="526">
        <f>IFERROR(((CF41*CH$8)/$L$41),0)</f>
        <v>0</v>
      </c>
      <c r="CI41" s="526">
        <f>SUM(CI9:CI39)</f>
        <v>0</v>
      </c>
      <c r="CJ41" s="526">
        <f>IFERROR((CI41/$L$41),0)</f>
        <v>0</v>
      </c>
      <c r="CK41" s="526">
        <f>IFERROR(((CI41*CK$8)/$L$41),0)</f>
        <v>0</v>
      </c>
      <c r="CL41" s="526">
        <f>SUM(CL9:CL39)</f>
        <v>0</v>
      </c>
      <c r="CM41" s="526">
        <f>IFERROR((CL41/$L$41),0)</f>
        <v>0</v>
      </c>
      <c r="CN41" s="526">
        <f>IFERROR(((CL41*CN$8)/$L$41),0)</f>
        <v>0</v>
      </c>
      <c r="CO41" s="526">
        <f>SUM(CO9:CO39)</f>
        <v>0</v>
      </c>
      <c r="CP41" s="526">
        <f>IFERROR((CO41/$L$41),0)</f>
        <v>0</v>
      </c>
      <c r="CQ41" s="526">
        <f>IFERROR(((CO41*CQ$8)/$L$41),0)</f>
        <v>0</v>
      </c>
      <c r="CR41" s="526">
        <f>SUM(CR9:CR39)</f>
        <v>0</v>
      </c>
      <c r="CS41" s="526">
        <f>IFERROR((CR41/$L$41),0)</f>
        <v>0</v>
      </c>
      <c r="CT41" s="526">
        <f>IFERROR(((CR41*CT$8)/$L$41),0)</f>
        <v>0</v>
      </c>
      <c r="CU41" s="526">
        <f>SUM(CU9:CU39)</f>
        <v>0</v>
      </c>
      <c r="CV41" s="526">
        <f>IFERROR((CU41/$L$41),0)</f>
        <v>0</v>
      </c>
      <c r="CW41" s="526">
        <f>IFERROR(((CU41*CW$8)/$L$41),0)</f>
        <v>0</v>
      </c>
      <c r="CX41" s="526">
        <f>SUM(CX9:CX39)</f>
        <v>0</v>
      </c>
      <c r="CY41" s="526">
        <f>IFERROR((CX41/$L$41),0)</f>
        <v>0</v>
      </c>
      <c r="CZ41" s="526">
        <f>IFERROR(((CX41*CZ$8)/$L$41),0)</f>
        <v>0</v>
      </c>
      <c r="DA41" s="526">
        <f>SUM(DA9:DA39)</f>
        <v>465.11627906976747</v>
      </c>
      <c r="DB41" s="526">
        <f>IFERROR((DA41/$L$41),0)</f>
        <v>0</v>
      </c>
      <c r="DC41" s="526">
        <f>IFERROR(((DA41*DC$8)/$L$41),0)</f>
        <v>0</v>
      </c>
      <c r="DD41" s="526">
        <f>SUM(DD9:DD39)</f>
        <v>0</v>
      </c>
      <c r="DE41" s="526">
        <f>IFERROR((DD41/$L$41),0)</f>
        <v>0</v>
      </c>
      <c r="DF41" s="526">
        <f>IFERROR(((DD41*DF$8)/$L$41),0)</f>
        <v>0</v>
      </c>
      <c r="DG41" s="526">
        <f>SUM(DG14:DG39)</f>
        <v>0</v>
      </c>
      <c r="DH41" s="526">
        <f>IFERROR((DG41/$L$41),0)</f>
        <v>0</v>
      </c>
      <c r="DI41" s="526">
        <f>IFERROR(((DG41*DI$8)/$L$41),0)</f>
        <v>0</v>
      </c>
      <c r="DJ41" s="526">
        <f>SUM(DJ9:DJ39)</f>
        <v>0</v>
      </c>
      <c r="DK41" s="526">
        <f>IFERROR((DJ41/$L$41),0)</f>
        <v>0</v>
      </c>
      <c r="DL41" s="526">
        <f>IFERROR(((DJ41*DL$8)/$L$41),0)</f>
        <v>0</v>
      </c>
      <c r="DM41" s="526">
        <f>SUM(DM9:DM39)</f>
        <v>0</v>
      </c>
      <c r="DN41" s="526">
        <f>IFERROR((DM41/$L$41),0)</f>
        <v>0</v>
      </c>
      <c r="DO41" s="526">
        <f>IFERROR(((DM41*DO$8)/$L$41),0)</f>
        <v>0</v>
      </c>
      <c r="DP41" s="526">
        <f>SUM(DP9:DP39)</f>
        <v>0</v>
      </c>
      <c r="DQ41" s="526">
        <f>IFERROR((DP41/$L$41),0)</f>
        <v>0</v>
      </c>
      <c r="DR41" s="526">
        <f>IFERROR(((DP41*DR$8)/$L$41),0)</f>
        <v>0</v>
      </c>
      <c r="DS41" s="526">
        <f>SUM(DS9:DS39)</f>
        <v>0</v>
      </c>
      <c r="DT41" s="526">
        <f>IFERROR((DS41/$L$41),0)</f>
        <v>0</v>
      </c>
      <c r="DU41" s="526">
        <f>IFERROR(((DS41*DU$8)/$L$41),0)</f>
        <v>0</v>
      </c>
      <c r="DV41" s="526">
        <f>SUM(DV9:DV39)</f>
        <v>0</v>
      </c>
      <c r="DW41" s="526">
        <f>IFERROR((DV41/$L$41),0)</f>
        <v>0</v>
      </c>
      <c r="DX41" s="526">
        <f>IFERROR(((DV41*DX$8)/$L$41),0)</f>
        <v>0</v>
      </c>
      <c r="DY41" s="526">
        <f>SUM(DY9:DY39)</f>
        <v>0</v>
      </c>
      <c r="DZ41" s="526">
        <f>IFERROR((DY41/$L$41),0)</f>
        <v>0</v>
      </c>
      <c r="EA41" s="526">
        <f>IFERROR(((DY41*EA$8)/$L$41),0)</f>
        <v>0</v>
      </c>
      <c r="EB41" s="526">
        <f>SUM(EB9:EB39)</f>
        <v>0</v>
      </c>
      <c r="EC41" s="526">
        <f>IFERROR((EB41/$L$41),0)</f>
        <v>0</v>
      </c>
      <c r="ED41" s="526">
        <f>IFERROR(((EB41*ED$8)/$L$41),0)</f>
        <v>0</v>
      </c>
      <c r="EE41" s="526">
        <f>SUM(EE9:EE39)</f>
        <v>1068.4452941176469</v>
      </c>
      <c r="EF41" s="526">
        <f>IFERROR((EE41/$L$41),0)</f>
        <v>0</v>
      </c>
      <c r="EG41" s="526">
        <f>IFERROR(((EE41*EG$8)/$L$41),0)</f>
        <v>0</v>
      </c>
      <c r="EH41" s="526">
        <f>SUM(EH9:EH39)</f>
        <v>0</v>
      </c>
      <c r="EI41" s="526">
        <f>IFERROR((EH41/$L$41),0)</f>
        <v>0</v>
      </c>
      <c r="EJ41" s="526">
        <f>IFERROR(((EH41*EJ$8)/$L$41),0)</f>
        <v>0</v>
      </c>
      <c r="EK41" s="526">
        <f>SUM(EK9:EK39)</f>
        <v>0</v>
      </c>
      <c r="EL41" s="526">
        <f>IFERROR((EK41/$L$41),0)</f>
        <v>0</v>
      </c>
      <c r="EM41" s="526">
        <f>IFERROR(((EK41*EM$8)/$L$41),0)</f>
        <v>0</v>
      </c>
      <c r="EN41" s="526">
        <f>SUM(EN9:EN39)</f>
        <v>0</v>
      </c>
      <c r="EO41" s="526">
        <f>IFERROR((EN41/$L$41),0)</f>
        <v>0</v>
      </c>
      <c r="EP41" s="526">
        <f>IFERROR(((EN41*EP$8)/$L$41),0)</f>
        <v>0</v>
      </c>
      <c r="EQ41" s="526">
        <f>SUM(EQ9:EQ39)</f>
        <v>0</v>
      </c>
      <c r="ER41" s="526">
        <f>IFERROR((EQ41/$L$41),0)</f>
        <v>0</v>
      </c>
      <c r="ES41" s="526">
        <f>IFERROR(((EQ41*ES$8)/$L$41),0)</f>
        <v>0</v>
      </c>
      <c r="ET41" s="526">
        <f>SUM(ET9:ET39)</f>
        <v>0</v>
      </c>
      <c r="EU41" s="526">
        <f>IFERROR((ET41/$L$41),0)</f>
        <v>0</v>
      </c>
      <c r="EV41" s="526">
        <f>IFERROR(((ET41*EV$8)/$L$41),0)</f>
        <v>0</v>
      </c>
      <c r="EW41" s="526">
        <f>SUM(EW9:EW39)</f>
        <v>0</v>
      </c>
      <c r="EX41" s="526">
        <f>IFERROR((EW41/$L$41),0)</f>
        <v>0</v>
      </c>
      <c r="EY41" s="526">
        <f>IFERROR(((EW41*EY$8)/$L$41),0)</f>
        <v>0</v>
      </c>
      <c r="EZ41" s="526">
        <f>SUM(EZ9:EZ39)</f>
        <v>0</v>
      </c>
      <c r="FA41" s="526">
        <f>IFERROR((EZ41/$L$41),0)</f>
        <v>0</v>
      </c>
      <c r="FB41" s="526">
        <f>IFERROR(((EZ41*FB$8)/$L$41),0)</f>
        <v>0</v>
      </c>
      <c r="FC41" s="526">
        <f>SUM(FC9:FC39)</f>
        <v>0</v>
      </c>
      <c r="FD41" s="526">
        <f>IFERROR((FC41/$L$41),0)</f>
        <v>0</v>
      </c>
      <c r="FE41" s="526">
        <f>IFERROR(((FC41*FE$8)/$L$41),0)</f>
        <v>0</v>
      </c>
      <c r="FF41" s="526">
        <f>SUM(FF9:FF39)</f>
        <v>0</v>
      </c>
      <c r="FG41" s="526">
        <f>IFERROR((FF41/$L$41),0)</f>
        <v>0</v>
      </c>
      <c r="FH41" s="526">
        <f>IFERROR(((FF41*FH$8)/$L$41),0)</f>
        <v>0</v>
      </c>
      <c r="FI41" s="526">
        <f>SUM(FI9:FI39)</f>
        <v>0</v>
      </c>
      <c r="FJ41" s="526">
        <f>IFERROR((FI41/$L$41),0)</f>
        <v>0</v>
      </c>
      <c r="FK41" s="526">
        <f>IFERROR(((FI41*FK$8)/$L$41),0)</f>
        <v>0</v>
      </c>
      <c r="FL41" s="526">
        <f>SUM(FL9:FL39)</f>
        <v>0</v>
      </c>
      <c r="FM41" s="526">
        <f>IFERROR((FL41/$L$41),0)</f>
        <v>0</v>
      </c>
      <c r="FN41" s="526">
        <f>IFERROR(((FL41*FN$8)/$L$41),0)</f>
        <v>0</v>
      </c>
      <c r="FO41" s="526">
        <f>SUM(FO9:FO39)</f>
        <v>0</v>
      </c>
      <c r="FP41" s="526">
        <f>IFERROR((FO41/$L$41),0)</f>
        <v>0</v>
      </c>
      <c r="FQ41" s="526">
        <f>IFERROR(((FO41*FQ$8)/$L$41),0)</f>
        <v>0</v>
      </c>
      <c r="FR41" s="526">
        <f>SUM(FR9:FR39)</f>
        <v>0</v>
      </c>
      <c r="FS41" s="526">
        <f>IFERROR((FR41/$L$41),0)</f>
        <v>0</v>
      </c>
      <c r="FT41" s="526">
        <f>IFERROR(((FR41*FT$8)/$L$41),0)</f>
        <v>0</v>
      </c>
      <c r="FU41" s="526">
        <f>SUM(FU9:FU39)</f>
        <v>0</v>
      </c>
      <c r="FV41" s="526">
        <f>IFERROR((FU41/$L$41),0)</f>
        <v>0</v>
      </c>
      <c r="FW41" s="526">
        <f>IFERROR(((FU41*FW$8)/$L$41),0)</f>
        <v>0</v>
      </c>
      <c r="FX41" s="526">
        <f>SUM(FX9:FX39)</f>
        <v>0</v>
      </c>
      <c r="FY41" s="526">
        <f>IFERROR((FX41/$L$41),0)</f>
        <v>0</v>
      </c>
      <c r="FZ41" s="526">
        <f>IFERROR(((FX41*FZ$8)/$L$41),0)</f>
        <v>0</v>
      </c>
      <c r="GA41" s="526">
        <f>SUM(GA9:GA39)</f>
        <v>0</v>
      </c>
      <c r="GB41" s="526">
        <f>IFERROR((GA41/$L$41),0)</f>
        <v>0</v>
      </c>
      <c r="GC41" s="526">
        <f>IFERROR(((GA41*GC$8)/$L$41),0)</f>
        <v>0</v>
      </c>
      <c r="GD41" s="526">
        <f>SUM(GD9:GD39)</f>
        <v>0</v>
      </c>
      <c r="GE41" s="526">
        <f>IFERROR((GD41/$L$41),0)</f>
        <v>0</v>
      </c>
      <c r="GF41" s="526">
        <f>IFERROR(((GD41*GF$8)/$L$41),0)</f>
        <v>0</v>
      </c>
      <c r="GG41" s="526">
        <f>SUM(GG9:GG39)</f>
        <v>0</v>
      </c>
      <c r="GH41" s="526">
        <f>IFERROR((GG41/$L$41),0)</f>
        <v>0</v>
      </c>
      <c r="GI41" s="526">
        <f>IFERROR(((GG41*GI$8)/$L$41),0)</f>
        <v>0</v>
      </c>
      <c r="GJ41" s="526">
        <f>SUM(GJ9:GJ39)</f>
        <v>0</v>
      </c>
      <c r="GK41" s="526">
        <f>IFERROR((GJ41/$L$41),0)</f>
        <v>0</v>
      </c>
      <c r="GL41" s="526">
        <f>IFERROR(((GJ41*GL$8)/$L$41),0)</f>
        <v>0</v>
      </c>
      <c r="GM41" s="526">
        <f>SUM(GM9:GM39)</f>
        <v>0</v>
      </c>
      <c r="GN41" s="526">
        <f>IFERROR((GM41/$L$41),0)</f>
        <v>0</v>
      </c>
      <c r="GO41" s="526">
        <f>IFERROR(((GM41*GO$8)/$L$41),0)</f>
        <v>0</v>
      </c>
      <c r="GP41" s="526">
        <f>SUM(GP9:GP39)</f>
        <v>0</v>
      </c>
      <c r="GQ41" s="526">
        <f>IFERROR((GP41/$L$41),0)</f>
        <v>0</v>
      </c>
      <c r="GR41" s="526">
        <f>IFERROR(((GP41*GR$8)/$L$41),0)</f>
        <v>0</v>
      </c>
      <c r="GS41" s="526">
        <f>SUM(GS9:GS39)</f>
        <v>0</v>
      </c>
      <c r="GT41" s="526">
        <f>IFERROR((GS41/$L$41),0)</f>
        <v>0</v>
      </c>
      <c r="GU41" s="526">
        <f>IFERROR(((GS41*GU$8)/$L$41),0)</f>
        <v>0</v>
      </c>
      <c r="GV41" s="526">
        <f>SUM(GV9:GV39)</f>
        <v>0</v>
      </c>
      <c r="GW41" s="526">
        <f>IFERROR((GV41/$L$41),0)</f>
        <v>0</v>
      </c>
      <c r="GX41" s="526">
        <f>IFERROR(((GV41*GX$8)/$L$41),0)</f>
        <v>0</v>
      </c>
      <c r="GY41" s="526">
        <f>SUM(GY9:GY39)</f>
        <v>0</v>
      </c>
      <c r="GZ41" s="526">
        <f>IFERROR((GY41/$L$41),0)</f>
        <v>0</v>
      </c>
      <c r="HA41" s="526">
        <f>IFERROR(((GY41*HA$8)/$L$41),0)</f>
        <v>0</v>
      </c>
      <c r="HB41" s="526">
        <f>SUM(HB9:HB39)</f>
        <v>0</v>
      </c>
      <c r="HC41" s="526">
        <f>IFERROR((HB41/$L$41),0)</f>
        <v>0</v>
      </c>
      <c r="HD41" s="526">
        <f>IFERROR(((HB41*HD$8)/$L$41),0)</f>
        <v>0</v>
      </c>
      <c r="HE41" s="526">
        <f>SUM(HE9:HE39)</f>
        <v>0</v>
      </c>
      <c r="HF41" s="526">
        <f>IFERROR((HE41/$L$41),0)</f>
        <v>0</v>
      </c>
      <c r="HG41" s="526">
        <f>IFERROR(((HE41*HG$8)/$L$41),0)</f>
        <v>0</v>
      </c>
      <c r="HH41" s="526">
        <f>SUM(HH9:HH39)</f>
        <v>0</v>
      </c>
      <c r="HI41" s="526">
        <f>IFERROR((HH41/$L$41),0)</f>
        <v>0</v>
      </c>
      <c r="HJ41" s="526">
        <f>IFERROR(((HH41*HJ$8)/$L$41),0)</f>
        <v>0</v>
      </c>
      <c r="HK41" s="526">
        <f>SUM(HK9:HK39)</f>
        <v>0</v>
      </c>
      <c r="HL41" s="526">
        <f>IFERROR((HK41/$L$41),0)</f>
        <v>0</v>
      </c>
      <c r="HM41" s="526">
        <f>IFERROR(((HK41*HM$8)/$L$41),0)</f>
        <v>0</v>
      </c>
      <c r="HN41" s="526">
        <f>SUM(HN9:HN39)</f>
        <v>0</v>
      </c>
      <c r="HO41" s="526">
        <f>IFERROR((HN41/$L$41),0)</f>
        <v>0</v>
      </c>
      <c r="HP41" s="526">
        <f>IFERROR(((HN41*HP$8)/$L$41),0)</f>
        <v>0</v>
      </c>
      <c r="HQ41" s="526">
        <f>SUM(HQ9:HQ39)</f>
        <v>0</v>
      </c>
      <c r="HR41" s="526">
        <f>IFERROR((HQ41/$L$41),0)</f>
        <v>0</v>
      </c>
      <c r="HS41" s="526">
        <f>IFERROR(((HQ41*HS$8)/$L$41),0)</f>
        <v>0</v>
      </c>
      <c r="HT41" s="526">
        <f>SUM(HT9:HT39)</f>
        <v>0</v>
      </c>
      <c r="HU41" s="526">
        <f>IFERROR((HT41/$L$41),0)</f>
        <v>0</v>
      </c>
      <c r="HV41" s="526">
        <f>IFERROR(((HT41*HV$8)/$L$41),0)</f>
        <v>0</v>
      </c>
      <c r="HW41" s="526">
        <f>SUM(HW9:HW39)</f>
        <v>0</v>
      </c>
      <c r="HX41" s="526">
        <f>IFERROR((HW41/$L$41),0)</f>
        <v>0</v>
      </c>
      <c r="HY41" s="526">
        <f>IFERROR(((HW41*HY$8)/$L$41),0)</f>
        <v>0</v>
      </c>
      <c r="HZ41" s="526">
        <f>SUM(HZ9:HZ39)</f>
        <v>0</v>
      </c>
      <c r="IA41" s="526">
        <f>IFERROR((HZ41/$L$41),0)</f>
        <v>0</v>
      </c>
      <c r="IB41" s="526">
        <f>IFERROR(((HZ41*IB$8)/$L$41),0)</f>
        <v>0</v>
      </c>
      <c r="IC41" s="526">
        <f>SUM(IC9:IC39)</f>
        <v>0</v>
      </c>
      <c r="ID41" s="526">
        <f>IFERROR((IC41/$L$41),0)</f>
        <v>0</v>
      </c>
      <c r="IE41" s="526">
        <f>IFERROR(((IC41*IE$8)/$L$41),0)</f>
        <v>0</v>
      </c>
      <c r="IF41" s="526">
        <f>SUM(IF9:IF39)</f>
        <v>0</v>
      </c>
      <c r="IG41" s="526">
        <f>IFERROR((IF41/$L$41),0)</f>
        <v>0</v>
      </c>
      <c r="IH41" s="526">
        <f>IFERROR(((IF41*IH$8)/$L$41),0)</f>
        <v>0</v>
      </c>
      <c r="II41" s="526">
        <f>SUM(II9:II39)</f>
        <v>0</v>
      </c>
      <c r="IJ41" s="526">
        <f>IFERROR((II41/$L$41),0)</f>
        <v>0</v>
      </c>
      <c r="IK41" s="526">
        <f>IFERROR(((II41*IK$8)/$L$41),0)</f>
        <v>0</v>
      </c>
      <c r="IL41" s="526">
        <f>SUM(IL9:IL39)</f>
        <v>0</v>
      </c>
      <c r="IM41" s="526">
        <f>IFERROR((IL41/$L$41),0)</f>
        <v>0</v>
      </c>
      <c r="IN41" s="526">
        <f>IFERROR(((IL41*IN$8)/$L$41),0)</f>
        <v>0</v>
      </c>
      <c r="IO41" s="526">
        <f>SUM(IO9:IO39)</f>
        <v>0</v>
      </c>
      <c r="IP41" s="526">
        <f>IFERROR((IO41/$L$41),0)</f>
        <v>0</v>
      </c>
      <c r="IQ41" s="526">
        <f>IFERROR(((IO41*IQ$8)/$L$41),0)</f>
        <v>0</v>
      </c>
      <c r="IR41" s="526">
        <f>SUM(IR9:IR39)</f>
        <v>0</v>
      </c>
      <c r="IS41" s="526">
        <f>IFERROR((IR41/$L$41),0)</f>
        <v>0</v>
      </c>
      <c r="IT41" s="526">
        <f>IFERROR(((IR41*IT$8)/$L$41),0)</f>
        <v>0</v>
      </c>
      <c r="IU41" s="526">
        <f>SUM(IU9:IU39)</f>
        <v>0</v>
      </c>
      <c r="IV41" s="526">
        <f>IFERROR((IU41/$L$41),0)</f>
        <v>0</v>
      </c>
      <c r="IW41" s="526">
        <f>IFERROR(((IU41*IW$8)/$L$41),0)</f>
        <v>0</v>
      </c>
      <c r="IX41" s="526">
        <f>SUM(IX9:IX39)</f>
        <v>0</v>
      </c>
      <c r="IY41" s="526">
        <f>IFERROR((IX41/$L$41),0)</f>
        <v>0</v>
      </c>
      <c r="IZ41" s="526">
        <f>IFERROR(((IX41*IZ$8)/$L$41),0)</f>
        <v>0</v>
      </c>
      <c r="JA41" s="526">
        <f>SUM(JA9:JA39)</f>
        <v>0</v>
      </c>
      <c r="JB41" s="526">
        <f>IFERROR((JA41/$L$41),0)</f>
        <v>0</v>
      </c>
      <c r="JC41" s="526">
        <f>IFERROR(((JA41*JC$8)/$L$41),0)</f>
        <v>0</v>
      </c>
      <c r="JD41" s="526">
        <f>SUM(JD9:JD39)</f>
        <v>0</v>
      </c>
      <c r="JE41" s="526">
        <f>IFERROR((JD41/$L$41),0)</f>
        <v>0</v>
      </c>
      <c r="JF41" s="526">
        <f>IFERROR(((JD41*JF$8)/$L$41),0)</f>
        <v>0</v>
      </c>
      <c r="JG41" s="526">
        <f>SUM(JG9:JG39)</f>
        <v>0</v>
      </c>
      <c r="JH41" s="526">
        <f>IFERROR((JG41/$L$41),0)</f>
        <v>0</v>
      </c>
      <c r="JI41" s="526">
        <f>IFERROR(((JG41*JI$8)/$L$41),0)</f>
        <v>0</v>
      </c>
      <c r="JJ41" s="526">
        <f>SUM(JJ9:JJ39)</f>
        <v>0</v>
      </c>
      <c r="JK41" s="526">
        <f>IFERROR((JJ41/$L$41),0)</f>
        <v>0</v>
      </c>
      <c r="JL41" s="526">
        <f>IFERROR(((JJ41*JL$8)/$L$41),0)</f>
        <v>0</v>
      </c>
      <c r="JM41" s="526">
        <f>SUM(JM9:JM39)</f>
        <v>0</v>
      </c>
      <c r="JN41" s="526">
        <f>IFERROR((JM41/$L$41),0)</f>
        <v>0</v>
      </c>
      <c r="JO41" s="526">
        <f>IFERROR(((JM41*JO$8)/$L$41),0)</f>
        <v>0</v>
      </c>
      <c r="JP41" s="526">
        <f>SUM(JP9:JP39)</f>
        <v>0</v>
      </c>
      <c r="JQ41" s="526">
        <f>IFERROR((JP41/$L$41),0)</f>
        <v>0</v>
      </c>
      <c r="JR41" s="526">
        <f>IFERROR(((JP41*JR$8)/$L$41),0)</f>
        <v>0</v>
      </c>
      <c r="JS41" s="526">
        <f>SUM(JS9:JS39)</f>
        <v>0</v>
      </c>
      <c r="JT41" s="526">
        <f>IFERROR((JS41/$L$41),0)</f>
        <v>0</v>
      </c>
      <c r="JU41" s="526">
        <f>IFERROR(((JS41*JU$8)/$L$41),0)</f>
        <v>0</v>
      </c>
      <c r="JV41" s="526">
        <f>SUM(JV9:JV39)</f>
        <v>0</v>
      </c>
      <c r="JW41" s="526">
        <f>IFERROR((JV41/$L$41),0)</f>
        <v>0</v>
      </c>
      <c r="JX41" s="526">
        <f>IFERROR(((JV41*JX$8)/$L$41),0)</f>
        <v>0</v>
      </c>
      <c r="JY41" s="526">
        <f>SUM(JY9:JY39)</f>
        <v>0</v>
      </c>
      <c r="JZ41" s="526">
        <f>IFERROR((JY41/$L$41),0)</f>
        <v>0</v>
      </c>
      <c r="KA41" s="526">
        <f>IFERROR(((JY41*KA$8)/$L$41),0)</f>
        <v>0</v>
      </c>
      <c r="KB41" s="526">
        <f>SUM(KB9:KB39)</f>
        <v>0</v>
      </c>
      <c r="KC41" s="526">
        <f>IFERROR((KB41/$L$41),0)</f>
        <v>0</v>
      </c>
      <c r="KD41" s="526">
        <f>IFERROR(((KB41*KD$8)/$L$41),0)</f>
        <v>0</v>
      </c>
      <c r="KE41" s="526">
        <f>SUM(KE9:KE39)</f>
        <v>0</v>
      </c>
      <c r="KF41" s="526">
        <f>IFERROR((KE41/$L$41),0)</f>
        <v>0</v>
      </c>
      <c r="KG41" s="526">
        <f>IFERROR(((KE41*KG$8)/$L$41),0)</f>
        <v>0</v>
      </c>
      <c r="KH41" s="526">
        <f>SUM(KH9:KH39)</f>
        <v>0</v>
      </c>
      <c r="KI41" s="526">
        <f>IFERROR((KH41/$L$41),0)</f>
        <v>0</v>
      </c>
      <c r="KJ41" s="526">
        <f>IFERROR(((KH41*KJ$8)/$L$41),0)</f>
        <v>0</v>
      </c>
      <c r="KK41" s="526">
        <f>SUM(KK9:KK39)</f>
        <v>0</v>
      </c>
      <c r="KL41" s="526">
        <f>IFERROR((KK41/$L$41),0)</f>
        <v>0</v>
      </c>
      <c r="KM41" s="526">
        <f>IFERROR(((KK41*KM$8)/$L$41),0)</f>
        <v>0</v>
      </c>
      <c r="KN41" s="526">
        <f>SUM(KN9:KN39)</f>
        <v>0</v>
      </c>
      <c r="KO41" s="526">
        <f>IFERROR((KN41/$L$41),0)</f>
        <v>0</v>
      </c>
      <c r="KP41" s="526">
        <f>IFERROR(((KN41*KP$8)/$L$41),0)</f>
        <v>0</v>
      </c>
      <c r="KQ41" s="526">
        <f>SUM(KQ9:KQ39)</f>
        <v>0</v>
      </c>
      <c r="KR41" s="526">
        <f>IFERROR((KQ41/$L$41),0)</f>
        <v>0</v>
      </c>
      <c r="KS41" s="526">
        <f>IFERROR(((KQ41*KS$8)/$L$41),0)</f>
        <v>0</v>
      </c>
      <c r="KT41" s="527">
        <f t="shared" si="201"/>
        <v>0</v>
      </c>
      <c r="KU41" s="527">
        <f t="shared" si="202"/>
        <v>0</v>
      </c>
      <c r="KV41" s="261">
        <f t="shared" si="112"/>
        <v>6231.7664976858023</v>
      </c>
    </row>
    <row r="43" spans="1:308" ht="15" customHeight="1">
      <c r="A43" s="268" t="s">
        <v>136</v>
      </c>
      <c r="B43" s="269" t="s">
        <v>137</v>
      </c>
      <c r="C43" s="270" t="s">
        <v>147</v>
      </c>
      <c r="D43" s="258"/>
      <c r="E43" s="258"/>
    </row>
    <row r="44" spans="1:308" ht="15" customHeight="1">
      <c r="A44" s="271"/>
      <c r="B44" s="269" t="s">
        <v>138</v>
      </c>
      <c r="C44" s="270" t="s">
        <v>144</v>
      </c>
      <c r="D44" s="258"/>
      <c r="E44" s="258"/>
    </row>
    <row r="45" spans="1:308" ht="15" customHeight="1">
      <c r="A45" s="271"/>
      <c r="B45" s="272" t="s">
        <v>139</v>
      </c>
      <c r="C45" s="270" t="s">
        <v>140</v>
      </c>
      <c r="D45" s="258"/>
      <c r="E45" s="258"/>
    </row>
  </sheetData>
  <mergeCells count="210">
    <mergeCell ref="KK7:KL7"/>
    <mergeCell ref="KN7:KO7"/>
    <mergeCell ref="KQ7:KR7"/>
    <mergeCell ref="A41:C41"/>
    <mergeCell ref="JS7:JT7"/>
    <mergeCell ref="JV7:JW7"/>
    <mergeCell ref="JY7:JZ7"/>
    <mergeCell ref="KB7:KC7"/>
    <mergeCell ref="KE7:KF7"/>
    <mergeCell ref="KH7:KI7"/>
    <mergeCell ref="JA7:JB7"/>
    <mergeCell ref="JD7:JE7"/>
    <mergeCell ref="JG7:JH7"/>
    <mergeCell ref="JJ7:JK7"/>
    <mergeCell ref="JM7:JN7"/>
    <mergeCell ref="JP7:JQ7"/>
    <mergeCell ref="II7:IJ7"/>
    <mergeCell ref="IL7:IM7"/>
    <mergeCell ref="IO7:IP7"/>
    <mergeCell ref="IR7:IS7"/>
    <mergeCell ref="IU7:IV7"/>
    <mergeCell ref="IX7:IY7"/>
    <mergeCell ref="HQ7:HR7"/>
    <mergeCell ref="HT7:HU7"/>
    <mergeCell ref="HW7:HX7"/>
    <mergeCell ref="HZ7:IA7"/>
    <mergeCell ref="IC7:ID7"/>
    <mergeCell ref="IF7:IG7"/>
    <mergeCell ref="GY7:GZ7"/>
    <mergeCell ref="HB7:HC7"/>
    <mergeCell ref="HE7:HF7"/>
    <mergeCell ref="HH7:HI7"/>
    <mergeCell ref="HK7:HL7"/>
    <mergeCell ref="HN7:HO7"/>
    <mergeCell ref="GG7:GH7"/>
    <mergeCell ref="GJ7:GK7"/>
    <mergeCell ref="GM7:GN7"/>
    <mergeCell ref="GP7:GQ7"/>
    <mergeCell ref="GS7:GT7"/>
    <mergeCell ref="GV7:GW7"/>
    <mergeCell ref="FO7:FP7"/>
    <mergeCell ref="FR7:FS7"/>
    <mergeCell ref="FU7:FV7"/>
    <mergeCell ref="FX7:FY7"/>
    <mergeCell ref="GA7:GB7"/>
    <mergeCell ref="GD7:GE7"/>
    <mergeCell ref="EW7:EX7"/>
    <mergeCell ref="EZ7:FA7"/>
    <mergeCell ref="FC7:FD7"/>
    <mergeCell ref="FF7:FG7"/>
    <mergeCell ref="FI7:FJ7"/>
    <mergeCell ref="FL7:FM7"/>
    <mergeCell ref="EE7:EF7"/>
    <mergeCell ref="EH7:EI7"/>
    <mergeCell ref="EK7:EL7"/>
    <mergeCell ref="EN7:EO7"/>
    <mergeCell ref="EQ7:ER7"/>
    <mergeCell ref="ET7:EU7"/>
    <mergeCell ref="DM7:DN7"/>
    <mergeCell ref="DP7:DQ7"/>
    <mergeCell ref="DS7:DT7"/>
    <mergeCell ref="DV7:DW7"/>
    <mergeCell ref="DY7:DZ7"/>
    <mergeCell ref="EB7:EC7"/>
    <mergeCell ref="CU7:CV7"/>
    <mergeCell ref="CX7:CY7"/>
    <mergeCell ref="DA7:DB7"/>
    <mergeCell ref="DD7:DE7"/>
    <mergeCell ref="DG7:DH7"/>
    <mergeCell ref="DJ7:DK7"/>
    <mergeCell ref="CC7:CD7"/>
    <mergeCell ref="CF7:CG7"/>
    <mergeCell ref="CI7:CJ7"/>
    <mergeCell ref="CL7:CM7"/>
    <mergeCell ref="CO7:CP7"/>
    <mergeCell ref="CR7:CS7"/>
    <mergeCell ref="BK7:BL7"/>
    <mergeCell ref="BN7:BO7"/>
    <mergeCell ref="BQ7:BR7"/>
    <mergeCell ref="BT7:BU7"/>
    <mergeCell ref="BW7:BX7"/>
    <mergeCell ref="BZ7:CA7"/>
    <mergeCell ref="AS7:AT7"/>
    <mergeCell ref="AV7:AW7"/>
    <mergeCell ref="AY7:AZ7"/>
    <mergeCell ref="BB7:BC7"/>
    <mergeCell ref="BE7:BF7"/>
    <mergeCell ref="BH7:BI7"/>
    <mergeCell ref="AA7:AB7"/>
    <mergeCell ref="AD7:AE7"/>
    <mergeCell ref="AG7:AH7"/>
    <mergeCell ref="AJ7:AK7"/>
    <mergeCell ref="AM7:AN7"/>
    <mergeCell ref="AP7:AQ7"/>
    <mergeCell ref="KK6:KM6"/>
    <mergeCell ref="KN6:KP6"/>
    <mergeCell ref="KQ6:KS6"/>
    <mergeCell ref="F7:G7"/>
    <mergeCell ref="I7:J7"/>
    <mergeCell ref="L7:M7"/>
    <mergeCell ref="O7:P7"/>
    <mergeCell ref="R7:S7"/>
    <mergeCell ref="U7:V7"/>
    <mergeCell ref="X7:Y7"/>
    <mergeCell ref="JS6:JU6"/>
    <mergeCell ref="JV6:JX6"/>
    <mergeCell ref="JY6:KA6"/>
    <mergeCell ref="KB6:KD6"/>
    <mergeCell ref="KE6:KG6"/>
    <mergeCell ref="KH6:KJ6"/>
    <mergeCell ref="JA6:JC6"/>
    <mergeCell ref="JD6:JF6"/>
    <mergeCell ref="JG6:JI6"/>
    <mergeCell ref="JJ6:JL6"/>
    <mergeCell ref="JM6:JO6"/>
    <mergeCell ref="JP6:JR6"/>
    <mergeCell ref="II6:IK6"/>
    <mergeCell ref="IL6:IN6"/>
    <mergeCell ref="IO6:IQ6"/>
    <mergeCell ref="IR6:IT6"/>
    <mergeCell ref="IU6:IW6"/>
    <mergeCell ref="IX6:IZ6"/>
    <mergeCell ref="HQ6:HS6"/>
    <mergeCell ref="HT6:HV6"/>
    <mergeCell ref="HW6:HY6"/>
    <mergeCell ref="HZ6:IB6"/>
    <mergeCell ref="IC6:IE6"/>
    <mergeCell ref="IF6:IH6"/>
    <mergeCell ref="GY6:HA6"/>
    <mergeCell ref="HB6:HD6"/>
    <mergeCell ref="HE6:HG6"/>
    <mergeCell ref="HH6:HJ6"/>
    <mergeCell ref="HK6:HM6"/>
    <mergeCell ref="HN6:HP6"/>
    <mergeCell ref="GG6:GI6"/>
    <mergeCell ref="GJ6:GL6"/>
    <mergeCell ref="GM6:GO6"/>
    <mergeCell ref="GP6:GR6"/>
    <mergeCell ref="GS6:GU6"/>
    <mergeCell ref="GV6:GX6"/>
    <mergeCell ref="FO6:FQ6"/>
    <mergeCell ref="FR6:FT6"/>
    <mergeCell ref="FU6:FW6"/>
    <mergeCell ref="FX6:FZ6"/>
    <mergeCell ref="GA6:GC6"/>
    <mergeCell ref="GD6:GF6"/>
    <mergeCell ref="EW6:EY6"/>
    <mergeCell ref="EZ6:FB6"/>
    <mergeCell ref="FC6:FE6"/>
    <mergeCell ref="FF6:FH6"/>
    <mergeCell ref="FI6:FK6"/>
    <mergeCell ref="FL6:FN6"/>
    <mergeCell ref="EE6:EG6"/>
    <mergeCell ref="EH6:EJ6"/>
    <mergeCell ref="EK6:EM6"/>
    <mergeCell ref="EN6:EP6"/>
    <mergeCell ref="EQ6:ES6"/>
    <mergeCell ref="ET6:EV6"/>
    <mergeCell ref="DM6:DO6"/>
    <mergeCell ref="DP6:DR6"/>
    <mergeCell ref="DS6:DU6"/>
    <mergeCell ref="DV6:DX6"/>
    <mergeCell ref="DY6:EA6"/>
    <mergeCell ref="EB6:ED6"/>
    <mergeCell ref="CU6:CW6"/>
    <mergeCell ref="CX6:CZ6"/>
    <mergeCell ref="DA6:DC6"/>
    <mergeCell ref="DD6:DF6"/>
    <mergeCell ref="DG6:DI6"/>
    <mergeCell ref="DJ6:DL6"/>
    <mergeCell ref="CC6:CE6"/>
    <mergeCell ref="CF6:CH6"/>
    <mergeCell ref="CI6:CK6"/>
    <mergeCell ref="CL6:CN6"/>
    <mergeCell ref="CO6:CQ6"/>
    <mergeCell ref="CR6:CT6"/>
    <mergeCell ref="BQ6:BS6"/>
    <mergeCell ref="BT6:BV6"/>
    <mergeCell ref="BW6:BY6"/>
    <mergeCell ref="BZ6:CB6"/>
    <mergeCell ref="AS6:AU6"/>
    <mergeCell ref="AV6:AX6"/>
    <mergeCell ref="AY6:BA6"/>
    <mergeCell ref="BB6:BD6"/>
    <mergeCell ref="BE6:BG6"/>
    <mergeCell ref="BH6:BJ6"/>
    <mergeCell ref="F5:GC5"/>
    <mergeCell ref="GD5:KS5"/>
    <mergeCell ref="KT5:KT8"/>
    <mergeCell ref="KU5:KU8"/>
    <mergeCell ref="A6:A8"/>
    <mergeCell ref="B6:B8"/>
    <mergeCell ref="C6:C8"/>
    <mergeCell ref="D6:D8"/>
    <mergeCell ref="E6:E8"/>
    <mergeCell ref="F6:H6"/>
    <mergeCell ref="AA6:AC6"/>
    <mergeCell ref="AD6:AF6"/>
    <mergeCell ref="AG6:AI6"/>
    <mergeCell ref="AJ6:AL6"/>
    <mergeCell ref="AM6:AO6"/>
    <mergeCell ref="AP6:AR6"/>
    <mergeCell ref="I6:K6"/>
    <mergeCell ref="L6:N6"/>
    <mergeCell ref="O6:Q6"/>
    <mergeCell ref="R6:T6"/>
    <mergeCell ref="U6:W6"/>
    <mergeCell ref="X6:Z6"/>
    <mergeCell ref="BK6:BM6"/>
    <mergeCell ref="BN6:BP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
  <sheetViews>
    <sheetView workbookViewId="0">
      <pane xSplit="1" topLeftCell="B1" activePane="topRight" state="frozen"/>
      <selection pane="topRight" activeCell="AC18" sqref="AC18"/>
    </sheetView>
  </sheetViews>
  <sheetFormatPr defaultRowHeight="12.75"/>
  <cols>
    <col min="1" max="1" width="17.5703125" bestFit="1" customWidth="1"/>
    <col min="2" max="13" width="9.140625" hidden="1" customWidth="1"/>
    <col min="14" max="14" width="9.42578125" hidden="1" customWidth="1"/>
    <col min="15" max="16" width="9.140625" hidden="1" customWidth="1"/>
    <col min="17" max="21" width="9.140625" customWidth="1"/>
    <col min="22" max="22" width="9.28515625" customWidth="1"/>
    <col min="23" max="31" width="9.140625" customWidth="1"/>
    <col min="32" max="32" width="9.140625" hidden="1" customWidth="1"/>
    <col min="34" max="34" width="10.42578125" customWidth="1"/>
    <col min="35" max="35" width="16.28515625" bestFit="1" customWidth="1"/>
  </cols>
  <sheetData>
    <row r="1" spans="1:35">
      <c r="V1">
        <v>4440</v>
      </c>
      <c r="W1">
        <v>4520</v>
      </c>
      <c r="X1">
        <v>4010</v>
      </c>
      <c r="Y1">
        <v>3960</v>
      </c>
      <c r="Z1">
        <v>4230</v>
      </c>
      <c r="AA1">
        <v>5490</v>
      </c>
      <c r="AB1">
        <v>4510</v>
      </c>
      <c r="AC1">
        <v>4670</v>
      </c>
      <c r="AD1">
        <f>3218/1000</f>
        <v>3.218</v>
      </c>
      <c r="AE1">
        <v>4730</v>
      </c>
    </row>
    <row r="2" spans="1:35" ht="15">
      <c r="A2" s="6"/>
      <c r="B2" s="6">
        <v>1</v>
      </c>
      <c r="C2" s="6">
        <v>2</v>
      </c>
      <c r="D2" s="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57" t="s">
        <v>252</v>
      </c>
      <c r="AH2" s="458" t="s">
        <v>253</v>
      </c>
      <c r="AI2" s="484" t="s">
        <v>273</v>
      </c>
    </row>
    <row r="3" spans="1:35">
      <c r="A3" s="439" t="s">
        <v>195</v>
      </c>
      <c r="B3" s="6"/>
      <c r="C3" s="6"/>
      <c r="D3" s="6"/>
      <c r="E3" s="6"/>
      <c r="F3" s="6"/>
      <c r="G3" s="6"/>
      <c r="H3" s="6"/>
      <c r="I3" s="6"/>
      <c r="J3" s="6"/>
      <c r="K3" s="6"/>
      <c r="L3" s="6"/>
      <c r="M3" s="6"/>
      <c r="N3" s="6"/>
      <c r="O3" s="6"/>
      <c r="P3" s="6"/>
      <c r="Q3" s="6">
        <f>788/1000</f>
        <v>0.78800000000000003</v>
      </c>
      <c r="R3" s="6">
        <f>3048/1000</f>
        <v>3.048</v>
      </c>
      <c r="S3" s="6"/>
      <c r="T3" s="6"/>
      <c r="U3" s="6">
        <f>6964/1000</f>
        <v>6.9640000000000004</v>
      </c>
      <c r="V3" s="6">
        <f>2813/1000</f>
        <v>2.8130000000000002</v>
      </c>
      <c r="W3" s="6">
        <f>3773/1000</f>
        <v>3.7730000000000001</v>
      </c>
      <c r="X3" s="6">
        <f>2575/1000</f>
        <v>2.5750000000000002</v>
      </c>
      <c r="Y3" s="6">
        <f>3594/1000</f>
        <v>3.5939999999999999</v>
      </c>
      <c r="Z3" s="6">
        <f>3126/1000</f>
        <v>3.1259999999999999</v>
      </c>
      <c r="AA3" s="6">
        <f>3429/1000</f>
        <v>3.4289999999999998</v>
      </c>
      <c r="AB3" s="6">
        <f>2678/1000</f>
        <v>2.6779999999999999</v>
      </c>
      <c r="AC3" s="6">
        <f>2807/1000</f>
        <v>2.8069999999999999</v>
      </c>
      <c r="AD3" s="6">
        <f>3218/1000</f>
        <v>3.218</v>
      </c>
      <c r="AE3" s="6">
        <f>3467/1000</f>
        <v>3.4670000000000001</v>
      </c>
      <c r="AF3" s="6"/>
      <c r="AG3" s="6">
        <f>+AE3</f>
        <v>3.4670000000000001</v>
      </c>
      <c r="AH3" s="459">
        <f>+AG3/Efficiency1!$K$168</f>
        <v>2.5991559818964345E-3</v>
      </c>
      <c r="AI3" s="737">
        <f>SUM(AH3:AH4)</f>
        <v>2.7865770939454995E-3</v>
      </c>
    </row>
    <row r="4" spans="1:35">
      <c r="A4" s="439" t="s">
        <v>196</v>
      </c>
      <c r="B4" s="6"/>
      <c r="C4" s="6"/>
      <c r="D4" s="6"/>
      <c r="E4" s="6"/>
      <c r="F4" s="6"/>
      <c r="G4" s="6"/>
      <c r="H4" s="6"/>
      <c r="I4" s="6"/>
      <c r="J4" s="6"/>
      <c r="K4" s="6"/>
      <c r="L4" s="6"/>
      <c r="M4" s="6"/>
      <c r="N4" s="440"/>
      <c r="O4" s="440"/>
      <c r="P4" s="6"/>
      <c r="Q4" s="6">
        <f>1507/1000</f>
        <v>1.5069999999999999</v>
      </c>
      <c r="R4" s="6">
        <f>1713/1000</f>
        <v>1.7130000000000001</v>
      </c>
      <c r="S4" s="6">
        <f>1190/1000</f>
        <v>1.19</v>
      </c>
      <c r="T4" s="6"/>
      <c r="U4" s="6">
        <f>606/1000</f>
        <v>0.60599999999999998</v>
      </c>
      <c r="V4" s="6">
        <f>788/1000</f>
        <v>0.78800000000000003</v>
      </c>
      <c r="W4" s="440">
        <f>1184/1000</f>
        <v>1.1839999999999999</v>
      </c>
      <c r="X4" s="6">
        <f>568/1000</f>
        <v>0.56799999999999995</v>
      </c>
      <c r="Y4" s="6">
        <f>1311/1000</f>
        <v>1.3109999999999999</v>
      </c>
      <c r="Z4" s="6">
        <f>977/1000</f>
        <v>0.97699999999999998</v>
      </c>
      <c r="AA4" s="6">
        <f>425/1000</f>
        <v>0.42499999999999999</v>
      </c>
      <c r="AB4" s="6">
        <f>1103/1000</f>
        <v>1.103</v>
      </c>
      <c r="AC4" s="6">
        <f>396/1000</f>
        <v>0.39600000000000002</v>
      </c>
      <c r="AD4" s="6">
        <f>596/1000</f>
        <v>0.59599999999999997</v>
      </c>
      <c r="AE4" s="6">
        <f>250/1000</f>
        <v>0.25</v>
      </c>
      <c r="AF4" s="6"/>
      <c r="AG4" s="6">
        <f>+AE4</f>
        <v>0.25</v>
      </c>
      <c r="AH4" s="459">
        <f>+AG4/Efficiency1!$K$168</f>
        <v>1.874211120490651E-4</v>
      </c>
      <c r="AI4" s="738"/>
    </row>
    <row r="5" spans="1:35">
      <c r="A5" s="485"/>
      <c r="B5" s="486"/>
      <c r="C5" s="486"/>
      <c r="D5" s="486"/>
      <c r="E5" s="486"/>
      <c r="F5" s="486"/>
      <c r="G5" s="486"/>
      <c r="H5" s="486"/>
      <c r="I5" s="486"/>
      <c r="J5" s="486"/>
      <c r="K5" s="486"/>
      <c r="L5" s="486"/>
      <c r="M5" s="486"/>
      <c r="N5" s="487"/>
      <c r="O5" s="487"/>
      <c r="P5" s="486"/>
      <c r="Q5" s="486"/>
      <c r="R5" s="486"/>
      <c r="S5" s="486"/>
      <c r="T5" s="486"/>
      <c r="U5" s="486"/>
      <c r="V5" s="486"/>
      <c r="W5" s="487"/>
      <c r="X5" s="486"/>
      <c r="Y5" s="486"/>
      <c r="Z5" s="486"/>
      <c r="AA5" s="486"/>
      <c r="AB5" s="486"/>
      <c r="AC5" s="486"/>
      <c r="AD5" s="486"/>
      <c r="AE5" s="486"/>
      <c r="AF5" s="486"/>
      <c r="AG5" s="486"/>
      <c r="AH5" s="488"/>
    </row>
    <row r="6" spans="1:35">
      <c r="A6" s="439" t="s">
        <v>197</v>
      </c>
      <c r="B6" s="440"/>
      <c r="C6" s="6"/>
      <c r="D6" s="6"/>
      <c r="E6" s="6"/>
      <c r="F6" s="6"/>
      <c r="G6" s="6"/>
      <c r="H6" s="6"/>
      <c r="I6" s="6"/>
      <c r="J6" s="6"/>
      <c r="K6" s="6"/>
      <c r="L6" s="6"/>
      <c r="M6" s="6"/>
      <c r="N6" s="6"/>
      <c r="O6" s="6"/>
      <c r="P6" s="6"/>
      <c r="Q6" s="6">
        <v>0.5</v>
      </c>
      <c r="R6" s="6">
        <v>2.3180000000000001</v>
      </c>
      <c r="S6" s="6">
        <v>0.48899999999999999</v>
      </c>
      <c r="T6" s="6">
        <v>0.66600000000000004</v>
      </c>
      <c r="U6" s="6">
        <v>0.52200000000000002</v>
      </c>
      <c r="V6" s="6">
        <v>0.78800000000000003</v>
      </c>
      <c r="W6" s="440">
        <v>0.45700000000000002</v>
      </c>
      <c r="X6" s="6">
        <v>0.41799999999999998</v>
      </c>
      <c r="Y6" s="6">
        <v>0.27800000000000002</v>
      </c>
      <c r="Z6" s="6">
        <v>0.621</v>
      </c>
      <c r="AA6" s="6">
        <v>0.68300000000000005</v>
      </c>
      <c r="AB6" s="440">
        <v>0.43099999999999999</v>
      </c>
      <c r="AC6" s="6">
        <v>0.58599999999999997</v>
      </c>
      <c r="AD6" s="6">
        <v>0.73299999999999998</v>
      </c>
      <c r="AE6" s="6">
        <v>0.79400000000000004</v>
      </c>
      <c r="AF6" s="6"/>
      <c r="AG6" s="6">
        <f t="shared" ref="AG6:AG37" si="0">+SUM(B6:AC6)</f>
        <v>8.7569999999999997</v>
      </c>
      <c r="AH6" s="489">
        <f t="shared" ref="AH6:AH36" si="1">+AG6/$AG$39</f>
        <v>0.34905133928571425</v>
      </c>
    </row>
    <row r="7" spans="1:35">
      <c r="A7" s="439" t="s">
        <v>218</v>
      </c>
      <c r="B7" s="6"/>
      <c r="C7" s="6"/>
      <c r="D7" s="6"/>
      <c r="E7" s="6"/>
      <c r="F7" s="6"/>
      <c r="G7" s="6"/>
      <c r="H7" s="6"/>
      <c r="I7" s="6"/>
      <c r="J7" s="6"/>
      <c r="K7" s="6"/>
      <c r="L7" s="6"/>
      <c r="M7" s="6"/>
      <c r="N7" s="6"/>
      <c r="O7" s="6"/>
      <c r="P7" s="6"/>
      <c r="Q7" s="6"/>
      <c r="R7" s="471">
        <v>0.67600000000000005</v>
      </c>
      <c r="S7" s="6">
        <v>0.42099999999999999</v>
      </c>
      <c r="T7" s="6">
        <v>0.55300000000000005</v>
      </c>
      <c r="U7" s="6">
        <v>0.34300000000000003</v>
      </c>
      <c r="V7" s="6">
        <v>0.47099999999999997</v>
      </c>
      <c r="W7" s="6">
        <v>0.48399999999999999</v>
      </c>
      <c r="X7" s="6">
        <v>2.254</v>
      </c>
      <c r="Y7" s="6">
        <v>0.39</v>
      </c>
      <c r="Z7" s="6">
        <v>0.755</v>
      </c>
      <c r="AA7" s="6">
        <v>0.79800000000000004</v>
      </c>
      <c r="AB7" s="440">
        <v>0.438</v>
      </c>
      <c r="AC7" s="6">
        <v>0.40100000000000002</v>
      </c>
      <c r="AD7" s="6">
        <v>0.73399999999999999</v>
      </c>
      <c r="AE7" s="6">
        <v>0.66300000000000003</v>
      </c>
      <c r="AF7" s="6"/>
      <c r="AG7" s="6">
        <f t="shared" si="0"/>
        <v>7.9839999999999991</v>
      </c>
      <c r="AH7" s="459">
        <f t="shared" si="1"/>
        <v>0.31823979591836732</v>
      </c>
    </row>
    <row r="8" spans="1:35">
      <c r="A8" s="441" t="s">
        <v>198</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0"/>
        <v>0</v>
      </c>
      <c r="AH8" s="459">
        <f t="shared" si="1"/>
        <v>0</v>
      </c>
    </row>
    <row r="9" spans="1:35">
      <c r="A9" s="439" t="s">
        <v>199</v>
      </c>
      <c r="B9" s="6"/>
      <c r="C9" s="6"/>
      <c r="D9" s="6"/>
      <c r="E9" s="6"/>
      <c r="F9" s="6"/>
      <c r="G9" s="6"/>
      <c r="H9" s="6"/>
      <c r="I9" s="6"/>
      <c r="J9" s="6"/>
      <c r="K9" s="6"/>
      <c r="L9" s="6"/>
      <c r="M9" s="6"/>
      <c r="N9" s="6"/>
      <c r="O9" s="7"/>
      <c r="P9" s="6"/>
      <c r="Q9" s="6"/>
      <c r="R9" s="6"/>
      <c r="S9" s="6"/>
      <c r="T9" s="6"/>
      <c r="U9" s="6"/>
      <c r="V9" s="6"/>
      <c r="W9" s="6"/>
      <c r="X9" s="6"/>
      <c r="Y9" s="6">
        <v>0.3</v>
      </c>
      <c r="Z9" s="6"/>
      <c r="AA9" s="6"/>
      <c r="AB9" s="6"/>
      <c r="AC9" s="6"/>
      <c r="AD9" s="6"/>
      <c r="AE9" s="6"/>
      <c r="AF9" s="6"/>
      <c r="AG9" s="6">
        <f t="shared" si="0"/>
        <v>0.3</v>
      </c>
      <c r="AH9" s="459">
        <f t="shared" si="1"/>
        <v>1.1957908163265306E-2</v>
      </c>
    </row>
    <row r="10" spans="1:35">
      <c r="A10" s="439" t="s">
        <v>200</v>
      </c>
      <c r="B10" s="6"/>
      <c r="C10" s="6"/>
      <c r="D10" s="6"/>
      <c r="E10" s="6"/>
      <c r="F10" s="6"/>
      <c r="G10" s="6"/>
      <c r="H10" s="6"/>
      <c r="I10" s="6"/>
      <c r="J10" s="6"/>
      <c r="K10" s="6"/>
      <c r="L10" s="6"/>
      <c r="M10" s="6"/>
      <c r="N10" s="6"/>
      <c r="O10" s="6"/>
      <c r="P10" s="6"/>
      <c r="Q10" s="6"/>
      <c r="R10" s="6"/>
      <c r="S10" s="6"/>
      <c r="T10" s="6"/>
      <c r="U10" s="6"/>
      <c r="V10" s="6"/>
      <c r="W10" s="6"/>
      <c r="X10" s="6">
        <v>0.47</v>
      </c>
      <c r="Y10" s="6"/>
      <c r="Z10" s="6"/>
      <c r="AA10" s="6">
        <v>0.46800000000000003</v>
      </c>
      <c r="AB10" s="6"/>
      <c r="AC10" s="6"/>
      <c r="AD10" s="6"/>
      <c r="AE10" s="6"/>
      <c r="AF10" s="6"/>
      <c r="AG10" s="6">
        <f t="shared" si="0"/>
        <v>0.93799999999999994</v>
      </c>
      <c r="AH10" s="459">
        <f t="shared" si="1"/>
        <v>3.7388392857142856E-2</v>
      </c>
    </row>
    <row r="11" spans="1:35">
      <c r="A11" s="439" t="s">
        <v>201</v>
      </c>
      <c r="B11" s="6"/>
      <c r="C11" s="6"/>
      <c r="D11" s="6"/>
      <c r="E11" s="6"/>
      <c r="F11" s="6"/>
      <c r="G11" s="6"/>
      <c r="H11" s="6"/>
      <c r="I11" s="6"/>
      <c r="J11" s="6"/>
      <c r="K11" s="6"/>
      <c r="L11" s="6"/>
      <c r="M11" s="6"/>
      <c r="N11" s="6"/>
      <c r="O11" s="6"/>
      <c r="P11" s="6"/>
      <c r="Q11" s="6">
        <v>1.08</v>
      </c>
      <c r="R11" s="6"/>
      <c r="S11" s="6">
        <v>0.18099999999999999</v>
      </c>
      <c r="T11" s="6"/>
      <c r="U11" s="6">
        <v>0.24099999999999999</v>
      </c>
      <c r="V11" s="6">
        <v>0.16800000000000001</v>
      </c>
      <c r="W11" s="6">
        <v>0.27</v>
      </c>
      <c r="X11" s="6"/>
      <c r="Y11" s="6"/>
      <c r="Z11" s="6"/>
      <c r="AA11" s="6"/>
      <c r="AB11" s="6">
        <v>0.20200000000000001</v>
      </c>
      <c r="AC11" s="6">
        <v>0.32100000000000001</v>
      </c>
      <c r="AD11" s="6"/>
      <c r="AE11" s="6">
        <f>360/1000</f>
        <v>0.36</v>
      </c>
      <c r="AF11" s="6"/>
      <c r="AG11" s="6">
        <f t="shared" si="0"/>
        <v>2.4630000000000005</v>
      </c>
      <c r="AH11" s="459">
        <f t="shared" si="1"/>
        <v>9.8174426020408184E-2</v>
      </c>
    </row>
    <row r="12" spans="1:35">
      <c r="A12" s="439" t="s">
        <v>202</v>
      </c>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v>0.53500000000000003</v>
      </c>
      <c r="AD12" s="6"/>
      <c r="AE12" s="6"/>
      <c r="AF12" s="6"/>
      <c r="AG12" s="6">
        <f t="shared" si="0"/>
        <v>0.53500000000000003</v>
      </c>
      <c r="AH12" s="459">
        <f t="shared" si="1"/>
        <v>2.1324936224489797E-2</v>
      </c>
    </row>
    <row r="13" spans="1:35">
      <c r="A13" s="439" t="s">
        <v>203</v>
      </c>
      <c r="B13" s="6"/>
      <c r="C13" s="6"/>
      <c r="D13" s="6"/>
      <c r="E13" s="6"/>
      <c r="F13" s="6"/>
      <c r="G13" s="6"/>
      <c r="H13" s="6"/>
      <c r="I13" s="6"/>
      <c r="J13" s="6"/>
      <c r="K13" s="6"/>
      <c r="L13" s="6"/>
      <c r="M13" s="6"/>
      <c r="N13" s="6"/>
      <c r="O13" s="6"/>
      <c r="P13" s="6"/>
      <c r="Q13" s="6"/>
      <c r="R13" s="6">
        <v>0.83099999999999996</v>
      </c>
      <c r="S13" s="6"/>
      <c r="T13" s="6"/>
      <c r="U13" s="6"/>
      <c r="V13" s="6"/>
      <c r="W13" s="6"/>
      <c r="X13" s="6"/>
      <c r="Y13" s="6"/>
      <c r="Z13" s="6">
        <v>0.75</v>
      </c>
      <c r="AA13" s="6"/>
      <c r="AB13" s="440"/>
      <c r="AC13" s="6"/>
      <c r="AD13" s="6"/>
      <c r="AE13" s="6"/>
      <c r="AF13" s="6"/>
      <c r="AG13" s="6">
        <f t="shared" si="0"/>
        <v>1.581</v>
      </c>
      <c r="AH13" s="459">
        <f t="shared" si="1"/>
        <v>6.3018176020408156E-2</v>
      </c>
    </row>
    <row r="14" spans="1:35">
      <c r="A14" s="439" t="s">
        <v>204</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0"/>
        <v>0</v>
      </c>
      <c r="AH14" s="459">
        <f t="shared" si="1"/>
        <v>0</v>
      </c>
    </row>
    <row r="15" spans="1:35">
      <c r="A15" s="439" t="s">
        <v>274</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0"/>
        <v>0</v>
      </c>
      <c r="AH15" s="459">
        <f t="shared" si="1"/>
        <v>0</v>
      </c>
    </row>
    <row r="16" spans="1:35">
      <c r="A16" s="439" t="s">
        <v>275</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0"/>
        <v>0</v>
      </c>
      <c r="AH16" s="459">
        <f t="shared" si="1"/>
        <v>0</v>
      </c>
    </row>
    <row r="17" spans="1:34">
      <c r="A17" s="439" t="s">
        <v>205</v>
      </c>
      <c r="B17" s="6"/>
      <c r="C17" s="6"/>
      <c r="D17" s="6"/>
      <c r="E17" s="6"/>
      <c r="F17" s="6"/>
      <c r="G17" s="6"/>
      <c r="H17" s="6"/>
      <c r="I17" s="6"/>
      <c r="J17" s="6"/>
      <c r="K17" s="6"/>
      <c r="L17" s="6"/>
      <c r="M17" s="6"/>
      <c r="N17" s="6"/>
      <c r="O17" s="6"/>
      <c r="P17" s="6"/>
      <c r="Q17" s="6"/>
      <c r="R17" s="6"/>
      <c r="S17" s="6">
        <v>0.41</v>
      </c>
      <c r="T17" s="6"/>
      <c r="U17" s="6"/>
      <c r="V17" s="6">
        <v>0.20499999999999999</v>
      </c>
      <c r="W17" s="6"/>
      <c r="X17" s="6"/>
      <c r="Y17" s="6"/>
      <c r="Z17" s="6"/>
      <c r="AA17" s="6"/>
      <c r="AB17" s="6"/>
      <c r="AC17" s="6"/>
      <c r="AD17" s="6"/>
      <c r="AE17" s="6"/>
      <c r="AF17" s="6"/>
      <c r="AG17" s="6">
        <f t="shared" si="0"/>
        <v>0.61499999999999999</v>
      </c>
      <c r="AH17" s="459">
        <f t="shared" si="1"/>
        <v>2.4513711734693876E-2</v>
      </c>
    </row>
    <row r="18" spans="1:34">
      <c r="A18" s="439" t="s">
        <v>206</v>
      </c>
      <c r="B18" s="6"/>
      <c r="C18" s="6"/>
      <c r="D18" s="6"/>
      <c r="E18" s="6"/>
      <c r="F18" s="6"/>
      <c r="G18" s="6"/>
      <c r="H18" s="6"/>
      <c r="I18" s="6"/>
      <c r="J18" s="6"/>
      <c r="K18" s="6"/>
      <c r="L18" s="6"/>
      <c r="M18" s="6"/>
      <c r="N18" s="6"/>
      <c r="O18" s="440"/>
      <c r="P18" s="6"/>
      <c r="Q18" s="6"/>
      <c r="R18" s="6"/>
      <c r="S18" s="6"/>
      <c r="T18" s="6"/>
      <c r="U18" s="6"/>
      <c r="V18" s="6"/>
      <c r="W18" s="6"/>
      <c r="X18" s="6"/>
      <c r="Y18" s="6"/>
      <c r="Z18" s="6">
        <v>0.47699999999999998</v>
      </c>
      <c r="AA18" s="6"/>
      <c r="AB18" s="6"/>
      <c r="AC18" s="6"/>
      <c r="AD18" s="6"/>
      <c r="AE18" s="6"/>
      <c r="AF18" s="6"/>
      <c r="AG18" s="6">
        <f t="shared" si="0"/>
        <v>0.47699999999999998</v>
      </c>
      <c r="AH18" s="459">
        <f t="shared" si="1"/>
        <v>1.9013073979591837E-2</v>
      </c>
    </row>
    <row r="19" spans="1:34">
      <c r="A19" s="439" t="s">
        <v>276</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0"/>
        <v>0</v>
      </c>
      <c r="AH19" s="459">
        <f t="shared" si="1"/>
        <v>0</v>
      </c>
    </row>
    <row r="20" spans="1:34">
      <c r="A20" s="439" t="s">
        <v>277</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0"/>
        <v>0</v>
      </c>
      <c r="AH20" s="459">
        <f t="shared" si="1"/>
        <v>0</v>
      </c>
    </row>
    <row r="21" spans="1:34">
      <c r="A21" s="439" t="s">
        <v>207</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0"/>
        <v>0</v>
      </c>
      <c r="AH21" s="459">
        <f t="shared" si="1"/>
        <v>0</v>
      </c>
    </row>
    <row r="22" spans="1:34">
      <c r="A22" s="439" t="s">
        <v>284</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0"/>
        <v>0</v>
      </c>
      <c r="AH22" s="459">
        <f t="shared" si="1"/>
        <v>0</v>
      </c>
    </row>
    <row r="23" spans="1:34">
      <c r="A23" s="439" t="s">
        <v>208</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0"/>
        <v>0</v>
      </c>
      <c r="AH23" s="459">
        <f t="shared" si="1"/>
        <v>0</v>
      </c>
    </row>
    <row r="24" spans="1:34">
      <c r="A24" s="439" t="s">
        <v>278</v>
      </c>
      <c r="B24" s="6"/>
      <c r="C24" s="6"/>
      <c r="D24" s="6"/>
      <c r="E24" s="6"/>
      <c r="F24" s="6"/>
      <c r="G24" s="6"/>
      <c r="H24" s="6"/>
      <c r="I24" s="6"/>
      <c r="J24" s="6"/>
      <c r="K24" s="6"/>
      <c r="L24" s="6"/>
      <c r="M24" s="6"/>
      <c r="N24" s="6"/>
      <c r="O24" s="6"/>
      <c r="P24" s="6"/>
      <c r="Q24" s="6"/>
      <c r="R24" s="6"/>
      <c r="S24" s="6"/>
      <c r="T24" s="6"/>
      <c r="U24" s="6"/>
      <c r="V24" s="6">
        <v>0.1</v>
      </c>
      <c r="W24" s="6"/>
      <c r="X24" s="6"/>
      <c r="Y24" s="6"/>
      <c r="Z24" s="6"/>
      <c r="AA24" s="6"/>
      <c r="AB24" s="6"/>
      <c r="AC24" s="6"/>
      <c r="AD24" s="6"/>
      <c r="AE24" s="6"/>
      <c r="AF24" s="6"/>
      <c r="AG24" s="6">
        <f t="shared" si="0"/>
        <v>0.1</v>
      </c>
      <c r="AH24" s="459">
        <f t="shared" si="1"/>
        <v>3.9859693877551021E-3</v>
      </c>
    </row>
    <row r="25" spans="1:34">
      <c r="A25" s="439" t="s">
        <v>209</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0"/>
        <v>0</v>
      </c>
      <c r="AH25" s="459">
        <f t="shared" si="1"/>
        <v>0</v>
      </c>
    </row>
    <row r="26" spans="1:34">
      <c r="A26" s="439" t="s">
        <v>210</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0"/>
        <v>0</v>
      </c>
      <c r="AH26" s="459">
        <f t="shared" si="1"/>
        <v>0</v>
      </c>
    </row>
    <row r="27" spans="1:34">
      <c r="A27" s="439" t="s">
        <v>211</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0"/>
        <v>0</v>
      </c>
      <c r="AH27" s="459">
        <f t="shared" si="1"/>
        <v>0</v>
      </c>
    </row>
    <row r="28" spans="1:34">
      <c r="A28" s="439" t="s">
        <v>212</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0"/>
        <v>0</v>
      </c>
      <c r="AH28" s="459">
        <f t="shared" si="1"/>
        <v>0</v>
      </c>
    </row>
    <row r="29" spans="1:34">
      <c r="A29" s="439" t="s">
        <v>279</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0"/>
        <v>0</v>
      </c>
      <c r="AH29" s="459">
        <f t="shared" si="1"/>
        <v>0</v>
      </c>
    </row>
    <row r="30" spans="1:34">
      <c r="A30" s="439" t="s">
        <v>280</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0"/>
        <v>0</v>
      </c>
      <c r="AH30" s="459">
        <f t="shared" si="1"/>
        <v>0</v>
      </c>
    </row>
    <row r="31" spans="1:34">
      <c r="A31" s="439" t="s">
        <v>213</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0"/>
        <v>0</v>
      </c>
      <c r="AH31" s="459">
        <f t="shared" si="1"/>
        <v>0</v>
      </c>
    </row>
    <row r="32" spans="1:34">
      <c r="A32" s="439" t="s">
        <v>214</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0"/>
        <v>0</v>
      </c>
      <c r="AH32" s="459">
        <f t="shared" si="1"/>
        <v>0</v>
      </c>
    </row>
    <row r="33" spans="1:34">
      <c r="A33" s="439" t="s">
        <v>215</v>
      </c>
      <c r="B33" s="6"/>
      <c r="C33" s="6"/>
      <c r="D33" s="6"/>
      <c r="E33" s="6"/>
      <c r="F33" s="6"/>
      <c r="G33" s="6"/>
      <c r="H33" s="6"/>
      <c r="I33" s="6"/>
      <c r="J33" s="6"/>
      <c r="K33" s="6"/>
      <c r="L33" s="6"/>
      <c r="M33" s="6"/>
      <c r="N33" s="6"/>
      <c r="O33" s="6"/>
      <c r="P33" s="6"/>
      <c r="Q33" s="6"/>
      <c r="R33" s="6"/>
      <c r="S33" s="6"/>
      <c r="T33" s="6"/>
      <c r="U33" s="6"/>
      <c r="V33" s="6"/>
      <c r="W33" s="6"/>
      <c r="X33" s="6"/>
      <c r="Y33" s="6"/>
      <c r="Z33" s="6"/>
      <c r="AA33" s="6"/>
      <c r="AB33" s="6">
        <v>0.51800000000000002</v>
      </c>
      <c r="AC33" s="6"/>
      <c r="AD33" s="6"/>
      <c r="AE33" s="6"/>
      <c r="AF33" s="6"/>
      <c r="AG33" s="6">
        <f t="shared" si="0"/>
        <v>0.51800000000000002</v>
      </c>
      <c r="AH33" s="459">
        <f t="shared" si="1"/>
        <v>2.0647321428571428E-2</v>
      </c>
    </row>
    <row r="34" spans="1:34">
      <c r="A34" s="442" t="s">
        <v>216</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0"/>
        <v>0</v>
      </c>
      <c r="AH34" s="459">
        <f t="shared" si="1"/>
        <v>0</v>
      </c>
    </row>
    <row r="35" spans="1:34">
      <c r="A35" s="442" t="s">
        <v>217</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0"/>
        <v>0</v>
      </c>
      <c r="AH35" s="459">
        <f t="shared" si="1"/>
        <v>0</v>
      </c>
    </row>
    <row r="36" spans="1:34">
      <c r="A36" s="442" t="s">
        <v>625</v>
      </c>
      <c r="B36" s="6"/>
      <c r="C36" s="6"/>
      <c r="D36" s="6"/>
      <c r="E36" s="6"/>
      <c r="F36" s="6"/>
      <c r="G36" s="6"/>
      <c r="H36" s="6"/>
      <c r="I36" s="6"/>
      <c r="J36" s="6"/>
      <c r="K36" s="6"/>
      <c r="L36" s="6"/>
      <c r="M36" s="6"/>
      <c r="N36" s="6"/>
      <c r="O36" s="6"/>
      <c r="P36" s="6"/>
      <c r="Q36" s="6"/>
      <c r="R36" s="6"/>
      <c r="S36" s="6"/>
      <c r="T36" s="6"/>
      <c r="U36" s="6"/>
      <c r="V36" s="6"/>
      <c r="W36" s="6"/>
      <c r="X36" s="6"/>
      <c r="Y36" s="6"/>
      <c r="Z36" s="6"/>
      <c r="AA36" s="6">
        <v>0.82</v>
      </c>
      <c r="AB36" s="6"/>
      <c r="AC36" s="6"/>
      <c r="AD36" s="6"/>
      <c r="AE36" s="6"/>
      <c r="AF36" s="6"/>
      <c r="AG36" s="6">
        <f t="shared" si="0"/>
        <v>0.82</v>
      </c>
      <c r="AH36" s="459">
        <f t="shared" si="1"/>
        <v>3.2684948979591837E-2</v>
      </c>
    </row>
    <row r="37" spans="1:34">
      <c r="A37" s="442" t="s">
        <v>378</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0"/>
        <v>0</v>
      </c>
      <c r="AH37" s="459">
        <f>+AG37/$AG$39</f>
        <v>0</v>
      </c>
    </row>
    <row r="38" spans="1:34">
      <c r="A38" s="490" t="s">
        <v>281</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91">
        <f>+AG39/Efficiency1!$K$168</f>
        <v>1.8808083436347781E-2</v>
      </c>
    </row>
    <row r="39" spans="1:34">
      <c r="A39" s="442" t="s">
        <v>2</v>
      </c>
      <c r="B39" s="6">
        <f>SUM(B3:B37)</f>
        <v>0</v>
      </c>
      <c r="C39" s="6">
        <f t="shared" ref="C39:AC39" si="2">SUM(C3:C37)</f>
        <v>0</v>
      </c>
      <c r="D39" s="6">
        <f t="shared" si="2"/>
        <v>0</v>
      </c>
      <c r="E39" s="6">
        <f t="shared" si="2"/>
        <v>0</v>
      </c>
      <c r="F39" s="6">
        <f>SUM(F3:F37)</f>
        <v>0</v>
      </c>
      <c r="G39" s="6">
        <f>SUM(G3:G37)</f>
        <v>0</v>
      </c>
      <c r="H39" s="6">
        <f t="shared" si="2"/>
        <v>0</v>
      </c>
      <c r="I39" s="6">
        <f t="shared" si="2"/>
        <v>0</v>
      </c>
      <c r="J39" s="6">
        <f t="shared" si="2"/>
        <v>0</v>
      </c>
      <c r="K39" s="6">
        <f t="shared" si="2"/>
        <v>0</v>
      </c>
      <c r="L39" s="6">
        <f t="shared" si="2"/>
        <v>0</v>
      </c>
      <c r="M39" s="6">
        <f t="shared" si="2"/>
        <v>0</v>
      </c>
      <c r="N39" s="6">
        <f t="shared" si="2"/>
        <v>0</v>
      </c>
      <c r="O39" s="7">
        <f t="shared" si="2"/>
        <v>0</v>
      </c>
      <c r="P39" s="6">
        <f t="shared" si="2"/>
        <v>0</v>
      </c>
      <c r="Q39" s="6">
        <f t="shared" si="2"/>
        <v>3.875</v>
      </c>
      <c r="R39" s="6">
        <f>SUM(R3:R37)</f>
        <v>8.5860000000000003</v>
      </c>
      <c r="S39" s="6">
        <f t="shared" si="2"/>
        <v>2.6909999999999998</v>
      </c>
      <c r="T39" s="6">
        <f t="shared" si="2"/>
        <v>1.2190000000000001</v>
      </c>
      <c r="U39" s="6">
        <f t="shared" si="2"/>
        <v>8.6760000000000002</v>
      </c>
      <c r="V39" s="6">
        <f t="shared" si="2"/>
        <v>5.3330000000000002</v>
      </c>
      <c r="W39" s="6">
        <f t="shared" si="2"/>
        <v>6.1679999999999993</v>
      </c>
      <c r="X39" s="6">
        <f t="shared" si="2"/>
        <v>6.2850000000000001</v>
      </c>
      <c r="Y39" s="6">
        <f t="shared" si="2"/>
        <v>5.8729999999999993</v>
      </c>
      <c r="Z39" s="6">
        <f t="shared" si="2"/>
        <v>6.7060000000000004</v>
      </c>
      <c r="AA39" s="6">
        <f t="shared" si="2"/>
        <v>6.6230000000000002</v>
      </c>
      <c r="AB39" s="6">
        <f t="shared" si="2"/>
        <v>5.3699999999999992</v>
      </c>
      <c r="AC39" s="6">
        <f t="shared" si="2"/>
        <v>5.0459999999999994</v>
      </c>
      <c r="AD39" s="6">
        <f>SUM(AD3:AD37)</f>
        <v>5.2809999999999997</v>
      </c>
      <c r="AE39" s="6">
        <f t="shared" ref="AE39:AF39" si="3">SUM(AE3:AE37)</f>
        <v>5.5340000000000007</v>
      </c>
      <c r="AF39" s="6">
        <f t="shared" si="3"/>
        <v>0</v>
      </c>
      <c r="AG39" s="17">
        <f>SUM(AG6:AG38)</f>
        <v>25.088000000000001</v>
      </c>
      <c r="AH39" s="460">
        <f>SUM(AH6:AH37)</f>
        <v>0.99999999999999989</v>
      </c>
    </row>
  </sheetData>
  <mergeCells count="1">
    <mergeCell ref="AI3:AI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5"/>
  <sheetViews>
    <sheetView zoomScale="85" workbookViewId="0">
      <pane xSplit="5" ySplit="9" topLeftCell="F10" activePane="bottomRight" state="frozen"/>
      <selection activeCell="DK16" sqref="DK16"/>
      <selection pane="topRight" activeCell="DK16" sqref="DK16"/>
      <selection pane="bottomLeft" activeCell="DK16" sqref="DK16"/>
      <selection pane="bottomRight" activeCell="AM20" sqref="AM20"/>
    </sheetView>
  </sheetViews>
  <sheetFormatPr defaultColWidth="9.140625" defaultRowHeight="12.75"/>
  <cols>
    <col min="1" max="1" width="8"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3.140625" bestFit="1" customWidth="1"/>
    <col min="20" max="20" width="8.28515625" bestFit="1" customWidth="1"/>
    <col min="21" max="21" width="14.42578125" bestFit="1" customWidth="1"/>
    <col min="22" max="22" width="8" customWidth="1"/>
    <col min="23" max="23" width="12.7109375" hidden="1" customWidth="1"/>
    <col min="24" max="24" width="8.7109375" hidden="1" customWidth="1"/>
    <col min="25" max="25" width="12.140625" hidden="1" customWidth="1"/>
    <col min="26" max="26" width="21.42578125" hidden="1" customWidth="1"/>
    <col min="27" max="27" width="17.7109375" hidden="1" customWidth="1"/>
    <col min="28" max="28" width="12.28515625" hidden="1" customWidth="1"/>
    <col min="29" max="29" width="14.42578125" hidden="1" customWidth="1"/>
    <col min="30" max="30" width="9.42578125" hidden="1" customWidth="1"/>
    <col min="31" max="31" width="17.7109375" hidden="1" customWidth="1"/>
    <col min="32" max="32" width="9.28515625" hidden="1" customWidth="1"/>
    <col min="33" max="33" width="14.42578125" hidden="1" customWidth="1"/>
    <col min="34" max="34" width="8.140625" hidden="1" customWidth="1"/>
    <col min="35" max="35" width="11.42578125" hidden="1" customWidth="1"/>
    <col min="36" max="36" width="8.5703125" hidden="1" customWidth="1"/>
    <col min="37" max="37" width="11.42578125" hidden="1" customWidth="1"/>
    <col min="38" max="38" width="8" hidden="1" customWidth="1"/>
    <col min="39" max="39" width="13.7109375" customWidth="1"/>
    <col min="40" max="40" width="8.140625" customWidth="1"/>
    <col min="41" max="41" width="13.140625" bestFit="1" customWidth="1"/>
    <col min="42" max="42" width="8.140625" customWidth="1"/>
    <col min="43" max="43" width="12.140625" hidden="1" customWidth="1"/>
    <col min="44" max="44" width="7.7109375" hidden="1" customWidth="1"/>
    <col min="45" max="45" width="12.140625" hidden="1" customWidth="1"/>
    <col min="46" max="46" width="7.7109375" hidden="1" customWidth="1"/>
    <col min="47" max="47" width="13.28515625" hidden="1" customWidth="1"/>
    <col min="48" max="48" width="8.85546875" hidden="1" customWidth="1"/>
    <col min="49" max="49" width="15.28515625" hidden="1" customWidth="1"/>
    <col min="50" max="50" width="7.7109375" hidden="1" customWidth="1"/>
    <col min="51" max="51" width="10.28515625" hidden="1" customWidth="1"/>
    <col min="52" max="52" width="8.140625" hidden="1" customWidth="1"/>
    <col min="53" max="53" width="11.42578125" hidden="1" customWidth="1"/>
    <col min="54" max="54" width="7.7109375" hidden="1" customWidth="1"/>
    <col min="55" max="55" width="17.7109375" hidden="1" customWidth="1"/>
    <col min="56" max="56" width="9.28515625" hidden="1" customWidth="1"/>
    <col min="57" max="57" width="14.42578125" hidden="1" customWidth="1"/>
    <col min="58" max="58" width="10" hidden="1" customWidth="1"/>
    <col min="59" max="59" width="15.42578125" hidden="1" customWidth="1"/>
    <col min="60" max="60" width="8.7109375" hidden="1" customWidth="1"/>
    <col min="61" max="61" width="12.85546875" hidden="1" customWidth="1"/>
    <col min="62" max="62" width="8.42578125" hidden="1" customWidth="1"/>
    <col min="63" max="63" width="17.7109375" bestFit="1" customWidth="1"/>
    <col min="64" max="64" width="14.42578125" bestFit="1" customWidth="1"/>
    <col min="65" max="65" width="8.85546875" bestFit="1" customWidth="1"/>
    <col min="66" max="66" width="10.28515625" bestFit="1" customWidth="1"/>
    <col min="67" max="67" width="13.28515625" bestFit="1" customWidth="1"/>
    <col min="68" max="68" width="10.42578125" bestFit="1" customWidth="1"/>
    <col min="70" max="70" width="15.42578125" bestFit="1" customWidth="1"/>
    <col min="71" max="71" width="10.42578125" bestFit="1" customWidth="1"/>
    <col min="74" max="74" width="10.42578125" bestFit="1" customWidth="1"/>
  </cols>
  <sheetData>
    <row r="1" spans="1:66" ht="15.75">
      <c r="A1" s="148"/>
      <c r="AE1" s="251"/>
    </row>
    <row r="2" spans="1:66" ht="15.75">
      <c r="A2" s="148"/>
      <c r="AE2" s="251"/>
      <c r="AI2" s="19"/>
    </row>
    <row r="3" spans="1:66" ht="15">
      <c r="A3" s="150"/>
      <c r="AE3" s="251"/>
    </row>
    <row r="4" spans="1:66" ht="15.75">
      <c r="A4" s="151" t="s">
        <v>286</v>
      </c>
      <c r="G4" s="14"/>
      <c r="AA4" s="14"/>
      <c r="AE4" s="251"/>
      <c r="AV4" s="19"/>
    </row>
    <row r="5" spans="1:66" ht="15.75">
      <c r="A5" s="151"/>
      <c r="G5" s="14"/>
      <c r="AA5" s="14"/>
      <c r="AE5" s="14"/>
    </row>
    <row r="6" spans="1:66" ht="18">
      <c r="A6" s="252"/>
      <c r="AA6" s="14"/>
      <c r="AE6" s="14"/>
      <c r="BD6" s="14"/>
      <c r="BE6" s="14"/>
      <c r="BF6" s="14"/>
      <c r="BL6" s="14"/>
    </row>
    <row r="7" spans="1:66" ht="16.5" thickBot="1">
      <c r="A7" s="253"/>
      <c r="B7" s="253"/>
      <c r="C7" s="253"/>
      <c r="D7" s="253"/>
      <c r="E7" s="253"/>
      <c r="F7" s="253"/>
      <c r="G7" s="253">
        <v>250</v>
      </c>
      <c r="K7">
        <v>214.10599999999999</v>
      </c>
      <c r="S7" s="253"/>
      <c r="T7" s="253"/>
      <c r="U7" s="254"/>
      <c r="V7" s="254"/>
      <c r="W7" s="253">
        <v>248.881</v>
      </c>
      <c r="X7" s="253"/>
      <c r="Y7" s="253"/>
      <c r="Z7" s="253"/>
      <c r="AA7" s="445">
        <v>251.53399999999999</v>
      </c>
      <c r="AB7" s="253"/>
      <c r="AC7" s="253"/>
      <c r="AD7" s="253"/>
      <c r="AE7" s="445">
        <v>266.661</v>
      </c>
      <c r="AF7" s="253"/>
      <c r="AG7" s="253"/>
      <c r="AH7" s="253"/>
      <c r="AI7" s="253">
        <v>238.345</v>
      </c>
      <c r="AJ7" s="253"/>
      <c r="AK7" s="253"/>
      <c r="AL7" s="253"/>
      <c r="AM7" s="253"/>
      <c r="AN7" s="253"/>
      <c r="AO7" s="253"/>
      <c r="AP7" s="253"/>
      <c r="AQ7" s="253">
        <v>244.68</v>
      </c>
      <c r="AR7" s="253"/>
      <c r="AS7" s="253"/>
      <c r="AT7" s="253"/>
      <c r="AU7" s="253"/>
      <c r="AV7" s="253"/>
      <c r="AW7" s="253"/>
      <c r="AX7" s="253"/>
      <c r="AY7" s="253"/>
      <c r="AZ7" s="253"/>
      <c r="BA7" s="253"/>
      <c r="BB7" s="253"/>
      <c r="BC7" s="254"/>
      <c r="BD7" s="254"/>
      <c r="BE7" s="253"/>
      <c r="BF7" s="253"/>
      <c r="BG7" s="253"/>
      <c r="BH7" s="253"/>
      <c r="BI7" s="253"/>
      <c r="BJ7" s="253"/>
      <c r="BK7" s="253"/>
      <c r="BL7" s="253"/>
      <c r="BM7" s="253"/>
      <c r="BN7" s="253"/>
    </row>
    <row r="8" spans="1:66" ht="38.25" customHeight="1" thickTop="1">
      <c r="A8" s="543" t="s">
        <v>28</v>
      </c>
      <c r="B8" s="543" t="s">
        <v>4</v>
      </c>
      <c r="C8" s="543" t="s">
        <v>5</v>
      </c>
      <c r="D8" s="545" t="s">
        <v>40</v>
      </c>
      <c r="E8" s="547" t="s">
        <v>38</v>
      </c>
      <c r="F8" s="548"/>
      <c r="G8" s="739" t="s">
        <v>376</v>
      </c>
      <c r="H8" s="740"/>
      <c r="I8" s="740"/>
      <c r="J8" s="741"/>
      <c r="K8" s="739" t="s">
        <v>484</v>
      </c>
      <c r="L8" s="740"/>
      <c r="M8" s="740"/>
      <c r="N8" s="741"/>
      <c r="O8" s="739" t="s">
        <v>41</v>
      </c>
      <c r="P8" s="740"/>
      <c r="Q8" s="740"/>
      <c r="R8" s="741"/>
      <c r="S8" s="739" t="s">
        <v>42</v>
      </c>
      <c r="T8" s="740"/>
      <c r="U8" s="740"/>
      <c r="V8" s="741"/>
      <c r="W8" s="739" t="s">
        <v>390</v>
      </c>
      <c r="X8" s="740"/>
      <c r="Y8" s="740"/>
      <c r="Z8" s="741"/>
      <c r="AA8" s="739" t="s">
        <v>465</v>
      </c>
      <c r="AB8" s="740"/>
      <c r="AC8" s="740"/>
      <c r="AD8" s="741"/>
      <c r="AE8" s="739" t="s">
        <v>483</v>
      </c>
      <c r="AF8" s="740"/>
      <c r="AG8" s="740"/>
      <c r="AH8" s="741"/>
      <c r="AI8" s="739" t="s">
        <v>380</v>
      </c>
      <c r="AJ8" s="740"/>
      <c r="AK8" s="740"/>
      <c r="AL8" s="741"/>
      <c r="AM8" s="739" t="s">
        <v>89</v>
      </c>
      <c r="AN8" s="740"/>
      <c r="AO8" s="740"/>
      <c r="AP8" s="741"/>
      <c r="AQ8" s="539" t="s">
        <v>43</v>
      </c>
      <c r="AR8" s="540"/>
      <c r="AS8" s="540"/>
      <c r="AT8" s="541"/>
      <c r="AU8" s="539" t="s">
        <v>145</v>
      </c>
      <c r="AV8" s="540"/>
      <c r="AW8" s="540"/>
      <c r="AX8" s="541"/>
      <c r="AY8" s="539" t="s">
        <v>146</v>
      </c>
      <c r="AZ8" s="540"/>
      <c r="BA8" s="540"/>
      <c r="BB8" s="541"/>
      <c r="BC8" s="539" t="s">
        <v>89</v>
      </c>
      <c r="BD8" s="540"/>
      <c r="BE8" s="540"/>
      <c r="BF8" s="540"/>
      <c r="BG8" s="539" t="s">
        <v>44</v>
      </c>
      <c r="BH8" s="540"/>
      <c r="BI8" s="540"/>
      <c r="BJ8" s="541"/>
      <c r="BK8" s="739" t="s">
        <v>45</v>
      </c>
      <c r="BL8" s="741"/>
      <c r="BM8" s="739" t="s">
        <v>46</v>
      </c>
      <c r="BN8" s="741"/>
    </row>
    <row r="9" spans="1:66">
      <c r="A9" s="544"/>
      <c r="B9" s="544"/>
      <c r="C9" s="544"/>
      <c r="D9" s="546"/>
      <c r="E9" s="2" t="s">
        <v>36</v>
      </c>
      <c r="F9" s="542" t="s">
        <v>37</v>
      </c>
      <c r="G9" s="9" t="s">
        <v>36</v>
      </c>
      <c r="H9" s="9" t="s">
        <v>10</v>
      </c>
      <c r="I9" s="546" t="s">
        <v>37</v>
      </c>
      <c r="J9" s="546" t="s">
        <v>10</v>
      </c>
      <c r="K9" s="9" t="s">
        <v>36</v>
      </c>
      <c r="L9" s="9" t="s">
        <v>10</v>
      </c>
      <c r="M9" s="546" t="s">
        <v>37</v>
      </c>
      <c r="N9" s="546" t="s">
        <v>10</v>
      </c>
      <c r="O9" s="9" t="s">
        <v>36</v>
      </c>
      <c r="P9" s="9" t="s">
        <v>10</v>
      </c>
      <c r="Q9" s="546" t="s">
        <v>37</v>
      </c>
      <c r="R9" s="546" t="s">
        <v>10</v>
      </c>
      <c r="S9" s="546" t="s">
        <v>36</v>
      </c>
      <c r="T9" s="546" t="s">
        <v>10</v>
      </c>
      <c r="U9" s="546" t="s">
        <v>37</v>
      </c>
      <c r="V9" s="546" t="s">
        <v>10</v>
      </c>
      <c r="W9" s="546" t="s">
        <v>36</v>
      </c>
      <c r="X9" s="546" t="s">
        <v>10</v>
      </c>
      <c r="Y9" s="546" t="s">
        <v>37</v>
      </c>
      <c r="Z9" s="546" t="s">
        <v>10</v>
      </c>
      <c r="AA9" s="546" t="s">
        <v>36</v>
      </c>
      <c r="AB9" s="546" t="s">
        <v>10</v>
      </c>
      <c r="AC9" s="546" t="s">
        <v>37</v>
      </c>
      <c r="AD9" s="546" t="s">
        <v>10</v>
      </c>
      <c r="AE9" s="546" t="s">
        <v>36</v>
      </c>
      <c r="AF9" s="546" t="s">
        <v>10</v>
      </c>
      <c r="AG9" s="546" t="s">
        <v>37</v>
      </c>
      <c r="AH9" s="546" t="s">
        <v>10</v>
      </c>
      <c r="AI9" s="546" t="s">
        <v>36</v>
      </c>
      <c r="AJ9" s="546" t="s">
        <v>10</v>
      </c>
      <c r="AK9" s="546" t="s">
        <v>37</v>
      </c>
      <c r="AL9" s="546" t="s">
        <v>10</v>
      </c>
      <c r="AM9" s="546" t="s">
        <v>36</v>
      </c>
      <c r="AN9" s="546" t="s">
        <v>10</v>
      </c>
      <c r="AO9" s="546" t="s">
        <v>37</v>
      </c>
      <c r="AP9" s="546" t="s">
        <v>10</v>
      </c>
      <c r="AQ9" s="546" t="s">
        <v>36</v>
      </c>
      <c r="AR9" s="546" t="s">
        <v>10</v>
      </c>
      <c r="AS9" s="546" t="s">
        <v>37</v>
      </c>
      <c r="AT9" s="546" t="s">
        <v>10</v>
      </c>
      <c r="AU9" s="546" t="s">
        <v>36</v>
      </c>
      <c r="AV9" s="546" t="s">
        <v>10</v>
      </c>
      <c r="AW9" s="546" t="s">
        <v>37</v>
      </c>
      <c r="AX9" s="546" t="s">
        <v>10</v>
      </c>
      <c r="AY9" s="546" t="s">
        <v>36</v>
      </c>
      <c r="AZ9" s="546" t="s">
        <v>10</v>
      </c>
      <c r="BA9" s="546" t="s">
        <v>37</v>
      </c>
      <c r="BB9" s="546" t="s">
        <v>10</v>
      </c>
      <c r="BC9" s="546" t="s">
        <v>36</v>
      </c>
      <c r="BD9" s="546" t="s">
        <v>10</v>
      </c>
      <c r="BE9" s="546" t="s">
        <v>37</v>
      </c>
      <c r="BF9" s="546" t="s">
        <v>10</v>
      </c>
      <c r="BG9" s="546" t="s">
        <v>36</v>
      </c>
      <c r="BH9" s="546" t="s">
        <v>10</v>
      </c>
      <c r="BI9" s="546" t="s">
        <v>37</v>
      </c>
      <c r="BJ9" s="546" t="s">
        <v>10</v>
      </c>
      <c r="BK9" s="546" t="s">
        <v>36</v>
      </c>
      <c r="BL9" s="546" t="s">
        <v>37</v>
      </c>
      <c r="BM9" s="546" t="s">
        <v>36</v>
      </c>
      <c r="BN9" s="546" t="s">
        <v>37</v>
      </c>
    </row>
    <row r="10" spans="1:66">
      <c r="A10" s="16">
        <f>+Report1!A9</f>
        <v>45962</v>
      </c>
      <c r="B10" s="6" t="str">
        <f>+Chem!B9</f>
        <v>STOP</v>
      </c>
      <c r="C10" s="16" t="str">
        <f>+Chem!C9</f>
        <v>12</v>
      </c>
      <c r="D10" s="8">
        <f>+Chem!D9</f>
        <v>0</v>
      </c>
      <c r="E10" s="7">
        <f>+Chem!E9</f>
        <v>0</v>
      </c>
      <c r="F10" s="7">
        <f>+E10</f>
        <v>0</v>
      </c>
      <c r="G10" s="96"/>
      <c r="H10" s="10" t="e">
        <f t="shared" ref="H10:H40" si="0">G10/BK10*100</f>
        <v>#DIV/0!</v>
      </c>
      <c r="I10" s="8">
        <f>G10</f>
        <v>0</v>
      </c>
      <c r="J10" s="10" t="e">
        <f t="shared" ref="J10:J40" si="1">I10/BL10*100</f>
        <v>#DIV/0!</v>
      </c>
      <c r="K10" s="96">
        <v>0</v>
      </c>
      <c r="L10" s="10" t="e">
        <f t="shared" ref="L10:L40" si="2">+K10/BK10*100</f>
        <v>#DIV/0!</v>
      </c>
      <c r="M10" s="10">
        <f>+K10</f>
        <v>0</v>
      </c>
      <c r="N10" s="10" t="e">
        <f t="shared" ref="N10:N40" si="3">+M10/BL10*100</f>
        <v>#DIV/0!</v>
      </c>
      <c r="O10" s="96"/>
      <c r="P10" s="10" t="e">
        <f t="shared" ref="P10:P40" si="4">+O10/BK10*100</f>
        <v>#DIV/0!</v>
      </c>
      <c r="Q10" s="10">
        <f>+O10</f>
        <v>0</v>
      </c>
      <c r="R10" s="10" t="e">
        <f t="shared" ref="R10:R40" si="5">+Q10/BL10*100</f>
        <v>#DIV/0!</v>
      </c>
      <c r="S10" s="10">
        <f>G10+K10+O10</f>
        <v>0</v>
      </c>
      <c r="T10" s="10" t="e">
        <f t="shared" ref="T10:T40" si="6">S10/BK10*100</f>
        <v>#DIV/0!</v>
      </c>
      <c r="U10" s="10">
        <f>S10</f>
        <v>0</v>
      </c>
      <c r="V10" s="10" t="e">
        <f t="shared" ref="V10:V40" si="7">U10/BL10*100</f>
        <v>#DIV/0!</v>
      </c>
      <c r="W10" s="96"/>
      <c r="X10" s="10" t="e">
        <f>W10/BK10*100</f>
        <v>#DIV/0!</v>
      </c>
      <c r="Y10" s="10">
        <f>W10</f>
        <v>0</v>
      </c>
      <c r="Z10" s="10" t="e">
        <f>Y10/BL10*100</f>
        <v>#DIV/0!</v>
      </c>
      <c r="AA10" s="96"/>
      <c r="AB10" s="10" t="e">
        <f t="shared" ref="AB10:AB40" si="8">AA10/BK10*100</f>
        <v>#DIV/0!</v>
      </c>
      <c r="AC10" s="10">
        <f>AA10</f>
        <v>0</v>
      </c>
      <c r="AD10" s="10" t="e">
        <f t="shared" ref="AD10:AD40" si="9">AC10/BL10*100</f>
        <v>#DIV/0!</v>
      </c>
      <c r="AE10" s="96"/>
      <c r="AF10" s="10" t="e">
        <f t="shared" ref="AF10:AF40" si="10">AE10/BK10*100</f>
        <v>#DIV/0!</v>
      </c>
      <c r="AG10" s="10">
        <f>AE10</f>
        <v>0</v>
      </c>
      <c r="AH10" s="10" t="e">
        <f t="shared" ref="AH10:AH40" si="11">AG10/BL10*100</f>
        <v>#DIV/0!</v>
      </c>
      <c r="AI10" s="96"/>
      <c r="AJ10" s="10" t="e">
        <f t="shared" ref="AJ10:AJ40" si="12">AI10/BK10*100</f>
        <v>#DIV/0!</v>
      </c>
      <c r="AK10" s="10">
        <f>AI10</f>
        <v>0</v>
      </c>
      <c r="AL10" s="10" t="e">
        <f t="shared" ref="AL10:AL40" si="13">AK10/BL10</f>
        <v>#DIV/0!</v>
      </c>
      <c r="AM10" s="10">
        <f>AA10+AE10+AI10+W10</f>
        <v>0</v>
      </c>
      <c r="AN10" s="10" t="e">
        <f t="shared" ref="AN10:AN39" si="14">AM10/BK10*100</f>
        <v>#DIV/0!</v>
      </c>
      <c r="AO10" s="10">
        <f>AM10</f>
        <v>0</v>
      </c>
      <c r="AP10" s="10" t="e">
        <f t="shared" ref="AP10:AP39" si="15">AO10/BL10*100</f>
        <v>#DIV/0!</v>
      </c>
      <c r="AQ10" s="96"/>
      <c r="AR10" s="10" t="e">
        <f t="shared" ref="AR10:AR39" si="16">+AQ10/BK10*100</f>
        <v>#DIV/0!</v>
      </c>
      <c r="AS10" s="10">
        <f>+AQ10</f>
        <v>0</v>
      </c>
      <c r="AT10" s="10" t="e">
        <f t="shared" ref="AT10:AT39" si="17">+AS10/BL10*100</f>
        <v>#DIV/0!</v>
      </c>
      <c r="AU10" s="96">
        <f>14*AV6</f>
        <v>0</v>
      </c>
      <c r="AV10" s="10" t="e">
        <f t="shared" ref="AV10:AV39" si="18">AU10/BK10*100</f>
        <v>#DIV/0!</v>
      </c>
      <c r="AW10" s="10">
        <f>AU10</f>
        <v>0</v>
      </c>
      <c r="AX10" s="10" t="e">
        <f t="shared" ref="AX10:AX39" si="19">AW10/BL10*100</f>
        <v>#DIV/0!</v>
      </c>
      <c r="AY10" s="96"/>
      <c r="AZ10" s="15" t="e">
        <f t="shared" ref="AZ10:AZ39" si="20">AY10/BK10*100</f>
        <v>#DIV/0!</v>
      </c>
      <c r="BA10" s="10">
        <f>AY10</f>
        <v>0</v>
      </c>
      <c r="BB10" s="10" t="e">
        <f t="shared" ref="BB10:BB39" si="21">BA10/BL10*100</f>
        <v>#DIV/0!</v>
      </c>
      <c r="BC10" s="10">
        <f>AQ10+AU10+AY10</f>
        <v>0</v>
      </c>
      <c r="BD10" s="10" t="e">
        <f t="shared" ref="BD10:BD39" si="22">BC10/BK10*100</f>
        <v>#DIV/0!</v>
      </c>
      <c r="BE10" s="10">
        <f>BC10</f>
        <v>0</v>
      </c>
      <c r="BF10" s="10" t="e">
        <f t="shared" ref="BF10:BF39" si="23">BE10/BL10*100</f>
        <v>#DIV/0!</v>
      </c>
      <c r="BG10" s="96">
        <v>0</v>
      </c>
      <c r="BH10" s="10" t="e">
        <f t="shared" ref="BH10:BH39" si="24">BG10/BK10*100</f>
        <v>#DIV/0!</v>
      </c>
      <c r="BI10" s="10">
        <f>BG10</f>
        <v>0</v>
      </c>
      <c r="BJ10" s="10" t="e">
        <f t="shared" ref="BJ10:BJ39" si="25">BI10/BL10*100</f>
        <v>#DIV/0!</v>
      </c>
      <c r="BK10" s="10">
        <f t="shared" ref="BK10:BK40" si="26">S10+AM10+BC10+BG10</f>
        <v>0</v>
      </c>
      <c r="BL10" s="10">
        <f>BK10</f>
        <v>0</v>
      </c>
      <c r="BM10" s="511" t="e">
        <f t="shared" ref="BM10:BM40" si="27">BK10/1000/E10</f>
        <v>#DIV/0!</v>
      </c>
      <c r="BN10" s="10" t="e">
        <f t="shared" ref="BN10:BN40" si="28">(BL10/1000)/F10</f>
        <v>#DIV/0!</v>
      </c>
    </row>
    <row r="11" spans="1:66">
      <c r="A11" s="16">
        <f>+Report1!A10</f>
        <v>45963</v>
      </c>
      <c r="B11" s="6" t="str">
        <f>+Chem!B10</f>
        <v>STOP</v>
      </c>
      <c r="C11" s="16" t="str">
        <f>+Chem!C10</f>
        <v>12</v>
      </c>
      <c r="D11" s="8">
        <f>+Chem!D10</f>
        <v>0</v>
      </c>
      <c r="E11" s="7">
        <f>+Chem!E10</f>
        <v>0</v>
      </c>
      <c r="F11" s="7">
        <f t="shared" ref="F11:F39" si="29">+E11+F10</f>
        <v>0</v>
      </c>
      <c r="G11" s="96"/>
      <c r="H11" s="10" t="e">
        <f t="shared" si="0"/>
        <v>#DIV/0!</v>
      </c>
      <c r="I11" s="8">
        <f t="shared" ref="I11:I39" si="30">G11+I10</f>
        <v>0</v>
      </c>
      <c r="J11" s="10" t="e">
        <f t="shared" si="1"/>
        <v>#DIV/0!</v>
      </c>
      <c r="K11" s="96"/>
      <c r="L11" s="10" t="e">
        <f t="shared" si="2"/>
        <v>#DIV/0!</v>
      </c>
      <c r="M11" s="10">
        <f t="shared" ref="M11:M39" si="31">+K11+M10</f>
        <v>0</v>
      </c>
      <c r="N11" s="10" t="e">
        <f t="shared" si="3"/>
        <v>#DIV/0!</v>
      </c>
      <c r="O11" s="96"/>
      <c r="P11" s="10" t="e">
        <f t="shared" si="4"/>
        <v>#DIV/0!</v>
      </c>
      <c r="Q11" s="10">
        <f t="shared" ref="Q11:Q39" si="32">+O11+Q10</f>
        <v>0</v>
      </c>
      <c r="R11" s="10" t="e">
        <f t="shared" si="5"/>
        <v>#DIV/0!</v>
      </c>
      <c r="S11" s="10">
        <f t="shared" ref="S11:S40" si="33">G11+K11+O11</f>
        <v>0</v>
      </c>
      <c r="T11" s="10" t="e">
        <f t="shared" si="6"/>
        <v>#DIV/0!</v>
      </c>
      <c r="U11" s="10">
        <f t="shared" ref="U11:U39" si="34">S11+U10</f>
        <v>0</v>
      </c>
      <c r="V11" s="10" t="e">
        <f t="shared" si="7"/>
        <v>#DIV/0!</v>
      </c>
      <c r="W11" s="96"/>
      <c r="X11" s="10" t="e">
        <f t="shared" ref="X11:X40" si="35">W11/BK11*100</f>
        <v>#DIV/0!</v>
      </c>
      <c r="Y11" s="10">
        <f t="shared" ref="Y11:Y40" si="36">W11</f>
        <v>0</v>
      </c>
      <c r="Z11" s="10" t="e">
        <f t="shared" ref="Z11:Z40" si="37">Y11/BL11*100</f>
        <v>#DIV/0!</v>
      </c>
      <c r="AA11" s="96"/>
      <c r="AB11" s="10" t="e">
        <f t="shared" si="8"/>
        <v>#DIV/0!</v>
      </c>
      <c r="AC11" s="10">
        <f t="shared" ref="AC11:AC39" si="38">AA11+AC10</f>
        <v>0</v>
      </c>
      <c r="AD11" s="10" t="e">
        <f t="shared" si="9"/>
        <v>#DIV/0!</v>
      </c>
      <c r="AE11" s="96"/>
      <c r="AF11" s="10" t="e">
        <f t="shared" si="10"/>
        <v>#DIV/0!</v>
      </c>
      <c r="AG11" s="10">
        <f t="shared" ref="AG11:AG39" si="39">AE11+AG10</f>
        <v>0</v>
      </c>
      <c r="AH11" s="10" t="e">
        <f t="shared" si="11"/>
        <v>#DIV/0!</v>
      </c>
      <c r="AI11" s="96"/>
      <c r="AJ11" s="10" t="e">
        <f t="shared" si="12"/>
        <v>#DIV/0!</v>
      </c>
      <c r="AK11" s="10">
        <f t="shared" ref="AK11:AK39" si="40">AI11+AK10</f>
        <v>0</v>
      </c>
      <c r="AL11" s="10" t="e">
        <f t="shared" si="13"/>
        <v>#DIV/0!</v>
      </c>
      <c r="AM11" s="10">
        <f t="shared" ref="AM11:AM40" si="41">AA11+AE11+AI11+W11</f>
        <v>0</v>
      </c>
      <c r="AN11" s="10" t="e">
        <f t="shared" si="14"/>
        <v>#DIV/0!</v>
      </c>
      <c r="AO11" s="10">
        <f t="shared" ref="AO11:AO39" si="42">AM11+AO10</f>
        <v>0</v>
      </c>
      <c r="AP11" s="10" t="e">
        <f t="shared" si="15"/>
        <v>#DIV/0!</v>
      </c>
      <c r="AQ11" s="96"/>
      <c r="AR11" s="10" t="e">
        <f t="shared" si="16"/>
        <v>#DIV/0!</v>
      </c>
      <c r="AS11" s="10">
        <f t="shared" ref="AS11:AS39" si="43">+AQ11+AS10</f>
        <v>0</v>
      </c>
      <c r="AT11" s="10" t="e">
        <f t="shared" si="17"/>
        <v>#DIV/0!</v>
      </c>
      <c r="AU11" s="96"/>
      <c r="AV11" s="10" t="e">
        <f t="shared" si="18"/>
        <v>#DIV/0!</v>
      </c>
      <c r="AW11" s="10">
        <f t="shared" ref="AW11:AW39" si="44">AU11+AW10</f>
        <v>0</v>
      </c>
      <c r="AX11" s="10" t="e">
        <f t="shared" si="19"/>
        <v>#DIV/0!</v>
      </c>
      <c r="AY11" s="96"/>
      <c r="AZ11" s="15" t="e">
        <f t="shared" si="20"/>
        <v>#DIV/0!</v>
      </c>
      <c r="BA11" s="10">
        <f t="shared" ref="BA11:BA39" si="45">AY11+BA10</f>
        <v>0</v>
      </c>
      <c r="BB11" s="10" t="e">
        <f t="shared" si="21"/>
        <v>#DIV/0!</v>
      </c>
      <c r="BC11" s="10">
        <f t="shared" ref="BC11:BC39" si="46">AQ11+AU11+AY11</f>
        <v>0</v>
      </c>
      <c r="BD11" s="10" t="e">
        <f t="shared" si="22"/>
        <v>#DIV/0!</v>
      </c>
      <c r="BE11" s="10">
        <f t="shared" ref="BE11:BE39" si="47">BC11+BE10</f>
        <v>0</v>
      </c>
      <c r="BF11" s="10" t="e">
        <f t="shared" si="23"/>
        <v>#DIV/0!</v>
      </c>
      <c r="BG11" s="96">
        <v>0</v>
      </c>
      <c r="BH11" s="10" t="e">
        <f t="shared" si="24"/>
        <v>#DIV/0!</v>
      </c>
      <c r="BI11" s="10">
        <f t="shared" ref="BI11:BI39" si="48">BG11+BI10</f>
        <v>0</v>
      </c>
      <c r="BJ11" s="10" t="e">
        <f t="shared" si="25"/>
        <v>#DIV/0!</v>
      </c>
      <c r="BK11" s="10">
        <f t="shared" si="26"/>
        <v>0</v>
      </c>
      <c r="BL11" s="10">
        <f t="shared" ref="BL11:BL39" si="49">BK11+BL10</f>
        <v>0</v>
      </c>
      <c r="BM11" s="511" t="e">
        <f t="shared" si="27"/>
        <v>#DIV/0!</v>
      </c>
      <c r="BN11" s="10" t="e">
        <f t="shared" si="28"/>
        <v>#DIV/0!</v>
      </c>
    </row>
    <row r="12" spans="1:66">
      <c r="A12" s="16">
        <f>+Report1!A11</f>
        <v>45964</v>
      </c>
      <c r="B12" s="6" t="str">
        <f>+Chem!B11</f>
        <v>STOP</v>
      </c>
      <c r="C12" s="16" t="str">
        <f>+Chem!C11</f>
        <v>12</v>
      </c>
      <c r="D12" s="8">
        <f>+Chem!D11</f>
        <v>0</v>
      </c>
      <c r="E12" s="7">
        <f>+Chem!E11</f>
        <v>0</v>
      </c>
      <c r="F12" s="7">
        <f t="shared" si="29"/>
        <v>0</v>
      </c>
      <c r="G12" s="96"/>
      <c r="H12" s="10" t="e">
        <f t="shared" si="0"/>
        <v>#DIV/0!</v>
      </c>
      <c r="I12" s="8">
        <f t="shared" si="30"/>
        <v>0</v>
      </c>
      <c r="J12" s="10" t="e">
        <f t="shared" si="1"/>
        <v>#DIV/0!</v>
      </c>
      <c r="K12" s="96"/>
      <c r="L12" s="10" t="e">
        <f t="shared" si="2"/>
        <v>#DIV/0!</v>
      </c>
      <c r="M12" s="10">
        <f t="shared" si="31"/>
        <v>0</v>
      </c>
      <c r="N12" s="10" t="e">
        <f t="shared" si="3"/>
        <v>#DIV/0!</v>
      </c>
      <c r="O12" s="96"/>
      <c r="P12" s="10" t="e">
        <f t="shared" si="4"/>
        <v>#DIV/0!</v>
      </c>
      <c r="Q12" s="10">
        <f t="shared" si="32"/>
        <v>0</v>
      </c>
      <c r="R12" s="10" t="e">
        <f t="shared" si="5"/>
        <v>#DIV/0!</v>
      </c>
      <c r="S12" s="10">
        <f t="shared" si="33"/>
        <v>0</v>
      </c>
      <c r="T12" s="10" t="e">
        <f t="shared" si="6"/>
        <v>#DIV/0!</v>
      </c>
      <c r="U12" s="10">
        <f t="shared" si="34"/>
        <v>0</v>
      </c>
      <c r="V12" s="10" t="e">
        <f t="shared" si="7"/>
        <v>#DIV/0!</v>
      </c>
      <c r="W12" s="96"/>
      <c r="X12" s="10" t="e">
        <f t="shared" si="35"/>
        <v>#DIV/0!</v>
      </c>
      <c r="Y12" s="10">
        <f t="shared" si="36"/>
        <v>0</v>
      </c>
      <c r="Z12" s="10" t="e">
        <f t="shared" si="37"/>
        <v>#DIV/0!</v>
      </c>
      <c r="AA12" s="96"/>
      <c r="AB12" s="10" t="e">
        <f t="shared" si="8"/>
        <v>#DIV/0!</v>
      </c>
      <c r="AC12" s="10">
        <f t="shared" si="38"/>
        <v>0</v>
      </c>
      <c r="AD12" s="10" t="e">
        <f t="shared" si="9"/>
        <v>#DIV/0!</v>
      </c>
      <c r="AE12" s="96"/>
      <c r="AF12" s="10" t="e">
        <f t="shared" si="10"/>
        <v>#DIV/0!</v>
      </c>
      <c r="AG12" s="10">
        <f t="shared" si="39"/>
        <v>0</v>
      </c>
      <c r="AH12" s="10" t="e">
        <f t="shared" si="11"/>
        <v>#DIV/0!</v>
      </c>
      <c r="AI12" s="96"/>
      <c r="AJ12" s="10" t="e">
        <f t="shared" si="12"/>
        <v>#DIV/0!</v>
      </c>
      <c r="AK12" s="10">
        <f t="shared" si="40"/>
        <v>0</v>
      </c>
      <c r="AL12" s="10" t="e">
        <f t="shared" si="13"/>
        <v>#DIV/0!</v>
      </c>
      <c r="AM12" s="10">
        <f t="shared" si="41"/>
        <v>0</v>
      </c>
      <c r="AN12" s="10" t="e">
        <f t="shared" si="14"/>
        <v>#DIV/0!</v>
      </c>
      <c r="AO12" s="10">
        <f t="shared" si="42"/>
        <v>0</v>
      </c>
      <c r="AP12" s="10" t="e">
        <f t="shared" si="15"/>
        <v>#DIV/0!</v>
      </c>
      <c r="AQ12" s="96"/>
      <c r="AR12" s="10" t="e">
        <f t="shared" si="16"/>
        <v>#DIV/0!</v>
      </c>
      <c r="AS12" s="10">
        <f t="shared" si="43"/>
        <v>0</v>
      </c>
      <c r="AT12" s="10" t="e">
        <f t="shared" si="17"/>
        <v>#DIV/0!</v>
      </c>
      <c r="AU12" s="96"/>
      <c r="AV12" s="10" t="e">
        <f t="shared" si="18"/>
        <v>#DIV/0!</v>
      </c>
      <c r="AW12" s="10">
        <f t="shared" si="44"/>
        <v>0</v>
      </c>
      <c r="AX12" s="10" t="e">
        <f t="shared" si="19"/>
        <v>#DIV/0!</v>
      </c>
      <c r="AY12" s="96"/>
      <c r="AZ12" s="15" t="e">
        <f t="shared" si="20"/>
        <v>#DIV/0!</v>
      </c>
      <c r="BA12" s="10">
        <f t="shared" si="45"/>
        <v>0</v>
      </c>
      <c r="BB12" s="10" t="e">
        <f t="shared" si="21"/>
        <v>#DIV/0!</v>
      </c>
      <c r="BC12" s="10">
        <f t="shared" si="46"/>
        <v>0</v>
      </c>
      <c r="BD12" s="10" t="e">
        <f t="shared" si="22"/>
        <v>#DIV/0!</v>
      </c>
      <c r="BE12" s="10">
        <f t="shared" si="47"/>
        <v>0</v>
      </c>
      <c r="BF12" s="10" t="e">
        <f t="shared" si="23"/>
        <v>#DIV/0!</v>
      </c>
      <c r="BG12" s="96">
        <v>0</v>
      </c>
      <c r="BH12" s="10" t="e">
        <f t="shared" si="24"/>
        <v>#DIV/0!</v>
      </c>
      <c r="BI12" s="10">
        <f t="shared" si="48"/>
        <v>0</v>
      </c>
      <c r="BJ12" s="10" t="e">
        <f t="shared" si="25"/>
        <v>#DIV/0!</v>
      </c>
      <c r="BK12" s="10">
        <f t="shared" si="26"/>
        <v>0</v>
      </c>
      <c r="BL12" s="10">
        <f t="shared" si="49"/>
        <v>0</v>
      </c>
      <c r="BM12" s="511" t="e">
        <f t="shared" si="27"/>
        <v>#DIV/0!</v>
      </c>
      <c r="BN12" s="10" t="e">
        <f t="shared" si="28"/>
        <v>#DIV/0!</v>
      </c>
    </row>
    <row r="13" spans="1:66">
      <c r="A13" s="16">
        <f>+Report1!A12</f>
        <v>45965</v>
      </c>
      <c r="B13" s="6" t="str">
        <f>+Chem!B12</f>
        <v>STOP</v>
      </c>
      <c r="C13" s="16" t="str">
        <f>+Chem!C12</f>
        <v>12</v>
      </c>
      <c r="D13" s="8">
        <f>+Chem!D12</f>
        <v>0</v>
      </c>
      <c r="E13" s="7">
        <f>+Chem!E12</f>
        <v>0</v>
      </c>
      <c r="F13" s="7">
        <f t="shared" si="29"/>
        <v>0</v>
      </c>
      <c r="G13" s="96"/>
      <c r="H13" s="10" t="e">
        <f t="shared" si="0"/>
        <v>#DIV/0!</v>
      </c>
      <c r="I13" s="8">
        <f t="shared" si="30"/>
        <v>0</v>
      </c>
      <c r="J13" s="10" t="e">
        <f t="shared" si="1"/>
        <v>#DIV/0!</v>
      </c>
      <c r="K13" s="96"/>
      <c r="L13" s="10" t="e">
        <f t="shared" si="2"/>
        <v>#DIV/0!</v>
      </c>
      <c r="M13" s="10">
        <f t="shared" si="31"/>
        <v>0</v>
      </c>
      <c r="N13" s="10" t="e">
        <f t="shared" si="3"/>
        <v>#DIV/0!</v>
      </c>
      <c r="O13" s="96"/>
      <c r="P13" s="10" t="e">
        <f t="shared" si="4"/>
        <v>#DIV/0!</v>
      </c>
      <c r="Q13" s="10">
        <f t="shared" si="32"/>
        <v>0</v>
      </c>
      <c r="R13" s="10" t="e">
        <f t="shared" si="5"/>
        <v>#DIV/0!</v>
      </c>
      <c r="S13" s="10">
        <f t="shared" si="33"/>
        <v>0</v>
      </c>
      <c r="T13" s="10" t="e">
        <f t="shared" si="6"/>
        <v>#DIV/0!</v>
      </c>
      <c r="U13" s="10">
        <f t="shared" si="34"/>
        <v>0</v>
      </c>
      <c r="V13" s="10" t="e">
        <f t="shared" si="7"/>
        <v>#DIV/0!</v>
      </c>
      <c r="W13" s="96"/>
      <c r="X13" s="10" t="e">
        <f t="shared" si="35"/>
        <v>#DIV/0!</v>
      </c>
      <c r="Y13" s="10">
        <f t="shared" si="36"/>
        <v>0</v>
      </c>
      <c r="Z13" s="10" t="e">
        <f t="shared" si="37"/>
        <v>#DIV/0!</v>
      </c>
      <c r="AA13" s="96"/>
      <c r="AB13" s="10" t="e">
        <f t="shared" si="8"/>
        <v>#DIV/0!</v>
      </c>
      <c r="AC13" s="10">
        <f t="shared" si="38"/>
        <v>0</v>
      </c>
      <c r="AD13" s="10" t="e">
        <f t="shared" si="9"/>
        <v>#DIV/0!</v>
      </c>
      <c r="AE13" s="96"/>
      <c r="AF13" s="10" t="e">
        <f t="shared" si="10"/>
        <v>#DIV/0!</v>
      </c>
      <c r="AG13" s="10">
        <f t="shared" si="39"/>
        <v>0</v>
      </c>
      <c r="AH13" s="10" t="e">
        <f t="shared" si="11"/>
        <v>#DIV/0!</v>
      </c>
      <c r="AI13" s="96"/>
      <c r="AJ13" s="10" t="e">
        <f t="shared" si="12"/>
        <v>#DIV/0!</v>
      </c>
      <c r="AK13" s="10">
        <f t="shared" si="40"/>
        <v>0</v>
      </c>
      <c r="AL13" s="10" t="e">
        <f t="shared" si="13"/>
        <v>#DIV/0!</v>
      </c>
      <c r="AM13" s="10">
        <f t="shared" si="41"/>
        <v>0</v>
      </c>
      <c r="AN13" s="10" t="e">
        <f t="shared" si="14"/>
        <v>#DIV/0!</v>
      </c>
      <c r="AO13" s="10">
        <f t="shared" si="42"/>
        <v>0</v>
      </c>
      <c r="AP13" s="10" t="e">
        <f t="shared" si="15"/>
        <v>#DIV/0!</v>
      </c>
      <c r="AQ13" s="96"/>
      <c r="AR13" s="10" t="e">
        <f t="shared" si="16"/>
        <v>#DIV/0!</v>
      </c>
      <c r="AS13" s="10">
        <f t="shared" si="43"/>
        <v>0</v>
      </c>
      <c r="AT13" s="10" t="e">
        <f t="shared" si="17"/>
        <v>#DIV/0!</v>
      </c>
      <c r="AU13" s="96"/>
      <c r="AV13" s="10" t="e">
        <f t="shared" si="18"/>
        <v>#DIV/0!</v>
      </c>
      <c r="AW13" s="10">
        <f t="shared" si="44"/>
        <v>0</v>
      </c>
      <c r="AX13" s="10" t="e">
        <f t="shared" si="19"/>
        <v>#DIV/0!</v>
      </c>
      <c r="AY13" s="96"/>
      <c r="AZ13" s="15" t="e">
        <f t="shared" si="20"/>
        <v>#DIV/0!</v>
      </c>
      <c r="BA13" s="10">
        <f t="shared" si="45"/>
        <v>0</v>
      </c>
      <c r="BB13" s="10" t="e">
        <f t="shared" si="21"/>
        <v>#DIV/0!</v>
      </c>
      <c r="BC13" s="10">
        <f t="shared" si="46"/>
        <v>0</v>
      </c>
      <c r="BD13" s="10" t="e">
        <f t="shared" si="22"/>
        <v>#DIV/0!</v>
      </c>
      <c r="BE13" s="10">
        <f t="shared" si="47"/>
        <v>0</v>
      </c>
      <c r="BF13" s="10" t="e">
        <f t="shared" si="23"/>
        <v>#DIV/0!</v>
      </c>
      <c r="BG13" s="96">
        <v>0</v>
      </c>
      <c r="BH13" s="10" t="e">
        <f t="shared" si="24"/>
        <v>#DIV/0!</v>
      </c>
      <c r="BI13" s="10">
        <f t="shared" si="48"/>
        <v>0</v>
      </c>
      <c r="BJ13" s="10" t="e">
        <f t="shared" si="25"/>
        <v>#DIV/0!</v>
      </c>
      <c r="BK13" s="10">
        <f t="shared" si="26"/>
        <v>0</v>
      </c>
      <c r="BL13" s="10">
        <f t="shared" si="49"/>
        <v>0</v>
      </c>
      <c r="BM13" s="511" t="e">
        <f t="shared" si="27"/>
        <v>#DIV/0!</v>
      </c>
      <c r="BN13" s="10" t="e">
        <f t="shared" si="28"/>
        <v>#DIV/0!</v>
      </c>
    </row>
    <row r="14" spans="1:66">
      <c r="A14" s="16">
        <f>+Report1!A13</f>
        <v>45966</v>
      </c>
      <c r="B14" s="6" t="str">
        <f>+Chem!B13</f>
        <v>STOP</v>
      </c>
      <c r="C14" s="16" t="str">
        <f>+Chem!C13</f>
        <v>12</v>
      </c>
      <c r="D14" s="8">
        <f>+Chem!D13</f>
        <v>0</v>
      </c>
      <c r="E14" s="7">
        <f>+Chem!E13</f>
        <v>0</v>
      </c>
      <c r="F14" s="7">
        <f t="shared" si="29"/>
        <v>0</v>
      </c>
      <c r="G14" s="97"/>
      <c r="H14" s="87" t="e">
        <f t="shared" si="0"/>
        <v>#DIV/0!</v>
      </c>
      <c r="I14" s="8">
        <f t="shared" si="30"/>
        <v>0</v>
      </c>
      <c r="J14" s="87" t="e">
        <f t="shared" si="1"/>
        <v>#DIV/0!</v>
      </c>
      <c r="K14" s="97"/>
      <c r="L14" s="87" t="e">
        <f t="shared" si="2"/>
        <v>#DIV/0!</v>
      </c>
      <c r="M14" s="87">
        <f t="shared" si="31"/>
        <v>0</v>
      </c>
      <c r="N14" s="87" t="e">
        <f t="shared" si="3"/>
        <v>#DIV/0!</v>
      </c>
      <c r="O14" s="97"/>
      <c r="P14" s="87" t="e">
        <f t="shared" si="4"/>
        <v>#DIV/0!</v>
      </c>
      <c r="Q14" s="87">
        <f t="shared" si="32"/>
        <v>0</v>
      </c>
      <c r="R14" s="87" t="e">
        <f t="shared" si="5"/>
        <v>#DIV/0!</v>
      </c>
      <c r="S14" s="10">
        <f t="shared" si="33"/>
        <v>0</v>
      </c>
      <c r="T14" s="87" t="e">
        <f t="shared" si="6"/>
        <v>#DIV/0!</v>
      </c>
      <c r="U14" s="87">
        <f t="shared" si="34"/>
        <v>0</v>
      </c>
      <c r="V14" s="87" t="e">
        <f t="shared" si="7"/>
        <v>#DIV/0!</v>
      </c>
      <c r="W14" s="97"/>
      <c r="X14" s="10" t="e">
        <f t="shared" si="35"/>
        <v>#DIV/0!</v>
      </c>
      <c r="Y14" s="10">
        <f t="shared" si="36"/>
        <v>0</v>
      </c>
      <c r="Z14" s="10" t="e">
        <f t="shared" si="37"/>
        <v>#DIV/0!</v>
      </c>
      <c r="AA14" s="97"/>
      <c r="AB14" s="87" t="e">
        <f t="shared" si="8"/>
        <v>#DIV/0!</v>
      </c>
      <c r="AC14" s="87">
        <f t="shared" si="38"/>
        <v>0</v>
      </c>
      <c r="AD14" s="87" t="e">
        <f t="shared" si="9"/>
        <v>#DIV/0!</v>
      </c>
      <c r="AE14" s="97"/>
      <c r="AF14" s="87" t="e">
        <f t="shared" si="10"/>
        <v>#DIV/0!</v>
      </c>
      <c r="AG14" s="87">
        <f t="shared" si="39"/>
        <v>0</v>
      </c>
      <c r="AH14" s="87" t="e">
        <f t="shared" si="11"/>
        <v>#DIV/0!</v>
      </c>
      <c r="AI14" s="97"/>
      <c r="AJ14" s="87" t="e">
        <f t="shared" si="12"/>
        <v>#DIV/0!</v>
      </c>
      <c r="AK14" s="87">
        <f t="shared" si="40"/>
        <v>0</v>
      </c>
      <c r="AL14" s="87" t="e">
        <f t="shared" si="13"/>
        <v>#DIV/0!</v>
      </c>
      <c r="AM14" s="10">
        <f t="shared" si="41"/>
        <v>0</v>
      </c>
      <c r="AN14" s="87" t="e">
        <f t="shared" si="14"/>
        <v>#DIV/0!</v>
      </c>
      <c r="AO14" s="87">
        <f t="shared" si="42"/>
        <v>0</v>
      </c>
      <c r="AP14" s="87" t="e">
        <f t="shared" si="15"/>
        <v>#DIV/0!</v>
      </c>
      <c r="AQ14" s="97"/>
      <c r="AR14" s="87" t="e">
        <f t="shared" si="16"/>
        <v>#DIV/0!</v>
      </c>
      <c r="AS14" s="87">
        <f t="shared" si="43"/>
        <v>0</v>
      </c>
      <c r="AT14" s="87" t="e">
        <f t="shared" si="17"/>
        <v>#DIV/0!</v>
      </c>
      <c r="AU14" s="97"/>
      <c r="AV14" s="87" t="e">
        <f t="shared" si="18"/>
        <v>#DIV/0!</v>
      </c>
      <c r="AW14" s="87">
        <f t="shared" si="44"/>
        <v>0</v>
      </c>
      <c r="AX14" s="87" t="e">
        <f t="shared" si="19"/>
        <v>#DIV/0!</v>
      </c>
      <c r="AY14" s="97"/>
      <c r="AZ14" s="88" t="e">
        <f t="shared" si="20"/>
        <v>#DIV/0!</v>
      </c>
      <c r="BA14" s="87">
        <f t="shared" si="45"/>
        <v>0</v>
      </c>
      <c r="BB14" s="87" t="e">
        <f t="shared" si="21"/>
        <v>#DIV/0!</v>
      </c>
      <c r="BC14" s="87">
        <f t="shared" si="46"/>
        <v>0</v>
      </c>
      <c r="BD14" s="87" t="e">
        <f t="shared" si="22"/>
        <v>#DIV/0!</v>
      </c>
      <c r="BE14" s="87">
        <f t="shared" si="47"/>
        <v>0</v>
      </c>
      <c r="BF14" s="87" t="e">
        <f t="shared" si="23"/>
        <v>#DIV/0!</v>
      </c>
      <c r="BG14" s="97">
        <v>0</v>
      </c>
      <c r="BH14" s="87" t="e">
        <f t="shared" si="24"/>
        <v>#DIV/0!</v>
      </c>
      <c r="BI14" s="87">
        <f t="shared" si="48"/>
        <v>0</v>
      </c>
      <c r="BJ14" s="87" t="e">
        <f t="shared" si="25"/>
        <v>#DIV/0!</v>
      </c>
      <c r="BK14" s="87">
        <f t="shared" si="26"/>
        <v>0</v>
      </c>
      <c r="BL14" s="87">
        <f t="shared" si="49"/>
        <v>0</v>
      </c>
      <c r="BM14" s="511" t="e">
        <f t="shared" si="27"/>
        <v>#DIV/0!</v>
      </c>
      <c r="BN14" s="87" t="e">
        <f t="shared" si="28"/>
        <v>#DIV/0!</v>
      </c>
    </row>
    <row r="15" spans="1:66">
      <c r="A15" s="16">
        <f>+Report1!A14</f>
        <v>45967</v>
      </c>
      <c r="B15" s="6" t="str">
        <f>+Chem!B14</f>
        <v>STOP</v>
      </c>
      <c r="C15" s="16" t="str">
        <f>+Chem!C14</f>
        <v>12</v>
      </c>
      <c r="D15" s="8">
        <f>+Chem!D14</f>
        <v>0</v>
      </c>
      <c r="E15" s="7">
        <f>+Chem!E14</f>
        <v>0</v>
      </c>
      <c r="F15" s="7">
        <f t="shared" si="29"/>
        <v>0</v>
      </c>
      <c r="G15" s="97"/>
      <c r="H15" s="87" t="e">
        <f t="shared" si="0"/>
        <v>#DIV/0!</v>
      </c>
      <c r="I15" s="8">
        <f t="shared" si="30"/>
        <v>0</v>
      </c>
      <c r="J15" s="87" t="e">
        <f t="shared" si="1"/>
        <v>#DIV/0!</v>
      </c>
      <c r="K15" s="97"/>
      <c r="L15" s="87" t="e">
        <f t="shared" si="2"/>
        <v>#DIV/0!</v>
      </c>
      <c r="M15" s="87">
        <f t="shared" si="31"/>
        <v>0</v>
      </c>
      <c r="N15" s="87" t="e">
        <f t="shared" si="3"/>
        <v>#DIV/0!</v>
      </c>
      <c r="O15" s="97"/>
      <c r="P15" s="87" t="e">
        <f t="shared" si="4"/>
        <v>#DIV/0!</v>
      </c>
      <c r="Q15" s="87">
        <f t="shared" si="32"/>
        <v>0</v>
      </c>
      <c r="R15" s="87" t="e">
        <f t="shared" si="5"/>
        <v>#DIV/0!</v>
      </c>
      <c r="S15" s="10">
        <f t="shared" si="33"/>
        <v>0</v>
      </c>
      <c r="T15" s="87" t="e">
        <f t="shared" si="6"/>
        <v>#DIV/0!</v>
      </c>
      <c r="U15" s="87">
        <f t="shared" si="34"/>
        <v>0</v>
      </c>
      <c r="V15" s="87" t="e">
        <f t="shared" si="7"/>
        <v>#DIV/0!</v>
      </c>
      <c r="W15" s="97"/>
      <c r="X15" s="10" t="e">
        <f t="shared" si="35"/>
        <v>#DIV/0!</v>
      </c>
      <c r="Y15" s="10">
        <f t="shared" si="36"/>
        <v>0</v>
      </c>
      <c r="Z15" s="10" t="e">
        <f t="shared" si="37"/>
        <v>#DIV/0!</v>
      </c>
      <c r="AA15" s="97"/>
      <c r="AB15" s="87" t="e">
        <f t="shared" si="8"/>
        <v>#DIV/0!</v>
      </c>
      <c r="AC15" s="87">
        <f t="shared" si="38"/>
        <v>0</v>
      </c>
      <c r="AD15" s="87" t="e">
        <f t="shared" si="9"/>
        <v>#DIV/0!</v>
      </c>
      <c r="AE15" s="97"/>
      <c r="AF15" s="87" t="e">
        <f t="shared" si="10"/>
        <v>#DIV/0!</v>
      </c>
      <c r="AG15" s="87">
        <f t="shared" si="39"/>
        <v>0</v>
      </c>
      <c r="AH15" s="87" t="e">
        <f t="shared" si="11"/>
        <v>#DIV/0!</v>
      </c>
      <c r="AI15" s="97"/>
      <c r="AJ15" s="87" t="e">
        <f t="shared" si="12"/>
        <v>#DIV/0!</v>
      </c>
      <c r="AK15" s="87">
        <f t="shared" si="40"/>
        <v>0</v>
      </c>
      <c r="AL15" s="87" t="e">
        <f t="shared" si="13"/>
        <v>#DIV/0!</v>
      </c>
      <c r="AM15" s="10">
        <f t="shared" si="41"/>
        <v>0</v>
      </c>
      <c r="AN15" s="87" t="e">
        <f t="shared" si="14"/>
        <v>#DIV/0!</v>
      </c>
      <c r="AO15" s="87">
        <f t="shared" si="42"/>
        <v>0</v>
      </c>
      <c r="AP15" s="87" t="e">
        <f t="shared" si="15"/>
        <v>#DIV/0!</v>
      </c>
      <c r="AQ15" s="97"/>
      <c r="AR15" s="87" t="e">
        <f t="shared" si="16"/>
        <v>#DIV/0!</v>
      </c>
      <c r="AS15" s="87">
        <f t="shared" si="43"/>
        <v>0</v>
      </c>
      <c r="AT15" s="87" t="e">
        <f t="shared" si="17"/>
        <v>#DIV/0!</v>
      </c>
      <c r="AU15" s="97"/>
      <c r="AV15" s="87" t="e">
        <f t="shared" si="18"/>
        <v>#DIV/0!</v>
      </c>
      <c r="AW15" s="87">
        <f t="shared" si="44"/>
        <v>0</v>
      </c>
      <c r="AX15" s="87" t="e">
        <f t="shared" si="19"/>
        <v>#DIV/0!</v>
      </c>
      <c r="AY15" s="97"/>
      <c r="AZ15" s="88" t="e">
        <f t="shared" si="20"/>
        <v>#DIV/0!</v>
      </c>
      <c r="BA15" s="87">
        <f t="shared" si="45"/>
        <v>0</v>
      </c>
      <c r="BB15" s="87" t="e">
        <f t="shared" si="21"/>
        <v>#DIV/0!</v>
      </c>
      <c r="BC15" s="87">
        <f t="shared" si="46"/>
        <v>0</v>
      </c>
      <c r="BD15" s="87" t="e">
        <f t="shared" si="22"/>
        <v>#DIV/0!</v>
      </c>
      <c r="BE15" s="87">
        <f t="shared" si="47"/>
        <v>0</v>
      </c>
      <c r="BF15" s="87" t="e">
        <f t="shared" si="23"/>
        <v>#DIV/0!</v>
      </c>
      <c r="BG15" s="97">
        <v>0</v>
      </c>
      <c r="BH15" s="87" t="e">
        <f t="shared" si="24"/>
        <v>#DIV/0!</v>
      </c>
      <c r="BI15" s="87">
        <f t="shared" si="48"/>
        <v>0</v>
      </c>
      <c r="BJ15" s="87" t="e">
        <f t="shared" si="25"/>
        <v>#DIV/0!</v>
      </c>
      <c r="BK15" s="87">
        <f t="shared" si="26"/>
        <v>0</v>
      </c>
      <c r="BL15" s="87">
        <f t="shared" si="49"/>
        <v>0</v>
      </c>
      <c r="BM15" s="511" t="e">
        <f t="shared" si="27"/>
        <v>#DIV/0!</v>
      </c>
      <c r="BN15" s="87" t="e">
        <f t="shared" si="28"/>
        <v>#DIV/0!</v>
      </c>
    </row>
    <row r="16" spans="1:66">
      <c r="A16" s="16">
        <f>+Report1!A15</f>
        <v>45968</v>
      </c>
      <c r="B16" s="6" t="str">
        <f>+Chem!B15</f>
        <v>STOP</v>
      </c>
      <c r="C16" s="16" t="str">
        <f>+Chem!C15</f>
        <v>12</v>
      </c>
      <c r="D16" s="8">
        <f>+Chem!D15</f>
        <v>0</v>
      </c>
      <c r="E16" s="7">
        <f>+Chem!E15</f>
        <v>0</v>
      </c>
      <c r="F16" s="7">
        <f t="shared" si="29"/>
        <v>0</v>
      </c>
      <c r="G16" s="97"/>
      <c r="H16" s="87" t="e">
        <f t="shared" si="0"/>
        <v>#DIV/0!</v>
      </c>
      <c r="I16" s="8">
        <f t="shared" si="30"/>
        <v>0</v>
      </c>
      <c r="J16" s="87" t="e">
        <f t="shared" si="1"/>
        <v>#DIV/0!</v>
      </c>
      <c r="K16" s="97"/>
      <c r="L16" s="87" t="e">
        <f t="shared" si="2"/>
        <v>#DIV/0!</v>
      </c>
      <c r="M16" s="87">
        <f t="shared" si="31"/>
        <v>0</v>
      </c>
      <c r="N16" s="87" t="e">
        <f t="shared" si="3"/>
        <v>#DIV/0!</v>
      </c>
      <c r="O16" s="97"/>
      <c r="P16" s="87" t="e">
        <f t="shared" si="4"/>
        <v>#DIV/0!</v>
      </c>
      <c r="Q16" s="87">
        <f t="shared" si="32"/>
        <v>0</v>
      </c>
      <c r="R16" s="87" t="e">
        <f t="shared" si="5"/>
        <v>#DIV/0!</v>
      </c>
      <c r="S16" s="10">
        <f t="shared" si="33"/>
        <v>0</v>
      </c>
      <c r="T16" s="87" t="e">
        <f t="shared" si="6"/>
        <v>#DIV/0!</v>
      </c>
      <c r="U16" s="87">
        <f t="shared" si="34"/>
        <v>0</v>
      </c>
      <c r="V16" s="87" t="e">
        <f t="shared" si="7"/>
        <v>#DIV/0!</v>
      </c>
      <c r="W16" s="97"/>
      <c r="X16" s="10" t="e">
        <f t="shared" si="35"/>
        <v>#DIV/0!</v>
      </c>
      <c r="Y16" s="10">
        <f t="shared" si="36"/>
        <v>0</v>
      </c>
      <c r="Z16" s="10" t="e">
        <f t="shared" si="37"/>
        <v>#DIV/0!</v>
      </c>
      <c r="AA16" s="97"/>
      <c r="AB16" s="87" t="e">
        <f t="shared" si="8"/>
        <v>#DIV/0!</v>
      </c>
      <c r="AC16" s="87">
        <f t="shared" si="38"/>
        <v>0</v>
      </c>
      <c r="AD16" s="87" t="e">
        <f t="shared" si="9"/>
        <v>#DIV/0!</v>
      </c>
      <c r="AE16" s="97"/>
      <c r="AF16" s="87" t="e">
        <f t="shared" si="10"/>
        <v>#DIV/0!</v>
      </c>
      <c r="AG16" s="87">
        <f t="shared" si="39"/>
        <v>0</v>
      </c>
      <c r="AH16" s="87" t="e">
        <f t="shared" si="11"/>
        <v>#DIV/0!</v>
      </c>
      <c r="AI16" s="97"/>
      <c r="AJ16" s="87" t="e">
        <f t="shared" si="12"/>
        <v>#DIV/0!</v>
      </c>
      <c r="AK16" s="87">
        <f t="shared" si="40"/>
        <v>0</v>
      </c>
      <c r="AL16" s="87" t="e">
        <f t="shared" si="13"/>
        <v>#DIV/0!</v>
      </c>
      <c r="AM16" s="10">
        <f t="shared" si="41"/>
        <v>0</v>
      </c>
      <c r="AN16" s="87" t="e">
        <f t="shared" si="14"/>
        <v>#DIV/0!</v>
      </c>
      <c r="AO16" s="87">
        <f t="shared" si="42"/>
        <v>0</v>
      </c>
      <c r="AP16" s="87" t="e">
        <f t="shared" si="15"/>
        <v>#DIV/0!</v>
      </c>
      <c r="AQ16" s="97"/>
      <c r="AR16" s="87" t="e">
        <f t="shared" si="16"/>
        <v>#DIV/0!</v>
      </c>
      <c r="AS16" s="87">
        <f t="shared" si="43"/>
        <v>0</v>
      </c>
      <c r="AT16" s="87" t="e">
        <f t="shared" si="17"/>
        <v>#DIV/0!</v>
      </c>
      <c r="AU16" s="97"/>
      <c r="AV16" s="87" t="e">
        <f t="shared" si="18"/>
        <v>#DIV/0!</v>
      </c>
      <c r="AW16" s="87">
        <f t="shared" si="44"/>
        <v>0</v>
      </c>
      <c r="AX16" s="87" t="e">
        <f t="shared" si="19"/>
        <v>#DIV/0!</v>
      </c>
      <c r="AY16" s="97"/>
      <c r="AZ16" s="88" t="e">
        <f t="shared" si="20"/>
        <v>#DIV/0!</v>
      </c>
      <c r="BA16" s="87">
        <f t="shared" si="45"/>
        <v>0</v>
      </c>
      <c r="BB16" s="87" t="e">
        <f t="shared" si="21"/>
        <v>#DIV/0!</v>
      </c>
      <c r="BC16" s="87">
        <f t="shared" si="46"/>
        <v>0</v>
      </c>
      <c r="BD16" s="87" t="e">
        <f t="shared" si="22"/>
        <v>#DIV/0!</v>
      </c>
      <c r="BE16" s="87">
        <f t="shared" si="47"/>
        <v>0</v>
      </c>
      <c r="BF16" s="87" t="e">
        <f t="shared" si="23"/>
        <v>#DIV/0!</v>
      </c>
      <c r="BG16" s="97">
        <v>0</v>
      </c>
      <c r="BH16" s="87" t="e">
        <f t="shared" si="24"/>
        <v>#DIV/0!</v>
      </c>
      <c r="BI16" s="87">
        <f t="shared" si="48"/>
        <v>0</v>
      </c>
      <c r="BJ16" s="87" t="e">
        <f t="shared" si="25"/>
        <v>#DIV/0!</v>
      </c>
      <c r="BK16" s="87">
        <f t="shared" si="26"/>
        <v>0</v>
      </c>
      <c r="BL16" s="87">
        <f t="shared" si="49"/>
        <v>0</v>
      </c>
      <c r="BM16" s="511" t="e">
        <f t="shared" si="27"/>
        <v>#DIV/0!</v>
      </c>
      <c r="BN16" s="87" t="e">
        <f t="shared" si="28"/>
        <v>#DIV/0!</v>
      </c>
    </row>
    <row r="17" spans="1:75">
      <c r="A17" s="16">
        <f>+Report1!A16</f>
        <v>45969</v>
      </c>
      <c r="B17" s="6" t="str">
        <f>+Chem!B16</f>
        <v>STOP</v>
      </c>
      <c r="C17" s="16" t="str">
        <f>+Chem!C16</f>
        <v>12</v>
      </c>
      <c r="D17" s="8">
        <f>+Chem!D16</f>
        <v>0</v>
      </c>
      <c r="E17" s="7">
        <f>+Chem!E16</f>
        <v>0</v>
      </c>
      <c r="F17" s="7">
        <f t="shared" si="29"/>
        <v>0</v>
      </c>
      <c r="G17" s="97"/>
      <c r="H17" s="87" t="e">
        <f t="shared" si="0"/>
        <v>#DIV/0!</v>
      </c>
      <c r="I17" s="8">
        <f t="shared" si="30"/>
        <v>0</v>
      </c>
      <c r="J17" s="87" t="e">
        <f t="shared" si="1"/>
        <v>#DIV/0!</v>
      </c>
      <c r="K17" s="97"/>
      <c r="L17" s="87" t="e">
        <f t="shared" si="2"/>
        <v>#DIV/0!</v>
      </c>
      <c r="M17" s="87">
        <f t="shared" si="31"/>
        <v>0</v>
      </c>
      <c r="N17" s="87" t="e">
        <f t="shared" si="3"/>
        <v>#DIV/0!</v>
      </c>
      <c r="O17" s="97"/>
      <c r="P17" s="87" t="e">
        <f t="shared" si="4"/>
        <v>#DIV/0!</v>
      </c>
      <c r="Q17" s="87">
        <f t="shared" si="32"/>
        <v>0</v>
      </c>
      <c r="R17" s="87" t="e">
        <f t="shared" si="5"/>
        <v>#DIV/0!</v>
      </c>
      <c r="S17" s="10">
        <f t="shared" si="33"/>
        <v>0</v>
      </c>
      <c r="T17" s="87" t="e">
        <f t="shared" si="6"/>
        <v>#DIV/0!</v>
      </c>
      <c r="U17" s="87">
        <f t="shared" si="34"/>
        <v>0</v>
      </c>
      <c r="V17" s="87" t="e">
        <f t="shared" si="7"/>
        <v>#DIV/0!</v>
      </c>
      <c r="W17" s="97"/>
      <c r="X17" s="10" t="e">
        <f t="shared" si="35"/>
        <v>#DIV/0!</v>
      </c>
      <c r="Y17" s="10">
        <f t="shared" si="36"/>
        <v>0</v>
      </c>
      <c r="Z17" s="10" t="e">
        <f t="shared" si="37"/>
        <v>#DIV/0!</v>
      </c>
      <c r="AA17" s="97"/>
      <c r="AB17" s="87" t="e">
        <f t="shared" si="8"/>
        <v>#DIV/0!</v>
      </c>
      <c r="AC17" s="87">
        <f t="shared" si="38"/>
        <v>0</v>
      </c>
      <c r="AD17" s="87" t="e">
        <f t="shared" si="9"/>
        <v>#DIV/0!</v>
      </c>
      <c r="AE17" s="97"/>
      <c r="AF17" s="87" t="e">
        <f t="shared" si="10"/>
        <v>#DIV/0!</v>
      </c>
      <c r="AG17" s="87">
        <f t="shared" si="39"/>
        <v>0</v>
      </c>
      <c r="AH17" s="87" t="e">
        <f t="shared" si="11"/>
        <v>#DIV/0!</v>
      </c>
      <c r="AI17" s="97"/>
      <c r="AJ17" s="87" t="e">
        <f t="shared" si="12"/>
        <v>#DIV/0!</v>
      </c>
      <c r="AK17" s="87">
        <f t="shared" si="40"/>
        <v>0</v>
      </c>
      <c r="AL17" s="87" t="e">
        <f t="shared" si="13"/>
        <v>#DIV/0!</v>
      </c>
      <c r="AM17" s="10">
        <f t="shared" si="41"/>
        <v>0</v>
      </c>
      <c r="AN17" s="87" t="e">
        <f t="shared" si="14"/>
        <v>#DIV/0!</v>
      </c>
      <c r="AO17" s="87">
        <f t="shared" si="42"/>
        <v>0</v>
      </c>
      <c r="AP17" s="87" t="e">
        <f t="shared" si="15"/>
        <v>#DIV/0!</v>
      </c>
      <c r="AQ17" s="97"/>
      <c r="AR17" s="87" t="e">
        <f t="shared" si="16"/>
        <v>#DIV/0!</v>
      </c>
      <c r="AS17" s="87">
        <f t="shared" si="43"/>
        <v>0</v>
      </c>
      <c r="AT17" s="87" t="e">
        <f t="shared" si="17"/>
        <v>#DIV/0!</v>
      </c>
      <c r="AU17" s="97"/>
      <c r="AV17" s="87" t="e">
        <f t="shared" si="18"/>
        <v>#DIV/0!</v>
      </c>
      <c r="AW17" s="87">
        <f t="shared" si="44"/>
        <v>0</v>
      </c>
      <c r="AX17" s="87" t="e">
        <f t="shared" si="19"/>
        <v>#DIV/0!</v>
      </c>
      <c r="AY17" s="97"/>
      <c r="AZ17" s="88" t="e">
        <f t="shared" si="20"/>
        <v>#DIV/0!</v>
      </c>
      <c r="BA17" s="87">
        <f t="shared" si="45"/>
        <v>0</v>
      </c>
      <c r="BB17" s="87" t="e">
        <f t="shared" si="21"/>
        <v>#DIV/0!</v>
      </c>
      <c r="BC17" s="87">
        <f t="shared" si="46"/>
        <v>0</v>
      </c>
      <c r="BD17" s="87" t="e">
        <f t="shared" si="22"/>
        <v>#DIV/0!</v>
      </c>
      <c r="BE17" s="87">
        <f t="shared" si="47"/>
        <v>0</v>
      </c>
      <c r="BF17" s="87" t="e">
        <f t="shared" si="23"/>
        <v>#DIV/0!</v>
      </c>
      <c r="BG17" s="97">
        <v>0</v>
      </c>
      <c r="BH17" s="87" t="e">
        <f t="shared" si="24"/>
        <v>#DIV/0!</v>
      </c>
      <c r="BI17" s="87">
        <f t="shared" si="48"/>
        <v>0</v>
      </c>
      <c r="BJ17" s="87" t="e">
        <f t="shared" si="25"/>
        <v>#DIV/0!</v>
      </c>
      <c r="BK17" s="87">
        <f t="shared" si="26"/>
        <v>0</v>
      </c>
      <c r="BL17" s="87">
        <f t="shared" si="49"/>
        <v>0</v>
      </c>
      <c r="BM17" s="511" t="e">
        <f t="shared" si="27"/>
        <v>#DIV/0!</v>
      </c>
      <c r="BN17" s="87" t="e">
        <f t="shared" si="28"/>
        <v>#DIV/0!</v>
      </c>
    </row>
    <row r="18" spans="1:75">
      <c r="A18" s="16">
        <f>+Report1!A17</f>
        <v>45970</v>
      </c>
      <c r="B18" s="6" t="str">
        <f>+Chem!B17</f>
        <v>STOP</v>
      </c>
      <c r="C18" s="16" t="str">
        <f>+Chem!C17</f>
        <v>12</v>
      </c>
      <c r="D18" s="8">
        <f>+Chem!D17</f>
        <v>0</v>
      </c>
      <c r="E18" s="7">
        <f>+Chem!E17</f>
        <v>0</v>
      </c>
      <c r="F18" s="7">
        <f t="shared" si="29"/>
        <v>0</v>
      </c>
      <c r="G18" s="96"/>
      <c r="H18" s="10" t="e">
        <f t="shared" si="0"/>
        <v>#DIV/0!</v>
      </c>
      <c r="I18" s="8">
        <f t="shared" si="30"/>
        <v>0</v>
      </c>
      <c r="J18" s="10" t="e">
        <f t="shared" si="1"/>
        <v>#DIV/0!</v>
      </c>
      <c r="K18" s="96"/>
      <c r="L18" s="10" t="e">
        <f t="shared" si="2"/>
        <v>#DIV/0!</v>
      </c>
      <c r="M18" s="10">
        <f t="shared" si="31"/>
        <v>0</v>
      </c>
      <c r="N18" s="10" t="e">
        <f t="shared" si="3"/>
        <v>#DIV/0!</v>
      </c>
      <c r="O18" s="96"/>
      <c r="P18" s="10" t="e">
        <f t="shared" si="4"/>
        <v>#DIV/0!</v>
      </c>
      <c r="Q18" s="10">
        <f t="shared" si="32"/>
        <v>0</v>
      </c>
      <c r="R18" s="10" t="e">
        <f t="shared" si="5"/>
        <v>#DIV/0!</v>
      </c>
      <c r="S18" s="10">
        <f t="shared" si="33"/>
        <v>0</v>
      </c>
      <c r="T18" s="10" t="e">
        <f t="shared" si="6"/>
        <v>#DIV/0!</v>
      </c>
      <c r="U18" s="10">
        <f t="shared" si="34"/>
        <v>0</v>
      </c>
      <c r="V18" s="10" t="e">
        <f t="shared" si="7"/>
        <v>#DIV/0!</v>
      </c>
      <c r="W18" s="96"/>
      <c r="X18" s="10" t="e">
        <f t="shared" si="35"/>
        <v>#DIV/0!</v>
      </c>
      <c r="Y18" s="10">
        <f t="shared" si="36"/>
        <v>0</v>
      </c>
      <c r="Z18" s="10" t="e">
        <f t="shared" si="37"/>
        <v>#DIV/0!</v>
      </c>
      <c r="AA18" s="96"/>
      <c r="AB18" s="10" t="e">
        <f t="shared" si="8"/>
        <v>#DIV/0!</v>
      </c>
      <c r="AC18" s="10">
        <f t="shared" si="38"/>
        <v>0</v>
      </c>
      <c r="AD18" s="10" t="e">
        <f t="shared" si="9"/>
        <v>#DIV/0!</v>
      </c>
      <c r="AE18" s="96"/>
      <c r="AF18" s="10" t="e">
        <f t="shared" si="10"/>
        <v>#DIV/0!</v>
      </c>
      <c r="AG18" s="10">
        <f t="shared" si="39"/>
        <v>0</v>
      </c>
      <c r="AH18" s="10" t="e">
        <f t="shared" si="11"/>
        <v>#DIV/0!</v>
      </c>
      <c r="AI18" s="96"/>
      <c r="AJ18" s="10" t="e">
        <f t="shared" si="12"/>
        <v>#DIV/0!</v>
      </c>
      <c r="AK18" s="10">
        <f t="shared" si="40"/>
        <v>0</v>
      </c>
      <c r="AL18" s="10" t="e">
        <f t="shared" si="13"/>
        <v>#DIV/0!</v>
      </c>
      <c r="AM18" s="10">
        <f t="shared" si="41"/>
        <v>0</v>
      </c>
      <c r="AN18" s="10" t="e">
        <f t="shared" si="14"/>
        <v>#DIV/0!</v>
      </c>
      <c r="AO18" s="10">
        <f t="shared" si="42"/>
        <v>0</v>
      </c>
      <c r="AP18" s="10" t="e">
        <f t="shared" si="15"/>
        <v>#DIV/0!</v>
      </c>
      <c r="AQ18" s="96"/>
      <c r="AR18" s="10" t="e">
        <f t="shared" si="16"/>
        <v>#DIV/0!</v>
      </c>
      <c r="AS18" s="10">
        <f t="shared" si="43"/>
        <v>0</v>
      </c>
      <c r="AT18" s="10" t="e">
        <f t="shared" si="17"/>
        <v>#DIV/0!</v>
      </c>
      <c r="AU18" s="96"/>
      <c r="AV18" s="10" t="e">
        <f t="shared" si="18"/>
        <v>#DIV/0!</v>
      </c>
      <c r="AW18" s="10">
        <f t="shared" si="44"/>
        <v>0</v>
      </c>
      <c r="AX18" s="10" t="e">
        <f t="shared" si="19"/>
        <v>#DIV/0!</v>
      </c>
      <c r="AY18" s="96"/>
      <c r="AZ18" s="15" t="e">
        <f t="shared" si="20"/>
        <v>#DIV/0!</v>
      </c>
      <c r="BA18" s="10">
        <f t="shared" si="45"/>
        <v>0</v>
      </c>
      <c r="BB18" s="10" t="e">
        <f t="shared" si="21"/>
        <v>#DIV/0!</v>
      </c>
      <c r="BC18" s="10">
        <f t="shared" si="46"/>
        <v>0</v>
      </c>
      <c r="BD18" s="10" t="e">
        <f t="shared" si="22"/>
        <v>#DIV/0!</v>
      </c>
      <c r="BE18" s="10">
        <f t="shared" si="47"/>
        <v>0</v>
      </c>
      <c r="BF18" s="10" t="e">
        <f t="shared" si="23"/>
        <v>#DIV/0!</v>
      </c>
      <c r="BG18" s="96">
        <v>0</v>
      </c>
      <c r="BH18" s="10" t="e">
        <f t="shared" si="24"/>
        <v>#DIV/0!</v>
      </c>
      <c r="BI18" s="10">
        <f t="shared" si="48"/>
        <v>0</v>
      </c>
      <c r="BJ18" s="10" t="e">
        <f t="shared" si="25"/>
        <v>#DIV/0!</v>
      </c>
      <c r="BK18" s="10">
        <f t="shared" si="26"/>
        <v>0</v>
      </c>
      <c r="BL18" s="10">
        <f t="shared" si="49"/>
        <v>0</v>
      </c>
      <c r="BM18" s="511" t="e">
        <f t="shared" si="27"/>
        <v>#DIV/0!</v>
      </c>
      <c r="BN18" s="10" t="e">
        <f t="shared" si="28"/>
        <v>#DIV/0!</v>
      </c>
    </row>
    <row r="19" spans="1:75">
      <c r="A19" s="16">
        <f>+Report1!A18</f>
        <v>45971</v>
      </c>
      <c r="B19" s="6" t="str">
        <f>+Chem!B18</f>
        <v>STOP</v>
      </c>
      <c r="C19" s="16" t="str">
        <f>+Chem!C18</f>
        <v>12</v>
      </c>
      <c r="D19" s="8">
        <f>+Chem!D18</f>
        <v>0</v>
      </c>
      <c r="E19" s="7">
        <f>+Chem!E18</f>
        <v>0</v>
      </c>
      <c r="F19" s="7">
        <f t="shared" si="29"/>
        <v>0</v>
      </c>
      <c r="G19" s="96"/>
      <c r="H19" s="10" t="e">
        <f t="shared" si="0"/>
        <v>#DIV/0!</v>
      </c>
      <c r="I19" s="8">
        <f t="shared" si="30"/>
        <v>0</v>
      </c>
      <c r="J19" s="10" t="e">
        <f t="shared" si="1"/>
        <v>#DIV/0!</v>
      </c>
      <c r="K19" s="96"/>
      <c r="L19" s="10" t="e">
        <f t="shared" si="2"/>
        <v>#DIV/0!</v>
      </c>
      <c r="M19" s="10">
        <f t="shared" si="31"/>
        <v>0</v>
      </c>
      <c r="N19" s="10" t="e">
        <f t="shared" si="3"/>
        <v>#DIV/0!</v>
      </c>
      <c r="O19" s="96"/>
      <c r="P19" s="10" t="e">
        <f t="shared" si="4"/>
        <v>#DIV/0!</v>
      </c>
      <c r="Q19" s="10">
        <f t="shared" si="32"/>
        <v>0</v>
      </c>
      <c r="R19" s="10" t="e">
        <f t="shared" si="5"/>
        <v>#DIV/0!</v>
      </c>
      <c r="S19" s="10">
        <f t="shared" si="33"/>
        <v>0</v>
      </c>
      <c r="T19" s="10" t="e">
        <f t="shared" si="6"/>
        <v>#DIV/0!</v>
      </c>
      <c r="U19" s="10">
        <f t="shared" si="34"/>
        <v>0</v>
      </c>
      <c r="V19" s="10" t="e">
        <f t="shared" si="7"/>
        <v>#DIV/0!</v>
      </c>
      <c r="W19" s="96"/>
      <c r="X19" s="10" t="e">
        <f t="shared" si="35"/>
        <v>#DIV/0!</v>
      </c>
      <c r="Y19" s="10">
        <f t="shared" si="36"/>
        <v>0</v>
      </c>
      <c r="Z19" s="10" t="e">
        <f t="shared" si="37"/>
        <v>#DIV/0!</v>
      </c>
      <c r="AA19" s="96"/>
      <c r="AB19" s="10" t="e">
        <f t="shared" si="8"/>
        <v>#DIV/0!</v>
      </c>
      <c r="AC19" s="10">
        <f t="shared" si="38"/>
        <v>0</v>
      </c>
      <c r="AD19" s="10" t="e">
        <f t="shared" si="9"/>
        <v>#DIV/0!</v>
      </c>
      <c r="AE19" s="96"/>
      <c r="AF19" s="10" t="e">
        <f t="shared" si="10"/>
        <v>#DIV/0!</v>
      </c>
      <c r="AG19" s="10">
        <f t="shared" si="39"/>
        <v>0</v>
      </c>
      <c r="AH19" s="10" t="e">
        <f t="shared" si="11"/>
        <v>#DIV/0!</v>
      </c>
      <c r="AI19" s="96"/>
      <c r="AJ19" s="10" t="e">
        <f t="shared" si="12"/>
        <v>#DIV/0!</v>
      </c>
      <c r="AK19" s="10">
        <f t="shared" si="40"/>
        <v>0</v>
      </c>
      <c r="AL19" s="10" t="e">
        <f t="shared" si="13"/>
        <v>#DIV/0!</v>
      </c>
      <c r="AM19" s="10">
        <f t="shared" si="41"/>
        <v>0</v>
      </c>
      <c r="AN19" s="10" t="e">
        <f t="shared" si="14"/>
        <v>#DIV/0!</v>
      </c>
      <c r="AO19" s="10">
        <f t="shared" si="42"/>
        <v>0</v>
      </c>
      <c r="AP19" s="10" t="e">
        <f t="shared" si="15"/>
        <v>#DIV/0!</v>
      </c>
      <c r="AQ19" s="96"/>
      <c r="AR19" s="10" t="e">
        <f t="shared" si="16"/>
        <v>#DIV/0!</v>
      </c>
      <c r="AS19" s="10">
        <f t="shared" si="43"/>
        <v>0</v>
      </c>
      <c r="AT19" s="10" t="e">
        <f t="shared" si="17"/>
        <v>#DIV/0!</v>
      </c>
      <c r="AU19" s="96"/>
      <c r="AV19" s="10" t="e">
        <f t="shared" si="18"/>
        <v>#DIV/0!</v>
      </c>
      <c r="AW19" s="10">
        <f t="shared" si="44"/>
        <v>0</v>
      </c>
      <c r="AX19" s="10" t="e">
        <f t="shared" si="19"/>
        <v>#DIV/0!</v>
      </c>
      <c r="AY19" s="96"/>
      <c r="AZ19" s="15" t="e">
        <f t="shared" si="20"/>
        <v>#DIV/0!</v>
      </c>
      <c r="BA19" s="10">
        <f t="shared" si="45"/>
        <v>0</v>
      </c>
      <c r="BB19" s="10" t="e">
        <f t="shared" si="21"/>
        <v>#DIV/0!</v>
      </c>
      <c r="BC19" s="10">
        <f t="shared" si="46"/>
        <v>0</v>
      </c>
      <c r="BD19" s="10" t="e">
        <f t="shared" si="22"/>
        <v>#DIV/0!</v>
      </c>
      <c r="BE19" s="10">
        <f t="shared" si="47"/>
        <v>0</v>
      </c>
      <c r="BF19" s="10" t="e">
        <f t="shared" si="23"/>
        <v>#DIV/0!</v>
      </c>
      <c r="BG19" s="96"/>
      <c r="BH19" s="10" t="e">
        <f t="shared" si="24"/>
        <v>#DIV/0!</v>
      </c>
      <c r="BI19" s="10">
        <f t="shared" si="48"/>
        <v>0</v>
      </c>
      <c r="BJ19" s="10" t="e">
        <f t="shared" si="25"/>
        <v>#DIV/0!</v>
      </c>
      <c r="BK19" s="10">
        <f t="shared" si="26"/>
        <v>0</v>
      </c>
      <c r="BL19" s="10">
        <f t="shared" si="49"/>
        <v>0</v>
      </c>
      <c r="BM19" s="511" t="e">
        <f t="shared" si="27"/>
        <v>#DIV/0!</v>
      </c>
      <c r="BN19" s="10" t="e">
        <f t="shared" si="28"/>
        <v>#DIV/0!</v>
      </c>
    </row>
    <row r="20" spans="1:75">
      <c r="A20" s="16">
        <f>+Report1!A19</f>
        <v>45972</v>
      </c>
      <c r="B20" s="6" t="str">
        <f>+Chem!B19</f>
        <v>STOP</v>
      </c>
      <c r="C20" s="16" t="str">
        <f>+Chem!C19</f>
        <v>12</v>
      </c>
      <c r="D20" s="8">
        <f>+Chem!D19</f>
        <v>0</v>
      </c>
      <c r="E20" s="7">
        <f>+Chem!E19</f>
        <v>0</v>
      </c>
      <c r="F20" s="7">
        <f t="shared" si="29"/>
        <v>0</v>
      </c>
      <c r="G20" s="96"/>
      <c r="H20" s="10" t="e">
        <f t="shared" si="0"/>
        <v>#DIV/0!</v>
      </c>
      <c r="I20" s="8">
        <f t="shared" si="30"/>
        <v>0</v>
      </c>
      <c r="J20" s="10" t="e">
        <f t="shared" si="1"/>
        <v>#DIV/0!</v>
      </c>
      <c r="K20" s="96"/>
      <c r="L20" s="10" t="e">
        <f t="shared" si="2"/>
        <v>#DIV/0!</v>
      </c>
      <c r="M20" s="10">
        <f t="shared" si="31"/>
        <v>0</v>
      </c>
      <c r="N20" s="10" t="e">
        <f t="shared" si="3"/>
        <v>#DIV/0!</v>
      </c>
      <c r="O20" s="96"/>
      <c r="P20" s="10" t="e">
        <f t="shared" si="4"/>
        <v>#DIV/0!</v>
      </c>
      <c r="Q20" s="10">
        <f t="shared" si="32"/>
        <v>0</v>
      </c>
      <c r="R20" s="10" t="e">
        <f t="shared" si="5"/>
        <v>#DIV/0!</v>
      </c>
      <c r="S20" s="10">
        <f t="shared" si="33"/>
        <v>0</v>
      </c>
      <c r="T20" s="10" t="e">
        <f t="shared" si="6"/>
        <v>#DIV/0!</v>
      </c>
      <c r="U20" s="10">
        <f t="shared" si="34"/>
        <v>0</v>
      </c>
      <c r="V20" s="10" t="e">
        <f t="shared" si="7"/>
        <v>#DIV/0!</v>
      </c>
      <c r="W20" s="96"/>
      <c r="X20" s="10" t="e">
        <f t="shared" si="35"/>
        <v>#DIV/0!</v>
      </c>
      <c r="Y20" s="10">
        <f t="shared" si="36"/>
        <v>0</v>
      </c>
      <c r="Z20" s="10" t="e">
        <f t="shared" si="37"/>
        <v>#DIV/0!</v>
      </c>
      <c r="AA20" s="96"/>
      <c r="AB20" s="10" t="e">
        <f t="shared" si="8"/>
        <v>#DIV/0!</v>
      </c>
      <c r="AC20" s="10">
        <f t="shared" si="38"/>
        <v>0</v>
      </c>
      <c r="AD20" s="10" t="e">
        <f t="shared" si="9"/>
        <v>#DIV/0!</v>
      </c>
      <c r="AE20" s="96"/>
      <c r="AF20" s="10" t="e">
        <f t="shared" si="10"/>
        <v>#DIV/0!</v>
      </c>
      <c r="AG20" s="10">
        <f t="shared" si="39"/>
        <v>0</v>
      </c>
      <c r="AH20" s="10" t="e">
        <f t="shared" si="11"/>
        <v>#DIV/0!</v>
      </c>
      <c r="AI20" s="96"/>
      <c r="AJ20" s="10" t="e">
        <f t="shared" si="12"/>
        <v>#DIV/0!</v>
      </c>
      <c r="AK20" s="10">
        <f t="shared" si="40"/>
        <v>0</v>
      </c>
      <c r="AL20" s="10" t="e">
        <f t="shared" si="13"/>
        <v>#DIV/0!</v>
      </c>
      <c r="AM20" s="10">
        <f t="shared" si="41"/>
        <v>0</v>
      </c>
      <c r="AN20" s="10" t="e">
        <f t="shared" si="14"/>
        <v>#DIV/0!</v>
      </c>
      <c r="AO20" s="10">
        <f t="shared" si="42"/>
        <v>0</v>
      </c>
      <c r="AP20" s="10" t="e">
        <f t="shared" si="15"/>
        <v>#DIV/0!</v>
      </c>
      <c r="AQ20" s="96"/>
      <c r="AR20" s="10" t="e">
        <f t="shared" si="16"/>
        <v>#DIV/0!</v>
      </c>
      <c r="AS20" s="10">
        <f t="shared" si="43"/>
        <v>0</v>
      </c>
      <c r="AT20" s="10" t="e">
        <f t="shared" si="17"/>
        <v>#DIV/0!</v>
      </c>
      <c r="AU20" s="96"/>
      <c r="AV20" s="10" t="e">
        <f t="shared" si="18"/>
        <v>#DIV/0!</v>
      </c>
      <c r="AW20" s="10">
        <f t="shared" si="44"/>
        <v>0</v>
      </c>
      <c r="AX20" s="10" t="e">
        <f t="shared" si="19"/>
        <v>#DIV/0!</v>
      </c>
      <c r="AY20" s="96"/>
      <c r="AZ20" s="15" t="e">
        <f t="shared" si="20"/>
        <v>#DIV/0!</v>
      </c>
      <c r="BA20" s="10">
        <f t="shared" si="45"/>
        <v>0</v>
      </c>
      <c r="BB20" s="10" t="e">
        <f t="shared" si="21"/>
        <v>#DIV/0!</v>
      </c>
      <c r="BC20" s="10">
        <f t="shared" si="46"/>
        <v>0</v>
      </c>
      <c r="BD20" s="10" t="e">
        <f t="shared" si="22"/>
        <v>#DIV/0!</v>
      </c>
      <c r="BE20" s="10">
        <f t="shared" si="47"/>
        <v>0</v>
      </c>
      <c r="BF20" s="10" t="e">
        <f t="shared" si="23"/>
        <v>#DIV/0!</v>
      </c>
      <c r="BG20" s="96"/>
      <c r="BH20" s="10" t="e">
        <f t="shared" si="24"/>
        <v>#DIV/0!</v>
      </c>
      <c r="BI20" s="10">
        <f t="shared" si="48"/>
        <v>0</v>
      </c>
      <c r="BJ20" s="10" t="e">
        <f t="shared" si="25"/>
        <v>#DIV/0!</v>
      </c>
      <c r="BK20" s="10">
        <f t="shared" si="26"/>
        <v>0</v>
      </c>
      <c r="BL20" s="10">
        <f t="shared" si="49"/>
        <v>0</v>
      </c>
      <c r="BM20" s="511" t="e">
        <f t="shared" si="27"/>
        <v>#DIV/0!</v>
      </c>
      <c r="BN20" s="10" t="e">
        <f t="shared" si="28"/>
        <v>#DIV/0!</v>
      </c>
    </row>
    <row r="21" spans="1:75">
      <c r="A21" s="16">
        <f>+Report1!A20</f>
        <v>45973</v>
      </c>
      <c r="B21" s="6" t="str">
        <f>+Chem!B20</f>
        <v>STOP</v>
      </c>
      <c r="C21" s="16" t="str">
        <f>+Chem!C20</f>
        <v>12</v>
      </c>
      <c r="D21" s="8">
        <f>+Chem!D20</f>
        <v>0</v>
      </c>
      <c r="E21" s="7">
        <f>+Chem!E20</f>
        <v>0</v>
      </c>
      <c r="F21" s="7">
        <f t="shared" si="29"/>
        <v>0</v>
      </c>
      <c r="G21" s="96"/>
      <c r="H21" s="10" t="e">
        <f t="shared" si="0"/>
        <v>#DIV/0!</v>
      </c>
      <c r="I21" s="8">
        <f t="shared" si="30"/>
        <v>0</v>
      </c>
      <c r="J21" s="10" t="e">
        <f t="shared" si="1"/>
        <v>#DIV/0!</v>
      </c>
      <c r="K21" s="96"/>
      <c r="L21" s="10" t="e">
        <f t="shared" si="2"/>
        <v>#DIV/0!</v>
      </c>
      <c r="M21" s="10">
        <f t="shared" si="31"/>
        <v>0</v>
      </c>
      <c r="N21" s="10" t="e">
        <f t="shared" si="3"/>
        <v>#DIV/0!</v>
      </c>
      <c r="O21" s="96"/>
      <c r="P21" s="10" t="e">
        <f t="shared" si="4"/>
        <v>#DIV/0!</v>
      </c>
      <c r="Q21" s="10">
        <f t="shared" si="32"/>
        <v>0</v>
      </c>
      <c r="R21" s="10" t="e">
        <f t="shared" si="5"/>
        <v>#DIV/0!</v>
      </c>
      <c r="S21" s="10">
        <f t="shared" si="33"/>
        <v>0</v>
      </c>
      <c r="T21" s="10" t="e">
        <f t="shared" si="6"/>
        <v>#DIV/0!</v>
      </c>
      <c r="U21" s="10">
        <f t="shared" si="34"/>
        <v>0</v>
      </c>
      <c r="V21" s="10" t="e">
        <f t="shared" si="7"/>
        <v>#DIV/0!</v>
      </c>
      <c r="W21" s="96"/>
      <c r="X21" s="10" t="e">
        <f t="shared" si="35"/>
        <v>#DIV/0!</v>
      </c>
      <c r="Y21" s="10">
        <f t="shared" si="36"/>
        <v>0</v>
      </c>
      <c r="Z21" s="10" t="e">
        <f t="shared" si="37"/>
        <v>#DIV/0!</v>
      </c>
      <c r="AA21" s="96"/>
      <c r="AB21" s="10" t="e">
        <f t="shared" si="8"/>
        <v>#DIV/0!</v>
      </c>
      <c r="AC21" s="10">
        <f t="shared" si="38"/>
        <v>0</v>
      </c>
      <c r="AD21" s="10" t="e">
        <f t="shared" si="9"/>
        <v>#DIV/0!</v>
      </c>
      <c r="AE21" s="96"/>
      <c r="AF21" s="10" t="e">
        <f t="shared" si="10"/>
        <v>#DIV/0!</v>
      </c>
      <c r="AG21" s="10">
        <f t="shared" si="39"/>
        <v>0</v>
      </c>
      <c r="AH21" s="10" t="e">
        <f t="shared" si="11"/>
        <v>#DIV/0!</v>
      </c>
      <c r="AI21" s="96"/>
      <c r="AJ21" s="10" t="e">
        <f t="shared" si="12"/>
        <v>#DIV/0!</v>
      </c>
      <c r="AK21" s="10">
        <f t="shared" si="40"/>
        <v>0</v>
      </c>
      <c r="AL21" s="10" t="e">
        <f t="shared" si="13"/>
        <v>#DIV/0!</v>
      </c>
      <c r="AM21" s="10">
        <f t="shared" si="41"/>
        <v>0</v>
      </c>
      <c r="AN21" s="10" t="e">
        <f t="shared" si="14"/>
        <v>#DIV/0!</v>
      </c>
      <c r="AO21" s="10">
        <f t="shared" si="42"/>
        <v>0</v>
      </c>
      <c r="AP21" s="10" t="e">
        <f t="shared" si="15"/>
        <v>#DIV/0!</v>
      </c>
      <c r="AQ21" s="96"/>
      <c r="AR21" s="10" t="e">
        <f t="shared" si="16"/>
        <v>#DIV/0!</v>
      </c>
      <c r="AS21" s="10">
        <f t="shared" si="43"/>
        <v>0</v>
      </c>
      <c r="AT21" s="10" t="e">
        <f t="shared" si="17"/>
        <v>#DIV/0!</v>
      </c>
      <c r="AU21" s="96"/>
      <c r="AV21" s="10" t="e">
        <f t="shared" si="18"/>
        <v>#DIV/0!</v>
      </c>
      <c r="AW21" s="10">
        <f t="shared" si="44"/>
        <v>0</v>
      </c>
      <c r="AX21" s="10" t="e">
        <f t="shared" si="19"/>
        <v>#DIV/0!</v>
      </c>
      <c r="AY21" s="96"/>
      <c r="AZ21" s="15" t="e">
        <f t="shared" si="20"/>
        <v>#DIV/0!</v>
      </c>
      <c r="BA21" s="10">
        <f t="shared" si="45"/>
        <v>0</v>
      </c>
      <c r="BB21" s="10" t="e">
        <f t="shared" si="21"/>
        <v>#DIV/0!</v>
      </c>
      <c r="BC21" s="10">
        <f t="shared" si="46"/>
        <v>0</v>
      </c>
      <c r="BD21" s="10" t="e">
        <f t="shared" si="22"/>
        <v>#DIV/0!</v>
      </c>
      <c r="BE21" s="10">
        <f t="shared" si="47"/>
        <v>0</v>
      </c>
      <c r="BF21" s="10" t="e">
        <f t="shared" si="23"/>
        <v>#DIV/0!</v>
      </c>
      <c r="BG21" s="96"/>
      <c r="BH21" s="10" t="e">
        <f t="shared" si="24"/>
        <v>#DIV/0!</v>
      </c>
      <c r="BI21" s="10">
        <f t="shared" si="48"/>
        <v>0</v>
      </c>
      <c r="BJ21" s="10" t="e">
        <f t="shared" si="25"/>
        <v>#DIV/0!</v>
      </c>
      <c r="BK21" s="10">
        <f t="shared" si="26"/>
        <v>0</v>
      </c>
      <c r="BL21" s="10">
        <f t="shared" si="49"/>
        <v>0</v>
      </c>
      <c r="BM21" s="511" t="e">
        <f t="shared" si="27"/>
        <v>#DIV/0!</v>
      </c>
      <c r="BN21" s="10" t="e">
        <f t="shared" si="28"/>
        <v>#DIV/0!</v>
      </c>
      <c r="BR21" s="14"/>
      <c r="BS21" s="14"/>
      <c r="BV21" s="14"/>
      <c r="BW21" s="14"/>
    </row>
    <row r="22" spans="1:75">
      <c r="A22" s="16">
        <f>+Report1!A21</f>
        <v>45974</v>
      </c>
      <c r="B22" s="6" t="str">
        <f>+Chem!B21</f>
        <v>STOP</v>
      </c>
      <c r="C22" s="16" t="str">
        <f>+Chem!C21</f>
        <v>12</v>
      </c>
      <c r="D22" s="8">
        <f>+Chem!D21</f>
        <v>0</v>
      </c>
      <c r="E22" s="7">
        <f>+Chem!E21</f>
        <v>0</v>
      </c>
      <c r="F22" s="7">
        <f t="shared" si="29"/>
        <v>0</v>
      </c>
      <c r="G22" s="96"/>
      <c r="H22" s="10" t="e">
        <f t="shared" si="0"/>
        <v>#DIV/0!</v>
      </c>
      <c r="I22" s="8">
        <f t="shared" si="30"/>
        <v>0</v>
      </c>
      <c r="J22" s="10" t="e">
        <f t="shared" si="1"/>
        <v>#DIV/0!</v>
      </c>
      <c r="K22" s="96"/>
      <c r="L22" s="10" t="e">
        <f t="shared" si="2"/>
        <v>#DIV/0!</v>
      </c>
      <c r="M22" s="10">
        <f t="shared" si="31"/>
        <v>0</v>
      </c>
      <c r="N22" s="10" t="e">
        <f t="shared" si="3"/>
        <v>#DIV/0!</v>
      </c>
      <c r="O22" s="96"/>
      <c r="P22" s="10" t="e">
        <f t="shared" si="4"/>
        <v>#DIV/0!</v>
      </c>
      <c r="Q22" s="10">
        <f t="shared" si="32"/>
        <v>0</v>
      </c>
      <c r="R22" s="10" t="e">
        <f t="shared" si="5"/>
        <v>#DIV/0!</v>
      </c>
      <c r="S22" s="10">
        <f t="shared" si="33"/>
        <v>0</v>
      </c>
      <c r="T22" s="10" t="e">
        <f t="shared" si="6"/>
        <v>#DIV/0!</v>
      </c>
      <c r="U22" s="10">
        <f t="shared" si="34"/>
        <v>0</v>
      </c>
      <c r="V22" s="10" t="e">
        <f t="shared" si="7"/>
        <v>#DIV/0!</v>
      </c>
      <c r="W22" s="96"/>
      <c r="X22" s="10" t="e">
        <f t="shared" si="35"/>
        <v>#DIV/0!</v>
      </c>
      <c r="Y22" s="10">
        <f t="shared" si="36"/>
        <v>0</v>
      </c>
      <c r="Z22" s="10" t="e">
        <f t="shared" si="37"/>
        <v>#DIV/0!</v>
      </c>
      <c r="AA22" s="96"/>
      <c r="AB22" s="10" t="e">
        <f t="shared" si="8"/>
        <v>#DIV/0!</v>
      </c>
      <c r="AC22" s="10">
        <f t="shared" si="38"/>
        <v>0</v>
      </c>
      <c r="AD22" s="10" t="e">
        <f t="shared" si="9"/>
        <v>#DIV/0!</v>
      </c>
      <c r="AE22" s="96"/>
      <c r="AF22" s="10" t="e">
        <f t="shared" si="10"/>
        <v>#DIV/0!</v>
      </c>
      <c r="AG22" s="10">
        <f t="shared" si="39"/>
        <v>0</v>
      </c>
      <c r="AH22" s="10" t="e">
        <f t="shared" si="11"/>
        <v>#DIV/0!</v>
      </c>
      <c r="AI22" s="96"/>
      <c r="AJ22" s="10" t="e">
        <f t="shared" si="12"/>
        <v>#DIV/0!</v>
      </c>
      <c r="AK22" s="10">
        <f t="shared" si="40"/>
        <v>0</v>
      </c>
      <c r="AL22" s="10" t="e">
        <f t="shared" si="13"/>
        <v>#DIV/0!</v>
      </c>
      <c r="AM22" s="10">
        <f t="shared" si="41"/>
        <v>0</v>
      </c>
      <c r="AN22" s="10" t="e">
        <f t="shared" si="14"/>
        <v>#DIV/0!</v>
      </c>
      <c r="AO22" s="10">
        <f t="shared" si="42"/>
        <v>0</v>
      </c>
      <c r="AP22" s="10" t="e">
        <f t="shared" si="15"/>
        <v>#DIV/0!</v>
      </c>
      <c r="AQ22" s="96"/>
      <c r="AR22" s="10" t="e">
        <f t="shared" si="16"/>
        <v>#DIV/0!</v>
      </c>
      <c r="AS22" s="10">
        <f t="shared" si="43"/>
        <v>0</v>
      </c>
      <c r="AT22" s="10" t="e">
        <f t="shared" si="17"/>
        <v>#DIV/0!</v>
      </c>
      <c r="AU22" s="96"/>
      <c r="AV22" s="10" t="e">
        <f t="shared" si="18"/>
        <v>#DIV/0!</v>
      </c>
      <c r="AW22" s="10">
        <f t="shared" si="44"/>
        <v>0</v>
      </c>
      <c r="AX22" s="10" t="e">
        <f t="shared" si="19"/>
        <v>#DIV/0!</v>
      </c>
      <c r="AY22" s="96"/>
      <c r="AZ22" s="15" t="e">
        <f t="shared" si="20"/>
        <v>#DIV/0!</v>
      </c>
      <c r="BA22" s="10">
        <f t="shared" si="45"/>
        <v>0</v>
      </c>
      <c r="BB22" s="10" t="e">
        <f t="shared" si="21"/>
        <v>#DIV/0!</v>
      </c>
      <c r="BC22" s="10">
        <f t="shared" si="46"/>
        <v>0</v>
      </c>
      <c r="BD22" s="10" t="e">
        <f t="shared" si="22"/>
        <v>#DIV/0!</v>
      </c>
      <c r="BE22" s="10">
        <f t="shared" si="47"/>
        <v>0</v>
      </c>
      <c r="BF22" s="10" t="e">
        <f t="shared" si="23"/>
        <v>#DIV/0!</v>
      </c>
      <c r="BG22" s="96"/>
      <c r="BH22" s="10" t="e">
        <f t="shared" si="24"/>
        <v>#DIV/0!</v>
      </c>
      <c r="BI22" s="10">
        <f t="shared" si="48"/>
        <v>0</v>
      </c>
      <c r="BJ22" s="10" t="e">
        <f t="shared" si="25"/>
        <v>#DIV/0!</v>
      </c>
      <c r="BK22" s="10">
        <f t="shared" si="26"/>
        <v>0</v>
      </c>
      <c r="BL22" s="10">
        <f t="shared" si="49"/>
        <v>0</v>
      </c>
      <c r="BM22" s="511" t="e">
        <f t="shared" si="27"/>
        <v>#DIV/0!</v>
      </c>
      <c r="BN22" s="10" t="e">
        <f t="shared" si="28"/>
        <v>#DIV/0!</v>
      </c>
      <c r="BR22" s="14"/>
      <c r="BS22" s="14"/>
      <c r="BV22" s="14"/>
      <c r="BW22" s="14"/>
    </row>
    <row r="23" spans="1:75">
      <c r="A23" s="16">
        <f>+Report1!A22</f>
        <v>45975</v>
      </c>
      <c r="B23" s="6" t="str">
        <f>+Chem!B22</f>
        <v>STOP</v>
      </c>
      <c r="C23" s="16" t="str">
        <f>+Chem!C22</f>
        <v>12</v>
      </c>
      <c r="D23" s="8">
        <f>+Chem!D22</f>
        <v>0</v>
      </c>
      <c r="E23" s="7">
        <f>+Chem!E22</f>
        <v>0</v>
      </c>
      <c r="F23" s="7">
        <f t="shared" si="29"/>
        <v>0</v>
      </c>
      <c r="G23" s="96"/>
      <c r="H23" s="10" t="e">
        <f t="shared" si="0"/>
        <v>#DIV/0!</v>
      </c>
      <c r="I23" s="8">
        <f t="shared" si="30"/>
        <v>0</v>
      </c>
      <c r="J23" s="10" t="e">
        <f t="shared" si="1"/>
        <v>#DIV/0!</v>
      </c>
      <c r="K23" s="96"/>
      <c r="L23" s="10" t="e">
        <f t="shared" si="2"/>
        <v>#DIV/0!</v>
      </c>
      <c r="M23" s="10">
        <f t="shared" si="31"/>
        <v>0</v>
      </c>
      <c r="N23" s="10" t="e">
        <f t="shared" si="3"/>
        <v>#DIV/0!</v>
      </c>
      <c r="O23" s="96"/>
      <c r="P23" s="10" t="e">
        <f t="shared" si="4"/>
        <v>#DIV/0!</v>
      </c>
      <c r="Q23" s="10">
        <f t="shared" si="32"/>
        <v>0</v>
      </c>
      <c r="R23" s="10" t="e">
        <f t="shared" si="5"/>
        <v>#DIV/0!</v>
      </c>
      <c r="S23" s="10">
        <f t="shared" si="33"/>
        <v>0</v>
      </c>
      <c r="T23" s="10" t="e">
        <f t="shared" si="6"/>
        <v>#DIV/0!</v>
      </c>
      <c r="U23" s="10">
        <f t="shared" si="34"/>
        <v>0</v>
      </c>
      <c r="V23" s="10" t="e">
        <f t="shared" si="7"/>
        <v>#DIV/0!</v>
      </c>
      <c r="W23" s="96"/>
      <c r="X23" s="10" t="e">
        <f t="shared" si="35"/>
        <v>#DIV/0!</v>
      </c>
      <c r="Y23" s="10">
        <f t="shared" si="36"/>
        <v>0</v>
      </c>
      <c r="Z23" s="10" t="e">
        <f t="shared" si="37"/>
        <v>#DIV/0!</v>
      </c>
      <c r="AA23" s="96"/>
      <c r="AB23" s="10" t="e">
        <f t="shared" si="8"/>
        <v>#DIV/0!</v>
      </c>
      <c r="AC23" s="10">
        <f t="shared" si="38"/>
        <v>0</v>
      </c>
      <c r="AD23" s="10" t="e">
        <f t="shared" si="9"/>
        <v>#DIV/0!</v>
      </c>
      <c r="AE23" s="96"/>
      <c r="AF23" s="10" t="e">
        <f t="shared" si="10"/>
        <v>#DIV/0!</v>
      </c>
      <c r="AG23" s="10">
        <f t="shared" si="39"/>
        <v>0</v>
      </c>
      <c r="AH23" s="10" t="e">
        <f t="shared" si="11"/>
        <v>#DIV/0!</v>
      </c>
      <c r="AI23" s="96"/>
      <c r="AJ23" s="10" t="e">
        <f t="shared" si="12"/>
        <v>#DIV/0!</v>
      </c>
      <c r="AK23" s="10">
        <f t="shared" si="40"/>
        <v>0</v>
      </c>
      <c r="AL23" s="10" t="e">
        <f t="shared" si="13"/>
        <v>#DIV/0!</v>
      </c>
      <c r="AM23" s="10">
        <f t="shared" si="41"/>
        <v>0</v>
      </c>
      <c r="AN23" s="10" t="e">
        <f t="shared" si="14"/>
        <v>#DIV/0!</v>
      </c>
      <c r="AO23" s="10">
        <f t="shared" si="42"/>
        <v>0</v>
      </c>
      <c r="AP23" s="10" t="e">
        <f t="shared" si="15"/>
        <v>#DIV/0!</v>
      </c>
      <c r="AQ23" s="96"/>
      <c r="AR23" s="10" t="e">
        <f t="shared" si="16"/>
        <v>#DIV/0!</v>
      </c>
      <c r="AS23" s="10">
        <f t="shared" si="43"/>
        <v>0</v>
      </c>
      <c r="AT23" s="10" t="e">
        <f t="shared" si="17"/>
        <v>#DIV/0!</v>
      </c>
      <c r="AU23" s="96"/>
      <c r="AV23" s="10" t="e">
        <f t="shared" si="18"/>
        <v>#DIV/0!</v>
      </c>
      <c r="AW23" s="10">
        <f t="shared" si="44"/>
        <v>0</v>
      </c>
      <c r="AX23" s="10" t="e">
        <f t="shared" si="19"/>
        <v>#DIV/0!</v>
      </c>
      <c r="AY23" s="96"/>
      <c r="AZ23" s="15" t="e">
        <f t="shared" si="20"/>
        <v>#DIV/0!</v>
      </c>
      <c r="BA23" s="10">
        <f t="shared" si="45"/>
        <v>0</v>
      </c>
      <c r="BB23" s="10" t="e">
        <f t="shared" si="21"/>
        <v>#DIV/0!</v>
      </c>
      <c r="BC23" s="10">
        <f t="shared" si="46"/>
        <v>0</v>
      </c>
      <c r="BD23" s="10" t="e">
        <f t="shared" si="22"/>
        <v>#DIV/0!</v>
      </c>
      <c r="BE23" s="10">
        <f t="shared" si="47"/>
        <v>0</v>
      </c>
      <c r="BF23" s="10" t="e">
        <f t="shared" si="23"/>
        <v>#DIV/0!</v>
      </c>
      <c r="BG23" s="96"/>
      <c r="BH23" s="10" t="e">
        <f t="shared" si="24"/>
        <v>#DIV/0!</v>
      </c>
      <c r="BI23" s="10">
        <f t="shared" si="48"/>
        <v>0</v>
      </c>
      <c r="BJ23" s="10" t="e">
        <f t="shared" si="25"/>
        <v>#DIV/0!</v>
      </c>
      <c r="BK23" s="10">
        <f t="shared" si="26"/>
        <v>0</v>
      </c>
      <c r="BL23" s="10">
        <f t="shared" si="49"/>
        <v>0</v>
      </c>
      <c r="BM23" s="511" t="e">
        <f t="shared" si="27"/>
        <v>#DIV/0!</v>
      </c>
      <c r="BN23" s="10" t="e">
        <f t="shared" si="28"/>
        <v>#DIV/0!</v>
      </c>
      <c r="BV23" s="14"/>
      <c r="BW23" s="14"/>
    </row>
    <row r="24" spans="1:75">
      <c r="A24" s="16">
        <f>+Report1!A23</f>
        <v>45976</v>
      </c>
      <c r="B24" s="6" t="str">
        <f>+Chem!B23</f>
        <v>STOP</v>
      </c>
      <c r="C24" s="16" t="str">
        <f>+Chem!C23</f>
        <v>12</v>
      </c>
      <c r="D24" s="8">
        <f>+Chem!D23</f>
        <v>0</v>
      </c>
      <c r="E24" s="7">
        <f>+Chem!E23</f>
        <v>0</v>
      </c>
      <c r="F24" s="7">
        <f t="shared" si="29"/>
        <v>0</v>
      </c>
      <c r="G24" s="96">
        <f>2*G7</f>
        <v>500</v>
      </c>
      <c r="H24" s="10">
        <f t="shared" si="0"/>
        <v>19.986728812068787</v>
      </c>
      <c r="I24" s="8">
        <f t="shared" si="30"/>
        <v>500</v>
      </c>
      <c r="J24" s="10">
        <f t="shared" si="1"/>
        <v>19.986728812068787</v>
      </c>
      <c r="K24" s="96"/>
      <c r="L24" s="10">
        <f t="shared" si="2"/>
        <v>0</v>
      </c>
      <c r="M24" s="10">
        <f t="shared" si="31"/>
        <v>0</v>
      </c>
      <c r="N24" s="10">
        <f t="shared" si="3"/>
        <v>0</v>
      </c>
      <c r="O24" s="96"/>
      <c r="P24" s="10">
        <f t="shared" si="4"/>
        <v>0</v>
      </c>
      <c r="Q24" s="10">
        <f t="shared" si="32"/>
        <v>0</v>
      </c>
      <c r="R24" s="10">
        <f t="shared" si="5"/>
        <v>0</v>
      </c>
      <c r="S24" s="10">
        <f t="shared" si="33"/>
        <v>500</v>
      </c>
      <c r="T24" s="10">
        <f t="shared" si="6"/>
        <v>19.986728812068787</v>
      </c>
      <c r="U24" s="10">
        <f t="shared" si="34"/>
        <v>500</v>
      </c>
      <c r="V24" s="10">
        <f t="shared" si="7"/>
        <v>19.986728812068787</v>
      </c>
      <c r="W24" s="96">
        <f>4*W7</f>
        <v>995.524</v>
      </c>
      <c r="X24" s="10">
        <f t="shared" si="35"/>
        <v>39.794536427811934</v>
      </c>
      <c r="Y24" s="10">
        <f t="shared" si="36"/>
        <v>995.524</v>
      </c>
      <c r="Z24" s="10">
        <f t="shared" si="37"/>
        <v>39.794536427811934</v>
      </c>
      <c r="AA24" s="96">
        <f>4*AA7</f>
        <v>1006.136</v>
      </c>
      <c r="AB24" s="10">
        <f t="shared" si="8"/>
        <v>40.218734760119276</v>
      </c>
      <c r="AC24" s="10">
        <f t="shared" si="38"/>
        <v>1006.136</v>
      </c>
      <c r="AD24" s="10">
        <f t="shared" si="9"/>
        <v>40.218734760119276</v>
      </c>
      <c r="AE24" s="96"/>
      <c r="AF24" s="10">
        <f t="shared" si="10"/>
        <v>0</v>
      </c>
      <c r="AG24" s="10">
        <f t="shared" si="39"/>
        <v>0</v>
      </c>
      <c r="AH24" s="10">
        <f t="shared" si="11"/>
        <v>0</v>
      </c>
      <c r="AI24" s="96"/>
      <c r="AJ24" s="10">
        <f t="shared" si="12"/>
        <v>0</v>
      </c>
      <c r="AK24" s="10">
        <f t="shared" si="40"/>
        <v>0</v>
      </c>
      <c r="AL24" s="10">
        <f t="shared" si="13"/>
        <v>0</v>
      </c>
      <c r="AM24" s="10">
        <f t="shared" si="41"/>
        <v>2001.6599999999999</v>
      </c>
      <c r="AN24" s="10">
        <f t="shared" si="14"/>
        <v>80.01327118793121</v>
      </c>
      <c r="AO24" s="10">
        <f t="shared" si="42"/>
        <v>2001.6599999999999</v>
      </c>
      <c r="AP24" s="10">
        <f t="shared" si="15"/>
        <v>80.01327118793121</v>
      </c>
      <c r="AQ24" s="96"/>
      <c r="AR24" s="10">
        <f t="shared" si="16"/>
        <v>0</v>
      </c>
      <c r="AS24" s="10">
        <f t="shared" si="43"/>
        <v>0</v>
      </c>
      <c r="AT24" s="10">
        <f t="shared" si="17"/>
        <v>0</v>
      </c>
      <c r="AU24" s="96"/>
      <c r="AV24" s="10">
        <f t="shared" si="18"/>
        <v>0</v>
      </c>
      <c r="AW24" s="10">
        <f t="shared" si="44"/>
        <v>0</v>
      </c>
      <c r="AX24" s="10">
        <f t="shared" si="19"/>
        <v>0</v>
      </c>
      <c r="AY24" s="96"/>
      <c r="AZ24" s="15">
        <f t="shared" si="20"/>
        <v>0</v>
      </c>
      <c r="BA24" s="10">
        <f t="shared" si="45"/>
        <v>0</v>
      </c>
      <c r="BB24" s="10">
        <f t="shared" si="21"/>
        <v>0</v>
      </c>
      <c r="BC24" s="10">
        <f t="shared" si="46"/>
        <v>0</v>
      </c>
      <c r="BD24" s="10">
        <f t="shared" si="22"/>
        <v>0</v>
      </c>
      <c r="BE24" s="10">
        <f t="shared" si="47"/>
        <v>0</v>
      </c>
      <c r="BF24" s="10">
        <f t="shared" si="23"/>
        <v>0</v>
      </c>
      <c r="BG24" s="96"/>
      <c r="BH24" s="10">
        <f t="shared" si="24"/>
        <v>0</v>
      </c>
      <c r="BI24" s="10">
        <f t="shared" si="48"/>
        <v>0</v>
      </c>
      <c r="BJ24" s="10">
        <f t="shared" si="25"/>
        <v>0</v>
      </c>
      <c r="BK24" s="10">
        <f t="shared" si="26"/>
        <v>2501.66</v>
      </c>
      <c r="BL24" s="10">
        <f t="shared" si="49"/>
        <v>2501.66</v>
      </c>
      <c r="BM24" s="511" t="e">
        <f t="shared" si="27"/>
        <v>#DIV/0!</v>
      </c>
      <c r="BN24" s="10" t="e">
        <f t="shared" si="28"/>
        <v>#DIV/0!</v>
      </c>
      <c r="BV24" s="14"/>
      <c r="BW24" s="14"/>
    </row>
    <row r="25" spans="1:75">
      <c r="A25" s="16">
        <f>+Report1!A24</f>
        <v>45977</v>
      </c>
      <c r="B25" s="6" t="str">
        <f>+Chem!B24</f>
        <v>Facial</v>
      </c>
      <c r="C25" s="16" t="str">
        <f>+Chem!C24</f>
        <v>12</v>
      </c>
      <c r="D25" s="8">
        <f>+Chem!D24</f>
        <v>24.817</v>
      </c>
      <c r="E25" s="7">
        <f>+Chem!E24</f>
        <v>22.440999999999999</v>
      </c>
      <c r="F25" s="7">
        <f t="shared" si="29"/>
        <v>22.440999999999999</v>
      </c>
      <c r="G25" s="96">
        <f>13.5*G7</f>
        <v>3375</v>
      </c>
      <c r="H25" s="10">
        <f t="shared" si="0"/>
        <v>12.786953442986668</v>
      </c>
      <c r="I25" s="8">
        <f t="shared" si="30"/>
        <v>3875</v>
      </c>
      <c r="J25" s="10">
        <f t="shared" si="1"/>
        <v>13.410276597769569</v>
      </c>
      <c r="K25" s="96"/>
      <c r="L25" s="10">
        <f t="shared" si="2"/>
        <v>0</v>
      </c>
      <c r="M25" s="10">
        <f t="shared" si="31"/>
        <v>0</v>
      </c>
      <c r="N25" s="10">
        <f t="shared" si="3"/>
        <v>0</v>
      </c>
      <c r="O25" s="96"/>
      <c r="P25" s="10">
        <f t="shared" si="4"/>
        <v>0</v>
      </c>
      <c r="Q25" s="10">
        <f t="shared" si="32"/>
        <v>0</v>
      </c>
      <c r="R25" s="10">
        <f t="shared" si="5"/>
        <v>0</v>
      </c>
      <c r="S25" s="10">
        <f t="shared" si="33"/>
        <v>3375</v>
      </c>
      <c r="T25" s="10">
        <f t="shared" si="6"/>
        <v>12.786953442986668</v>
      </c>
      <c r="U25" s="10">
        <f t="shared" si="34"/>
        <v>3875</v>
      </c>
      <c r="V25" s="10">
        <f t="shared" si="7"/>
        <v>13.410276597769569</v>
      </c>
      <c r="W25" s="96">
        <f>46*W7</f>
        <v>11448.526</v>
      </c>
      <c r="X25" s="10">
        <f t="shared" si="35"/>
        <v>43.375338948984407</v>
      </c>
      <c r="Y25" s="10">
        <f t="shared" si="36"/>
        <v>11448.526</v>
      </c>
      <c r="Z25" s="10">
        <f t="shared" si="37"/>
        <v>39.620103302388756</v>
      </c>
      <c r="AA25" s="96">
        <f>46*AA7</f>
        <v>11570.564</v>
      </c>
      <c r="AB25" s="10">
        <f t="shared" si="8"/>
        <v>43.837707608028921</v>
      </c>
      <c r="AC25" s="10">
        <f t="shared" si="38"/>
        <v>12576.7</v>
      </c>
      <c r="AD25" s="10">
        <f t="shared" si="9"/>
        <v>43.524393725720913</v>
      </c>
      <c r="AE25" s="96"/>
      <c r="AF25" s="10">
        <f t="shared" si="10"/>
        <v>0</v>
      </c>
      <c r="AG25" s="10">
        <f t="shared" si="39"/>
        <v>0</v>
      </c>
      <c r="AH25" s="10">
        <f t="shared" si="11"/>
        <v>0</v>
      </c>
      <c r="AI25" s="96"/>
      <c r="AJ25" s="10">
        <f t="shared" si="12"/>
        <v>0</v>
      </c>
      <c r="AK25" s="10">
        <f t="shared" si="40"/>
        <v>0</v>
      </c>
      <c r="AL25" s="10">
        <f t="shared" si="13"/>
        <v>0</v>
      </c>
      <c r="AM25" s="10">
        <f t="shared" si="41"/>
        <v>23019.09</v>
      </c>
      <c r="AN25" s="10">
        <f t="shared" si="14"/>
        <v>87.213046557013328</v>
      </c>
      <c r="AO25" s="10">
        <f t="shared" si="42"/>
        <v>25020.75</v>
      </c>
      <c r="AP25" s="10">
        <f t="shared" si="15"/>
        <v>86.589723402230433</v>
      </c>
      <c r="AQ25" s="96"/>
      <c r="AR25" s="10">
        <f t="shared" si="16"/>
        <v>0</v>
      </c>
      <c r="AS25" s="10">
        <f t="shared" si="43"/>
        <v>0</v>
      </c>
      <c r="AT25" s="10">
        <f t="shared" si="17"/>
        <v>0</v>
      </c>
      <c r="AU25" s="96"/>
      <c r="AV25" s="10">
        <f t="shared" si="18"/>
        <v>0</v>
      </c>
      <c r="AW25" s="10">
        <f t="shared" si="44"/>
        <v>0</v>
      </c>
      <c r="AX25" s="10">
        <f t="shared" si="19"/>
        <v>0</v>
      </c>
      <c r="AY25" s="96"/>
      <c r="AZ25" s="15">
        <f t="shared" si="20"/>
        <v>0</v>
      </c>
      <c r="BA25" s="10">
        <f t="shared" si="45"/>
        <v>0</v>
      </c>
      <c r="BB25" s="10">
        <f t="shared" si="21"/>
        <v>0</v>
      </c>
      <c r="BC25" s="10">
        <f t="shared" si="46"/>
        <v>0</v>
      </c>
      <c r="BD25" s="10">
        <f t="shared" si="22"/>
        <v>0</v>
      </c>
      <c r="BE25" s="10">
        <f t="shared" si="47"/>
        <v>0</v>
      </c>
      <c r="BF25" s="10">
        <f t="shared" si="23"/>
        <v>0</v>
      </c>
      <c r="BG25" s="96"/>
      <c r="BH25" s="10">
        <f t="shared" si="24"/>
        <v>0</v>
      </c>
      <c r="BI25" s="10">
        <f t="shared" si="48"/>
        <v>0</v>
      </c>
      <c r="BJ25" s="10">
        <f t="shared" si="25"/>
        <v>0</v>
      </c>
      <c r="BK25" s="10">
        <f t="shared" si="26"/>
        <v>26394.09</v>
      </c>
      <c r="BL25" s="10">
        <f t="shared" si="49"/>
        <v>28895.75</v>
      </c>
      <c r="BM25" s="511">
        <f t="shared" si="27"/>
        <v>1.1761548059355644</v>
      </c>
      <c r="BN25" s="10">
        <f t="shared" si="28"/>
        <v>1.2876320128336527</v>
      </c>
      <c r="BV25" s="14"/>
      <c r="BW25" s="14"/>
    </row>
    <row r="26" spans="1:75">
      <c r="A26" s="16">
        <f>+Report1!A25</f>
        <v>45978</v>
      </c>
      <c r="B26" s="6" t="str">
        <f>+Chem!B25</f>
        <v>Facial</v>
      </c>
      <c r="C26" s="16" t="str">
        <f>+Chem!C25</f>
        <v>12</v>
      </c>
      <c r="D26" s="8">
        <f>+Chem!D25</f>
        <v>33.996000000000002</v>
      </c>
      <c r="E26" s="7">
        <f>+Chem!E25</f>
        <v>25.547000000000001</v>
      </c>
      <c r="F26" s="7">
        <f t="shared" si="29"/>
        <v>47.988</v>
      </c>
      <c r="G26" s="96">
        <f>11.75*G7</f>
        <v>2937.5</v>
      </c>
      <c r="H26" s="10">
        <f t="shared" si="0"/>
        <v>7.4063055078960689</v>
      </c>
      <c r="I26" s="8">
        <f t="shared" si="30"/>
        <v>6812.5</v>
      </c>
      <c r="J26" s="10">
        <f t="shared" si="1"/>
        <v>9.9368562922726635</v>
      </c>
      <c r="K26" s="96">
        <f>11*K7</f>
        <v>2355.1660000000002</v>
      </c>
      <c r="L26" s="10">
        <f t="shared" si="2"/>
        <v>5.9380694188287837</v>
      </c>
      <c r="M26" s="10">
        <f t="shared" si="31"/>
        <v>2355.1660000000002</v>
      </c>
      <c r="N26" s="10">
        <f t="shared" si="3"/>
        <v>3.4352948383774886</v>
      </c>
      <c r="O26" s="96"/>
      <c r="P26" s="10">
        <f t="shared" si="4"/>
        <v>0</v>
      </c>
      <c r="Q26" s="10">
        <f t="shared" si="32"/>
        <v>0</v>
      </c>
      <c r="R26" s="10">
        <f t="shared" si="5"/>
        <v>0</v>
      </c>
      <c r="S26" s="10">
        <f>G26+K26+O26</f>
        <v>5292.6660000000002</v>
      </c>
      <c r="T26" s="10">
        <f t="shared" si="6"/>
        <v>13.344374926724853</v>
      </c>
      <c r="U26" s="10">
        <f t="shared" si="34"/>
        <v>9167.6660000000011</v>
      </c>
      <c r="V26" s="10">
        <f t="shared" si="7"/>
        <v>13.372151130650153</v>
      </c>
      <c r="W26" s="96">
        <f>42*W7</f>
        <v>10453.002</v>
      </c>
      <c r="X26" s="10">
        <f t="shared" si="35"/>
        <v>26.355106820986762</v>
      </c>
      <c r="Y26" s="10">
        <f t="shared" si="36"/>
        <v>10453.002</v>
      </c>
      <c r="Z26" s="10">
        <f t="shared" si="37"/>
        <v>15.246969349994677</v>
      </c>
      <c r="AA26" s="96">
        <f>76*AA7</f>
        <v>19116.583999999999</v>
      </c>
      <c r="AB26" s="10">
        <f t="shared" si="8"/>
        <v>48.198557062589906</v>
      </c>
      <c r="AC26" s="10">
        <f t="shared" si="38"/>
        <v>31693.284</v>
      </c>
      <c r="AD26" s="10">
        <f t="shared" si="9"/>
        <v>46.228492996430759</v>
      </c>
      <c r="AE26" s="96">
        <f>18*AE7</f>
        <v>4799.8980000000001</v>
      </c>
      <c r="AF26" s="10">
        <f t="shared" si="10"/>
        <v>12.101961189698493</v>
      </c>
      <c r="AG26" s="10">
        <f t="shared" si="39"/>
        <v>4799.8980000000001</v>
      </c>
      <c r="AH26" s="10">
        <f t="shared" si="11"/>
        <v>7.0012325348355189</v>
      </c>
      <c r="AI26" s="96"/>
      <c r="AJ26" s="10">
        <f t="shared" si="12"/>
        <v>0</v>
      </c>
      <c r="AK26" s="10">
        <f t="shared" si="40"/>
        <v>0</v>
      </c>
      <c r="AL26" s="10">
        <f t="shared" si="13"/>
        <v>0</v>
      </c>
      <c r="AM26" s="10">
        <f>AA26+AE26+AI26+W26</f>
        <v>34369.483999999997</v>
      </c>
      <c r="AN26" s="10">
        <f t="shared" si="14"/>
        <v>86.655625073275161</v>
      </c>
      <c r="AO26" s="10">
        <f t="shared" si="42"/>
        <v>59390.233999999997</v>
      </c>
      <c r="AP26" s="10">
        <f t="shared" si="15"/>
        <v>86.627848869349862</v>
      </c>
      <c r="AQ26" s="96"/>
      <c r="AR26" s="10">
        <f t="shared" si="16"/>
        <v>0</v>
      </c>
      <c r="AS26" s="10">
        <f t="shared" si="43"/>
        <v>0</v>
      </c>
      <c r="AT26" s="10">
        <f t="shared" si="17"/>
        <v>0</v>
      </c>
      <c r="AU26" s="96"/>
      <c r="AV26" s="10">
        <f t="shared" si="18"/>
        <v>0</v>
      </c>
      <c r="AW26" s="10">
        <f t="shared" si="44"/>
        <v>0</v>
      </c>
      <c r="AX26" s="10">
        <f t="shared" si="19"/>
        <v>0</v>
      </c>
      <c r="AY26" s="96"/>
      <c r="AZ26" s="15">
        <f t="shared" si="20"/>
        <v>0</v>
      </c>
      <c r="BA26" s="10">
        <f t="shared" si="45"/>
        <v>0</v>
      </c>
      <c r="BB26" s="10">
        <f t="shared" si="21"/>
        <v>0</v>
      </c>
      <c r="BC26" s="10">
        <f t="shared" si="46"/>
        <v>0</v>
      </c>
      <c r="BD26" s="10">
        <f t="shared" si="22"/>
        <v>0</v>
      </c>
      <c r="BE26" s="10">
        <f t="shared" si="47"/>
        <v>0</v>
      </c>
      <c r="BF26" s="10">
        <f t="shared" si="23"/>
        <v>0</v>
      </c>
      <c r="BG26" s="96"/>
      <c r="BH26" s="10">
        <f t="shared" si="24"/>
        <v>0</v>
      </c>
      <c r="BI26" s="10">
        <f t="shared" si="48"/>
        <v>0</v>
      </c>
      <c r="BJ26" s="10">
        <f t="shared" si="25"/>
        <v>0</v>
      </c>
      <c r="BK26" s="10">
        <f t="shared" si="26"/>
        <v>39662.149999999994</v>
      </c>
      <c r="BL26" s="10">
        <f t="shared" si="49"/>
        <v>68557.899999999994</v>
      </c>
      <c r="BM26" s="511">
        <f t="shared" si="27"/>
        <v>1.5525169295807726</v>
      </c>
      <c r="BN26" s="10">
        <f t="shared" si="28"/>
        <v>1.4286467450195881</v>
      </c>
      <c r="BP26" s="14"/>
      <c r="BV26" s="14"/>
    </row>
    <row r="27" spans="1:75">
      <c r="A27" s="16">
        <f>+Report1!A26</f>
        <v>45979</v>
      </c>
      <c r="B27" s="6" t="str">
        <f>+Chem!B26</f>
        <v>Facial</v>
      </c>
      <c r="C27" s="16" t="str">
        <f>+Chem!C26</f>
        <v>12/10,3</v>
      </c>
      <c r="D27" s="8">
        <f>+Chem!D26</f>
        <v>35.665999999999997</v>
      </c>
      <c r="E27" s="7">
        <f>+Chem!E26</f>
        <v>34.366999999999997</v>
      </c>
      <c r="F27" s="7">
        <f t="shared" si="29"/>
        <v>82.35499999999999</v>
      </c>
      <c r="G27" s="96">
        <f>22.5*G7</f>
        <v>5625</v>
      </c>
      <c r="H27" s="10">
        <f t="shared" si="0"/>
        <v>15.320004248747846</v>
      </c>
      <c r="I27" s="8">
        <f t="shared" si="30"/>
        <v>12437.5</v>
      </c>
      <c r="J27" s="10">
        <f t="shared" si="1"/>
        <v>11.814340781157089</v>
      </c>
      <c r="K27" s="96"/>
      <c r="L27" s="10">
        <f t="shared" si="2"/>
        <v>0</v>
      </c>
      <c r="M27" s="10">
        <f t="shared" si="31"/>
        <v>2355.1660000000002</v>
      </c>
      <c r="N27" s="10">
        <f t="shared" si="3"/>
        <v>2.2371645202166528</v>
      </c>
      <c r="O27" s="96"/>
      <c r="P27" s="10">
        <f t="shared" si="4"/>
        <v>0</v>
      </c>
      <c r="Q27" s="10">
        <f t="shared" si="32"/>
        <v>0</v>
      </c>
      <c r="R27" s="10">
        <f t="shared" si="5"/>
        <v>0</v>
      </c>
      <c r="S27" s="10">
        <f t="shared" si="33"/>
        <v>5625</v>
      </c>
      <c r="T27" s="10">
        <f t="shared" si="6"/>
        <v>15.320004248747846</v>
      </c>
      <c r="U27" s="10">
        <f t="shared" si="34"/>
        <v>14792.666000000001</v>
      </c>
      <c r="V27" s="10">
        <f t="shared" si="7"/>
        <v>14.051505301373743</v>
      </c>
      <c r="W27" s="96"/>
      <c r="X27" s="10">
        <f t="shared" si="35"/>
        <v>0</v>
      </c>
      <c r="Y27" s="10">
        <f t="shared" si="36"/>
        <v>0</v>
      </c>
      <c r="Z27" s="10">
        <f t="shared" si="37"/>
        <v>0</v>
      </c>
      <c r="AA27" s="96">
        <f>60*AA7</f>
        <v>15092.039999999999</v>
      </c>
      <c r="AB27" s="10">
        <f t="shared" si="8"/>
        <v>41.104020786181763</v>
      </c>
      <c r="AC27" s="10">
        <f t="shared" si="38"/>
        <v>46785.324000000001</v>
      </c>
      <c r="AD27" s="10">
        <f t="shared" si="9"/>
        <v>44.441227038620909</v>
      </c>
      <c r="AE27" s="96">
        <f>60*AE7</f>
        <v>15999.66</v>
      </c>
      <c r="AF27" s="10">
        <f t="shared" si="10"/>
        <v>43.575974965070394</v>
      </c>
      <c r="AG27" s="10">
        <f t="shared" si="39"/>
        <v>20799.558000000001</v>
      </c>
      <c r="AH27" s="10">
        <f t="shared" si="11"/>
        <v>19.75743246709083</v>
      </c>
      <c r="AI27" s="96"/>
      <c r="AJ27" s="10">
        <f t="shared" si="12"/>
        <v>0</v>
      </c>
      <c r="AK27" s="10">
        <f t="shared" si="40"/>
        <v>0</v>
      </c>
      <c r="AL27" s="10">
        <f t="shared" si="13"/>
        <v>0</v>
      </c>
      <c r="AM27" s="10">
        <f t="shared" si="41"/>
        <v>31091.699999999997</v>
      </c>
      <c r="AN27" s="10">
        <f t="shared" si="14"/>
        <v>84.679995751252164</v>
      </c>
      <c r="AO27" s="10">
        <f t="shared" si="42"/>
        <v>90481.933999999994</v>
      </c>
      <c r="AP27" s="10">
        <f t="shared" si="15"/>
        <v>85.948494698626263</v>
      </c>
      <c r="AQ27" s="96"/>
      <c r="AR27" s="10">
        <f t="shared" si="16"/>
        <v>0</v>
      </c>
      <c r="AS27" s="10">
        <f t="shared" si="43"/>
        <v>0</v>
      </c>
      <c r="AT27" s="10">
        <f t="shared" si="17"/>
        <v>0</v>
      </c>
      <c r="AU27" s="96"/>
      <c r="AV27" s="10">
        <f t="shared" si="18"/>
        <v>0</v>
      </c>
      <c r="AW27" s="10">
        <f t="shared" si="44"/>
        <v>0</v>
      </c>
      <c r="AX27" s="10">
        <f t="shared" si="19"/>
        <v>0</v>
      </c>
      <c r="AY27" s="96"/>
      <c r="AZ27" s="15">
        <f t="shared" si="20"/>
        <v>0</v>
      </c>
      <c r="BA27" s="10">
        <f t="shared" si="45"/>
        <v>0</v>
      </c>
      <c r="BB27" s="10">
        <f t="shared" si="21"/>
        <v>0</v>
      </c>
      <c r="BC27" s="10">
        <f t="shared" si="46"/>
        <v>0</v>
      </c>
      <c r="BD27" s="10">
        <f t="shared" si="22"/>
        <v>0</v>
      </c>
      <c r="BE27" s="10">
        <f t="shared" si="47"/>
        <v>0</v>
      </c>
      <c r="BF27" s="10">
        <f t="shared" si="23"/>
        <v>0</v>
      </c>
      <c r="BG27" s="96"/>
      <c r="BH27" s="10">
        <f t="shared" si="24"/>
        <v>0</v>
      </c>
      <c r="BI27" s="10">
        <f t="shared" si="48"/>
        <v>0</v>
      </c>
      <c r="BJ27" s="10">
        <f t="shared" si="25"/>
        <v>0</v>
      </c>
      <c r="BK27" s="10">
        <f t="shared" si="26"/>
        <v>36716.699999999997</v>
      </c>
      <c r="BL27" s="10">
        <f t="shared" si="49"/>
        <v>105274.59999999999</v>
      </c>
      <c r="BM27" s="511">
        <f t="shared" si="27"/>
        <v>1.0683708208455787</v>
      </c>
      <c r="BN27" s="10">
        <f t="shared" si="28"/>
        <v>1.2783024710096533</v>
      </c>
      <c r="BV27" s="14"/>
    </row>
    <row r="28" spans="1:75">
      <c r="A28" s="16">
        <f>+Report1!A27</f>
        <v>45980</v>
      </c>
      <c r="B28" s="6" t="str">
        <f>+Chem!B27</f>
        <v>Facial</v>
      </c>
      <c r="C28" s="16" t="str">
        <f>+Chem!C27</f>
        <v>12</v>
      </c>
      <c r="D28" s="8">
        <f>+Chem!D27</f>
        <v>20.191000000000003</v>
      </c>
      <c r="E28" s="7">
        <f>+Chem!E27</f>
        <v>25.437000000000001</v>
      </c>
      <c r="F28" s="7">
        <f t="shared" si="29"/>
        <v>107.79199999999999</v>
      </c>
      <c r="G28" s="96">
        <f>11.75*G7</f>
        <v>2937.5</v>
      </c>
      <c r="H28" s="10">
        <f t="shared" si="0"/>
        <v>15.048868478780969</v>
      </c>
      <c r="I28" s="8">
        <f t="shared" si="30"/>
        <v>15375</v>
      </c>
      <c r="J28" s="10">
        <f t="shared" si="1"/>
        <v>12.320270294309822</v>
      </c>
      <c r="K28" s="96"/>
      <c r="L28" s="10">
        <f t="shared" si="2"/>
        <v>0</v>
      </c>
      <c r="M28" s="10">
        <f t="shared" si="31"/>
        <v>2355.1660000000002</v>
      </c>
      <c r="N28" s="10">
        <f t="shared" si="3"/>
        <v>1.8872378346646173</v>
      </c>
      <c r="O28" s="96"/>
      <c r="P28" s="10">
        <f t="shared" si="4"/>
        <v>0</v>
      </c>
      <c r="Q28" s="10">
        <f t="shared" si="32"/>
        <v>0</v>
      </c>
      <c r="R28" s="10">
        <f t="shared" si="5"/>
        <v>0</v>
      </c>
      <c r="S28" s="10">
        <f t="shared" si="33"/>
        <v>2937.5</v>
      </c>
      <c r="T28" s="10">
        <f t="shared" si="6"/>
        <v>15.048868478780969</v>
      </c>
      <c r="U28" s="10">
        <f t="shared" si="34"/>
        <v>17730.166000000001</v>
      </c>
      <c r="V28" s="10">
        <f t="shared" si="7"/>
        <v>14.207508128974441</v>
      </c>
      <c r="W28" s="96"/>
      <c r="X28" s="10">
        <f t="shared" si="35"/>
        <v>0</v>
      </c>
      <c r="Y28" s="10">
        <f t="shared" si="36"/>
        <v>0</v>
      </c>
      <c r="Z28" s="10">
        <f t="shared" si="37"/>
        <v>0</v>
      </c>
      <c r="AA28" s="96">
        <f>32*AA7</f>
        <v>8049.0879999999997</v>
      </c>
      <c r="AB28" s="10">
        <f t="shared" si="8"/>
        <v>41.235631212300987</v>
      </c>
      <c r="AC28" s="10">
        <f t="shared" si="38"/>
        <v>54834.411999999997</v>
      </c>
      <c r="AD28" s="10">
        <f t="shared" si="9"/>
        <v>43.939822911840395</v>
      </c>
      <c r="AE28" s="96">
        <f>32*AE7</f>
        <v>8533.152</v>
      </c>
      <c r="AF28" s="10">
        <f t="shared" si="10"/>
        <v>43.715500308918052</v>
      </c>
      <c r="AG28" s="10">
        <f t="shared" si="39"/>
        <v>29332.71</v>
      </c>
      <c r="AH28" s="10">
        <f t="shared" si="11"/>
        <v>23.50484004322632</v>
      </c>
      <c r="AI28" s="96"/>
      <c r="AJ28" s="10">
        <f t="shared" si="12"/>
        <v>0</v>
      </c>
      <c r="AK28" s="10">
        <f t="shared" si="40"/>
        <v>0</v>
      </c>
      <c r="AL28" s="10">
        <f t="shared" si="13"/>
        <v>0</v>
      </c>
      <c r="AM28" s="10">
        <f t="shared" si="41"/>
        <v>16582.239999999998</v>
      </c>
      <c r="AN28" s="10">
        <f t="shared" si="14"/>
        <v>84.95113152121904</v>
      </c>
      <c r="AO28" s="10">
        <f t="shared" si="42"/>
        <v>107064.174</v>
      </c>
      <c r="AP28" s="10">
        <f t="shared" si="15"/>
        <v>85.792491871025561</v>
      </c>
      <c r="AQ28" s="96"/>
      <c r="AR28" s="10">
        <f t="shared" si="16"/>
        <v>0</v>
      </c>
      <c r="AS28" s="10">
        <f t="shared" si="43"/>
        <v>0</v>
      </c>
      <c r="AT28" s="10">
        <f t="shared" si="17"/>
        <v>0</v>
      </c>
      <c r="AU28" s="96"/>
      <c r="AV28" s="10">
        <f t="shared" si="18"/>
        <v>0</v>
      </c>
      <c r="AW28" s="10">
        <f t="shared" si="44"/>
        <v>0</v>
      </c>
      <c r="AX28" s="10">
        <f t="shared" si="19"/>
        <v>0</v>
      </c>
      <c r="AY28" s="96"/>
      <c r="AZ28" s="15">
        <f t="shared" si="20"/>
        <v>0</v>
      </c>
      <c r="BA28" s="10">
        <f t="shared" si="45"/>
        <v>0</v>
      </c>
      <c r="BB28" s="10">
        <f t="shared" si="21"/>
        <v>0</v>
      </c>
      <c r="BC28" s="10">
        <f t="shared" si="46"/>
        <v>0</v>
      </c>
      <c r="BD28" s="10">
        <f t="shared" si="22"/>
        <v>0</v>
      </c>
      <c r="BE28" s="10">
        <f t="shared" si="47"/>
        <v>0</v>
      </c>
      <c r="BF28" s="10">
        <f t="shared" si="23"/>
        <v>0</v>
      </c>
      <c r="BG28" s="96"/>
      <c r="BH28" s="10">
        <f t="shared" si="24"/>
        <v>0</v>
      </c>
      <c r="BI28" s="10">
        <f t="shared" si="48"/>
        <v>0</v>
      </c>
      <c r="BJ28" s="10">
        <f t="shared" si="25"/>
        <v>0</v>
      </c>
      <c r="BK28" s="10">
        <f t="shared" si="26"/>
        <v>19519.739999999998</v>
      </c>
      <c r="BL28" s="10">
        <f t="shared" si="49"/>
        <v>124794.34</v>
      </c>
      <c r="BM28" s="511">
        <f t="shared" si="27"/>
        <v>0.76737586979596639</v>
      </c>
      <c r="BN28" s="10">
        <f t="shared" si="28"/>
        <v>1.1577328558705655</v>
      </c>
      <c r="BV28" s="14"/>
    </row>
    <row r="29" spans="1:75">
      <c r="A29" s="16">
        <f>+Report1!A28</f>
        <v>45981</v>
      </c>
      <c r="B29" s="6" t="str">
        <f>+Chem!B28</f>
        <v>Facial</v>
      </c>
      <c r="C29" s="16" t="str">
        <f>+Chem!C28</f>
        <v>13/14</v>
      </c>
      <c r="D29" s="8">
        <f>+Chem!D28</f>
        <v>19.975999999999999</v>
      </c>
      <c r="E29" s="7">
        <f>+Chem!E28</f>
        <v>11.805</v>
      </c>
      <c r="F29" s="7">
        <f t="shared" si="29"/>
        <v>119.59699999999998</v>
      </c>
      <c r="G29" s="96">
        <f>14.75*G7</f>
        <v>3687.5</v>
      </c>
      <c r="H29" s="10">
        <f t="shared" si="0"/>
        <v>15.772762716482505</v>
      </c>
      <c r="I29" s="8">
        <f t="shared" si="30"/>
        <v>19062.5</v>
      </c>
      <c r="J29" s="10">
        <f t="shared" si="1"/>
        <v>12.865007685260329</v>
      </c>
      <c r="K29" s="96"/>
      <c r="L29" s="10">
        <f t="shared" si="2"/>
        <v>0</v>
      </c>
      <c r="M29" s="10">
        <f t="shared" si="31"/>
        <v>2355.1660000000002</v>
      </c>
      <c r="N29" s="10">
        <f t="shared" si="3"/>
        <v>1.5894677345607253</v>
      </c>
      <c r="O29" s="96"/>
      <c r="P29" s="10">
        <f t="shared" si="4"/>
        <v>0</v>
      </c>
      <c r="Q29" s="10">
        <f t="shared" si="32"/>
        <v>0</v>
      </c>
      <c r="R29" s="10">
        <f t="shared" si="5"/>
        <v>0</v>
      </c>
      <c r="S29" s="10">
        <f t="shared" si="33"/>
        <v>3687.5</v>
      </c>
      <c r="T29" s="10">
        <f t="shared" si="6"/>
        <v>15.772762716482505</v>
      </c>
      <c r="U29" s="10">
        <f t="shared" si="34"/>
        <v>21417.666000000001</v>
      </c>
      <c r="V29" s="10">
        <f t="shared" si="7"/>
        <v>14.454475419821055</v>
      </c>
      <c r="W29" s="96"/>
      <c r="X29" s="10">
        <f t="shared" si="35"/>
        <v>0</v>
      </c>
      <c r="Y29" s="10">
        <f t="shared" si="36"/>
        <v>0</v>
      </c>
      <c r="Z29" s="10">
        <f t="shared" si="37"/>
        <v>0</v>
      </c>
      <c r="AA29" s="96">
        <f>38*AA7</f>
        <v>9558.2919999999995</v>
      </c>
      <c r="AB29" s="10">
        <f t="shared" si="8"/>
        <v>40.884249950061829</v>
      </c>
      <c r="AC29" s="10">
        <f t="shared" si="38"/>
        <v>64392.703999999998</v>
      </c>
      <c r="AD29" s="10">
        <f t="shared" si="9"/>
        <v>43.457711833951137</v>
      </c>
      <c r="AE29" s="96">
        <f>38*AE7</f>
        <v>10133.118</v>
      </c>
      <c r="AF29" s="10">
        <f t="shared" si="10"/>
        <v>43.342987333455667</v>
      </c>
      <c r="AG29" s="10">
        <f t="shared" si="39"/>
        <v>39465.828000000001</v>
      </c>
      <c r="AH29" s="10">
        <f t="shared" si="11"/>
        <v>26.634920945582287</v>
      </c>
      <c r="AI29" s="96"/>
      <c r="AJ29" s="10">
        <f t="shared" si="12"/>
        <v>0</v>
      </c>
      <c r="AK29" s="10">
        <f t="shared" si="40"/>
        <v>0</v>
      </c>
      <c r="AL29" s="10">
        <f t="shared" si="13"/>
        <v>0</v>
      </c>
      <c r="AM29" s="10">
        <f t="shared" si="41"/>
        <v>19691.41</v>
      </c>
      <c r="AN29" s="10">
        <f t="shared" si="14"/>
        <v>84.227237283517496</v>
      </c>
      <c r="AO29" s="10">
        <f t="shared" si="42"/>
        <v>126755.584</v>
      </c>
      <c r="AP29" s="10">
        <f t="shared" si="15"/>
        <v>85.545524580178949</v>
      </c>
      <c r="AQ29" s="96"/>
      <c r="AR29" s="10">
        <f t="shared" si="16"/>
        <v>0</v>
      </c>
      <c r="AS29" s="10">
        <f t="shared" si="43"/>
        <v>0</v>
      </c>
      <c r="AT29" s="10">
        <f t="shared" si="17"/>
        <v>0</v>
      </c>
      <c r="AU29" s="96"/>
      <c r="AV29" s="10">
        <f t="shared" si="18"/>
        <v>0</v>
      </c>
      <c r="AW29" s="10">
        <f t="shared" si="44"/>
        <v>0</v>
      </c>
      <c r="AX29" s="10">
        <f t="shared" si="19"/>
        <v>0</v>
      </c>
      <c r="AY29" s="96"/>
      <c r="AZ29" s="15">
        <f t="shared" si="20"/>
        <v>0</v>
      </c>
      <c r="BA29" s="10">
        <f t="shared" si="45"/>
        <v>0</v>
      </c>
      <c r="BB29" s="10">
        <f t="shared" si="21"/>
        <v>0</v>
      </c>
      <c r="BC29" s="10">
        <f t="shared" si="46"/>
        <v>0</v>
      </c>
      <c r="BD29" s="10">
        <f t="shared" si="22"/>
        <v>0</v>
      </c>
      <c r="BE29" s="10">
        <f t="shared" si="47"/>
        <v>0</v>
      </c>
      <c r="BF29" s="10">
        <f t="shared" si="23"/>
        <v>0</v>
      </c>
      <c r="BG29" s="96"/>
      <c r="BH29" s="10">
        <f t="shared" si="24"/>
        <v>0</v>
      </c>
      <c r="BI29" s="10">
        <f t="shared" si="48"/>
        <v>0</v>
      </c>
      <c r="BJ29" s="10">
        <f t="shared" si="25"/>
        <v>0</v>
      </c>
      <c r="BK29" s="10">
        <f t="shared" si="26"/>
        <v>23378.91</v>
      </c>
      <c r="BL29" s="10">
        <f t="shared" si="49"/>
        <v>148173.25</v>
      </c>
      <c r="BM29" s="511">
        <f t="shared" si="27"/>
        <v>1.9804243964421857</v>
      </c>
      <c r="BN29" s="10">
        <f t="shared" si="28"/>
        <v>1.2389378496116126</v>
      </c>
      <c r="BV29" s="14"/>
    </row>
    <row r="30" spans="1:75">
      <c r="A30" s="16">
        <f>+Report1!A29</f>
        <v>45982</v>
      </c>
      <c r="B30" s="6" t="str">
        <f>+Chem!B29</f>
        <v>Facial</v>
      </c>
      <c r="C30" s="16" t="str">
        <f>+Chem!C29</f>
        <v>13/14/11</v>
      </c>
      <c r="D30" s="8">
        <f>+Chem!D29</f>
        <v>39.033999999999999</v>
      </c>
      <c r="E30" s="7">
        <f>+Chem!E29</f>
        <v>39.662999999999997</v>
      </c>
      <c r="F30" s="7">
        <f t="shared" si="29"/>
        <v>159.26</v>
      </c>
      <c r="G30" s="96">
        <f>28.25*G7</f>
        <v>7062.5</v>
      </c>
      <c r="H30" s="10">
        <f t="shared" si="0"/>
        <v>18.020907569903898</v>
      </c>
      <c r="I30" s="8">
        <f t="shared" si="30"/>
        <v>26125</v>
      </c>
      <c r="J30" s="10">
        <f t="shared" si="1"/>
        <v>13.943458887264478</v>
      </c>
      <c r="K30" s="96"/>
      <c r="L30" s="10">
        <f t="shared" si="2"/>
        <v>0</v>
      </c>
      <c r="M30" s="10">
        <f t="shared" si="31"/>
        <v>2355.1660000000002</v>
      </c>
      <c r="N30" s="10">
        <f t="shared" si="3"/>
        <v>1.2570013509543785</v>
      </c>
      <c r="O30" s="96"/>
      <c r="P30" s="10">
        <f t="shared" si="4"/>
        <v>0</v>
      </c>
      <c r="Q30" s="10">
        <f t="shared" si="32"/>
        <v>0</v>
      </c>
      <c r="R30" s="10">
        <f t="shared" si="5"/>
        <v>0</v>
      </c>
      <c r="S30" s="10">
        <f t="shared" si="33"/>
        <v>7062.5</v>
      </c>
      <c r="T30" s="10">
        <f t="shared" si="6"/>
        <v>18.020907569903898</v>
      </c>
      <c r="U30" s="10">
        <f t="shared" si="34"/>
        <v>28480.166000000001</v>
      </c>
      <c r="V30" s="10">
        <f t="shared" si="7"/>
        <v>15.200460238218858</v>
      </c>
      <c r="W30" s="96"/>
      <c r="X30" s="10">
        <f t="shared" si="35"/>
        <v>0</v>
      </c>
      <c r="Y30" s="10">
        <f t="shared" si="36"/>
        <v>0</v>
      </c>
      <c r="Z30" s="10">
        <f t="shared" si="37"/>
        <v>0</v>
      </c>
      <c r="AA30" s="96">
        <f>62*AA7</f>
        <v>15595.108</v>
      </c>
      <c r="AB30" s="10">
        <f t="shared" si="8"/>
        <v>39.792991123634529</v>
      </c>
      <c r="AC30" s="10">
        <f t="shared" si="38"/>
        <v>79987.812000000005</v>
      </c>
      <c r="AD30" s="10">
        <f t="shared" si="9"/>
        <v>42.691168157100115</v>
      </c>
      <c r="AE30" s="96">
        <f>62*AE7</f>
        <v>16532.982</v>
      </c>
      <c r="AF30" s="10">
        <f t="shared" si="10"/>
        <v>42.18610130646158</v>
      </c>
      <c r="AG30" s="10">
        <f t="shared" si="39"/>
        <v>55998.81</v>
      </c>
      <c r="AH30" s="10">
        <f t="shared" si="11"/>
        <v>29.887736075434834</v>
      </c>
      <c r="AI30" s="96"/>
      <c r="AJ30" s="10">
        <f t="shared" si="12"/>
        <v>0</v>
      </c>
      <c r="AK30" s="10">
        <f t="shared" si="40"/>
        <v>0</v>
      </c>
      <c r="AL30" s="10">
        <f t="shared" si="13"/>
        <v>0</v>
      </c>
      <c r="AM30" s="10">
        <f t="shared" si="41"/>
        <v>32128.09</v>
      </c>
      <c r="AN30" s="10">
        <f t="shared" si="14"/>
        <v>81.979092430096117</v>
      </c>
      <c r="AO30" s="10">
        <f t="shared" si="42"/>
        <v>158883.674</v>
      </c>
      <c r="AP30" s="10">
        <f t="shared" si="15"/>
        <v>84.799539761781134</v>
      </c>
      <c r="AQ30" s="96"/>
      <c r="AR30" s="10">
        <f t="shared" si="16"/>
        <v>0</v>
      </c>
      <c r="AS30" s="10">
        <f t="shared" si="43"/>
        <v>0</v>
      </c>
      <c r="AT30" s="10">
        <f t="shared" si="17"/>
        <v>0</v>
      </c>
      <c r="AU30" s="96"/>
      <c r="AV30" s="10">
        <f t="shared" si="18"/>
        <v>0</v>
      </c>
      <c r="AW30" s="10">
        <f t="shared" si="44"/>
        <v>0</v>
      </c>
      <c r="AX30" s="10">
        <f t="shared" si="19"/>
        <v>0</v>
      </c>
      <c r="AY30" s="96"/>
      <c r="AZ30" s="15">
        <f t="shared" si="20"/>
        <v>0</v>
      </c>
      <c r="BA30" s="10">
        <f t="shared" si="45"/>
        <v>0</v>
      </c>
      <c r="BB30" s="10">
        <f t="shared" si="21"/>
        <v>0</v>
      </c>
      <c r="BC30" s="10">
        <f t="shared" si="46"/>
        <v>0</v>
      </c>
      <c r="BD30" s="10">
        <f t="shared" si="22"/>
        <v>0</v>
      </c>
      <c r="BE30" s="10">
        <f t="shared" si="47"/>
        <v>0</v>
      </c>
      <c r="BF30" s="10">
        <f t="shared" si="23"/>
        <v>0</v>
      </c>
      <c r="BG30" s="96"/>
      <c r="BH30" s="10">
        <f t="shared" si="24"/>
        <v>0</v>
      </c>
      <c r="BI30" s="10">
        <f t="shared" si="48"/>
        <v>0</v>
      </c>
      <c r="BJ30" s="10">
        <f t="shared" si="25"/>
        <v>0</v>
      </c>
      <c r="BK30" s="10">
        <f t="shared" si="26"/>
        <v>39190.589999999997</v>
      </c>
      <c r="BL30" s="10">
        <f t="shared" si="49"/>
        <v>187363.84</v>
      </c>
      <c r="BM30" s="511">
        <f t="shared" si="27"/>
        <v>0.98808940322214645</v>
      </c>
      <c r="BN30" s="10">
        <f t="shared" si="28"/>
        <v>1.1764651513248776</v>
      </c>
    </row>
    <row r="31" spans="1:75">
      <c r="A31" s="16">
        <f>+Report1!A30</f>
        <v>45983</v>
      </c>
      <c r="B31" s="6" t="str">
        <f>+Chem!B30</f>
        <v>Facial</v>
      </c>
      <c r="C31" s="16" t="str">
        <f>+Chem!C30</f>
        <v>11/13</v>
      </c>
      <c r="D31" s="8">
        <f>+Chem!D30</f>
        <v>36.606999999999999</v>
      </c>
      <c r="E31" s="7">
        <f>+Chem!E30</f>
        <v>34.344999999999999</v>
      </c>
      <c r="F31" s="7">
        <f t="shared" si="29"/>
        <v>193.60499999999999</v>
      </c>
      <c r="G31" s="96">
        <f>23*G7</f>
        <v>5750</v>
      </c>
      <c r="H31" s="10">
        <f t="shared" si="0"/>
        <v>15.204568076298481</v>
      </c>
      <c r="I31" s="8">
        <f t="shared" si="30"/>
        <v>31875</v>
      </c>
      <c r="J31" s="10">
        <f t="shared" si="1"/>
        <v>14.155253003065235</v>
      </c>
      <c r="K31" s="96"/>
      <c r="L31" s="10">
        <f t="shared" si="2"/>
        <v>0</v>
      </c>
      <c r="M31" s="10">
        <f t="shared" si="31"/>
        <v>2355.1660000000002</v>
      </c>
      <c r="N31" s="10">
        <f t="shared" si="3"/>
        <v>1.045897116681322</v>
      </c>
      <c r="O31" s="96"/>
      <c r="P31" s="10">
        <f t="shared" si="4"/>
        <v>0</v>
      </c>
      <c r="Q31" s="10">
        <f t="shared" si="32"/>
        <v>0</v>
      </c>
      <c r="R31" s="10">
        <f t="shared" si="5"/>
        <v>0</v>
      </c>
      <c r="S31" s="10">
        <f t="shared" si="33"/>
        <v>5750</v>
      </c>
      <c r="T31" s="10">
        <f t="shared" si="6"/>
        <v>15.204568076298481</v>
      </c>
      <c r="U31" s="10">
        <f t="shared" si="34"/>
        <v>34230.165999999997</v>
      </c>
      <c r="V31" s="10">
        <f t="shared" si="7"/>
        <v>15.201150119746556</v>
      </c>
      <c r="W31" s="96"/>
      <c r="X31" s="10">
        <f t="shared" si="35"/>
        <v>0</v>
      </c>
      <c r="Y31" s="10">
        <f t="shared" si="36"/>
        <v>0</v>
      </c>
      <c r="Z31" s="10">
        <f t="shared" si="37"/>
        <v>0</v>
      </c>
      <c r="AA31" s="96">
        <f>66*AA7</f>
        <v>16601.243999999999</v>
      </c>
      <c r="AB31" s="10">
        <f t="shared" si="8"/>
        <v>43.898216443346385</v>
      </c>
      <c r="AC31" s="10">
        <f t="shared" si="38"/>
        <v>96589.056000000011</v>
      </c>
      <c r="AD31" s="10">
        <f t="shared" si="9"/>
        <v>42.893883137481922</v>
      </c>
      <c r="AE31" s="96">
        <f>58*AE7</f>
        <v>15466.338</v>
      </c>
      <c r="AF31" s="10">
        <f t="shared" si="10"/>
        <v>40.89721548035515</v>
      </c>
      <c r="AG31" s="10">
        <f t="shared" si="39"/>
        <v>71465.148000000001</v>
      </c>
      <c r="AH31" s="10">
        <f t="shared" si="11"/>
        <v>31.736698065615737</v>
      </c>
      <c r="AI31" s="96"/>
      <c r="AJ31" s="10">
        <f t="shared" si="12"/>
        <v>0</v>
      </c>
      <c r="AK31" s="10">
        <f t="shared" si="40"/>
        <v>0</v>
      </c>
      <c r="AL31" s="10">
        <f t="shared" si="13"/>
        <v>0</v>
      </c>
      <c r="AM31" s="10">
        <f t="shared" si="41"/>
        <v>32067.581999999999</v>
      </c>
      <c r="AN31" s="10">
        <f t="shared" si="14"/>
        <v>84.795431923701528</v>
      </c>
      <c r="AO31" s="10">
        <f t="shared" si="42"/>
        <v>190951.25599999999</v>
      </c>
      <c r="AP31" s="10">
        <f t="shared" si="15"/>
        <v>84.798849880253442</v>
      </c>
      <c r="AQ31" s="96"/>
      <c r="AR31" s="10">
        <f t="shared" si="16"/>
        <v>0</v>
      </c>
      <c r="AS31" s="10">
        <f t="shared" si="43"/>
        <v>0</v>
      </c>
      <c r="AT31" s="10">
        <f t="shared" si="17"/>
        <v>0</v>
      </c>
      <c r="AU31" s="96"/>
      <c r="AV31" s="10">
        <f t="shared" si="18"/>
        <v>0</v>
      </c>
      <c r="AW31" s="10">
        <f t="shared" si="44"/>
        <v>0</v>
      </c>
      <c r="AX31" s="10">
        <f t="shared" si="19"/>
        <v>0</v>
      </c>
      <c r="AY31" s="96"/>
      <c r="AZ31" s="15">
        <f t="shared" si="20"/>
        <v>0</v>
      </c>
      <c r="BA31" s="10">
        <f t="shared" si="45"/>
        <v>0</v>
      </c>
      <c r="BB31" s="10">
        <f t="shared" si="21"/>
        <v>0</v>
      </c>
      <c r="BC31" s="10">
        <f t="shared" si="46"/>
        <v>0</v>
      </c>
      <c r="BD31" s="10">
        <f t="shared" si="22"/>
        <v>0</v>
      </c>
      <c r="BE31" s="10">
        <f t="shared" si="47"/>
        <v>0</v>
      </c>
      <c r="BF31" s="10">
        <f t="shared" si="23"/>
        <v>0</v>
      </c>
      <c r="BG31" s="96"/>
      <c r="BH31" s="10">
        <f t="shared" si="24"/>
        <v>0</v>
      </c>
      <c r="BI31" s="10">
        <f t="shared" si="48"/>
        <v>0</v>
      </c>
      <c r="BJ31" s="10">
        <f t="shared" si="25"/>
        <v>0</v>
      </c>
      <c r="BK31" s="10">
        <f t="shared" si="26"/>
        <v>37817.581999999995</v>
      </c>
      <c r="BL31" s="10">
        <f t="shared" si="49"/>
        <v>225181.42199999999</v>
      </c>
      <c r="BM31" s="511">
        <f t="shared" si="27"/>
        <v>1.1011088076867084</v>
      </c>
      <c r="BN31" s="10">
        <f t="shared" si="28"/>
        <v>1.1630971410862323</v>
      </c>
    </row>
    <row r="32" spans="1:75">
      <c r="A32" s="16">
        <f>+Report1!A31</f>
        <v>45984</v>
      </c>
      <c r="B32" s="6" t="str">
        <f>+Chem!B31</f>
        <v>Facial/Toilet</v>
      </c>
      <c r="C32" s="16" t="str">
        <f>+Chem!C31</f>
        <v>13/14/14</v>
      </c>
      <c r="D32" s="8">
        <f>+Chem!D31</f>
        <v>38.872999999999998</v>
      </c>
      <c r="E32" s="7">
        <f>+Chem!E31</f>
        <v>37.584000000000003</v>
      </c>
      <c r="F32" s="7">
        <f t="shared" si="29"/>
        <v>231.18899999999999</v>
      </c>
      <c r="G32" s="96">
        <f>18*G7</f>
        <v>4500</v>
      </c>
      <c r="H32" s="10">
        <f t="shared" si="0"/>
        <v>11.873073049715169</v>
      </c>
      <c r="I32" s="8">
        <f t="shared" si="30"/>
        <v>36375</v>
      </c>
      <c r="J32" s="10">
        <f t="shared" si="1"/>
        <v>13.826471319285858</v>
      </c>
      <c r="K32" s="96"/>
      <c r="L32" s="10">
        <f t="shared" si="2"/>
        <v>0</v>
      </c>
      <c r="M32" s="10">
        <f t="shared" si="31"/>
        <v>2355.1660000000002</v>
      </c>
      <c r="N32" s="10">
        <f t="shared" si="3"/>
        <v>0.89522021034109145</v>
      </c>
      <c r="O32" s="96"/>
      <c r="P32" s="10">
        <f t="shared" si="4"/>
        <v>0</v>
      </c>
      <c r="Q32" s="10">
        <f t="shared" si="32"/>
        <v>0</v>
      </c>
      <c r="R32" s="10">
        <f t="shared" si="5"/>
        <v>0</v>
      </c>
      <c r="S32" s="10">
        <f t="shared" si="33"/>
        <v>4500</v>
      </c>
      <c r="T32" s="10">
        <f t="shared" si="6"/>
        <v>11.873073049715169</v>
      </c>
      <c r="U32" s="10">
        <f t="shared" si="34"/>
        <v>38730.165999999997</v>
      </c>
      <c r="V32" s="10">
        <f t="shared" si="7"/>
        <v>14.721691529626948</v>
      </c>
      <c r="W32" s="96"/>
      <c r="X32" s="10">
        <f t="shared" si="35"/>
        <v>0</v>
      </c>
      <c r="Y32" s="10">
        <f t="shared" si="36"/>
        <v>0</v>
      </c>
      <c r="Z32" s="10">
        <f t="shared" si="37"/>
        <v>0</v>
      </c>
      <c r="AA32" s="96">
        <f>66*AA7</f>
        <v>16601.243999999999</v>
      </c>
      <c r="AB32" s="10">
        <f t="shared" si="8"/>
        <v>43.801729495143469</v>
      </c>
      <c r="AC32" s="10">
        <f t="shared" si="38"/>
        <v>113190.30000000002</v>
      </c>
      <c r="AD32" s="10">
        <f t="shared" si="9"/>
        <v>43.024671795776285</v>
      </c>
      <c r="AE32" s="96">
        <f>63*AE7</f>
        <v>16799.643</v>
      </c>
      <c r="AF32" s="10">
        <f t="shared" si="10"/>
        <v>44.32519745514135</v>
      </c>
      <c r="AG32" s="10">
        <f t="shared" si="39"/>
        <v>88264.790999999997</v>
      </c>
      <c r="AH32" s="10">
        <f t="shared" si="11"/>
        <v>33.550257079429841</v>
      </c>
      <c r="AI32" s="96"/>
      <c r="AJ32" s="10">
        <f t="shared" si="12"/>
        <v>0</v>
      </c>
      <c r="AK32" s="10">
        <f t="shared" si="40"/>
        <v>0</v>
      </c>
      <c r="AL32" s="10">
        <f t="shared" si="13"/>
        <v>0</v>
      </c>
      <c r="AM32" s="10">
        <f t="shared" si="41"/>
        <v>33400.887000000002</v>
      </c>
      <c r="AN32" s="10">
        <f t="shared" si="14"/>
        <v>88.12692695028484</v>
      </c>
      <c r="AO32" s="10">
        <f t="shared" si="42"/>
        <v>224352.14299999998</v>
      </c>
      <c r="AP32" s="10">
        <f t="shared" si="15"/>
        <v>85.278308470373048</v>
      </c>
      <c r="AQ32" s="96"/>
      <c r="AR32" s="10">
        <f t="shared" si="16"/>
        <v>0</v>
      </c>
      <c r="AS32" s="10">
        <f t="shared" si="43"/>
        <v>0</v>
      </c>
      <c r="AT32" s="10">
        <f t="shared" si="17"/>
        <v>0</v>
      </c>
      <c r="AU32" s="96"/>
      <c r="AV32" s="10">
        <f t="shared" si="18"/>
        <v>0</v>
      </c>
      <c r="AW32" s="10">
        <f t="shared" si="44"/>
        <v>0</v>
      </c>
      <c r="AX32" s="10">
        <f t="shared" si="19"/>
        <v>0</v>
      </c>
      <c r="AY32" s="96"/>
      <c r="AZ32" s="15">
        <f t="shared" si="20"/>
        <v>0</v>
      </c>
      <c r="BA32" s="10">
        <f t="shared" si="45"/>
        <v>0</v>
      </c>
      <c r="BB32" s="10">
        <f t="shared" si="21"/>
        <v>0</v>
      </c>
      <c r="BC32" s="10">
        <f t="shared" si="46"/>
        <v>0</v>
      </c>
      <c r="BD32" s="10">
        <f t="shared" si="22"/>
        <v>0</v>
      </c>
      <c r="BE32" s="10">
        <f t="shared" si="47"/>
        <v>0</v>
      </c>
      <c r="BF32" s="10">
        <f t="shared" si="23"/>
        <v>0</v>
      </c>
      <c r="BG32" s="96"/>
      <c r="BH32" s="10">
        <f t="shared" si="24"/>
        <v>0</v>
      </c>
      <c r="BI32" s="10">
        <f t="shared" si="48"/>
        <v>0</v>
      </c>
      <c r="BJ32" s="10">
        <f t="shared" si="25"/>
        <v>0</v>
      </c>
      <c r="BK32" s="10">
        <f t="shared" si="26"/>
        <v>37900.887000000002</v>
      </c>
      <c r="BL32" s="10">
        <f t="shared" si="49"/>
        <v>263082.30900000001</v>
      </c>
      <c r="BM32" s="511">
        <f t="shared" si="27"/>
        <v>1.0084314335887612</v>
      </c>
      <c r="BN32" s="10">
        <f t="shared" si="28"/>
        <v>1.1379534017621946</v>
      </c>
    </row>
    <row r="33" spans="1:66">
      <c r="A33" s="16">
        <f>+Report1!A32</f>
        <v>45985</v>
      </c>
      <c r="B33" s="6" t="str">
        <f>+Chem!B32</f>
        <v>Toilet</v>
      </c>
      <c r="C33" s="16" t="str">
        <f>+Chem!C32</f>
        <v>14</v>
      </c>
      <c r="D33" s="8">
        <f>+Chem!D32</f>
        <v>37.686</v>
      </c>
      <c r="E33" s="7">
        <f>+Chem!E32</f>
        <v>35.371000000000002</v>
      </c>
      <c r="F33" s="7">
        <f t="shared" si="29"/>
        <v>266.56</v>
      </c>
      <c r="G33" s="96">
        <f>26.25*G7</f>
        <v>6562.5</v>
      </c>
      <c r="H33" s="10">
        <f t="shared" si="0"/>
        <v>17.193009643215245</v>
      </c>
      <c r="I33" s="8">
        <f t="shared" si="30"/>
        <v>42937.5</v>
      </c>
      <c r="J33" s="10">
        <f t="shared" si="1"/>
        <v>14.253022540772992</v>
      </c>
      <c r="K33" s="96"/>
      <c r="L33" s="10">
        <f t="shared" si="2"/>
        <v>0</v>
      </c>
      <c r="M33" s="10">
        <f t="shared" si="31"/>
        <v>2355.1660000000002</v>
      </c>
      <c r="N33" s="10">
        <f t="shared" si="3"/>
        <v>0.7817929335723357</v>
      </c>
      <c r="O33" s="96"/>
      <c r="P33" s="10">
        <f t="shared" si="4"/>
        <v>0</v>
      </c>
      <c r="Q33" s="10">
        <f t="shared" si="32"/>
        <v>0</v>
      </c>
      <c r="R33" s="10">
        <f t="shared" si="5"/>
        <v>0</v>
      </c>
      <c r="S33" s="10">
        <f t="shared" si="33"/>
        <v>6562.5</v>
      </c>
      <c r="T33" s="10">
        <f t="shared" si="6"/>
        <v>17.193009643215245</v>
      </c>
      <c r="U33" s="10">
        <f t="shared" si="34"/>
        <v>45292.665999999997</v>
      </c>
      <c r="V33" s="10">
        <f t="shared" si="7"/>
        <v>15.034815474345326</v>
      </c>
      <c r="W33" s="96"/>
      <c r="X33" s="10">
        <f t="shared" si="35"/>
        <v>0</v>
      </c>
      <c r="Y33" s="10">
        <f t="shared" si="36"/>
        <v>0</v>
      </c>
      <c r="Z33" s="10">
        <f t="shared" si="37"/>
        <v>0</v>
      </c>
      <c r="AA33" s="96">
        <f>70*AA7</f>
        <v>17607.38</v>
      </c>
      <c r="AB33" s="10">
        <f t="shared" si="8"/>
        <v>46.129349201029378</v>
      </c>
      <c r="AC33" s="10">
        <f>AA33+AC32</f>
        <v>130797.68000000002</v>
      </c>
      <c r="AD33" s="10">
        <f t="shared" si="9"/>
        <v>43.418044397573517</v>
      </c>
      <c r="AE33" s="96">
        <f>52.5*AE7</f>
        <v>13999.702499999999</v>
      </c>
      <c r="AF33" s="10">
        <f t="shared" si="10"/>
        <v>36.677641155755367</v>
      </c>
      <c r="AG33" s="10">
        <f t="shared" si="39"/>
        <v>102264.4935</v>
      </c>
      <c r="AH33" s="10">
        <f t="shared" si="11"/>
        <v>33.946506689402803</v>
      </c>
      <c r="AI33" s="96"/>
      <c r="AJ33" s="10">
        <f t="shared" si="12"/>
        <v>0</v>
      </c>
      <c r="AK33" s="10">
        <f t="shared" si="40"/>
        <v>0</v>
      </c>
      <c r="AL33" s="10">
        <f t="shared" si="13"/>
        <v>0</v>
      </c>
      <c r="AM33" s="10">
        <f t="shared" si="41"/>
        <v>31607.0825</v>
      </c>
      <c r="AN33" s="10">
        <f t="shared" si="14"/>
        <v>82.806990356784752</v>
      </c>
      <c r="AO33" s="10">
        <f t="shared" si="42"/>
        <v>255959.22549999997</v>
      </c>
      <c r="AP33" s="10">
        <f t="shared" si="15"/>
        <v>84.965184525654664</v>
      </c>
      <c r="AQ33" s="96"/>
      <c r="AR33" s="10">
        <f t="shared" si="16"/>
        <v>0</v>
      </c>
      <c r="AS33" s="10">
        <f t="shared" si="43"/>
        <v>0</v>
      </c>
      <c r="AT33" s="10">
        <f t="shared" si="17"/>
        <v>0</v>
      </c>
      <c r="AU33" s="96"/>
      <c r="AV33" s="10">
        <f t="shared" si="18"/>
        <v>0</v>
      </c>
      <c r="AW33" s="10">
        <f t="shared" si="44"/>
        <v>0</v>
      </c>
      <c r="AX33" s="10">
        <f t="shared" si="19"/>
        <v>0</v>
      </c>
      <c r="AY33" s="96"/>
      <c r="AZ33" s="15">
        <f t="shared" si="20"/>
        <v>0</v>
      </c>
      <c r="BA33" s="10">
        <f t="shared" si="45"/>
        <v>0</v>
      </c>
      <c r="BB33" s="10">
        <f t="shared" si="21"/>
        <v>0</v>
      </c>
      <c r="BC33" s="10">
        <f t="shared" si="46"/>
        <v>0</v>
      </c>
      <c r="BD33" s="10">
        <f t="shared" si="22"/>
        <v>0</v>
      </c>
      <c r="BE33" s="10">
        <f t="shared" si="47"/>
        <v>0</v>
      </c>
      <c r="BF33" s="10">
        <f t="shared" si="23"/>
        <v>0</v>
      </c>
      <c r="BG33" s="96"/>
      <c r="BH33" s="10">
        <f t="shared" si="24"/>
        <v>0</v>
      </c>
      <c r="BI33" s="10">
        <f t="shared" si="48"/>
        <v>0</v>
      </c>
      <c r="BJ33" s="10">
        <f t="shared" si="25"/>
        <v>0</v>
      </c>
      <c r="BK33" s="10">
        <f t="shared" si="26"/>
        <v>38169.582500000004</v>
      </c>
      <c r="BL33" s="10">
        <f t="shared" si="49"/>
        <v>301251.89150000003</v>
      </c>
      <c r="BM33" s="511">
        <f t="shared" si="27"/>
        <v>1.0791208193152584</v>
      </c>
      <c r="BN33" s="10">
        <f t="shared" si="28"/>
        <v>1.1301466517857142</v>
      </c>
    </row>
    <row r="34" spans="1:66">
      <c r="A34" s="16">
        <f>+Report1!A33</f>
        <v>45986</v>
      </c>
      <c r="B34" s="6" t="str">
        <f>+Chem!B33</f>
        <v>Toilet</v>
      </c>
      <c r="C34" s="16" t="str">
        <f>+Chem!C33</f>
        <v>14/15</v>
      </c>
      <c r="D34" s="8">
        <f>+Chem!D33</f>
        <v>40.597000000000001</v>
      </c>
      <c r="E34" s="7">
        <f>+Chem!E33</f>
        <v>38.463000000000001</v>
      </c>
      <c r="F34" s="7">
        <f t="shared" si="29"/>
        <v>305.02300000000002</v>
      </c>
      <c r="G34" s="96">
        <f>29*G7</f>
        <v>7250</v>
      </c>
      <c r="H34" s="10">
        <f t="shared" si="0"/>
        <v>17.071146688113366</v>
      </c>
      <c r="I34" s="8">
        <f t="shared" si="30"/>
        <v>50187.5</v>
      </c>
      <c r="J34" s="10">
        <f t="shared" si="1"/>
        <v>14.601222807279054</v>
      </c>
      <c r="K34" s="96"/>
      <c r="L34" s="10">
        <f t="shared" si="2"/>
        <v>0</v>
      </c>
      <c r="M34" s="10">
        <f t="shared" si="31"/>
        <v>2355.1660000000002</v>
      </c>
      <c r="N34" s="10">
        <f t="shared" si="3"/>
        <v>0.68519658309595388</v>
      </c>
      <c r="O34" s="96"/>
      <c r="P34" s="10">
        <f t="shared" si="4"/>
        <v>0</v>
      </c>
      <c r="Q34" s="10">
        <f t="shared" si="32"/>
        <v>0</v>
      </c>
      <c r="R34" s="10">
        <f t="shared" si="5"/>
        <v>0</v>
      </c>
      <c r="S34" s="10">
        <f t="shared" si="33"/>
        <v>7250</v>
      </c>
      <c r="T34" s="10">
        <f t="shared" si="6"/>
        <v>17.071146688113366</v>
      </c>
      <c r="U34" s="10">
        <f t="shared" si="34"/>
        <v>52542.665999999997</v>
      </c>
      <c r="V34" s="10">
        <f t="shared" si="7"/>
        <v>15.286419390375009</v>
      </c>
      <c r="W34" s="96"/>
      <c r="X34" s="10">
        <f t="shared" si="35"/>
        <v>0</v>
      </c>
      <c r="Y34" s="10">
        <f t="shared" si="36"/>
        <v>0</v>
      </c>
      <c r="Z34" s="10">
        <f t="shared" si="37"/>
        <v>0</v>
      </c>
      <c r="AA34" s="96">
        <f>78*AA7</f>
        <v>19619.651999999998</v>
      </c>
      <c r="AB34" s="10">
        <f t="shared" si="8"/>
        <v>46.197235484377472</v>
      </c>
      <c r="AC34" s="10">
        <f>AA34+AC33</f>
        <v>150417.33200000002</v>
      </c>
      <c r="AD34" s="10">
        <f t="shared" si="9"/>
        <v>43.761434193942037</v>
      </c>
      <c r="AE34" s="96">
        <f>58.5*AE7</f>
        <v>15599.6685</v>
      </c>
      <c r="AF34" s="10">
        <f t="shared" si="10"/>
        <v>36.731617827509147</v>
      </c>
      <c r="AG34" s="10">
        <f t="shared" si="39"/>
        <v>117864.162</v>
      </c>
      <c r="AH34" s="10">
        <f t="shared" si="11"/>
        <v>34.2906279522836</v>
      </c>
      <c r="AI34" s="96"/>
      <c r="AJ34" s="10">
        <f t="shared" si="12"/>
        <v>0</v>
      </c>
      <c r="AK34" s="10">
        <f t="shared" si="40"/>
        <v>0</v>
      </c>
      <c r="AL34" s="10">
        <f t="shared" si="13"/>
        <v>0</v>
      </c>
      <c r="AM34" s="10">
        <f t="shared" si="41"/>
        <v>35219.320500000002</v>
      </c>
      <c r="AN34" s="10">
        <f t="shared" si="14"/>
        <v>82.928853311886641</v>
      </c>
      <c r="AO34" s="10">
        <f t="shared" si="42"/>
        <v>291178.54599999997</v>
      </c>
      <c r="AP34" s="10">
        <f t="shared" si="15"/>
        <v>84.713580609624969</v>
      </c>
      <c r="AQ34" s="96"/>
      <c r="AR34" s="10">
        <f t="shared" si="16"/>
        <v>0</v>
      </c>
      <c r="AS34" s="10">
        <f t="shared" si="43"/>
        <v>0</v>
      </c>
      <c r="AT34" s="10">
        <f t="shared" si="17"/>
        <v>0</v>
      </c>
      <c r="AU34" s="96"/>
      <c r="AV34" s="10">
        <f t="shared" si="18"/>
        <v>0</v>
      </c>
      <c r="AW34" s="10">
        <f t="shared" si="44"/>
        <v>0</v>
      </c>
      <c r="AX34" s="10">
        <f t="shared" si="19"/>
        <v>0</v>
      </c>
      <c r="AY34" s="96"/>
      <c r="AZ34" s="15">
        <f t="shared" si="20"/>
        <v>0</v>
      </c>
      <c r="BA34" s="10">
        <f t="shared" si="45"/>
        <v>0</v>
      </c>
      <c r="BB34" s="10">
        <f t="shared" si="21"/>
        <v>0</v>
      </c>
      <c r="BC34" s="10">
        <f t="shared" si="46"/>
        <v>0</v>
      </c>
      <c r="BD34" s="10">
        <f t="shared" si="22"/>
        <v>0</v>
      </c>
      <c r="BE34" s="10">
        <f t="shared" si="47"/>
        <v>0</v>
      </c>
      <c r="BF34" s="10">
        <f t="shared" si="23"/>
        <v>0</v>
      </c>
      <c r="BG34" s="96"/>
      <c r="BH34" s="10">
        <f t="shared" si="24"/>
        <v>0</v>
      </c>
      <c r="BI34" s="10">
        <f t="shared" si="48"/>
        <v>0</v>
      </c>
      <c r="BJ34" s="10">
        <f t="shared" si="25"/>
        <v>0</v>
      </c>
      <c r="BK34" s="10">
        <f t="shared" si="26"/>
        <v>42469.320500000002</v>
      </c>
      <c r="BL34" s="10">
        <f t="shared" si="49"/>
        <v>343721.21200000006</v>
      </c>
      <c r="BM34" s="511">
        <f t="shared" si="27"/>
        <v>1.1041603749057536</v>
      </c>
      <c r="BN34" s="10">
        <f t="shared" si="28"/>
        <v>1.126869816374503</v>
      </c>
    </row>
    <row r="35" spans="1:66">
      <c r="A35" s="16">
        <f>+Report1!A34</f>
        <v>45987</v>
      </c>
      <c r="B35" s="6" t="str">
        <f>+Chem!B34</f>
        <v>Toilet</v>
      </c>
      <c r="C35" s="16" t="str">
        <f>+Chem!C34</f>
        <v>15</v>
      </c>
      <c r="D35" s="8">
        <f>+Chem!D34</f>
        <v>42.676000000000002</v>
      </c>
      <c r="E35" s="7">
        <f>+Chem!E34</f>
        <v>38.930999999999997</v>
      </c>
      <c r="F35" s="7">
        <f t="shared" si="29"/>
        <v>343.95400000000001</v>
      </c>
      <c r="G35" s="96">
        <f>30*G7</f>
        <v>7500</v>
      </c>
      <c r="H35" s="10">
        <f t="shared" si="0"/>
        <v>17.193009643215245</v>
      </c>
      <c r="I35" s="8">
        <f t="shared" si="30"/>
        <v>57687.5</v>
      </c>
      <c r="J35" s="10">
        <f t="shared" si="1"/>
        <v>14.89310813227549</v>
      </c>
      <c r="K35" s="96"/>
      <c r="L35" s="10">
        <f t="shared" si="2"/>
        <v>0</v>
      </c>
      <c r="M35" s="10">
        <f t="shared" si="31"/>
        <v>2355.1660000000002</v>
      </c>
      <c r="N35" s="10">
        <f t="shared" si="3"/>
        <v>0.60803019557891635</v>
      </c>
      <c r="O35" s="96"/>
      <c r="P35" s="10">
        <f t="shared" si="4"/>
        <v>0</v>
      </c>
      <c r="Q35" s="10">
        <f t="shared" si="32"/>
        <v>0</v>
      </c>
      <c r="R35" s="10">
        <f t="shared" si="5"/>
        <v>0</v>
      </c>
      <c r="S35" s="10">
        <f t="shared" si="33"/>
        <v>7500</v>
      </c>
      <c r="T35" s="10">
        <f t="shared" si="6"/>
        <v>17.193009643215245</v>
      </c>
      <c r="U35" s="10">
        <f t="shared" si="34"/>
        <v>60042.665999999997</v>
      </c>
      <c r="V35" s="10">
        <f t="shared" si="7"/>
        <v>15.501138327854406</v>
      </c>
      <c r="W35" s="96"/>
      <c r="X35" s="10">
        <f t="shared" si="35"/>
        <v>0</v>
      </c>
      <c r="Y35" s="10">
        <f t="shared" si="36"/>
        <v>0</v>
      </c>
      <c r="Z35" s="10">
        <f t="shared" si="37"/>
        <v>0</v>
      </c>
      <c r="AA35" s="96">
        <f>80*AA7</f>
        <v>20122.72</v>
      </c>
      <c r="AB35" s="10">
        <f t="shared" si="8"/>
        <v>46.129349201029378</v>
      </c>
      <c r="AC35" s="10">
        <f>AA35+AC34</f>
        <v>170540.05200000003</v>
      </c>
      <c r="AD35" s="10">
        <f t="shared" si="9"/>
        <v>44.028107221146442</v>
      </c>
      <c r="AE35" s="96">
        <f>60*AE7</f>
        <v>15999.66</v>
      </c>
      <c r="AF35" s="10">
        <f t="shared" si="10"/>
        <v>36.677641155755367</v>
      </c>
      <c r="AG35" s="10">
        <f t="shared" si="39"/>
        <v>133863.82199999999</v>
      </c>
      <c r="AH35" s="10">
        <f t="shared" si="11"/>
        <v>34.559451805775574</v>
      </c>
      <c r="AI35" s="96"/>
      <c r="AJ35" s="10">
        <f t="shared" si="12"/>
        <v>0</v>
      </c>
      <c r="AK35" s="10">
        <f t="shared" si="40"/>
        <v>0</v>
      </c>
      <c r="AL35" s="10">
        <f t="shared" si="13"/>
        <v>0</v>
      </c>
      <c r="AM35" s="10">
        <f t="shared" si="41"/>
        <v>36122.380000000005</v>
      </c>
      <c r="AN35" s="10">
        <f t="shared" si="14"/>
        <v>82.806990356784752</v>
      </c>
      <c r="AO35" s="10">
        <f t="shared" si="42"/>
        <v>327300.92599999998</v>
      </c>
      <c r="AP35" s="10">
        <f t="shared" si="15"/>
        <v>84.49886167214558</v>
      </c>
      <c r="AQ35" s="96"/>
      <c r="AR35" s="10">
        <f t="shared" si="16"/>
        <v>0</v>
      </c>
      <c r="AS35" s="10">
        <f t="shared" si="43"/>
        <v>0</v>
      </c>
      <c r="AT35" s="10">
        <f t="shared" si="17"/>
        <v>0</v>
      </c>
      <c r="AU35" s="96"/>
      <c r="AV35" s="10">
        <f t="shared" si="18"/>
        <v>0</v>
      </c>
      <c r="AW35" s="10">
        <f t="shared" si="44"/>
        <v>0</v>
      </c>
      <c r="AX35" s="10">
        <f t="shared" si="19"/>
        <v>0</v>
      </c>
      <c r="AY35" s="96"/>
      <c r="AZ35" s="15">
        <f t="shared" si="20"/>
        <v>0</v>
      </c>
      <c r="BA35" s="10">
        <f t="shared" si="45"/>
        <v>0</v>
      </c>
      <c r="BB35" s="10">
        <f t="shared" si="21"/>
        <v>0</v>
      </c>
      <c r="BC35" s="10">
        <f t="shared" si="46"/>
        <v>0</v>
      </c>
      <c r="BD35" s="10">
        <f t="shared" si="22"/>
        <v>0</v>
      </c>
      <c r="BE35" s="10">
        <f t="shared" si="47"/>
        <v>0</v>
      </c>
      <c r="BF35" s="10">
        <f t="shared" si="23"/>
        <v>0</v>
      </c>
      <c r="BG35" s="96"/>
      <c r="BH35" s="10">
        <f t="shared" si="24"/>
        <v>0</v>
      </c>
      <c r="BI35" s="10">
        <f t="shared" si="48"/>
        <v>0</v>
      </c>
      <c r="BJ35" s="10">
        <f t="shared" si="25"/>
        <v>0</v>
      </c>
      <c r="BK35" s="10">
        <f t="shared" si="26"/>
        <v>43622.380000000005</v>
      </c>
      <c r="BL35" s="10">
        <f t="shared" si="49"/>
        <v>387343.59200000006</v>
      </c>
      <c r="BM35" s="511">
        <f t="shared" si="27"/>
        <v>1.1205049960185973</v>
      </c>
      <c r="BN35" s="10">
        <f t="shared" si="28"/>
        <v>1.126149403699332</v>
      </c>
    </row>
    <row r="36" spans="1:66">
      <c r="A36" s="16">
        <f>+Report1!A35</f>
        <v>45988</v>
      </c>
      <c r="B36" s="6" t="str">
        <f>+Chem!B35</f>
        <v>Toilet/Facial</v>
      </c>
      <c r="C36" s="16" t="str">
        <f>+Chem!C35</f>
        <v>15/12</v>
      </c>
      <c r="D36" s="8">
        <f>+Chem!D35</f>
        <v>37.760999999999996</v>
      </c>
      <c r="E36" s="7">
        <f>+Chem!E35</f>
        <v>37.44</v>
      </c>
      <c r="F36" s="7">
        <f t="shared" si="29"/>
        <v>381.39400000000001</v>
      </c>
      <c r="G36" s="96">
        <f>19.25*G7</f>
        <v>4812.5</v>
      </c>
      <c r="H36" s="10">
        <f t="shared" si="0"/>
        <v>13.251550135357187</v>
      </c>
      <c r="I36" s="8">
        <f t="shared" si="30"/>
        <v>62500</v>
      </c>
      <c r="J36" s="10">
        <f t="shared" si="1"/>
        <v>14.752392376588647</v>
      </c>
      <c r="K36" s="96"/>
      <c r="L36" s="10">
        <f t="shared" si="2"/>
        <v>0</v>
      </c>
      <c r="M36" s="10">
        <f t="shared" si="31"/>
        <v>2355.1660000000002</v>
      </c>
      <c r="N36" s="10">
        <f t="shared" si="3"/>
        <v>0.55590932710401242</v>
      </c>
      <c r="O36" s="96"/>
      <c r="P36" s="10">
        <f t="shared" si="4"/>
        <v>0</v>
      </c>
      <c r="Q36" s="10">
        <f t="shared" si="32"/>
        <v>0</v>
      </c>
      <c r="R36" s="10">
        <f t="shared" si="5"/>
        <v>0</v>
      </c>
      <c r="S36" s="10">
        <f t="shared" si="33"/>
        <v>4812.5</v>
      </c>
      <c r="T36" s="10">
        <f t="shared" si="6"/>
        <v>13.251550135357187</v>
      </c>
      <c r="U36" s="10">
        <f t="shared" si="34"/>
        <v>64855.165999999997</v>
      </c>
      <c r="V36" s="10">
        <f t="shared" si="7"/>
        <v>15.308301703692658</v>
      </c>
      <c r="W36" s="96"/>
      <c r="X36" s="10">
        <f t="shared" si="35"/>
        <v>0</v>
      </c>
      <c r="Y36" s="10">
        <f t="shared" si="36"/>
        <v>0</v>
      </c>
      <c r="Z36" s="10">
        <f t="shared" si="37"/>
        <v>0</v>
      </c>
      <c r="AA36" s="96">
        <f>68*AA7</f>
        <v>17104.311999999998</v>
      </c>
      <c r="AB36" s="10">
        <f t="shared" si="8"/>
        <v>47.097900882865773</v>
      </c>
      <c r="AC36" s="10">
        <f t="shared" si="38"/>
        <v>187644.36400000003</v>
      </c>
      <c r="AD36" s="10">
        <f t="shared" si="9"/>
        <v>44.291252559734815</v>
      </c>
      <c r="AE36" s="96">
        <f>54*AE7</f>
        <v>14399.694</v>
      </c>
      <c r="AF36" s="10">
        <f t="shared" si="10"/>
        <v>39.65054898177705</v>
      </c>
      <c r="AG36" s="10">
        <f t="shared" si="39"/>
        <v>148263.51599999997</v>
      </c>
      <c r="AH36" s="10">
        <f t="shared" si="11"/>
        <v>34.995865010634056</v>
      </c>
      <c r="AI36" s="96"/>
      <c r="AJ36" s="10">
        <f t="shared" si="12"/>
        <v>0</v>
      </c>
      <c r="AK36" s="10">
        <f t="shared" si="40"/>
        <v>0</v>
      </c>
      <c r="AL36" s="10">
        <f t="shared" si="13"/>
        <v>0</v>
      </c>
      <c r="AM36" s="10">
        <f t="shared" si="41"/>
        <v>31504.005999999998</v>
      </c>
      <c r="AN36" s="10">
        <f t="shared" si="14"/>
        <v>86.748449864642822</v>
      </c>
      <c r="AO36" s="10">
        <f t="shared" si="42"/>
        <v>358804.93199999997</v>
      </c>
      <c r="AP36" s="10">
        <f t="shared" si="15"/>
        <v>84.691698296307322</v>
      </c>
      <c r="AQ36" s="96"/>
      <c r="AR36" s="10">
        <f t="shared" si="16"/>
        <v>0</v>
      </c>
      <c r="AS36" s="10">
        <f t="shared" si="43"/>
        <v>0</v>
      </c>
      <c r="AT36" s="10">
        <f t="shared" si="17"/>
        <v>0</v>
      </c>
      <c r="AU36" s="96"/>
      <c r="AV36" s="10">
        <f t="shared" si="18"/>
        <v>0</v>
      </c>
      <c r="AW36" s="10">
        <f t="shared" si="44"/>
        <v>0</v>
      </c>
      <c r="AX36" s="10">
        <f t="shared" si="19"/>
        <v>0</v>
      </c>
      <c r="AY36" s="96"/>
      <c r="AZ36" s="15">
        <f t="shared" si="20"/>
        <v>0</v>
      </c>
      <c r="BA36" s="10">
        <f t="shared" si="45"/>
        <v>0</v>
      </c>
      <c r="BB36" s="10">
        <f t="shared" si="21"/>
        <v>0</v>
      </c>
      <c r="BC36" s="10">
        <f t="shared" si="46"/>
        <v>0</v>
      </c>
      <c r="BD36" s="10">
        <f t="shared" si="22"/>
        <v>0</v>
      </c>
      <c r="BE36" s="10">
        <f t="shared" si="47"/>
        <v>0</v>
      </c>
      <c r="BF36" s="10">
        <f t="shared" si="23"/>
        <v>0</v>
      </c>
      <c r="BG36" s="96"/>
      <c r="BH36" s="10">
        <f t="shared" si="24"/>
        <v>0</v>
      </c>
      <c r="BI36" s="10">
        <f t="shared" si="48"/>
        <v>0</v>
      </c>
      <c r="BJ36" s="10">
        <f t="shared" si="25"/>
        <v>0</v>
      </c>
      <c r="BK36" s="10">
        <f t="shared" si="26"/>
        <v>36316.505999999994</v>
      </c>
      <c r="BL36" s="10">
        <f t="shared" si="49"/>
        <v>423660.09800000006</v>
      </c>
      <c r="BM36" s="511">
        <f t="shared" si="27"/>
        <v>0.96999214743589746</v>
      </c>
      <c r="BN36" s="10">
        <f t="shared" si="28"/>
        <v>1.1108200391196508</v>
      </c>
    </row>
    <row r="37" spans="1:66">
      <c r="A37" s="16">
        <f>+Report1!A36</f>
        <v>45989</v>
      </c>
      <c r="B37" s="6" t="str">
        <f>+Chem!B36</f>
        <v>Facial</v>
      </c>
      <c r="C37" s="16" t="str">
        <f>+Chem!C36</f>
        <v>12/13</v>
      </c>
      <c r="D37" s="8">
        <f>+Chem!D36</f>
        <v>40.918000000000006</v>
      </c>
      <c r="E37" s="7">
        <f>+Chem!E36</f>
        <v>39.106999999999999</v>
      </c>
      <c r="F37" s="7">
        <f t="shared" si="29"/>
        <v>420.50099999999998</v>
      </c>
      <c r="G37" s="96">
        <f>19.5*G7</f>
        <v>4875</v>
      </c>
      <c r="H37" s="10">
        <f t="shared" si="0"/>
        <v>11.556229412132831</v>
      </c>
      <c r="I37" s="8">
        <f t="shared" si="30"/>
        <v>67375</v>
      </c>
      <c r="J37" s="10">
        <f t="shared" si="1"/>
        <v>14.462960864904421</v>
      </c>
      <c r="K37" s="96"/>
      <c r="L37" s="10">
        <f t="shared" si="2"/>
        <v>0</v>
      </c>
      <c r="M37" s="10">
        <f t="shared" si="31"/>
        <v>2355.1660000000002</v>
      </c>
      <c r="N37" s="10">
        <f t="shared" si="3"/>
        <v>0.50556844064346551</v>
      </c>
      <c r="O37" s="96"/>
      <c r="P37" s="10">
        <f t="shared" si="4"/>
        <v>0</v>
      </c>
      <c r="Q37" s="10">
        <f t="shared" si="32"/>
        <v>0</v>
      </c>
      <c r="R37" s="10">
        <f t="shared" si="5"/>
        <v>0</v>
      </c>
      <c r="S37" s="10">
        <f t="shared" si="33"/>
        <v>4875</v>
      </c>
      <c r="T37" s="10">
        <f t="shared" si="6"/>
        <v>11.556229412132831</v>
      </c>
      <c r="U37" s="10">
        <f t="shared" si="34"/>
        <v>69730.165999999997</v>
      </c>
      <c r="V37" s="10">
        <f t="shared" si="7"/>
        <v>14.968529305547888</v>
      </c>
      <c r="W37" s="96"/>
      <c r="X37" s="10">
        <f t="shared" si="35"/>
        <v>0</v>
      </c>
      <c r="Y37" s="10">
        <f t="shared" si="36"/>
        <v>0</v>
      </c>
      <c r="Z37" s="10">
        <f t="shared" si="37"/>
        <v>0</v>
      </c>
      <c r="AA37" s="96">
        <f>72*AA7</f>
        <v>18110.448</v>
      </c>
      <c r="AB37" s="10">
        <f t="shared" si="8"/>
        <v>42.930972686051739</v>
      </c>
      <c r="AC37" s="10">
        <f t="shared" si="38"/>
        <v>205754.81200000003</v>
      </c>
      <c r="AD37" s="10">
        <f t="shared" si="9"/>
        <v>44.168071149859252</v>
      </c>
      <c r="AE37" s="96">
        <f>72*AE7</f>
        <v>19199.592000000001</v>
      </c>
      <c r="AF37" s="10">
        <f t="shared" si="10"/>
        <v>45.512797901815432</v>
      </c>
      <c r="AG37" s="10">
        <f t="shared" si="39"/>
        <v>167463.10799999998</v>
      </c>
      <c r="AH37" s="10">
        <f t="shared" si="11"/>
        <v>35.948235655944522</v>
      </c>
      <c r="AI37" s="96"/>
      <c r="AJ37" s="10">
        <f t="shared" si="12"/>
        <v>0</v>
      </c>
      <c r="AK37" s="10">
        <f t="shared" si="40"/>
        <v>0</v>
      </c>
      <c r="AL37" s="10">
        <f t="shared" si="13"/>
        <v>0</v>
      </c>
      <c r="AM37" s="10">
        <f t="shared" si="41"/>
        <v>37310.04</v>
      </c>
      <c r="AN37" s="10">
        <f t="shared" si="14"/>
        <v>88.443770587867164</v>
      </c>
      <c r="AO37" s="10">
        <f t="shared" si="42"/>
        <v>396114.97199999995</v>
      </c>
      <c r="AP37" s="10">
        <f t="shared" si="15"/>
        <v>85.031470694452096</v>
      </c>
      <c r="AQ37" s="96"/>
      <c r="AR37" s="10">
        <f t="shared" si="16"/>
        <v>0</v>
      </c>
      <c r="AS37" s="10">
        <f t="shared" si="43"/>
        <v>0</v>
      </c>
      <c r="AT37" s="10">
        <f t="shared" si="17"/>
        <v>0</v>
      </c>
      <c r="AU37" s="96"/>
      <c r="AV37" s="10">
        <f t="shared" si="18"/>
        <v>0</v>
      </c>
      <c r="AW37" s="10">
        <f t="shared" si="44"/>
        <v>0</v>
      </c>
      <c r="AX37" s="10">
        <f t="shared" si="19"/>
        <v>0</v>
      </c>
      <c r="AY37" s="96"/>
      <c r="AZ37" s="15">
        <f t="shared" si="20"/>
        <v>0</v>
      </c>
      <c r="BA37" s="10">
        <f t="shared" si="45"/>
        <v>0</v>
      </c>
      <c r="BB37" s="10">
        <f t="shared" si="21"/>
        <v>0</v>
      </c>
      <c r="BC37" s="10">
        <f t="shared" si="46"/>
        <v>0</v>
      </c>
      <c r="BD37" s="10">
        <f t="shared" si="22"/>
        <v>0</v>
      </c>
      <c r="BE37" s="10">
        <f t="shared" si="47"/>
        <v>0</v>
      </c>
      <c r="BF37" s="10">
        <f t="shared" si="23"/>
        <v>0</v>
      </c>
      <c r="BG37" s="96"/>
      <c r="BH37" s="10">
        <f t="shared" si="24"/>
        <v>0</v>
      </c>
      <c r="BI37" s="10">
        <f t="shared" si="48"/>
        <v>0</v>
      </c>
      <c r="BJ37" s="10">
        <f t="shared" si="25"/>
        <v>0</v>
      </c>
      <c r="BK37" s="10">
        <f t="shared" si="26"/>
        <v>42185.04</v>
      </c>
      <c r="BL37" s="10">
        <f t="shared" si="49"/>
        <v>465845.13800000004</v>
      </c>
      <c r="BM37" s="511">
        <f t="shared" si="27"/>
        <v>1.0787081596645103</v>
      </c>
      <c r="BN37" s="10">
        <f t="shared" si="28"/>
        <v>1.1078336032494573</v>
      </c>
    </row>
    <row r="38" spans="1:66">
      <c r="A38" s="16">
        <f>+Report1!A37</f>
        <v>45990</v>
      </c>
      <c r="B38" s="6" t="str">
        <f>+Chem!B37</f>
        <v>Facial</v>
      </c>
      <c r="C38" s="16" t="str">
        <f>+Chem!C37</f>
        <v>12/14</v>
      </c>
      <c r="D38" s="8">
        <f>+Chem!D37</f>
        <v>41.548000000000002</v>
      </c>
      <c r="E38" s="7">
        <f>+Chem!E37</f>
        <v>38.677</v>
      </c>
      <c r="F38" s="7">
        <f t="shared" si="29"/>
        <v>459.178</v>
      </c>
      <c r="G38" s="96">
        <f>34*G7</f>
        <v>8500</v>
      </c>
      <c r="H38" s="10">
        <f t="shared" si="0"/>
        <v>19.795531719975763</v>
      </c>
      <c r="I38" s="8">
        <f t="shared" si="30"/>
        <v>75875</v>
      </c>
      <c r="J38" s="10">
        <f t="shared" si="1"/>
        <v>14.91300472406056</v>
      </c>
      <c r="K38" s="96"/>
      <c r="L38" s="10">
        <f t="shared" si="2"/>
        <v>0</v>
      </c>
      <c r="M38" s="10">
        <f t="shared" si="31"/>
        <v>2355.1660000000002</v>
      </c>
      <c r="N38" s="10">
        <f t="shared" si="3"/>
        <v>0.46290084591692671</v>
      </c>
      <c r="O38" s="96"/>
      <c r="P38" s="10">
        <f t="shared" si="4"/>
        <v>0</v>
      </c>
      <c r="Q38" s="10">
        <f t="shared" si="32"/>
        <v>0</v>
      </c>
      <c r="R38" s="10">
        <f t="shared" si="5"/>
        <v>0</v>
      </c>
      <c r="S38" s="10">
        <f t="shared" si="33"/>
        <v>8500</v>
      </c>
      <c r="T38" s="10">
        <f t="shared" si="6"/>
        <v>19.795531719975763</v>
      </c>
      <c r="U38" s="10">
        <f t="shared" si="34"/>
        <v>78230.165999999997</v>
      </c>
      <c r="V38" s="10">
        <f t="shared" si="7"/>
        <v>15.375905569977485</v>
      </c>
      <c r="W38" s="96">
        <f>65*W7</f>
        <v>16177.264999999999</v>
      </c>
      <c r="X38" s="10">
        <f t="shared" si="35"/>
        <v>37.675007347053374</v>
      </c>
      <c r="Y38" s="10">
        <f t="shared" si="36"/>
        <v>16177.264999999999</v>
      </c>
      <c r="Z38" s="10">
        <f t="shared" si="37"/>
        <v>3.179593138285068</v>
      </c>
      <c r="AA38" s="96">
        <f>62*AA7</f>
        <v>15595.108</v>
      </c>
      <c r="AB38" s="10">
        <f t="shared" si="8"/>
        <v>36.319230010640915</v>
      </c>
      <c r="AC38" s="10">
        <f t="shared" si="38"/>
        <v>221349.92000000004</v>
      </c>
      <c r="AD38" s="10">
        <f t="shared" si="9"/>
        <v>43.505665932526227</v>
      </c>
      <c r="AE38" s="96">
        <f>10*AE7</f>
        <v>2666.61</v>
      </c>
      <c r="AF38" s="10">
        <f t="shared" si="10"/>
        <v>6.2102309223299494</v>
      </c>
      <c r="AG38" s="10">
        <f t="shared" si="39"/>
        <v>170129.71799999996</v>
      </c>
      <c r="AH38" s="10">
        <f t="shared" si="11"/>
        <v>33.438488148100035</v>
      </c>
      <c r="AI38" s="96"/>
      <c r="AJ38" s="10">
        <f t="shared" si="12"/>
        <v>0</v>
      </c>
      <c r="AK38" s="10">
        <f t="shared" si="40"/>
        <v>0</v>
      </c>
      <c r="AL38" s="10">
        <f t="shared" si="13"/>
        <v>0</v>
      </c>
      <c r="AM38" s="10">
        <f t="shared" si="41"/>
        <v>34438.983</v>
      </c>
      <c r="AN38" s="10">
        <f t="shared" si="14"/>
        <v>80.204468280024244</v>
      </c>
      <c r="AO38" s="10">
        <f t="shared" si="42"/>
        <v>430553.95499999996</v>
      </c>
      <c r="AP38" s="10">
        <f t="shared" si="15"/>
        <v>84.624094430022495</v>
      </c>
      <c r="AQ38" s="96"/>
      <c r="AR38" s="10">
        <f t="shared" si="16"/>
        <v>0</v>
      </c>
      <c r="AS38" s="10">
        <f t="shared" si="43"/>
        <v>0</v>
      </c>
      <c r="AT38" s="10">
        <f t="shared" si="17"/>
        <v>0</v>
      </c>
      <c r="AU38" s="96"/>
      <c r="AV38" s="10">
        <f t="shared" si="18"/>
        <v>0</v>
      </c>
      <c r="AW38" s="10">
        <f t="shared" si="44"/>
        <v>0</v>
      </c>
      <c r="AX38" s="10">
        <f t="shared" si="19"/>
        <v>0</v>
      </c>
      <c r="AY38" s="96"/>
      <c r="AZ38" s="15">
        <f t="shared" si="20"/>
        <v>0</v>
      </c>
      <c r="BA38" s="10">
        <f t="shared" si="45"/>
        <v>0</v>
      </c>
      <c r="BB38" s="10">
        <f t="shared" si="21"/>
        <v>0</v>
      </c>
      <c r="BC38" s="10">
        <f t="shared" si="46"/>
        <v>0</v>
      </c>
      <c r="BD38" s="10">
        <f t="shared" si="22"/>
        <v>0</v>
      </c>
      <c r="BE38" s="10">
        <f t="shared" si="47"/>
        <v>0</v>
      </c>
      <c r="BF38" s="10">
        <f t="shared" si="23"/>
        <v>0</v>
      </c>
      <c r="BG38" s="96"/>
      <c r="BH38" s="10">
        <f t="shared" si="24"/>
        <v>0</v>
      </c>
      <c r="BI38" s="10">
        <f t="shared" si="48"/>
        <v>0</v>
      </c>
      <c r="BJ38" s="10">
        <f t="shared" si="25"/>
        <v>0</v>
      </c>
      <c r="BK38" s="10">
        <f t="shared" si="26"/>
        <v>42938.983</v>
      </c>
      <c r="BL38" s="10">
        <f t="shared" si="49"/>
        <v>508784.12100000004</v>
      </c>
      <c r="BM38" s="511">
        <f t="shared" si="27"/>
        <v>1.1101942498125501</v>
      </c>
      <c r="BN38" s="10">
        <f t="shared" si="28"/>
        <v>1.1080324427564039</v>
      </c>
    </row>
    <row r="39" spans="1:66">
      <c r="A39" s="16">
        <f>+Report1!A38</f>
        <v>45991</v>
      </c>
      <c r="B39" s="6" t="str">
        <f>+Chem!B38</f>
        <v>Facial</v>
      </c>
      <c r="C39" s="16" t="str">
        <f>+Chem!C38</f>
        <v>14</v>
      </c>
      <c r="D39" s="8">
        <f>+Chem!D38</f>
        <v>42.650999999999996</v>
      </c>
      <c r="E39" s="7">
        <f>+Chem!E38</f>
        <v>41.048999999999999</v>
      </c>
      <c r="F39" s="7">
        <f t="shared" si="29"/>
        <v>500.22699999999998</v>
      </c>
      <c r="G39" s="96">
        <f>36*G7</f>
        <v>9000</v>
      </c>
      <c r="H39" s="10">
        <f t="shared" si="0"/>
        <v>19.986728812068787</v>
      </c>
      <c r="I39" s="8">
        <f t="shared" si="30"/>
        <v>84875</v>
      </c>
      <c r="J39" s="10">
        <f t="shared" si="1"/>
        <v>15.325542482989698</v>
      </c>
      <c r="K39" s="96"/>
      <c r="L39" s="10">
        <f t="shared" si="2"/>
        <v>0</v>
      </c>
      <c r="M39" s="10">
        <f t="shared" si="31"/>
        <v>2355.1660000000002</v>
      </c>
      <c r="N39" s="10">
        <f t="shared" si="3"/>
        <v>0.42526299366707421</v>
      </c>
      <c r="O39" s="96"/>
      <c r="P39" s="10">
        <f t="shared" si="4"/>
        <v>0</v>
      </c>
      <c r="Q39" s="10">
        <f t="shared" si="32"/>
        <v>0</v>
      </c>
      <c r="R39" s="10">
        <f t="shared" si="5"/>
        <v>0</v>
      </c>
      <c r="S39" s="10">
        <f t="shared" si="33"/>
        <v>9000</v>
      </c>
      <c r="T39" s="10">
        <f t="shared" si="6"/>
        <v>19.986728812068787</v>
      </c>
      <c r="U39" s="10">
        <f t="shared" si="34"/>
        <v>87230.165999999997</v>
      </c>
      <c r="V39" s="10">
        <f t="shared" si="7"/>
        <v>15.750805476656771</v>
      </c>
      <c r="W39" s="96">
        <f>72*W7</f>
        <v>17919.432000000001</v>
      </c>
      <c r="X39" s="10">
        <f t="shared" si="35"/>
        <v>39.794536427811934</v>
      </c>
      <c r="Y39" s="10">
        <f t="shared" si="36"/>
        <v>17919.432000000001</v>
      </c>
      <c r="Z39" s="10">
        <f t="shared" si="37"/>
        <v>3.2356408410844777</v>
      </c>
      <c r="AA39" s="96">
        <f>72*AA7</f>
        <v>18110.448</v>
      </c>
      <c r="AB39" s="10">
        <f t="shared" si="8"/>
        <v>40.218734760119276</v>
      </c>
      <c r="AC39" s="10">
        <f t="shared" si="38"/>
        <v>239460.36800000005</v>
      </c>
      <c r="AD39" s="10">
        <f t="shared" si="9"/>
        <v>43.238409929618236</v>
      </c>
      <c r="AE39" s="96"/>
      <c r="AF39" s="10">
        <f t="shared" si="10"/>
        <v>0</v>
      </c>
      <c r="AG39" s="10">
        <f t="shared" si="39"/>
        <v>170129.71799999996</v>
      </c>
      <c r="AH39" s="10">
        <f t="shared" si="11"/>
        <v>30.719649140831301</v>
      </c>
      <c r="AI39" s="96"/>
      <c r="AJ39" s="10">
        <f t="shared" si="12"/>
        <v>0</v>
      </c>
      <c r="AK39" s="10">
        <f t="shared" si="40"/>
        <v>0</v>
      </c>
      <c r="AL39" s="10">
        <f t="shared" si="13"/>
        <v>0</v>
      </c>
      <c r="AM39" s="10">
        <f t="shared" si="41"/>
        <v>36029.880000000005</v>
      </c>
      <c r="AN39" s="10">
        <f t="shared" si="14"/>
        <v>80.01327118793121</v>
      </c>
      <c r="AO39" s="10">
        <f t="shared" si="42"/>
        <v>466583.83499999996</v>
      </c>
      <c r="AP39" s="10">
        <f t="shared" si="15"/>
        <v>84.249194523343206</v>
      </c>
      <c r="AQ39" s="96"/>
      <c r="AR39" s="10">
        <f t="shared" si="16"/>
        <v>0</v>
      </c>
      <c r="AS39" s="10">
        <f t="shared" si="43"/>
        <v>0</v>
      </c>
      <c r="AT39" s="10">
        <f t="shared" si="17"/>
        <v>0</v>
      </c>
      <c r="AU39" s="96"/>
      <c r="AV39" s="10">
        <f t="shared" si="18"/>
        <v>0</v>
      </c>
      <c r="AW39" s="10">
        <f t="shared" si="44"/>
        <v>0</v>
      </c>
      <c r="AX39" s="10">
        <f t="shared" si="19"/>
        <v>0</v>
      </c>
      <c r="AY39" s="96"/>
      <c r="AZ39" s="15">
        <f t="shared" si="20"/>
        <v>0</v>
      </c>
      <c r="BA39" s="10">
        <f t="shared" si="45"/>
        <v>0</v>
      </c>
      <c r="BB39" s="10">
        <f t="shared" si="21"/>
        <v>0</v>
      </c>
      <c r="BC39" s="10">
        <f t="shared" si="46"/>
        <v>0</v>
      </c>
      <c r="BD39" s="10">
        <f t="shared" si="22"/>
        <v>0</v>
      </c>
      <c r="BE39" s="10">
        <f t="shared" si="47"/>
        <v>0</v>
      </c>
      <c r="BF39" s="10">
        <f t="shared" si="23"/>
        <v>0</v>
      </c>
      <c r="BG39" s="96"/>
      <c r="BH39" s="10">
        <f t="shared" si="24"/>
        <v>0</v>
      </c>
      <c r="BI39" s="10">
        <f t="shared" si="48"/>
        <v>0</v>
      </c>
      <c r="BJ39" s="10">
        <f t="shared" si="25"/>
        <v>0</v>
      </c>
      <c r="BK39" s="10">
        <f t="shared" si="26"/>
        <v>45029.880000000005</v>
      </c>
      <c r="BL39" s="10">
        <f t="shared" si="49"/>
        <v>553814.00100000005</v>
      </c>
      <c r="BM39" s="511">
        <f t="shared" si="27"/>
        <v>1.0969787327340497</v>
      </c>
      <c r="BN39" s="10">
        <f t="shared" si="28"/>
        <v>1.1071253670833443</v>
      </c>
    </row>
    <row r="40" spans="1:66" hidden="1">
      <c r="A40" s="16">
        <f>+Report1!A39</f>
        <v>45992</v>
      </c>
      <c r="B40" s="6">
        <f>+Chem!B39</f>
        <v>0</v>
      </c>
      <c r="C40" s="16">
        <f>+Chem!C39</f>
        <v>0</v>
      </c>
      <c r="D40" s="8">
        <f>+Chem!D39</f>
        <v>0</v>
      </c>
      <c r="E40" s="7">
        <f>+Chem!E39</f>
        <v>0</v>
      </c>
      <c r="F40" s="7">
        <f>+E40+F39</f>
        <v>500.22699999999998</v>
      </c>
      <c r="G40" s="96"/>
      <c r="H40" s="10" t="e">
        <f t="shared" si="0"/>
        <v>#DIV/0!</v>
      </c>
      <c r="I40" s="8">
        <f>G40+I39</f>
        <v>84875</v>
      </c>
      <c r="J40" s="10">
        <f t="shared" si="1"/>
        <v>15.325542482989698</v>
      </c>
      <c r="K40" s="96"/>
      <c r="L40" s="10" t="e">
        <f t="shared" si="2"/>
        <v>#DIV/0!</v>
      </c>
      <c r="M40" s="10">
        <f>+K40+M39</f>
        <v>2355.1660000000002</v>
      </c>
      <c r="N40" s="10">
        <f t="shared" si="3"/>
        <v>0.42526299366707421</v>
      </c>
      <c r="O40" s="96"/>
      <c r="P40" s="10" t="e">
        <f t="shared" si="4"/>
        <v>#DIV/0!</v>
      </c>
      <c r="Q40" s="10">
        <f>+O40+Q39</f>
        <v>0</v>
      </c>
      <c r="R40" s="10">
        <f t="shared" si="5"/>
        <v>0</v>
      </c>
      <c r="S40" s="10">
        <f t="shared" si="33"/>
        <v>0</v>
      </c>
      <c r="T40" s="10" t="e">
        <f t="shared" si="6"/>
        <v>#DIV/0!</v>
      </c>
      <c r="U40" s="10">
        <f>S40+U39</f>
        <v>87230.165999999997</v>
      </c>
      <c r="V40" s="10">
        <f t="shared" si="7"/>
        <v>15.750805476656771</v>
      </c>
      <c r="W40" s="96"/>
      <c r="X40" s="10" t="e">
        <f t="shared" si="35"/>
        <v>#DIV/0!</v>
      </c>
      <c r="Y40" s="10">
        <f t="shared" si="36"/>
        <v>0</v>
      </c>
      <c r="Z40" s="10">
        <f t="shared" si="37"/>
        <v>0</v>
      </c>
      <c r="AA40" s="96"/>
      <c r="AB40" s="10" t="e">
        <f t="shared" si="8"/>
        <v>#DIV/0!</v>
      </c>
      <c r="AC40" s="10">
        <f>AA40+AC39</f>
        <v>239460.36800000005</v>
      </c>
      <c r="AD40" s="10">
        <f t="shared" si="9"/>
        <v>43.238409929618236</v>
      </c>
      <c r="AE40" s="96"/>
      <c r="AF40" s="10" t="e">
        <f t="shared" si="10"/>
        <v>#DIV/0!</v>
      </c>
      <c r="AG40" s="10">
        <f>AE40+AG39</f>
        <v>170129.71799999996</v>
      </c>
      <c r="AH40" s="10">
        <f t="shared" si="11"/>
        <v>30.719649140831301</v>
      </c>
      <c r="AI40" s="96"/>
      <c r="AJ40" s="10" t="e">
        <f t="shared" si="12"/>
        <v>#DIV/0!</v>
      </c>
      <c r="AK40" s="10">
        <f>AI40+AK39</f>
        <v>0</v>
      </c>
      <c r="AL40" s="10">
        <f t="shared" si="13"/>
        <v>0</v>
      </c>
      <c r="AM40" s="10">
        <f t="shared" si="41"/>
        <v>0</v>
      </c>
      <c r="AN40" s="10" t="e">
        <f>AM40/BK40*100</f>
        <v>#DIV/0!</v>
      </c>
      <c r="AO40" s="10">
        <f>AM40+AO39</f>
        <v>466583.83499999996</v>
      </c>
      <c r="AP40" s="10">
        <f>AO40/BL40*100</f>
        <v>84.249194523343206</v>
      </c>
      <c r="AQ40" s="96"/>
      <c r="AR40" s="10" t="e">
        <f>+AQ40/BK40*100</f>
        <v>#DIV/0!</v>
      </c>
      <c r="AS40" s="10">
        <f>+AQ40+AS39</f>
        <v>0</v>
      </c>
      <c r="AT40" s="10">
        <f>+AS40/BL40*100</f>
        <v>0</v>
      </c>
      <c r="AU40" s="96"/>
      <c r="AV40" s="10" t="e">
        <f>AU40/BK40*100</f>
        <v>#DIV/0!</v>
      </c>
      <c r="AW40" s="10">
        <f>AU40+AW39</f>
        <v>0</v>
      </c>
      <c r="AX40" s="10">
        <f>AW40/BL40*100</f>
        <v>0</v>
      </c>
      <c r="AY40" s="96"/>
      <c r="AZ40" s="15" t="e">
        <f>AY40/BK40*100</f>
        <v>#DIV/0!</v>
      </c>
      <c r="BA40" s="10">
        <f>AY40+BA39</f>
        <v>0</v>
      </c>
      <c r="BB40" s="10">
        <f>BA40/BL40*100</f>
        <v>0</v>
      </c>
      <c r="BC40" s="10">
        <f>AQ40+AU40+AY40</f>
        <v>0</v>
      </c>
      <c r="BD40" s="10" t="e">
        <f>BC40/BK40*100</f>
        <v>#DIV/0!</v>
      </c>
      <c r="BE40" s="10">
        <f>BC40+BE39</f>
        <v>0</v>
      </c>
      <c r="BF40" s="10">
        <f>BE40/BL40*100</f>
        <v>0</v>
      </c>
      <c r="BG40" s="96"/>
      <c r="BH40" s="10" t="e">
        <f>BG40/BK40*100</f>
        <v>#DIV/0!</v>
      </c>
      <c r="BI40" s="10">
        <f>BG40+BI39</f>
        <v>0</v>
      </c>
      <c r="BJ40" s="10">
        <f>BI40/BL40*100</f>
        <v>0</v>
      </c>
      <c r="BK40" s="10">
        <f t="shared" si="26"/>
        <v>0</v>
      </c>
      <c r="BL40" s="10">
        <f>BK40+BL39</f>
        <v>553814.00100000005</v>
      </c>
      <c r="BM40" s="511" t="e">
        <f t="shared" si="27"/>
        <v>#DIV/0!</v>
      </c>
      <c r="BN40" s="10">
        <f t="shared" si="28"/>
        <v>1.1071253670833443</v>
      </c>
    </row>
    <row r="41" spans="1:66">
      <c r="A41" s="16"/>
      <c r="B41" s="16"/>
      <c r="C41" s="16"/>
      <c r="D41" s="8"/>
      <c r="E41" s="7"/>
      <c r="F41" s="7"/>
      <c r="G41" s="96"/>
      <c r="H41" s="10"/>
      <c r="I41" s="8"/>
      <c r="J41" s="10"/>
      <c r="K41" s="96"/>
      <c r="L41" s="10"/>
      <c r="M41" s="10"/>
      <c r="N41" s="10"/>
      <c r="O41" s="96"/>
      <c r="P41" s="10"/>
      <c r="Q41" s="10"/>
      <c r="R41" s="10"/>
      <c r="S41" s="10"/>
      <c r="T41" s="10"/>
      <c r="U41" s="10"/>
      <c r="V41" s="10"/>
      <c r="W41" s="96"/>
      <c r="X41" s="10"/>
      <c r="Y41" s="10"/>
      <c r="Z41" s="10"/>
      <c r="AA41" s="96"/>
      <c r="AB41" s="10"/>
      <c r="AC41" s="10"/>
      <c r="AD41" s="10"/>
      <c r="AE41" s="96"/>
      <c r="AF41" s="10"/>
      <c r="AG41" s="10"/>
      <c r="AH41" s="10"/>
      <c r="AI41" s="96"/>
      <c r="AJ41" s="10"/>
      <c r="AK41" s="10"/>
      <c r="AL41" s="10"/>
      <c r="AM41" s="10"/>
      <c r="AN41" s="10"/>
      <c r="AO41" s="10"/>
      <c r="AP41" s="10"/>
      <c r="AQ41" s="96"/>
      <c r="AR41" s="10"/>
      <c r="AS41" s="10"/>
      <c r="AT41" s="10"/>
      <c r="AU41" s="96"/>
      <c r="AV41" s="10"/>
      <c r="AW41" s="10"/>
      <c r="AX41" s="10"/>
      <c r="AY41" s="96"/>
      <c r="AZ41" s="15"/>
      <c r="BA41" s="10"/>
      <c r="BB41" s="10"/>
      <c r="BC41" s="10"/>
      <c r="BD41" s="10"/>
      <c r="BE41" s="10"/>
      <c r="BF41" s="10"/>
      <c r="BG41" s="96"/>
      <c r="BH41" s="10"/>
      <c r="BI41" s="10"/>
      <c r="BJ41" s="10"/>
      <c r="BK41" s="10"/>
      <c r="BL41" s="10"/>
      <c r="BM41" s="10"/>
      <c r="BN41" s="10"/>
    </row>
    <row r="42" spans="1:66" ht="13.5" thickBot="1">
      <c r="A42" s="11" t="s">
        <v>27</v>
      </c>
      <c r="B42" s="11"/>
      <c r="C42" s="12"/>
      <c r="D42" s="12">
        <f>SUM(D10:D41)</f>
        <v>532.99699999999996</v>
      </c>
      <c r="E42" s="12">
        <f>SUM(E10:E41)</f>
        <v>500.22699999999998</v>
      </c>
      <c r="F42" s="12"/>
      <c r="G42" s="12">
        <f>SUM(G10:G41)</f>
        <v>84875</v>
      </c>
      <c r="H42" s="12">
        <f>G42/BK42*100</f>
        <v>15.325542482989698</v>
      </c>
      <c r="I42" s="12"/>
      <c r="J42" s="12"/>
      <c r="K42" s="12">
        <f>SUM(K10:K41)</f>
        <v>2355.1660000000002</v>
      </c>
      <c r="L42" s="12"/>
      <c r="M42" s="12"/>
      <c r="N42" s="12"/>
      <c r="O42" s="12"/>
      <c r="P42" s="12"/>
      <c r="Q42" s="12"/>
      <c r="R42" s="12"/>
      <c r="S42" s="12">
        <f>SUM(S10:S41)</f>
        <v>87230.165999999997</v>
      </c>
      <c r="T42" s="18">
        <f>S42/$BK$42*100</f>
        <v>15.750805476656771</v>
      </c>
      <c r="U42" s="12"/>
      <c r="V42" s="12"/>
      <c r="W42" s="12">
        <f>SUM(W10:W41)</f>
        <v>56993.748999999996</v>
      </c>
      <c r="X42" s="12" t="e">
        <f>W42/BG42*100</f>
        <v>#DIV/0!</v>
      </c>
      <c r="Y42" s="12"/>
      <c r="Z42" s="12"/>
      <c r="AA42" s="12">
        <f>SUM(AA10:AA41)</f>
        <v>239460.36800000005</v>
      </c>
      <c r="AB42" s="12">
        <f>AA42/$BK$42*100</f>
        <v>43.238409929618236</v>
      </c>
      <c r="AC42" s="12"/>
      <c r="AD42" s="12"/>
      <c r="AE42" s="12">
        <f>SUM(AE10:AE41)</f>
        <v>170129.71799999996</v>
      </c>
      <c r="AF42" s="12">
        <f>AE42/$BK$42*100</f>
        <v>30.719649140831301</v>
      </c>
      <c r="AG42" s="12"/>
      <c r="AH42" s="12"/>
      <c r="AI42" s="12">
        <f>SUM(AI10:AI41)</f>
        <v>0</v>
      </c>
      <c r="AJ42" s="12">
        <f>AI42/$BK$42*100</f>
        <v>0</v>
      </c>
      <c r="AK42" s="12"/>
      <c r="AL42" s="12"/>
      <c r="AM42" s="12">
        <f>SUM(AM10:AM41)</f>
        <v>466583.83499999996</v>
      </c>
      <c r="AN42" s="18">
        <f>AM42/$BK$42*100</f>
        <v>84.249194523343206</v>
      </c>
      <c r="AO42" s="12"/>
      <c r="AP42" s="18"/>
      <c r="AQ42" s="12">
        <f>SUM(AQ10:AQ41)</f>
        <v>0</v>
      </c>
      <c r="AR42" s="12">
        <f>AQ42/$BK$42*100</f>
        <v>0</v>
      </c>
      <c r="AS42" s="12"/>
      <c r="AT42" s="12"/>
      <c r="AU42" s="12">
        <f>SUM(AU10:AU41)</f>
        <v>0</v>
      </c>
      <c r="AV42" s="12">
        <f>AU42/$BK$42*100</f>
        <v>0</v>
      </c>
      <c r="AW42" s="12"/>
      <c r="AX42" s="12"/>
      <c r="AY42" s="12">
        <f>SUM(AY10:AY41)</f>
        <v>0</v>
      </c>
      <c r="AZ42" s="12">
        <f>AY42/$BK$42*100</f>
        <v>0</v>
      </c>
      <c r="BA42" s="12"/>
      <c r="BB42" s="12"/>
      <c r="BC42" s="12">
        <f>SUM(BC10:BC41)</f>
        <v>0</v>
      </c>
      <c r="BD42" s="20">
        <f>BC42/$BK$42*100</f>
        <v>0</v>
      </c>
      <c r="BE42" s="12"/>
      <c r="BF42" s="12"/>
      <c r="BG42" s="12">
        <f>SUM(BG10:BG41)</f>
        <v>0</v>
      </c>
      <c r="BH42" s="12">
        <f>BG42/$BK$42*100</f>
        <v>0</v>
      </c>
      <c r="BI42" s="12"/>
      <c r="BJ42" s="12"/>
      <c r="BK42" s="12">
        <f>SUM(BK10:BK41)</f>
        <v>553814.00100000005</v>
      </c>
      <c r="BL42" s="12">
        <f>BK42/$BK$42*100</f>
        <v>100</v>
      </c>
      <c r="BM42" s="12">
        <f>BK42/1000/E42</f>
        <v>1.1071253670833443</v>
      </c>
      <c r="BN42" s="12"/>
    </row>
    <row r="43" spans="1:66" ht="13.5" thickTop="1"/>
    <row r="44" spans="1:66">
      <c r="W44" s="14"/>
      <c r="AA44" s="14"/>
      <c r="AE44" s="14"/>
      <c r="BD44" s="14"/>
      <c r="BG44" s="14"/>
      <c r="BH44" s="14"/>
    </row>
    <row r="45" spans="1:66">
      <c r="E45" s="14"/>
      <c r="F45" s="14"/>
      <c r="G45" s="14"/>
      <c r="I45" s="14"/>
      <c r="AA45" s="14"/>
      <c r="AE45" s="14"/>
      <c r="BG45" s="14"/>
    </row>
  </sheetData>
  <mergeCells count="11">
    <mergeCell ref="G8:J8"/>
    <mergeCell ref="O8:R8"/>
    <mergeCell ref="K8:N8"/>
    <mergeCell ref="BK8:BL8"/>
    <mergeCell ref="BM8:BN8"/>
    <mergeCell ref="S8:V8"/>
    <mergeCell ref="W8:Z8"/>
    <mergeCell ref="AA8:AD8"/>
    <mergeCell ref="AE8:AH8"/>
    <mergeCell ref="AI8:AL8"/>
    <mergeCell ref="AM8:AP8"/>
  </mergeCells>
  <phoneticPr fontId="32" type="noConversion"/>
  <pageMargins left="0.19513888888888889" right="0.19513888888888889" top="0.05" bottom="0.05" header="0" footer="0"/>
  <pageSetup paperSize="9" scale="70" firstPageNumber="4294963191" orientation="landscape"/>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1"/>
  <sheetViews>
    <sheetView topLeftCell="I133" workbookViewId="0">
      <selection activeCell="M155" sqref="M155:Q161"/>
    </sheetView>
  </sheetViews>
  <sheetFormatPr defaultRowHeight="12.75"/>
  <cols>
    <col min="2" max="2" width="10.85546875" style="469" bestFit="1" customWidth="1"/>
    <col min="3" max="3" width="11.85546875" style="4" customWidth="1"/>
    <col min="4" max="4" width="38.28515625" customWidth="1"/>
    <col min="5" max="6" width="23.140625" bestFit="1" customWidth="1"/>
    <col min="8" max="8" width="30.7109375" bestFit="1" customWidth="1"/>
    <col min="10" max="10" width="12" customWidth="1"/>
    <col min="13" max="13" width="10.85546875" style="469" bestFit="1" customWidth="1"/>
    <col min="14" max="14" width="11.85546875" style="4" customWidth="1"/>
    <col min="15" max="15" width="38.28515625" customWidth="1"/>
    <col min="16" max="17" width="23.140625" bestFit="1" customWidth="1"/>
    <col min="19" max="19" width="30.7109375" bestFit="1" customWidth="1"/>
    <col min="21" max="21" width="12" customWidth="1"/>
  </cols>
  <sheetData>
    <row r="1" spans="1:21" ht="30">
      <c r="A1" s="421" t="s">
        <v>185</v>
      </c>
      <c r="B1" s="462" t="s">
        <v>7</v>
      </c>
      <c r="C1" s="463" t="s">
        <v>254</v>
      </c>
      <c r="D1" s="464" t="s">
        <v>126</v>
      </c>
      <c r="E1" s="464" t="s">
        <v>255</v>
      </c>
      <c r="F1" s="464" t="s">
        <v>256</v>
      </c>
      <c r="H1" s="461" t="s">
        <v>257</v>
      </c>
      <c r="I1" s="454" t="s">
        <v>258</v>
      </c>
      <c r="J1" s="454" t="s">
        <v>259</v>
      </c>
      <c r="L1" s="421" t="s">
        <v>370</v>
      </c>
      <c r="M1" s="462" t="s">
        <v>7</v>
      </c>
      <c r="N1" s="463" t="s">
        <v>254</v>
      </c>
      <c r="O1" s="464" t="s">
        <v>126</v>
      </c>
      <c r="P1" s="464" t="s">
        <v>255</v>
      </c>
      <c r="Q1" s="464" t="s">
        <v>256</v>
      </c>
      <c r="S1" s="533" t="s">
        <v>257</v>
      </c>
      <c r="T1" s="454" t="s">
        <v>258</v>
      </c>
      <c r="U1" s="454" t="s">
        <v>259</v>
      </c>
    </row>
    <row r="2" spans="1:21">
      <c r="B2" s="327">
        <v>45962</v>
      </c>
      <c r="C2" s="4">
        <v>0</v>
      </c>
      <c r="D2" s="468" t="s">
        <v>384</v>
      </c>
      <c r="E2" t="s">
        <v>245</v>
      </c>
      <c r="F2" t="s">
        <v>242</v>
      </c>
      <c r="H2" s="6" t="s">
        <v>148</v>
      </c>
      <c r="I2" s="305">
        <f>+Efficiency1!Z168</f>
        <v>7.9540140315710355</v>
      </c>
      <c r="J2" s="456">
        <f t="shared" ref="J2:J3" si="0">I2/$I$8</f>
        <v>5.9630006202036441E-3</v>
      </c>
      <c r="M2" s="327">
        <v>45962</v>
      </c>
      <c r="N2" s="4">
        <v>0</v>
      </c>
      <c r="O2" s="468" t="s">
        <v>384</v>
      </c>
      <c r="P2" t="s">
        <v>245</v>
      </c>
      <c r="Q2" t="s">
        <v>242</v>
      </c>
      <c r="S2" s="6" t="s">
        <v>148</v>
      </c>
      <c r="T2" s="305">
        <f>+Efficiency2!Z168</f>
        <v>7.9540140315710355</v>
      </c>
      <c r="U2" s="456">
        <f>T2/$T$8</f>
        <v>1.2507961984375924E-2</v>
      </c>
    </row>
    <row r="3" spans="1:21">
      <c r="B3" s="327"/>
      <c r="C3" s="4">
        <v>0</v>
      </c>
      <c r="D3" s="468" t="s">
        <v>282</v>
      </c>
      <c r="E3" t="s">
        <v>243</v>
      </c>
      <c r="F3" t="s">
        <v>242</v>
      </c>
      <c r="H3" s="6" t="s">
        <v>236</v>
      </c>
      <c r="I3" s="305">
        <f>+Efficiency1!Y168+Efficiency1!AA168</f>
        <v>34.573336605109411</v>
      </c>
      <c r="J3" s="456">
        <f t="shared" si="0"/>
        <v>2.591909277510502E-2</v>
      </c>
      <c r="M3" s="327"/>
      <c r="N3" s="4">
        <v>0</v>
      </c>
      <c r="O3" s="468" t="s">
        <v>282</v>
      </c>
      <c r="P3" t="s">
        <v>243</v>
      </c>
      <c r="Q3" t="s">
        <v>242</v>
      </c>
      <c r="S3" s="6" t="s">
        <v>236</v>
      </c>
      <c r="T3" s="305">
        <f>+Efficiency2!AA168+Efficiency2!Y168</f>
        <v>34.573336605109411</v>
      </c>
      <c r="U3" s="456">
        <f t="shared" ref="U3:U5" si="1">T3/$T$8</f>
        <v>5.4367766792124628E-2</v>
      </c>
    </row>
    <row r="4" spans="1:21">
      <c r="B4" s="40"/>
      <c r="C4" s="4">
        <v>0</v>
      </c>
      <c r="D4" s="468" t="s">
        <v>408</v>
      </c>
      <c r="E4" t="s">
        <v>244</v>
      </c>
      <c r="F4" t="s">
        <v>242</v>
      </c>
      <c r="H4" s="6" t="s">
        <v>260</v>
      </c>
      <c r="I4" s="305">
        <f>+Efficiency1!AB168</f>
        <v>-6.523144343253092</v>
      </c>
      <c r="J4" s="456">
        <f>I4/$I$8</f>
        <v>-4.8902998674762513E-3</v>
      </c>
      <c r="M4" s="40"/>
      <c r="N4" s="4">
        <v>0</v>
      </c>
      <c r="O4" s="468" t="s">
        <v>408</v>
      </c>
      <c r="P4" t="s">
        <v>244</v>
      </c>
      <c r="Q4" t="s">
        <v>242</v>
      </c>
      <c r="S4" s="6" t="s">
        <v>260</v>
      </c>
      <c r="T4" s="305">
        <f>+Efficiency2!AB168</f>
        <v>-3.4470116153279782</v>
      </c>
      <c r="U4" s="456">
        <f t="shared" si="1"/>
        <v>-5.4205449063947312E-3</v>
      </c>
    </row>
    <row r="5" spans="1:21" ht="15" customHeight="1">
      <c r="B5" s="40"/>
      <c r="C5" s="4">
        <v>0</v>
      </c>
      <c r="D5" s="468" t="s">
        <v>377</v>
      </c>
      <c r="E5" t="s">
        <v>12</v>
      </c>
      <c r="F5" t="s">
        <v>242</v>
      </c>
      <c r="H5" s="6" t="s">
        <v>239</v>
      </c>
      <c r="I5" s="305">
        <f>+Efficiency1!AC168</f>
        <v>62.038147957371919</v>
      </c>
      <c r="J5" s="456">
        <f>I5/$I$8</f>
        <v>4.6509034718540322E-2</v>
      </c>
      <c r="M5" s="40"/>
      <c r="N5" s="4">
        <v>0</v>
      </c>
      <c r="O5" s="468" t="s">
        <v>377</v>
      </c>
      <c r="P5" t="s">
        <v>12</v>
      </c>
      <c r="Q5" t="s">
        <v>242</v>
      </c>
      <c r="S5" s="6" t="s">
        <v>239</v>
      </c>
      <c r="T5" s="305">
        <f>+Efficiency2!AC168</f>
        <v>58.962015229446791</v>
      </c>
      <c r="U5" s="456">
        <f t="shared" si="1"/>
        <v>9.2719806890565498E-2</v>
      </c>
    </row>
    <row r="6" spans="1:21" ht="15" customHeight="1">
      <c r="B6" s="327"/>
      <c r="C6" s="4">
        <v>1440</v>
      </c>
      <c r="D6" s="468" t="s">
        <v>409</v>
      </c>
      <c r="E6" t="s">
        <v>594</v>
      </c>
      <c r="F6" t="s">
        <v>593</v>
      </c>
      <c r="M6" s="327"/>
      <c r="N6" s="4">
        <v>0</v>
      </c>
      <c r="O6" s="468" t="s">
        <v>409</v>
      </c>
      <c r="P6" t="s">
        <v>594</v>
      </c>
      <c r="Q6" t="s">
        <v>593</v>
      </c>
    </row>
    <row r="7" spans="1:21" ht="12.75" customHeight="1">
      <c r="B7" s="327"/>
      <c r="I7" s="465"/>
      <c r="J7" s="466"/>
      <c r="M7" s="327"/>
      <c r="T7" s="465"/>
      <c r="U7" s="466"/>
    </row>
    <row r="8" spans="1:21" ht="12.75" customHeight="1">
      <c r="B8" s="327">
        <v>45963</v>
      </c>
      <c r="C8" s="4">
        <v>0</v>
      </c>
      <c r="D8" t="s">
        <v>384</v>
      </c>
      <c r="E8" t="s">
        <v>245</v>
      </c>
      <c r="F8" t="s">
        <v>242</v>
      </c>
      <c r="H8" s="467" t="s">
        <v>261</v>
      </c>
      <c r="I8" s="7">
        <f>+Efficiency1!K168</f>
        <v>1333.8945504418539</v>
      </c>
      <c r="M8" s="327">
        <v>45963</v>
      </c>
      <c r="N8" s="4">
        <v>0</v>
      </c>
      <c r="O8" t="s">
        <v>384</v>
      </c>
      <c r="P8" t="s">
        <v>245</v>
      </c>
      <c r="Q8" t="s">
        <v>242</v>
      </c>
      <c r="S8" s="467" t="s">
        <v>261</v>
      </c>
      <c r="T8" s="7">
        <f>+Efficiency2!K168</f>
        <v>635.91607022044332</v>
      </c>
    </row>
    <row r="9" spans="1:21" ht="12.75" customHeight="1">
      <c r="B9" s="327"/>
      <c r="C9" s="4">
        <v>0</v>
      </c>
      <c r="D9" t="s">
        <v>282</v>
      </c>
      <c r="E9" t="s">
        <v>243</v>
      </c>
      <c r="F9" t="s">
        <v>242</v>
      </c>
      <c r="H9" s="467" t="s">
        <v>262</v>
      </c>
      <c r="I9" s="7">
        <f>+Efficiency1!AD168</f>
        <v>24379</v>
      </c>
      <c r="M9" s="327"/>
      <c r="N9" s="4">
        <v>0</v>
      </c>
      <c r="O9" t="s">
        <v>282</v>
      </c>
      <c r="P9" t="s">
        <v>243</v>
      </c>
      <c r="Q9" t="s">
        <v>242</v>
      </c>
      <c r="S9" s="467" t="s">
        <v>262</v>
      </c>
      <c r="T9" s="7">
        <f>+Efficiency2!AD168</f>
        <v>1183</v>
      </c>
    </row>
    <row r="10" spans="1:21" ht="15" customHeight="1">
      <c r="B10" s="327"/>
      <c r="C10" s="4">
        <v>0</v>
      </c>
      <c r="D10" t="s">
        <v>408</v>
      </c>
      <c r="E10" t="s">
        <v>244</v>
      </c>
      <c r="F10" t="s">
        <v>242</v>
      </c>
      <c r="H10" s="467" t="s">
        <v>263</v>
      </c>
      <c r="I10" s="7">
        <f>+Efficiency1!V168</f>
        <v>735.62519619105456</v>
      </c>
      <c r="M10" s="327"/>
      <c r="N10" s="4">
        <v>0</v>
      </c>
      <c r="O10" t="s">
        <v>408</v>
      </c>
      <c r="P10" t="s">
        <v>244</v>
      </c>
      <c r="Q10" t="s">
        <v>242</v>
      </c>
      <c r="S10" s="467" t="s">
        <v>263</v>
      </c>
      <c r="T10" s="7">
        <f>+Efficiency2!V168</f>
        <v>37.64671596964407</v>
      </c>
    </row>
    <row r="11" spans="1:21" ht="12.75" customHeight="1">
      <c r="B11" s="327"/>
      <c r="C11" s="4">
        <v>0</v>
      </c>
      <c r="D11" t="s">
        <v>377</v>
      </c>
      <c r="E11" t="s">
        <v>12</v>
      </c>
      <c r="F11" t="s">
        <v>242</v>
      </c>
      <c r="H11" s="467" t="s">
        <v>264</v>
      </c>
      <c r="I11" s="459">
        <f>I10/I8</f>
        <v>0.55148676928575646</v>
      </c>
      <c r="M11" s="327"/>
      <c r="N11" s="4">
        <v>0</v>
      </c>
      <c r="O11" t="s">
        <v>377</v>
      </c>
      <c r="P11" t="s">
        <v>12</v>
      </c>
      <c r="Q11" t="s">
        <v>242</v>
      </c>
      <c r="S11" s="467" t="s">
        <v>264</v>
      </c>
      <c r="T11" s="459">
        <f>T10/T8</f>
        <v>5.9200762070053772E-2</v>
      </c>
    </row>
    <row r="12" spans="1:21">
      <c r="B12" s="327"/>
      <c r="C12" s="4">
        <v>1440</v>
      </c>
      <c r="D12" t="s">
        <v>409</v>
      </c>
      <c r="E12" t="s">
        <v>594</v>
      </c>
      <c r="F12" t="s">
        <v>593</v>
      </c>
      <c r="M12" s="327"/>
      <c r="N12" s="4">
        <v>0</v>
      </c>
      <c r="O12" t="s">
        <v>409</v>
      </c>
      <c r="P12" t="s">
        <v>594</v>
      </c>
      <c r="Q12" t="s">
        <v>593</v>
      </c>
    </row>
    <row r="13" spans="1:21">
      <c r="B13" s="327"/>
      <c r="M13" s="327"/>
    </row>
    <row r="14" spans="1:21" ht="15" customHeight="1">
      <c r="B14" s="327">
        <v>45964</v>
      </c>
      <c r="C14" s="4">
        <v>0</v>
      </c>
      <c r="D14" t="s">
        <v>384</v>
      </c>
      <c r="E14" t="s">
        <v>245</v>
      </c>
      <c r="F14" t="s">
        <v>242</v>
      </c>
      <c r="M14" s="327">
        <v>45964</v>
      </c>
      <c r="N14" s="4">
        <v>0</v>
      </c>
      <c r="O14" t="s">
        <v>384</v>
      </c>
      <c r="P14" t="s">
        <v>245</v>
      </c>
      <c r="Q14" t="s">
        <v>242</v>
      </c>
    </row>
    <row r="15" spans="1:21" ht="15" customHeight="1">
      <c r="B15" s="327"/>
      <c r="C15" s="4">
        <v>0</v>
      </c>
      <c r="D15" t="s">
        <v>282</v>
      </c>
      <c r="E15" t="s">
        <v>243</v>
      </c>
      <c r="F15" t="s">
        <v>242</v>
      </c>
      <c r="G15" s="512">
        <f>+summary!H43</f>
        <v>0.99999999999999989</v>
      </c>
      <c r="M15" s="327"/>
      <c r="N15" s="4">
        <v>0</v>
      </c>
      <c r="O15" t="s">
        <v>282</v>
      </c>
      <c r="P15" t="s">
        <v>243</v>
      </c>
      <c r="Q15" t="s">
        <v>242</v>
      </c>
      <c r="R15" s="512">
        <f>+summary!Q43</f>
        <v>1</v>
      </c>
    </row>
    <row r="16" spans="1:21">
      <c r="B16" s="327"/>
      <c r="C16" s="4">
        <v>0</v>
      </c>
      <c r="D16" t="s">
        <v>408</v>
      </c>
      <c r="E16" t="s">
        <v>244</v>
      </c>
      <c r="F16" t="s">
        <v>242</v>
      </c>
      <c r="M16" s="327"/>
      <c r="N16" s="4">
        <v>0</v>
      </c>
      <c r="O16" t="s">
        <v>408</v>
      </c>
      <c r="P16" t="s">
        <v>244</v>
      </c>
      <c r="Q16" t="s">
        <v>242</v>
      </c>
    </row>
    <row r="17" spans="2:17">
      <c r="B17" s="327"/>
      <c r="C17" s="4">
        <v>0</v>
      </c>
      <c r="D17" t="s">
        <v>377</v>
      </c>
      <c r="E17" t="s">
        <v>12</v>
      </c>
      <c r="F17" t="s">
        <v>242</v>
      </c>
      <c r="M17" s="327"/>
      <c r="N17" s="4">
        <v>0</v>
      </c>
      <c r="O17" t="s">
        <v>377</v>
      </c>
      <c r="P17" t="s">
        <v>12</v>
      </c>
      <c r="Q17" t="s">
        <v>242</v>
      </c>
    </row>
    <row r="18" spans="2:17">
      <c r="B18" s="327"/>
      <c r="C18" s="4">
        <v>1440</v>
      </c>
      <c r="D18" t="s">
        <v>409</v>
      </c>
      <c r="E18" t="s">
        <v>594</v>
      </c>
      <c r="F18" t="s">
        <v>593</v>
      </c>
      <c r="M18" s="327"/>
      <c r="N18" s="4">
        <v>0</v>
      </c>
      <c r="O18" t="s">
        <v>409</v>
      </c>
      <c r="P18" t="s">
        <v>594</v>
      </c>
      <c r="Q18" t="s">
        <v>593</v>
      </c>
    </row>
    <row r="19" spans="2:17">
      <c r="B19" s="327"/>
      <c r="M19" s="327"/>
    </row>
    <row r="20" spans="2:17">
      <c r="B20" s="327">
        <v>45965</v>
      </c>
      <c r="C20" s="4">
        <v>0</v>
      </c>
      <c r="D20" t="s">
        <v>384</v>
      </c>
      <c r="E20" t="s">
        <v>245</v>
      </c>
      <c r="F20" t="s">
        <v>242</v>
      </c>
      <c r="M20" s="327">
        <v>45965</v>
      </c>
      <c r="N20" s="4">
        <v>0</v>
      </c>
      <c r="O20" t="s">
        <v>384</v>
      </c>
      <c r="P20" t="s">
        <v>245</v>
      </c>
      <c r="Q20" t="s">
        <v>242</v>
      </c>
    </row>
    <row r="21" spans="2:17">
      <c r="B21" s="327"/>
      <c r="C21" s="4">
        <v>0</v>
      </c>
      <c r="D21" t="s">
        <v>282</v>
      </c>
      <c r="E21" t="s">
        <v>243</v>
      </c>
      <c r="F21" t="s">
        <v>242</v>
      </c>
      <c r="M21" s="327"/>
      <c r="N21" s="4">
        <v>0</v>
      </c>
      <c r="O21" t="s">
        <v>282</v>
      </c>
      <c r="P21" t="s">
        <v>243</v>
      </c>
      <c r="Q21" t="s">
        <v>242</v>
      </c>
    </row>
    <row r="22" spans="2:17">
      <c r="B22" s="327"/>
      <c r="C22" s="4">
        <v>0</v>
      </c>
      <c r="D22" t="s">
        <v>408</v>
      </c>
      <c r="E22" t="s">
        <v>244</v>
      </c>
      <c r="F22" t="s">
        <v>242</v>
      </c>
      <c r="M22" s="327"/>
      <c r="N22" s="4">
        <v>0</v>
      </c>
      <c r="O22" t="s">
        <v>408</v>
      </c>
      <c r="P22" t="s">
        <v>244</v>
      </c>
      <c r="Q22" t="s">
        <v>242</v>
      </c>
    </row>
    <row r="23" spans="2:17">
      <c r="B23" s="327"/>
      <c r="C23" s="4">
        <v>0</v>
      </c>
      <c r="D23" t="s">
        <v>377</v>
      </c>
      <c r="E23" t="s">
        <v>12</v>
      </c>
      <c r="F23" t="s">
        <v>242</v>
      </c>
      <c r="M23" s="327"/>
      <c r="N23" s="4">
        <v>0</v>
      </c>
      <c r="O23" t="s">
        <v>377</v>
      </c>
      <c r="P23" t="s">
        <v>12</v>
      </c>
      <c r="Q23" t="s">
        <v>242</v>
      </c>
    </row>
    <row r="24" spans="2:17">
      <c r="B24" s="327"/>
      <c r="C24" s="4">
        <v>1440</v>
      </c>
      <c r="D24" t="s">
        <v>409</v>
      </c>
      <c r="E24" t="s">
        <v>594</v>
      </c>
      <c r="F24" t="s">
        <v>593</v>
      </c>
      <c r="M24" s="327"/>
      <c r="N24" s="4">
        <v>0</v>
      </c>
      <c r="O24" t="s">
        <v>409</v>
      </c>
      <c r="P24" t="s">
        <v>594</v>
      </c>
      <c r="Q24" t="s">
        <v>593</v>
      </c>
    </row>
    <row r="25" spans="2:17">
      <c r="B25" s="327"/>
      <c r="M25" s="327"/>
    </row>
    <row r="26" spans="2:17">
      <c r="B26" s="327">
        <v>45966</v>
      </c>
      <c r="C26" s="4">
        <v>0</v>
      </c>
      <c r="D26" t="s">
        <v>384</v>
      </c>
      <c r="E26" t="s">
        <v>245</v>
      </c>
      <c r="F26" t="s">
        <v>242</v>
      </c>
      <c r="M26" s="327">
        <v>45966</v>
      </c>
      <c r="N26" s="4">
        <v>0</v>
      </c>
      <c r="O26" t="s">
        <v>384</v>
      </c>
      <c r="P26" t="s">
        <v>245</v>
      </c>
      <c r="Q26" t="s">
        <v>242</v>
      </c>
    </row>
    <row r="27" spans="2:17">
      <c r="B27" s="327"/>
      <c r="C27" s="4">
        <v>0</v>
      </c>
      <c r="D27" t="s">
        <v>282</v>
      </c>
      <c r="E27" t="s">
        <v>243</v>
      </c>
      <c r="F27" t="s">
        <v>242</v>
      </c>
      <c r="M27" s="327"/>
      <c r="N27" s="4">
        <v>0</v>
      </c>
      <c r="O27" t="s">
        <v>282</v>
      </c>
      <c r="P27" t="s">
        <v>243</v>
      </c>
      <c r="Q27" t="s">
        <v>242</v>
      </c>
    </row>
    <row r="28" spans="2:17">
      <c r="B28" s="327"/>
      <c r="C28" s="4">
        <v>0</v>
      </c>
      <c r="D28" t="s">
        <v>408</v>
      </c>
      <c r="E28" t="s">
        <v>244</v>
      </c>
      <c r="F28" t="s">
        <v>242</v>
      </c>
      <c r="M28" s="327"/>
      <c r="N28" s="4">
        <v>0</v>
      </c>
      <c r="O28" t="s">
        <v>408</v>
      </c>
      <c r="P28" t="s">
        <v>244</v>
      </c>
      <c r="Q28" t="s">
        <v>242</v>
      </c>
    </row>
    <row r="29" spans="2:17">
      <c r="B29" s="327"/>
      <c r="C29" s="4">
        <v>0</v>
      </c>
      <c r="D29" t="s">
        <v>377</v>
      </c>
      <c r="E29" t="s">
        <v>12</v>
      </c>
      <c r="F29" t="s">
        <v>242</v>
      </c>
      <c r="M29" s="327"/>
      <c r="N29" s="4">
        <v>0</v>
      </c>
      <c r="O29" t="s">
        <v>377</v>
      </c>
      <c r="P29" t="s">
        <v>12</v>
      </c>
      <c r="Q29" t="s">
        <v>242</v>
      </c>
    </row>
    <row r="30" spans="2:17">
      <c r="B30" s="327"/>
      <c r="C30" s="4">
        <v>1440</v>
      </c>
      <c r="D30" t="s">
        <v>409</v>
      </c>
      <c r="E30" t="s">
        <v>594</v>
      </c>
      <c r="F30" t="s">
        <v>593</v>
      </c>
      <c r="M30" s="327"/>
      <c r="N30" s="4">
        <v>0</v>
      </c>
      <c r="O30" t="s">
        <v>409</v>
      </c>
      <c r="P30" t="s">
        <v>594</v>
      </c>
      <c r="Q30" t="s">
        <v>593</v>
      </c>
    </row>
    <row r="31" spans="2:17">
      <c r="B31" s="327"/>
      <c r="M31" s="327"/>
    </row>
    <row r="32" spans="2:17">
      <c r="B32" s="327">
        <v>45967</v>
      </c>
      <c r="C32" s="4">
        <v>0</v>
      </c>
      <c r="D32" t="s">
        <v>384</v>
      </c>
      <c r="E32" t="s">
        <v>245</v>
      </c>
      <c r="F32" t="s">
        <v>242</v>
      </c>
      <c r="M32" s="327">
        <v>45967</v>
      </c>
      <c r="N32" s="4">
        <v>0</v>
      </c>
      <c r="O32" t="s">
        <v>384</v>
      </c>
      <c r="P32" t="s">
        <v>245</v>
      </c>
      <c r="Q32" t="s">
        <v>242</v>
      </c>
    </row>
    <row r="33" spans="2:17">
      <c r="B33" s="327"/>
      <c r="C33" s="4">
        <v>0</v>
      </c>
      <c r="D33" t="s">
        <v>282</v>
      </c>
      <c r="E33" t="s">
        <v>243</v>
      </c>
      <c r="F33" t="s">
        <v>242</v>
      </c>
      <c r="M33" s="327"/>
      <c r="N33" s="4">
        <v>0</v>
      </c>
      <c r="O33" t="s">
        <v>282</v>
      </c>
      <c r="P33" t="s">
        <v>243</v>
      </c>
      <c r="Q33" t="s">
        <v>242</v>
      </c>
    </row>
    <row r="34" spans="2:17">
      <c r="B34" s="327"/>
      <c r="C34" s="4">
        <v>0</v>
      </c>
      <c r="D34" t="s">
        <v>408</v>
      </c>
      <c r="E34" t="s">
        <v>244</v>
      </c>
      <c r="F34" t="s">
        <v>242</v>
      </c>
      <c r="M34" s="327"/>
      <c r="N34" s="4">
        <v>0</v>
      </c>
      <c r="O34" t="s">
        <v>408</v>
      </c>
      <c r="P34" t="s">
        <v>244</v>
      </c>
      <c r="Q34" t="s">
        <v>242</v>
      </c>
    </row>
    <row r="35" spans="2:17">
      <c r="B35" s="327"/>
      <c r="C35" s="4">
        <v>0</v>
      </c>
      <c r="D35" t="s">
        <v>377</v>
      </c>
      <c r="E35" t="s">
        <v>12</v>
      </c>
      <c r="F35" t="s">
        <v>242</v>
      </c>
      <c r="M35" s="327"/>
      <c r="N35" s="4">
        <v>0</v>
      </c>
      <c r="O35" t="s">
        <v>377</v>
      </c>
      <c r="P35" t="s">
        <v>12</v>
      </c>
      <c r="Q35" t="s">
        <v>242</v>
      </c>
    </row>
    <row r="36" spans="2:17">
      <c r="B36" s="327"/>
      <c r="C36" s="4">
        <v>1440</v>
      </c>
      <c r="D36" t="s">
        <v>409</v>
      </c>
      <c r="E36" t="s">
        <v>594</v>
      </c>
      <c r="F36" t="s">
        <v>593</v>
      </c>
      <c r="M36" s="327"/>
      <c r="N36" s="4">
        <v>0</v>
      </c>
      <c r="O36" t="s">
        <v>409</v>
      </c>
      <c r="P36" t="s">
        <v>594</v>
      </c>
      <c r="Q36" t="s">
        <v>593</v>
      </c>
    </row>
    <row r="37" spans="2:17">
      <c r="B37" s="327"/>
      <c r="M37" s="327"/>
    </row>
    <row r="38" spans="2:17">
      <c r="B38" s="327">
        <v>45968</v>
      </c>
      <c r="C38" s="4">
        <v>0</v>
      </c>
      <c r="D38" t="s">
        <v>384</v>
      </c>
      <c r="E38" t="s">
        <v>245</v>
      </c>
      <c r="F38" t="s">
        <v>242</v>
      </c>
      <c r="M38" s="327">
        <v>45968</v>
      </c>
      <c r="N38" s="4">
        <v>0</v>
      </c>
      <c r="O38" t="s">
        <v>384</v>
      </c>
      <c r="P38" t="s">
        <v>245</v>
      </c>
      <c r="Q38" t="s">
        <v>242</v>
      </c>
    </row>
    <row r="39" spans="2:17">
      <c r="B39" s="327"/>
      <c r="C39" s="4">
        <v>0</v>
      </c>
      <c r="D39" t="s">
        <v>282</v>
      </c>
      <c r="E39" t="s">
        <v>243</v>
      </c>
      <c r="F39" t="s">
        <v>242</v>
      </c>
      <c r="M39" s="327"/>
      <c r="N39" s="4">
        <v>0</v>
      </c>
      <c r="O39" t="s">
        <v>282</v>
      </c>
      <c r="P39" t="s">
        <v>243</v>
      </c>
      <c r="Q39" t="s">
        <v>242</v>
      </c>
    </row>
    <row r="40" spans="2:17">
      <c r="B40" s="327"/>
      <c r="C40" s="4">
        <v>0</v>
      </c>
      <c r="D40" t="s">
        <v>408</v>
      </c>
      <c r="E40" t="s">
        <v>244</v>
      </c>
      <c r="F40" t="s">
        <v>242</v>
      </c>
      <c r="M40" s="327"/>
      <c r="N40" s="4">
        <v>0</v>
      </c>
      <c r="O40" t="s">
        <v>408</v>
      </c>
      <c r="P40" t="s">
        <v>244</v>
      </c>
      <c r="Q40" t="s">
        <v>242</v>
      </c>
    </row>
    <row r="41" spans="2:17">
      <c r="B41" s="327"/>
      <c r="C41" s="4">
        <v>0</v>
      </c>
      <c r="D41" t="s">
        <v>377</v>
      </c>
      <c r="E41" t="s">
        <v>12</v>
      </c>
      <c r="F41" t="s">
        <v>242</v>
      </c>
      <c r="M41" s="327"/>
      <c r="N41" s="4">
        <v>0</v>
      </c>
      <c r="O41" t="s">
        <v>377</v>
      </c>
      <c r="P41" t="s">
        <v>12</v>
      </c>
      <c r="Q41" t="s">
        <v>242</v>
      </c>
    </row>
    <row r="42" spans="2:17">
      <c r="B42" s="327"/>
      <c r="C42" s="4">
        <v>1440</v>
      </c>
      <c r="D42" t="s">
        <v>409</v>
      </c>
      <c r="E42" t="s">
        <v>594</v>
      </c>
      <c r="F42" t="s">
        <v>593</v>
      </c>
      <c r="M42" s="327"/>
      <c r="N42" s="4">
        <v>0</v>
      </c>
      <c r="O42" t="s">
        <v>409</v>
      </c>
      <c r="P42" t="s">
        <v>594</v>
      </c>
      <c r="Q42" t="s">
        <v>593</v>
      </c>
    </row>
    <row r="43" spans="2:17">
      <c r="B43" s="327"/>
      <c r="M43" s="327"/>
    </row>
    <row r="44" spans="2:17">
      <c r="B44" s="327">
        <v>45969</v>
      </c>
      <c r="C44" s="4">
        <v>0</v>
      </c>
      <c r="D44" t="s">
        <v>384</v>
      </c>
      <c r="E44" t="s">
        <v>245</v>
      </c>
      <c r="F44" t="s">
        <v>242</v>
      </c>
      <c r="M44" s="327">
        <v>45969</v>
      </c>
      <c r="N44" s="4">
        <v>0</v>
      </c>
      <c r="O44" t="s">
        <v>384</v>
      </c>
      <c r="P44" t="s">
        <v>245</v>
      </c>
      <c r="Q44" t="s">
        <v>242</v>
      </c>
    </row>
    <row r="45" spans="2:17">
      <c r="B45" s="327"/>
      <c r="C45" s="4">
        <v>0</v>
      </c>
      <c r="D45" t="s">
        <v>282</v>
      </c>
      <c r="E45" t="s">
        <v>243</v>
      </c>
      <c r="F45" t="s">
        <v>242</v>
      </c>
      <c r="M45" s="327"/>
      <c r="N45" s="4">
        <v>0</v>
      </c>
      <c r="O45" t="s">
        <v>282</v>
      </c>
      <c r="P45" t="s">
        <v>243</v>
      </c>
      <c r="Q45" t="s">
        <v>242</v>
      </c>
    </row>
    <row r="46" spans="2:17">
      <c r="B46" s="327"/>
      <c r="C46" s="4">
        <v>0</v>
      </c>
      <c r="D46" t="s">
        <v>408</v>
      </c>
      <c r="E46" t="s">
        <v>244</v>
      </c>
      <c r="F46" t="s">
        <v>242</v>
      </c>
      <c r="M46" s="327"/>
      <c r="N46" s="4">
        <v>0</v>
      </c>
      <c r="O46" t="s">
        <v>408</v>
      </c>
      <c r="P46" t="s">
        <v>244</v>
      </c>
      <c r="Q46" t="s">
        <v>242</v>
      </c>
    </row>
    <row r="47" spans="2:17">
      <c r="B47" s="327"/>
      <c r="C47" s="4">
        <v>0</v>
      </c>
      <c r="D47" t="s">
        <v>377</v>
      </c>
      <c r="E47" t="s">
        <v>12</v>
      </c>
      <c r="F47" t="s">
        <v>242</v>
      </c>
      <c r="M47" s="327"/>
      <c r="N47" s="4">
        <v>0</v>
      </c>
      <c r="O47" t="s">
        <v>377</v>
      </c>
      <c r="P47" t="s">
        <v>12</v>
      </c>
      <c r="Q47" t="s">
        <v>242</v>
      </c>
    </row>
    <row r="48" spans="2:17">
      <c r="B48" s="327"/>
      <c r="C48" s="4">
        <v>1440</v>
      </c>
      <c r="D48" t="s">
        <v>409</v>
      </c>
      <c r="E48" t="s">
        <v>594</v>
      </c>
      <c r="F48" t="s">
        <v>593</v>
      </c>
      <c r="M48" s="327"/>
      <c r="N48" s="4">
        <v>0</v>
      </c>
      <c r="O48" t="s">
        <v>409</v>
      </c>
      <c r="P48" t="s">
        <v>594</v>
      </c>
      <c r="Q48" t="s">
        <v>593</v>
      </c>
    </row>
    <row r="49" spans="2:17">
      <c r="B49" s="327"/>
      <c r="M49" s="327"/>
    </row>
    <row r="50" spans="2:17">
      <c r="B50" s="327">
        <v>45970</v>
      </c>
      <c r="C50" s="4">
        <v>0</v>
      </c>
      <c r="D50" t="s">
        <v>384</v>
      </c>
      <c r="E50" t="s">
        <v>245</v>
      </c>
      <c r="F50" t="s">
        <v>242</v>
      </c>
      <c r="M50" s="327">
        <v>45970</v>
      </c>
      <c r="N50" s="4">
        <v>0</v>
      </c>
      <c r="O50" t="s">
        <v>384</v>
      </c>
      <c r="P50" t="s">
        <v>245</v>
      </c>
      <c r="Q50" t="s">
        <v>242</v>
      </c>
    </row>
    <row r="51" spans="2:17">
      <c r="B51" s="327"/>
      <c r="C51" s="4">
        <v>0</v>
      </c>
      <c r="D51" t="s">
        <v>282</v>
      </c>
      <c r="E51" t="s">
        <v>243</v>
      </c>
      <c r="F51" t="s">
        <v>242</v>
      </c>
      <c r="M51" s="327"/>
      <c r="N51" s="4">
        <v>0</v>
      </c>
      <c r="O51" t="s">
        <v>282</v>
      </c>
      <c r="P51" t="s">
        <v>243</v>
      </c>
      <c r="Q51" t="s">
        <v>242</v>
      </c>
    </row>
    <row r="52" spans="2:17">
      <c r="B52" s="327"/>
      <c r="C52" s="4">
        <v>0</v>
      </c>
      <c r="D52" t="s">
        <v>408</v>
      </c>
      <c r="E52" t="s">
        <v>244</v>
      </c>
      <c r="F52" t="s">
        <v>242</v>
      </c>
      <c r="M52" s="327"/>
      <c r="N52" s="4">
        <v>0</v>
      </c>
      <c r="O52" t="s">
        <v>408</v>
      </c>
      <c r="P52" t="s">
        <v>244</v>
      </c>
      <c r="Q52" t="s">
        <v>242</v>
      </c>
    </row>
    <row r="53" spans="2:17">
      <c r="B53" s="327"/>
      <c r="C53" s="4">
        <v>0</v>
      </c>
      <c r="D53" t="s">
        <v>377</v>
      </c>
      <c r="E53" t="s">
        <v>12</v>
      </c>
      <c r="F53" t="s">
        <v>242</v>
      </c>
      <c r="M53" s="327"/>
      <c r="N53" s="4">
        <v>0</v>
      </c>
      <c r="O53" t="s">
        <v>377</v>
      </c>
      <c r="P53" t="s">
        <v>12</v>
      </c>
      <c r="Q53" t="s">
        <v>242</v>
      </c>
    </row>
    <row r="54" spans="2:17">
      <c r="B54" s="327"/>
      <c r="C54" s="4">
        <v>1440</v>
      </c>
      <c r="D54" t="s">
        <v>409</v>
      </c>
      <c r="E54" t="s">
        <v>594</v>
      </c>
      <c r="F54" t="s">
        <v>593</v>
      </c>
      <c r="M54" s="327"/>
      <c r="N54" s="4">
        <v>0</v>
      </c>
      <c r="O54" t="s">
        <v>409</v>
      </c>
      <c r="P54" t="s">
        <v>594</v>
      </c>
      <c r="Q54" t="s">
        <v>593</v>
      </c>
    </row>
    <row r="55" spans="2:17">
      <c r="B55" s="327"/>
      <c r="M55" s="327"/>
    </row>
    <row r="56" spans="2:17">
      <c r="B56" s="327">
        <v>45971</v>
      </c>
      <c r="C56" s="4">
        <v>0</v>
      </c>
      <c r="D56" t="s">
        <v>384</v>
      </c>
      <c r="E56" t="s">
        <v>245</v>
      </c>
      <c r="F56" t="s">
        <v>242</v>
      </c>
      <c r="M56" s="327">
        <v>45971</v>
      </c>
      <c r="N56" s="4">
        <v>0</v>
      </c>
      <c r="O56" t="s">
        <v>384</v>
      </c>
      <c r="P56" t="s">
        <v>245</v>
      </c>
      <c r="Q56" t="s">
        <v>242</v>
      </c>
    </row>
    <row r="57" spans="2:17">
      <c r="B57" s="327"/>
      <c r="C57" s="4">
        <v>0</v>
      </c>
      <c r="D57" t="s">
        <v>282</v>
      </c>
      <c r="E57" t="s">
        <v>243</v>
      </c>
      <c r="F57" t="s">
        <v>242</v>
      </c>
      <c r="M57" s="327"/>
      <c r="N57" s="4">
        <v>0</v>
      </c>
      <c r="O57" t="s">
        <v>282</v>
      </c>
      <c r="P57" t="s">
        <v>243</v>
      </c>
      <c r="Q57" t="s">
        <v>242</v>
      </c>
    </row>
    <row r="58" spans="2:17">
      <c r="B58" s="327"/>
      <c r="C58" s="4">
        <v>0</v>
      </c>
      <c r="D58" t="s">
        <v>408</v>
      </c>
      <c r="E58" t="s">
        <v>244</v>
      </c>
      <c r="F58" t="s">
        <v>242</v>
      </c>
      <c r="M58" s="327"/>
      <c r="N58" s="4">
        <v>0</v>
      </c>
      <c r="O58" t="s">
        <v>408</v>
      </c>
      <c r="P58" t="s">
        <v>244</v>
      </c>
      <c r="Q58" t="s">
        <v>242</v>
      </c>
    </row>
    <row r="59" spans="2:17">
      <c r="B59" s="327"/>
      <c r="C59" s="4">
        <v>0</v>
      </c>
      <c r="D59" t="s">
        <v>377</v>
      </c>
      <c r="E59" t="s">
        <v>12</v>
      </c>
      <c r="F59" t="s">
        <v>242</v>
      </c>
      <c r="M59" s="327"/>
      <c r="N59" s="4">
        <v>0</v>
      </c>
      <c r="O59" t="s">
        <v>377</v>
      </c>
      <c r="P59" t="s">
        <v>12</v>
      </c>
      <c r="Q59" t="s">
        <v>242</v>
      </c>
    </row>
    <row r="60" spans="2:17">
      <c r="B60" s="327"/>
      <c r="C60" s="4">
        <v>1440</v>
      </c>
      <c r="D60" t="s">
        <v>409</v>
      </c>
      <c r="E60" t="s">
        <v>594</v>
      </c>
      <c r="F60" t="s">
        <v>593</v>
      </c>
      <c r="M60" s="327"/>
      <c r="N60" s="4">
        <v>0</v>
      </c>
      <c r="O60" t="s">
        <v>409</v>
      </c>
      <c r="P60" t="s">
        <v>594</v>
      </c>
      <c r="Q60" t="s">
        <v>593</v>
      </c>
    </row>
    <row r="61" spans="2:17">
      <c r="B61" s="327"/>
      <c r="M61" s="327"/>
    </row>
    <row r="62" spans="2:17">
      <c r="B62" s="327">
        <v>45972</v>
      </c>
      <c r="C62" s="4">
        <v>0</v>
      </c>
      <c r="D62" t="s">
        <v>384</v>
      </c>
      <c r="E62" t="s">
        <v>245</v>
      </c>
      <c r="F62" t="s">
        <v>242</v>
      </c>
      <c r="M62" s="327">
        <v>45972</v>
      </c>
      <c r="N62" s="4">
        <v>0</v>
      </c>
      <c r="O62" t="s">
        <v>384</v>
      </c>
      <c r="P62" t="s">
        <v>245</v>
      </c>
      <c r="Q62" t="s">
        <v>242</v>
      </c>
    </row>
    <row r="63" spans="2:17">
      <c r="B63" s="327"/>
      <c r="C63" s="4">
        <v>0</v>
      </c>
      <c r="D63" t="s">
        <v>282</v>
      </c>
      <c r="E63" t="s">
        <v>243</v>
      </c>
      <c r="F63" t="s">
        <v>242</v>
      </c>
      <c r="M63" s="327"/>
      <c r="N63" s="4">
        <v>0</v>
      </c>
      <c r="O63" t="s">
        <v>282</v>
      </c>
      <c r="P63" t="s">
        <v>243</v>
      </c>
      <c r="Q63" t="s">
        <v>242</v>
      </c>
    </row>
    <row r="64" spans="2:17">
      <c r="B64" s="327"/>
      <c r="C64" s="4">
        <v>0</v>
      </c>
      <c r="D64" t="s">
        <v>408</v>
      </c>
      <c r="E64" t="s">
        <v>244</v>
      </c>
      <c r="F64" t="s">
        <v>242</v>
      </c>
      <c r="M64" s="327"/>
      <c r="N64" s="4">
        <v>0</v>
      </c>
      <c r="O64" t="s">
        <v>408</v>
      </c>
      <c r="P64" t="s">
        <v>244</v>
      </c>
      <c r="Q64" t="s">
        <v>242</v>
      </c>
    </row>
    <row r="65" spans="2:17">
      <c r="B65" s="327"/>
      <c r="C65" s="4">
        <v>0</v>
      </c>
      <c r="D65" t="s">
        <v>377</v>
      </c>
      <c r="E65" t="s">
        <v>12</v>
      </c>
      <c r="F65" t="s">
        <v>242</v>
      </c>
      <c r="M65" s="327"/>
      <c r="N65" s="4">
        <v>0</v>
      </c>
      <c r="O65" t="s">
        <v>377</v>
      </c>
      <c r="P65" t="s">
        <v>12</v>
      </c>
      <c r="Q65" t="s">
        <v>242</v>
      </c>
    </row>
    <row r="66" spans="2:17" ht="12.75" customHeight="1">
      <c r="B66" s="327"/>
      <c r="C66" s="4">
        <v>1440</v>
      </c>
      <c r="D66" t="s">
        <v>409</v>
      </c>
      <c r="E66" t="s">
        <v>594</v>
      </c>
      <c r="F66" t="s">
        <v>593</v>
      </c>
      <c r="M66" s="327"/>
      <c r="N66" s="4">
        <v>0</v>
      </c>
      <c r="O66" t="s">
        <v>409</v>
      </c>
      <c r="P66" t="s">
        <v>594</v>
      </c>
      <c r="Q66" t="s">
        <v>593</v>
      </c>
    </row>
    <row r="67" spans="2:17" ht="12.75" customHeight="1">
      <c r="B67" s="327"/>
      <c r="M67" s="327"/>
    </row>
    <row r="68" spans="2:17" ht="12.75" customHeight="1">
      <c r="B68" s="327">
        <v>45973</v>
      </c>
      <c r="C68" s="4">
        <v>0</v>
      </c>
      <c r="D68" t="s">
        <v>384</v>
      </c>
      <c r="E68" t="s">
        <v>245</v>
      </c>
      <c r="F68" t="s">
        <v>242</v>
      </c>
      <c r="M68" s="327">
        <v>45973</v>
      </c>
      <c r="N68" s="4">
        <v>0</v>
      </c>
      <c r="O68" t="s">
        <v>384</v>
      </c>
      <c r="P68" t="s">
        <v>245</v>
      </c>
      <c r="Q68" t="s">
        <v>242</v>
      </c>
    </row>
    <row r="69" spans="2:17" ht="12.75" customHeight="1">
      <c r="B69" s="327"/>
      <c r="C69" s="4">
        <v>0</v>
      </c>
      <c r="D69" t="s">
        <v>282</v>
      </c>
      <c r="E69" t="s">
        <v>243</v>
      </c>
      <c r="F69" t="s">
        <v>242</v>
      </c>
      <c r="M69" s="327"/>
      <c r="N69" s="4">
        <v>0</v>
      </c>
      <c r="O69" t="s">
        <v>282</v>
      </c>
      <c r="P69" t="s">
        <v>243</v>
      </c>
      <c r="Q69" t="s">
        <v>242</v>
      </c>
    </row>
    <row r="70" spans="2:17">
      <c r="B70" s="327"/>
      <c r="C70" s="4">
        <v>0</v>
      </c>
      <c r="D70" t="s">
        <v>408</v>
      </c>
      <c r="E70" t="s">
        <v>244</v>
      </c>
      <c r="F70" t="s">
        <v>242</v>
      </c>
      <c r="M70" s="327"/>
      <c r="N70" s="4">
        <v>0</v>
      </c>
      <c r="O70" t="s">
        <v>408</v>
      </c>
      <c r="P70" t="s">
        <v>244</v>
      </c>
      <c r="Q70" t="s">
        <v>242</v>
      </c>
    </row>
    <row r="71" spans="2:17">
      <c r="B71" s="327"/>
      <c r="C71" s="4">
        <v>0</v>
      </c>
      <c r="D71" t="s">
        <v>377</v>
      </c>
      <c r="E71" t="s">
        <v>12</v>
      </c>
      <c r="F71" t="s">
        <v>242</v>
      </c>
      <c r="M71" s="327"/>
      <c r="N71" s="4">
        <v>0</v>
      </c>
      <c r="O71" t="s">
        <v>377</v>
      </c>
      <c r="P71" t="s">
        <v>12</v>
      </c>
      <c r="Q71" t="s">
        <v>242</v>
      </c>
    </row>
    <row r="72" spans="2:17">
      <c r="B72" s="327"/>
      <c r="C72" s="4">
        <v>1440</v>
      </c>
      <c r="D72" t="s">
        <v>409</v>
      </c>
      <c r="E72" t="s">
        <v>594</v>
      </c>
      <c r="F72" t="s">
        <v>593</v>
      </c>
      <c r="M72" s="327"/>
      <c r="N72" s="4">
        <v>0</v>
      </c>
      <c r="O72" t="s">
        <v>409</v>
      </c>
      <c r="P72" t="s">
        <v>594</v>
      </c>
      <c r="Q72" t="s">
        <v>593</v>
      </c>
    </row>
    <row r="73" spans="2:17">
      <c r="B73" s="327"/>
      <c r="M73" s="327"/>
    </row>
    <row r="74" spans="2:17">
      <c r="B74" s="327">
        <v>45974</v>
      </c>
      <c r="C74" s="4">
        <v>0</v>
      </c>
      <c r="D74" t="s">
        <v>384</v>
      </c>
      <c r="E74" t="s">
        <v>245</v>
      </c>
      <c r="F74" t="s">
        <v>242</v>
      </c>
      <c r="M74" s="327">
        <v>45974</v>
      </c>
      <c r="N74" s="4">
        <v>0</v>
      </c>
      <c r="O74" t="s">
        <v>384</v>
      </c>
      <c r="P74" t="s">
        <v>245</v>
      </c>
      <c r="Q74" t="s">
        <v>242</v>
      </c>
    </row>
    <row r="75" spans="2:17">
      <c r="B75" s="327"/>
      <c r="C75" s="4">
        <v>0</v>
      </c>
      <c r="D75" t="s">
        <v>282</v>
      </c>
      <c r="E75" t="s">
        <v>243</v>
      </c>
      <c r="F75" t="s">
        <v>242</v>
      </c>
      <c r="M75" s="327"/>
      <c r="N75" s="4">
        <v>0</v>
      </c>
      <c r="O75" t="s">
        <v>282</v>
      </c>
      <c r="P75" t="s">
        <v>243</v>
      </c>
      <c r="Q75" t="s">
        <v>242</v>
      </c>
    </row>
    <row r="76" spans="2:17">
      <c r="B76" s="327"/>
      <c r="C76" s="4">
        <v>0</v>
      </c>
      <c r="D76" t="s">
        <v>408</v>
      </c>
      <c r="E76" t="s">
        <v>244</v>
      </c>
      <c r="F76" t="s">
        <v>242</v>
      </c>
      <c r="M76" s="327"/>
      <c r="N76" s="4">
        <v>0</v>
      </c>
      <c r="O76" t="s">
        <v>408</v>
      </c>
      <c r="P76" t="s">
        <v>244</v>
      </c>
      <c r="Q76" t="s">
        <v>242</v>
      </c>
    </row>
    <row r="77" spans="2:17">
      <c r="B77" s="327"/>
      <c r="C77" s="4">
        <v>0</v>
      </c>
      <c r="D77" t="s">
        <v>377</v>
      </c>
      <c r="E77" t="s">
        <v>12</v>
      </c>
      <c r="F77" t="s">
        <v>242</v>
      </c>
      <c r="M77" s="327"/>
      <c r="N77" s="4">
        <v>0</v>
      </c>
      <c r="O77" t="s">
        <v>377</v>
      </c>
      <c r="P77" t="s">
        <v>12</v>
      </c>
      <c r="Q77" t="s">
        <v>242</v>
      </c>
    </row>
    <row r="78" spans="2:17">
      <c r="B78" s="327"/>
      <c r="C78" s="4">
        <v>1440</v>
      </c>
      <c r="D78" t="s">
        <v>409</v>
      </c>
      <c r="E78" t="s">
        <v>594</v>
      </c>
      <c r="F78" t="s">
        <v>593</v>
      </c>
      <c r="M78" s="327"/>
      <c r="N78" s="4">
        <v>0</v>
      </c>
      <c r="O78" t="s">
        <v>409</v>
      </c>
      <c r="P78" t="s">
        <v>594</v>
      </c>
      <c r="Q78" t="s">
        <v>593</v>
      </c>
    </row>
    <row r="79" spans="2:17">
      <c r="B79" s="327"/>
      <c r="M79" s="327"/>
    </row>
    <row r="80" spans="2:17">
      <c r="B80" s="327">
        <v>45975</v>
      </c>
      <c r="C80" s="4">
        <v>0</v>
      </c>
      <c r="D80" t="s">
        <v>384</v>
      </c>
      <c r="E80" t="s">
        <v>245</v>
      </c>
      <c r="F80" t="s">
        <v>242</v>
      </c>
      <c r="M80" s="327">
        <v>45975</v>
      </c>
      <c r="N80" s="4">
        <v>0</v>
      </c>
      <c r="O80" t="s">
        <v>384</v>
      </c>
      <c r="P80" t="s">
        <v>245</v>
      </c>
      <c r="Q80" t="s">
        <v>242</v>
      </c>
    </row>
    <row r="81" spans="2:17">
      <c r="B81" s="327"/>
      <c r="C81" s="4">
        <v>0</v>
      </c>
      <c r="D81" t="s">
        <v>282</v>
      </c>
      <c r="E81" t="s">
        <v>243</v>
      </c>
      <c r="F81" t="s">
        <v>242</v>
      </c>
      <c r="M81" s="327"/>
      <c r="N81" s="4">
        <v>0</v>
      </c>
      <c r="O81" t="s">
        <v>282</v>
      </c>
      <c r="P81" t="s">
        <v>243</v>
      </c>
      <c r="Q81" t="s">
        <v>242</v>
      </c>
    </row>
    <row r="82" spans="2:17">
      <c r="B82" s="327"/>
      <c r="C82" s="4">
        <v>0</v>
      </c>
      <c r="D82" t="s">
        <v>408</v>
      </c>
      <c r="E82" t="s">
        <v>244</v>
      </c>
      <c r="F82" t="s">
        <v>242</v>
      </c>
      <c r="M82" s="327"/>
      <c r="N82" s="4">
        <v>0</v>
      </c>
      <c r="O82" t="s">
        <v>408</v>
      </c>
      <c r="P82" t="s">
        <v>244</v>
      </c>
      <c r="Q82" t="s">
        <v>242</v>
      </c>
    </row>
    <row r="83" spans="2:17">
      <c r="B83" s="327"/>
      <c r="C83" s="4">
        <v>0</v>
      </c>
      <c r="D83" t="s">
        <v>377</v>
      </c>
      <c r="E83" t="s">
        <v>12</v>
      </c>
      <c r="F83" t="s">
        <v>242</v>
      </c>
      <c r="M83" s="327"/>
      <c r="N83" s="4">
        <v>0</v>
      </c>
      <c r="O83" t="s">
        <v>377</v>
      </c>
      <c r="P83" t="s">
        <v>12</v>
      </c>
      <c r="Q83" t="s">
        <v>242</v>
      </c>
    </row>
    <row r="84" spans="2:17">
      <c r="B84" s="327"/>
      <c r="C84" s="4">
        <v>1440</v>
      </c>
      <c r="D84" t="s">
        <v>409</v>
      </c>
      <c r="E84" t="s">
        <v>594</v>
      </c>
      <c r="F84" t="s">
        <v>593</v>
      </c>
      <c r="M84" s="327"/>
      <c r="N84" s="4">
        <v>0</v>
      </c>
      <c r="O84" t="s">
        <v>409</v>
      </c>
      <c r="P84" t="s">
        <v>594</v>
      </c>
      <c r="Q84" t="s">
        <v>593</v>
      </c>
    </row>
    <row r="85" spans="2:17">
      <c r="B85" s="327"/>
      <c r="M85" s="327"/>
    </row>
    <row r="86" spans="2:17">
      <c r="B86" s="327">
        <v>45976</v>
      </c>
      <c r="C86" s="4">
        <v>0</v>
      </c>
      <c r="D86" t="s">
        <v>384</v>
      </c>
      <c r="E86" t="s">
        <v>245</v>
      </c>
      <c r="F86" t="s">
        <v>242</v>
      </c>
      <c r="M86" s="327">
        <v>45976</v>
      </c>
      <c r="N86" s="4">
        <v>0</v>
      </c>
      <c r="O86" t="s">
        <v>384</v>
      </c>
      <c r="P86" t="s">
        <v>245</v>
      </c>
      <c r="Q86" t="s">
        <v>242</v>
      </c>
    </row>
    <row r="87" spans="2:17">
      <c r="B87" s="327"/>
      <c r="C87" s="4">
        <v>0</v>
      </c>
      <c r="D87" t="s">
        <v>282</v>
      </c>
      <c r="E87" t="s">
        <v>243</v>
      </c>
      <c r="F87" t="s">
        <v>242</v>
      </c>
      <c r="M87" s="327"/>
      <c r="N87" s="4">
        <v>0</v>
      </c>
      <c r="O87" t="s">
        <v>282</v>
      </c>
      <c r="P87" t="s">
        <v>243</v>
      </c>
      <c r="Q87" t="s">
        <v>242</v>
      </c>
    </row>
    <row r="88" spans="2:17">
      <c r="B88" s="327"/>
      <c r="C88" s="4">
        <v>0</v>
      </c>
      <c r="D88" t="s">
        <v>408</v>
      </c>
      <c r="E88" t="s">
        <v>244</v>
      </c>
      <c r="F88" t="s">
        <v>242</v>
      </c>
      <c r="M88" s="327"/>
      <c r="N88" s="4">
        <v>0</v>
      </c>
      <c r="O88" t="s">
        <v>408</v>
      </c>
      <c r="P88" t="s">
        <v>244</v>
      </c>
      <c r="Q88" t="s">
        <v>242</v>
      </c>
    </row>
    <row r="89" spans="2:17">
      <c r="B89" s="327"/>
      <c r="C89" s="4">
        <v>0</v>
      </c>
      <c r="D89" t="s">
        <v>377</v>
      </c>
      <c r="E89" t="s">
        <v>12</v>
      </c>
      <c r="F89" t="s">
        <v>242</v>
      </c>
      <c r="M89" s="327"/>
      <c r="N89" s="4">
        <v>0</v>
      </c>
      <c r="O89" t="s">
        <v>377</v>
      </c>
      <c r="P89" t="s">
        <v>12</v>
      </c>
      <c r="Q89" t="s">
        <v>242</v>
      </c>
    </row>
    <row r="90" spans="2:17">
      <c r="B90" s="327"/>
      <c r="C90" s="4">
        <v>1440</v>
      </c>
      <c r="D90" t="s">
        <v>409</v>
      </c>
      <c r="E90" t="s">
        <v>594</v>
      </c>
      <c r="F90" t="s">
        <v>593</v>
      </c>
      <c r="M90" s="327"/>
      <c r="N90" s="4">
        <v>0</v>
      </c>
      <c r="O90" t="s">
        <v>409</v>
      </c>
      <c r="P90" t="s">
        <v>594</v>
      </c>
      <c r="Q90" t="s">
        <v>593</v>
      </c>
    </row>
    <row r="91" spans="2:17">
      <c r="B91" s="327"/>
      <c r="M91" s="327"/>
    </row>
    <row r="92" spans="2:17">
      <c r="B92" s="327">
        <v>45977</v>
      </c>
      <c r="C92" s="4">
        <v>9</v>
      </c>
      <c r="D92" t="s">
        <v>460</v>
      </c>
      <c r="E92" t="s">
        <v>245</v>
      </c>
      <c r="F92" t="s">
        <v>242</v>
      </c>
      <c r="M92" s="327">
        <v>45977</v>
      </c>
      <c r="N92" s="4">
        <v>9</v>
      </c>
      <c r="O92" t="s">
        <v>460</v>
      </c>
      <c r="P92" t="s">
        <v>245</v>
      </c>
      <c r="Q92" t="s">
        <v>242</v>
      </c>
    </row>
    <row r="93" spans="2:17">
      <c r="B93" s="327"/>
      <c r="C93" s="4">
        <v>12</v>
      </c>
      <c r="D93" t="s">
        <v>462</v>
      </c>
      <c r="E93" t="s">
        <v>243</v>
      </c>
      <c r="F93" t="s">
        <v>242</v>
      </c>
      <c r="M93" s="327"/>
      <c r="N93" s="4">
        <v>12</v>
      </c>
      <c r="O93" t="s">
        <v>462</v>
      </c>
      <c r="P93" t="s">
        <v>243</v>
      </c>
      <c r="Q93" t="s">
        <v>242</v>
      </c>
    </row>
    <row r="94" spans="2:17">
      <c r="B94" s="327"/>
      <c r="C94" s="4">
        <v>35</v>
      </c>
      <c r="D94" t="s">
        <v>463</v>
      </c>
      <c r="E94" t="s">
        <v>244</v>
      </c>
      <c r="F94" t="s">
        <v>242</v>
      </c>
      <c r="M94" s="327"/>
      <c r="N94" s="4">
        <v>35</v>
      </c>
      <c r="O94" t="s">
        <v>463</v>
      </c>
      <c r="P94" t="s">
        <v>244</v>
      </c>
      <c r="Q94" t="s">
        <v>242</v>
      </c>
    </row>
    <row r="95" spans="2:17">
      <c r="B95" s="327"/>
      <c r="C95" s="4">
        <v>0</v>
      </c>
      <c r="D95" t="s">
        <v>377</v>
      </c>
      <c r="E95" t="s">
        <v>12</v>
      </c>
      <c r="F95" t="s">
        <v>242</v>
      </c>
      <c r="M95" s="327"/>
      <c r="N95" s="4">
        <v>0</v>
      </c>
      <c r="O95" t="s">
        <v>377</v>
      </c>
      <c r="P95" t="s">
        <v>12</v>
      </c>
      <c r="Q95" t="s">
        <v>242</v>
      </c>
    </row>
    <row r="96" spans="2:17">
      <c r="B96" s="327"/>
      <c r="C96" s="4">
        <v>150</v>
      </c>
      <c r="D96" t="s">
        <v>409</v>
      </c>
      <c r="E96" t="s">
        <v>594</v>
      </c>
      <c r="F96" t="s">
        <v>593</v>
      </c>
      <c r="M96" s="327"/>
      <c r="N96" s="4">
        <v>0</v>
      </c>
      <c r="O96" t="s">
        <v>409</v>
      </c>
      <c r="P96" t="s">
        <v>594</v>
      </c>
      <c r="Q96" t="s">
        <v>593</v>
      </c>
    </row>
    <row r="97" spans="2:17">
      <c r="B97" s="327"/>
      <c r="M97" s="327"/>
    </row>
    <row r="98" spans="2:17">
      <c r="B98" s="327">
        <v>45978</v>
      </c>
      <c r="C98" s="4">
        <v>24</v>
      </c>
      <c r="D98" t="s">
        <v>481</v>
      </c>
      <c r="E98" t="s">
        <v>245</v>
      </c>
      <c r="F98" t="s">
        <v>242</v>
      </c>
      <c r="M98" s="327">
        <v>45978</v>
      </c>
      <c r="N98" s="4">
        <v>24</v>
      </c>
      <c r="O98" t="s">
        <v>481</v>
      </c>
      <c r="P98" t="s">
        <v>245</v>
      </c>
      <c r="Q98" t="s">
        <v>242</v>
      </c>
    </row>
    <row r="99" spans="2:17">
      <c r="B99" s="327"/>
      <c r="C99" s="4">
        <v>10</v>
      </c>
      <c r="D99" t="s">
        <v>478</v>
      </c>
      <c r="E99" t="s">
        <v>243</v>
      </c>
      <c r="F99" t="s">
        <v>242</v>
      </c>
      <c r="M99" s="327"/>
      <c r="N99" s="4">
        <v>10</v>
      </c>
      <c r="O99" t="s">
        <v>478</v>
      </c>
      <c r="P99" t="s">
        <v>243</v>
      </c>
      <c r="Q99" t="s">
        <v>242</v>
      </c>
    </row>
    <row r="100" spans="2:17">
      <c r="B100" s="327"/>
      <c r="C100" s="4">
        <v>34</v>
      </c>
      <c r="D100" t="s">
        <v>482</v>
      </c>
      <c r="E100" t="s">
        <v>244</v>
      </c>
      <c r="F100" t="s">
        <v>242</v>
      </c>
      <c r="M100" s="327"/>
      <c r="N100" s="4">
        <v>34</v>
      </c>
      <c r="O100" t="s">
        <v>482</v>
      </c>
      <c r="P100" t="s">
        <v>244</v>
      </c>
      <c r="Q100" t="s">
        <v>242</v>
      </c>
    </row>
    <row r="101" spans="2:17">
      <c r="B101" s="327"/>
      <c r="C101" s="4">
        <v>0</v>
      </c>
      <c r="D101" t="s">
        <v>377</v>
      </c>
      <c r="E101" t="s">
        <v>12</v>
      </c>
      <c r="F101" t="s">
        <v>242</v>
      </c>
      <c r="M101" s="327"/>
      <c r="N101" s="4">
        <v>0</v>
      </c>
      <c r="O101" t="s">
        <v>377</v>
      </c>
      <c r="P101" t="s">
        <v>12</v>
      </c>
      <c r="Q101" t="s">
        <v>242</v>
      </c>
    </row>
    <row r="102" spans="2:17">
      <c r="B102" s="327"/>
      <c r="M102" s="327"/>
    </row>
    <row r="103" spans="2:17">
      <c r="B103" s="327">
        <v>45979</v>
      </c>
      <c r="C103" s="4">
        <v>24</v>
      </c>
      <c r="D103" t="s">
        <v>499</v>
      </c>
      <c r="E103" t="s">
        <v>245</v>
      </c>
      <c r="F103" t="s">
        <v>242</v>
      </c>
      <c r="M103" s="327">
        <v>45979</v>
      </c>
      <c r="N103" s="4">
        <v>24</v>
      </c>
      <c r="O103" t="s">
        <v>499</v>
      </c>
      <c r="P103" t="s">
        <v>245</v>
      </c>
      <c r="Q103" t="s">
        <v>242</v>
      </c>
    </row>
    <row r="104" spans="2:17">
      <c r="B104" s="327"/>
      <c r="C104" s="4">
        <v>2</v>
      </c>
      <c r="D104" t="s">
        <v>455</v>
      </c>
      <c r="E104" t="s">
        <v>243</v>
      </c>
      <c r="F104" t="s">
        <v>242</v>
      </c>
      <c r="M104" s="327"/>
      <c r="N104" s="4">
        <v>2</v>
      </c>
      <c r="O104" t="s">
        <v>455</v>
      </c>
      <c r="P104" t="s">
        <v>243</v>
      </c>
      <c r="Q104" t="s">
        <v>242</v>
      </c>
    </row>
    <row r="105" spans="2:17">
      <c r="B105" s="327"/>
      <c r="C105" s="4">
        <v>30</v>
      </c>
      <c r="D105" t="s">
        <v>500</v>
      </c>
      <c r="E105" t="s">
        <v>244</v>
      </c>
      <c r="F105" t="s">
        <v>242</v>
      </c>
      <c r="M105" s="327"/>
      <c r="N105" s="4">
        <v>30</v>
      </c>
      <c r="O105" t="s">
        <v>500</v>
      </c>
      <c r="P105" t="s">
        <v>244</v>
      </c>
      <c r="Q105" t="s">
        <v>242</v>
      </c>
    </row>
    <row r="106" spans="2:17">
      <c r="B106" s="327"/>
      <c r="C106" s="4">
        <v>70</v>
      </c>
      <c r="D106" t="s">
        <v>501</v>
      </c>
      <c r="E106" t="s">
        <v>594</v>
      </c>
      <c r="F106" t="s">
        <v>593</v>
      </c>
      <c r="M106" s="327"/>
      <c r="N106" s="4">
        <v>0</v>
      </c>
      <c r="O106" t="s">
        <v>501</v>
      </c>
      <c r="P106" t="s">
        <v>594</v>
      </c>
      <c r="Q106" t="s">
        <v>593</v>
      </c>
    </row>
    <row r="107" spans="2:17">
      <c r="B107" s="327"/>
      <c r="M107" s="327"/>
    </row>
    <row r="108" spans="2:17">
      <c r="B108" s="327">
        <v>45980</v>
      </c>
      <c r="C108" s="4">
        <v>9</v>
      </c>
      <c r="D108" t="s">
        <v>460</v>
      </c>
      <c r="E108" t="s">
        <v>245</v>
      </c>
      <c r="F108" t="s">
        <v>242</v>
      </c>
      <c r="M108" s="327">
        <v>45980</v>
      </c>
      <c r="N108" s="4">
        <v>9</v>
      </c>
      <c r="O108" t="s">
        <v>460</v>
      </c>
      <c r="P108" t="s">
        <v>245</v>
      </c>
      <c r="Q108" t="s">
        <v>242</v>
      </c>
    </row>
    <row r="109" spans="2:17">
      <c r="B109" s="327"/>
      <c r="C109" s="4">
        <v>4</v>
      </c>
      <c r="D109" t="s">
        <v>510</v>
      </c>
      <c r="E109" t="s">
        <v>243</v>
      </c>
      <c r="F109" t="s">
        <v>242</v>
      </c>
      <c r="M109" s="327"/>
      <c r="N109" s="4">
        <v>4</v>
      </c>
      <c r="O109" t="s">
        <v>510</v>
      </c>
      <c r="P109" t="s">
        <v>243</v>
      </c>
      <c r="Q109" t="s">
        <v>242</v>
      </c>
    </row>
    <row r="110" spans="2:17">
      <c r="B110" s="327"/>
      <c r="C110" s="4">
        <v>16</v>
      </c>
      <c r="D110" t="s">
        <v>511</v>
      </c>
      <c r="E110" t="s">
        <v>244</v>
      </c>
      <c r="F110" t="s">
        <v>242</v>
      </c>
      <c r="M110" s="327"/>
      <c r="N110" s="4">
        <v>16</v>
      </c>
      <c r="O110" t="s">
        <v>511</v>
      </c>
      <c r="P110" t="s">
        <v>244</v>
      </c>
      <c r="Q110" t="s">
        <v>242</v>
      </c>
    </row>
    <row r="111" spans="2:17">
      <c r="B111" s="327"/>
      <c r="C111" s="4">
        <v>653</v>
      </c>
      <c r="D111" t="s">
        <v>512</v>
      </c>
      <c r="E111" t="s">
        <v>594</v>
      </c>
      <c r="F111" t="s">
        <v>593</v>
      </c>
      <c r="M111" s="327"/>
      <c r="N111" s="4">
        <v>0</v>
      </c>
      <c r="O111" t="s">
        <v>512</v>
      </c>
      <c r="P111" t="s">
        <v>594</v>
      </c>
      <c r="Q111" t="s">
        <v>593</v>
      </c>
    </row>
    <row r="112" spans="2:17">
      <c r="B112" s="327"/>
      <c r="M112" s="327"/>
    </row>
    <row r="113" spans="2:17">
      <c r="B113" s="327">
        <v>45981</v>
      </c>
      <c r="C113" s="4">
        <v>14</v>
      </c>
      <c r="D113" t="s">
        <v>480</v>
      </c>
      <c r="E113" t="s">
        <v>245</v>
      </c>
      <c r="F113" t="s">
        <v>242</v>
      </c>
      <c r="M113" s="327">
        <v>45981</v>
      </c>
      <c r="N113" s="4">
        <v>14</v>
      </c>
      <c r="O113" t="s">
        <v>480</v>
      </c>
      <c r="P113" t="s">
        <v>245</v>
      </c>
      <c r="Q113" t="s">
        <v>242</v>
      </c>
    </row>
    <row r="114" spans="2:17">
      <c r="B114" s="327"/>
      <c r="C114" s="4">
        <v>0</v>
      </c>
      <c r="D114" t="s">
        <v>282</v>
      </c>
      <c r="E114" t="s">
        <v>243</v>
      </c>
      <c r="F114" t="s">
        <v>242</v>
      </c>
      <c r="M114" s="327"/>
      <c r="N114" s="4">
        <v>0</v>
      </c>
      <c r="O114" t="s">
        <v>282</v>
      </c>
      <c r="P114" t="s">
        <v>243</v>
      </c>
      <c r="Q114" t="s">
        <v>242</v>
      </c>
    </row>
    <row r="115" spans="2:17">
      <c r="B115" s="327"/>
      <c r="C115" s="4">
        <v>17</v>
      </c>
      <c r="D115" t="s">
        <v>527</v>
      </c>
      <c r="E115" t="s">
        <v>244</v>
      </c>
      <c r="F115" t="s">
        <v>242</v>
      </c>
      <c r="M115" s="327"/>
      <c r="N115" s="4">
        <v>17</v>
      </c>
      <c r="O115" t="s">
        <v>527</v>
      </c>
      <c r="P115" t="s">
        <v>244</v>
      </c>
      <c r="Q115" t="s">
        <v>242</v>
      </c>
    </row>
    <row r="116" spans="2:17">
      <c r="B116" s="327"/>
      <c r="C116" s="4">
        <v>723</v>
      </c>
      <c r="D116" t="s">
        <v>526</v>
      </c>
      <c r="E116" t="s">
        <v>594</v>
      </c>
      <c r="F116" t="s">
        <v>593</v>
      </c>
      <c r="M116" s="327"/>
      <c r="N116" s="4">
        <v>0</v>
      </c>
      <c r="O116" t="s">
        <v>526</v>
      </c>
      <c r="P116" t="s">
        <v>594</v>
      </c>
      <c r="Q116" t="s">
        <v>593</v>
      </c>
    </row>
    <row r="117" spans="2:17">
      <c r="B117" s="327"/>
      <c r="M117" s="327"/>
    </row>
    <row r="118" spans="2:17">
      <c r="B118" s="327">
        <v>45982</v>
      </c>
      <c r="C118" s="4">
        <v>21</v>
      </c>
      <c r="D118" t="s">
        <v>499</v>
      </c>
      <c r="E118" t="s">
        <v>245</v>
      </c>
      <c r="F118" t="s">
        <v>242</v>
      </c>
      <c r="M118" s="327">
        <v>45982</v>
      </c>
      <c r="N118" s="4">
        <v>21</v>
      </c>
      <c r="O118" t="s">
        <v>499</v>
      </c>
      <c r="P118" t="s">
        <v>245</v>
      </c>
      <c r="Q118" t="s">
        <v>242</v>
      </c>
    </row>
    <row r="119" spans="2:17">
      <c r="B119" s="327"/>
      <c r="C119" s="4">
        <v>12</v>
      </c>
      <c r="D119" t="s">
        <v>543</v>
      </c>
      <c r="E119" t="s">
        <v>243</v>
      </c>
      <c r="F119" t="s">
        <v>242</v>
      </c>
      <c r="M119" s="327"/>
      <c r="N119" s="4">
        <v>12</v>
      </c>
      <c r="O119" t="s">
        <v>543</v>
      </c>
      <c r="P119" t="s">
        <v>243</v>
      </c>
      <c r="Q119" t="s">
        <v>242</v>
      </c>
    </row>
    <row r="120" spans="2:17">
      <c r="B120" s="327"/>
      <c r="C120" s="4">
        <v>33</v>
      </c>
      <c r="D120" t="s">
        <v>544</v>
      </c>
      <c r="E120" t="s">
        <v>244</v>
      </c>
      <c r="F120" t="s">
        <v>242</v>
      </c>
      <c r="M120" s="327"/>
      <c r="N120" s="4">
        <v>33</v>
      </c>
      <c r="O120" t="s">
        <v>544</v>
      </c>
      <c r="P120" t="s">
        <v>244</v>
      </c>
      <c r="Q120" t="s">
        <v>242</v>
      </c>
    </row>
    <row r="121" spans="2:17">
      <c r="B121" s="327"/>
      <c r="C121" s="4">
        <v>55</v>
      </c>
      <c r="D121" t="s">
        <v>545</v>
      </c>
      <c r="E121" t="s">
        <v>595</v>
      </c>
      <c r="F121" t="s">
        <v>249</v>
      </c>
      <c r="M121" s="327"/>
      <c r="N121" s="4">
        <v>55</v>
      </c>
      <c r="O121" t="s">
        <v>545</v>
      </c>
      <c r="P121" t="s">
        <v>595</v>
      </c>
      <c r="Q121" t="s">
        <v>249</v>
      </c>
    </row>
    <row r="122" spans="2:17">
      <c r="B122" s="327"/>
      <c r="M122" s="327"/>
    </row>
    <row r="123" spans="2:17">
      <c r="B123" s="327">
        <v>45983</v>
      </c>
      <c r="C123" s="4">
        <v>9</v>
      </c>
      <c r="D123" t="s">
        <v>460</v>
      </c>
      <c r="E123" t="s">
        <v>245</v>
      </c>
      <c r="F123" t="s">
        <v>242</v>
      </c>
      <c r="M123" s="327">
        <v>45983</v>
      </c>
      <c r="N123" s="4">
        <v>9</v>
      </c>
      <c r="O123" t="s">
        <v>460</v>
      </c>
      <c r="P123" t="s">
        <v>245</v>
      </c>
      <c r="Q123" t="s">
        <v>242</v>
      </c>
    </row>
    <row r="124" spans="2:17">
      <c r="B124" s="327"/>
      <c r="C124" s="4">
        <v>10</v>
      </c>
      <c r="D124" t="s">
        <v>543</v>
      </c>
      <c r="E124" t="s">
        <v>243</v>
      </c>
      <c r="F124" t="s">
        <v>242</v>
      </c>
      <c r="M124" s="327"/>
      <c r="N124" s="4">
        <v>10</v>
      </c>
      <c r="O124" t="s">
        <v>543</v>
      </c>
      <c r="P124" t="s">
        <v>243</v>
      </c>
      <c r="Q124" t="s">
        <v>242</v>
      </c>
    </row>
    <row r="125" spans="2:17">
      <c r="B125" s="327"/>
      <c r="C125" s="4">
        <v>43</v>
      </c>
      <c r="D125" t="s">
        <v>482</v>
      </c>
      <c r="E125" t="s">
        <v>244</v>
      </c>
      <c r="F125" t="s">
        <v>242</v>
      </c>
      <c r="M125" s="327"/>
      <c r="N125" s="4">
        <v>43</v>
      </c>
      <c r="O125" t="s">
        <v>482</v>
      </c>
      <c r="P125" t="s">
        <v>244</v>
      </c>
      <c r="Q125" t="s">
        <v>242</v>
      </c>
    </row>
    <row r="126" spans="2:17">
      <c r="B126" s="327"/>
      <c r="C126" s="4">
        <v>60</v>
      </c>
      <c r="D126" t="s">
        <v>577</v>
      </c>
      <c r="E126" t="s">
        <v>596</v>
      </c>
      <c r="F126" t="s">
        <v>240</v>
      </c>
      <c r="M126" s="327"/>
      <c r="N126" s="4">
        <v>60</v>
      </c>
      <c r="O126" t="s">
        <v>577</v>
      </c>
      <c r="P126" t="s">
        <v>596</v>
      </c>
      <c r="Q126" t="s">
        <v>240</v>
      </c>
    </row>
    <row r="127" spans="2:17">
      <c r="B127" s="327"/>
      <c r="M127" s="327"/>
    </row>
    <row r="128" spans="2:17">
      <c r="B128" s="327">
        <v>45984</v>
      </c>
      <c r="C128" s="4">
        <v>18</v>
      </c>
      <c r="D128" t="s">
        <v>575</v>
      </c>
      <c r="E128" t="s">
        <v>245</v>
      </c>
      <c r="F128" t="s">
        <v>242</v>
      </c>
      <c r="M128" s="327">
        <v>45984</v>
      </c>
      <c r="N128" s="4">
        <v>18</v>
      </c>
      <c r="O128" t="s">
        <v>575</v>
      </c>
      <c r="P128" t="s">
        <v>245</v>
      </c>
      <c r="Q128" t="s">
        <v>242</v>
      </c>
    </row>
    <row r="129" spans="2:18">
      <c r="B129" s="327"/>
      <c r="C129" s="4">
        <v>9</v>
      </c>
      <c r="D129" t="s">
        <v>543</v>
      </c>
      <c r="E129" t="s">
        <v>243</v>
      </c>
      <c r="F129" t="s">
        <v>242</v>
      </c>
      <c r="M129" s="327"/>
      <c r="N129" s="4">
        <v>9</v>
      </c>
      <c r="O129" t="s">
        <v>543</v>
      </c>
      <c r="P129" t="s">
        <v>243</v>
      </c>
      <c r="Q129" t="s">
        <v>242</v>
      </c>
    </row>
    <row r="130" spans="2:18">
      <c r="B130" s="327"/>
      <c r="C130" s="4">
        <v>36</v>
      </c>
      <c r="D130" t="s">
        <v>576</v>
      </c>
      <c r="E130" t="s">
        <v>244</v>
      </c>
      <c r="F130" t="s">
        <v>242</v>
      </c>
      <c r="M130" s="327"/>
      <c r="N130" s="4">
        <v>36</v>
      </c>
      <c r="O130" t="s">
        <v>576</v>
      </c>
      <c r="P130" t="s">
        <v>244</v>
      </c>
      <c r="Q130" t="s">
        <v>242</v>
      </c>
    </row>
    <row r="131" spans="2:18">
      <c r="B131" s="327"/>
      <c r="M131" s="327"/>
    </row>
    <row r="132" spans="2:18">
      <c r="B132" s="327">
        <v>45985</v>
      </c>
      <c r="C132" s="4">
        <v>9</v>
      </c>
      <c r="D132" t="s">
        <v>460</v>
      </c>
      <c r="E132" t="s">
        <v>245</v>
      </c>
      <c r="F132" t="s">
        <v>242</v>
      </c>
      <c r="M132" s="327">
        <v>45985</v>
      </c>
      <c r="N132" s="4">
        <v>9</v>
      </c>
      <c r="O132" t="s">
        <v>460</v>
      </c>
      <c r="P132" t="s">
        <v>245</v>
      </c>
      <c r="Q132" t="s">
        <v>242</v>
      </c>
    </row>
    <row r="133" spans="2:18">
      <c r="B133" s="327"/>
      <c r="C133" s="4">
        <v>15</v>
      </c>
      <c r="D133" t="s">
        <v>591</v>
      </c>
      <c r="E133" t="s">
        <v>243</v>
      </c>
      <c r="F133" t="s">
        <v>242</v>
      </c>
      <c r="M133" s="327"/>
      <c r="N133" s="4">
        <v>15</v>
      </c>
      <c r="O133" t="s">
        <v>591</v>
      </c>
      <c r="P133" t="s">
        <v>243</v>
      </c>
      <c r="Q133" t="s">
        <v>242</v>
      </c>
    </row>
    <row r="134" spans="2:18">
      <c r="B134" s="327"/>
      <c r="C134" s="4">
        <v>34</v>
      </c>
      <c r="D134" t="s">
        <v>482</v>
      </c>
      <c r="E134" t="s">
        <v>244</v>
      </c>
      <c r="F134" t="s">
        <v>242</v>
      </c>
      <c r="M134" s="327"/>
      <c r="N134" s="4">
        <v>34</v>
      </c>
      <c r="O134" t="s">
        <v>482</v>
      </c>
      <c r="P134" t="s">
        <v>244</v>
      </c>
      <c r="Q134" t="s">
        <v>242</v>
      </c>
    </row>
    <row r="135" spans="2:18">
      <c r="B135" s="327"/>
      <c r="C135" s="4">
        <v>85</v>
      </c>
      <c r="D135" t="s">
        <v>592</v>
      </c>
      <c r="E135" t="s">
        <v>597</v>
      </c>
      <c r="F135" t="s">
        <v>247</v>
      </c>
      <c r="M135" s="327"/>
      <c r="N135" s="4">
        <v>85</v>
      </c>
      <c r="O135" t="s">
        <v>592</v>
      </c>
      <c r="P135" t="s">
        <v>597</v>
      </c>
      <c r="Q135" t="s">
        <v>247</v>
      </c>
    </row>
    <row r="136" spans="2:18">
      <c r="B136" s="327"/>
      <c r="M136" s="327"/>
    </row>
    <row r="137" spans="2:18">
      <c r="B137" s="327">
        <v>45986</v>
      </c>
      <c r="C137" s="4">
        <v>24</v>
      </c>
      <c r="D137" t="s">
        <v>575</v>
      </c>
      <c r="E137" t="s">
        <v>245</v>
      </c>
      <c r="F137" t="s">
        <v>242</v>
      </c>
      <c r="M137" s="327">
        <v>45986</v>
      </c>
      <c r="N137" s="4">
        <v>24</v>
      </c>
      <c r="O137" t="s">
        <v>575</v>
      </c>
      <c r="P137" t="s">
        <v>245</v>
      </c>
      <c r="Q137" t="s">
        <v>242</v>
      </c>
    </row>
    <row r="138" spans="2:18" ht="12.75" customHeight="1">
      <c r="B138" s="327"/>
      <c r="C138" s="4">
        <v>8</v>
      </c>
      <c r="D138" t="s">
        <v>462</v>
      </c>
      <c r="E138" t="s">
        <v>243</v>
      </c>
      <c r="F138" t="s">
        <v>242</v>
      </c>
      <c r="M138" s="327"/>
      <c r="N138" s="4">
        <v>8</v>
      </c>
      <c r="O138" t="s">
        <v>462</v>
      </c>
      <c r="P138" t="s">
        <v>243</v>
      </c>
      <c r="Q138" t="s">
        <v>242</v>
      </c>
    </row>
    <row r="139" spans="2:18">
      <c r="B139" s="327"/>
      <c r="C139" s="4">
        <v>41</v>
      </c>
      <c r="D139" t="s">
        <v>576</v>
      </c>
      <c r="E139" t="s">
        <v>244</v>
      </c>
      <c r="F139" t="s">
        <v>242</v>
      </c>
      <c r="M139" s="327"/>
      <c r="N139" s="4">
        <v>41</v>
      </c>
      <c r="O139" t="s">
        <v>576</v>
      </c>
      <c r="P139" t="s">
        <v>244</v>
      </c>
      <c r="Q139" t="s">
        <v>242</v>
      </c>
    </row>
    <row r="140" spans="2:18">
      <c r="B140" s="327"/>
      <c r="C140" s="4">
        <v>35</v>
      </c>
      <c r="D140" t="s">
        <v>612</v>
      </c>
      <c r="E140" t="s">
        <v>595</v>
      </c>
      <c r="F140" t="s">
        <v>249</v>
      </c>
      <c r="M140" s="327"/>
      <c r="N140" s="4">
        <v>35</v>
      </c>
      <c r="O140" t="s">
        <v>612</v>
      </c>
      <c r="P140" t="s">
        <v>595</v>
      </c>
      <c r="Q140" t="s">
        <v>249</v>
      </c>
    </row>
    <row r="141" spans="2:18">
      <c r="B141" s="327"/>
      <c r="M141" s="327"/>
    </row>
    <row r="142" spans="2:18">
      <c r="B142" s="327">
        <v>45987</v>
      </c>
      <c r="C142" s="4">
        <v>27</v>
      </c>
      <c r="D142" t="s">
        <v>624</v>
      </c>
      <c r="E142" t="s">
        <v>245</v>
      </c>
      <c r="F142" t="s">
        <v>242</v>
      </c>
      <c r="M142" s="327">
        <v>45987</v>
      </c>
      <c r="N142" s="4">
        <v>27</v>
      </c>
      <c r="O142" t="s">
        <v>624</v>
      </c>
      <c r="P142" t="s">
        <v>245</v>
      </c>
      <c r="Q142" t="s">
        <v>242</v>
      </c>
    </row>
    <row r="143" spans="2:18">
      <c r="B143" s="327"/>
      <c r="C143" s="4">
        <v>0</v>
      </c>
      <c r="D143" t="s">
        <v>282</v>
      </c>
      <c r="E143" t="s">
        <v>243</v>
      </c>
      <c r="F143" t="s">
        <v>242</v>
      </c>
      <c r="M143" s="327"/>
      <c r="N143" s="4">
        <v>0</v>
      </c>
      <c r="O143" t="s">
        <v>282</v>
      </c>
      <c r="P143" t="s">
        <v>243</v>
      </c>
      <c r="Q143" t="s">
        <v>242</v>
      </c>
    </row>
    <row r="144" spans="2:18">
      <c r="B144" s="327"/>
      <c r="C144" s="4">
        <v>41</v>
      </c>
      <c r="D144" t="s">
        <v>544</v>
      </c>
      <c r="E144" t="s">
        <v>244</v>
      </c>
      <c r="F144" t="s">
        <v>242</v>
      </c>
      <c r="M144" s="327"/>
      <c r="N144" s="4">
        <v>41</v>
      </c>
      <c r="O144" t="s">
        <v>544</v>
      </c>
      <c r="P144" t="s">
        <v>244</v>
      </c>
      <c r="Q144" t="s">
        <v>242</v>
      </c>
      <c r="R144" s="512">
        <f>+summary!Q53</f>
        <v>0</v>
      </c>
    </row>
    <row r="145" spans="2:17">
      <c r="B145" s="327"/>
      <c r="G145" s="512">
        <f>+summary!H53</f>
        <v>0</v>
      </c>
      <c r="M145" s="327"/>
    </row>
    <row r="146" spans="2:17">
      <c r="B146" s="327">
        <v>45988</v>
      </c>
      <c r="C146" s="4">
        <v>24</v>
      </c>
      <c r="D146" t="s">
        <v>499</v>
      </c>
      <c r="E146" t="s">
        <v>245</v>
      </c>
      <c r="F146" t="s">
        <v>242</v>
      </c>
      <c r="M146" s="327">
        <v>45988</v>
      </c>
      <c r="N146" s="4">
        <v>24</v>
      </c>
      <c r="O146" t="s">
        <v>499</v>
      </c>
      <c r="P146" t="s">
        <v>245</v>
      </c>
      <c r="Q146" t="s">
        <v>242</v>
      </c>
    </row>
    <row r="147" spans="2:17">
      <c r="B147" s="327"/>
      <c r="C147" s="4">
        <v>2</v>
      </c>
      <c r="D147" t="s">
        <v>455</v>
      </c>
      <c r="E147" t="s">
        <v>243</v>
      </c>
      <c r="F147" t="s">
        <v>242</v>
      </c>
      <c r="M147" s="327"/>
      <c r="N147" s="4">
        <v>2</v>
      </c>
      <c r="O147" t="s">
        <v>455</v>
      </c>
      <c r="P147" t="s">
        <v>243</v>
      </c>
      <c r="Q147" t="s">
        <v>242</v>
      </c>
    </row>
    <row r="148" spans="2:17">
      <c r="B148" s="327"/>
      <c r="C148" s="4">
        <v>40</v>
      </c>
      <c r="D148" t="s">
        <v>500</v>
      </c>
      <c r="E148" t="s">
        <v>244</v>
      </c>
      <c r="F148" t="s">
        <v>242</v>
      </c>
      <c r="M148" s="327"/>
      <c r="N148" s="4">
        <v>40</v>
      </c>
      <c r="O148" t="s">
        <v>500</v>
      </c>
      <c r="P148" t="s">
        <v>244</v>
      </c>
      <c r="Q148" t="s">
        <v>242</v>
      </c>
    </row>
    <row r="149" spans="2:17">
      <c r="B149" s="327"/>
      <c r="M149" s="327"/>
    </row>
    <row r="150" spans="2:17">
      <c r="B150" s="327">
        <v>45989</v>
      </c>
      <c r="C150" s="4">
        <v>27</v>
      </c>
      <c r="D150" t="s">
        <v>499</v>
      </c>
      <c r="E150" t="s">
        <v>245</v>
      </c>
      <c r="F150" t="s">
        <v>242</v>
      </c>
      <c r="M150" s="327">
        <v>45989</v>
      </c>
      <c r="N150" s="4">
        <v>27</v>
      </c>
      <c r="O150" t="s">
        <v>499</v>
      </c>
      <c r="P150" t="s">
        <v>245</v>
      </c>
      <c r="Q150" t="s">
        <v>242</v>
      </c>
    </row>
    <row r="151" spans="2:17">
      <c r="B151" s="327"/>
      <c r="C151" s="4">
        <v>2</v>
      </c>
      <c r="D151" t="s">
        <v>455</v>
      </c>
      <c r="E151" t="s">
        <v>243</v>
      </c>
      <c r="F151" t="s">
        <v>242</v>
      </c>
      <c r="M151" s="327"/>
      <c r="N151" s="4">
        <v>2</v>
      </c>
      <c r="O151" t="s">
        <v>455</v>
      </c>
      <c r="P151" t="s">
        <v>243</v>
      </c>
      <c r="Q151" t="s">
        <v>242</v>
      </c>
    </row>
    <row r="152" spans="2:17">
      <c r="B152" s="327"/>
      <c r="C152" s="4">
        <v>44</v>
      </c>
      <c r="D152" t="s">
        <v>647</v>
      </c>
      <c r="E152" t="s">
        <v>244</v>
      </c>
      <c r="F152" t="s">
        <v>242</v>
      </c>
      <c r="M152" s="327"/>
      <c r="N152" s="4">
        <v>44</v>
      </c>
      <c r="O152" t="s">
        <v>647</v>
      </c>
      <c r="P152" t="s">
        <v>244</v>
      </c>
      <c r="Q152" t="s">
        <v>242</v>
      </c>
    </row>
    <row r="153" spans="2:17">
      <c r="B153" s="327"/>
      <c r="C153" s="4">
        <v>47</v>
      </c>
      <c r="D153" t="s">
        <v>649</v>
      </c>
      <c r="E153" t="s">
        <v>650</v>
      </c>
      <c r="F153" t="s">
        <v>240</v>
      </c>
      <c r="M153" s="327"/>
      <c r="N153" s="4">
        <v>47</v>
      </c>
      <c r="O153" t="s">
        <v>649</v>
      </c>
      <c r="P153" t="s">
        <v>650</v>
      </c>
      <c r="Q153" t="s">
        <v>240</v>
      </c>
    </row>
    <row r="154" spans="2:17">
      <c r="B154" s="327"/>
      <c r="M154" s="327"/>
    </row>
    <row r="155" spans="2:17">
      <c r="B155" s="327">
        <v>45990</v>
      </c>
      <c r="C155" s="4">
        <v>9</v>
      </c>
      <c r="D155" t="s">
        <v>460</v>
      </c>
      <c r="E155" t="s">
        <v>245</v>
      </c>
      <c r="F155" t="s">
        <v>242</v>
      </c>
      <c r="M155" s="327">
        <v>45990</v>
      </c>
      <c r="N155" s="4">
        <v>9</v>
      </c>
      <c r="O155" t="s">
        <v>460</v>
      </c>
      <c r="P155" t="s">
        <v>245</v>
      </c>
      <c r="Q155" t="s">
        <v>242</v>
      </c>
    </row>
    <row r="156" spans="2:17">
      <c r="B156" s="327"/>
      <c r="C156" s="4">
        <v>16</v>
      </c>
      <c r="D156" t="s">
        <v>591</v>
      </c>
      <c r="E156" t="s">
        <v>243</v>
      </c>
      <c r="F156" t="s">
        <v>242</v>
      </c>
      <c r="M156" s="327"/>
      <c r="N156" s="4">
        <v>16</v>
      </c>
      <c r="O156" t="s">
        <v>591</v>
      </c>
      <c r="P156" t="s">
        <v>243</v>
      </c>
      <c r="Q156" t="s">
        <v>242</v>
      </c>
    </row>
    <row r="157" spans="2:17">
      <c r="B157" s="327"/>
      <c r="C157" s="4">
        <v>41</v>
      </c>
      <c r="D157" t="s">
        <v>544</v>
      </c>
      <c r="E157" t="s">
        <v>244</v>
      </c>
      <c r="F157" t="s">
        <v>242</v>
      </c>
      <c r="M157" s="327"/>
      <c r="N157" s="4">
        <v>41</v>
      </c>
      <c r="O157" t="s">
        <v>544</v>
      </c>
      <c r="P157" t="s">
        <v>244</v>
      </c>
      <c r="Q157" t="s">
        <v>242</v>
      </c>
    </row>
    <row r="158" spans="2:17">
      <c r="B158" s="327"/>
      <c r="M158" s="327"/>
    </row>
    <row r="159" spans="2:17">
      <c r="B159" s="327">
        <v>45991</v>
      </c>
      <c r="C159" s="4">
        <v>9</v>
      </c>
      <c r="D159" t="s">
        <v>460</v>
      </c>
      <c r="E159" t="s">
        <v>245</v>
      </c>
      <c r="F159" t="s">
        <v>242</v>
      </c>
      <c r="M159" s="327">
        <v>45991</v>
      </c>
      <c r="N159" s="4">
        <v>9</v>
      </c>
      <c r="O159" t="s">
        <v>460</v>
      </c>
      <c r="P159" t="s">
        <v>245</v>
      </c>
      <c r="Q159" t="s">
        <v>242</v>
      </c>
    </row>
    <row r="160" spans="2:17">
      <c r="B160" s="327"/>
      <c r="C160" s="4">
        <v>13</v>
      </c>
      <c r="D160" t="s">
        <v>591</v>
      </c>
      <c r="E160" t="s">
        <v>243</v>
      </c>
      <c r="F160" t="s">
        <v>242</v>
      </c>
      <c r="M160" s="327"/>
      <c r="N160" s="4">
        <v>13</v>
      </c>
      <c r="O160" t="s">
        <v>591</v>
      </c>
      <c r="P160" t="s">
        <v>243</v>
      </c>
      <c r="Q160" t="s">
        <v>242</v>
      </c>
    </row>
    <row r="161" spans="2:17">
      <c r="B161" s="327"/>
      <c r="C161" s="4">
        <v>44</v>
      </c>
      <c r="D161" t="s">
        <v>544</v>
      </c>
      <c r="E161" t="s">
        <v>244</v>
      </c>
      <c r="F161" t="s">
        <v>242</v>
      </c>
      <c r="M161" s="327"/>
      <c r="N161" s="4">
        <v>44</v>
      </c>
      <c r="O161" t="s">
        <v>544</v>
      </c>
      <c r="P161" t="s">
        <v>244</v>
      </c>
      <c r="Q161" t="s">
        <v>242</v>
      </c>
    </row>
  </sheetData>
  <autoFilter ref="B1:F121"/>
  <conditionalFormatting sqref="G1:G7 R1:R7 R9:R76 R144 G9:G68 G70:G115 G117:G1048576">
    <cfRule type="cellIs" dxfId="7" priority="2" operator="greaterThan">
      <formula>0</formula>
    </cfRule>
  </conditionalFormatting>
  <conditionalFormatting sqref="R78:R104 R106:R143 R145:R1048576">
    <cfRule type="cellIs" dxfId="6" priority="1" operator="greaterThan">
      <formula>0</formula>
    </cfRule>
  </conditionalFormatting>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3"/>
  <sheetViews>
    <sheetView topLeftCell="H1" workbookViewId="0">
      <selection activeCell="L18" sqref="L18"/>
    </sheetView>
  </sheetViews>
  <sheetFormatPr defaultRowHeight="12.75"/>
  <cols>
    <col min="1" max="1" width="15.28515625" bestFit="1" customWidth="1"/>
    <col min="2" max="2" width="23.28515625" bestFit="1" customWidth="1"/>
    <col min="3" max="3" width="34.28515625" style="553" customWidth="1"/>
    <col min="4" max="8" width="13.5703125" customWidth="1"/>
    <col min="10" max="10" width="15.28515625" bestFit="1" customWidth="1"/>
    <col min="11" max="11" width="23.28515625" bestFit="1" customWidth="1"/>
    <col min="12" max="12" width="34.28515625" style="553" customWidth="1"/>
    <col min="13" max="17" width="13.5703125" customWidth="1"/>
  </cols>
  <sheetData>
    <row r="1" spans="1:17" ht="15">
      <c r="A1" s="421" t="s">
        <v>265</v>
      </c>
      <c r="E1" s="452"/>
      <c r="F1" s="1"/>
      <c r="J1" s="421" t="s">
        <v>371</v>
      </c>
      <c r="N1" s="452"/>
      <c r="O1" s="1"/>
    </row>
    <row r="2" spans="1:17" ht="30">
      <c r="A2" s="743" t="s">
        <v>226</v>
      </c>
      <c r="B2" s="743" t="s">
        <v>227</v>
      </c>
      <c r="C2" s="744" t="s">
        <v>228</v>
      </c>
      <c r="D2" s="453" t="s">
        <v>229</v>
      </c>
      <c r="E2" s="552" t="s">
        <v>230</v>
      </c>
      <c r="F2" s="455" t="s">
        <v>231</v>
      </c>
      <c r="G2" s="552" t="s">
        <v>232</v>
      </c>
      <c r="H2" s="552" t="s">
        <v>233</v>
      </c>
      <c r="J2" s="743" t="s">
        <v>226</v>
      </c>
      <c r="K2" s="743" t="s">
        <v>227</v>
      </c>
      <c r="L2" s="742" t="s">
        <v>228</v>
      </c>
      <c r="M2" s="453" t="s">
        <v>229</v>
      </c>
      <c r="N2" s="552" t="s">
        <v>230</v>
      </c>
      <c r="O2" s="455" t="s">
        <v>231</v>
      </c>
      <c r="P2" s="552" t="s">
        <v>232</v>
      </c>
      <c r="Q2" s="552" t="s">
        <v>233</v>
      </c>
    </row>
    <row r="3" spans="1:17" ht="15">
      <c r="A3" s="743"/>
      <c r="B3" s="743"/>
      <c r="C3" s="745"/>
      <c r="D3" s="453" t="s">
        <v>399</v>
      </c>
      <c r="E3" s="453" t="str">
        <f>+D3</f>
        <v>NOVEMBER</v>
      </c>
      <c r="F3" s="453" t="str">
        <f>+E3</f>
        <v>NOVEMBER</v>
      </c>
      <c r="G3" s="453" t="str">
        <f>+F3</f>
        <v>NOVEMBER</v>
      </c>
      <c r="H3" s="453" t="str">
        <f>+G3</f>
        <v>NOVEMBER</v>
      </c>
      <c r="J3" s="743"/>
      <c r="K3" s="743"/>
      <c r="L3" s="742"/>
      <c r="M3" s="453" t="str">
        <f>+H3</f>
        <v>NOVEMBER</v>
      </c>
      <c r="N3" s="453" t="str">
        <f>+M3</f>
        <v>NOVEMBER</v>
      </c>
      <c r="O3" s="453" t="str">
        <f>+N3</f>
        <v>NOVEMBER</v>
      </c>
      <c r="P3" s="453" t="str">
        <f>+O3</f>
        <v>NOVEMBER</v>
      </c>
      <c r="Q3" s="453" t="str">
        <f>+P3</f>
        <v>NOVEMBER</v>
      </c>
    </row>
    <row r="4" spans="1:17" ht="15">
      <c r="A4" s="751" t="s">
        <v>234</v>
      </c>
      <c r="B4" s="551" t="s">
        <v>299</v>
      </c>
      <c r="C4" s="554"/>
      <c r="D4" s="7">
        <f>SUMIFS(Sheet1!$C$2:$C$180,Sheet1!$F$2:$F$180,B4,Sheet1!$E$2:$E$180,C4)</f>
        <v>0</v>
      </c>
      <c r="E4" s="7">
        <f>D4/Sheet1!$I$9*Sheet1!$I$10</f>
        <v>0</v>
      </c>
      <c r="F4" s="470">
        <f>D4/Sheet1!$I$9*Sheet1!$I$11</f>
        <v>0</v>
      </c>
      <c r="G4" s="550">
        <f>F4</f>
        <v>0</v>
      </c>
      <c r="H4" s="748">
        <f>SUM(G4:G12)</f>
        <v>0.52472566964815648</v>
      </c>
      <c r="J4" s="751" t="s">
        <v>234</v>
      </c>
      <c r="K4" s="551" t="s">
        <v>299</v>
      </c>
      <c r="L4" s="554"/>
      <c r="M4" s="7">
        <f>SUMIFS(Sheet1!$N$2:$N$180,Sheet1!$Q$2:$Q$180,K4,Sheet1!$P$2:$P$180,L4)</f>
        <v>0</v>
      </c>
      <c r="N4" s="7">
        <f>M4/Sheet1!$T$9*Sheet1!$T$10</f>
        <v>0</v>
      </c>
      <c r="O4" s="470">
        <f>M4/Sheet1!$T$9*Sheet1!$T$11</f>
        <v>0</v>
      </c>
      <c r="P4" s="550">
        <f>O4</f>
        <v>0</v>
      </c>
      <c r="Q4" s="748">
        <f>SUM(P4:P12)</f>
        <v>0</v>
      </c>
    </row>
    <row r="5" spans="1:17" ht="15">
      <c r="A5" s="752"/>
      <c r="B5" s="551" t="s">
        <v>235</v>
      </c>
      <c r="C5" s="554"/>
      <c r="D5" s="7">
        <f>SUMIFS(Sheet1!$C$2:$C$180,Sheet1!$F$2:$F$180,B5,Sheet1!$E$2:$E$180,C5)</f>
        <v>0</v>
      </c>
      <c r="E5" s="7">
        <f>D5/Sheet1!$I$9*Sheet1!$I$10</f>
        <v>0</v>
      </c>
      <c r="F5" s="470">
        <f>D5/Sheet1!$I$9*Sheet1!$I$11</f>
        <v>0</v>
      </c>
      <c r="G5" s="555">
        <f t="shared" ref="G5:G15" si="0">F5</f>
        <v>0</v>
      </c>
      <c r="H5" s="749"/>
      <c r="J5" s="752"/>
      <c r="K5" s="551" t="s">
        <v>235</v>
      </c>
      <c r="L5" s="554"/>
      <c r="M5" s="7">
        <f>SUMIFS(Sheet1!$N$2:$N$180,Sheet1!$Q$2:$Q$180,K5,Sheet1!$P$2:$P$180,L5)</f>
        <v>0</v>
      </c>
      <c r="N5" s="7">
        <f>M5/Sheet1!$T$9*Sheet1!$T$10</f>
        <v>0</v>
      </c>
      <c r="O5" s="470">
        <f>M5/Sheet1!$T$9*Sheet1!$T$11</f>
        <v>0</v>
      </c>
      <c r="P5" s="555">
        <f t="shared" ref="P5:P15" si="1">O5</f>
        <v>0</v>
      </c>
      <c r="Q5" s="749"/>
    </row>
    <row r="6" spans="1:17" ht="15">
      <c r="A6" s="752"/>
      <c r="B6" s="746" t="s">
        <v>306</v>
      </c>
      <c r="C6" s="554"/>
      <c r="D6" s="7">
        <f>SUMIFS(Sheet1!$C$2:$C$180,Sheet1!$F$2:$F$180,B6,Sheet1!$E$2:$E$180,C6)</f>
        <v>0</v>
      </c>
      <c r="E6" s="7">
        <f>D6/Sheet1!$I$9*Sheet1!$I$10</f>
        <v>0</v>
      </c>
      <c r="F6" s="470">
        <f>D6/Sheet1!$I$9*Sheet1!$I$11</f>
        <v>0</v>
      </c>
      <c r="G6" s="555">
        <f t="shared" si="0"/>
        <v>0</v>
      </c>
      <c r="H6" s="749"/>
      <c r="J6" s="752"/>
      <c r="K6" s="746" t="s">
        <v>306</v>
      </c>
      <c r="L6" s="554"/>
      <c r="M6" s="7">
        <f>SUMIFS(Sheet1!$N$2:$N$180,Sheet1!$Q$2:$Q$180,K6,Sheet1!$P$2:$P$180,L6)</f>
        <v>0</v>
      </c>
      <c r="N6" s="7">
        <f>M6/Sheet1!$T$9*Sheet1!$T$10</f>
        <v>0</v>
      </c>
      <c r="O6" s="470">
        <f>M6/Sheet1!$T$9*Sheet1!$T$11</f>
        <v>0</v>
      </c>
      <c r="P6" s="555">
        <f t="shared" si="1"/>
        <v>0</v>
      </c>
      <c r="Q6" s="749"/>
    </row>
    <row r="7" spans="1:17" ht="15">
      <c r="A7" s="752"/>
      <c r="B7" s="747"/>
      <c r="C7" s="554"/>
      <c r="D7" s="7">
        <f>SUMIFS(Sheet1!$C$2:$C$180,Sheet1!$F$2:$F$180,B6,Sheet1!$E$2:$E$180,C7)</f>
        <v>0</v>
      </c>
      <c r="E7" s="7">
        <f>D7/Sheet1!$I$9*Sheet1!$I$10</f>
        <v>0</v>
      </c>
      <c r="F7" s="470">
        <f>D7/Sheet1!$I$9*Sheet1!$I$11</f>
        <v>0</v>
      </c>
      <c r="G7" s="555">
        <f t="shared" si="0"/>
        <v>0</v>
      </c>
      <c r="H7" s="749"/>
      <c r="J7" s="752"/>
      <c r="K7" s="747"/>
      <c r="L7" s="554"/>
      <c r="M7" s="7">
        <f>SUMIFS(Sheet1!$N$2:$N$180,Sheet1!$Q$2:$Q$180,K6,Sheet1!$P$2:$P$180,L7)</f>
        <v>0</v>
      </c>
      <c r="N7" s="7">
        <f>M7/Sheet1!$T$9*Sheet1!$T$10</f>
        <v>0</v>
      </c>
      <c r="O7" s="470">
        <f>M7/Sheet1!$T$9*Sheet1!$T$11</f>
        <v>0</v>
      </c>
      <c r="P7" s="555">
        <f t="shared" si="1"/>
        <v>0</v>
      </c>
      <c r="Q7" s="749"/>
    </row>
    <row r="8" spans="1:17" ht="12.75" customHeight="1">
      <c r="A8" s="752"/>
      <c r="B8" s="746" t="s">
        <v>305</v>
      </c>
      <c r="C8" s="554"/>
      <c r="D8" s="7">
        <f>SUMIFS(Sheet1!$C$2:$C$180,Sheet1!$F$2:$F$180,B8,Sheet1!$E$2:$E$180,C8)</f>
        <v>0</v>
      </c>
      <c r="E8" s="7">
        <f>D8/Sheet1!$I$9*Sheet1!$I$10</f>
        <v>0</v>
      </c>
      <c r="F8" s="470">
        <f>D8/Sheet1!$I$9*Sheet1!$I$11</f>
        <v>0</v>
      </c>
      <c r="G8" s="556">
        <f t="shared" si="0"/>
        <v>0</v>
      </c>
      <c r="H8" s="749"/>
      <c r="J8" s="752"/>
      <c r="K8" s="746" t="s">
        <v>305</v>
      </c>
      <c r="L8" s="554"/>
      <c r="M8" s="7">
        <f>SUMIFS(Sheet1!$N$2:$N$180,Sheet1!$Q$2:$Q$180,K8,Sheet1!$P$2:$P$180,L8)</f>
        <v>0</v>
      </c>
      <c r="N8" s="7">
        <f>M8/Sheet1!$T$9*Sheet1!$T$10</f>
        <v>0</v>
      </c>
      <c r="O8" s="470">
        <f>M8/Sheet1!$T$9*Sheet1!$T$11</f>
        <v>0</v>
      </c>
      <c r="P8" s="556">
        <f t="shared" si="1"/>
        <v>0</v>
      </c>
      <c r="Q8" s="749"/>
    </row>
    <row r="9" spans="1:17" ht="12.75" customHeight="1">
      <c r="A9" s="752"/>
      <c r="B9" s="747"/>
      <c r="C9" s="554"/>
      <c r="D9" s="7">
        <f>SUMIFS(Sheet1!$C$2:$C$180,Sheet1!$F$2:$F$180,B8,Sheet1!$E$2:$E$180,C9)</f>
        <v>0</v>
      </c>
      <c r="E9" s="7">
        <f>D9/Sheet1!$I$9*Sheet1!$I$10</f>
        <v>0</v>
      </c>
      <c r="F9" s="470">
        <f>D9/Sheet1!$I$9*Sheet1!$I$11</f>
        <v>0</v>
      </c>
      <c r="G9" s="556">
        <f t="shared" si="0"/>
        <v>0</v>
      </c>
      <c r="H9" s="749"/>
      <c r="J9" s="752"/>
      <c r="K9" s="747"/>
      <c r="L9" s="554"/>
      <c r="M9" s="7">
        <f>SUMIFS(Sheet1!$N$2:$N$180,Sheet1!$Q$2:$Q$180,K8,Sheet1!$P$2:$P$180,L9)</f>
        <v>0</v>
      </c>
      <c r="N9" s="7">
        <f>M9/Sheet1!$T$9*Sheet1!$T$10</f>
        <v>0</v>
      </c>
      <c r="O9" s="470">
        <f>M9/Sheet1!$T$9*Sheet1!$T$11</f>
        <v>0</v>
      </c>
      <c r="P9" s="556">
        <f t="shared" si="1"/>
        <v>0</v>
      </c>
      <c r="Q9" s="749"/>
    </row>
    <row r="10" spans="1:17" ht="15" customHeight="1">
      <c r="A10" s="752"/>
      <c r="B10" s="746" t="s">
        <v>372</v>
      </c>
      <c r="C10" s="554"/>
      <c r="D10" s="7">
        <f>SUMIFS(Sheet1!$C$2:$C$180,Sheet1!$F$2:$F$180,B10,Sheet1!$E$2:$E$180,C10)</f>
        <v>0</v>
      </c>
      <c r="E10" s="7">
        <f>D10/Sheet1!$I$9*Sheet1!$I$10</f>
        <v>0</v>
      </c>
      <c r="F10" s="470">
        <f>D10/Sheet1!$I$9*Sheet1!$I$11</f>
        <v>0</v>
      </c>
      <c r="G10" s="556">
        <f t="shared" si="0"/>
        <v>0</v>
      </c>
      <c r="H10" s="749"/>
      <c r="J10" s="752"/>
      <c r="K10" s="746" t="s">
        <v>372</v>
      </c>
      <c r="L10" s="554"/>
      <c r="M10" s="7">
        <f>SUMIFS(Sheet1!$N$2:$N$180,Sheet1!$Q$2:$Q$180,K10,Sheet1!$P$2:$P$180,L10)</f>
        <v>0</v>
      </c>
      <c r="N10" s="7">
        <f>M10/Sheet1!$T$9*Sheet1!$T$10</f>
        <v>0</v>
      </c>
      <c r="O10" s="470">
        <f>M10/Sheet1!$T$9*Sheet1!$T$11</f>
        <v>0</v>
      </c>
      <c r="P10" s="556">
        <f t="shared" si="1"/>
        <v>0</v>
      </c>
      <c r="Q10" s="749"/>
    </row>
    <row r="11" spans="1:17" ht="15" customHeight="1">
      <c r="A11" s="752"/>
      <c r="B11" s="747"/>
      <c r="C11" s="554"/>
      <c r="D11" s="7">
        <f>SUMIFS(Sheet1!$C$2:$C$180,Sheet1!$F$2:$F$180,B10,Sheet1!$E$2:$E$180,C11)</f>
        <v>0</v>
      </c>
      <c r="E11" s="7">
        <f>D11/Sheet1!$I$9*Sheet1!$I$10</f>
        <v>0</v>
      </c>
      <c r="F11" s="470">
        <f>D11/Sheet1!$I$9*Sheet1!$I$11</f>
        <v>0</v>
      </c>
      <c r="G11" s="556">
        <f t="shared" si="0"/>
        <v>0</v>
      </c>
      <c r="H11" s="749"/>
      <c r="J11" s="752"/>
      <c r="K11" s="747"/>
      <c r="L11" s="554"/>
      <c r="M11" s="7">
        <f>SUMIFS(Sheet1!$N$2:$N$180,Sheet1!$Q$2:$Q$180,K10,Sheet1!$P$2:$P$180,L11)</f>
        <v>0</v>
      </c>
      <c r="N11" s="7">
        <f>M11/Sheet1!$T$9*Sheet1!$T$10</f>
        <v>0</v>
      </c>
      <c r="O11" s="470">
        <f>M11/Sheet1!$T$9*Sheet1!$T$11</f>
        <v>0</v>
      </c>
      <c r="P11" s="556">
        <f t="shared" si="1"/>
        <v>0</v>
      </c>
      <c r="Q11" s="749"/>
    </row>
    <row r="12" spans="1:17" ht="15" customHeight="1">
      <c r="A12" s="753"/>
      <c r="B12" s="598" t="s">
        <v>593</v>
      </c>
      <c r="C12" s="554" t="s">
        <v>594</v>
      </c>
      <c r="D12" s="7">
        <f>SUMIFS(Sheet1!$C$2:$C$180,Sheet1!$F$2:$F$180,B12,Sheet1!$E$2:$E$180,C12)</f>
        <v>23196</v>
      </c>
      <c r="E12" s="7">
        <f>D12/Sheet1!$I$9*Sheet1!$I$10</f>
        <v>699.92871122062854</v>
      </c>
      <c r="F12" s="470">
        <f>D12/Sheet1!$I$9*Sheet1!$I$11</f>
        <v>0.52472566964815648</v>
      </c>
      <c r="G12" s="556">
        <f t="shared" ref="G12" si="2">F12</f>
        <v>0.52472566964815648</v>
      </c>
      <c r="H12" s="750"/>
      <c r="J12" s="753"/>
      <c r="K12" s="598" t="s">
        <v>593</v>
      </c>
      <c r="L12" s="554" t="s">
        <v>594</v>
      </c>
      <c r="M12" s="7">
        <f>SUMIFS(Sheet1!$N$2:$N$180,Sheet1!$Q$2:$Q$180,K12,Sheet1!$P$2:$P$180,L12)</f>
        <v>0</v>
      </c>
      <c r="N12" s="7">
        <f>M12/Sheet1!$T$9*Sheet1!$T$10</f>
        <v>0</v>
      </c>
      <c r="O12" s="470">
        <f>M12/Sheet1!$T$9*Sheet1!$T$11</f>
        <v>0</v>
      </c>
      <c r="P12" s="556">
        <f t="shared" ref="P12" si="3">O12</f>
        <v>0</v>
      </c>
      <c r="Q12" s="750"/>
    </row>
    <row r="13" spans="1:17" ht="15">
      <c r="A13" s="763" t="s">
        <v>9</v>
      </c>
      <c r="B13" s="551" t="s">
        <v>148</v>
      </c>
      <c r="C13" s="554" t="s">
        <v>148</v>
      </c>
      <c r="D13" s="7"/>
      <c r="E13" s="7">
        <f>+Sheet1!I2</f>
        <v>7.9540140315710355</v>
      </c>
      <c r="F13" s="470">
        <f>E13/Sheet1!$I$8</f>
        <v>5.9630006202036441E-3</v>
      </c>
      <c r="G13" s="555">
        <f t="shared" si="0"/>
        <v>5.9630006202036441E-3</v>
      </c>
      <c r="H13" s="754">
        <f>SUM(G13:G14)</f>
        <v>3.1882093395308661E-2</v>
      </c>
      <c r="J13" s="763" t="s">
        <v>9</v>
      </c>
      <c r="K13" s="551" t="s">
        <v>148</v>
      </c>
      <c r="L13" s="554" t="s">
        <v>148</v>
      </c>
      <c r="M13" s="7"/>
      <c r="N13" s="7">
        <f>+Sheet1!T2</f>
        <v>7.9540140315710355</v>
      </c>
      <c r="O13" s="470">
        <f>+Sheet1!U2</f>
        <v>1.2507961984375924E-2</v>
      </c>
      <c r="P13" s="555">
        <f t="shared" si="1"/>
        <v>1.2507961984375924E-2</v>
      </c>
      <c r="Q13" s="754">
        <f>SUM(P13:P14)</f>
        <v>6.6875728776500554E-2</v>
      </c>
    </row>
    <row r="14" spans="1:17" ht="15">
      <c r="A14" s="763"/>
      <c r="B14" s="551" t="s">
        <v>236</v>
      </c>
      <c r="C14" s="554" t="s">
        <v>237</v>
      </c>
      <c r="D14" s="7"/>
      <c r="E14" s="7">
        <f>+Sheet1!I3</f>
        <v>34.573336605109411</v>
      </c>
      <c r="F14" s="470">
        <f>E14/Sheet1!$I$8</f>
        <v>2.591909277510502E-2</v>
      </c>
      <c r="G14" s="555">
        <f t="shared" si="0"/>
        <v>2.591909277510502E-2</v>
      </c>
      <c r="H14" s="755"/>
      <c r="J14" s="763"/>
      <c r="K14" s="551" t="s">
        <v>236</v>
      </c>
      <c r="L14" s="554" t="s">
        <v>237</v>
      </c>
      <c r="M14" s="7"/>
      <c r="N14" s="7">
        <f>+Sheet1!T3</f>
        <v>34.573336605109411</v>
      </c>
      <c r="O14" s="470">
        <f>+Sheet1!U3</f>
        <v>5.4367766792124628E-2</v>
      </c>
      <c r="P14" s="555">
        <f t="shared" si="1"/>
        <v>5.4367766792124628E-2</v>
      </c>
      <c r="Q14" s="755"/>
    </row>
    <row r="15" spans="1:17" ht="15">
      <c r="A15" s="751" t="s">
        <v>11</v>
      </c>
      <c r="B15" s="551" t="s">
        <v>238</v>
      </c>
      <c r="C15" s="554" t="s">
        <v>238</v>
      </c>
      <c r="D15" s="7"/>
      <c r="E15" s="7">
        <f>+Sheet1!I4</f>
        <v>-6.523144343253092</v>
      </c>
      <c r="F15" s="470">
        <f>E15/Sheet1!$I$8</f>
        <v>-4.8902998674762513E-3</v>
      </c>
      <c r="G15" s="555">
        <f t="shared" si="0"/>
        <v>-4.8902998674762513E-3</v>
      </c>
      <c r="H15" s="756">
        <f>SUM(G15:G24)</f>
        <v>6.4421091938723224E-2</v>
      </c>
      <c r="J15" s="751" t="s">
        <v>11</v>
      </c>
      <c r="K15" s="551" t="s">
        <v>238</v>
      </c>
      <c r="L15" s="554" t="s">
        <v>238</v>
      </c>
      <c r="M15" s="7"/>
      <c r="N15" s="7">
        <f>+Sheet1!T4</f>
        <v>-3.4470116153279782</v>
      </c>
      <c r="O15" s="470">
        <f>+Sheet1!U4</f>
        <v>-5.4205449063947312E-3</v>
      </c>
      <c r="P15" s="555">
        <f t="shared" si="1"/>
        <v>-5.4205449063947312E-3</v>
      </c>
      <c r="Q15" s="756">
        <f>SUM(P15:P24)</f>
        <v>0.13774251487226391</v>
      </c>
    </row>
    <row r="16" spans="1:17" ht="15">
      <c r="A16" s="752"/>
      <c r="B16" s="551" t="s">
        <v>239</v>
      </c>
      <c r="C16" s="554" t="s">
        <v>239</v>
      </c>
      <c r="D16" s="7"/>
      <c r="E16" s="7">
        <f>+Sheet1!I5</f>
        <v>62.038147957371919</v>
      </c>
      <c r="F16" s="470">
        <f>E16/Sheet1!$I$8</f>
        <v>4.6509034718540322E-2</v>
      </c>
      <c r="G16" s="555">
        <f>F16</f>
        <v>4.6509034718540322E-2</v>
      </c>
      <c r="H16" s="756"/>
      <c r="J16" s="752"/>
      <c r="K16" s="551" t="s">
        <v>239</v>
      </c>
      <c r="L16" s="554" t="s">
        <v>239</v>
      </c>
      <c r="M16" s="7"/>
      <c r="N16" s="7">
        <f>+Sheet1!T5</f>
        <v>58.962015229446791</v>
      </c>
      <c r="O16" s="470">
        <f>+Sheet1!U5</f>
        <v>9.2719806890565498E-2</v>
      </c>
      <c r="P16" s="555">
        <f>O16</f>
        <v>9.2719806890565498E-2</v>
      </c>
      <c r="Q16" s="756"/>
    </row>
    <row r="17" spans="1:17">
      <c r="A17" s="752"/>
      <c r="B17" s="757" t="s">
        <v>240</v>
      </c>
      <c r="C17" s="554" t="s">
        <v>596</v>
      </c>
      <c r="D17" s="7">
        <f>SUMIFS(Sheet1!$C$2:$C$180,Sheet1!$F$2:$F$180,B17,Sheet1!$E$2:$E$180,C17)</f>
        <v>60</v>
      </c>
      <c r="E17" s="7">
        <f>D17/Sheet1!$I$9*Sheet1!$I$10</f>
        <v>1.8104726105034363</v>
      </c>
      <c r="F17" s="470">
        <f>D17/Sheet1!$I$9*Sheet1!$I$11</f>
        <v>1.3572831599797115E-3</v>
      </c>
      <c r="G17" s="758">
        <f>SUM(F17:F18)</f>
        <v>2.4204883019638187E-3</v>
      </c>
      <c r="H17" s="756"/>
      <c r="J17" s="752"/>
      <c r="K17" s="757" t="s">
        <v>240</v>
      </c>
      <c r="L17" s="554" t="s">
        <v>596</v>
      </c>
      <c r="M17" s="7">
        <f>SUMIFS(Sheet1!$N$2:$N$180,Sheet1!$Q$2:$Q$180,K17,Sheet1!$P$2:$P$180,L17)</f>
        <v>60</v>
      </c>
      <c r="N17" s="7">
        <f>M17/Sheet1!$T$9*Sheet1!$T$10</f>
        <v>1.9093854253412039</v>
      </c>
      <c r="O17" s="470">
        <f>M17/Sheet1!$T$9*Sheet1!$T$11</f>
        <v>3.0025745766722118E-3</v>
      </c>
      <c r="P17" s="758">
        <f>SUM(O17:O18)</f>
        <v>5.3545913283987775E-3</v>
      </c>
      <c r="Q17" s="756"/>
    </row>
    <row r="18" spans="1:17">
      <c r="A18" s="752"/>
      <c r="B18" s="757"/>
      <c r="C18" s="554" t="s">
        <v>650</v>
      </c>
      <c r="D18" s="7">
        <f>SUMIFS(Sheet1!$C$2:$C$180,Sheet1!$F$2:$F$180,B17,Sheet1!$E$2:$E$180,C18)</f>
        <v>47</v>
      </c>
      <c r="E18" s="7">
        <f>D18/Sheet1!$I$9*Sheet1!$I$10</f>
        <v>1.4182035448943584</v>
      </c>
      <c r="F18" s="470">
        <f>D18/Sheet1!$I$9*Sheet1!$I$11</f>
        <v>1.0632051419841074E-3</v>
      </c>
      <c r="G18" s="758"/>
      <c r="H18" s="756"/>
      <c r="J18" s="752"/>
      <c r="K18" s="757"/>
      <c r="L18" s="554" t="s">
        <v>650</v>
      </c>
      <c r="M18" s="7">
        <f>SUMIFS(Sheet1!$N$2:$N$180,Sheet1!$Q$2:$Q$180,K17,Sheet1!$P$2:$P$180,L18)</f>
        <v>47</v>
      </c>
      <c r="N18" s="7">
        <f>M18/Sheet1!$T$9*Sheet1!$T$10</f>
        <v>1.4956852498506097</v>
      </c>
      <c r="O18" s="470">
        <f>M18/Sheet1!$T$9*Sheet1!$T$11</f>
        <v>2.3520167517265657E-3</v>
      </c>
      <c r="P18" s="758"/>
      <c r="Q18" s="756"/>
    </row>
    <row r="19" spans="1:17" ht="15">
      <c r="A19" s="752"/>
      <c r="B19" s="551" t="s">
        <v>241</v>
      </c>
      <c r="C19" s="554" t="s">
        <v>219</v>
      </c>
      <c r="D19" s="7">
        <f>SUMIFS(Sheet1!$C$2:$C$180,Sheet1!$F$2:$F$180,B19,Sheet1!$E$2:$E$180,C19)</f>
        <v>0</v>
      </c>
      <c r="E19" s="7">
        <f>D19/Sheet1!$I$9*Sheet1!$I$10</f>
        <v>0</v>
      </c>
      <c r="F19" s="470">
        <f>D19/Sheet1!$I$9*Sheet1!$I$11</f>
        <v>0</v>
      </c>
      <c r="G19" s="555">
        <f>F19</f>
        <v>0</v>
      </c>
      <c r="H19" s="756"/>
      <c r="J19" s="752"/>
      <c r="K19" s="551" t="s">
        <v>241</v>
      </c>
      <c r="L19" s="554" t="s">
        <v>219</v>
      </c>
      <c r="M19" s="7">
        <f>SUMIFS(Sheet1!$N$2:$N$180,Sheet1!$Q$2:$Q$180,K19,Sheet1!$P$2:$P$180,L19)</f>
        <v>0</v>
      </c>
      <c r="N19" s="7">
        <f>M19/Sheet1!$T$9*Sheet1!$T$10</f>
        <v>0</v>
      </c>
      <c r="O19" s="470">
        <f>M19/Sheet1!$T$9*Sheet1!$T$11</f>
        <v>0</v>
      </c>
      <c r="P19" s="555">
        <f>O19</f>
        <v>0</v>
      </c>
      <c r="Q19" s="756"/>
    </row>
    <row r="20" spans="1:17">
      <c r="A20" s="752"/>
      <c r="B20" s="746" t="s">
        <v>242</v>
      </c>
      <c r="C20" s="554" t="s">
        <v>243</v>
      </c>
      <c r="D20" s="7">
        <f>SUMIFS(Sheet1!$C$2:$C$180,Sheet1!$F$2:$F$180,B20,Sheet1!$E$2:$E$180,C20)</f>
        <v>115</v>
      </c>
      <c r="E20" s="7">
        <f>D20/Sheet1!$I$9*Sheet1!$I$10</f>
        <v>3.4700725034649196</v>
      </c>
      <c r="F20" s="470">
        <f>D20/Sheet1!$I$9*Sheet1!$I$11</f>
        <v>2.6014593899611137E-3</v>
      </c>
      <c r="G20" s="760">
        <f>SUM(F20:F24)</f>
        <v>2.0381868785695336E-2</v>
      </c>
      <c r="H20" s="756"/>
      <c r="J20" s="752"/>
      <c r="K20" s="746" t="s">
        <v>242</v>
      </c>
      <c r="L20" s="554" t="s">
        <v>243</v>
      </c>
      <c r="M20" s="7">
        <f>SUMIFS(Sheet1!$N$2:$N$180,Sheet1!$Q$2:$Q$180,$K$20,Sheet1!$P$2:$P$180,L20)</f>
        <v>115</v>
      </c>
      <c r="N20" s="7">
        <f>M20/Sheet1!$T$9*Sheet1!$T$10</f>
        <v>3.6596553985706408</v>
      </c>
      <c r="O20" s="470">
        <f>M20/Sheet1!$T$9*Sheet1!$T$11</f>
        <v>5.7549346052884059E-3</v>
      </c>
      <c r="P20" s="760">
        <f>SUM(O20:O24)</f>
        <v>4.5088661559694376E-2</v>
      </c>
      <c r="Q20" s="756"/>
    </row>
    <row r="21" spans="1:17">
      <c r="A21" s="752"/>
      <c r="B21" s="759"/>
      <c r="C21" s="554" t="s">
        <v>244</v>
      </c>
      <c r="D21" s="7">
        <f>SUMIFS(Sheet1!$C$2:$C$180,Sheet1!$F$2:$F$180,B20,Sheet1!$E$2:$E$180,C21)</f>
        <v>529</v>
      </c>
      <c r="E21" s="7">
        <f>D21/Sheet1!$I$9*Sheet1!$I$10</f>
        <v>15.962333515938631</v>
      </c>
      <c r="F21" s="470">
        <f>D21/Sheet1!$I$9*Sheet1!$I$11</f>
        <v>1.1966713193821124E-2</v>
      </c>
      <c r="G21" s="761"/>
      <c r="H21" s="756"/>
      <c r="J21" s="752"/>
      <c r="K21" s="759"/>
      <c r="L21" s="554" t="s">
        <v>244</v>
      </c>
      <c r="M21" s="7">
        <f>SUMIFS(Sheet1!$N$2:$N$180,Sheet1!$Q$2:$Q$180,$K$20,Sheet1!$P$2:$P$180,L21)</f>
        <v>529</v>
      </c>
      <c r="N21" s="7">
        <f>M21/Sheet1!$T$9*Sheet1!$T$10</f>
        <v>16.834414833424947</v>
      </c>
      <c r="O21" s="470">
        <f>M21/Sheet1!$T$9*Sheet1!$T$11</f>
        <v>2.6472699184326667E-2</v>
      </c>
      <c r="P21" s="761"/>
      <c r="Q21" s="756"/>
    </row>
    <row r="22" spans="1:17">
      <c r="A22" s="752"/>
      <c r="B22" s="759"/>
      <c r="C22" s="554" t="s">
        <v>245</v>
      </c>
      <c r="D22" s="7">
        <f>SUMIFS(Sheet1!$C$2:$C$180,Sheet1!$F$2:$F$180,B20,Sheet1!$E$2:$E$180,C22)</f>
        <v>257</v>
      </c>
      <c r="E22" s="7">
        <f>D22/Sheet1!$I$9*Sheet1!$I$10</f>
        <v>7.7548576816563859</v>
      </c>
      <c r="F22" s="470">
        <f>D22/Sheet1!$I$9*Sheet1!$I$11</f>
        <v>5.8136962019130984E-3</v>
      </c>
      <c r="G22" s="761"/>
      <c r="H22" s="756"/>
      <c r="J22" s="752"/>
      <c r="K22" s="759"/>
      <c r="L22" s="554" t="s">
        <v>245</v>
      </c>
      <c r="M22" s="7">
        <f>SUMIFS(Sheet1!$N$2:$N$180,Sheet1!$Q$2:$Q$180,$K$20,Sheet1!$P$2:$P$180,L22)</f>
        <v>257</v>
      </c>
      <c r="N22" s="7">
        <f>M22/Sheet1!$T$9*Sheet1!$T$10</f>
        <v>8.1785342385448239</v>
      </c>
      <c r="O22" s="470">
        <f>M22/Sheet1!$T$9*Sheet1!$T$11</f>
        <v>1.2861027770079306E-2</v>
      </c>
      <c r="P22" s="761"/>
      <c r="Q22" s="756"/>
    </row>
    <row r="23" spans="1:17">
      <c r="A23" s="752"/>
      <c r="B23" s="759"/>
      <c r="C23" s="554" t="s">
        <v>12</v>
      </c>
      <c r="D23" s="7">
        <f>SUMIFS(Sheet1!$C$2:$C$180,Sheet1!$F$2:$F$180,B20,Sheet1!$E$2:$E$180,C23)</f>
        <v>0</v>
      </c>
      <c r="E23" s="7">
        <f>D23/Sheet1!$I$9*Sheet1!$I$10</f>
        <v>0</v>
      </c>
      <c r="F23" s="470">
        <f>D23/Sheet1!$I$9*Sheet1!$I$11</f>
        <v>0</v>
      </c>
      <c r="G23" s="761"/>
      <c r="H23" s="756"/>
      <c r="J23" s="752"/>
      <c r="K23" s="759"/>
      <c r="L23" s="554" t="s">
        <v>12</v>
      </c>
      <c r="M23" s="7">
        <f>SUMIFS(Sheet1!$N$2:$N$180,Sheet1!$Q$2:$Q$180,$K$20,Sheet1!$P$2:$P$180,L23)</f>
        <v>0</v>
      </c>
      <c r="N23" s="7">
        <f>M23/Sheet1!$T$9*Sheet1!$T$10</f>
        <v>0</v>
      </c>
      <c r="O23" s="470">
        <f>M23/Sheet1!$T$9*Sheet1!$T$11</f>
        <v>0</v>
      </c>
      <c r="P23" s="761"/>
      <c r="Q23" s="756"/>
    </row>
    <row r="24" spans="1:17">
      <c r="A24" s="752"/>
      <c r="B24" s="747"/>
      <c r="C24" s="554"/>
      <c r="D24" s="7">
        <f>SUMIFS(Sheet1!$C$2:$C$180,Sheet1!$F$2:$F$180,B20,Sheet1!$E$2:$E$180,C24)</f>
        <v>0</v>
      </c>
      <c r="E24" s="7">
        <f>D24/Sheet1!$I$9*Sheet1!$I$10</f>
        <v>0</v>
      </c>
      <c r="F24" s="470">
        <f>D24/Sheet1!$I$9*Sheet1!$I$11</f>
        <v>0</v>
      </c>
      <c r="G24" s="762"/>
      <c r="H24" s="756"/>
      <c r="J24" s="752"/>
      <c r="K24" s="747"/>
      <c r="L24" s="554"/>
      <c r="M24" s="7">
        <f>SUMIFS(Sheet1!$N$2:$N$180,Sheet1!$Q$2:$Q$180,$K$20,Sheet1!$P$2:$P$180,L24)</f>
        <v>0</v>
      </c>
      <c r="N24" s="7">
        <f>M24/Sheet1!$T$9*Sheet1!$T$10</f>
        <v>0</v>
      </c>
      <c r="O24" s="470">
        <f>M24/Sheet1!$T$9*Sheet1!$T$11</f>
        <v>0</v>
      </c>
      <c r="P24" s="762"/>
      <c r="Q24" s="756"/>
    </row>
    <row r="25" spans="1:17" ht="12.75" customHeight="1">
      <c r="A25" s="763" t="s">
        <v>246</v>
      </c>
      <c r="B25" s="757" t="s">
        <v>247</v>
      </c>
      <c r="C25" s="557" t="s">
        <v>597</v>
      </c>
      <c r="D25" s="7">
        <f>SUMIFS(Sheet1!$C$2:$C$180,Sheet1!$F$2:$F$180,B25,Sheet1!$E$2:$E$180,C25)</f>
        <v>85</v>
      </c>
      <c r="E25" s="7">
        <f>D25/Sheet1!$I$9*Sheet1!$I$10</f>
        <v>2.5648361982132015</v>
      </c>
      <c r="F25" s="470">
        <f>D25/Sheet1!$I$9*Sheet1!$I$11</f>
        <v>1.9228178099712581E-3</v>
      </c>
      <c r="G25" s="758">
        <f>SUM(F25:F31)</f>
        <v>1.9228178099712581E-3</v>
      </c>
      <c r="H25" s="756">
        <f>SUM(G25:G38)</f>
        <v>3.958742549940825E-3</v>
      </c>
      <c r="J25" s="763" t="s">
        <v>246</v>
      </c>
      <c r="K25" s="757" t="s">
        <v>247</v>
      </c>
      <c r="L25" s="557" t="s">
        <v>597</v>
      </c>
      <c r="M25" s="7">
        <f>SUMIFS(Sheet1!$N$2:$N$180,Sheet1!$Q$2:$Q$180,$K$25,Sheet1!$P$2:$P$180,L25)</f>
        <v>85</v>
      </c>
      <c r="N25" s="7">
        <f>M25/Sheet1!$T$9*Sheet1!$T$10</f>
        <v>2.7049626859000391</v>
      </c>
      <c r="O25" s="470">
        <f>M25/Sheet1!$T$9*Sheet1!$T$11</f>
        <v>4.2536473169522996E-3</v>
      </c>
      <c r="P25" s="758">
        <f>SUM(O25:O31)</f>
        <v>4.2536473169522996E-3</v>
      </c>
      <c r="Q25" s="756">
        <f>SUM(P25:P38)</f>
        <v>8.7575091819606168E-3</v>
      </c>
    </row>
    <row r="26" spans="1:17" ht="12.75" customHeight="1">
      <c r="A26" s="763"/>
      <c r="B26" s="757"/>
      <c r="C26" s="557"/>
      <c r="D26" s="7">
        <f>SUMIFS(Sheet1!$C$2:$C$180,Sheet1!$F$2:$F$180,B25,Sheet1!$E$2:$E$180,C26)</f>
        <v>0</v>
      </c>
      <c r="E26" s="7">
        <f>D26/Sheet1!$I$9*Sheet1!$I$10</f>
        <v>0</v>
      </c>
      <c r="F26" s="470">
        <f>D26/Sheet1!$I$9*Sheet1!$I$11</f>
        <v>0</v>
      </c>
      <c r="G26" s="758"/>
      <c r="H26" s="756"/>
      <c r="J26" s="763"/>
      <c r="K26" s="757"/>
      <c r="L26" s="557"/>
      <c r="M26" s="7">
        <f>SUMIFS(Sheet1!$N$2:$N$180,Sheet1!$Q$2:$Q$180,$K$25,Sheet1!$P$2:$P$180,L26)</f>
        <v>0</v>
      </c>
      <c r="N26" s="7">
        <f>M26/Sheet1!$T$9*Sheet1!$T$10</f>
        <v>0</v>
      </c>
      <c r="O26" s="470">
        <f>M26/Sheet1!$T$9*Sheet1!$T$11</f>
        <v>0</v>
      </c>
      <c r="P26" s="758"/>
      <c r="Q26" s="756"/>
    </row>
    <row r="27" spans="1:17" ht="12.75" customHeight="1">
      <c r="A27" s="763"/>
      <c r="B27" s="757"/>
      <c r="C27" s="534"/>
      <c r="D27" s="7">
        <f>SUMIFS(Sheet1!$C$2:$C$180,Sheet1!$F$2:$F$180,B25,Sheet1!$E$2:$E$180,C27)</f>
        <v>0</v>
      </c>
      <c r="E27" s="7">
        <f>D27/Sheet1!$I$9*Sheet1!$I$10</f>
        <v>0</v>
      </c>
      <c r="F27" s="470">
        <f>D27/Sheet1!$I$9*Sheet1!$I$11</f>
        <v>0</v>
      </c>
      <c r="G27" s="758"/>
      <c r="H27" s="756"/>
      <c r="J27" s="763"/>
      <c r="K27" s="757"/>
      <c r="L27" s="534"/>
      <c r="M27" s="7">
        <f>SUMIFS(Sheet1!$N$2:$N$180,Sheet1!$Q$2:$Q$180,$K$25,Sheet1!$P$2:$P$180,L27)</f>
        <v>0</v>
      </c>
      <c r="N27" s="7">
        <f>M27/Sheet1!$T$9*Sheet1!$T$10</f>
        <v>0</v>
      </c>
      <c r="O27" s="470">
        <f>M27/Sheet1!$T$9*Sheet1!$T$11</f>
        <v>0</v>
      </c>
      <c r="P27" s="758"/>
      <c r="Q27" s="756"/>
    </row>
    <row r="28" spans="1:17" ht="12.75" customHeight="1">
      <c r="A28" s="763"/>
      <c r="B28" s="757"/>
      <c r="D28" s="7">
        <f>SUMIFS(Sheet1!$C$2:$C$180,Sheet1!$F$2:$F$180,B25,Sheet1!$E$2:$E$180,C28)</f>
        <v>0</v>
      </c>
      <c r="E28" s="7">
        <f>D28/Sheet1!$I$9*Sheet1!$I$10</f>
        <v>0</v>
      </c>
      <c r="F28" s="470">
        <f>D28/Sheet1!$I$9*Sheet1!$I$11</f>
        <v>0</v>
      </c>
      <c r="G28" s="758"/>
      <c r="H28" s="756"/>
      <c r="J28" s="763"/>
      <c r="K28" s="757"/>
      <c r="M28" s="7">
        <f>SUMIFS(Sheet1!$N$2:$N$180,Sheet1!$Q$2:$Q$180,$K$25,Sheet1!$P$2:$P$180,L28)</f>
        <v>0</v>
      </c>
      <c r="N28" s="7">
        <f>M28/Sheet1!$T$9*Sheet1!$T$10</f>
        <v>0</v>
      </c>
      <c r="O28" s="470">
        <f>M28/Sheet1!$T$9*Sheet1!$T$11</f>
        <v>0</v>
      </c>
      <c r="P28" s="758"/>
      <c r="Q28" s="756"/>
    </row>
    <row r="29" spans="1:17" ht="12.75" customHeight="1">
      <c r="A29" s="763"/>
      <c r="B29" s="757"/>
      <c r="C29" s="554"/>
      <c r="D29" s="7">
        <f>SUMIFS(Sheet1!$C$2:$C$180,Sheet1!$F$2:$F$180,B25,Sheet1!$E$2:$E$180,C29)</f>
        <v>0</v>
      </c>
      <c r="E29" s="7">
        <f>D29/Sheet1!$I$9*Sheet1!$I$10</f>
        <v>0</v>
      </c>
      <c r="F29" s="470">
        <f>D29/Sheet1!$I$9*Sheet1!$I$11</f>
        <v>0</v>
      </c>
      <c r="G29" s="758"/>
      <c r="H29" s="756"/>
      <c r="J29" s="763"/>
      <c r="K29" s="757"/>
      <c r="L29" s="554"/>
      <c r="M29" s="7">
        <f>SUMIFS(Sheet1!$N$2:$N$180,Sheet1!$Q$2:$Q$180,$K$25,Sheet1!$P$2:$P$180,L29)</f>
        <v>0</v>
      </c>
      <c r="N29" s="7">
        <f>M29/Sheet1!$T$9*Sheet1!$T$10</f>
        <v>0</v>
      </c>
      <c r="O29" s="470">
        <f>M29/Sheet1!$T$9*Sheet1!$T$11</f>
        <v>0</v>
      </c>
      <c r="P29" s="758"/>
      <c r="Q29" s="756"/>
    </row>
    <row r="30" spans="1:17" ht="12.75" customHeight="1">
      <c r="A30" s="763"/>
      <c r="B30" s="757"/>
      <c r="C30" s="554"/>
      <c r="D30" s="7">
        <f>SUMIFS(Sheet1!$C$2:$C$180,Sheet1!$F$2:$F$180,B25,Sheet1!$E$2:$E$180,C30)</f>
        <v>0</v>
      </c>
      <c r="E30" s="7">
        <f>D30/Sheet1!$I$9*Sheet1!$I$10</f>
        <v>0</v>
      </c>
      <c r="F30" s="470">
        <f>D30/Sheet1!$I$9*Sheet1!$I$11</f>
        <v>0</v>
      </c>
      <c r="G30" s="758"/>
      <c r="H30" s="756"/>
      <c r="J30" s="763"/>
      <c r="K30" s="757"/>
      <c r="L30" s="554"/>
      <c r="M30" s="7">
        <f>SUMIFS(Sheet1!$N$2:$N$180,Sheet1!$Q$2:$Q$180,$K$25,Sheet1!$P$2:$P$180,L30)</f>
        <v>0</v>
      </c>
      <c r="N30" s="7">
        <f>M30/Sheet1!$T$9*Sheet1!$T$10</f>
        <v>0</v>
      </c>
      <c r="O30" s="470">
        <f>M30/Sheet1!$T$9*Sheet1!$T$11</f>
        <v>0</v>
      </c>
      <c r="P30" s="758"/>
      <c r="Q30" s="756"/>
    </row>
    <row r="31" spans="1:17" ht="12.75" customHeight="1">
      <c r="A31" s="763"/>
      <c r="B31" s="757"/>
      <c r="C31" s="554"/>
      <c r="D31" s="7">
        <f>SUMIFS(Sheet1!$C$2:$C$180,Sheet1!$F$2:$F$180,B25,Sheet1!$E$2:$E$180,C31)</f>
        <v>0</v>
      </c>
      <c r="E31" s="7">
        <f>D31/Sheet1!$I$9*Sheet1!$I$10</f>
        <v>0</v>
      </c>
      <c r="F31" s="470">
        <f>D31/Sheet1!$I$9*Sheet1!$I$11</f>
        <v>0</v>
      </c>
      <c r="G31" s="758"/>
      <c r="H31" s="756"/>
      <c r="J31" s="763"/>
      <c r="K31" s="757"/>
      <c r="L31" s="554"/>
      <c r="M31" s="7">
        <f>SUMIFS(Sheet1!$N$2:$N$180,Sheet1!$Q$2:$Q$180,$K$25,Sheet1!$P$2:$P$180,L31)</f>
        <v>0</v>
      </c>
      <c r="N31" s="7">
        <f>M31/Sheet1!$T$9*Sheet1!$T$10</f>
        <v>0</v>
      </c>
      <c r="O31" s="470">
        <f>M31/Sheet1!$T$9*Sheet1!$T$11</f>
        <v>0</v>
      </c>
      <c r="P31" s="758"/>
      <c r="Q31" s="756"/>
    </row>
    <row r="32" spans="1:17" ht="12.75" customHeight="1">
      <c r="A32" s="763"/>
      <c r="B32" s="746" t="s">
        <v>248</v>
      </c>
      <c r="D32" s="7">
        <f>SUMIFS(Sheet1!$C$2:$C$180,Sheet1!$F$2:$F$180,B32,Sheet1!$E$2:$E$180,C32)</f>
        <v>0</v>
      </c>
      <c r="E32" s="7">
        <f>D32/Sheet1!$I$9*Sheet1!$I$10</f>
        <v>0</v>
      </c>
      <c r="F32" s="470">
        <f>D32/Sheet1!$I$9*Sheet1!$I$11</f>
        <v>0</v>
      </c>
      <c r="G32" s="760">
        <f>SUM(F32:F33)</f>
        <v>0</v>
      </c>
      <c r="H32" s="756"/>
      <c r="J32" s="763"/>
      <c r="K32" s="746" t="s">
        <v>248</v>
      </c>
      <c r="M32" s="7">
        <f>SUMIFS(Sheet1!$N$2:$N$180,Sheet1!$Q$2:$Q$180,$K$32,Sheet1!$P$2:$P$180,L32)</f>
        <v>0</v>
      </c>
      <c r="N32" s="7">
        <f>M32/Sheet1!$T$9*Sheet1!$T$10</f>
        <v>0</v>
      </c>
      <c r="O32" s="470">
        <f>M32/Sheet1!$T$9*Sheet1!$T$11</f>
        <v>0</v>
      </c>
      <c r="P32" s="760">
        <f>SUM(O32:O33)</f>
        <v>0</v>
      </c>
      <c r="Q32" s="756"/>
    </row>
    <row r="33" spans="1:17" ht="12.75" customHeight="1">
      <c r="A33" s="763"/>
      <c r="B33" s="747"/>
      <c r="C33" s="554"/>
      <c r="D33" s="7">
        <f>SUMIFS(Sheet1!$C$2:$C$180,Sheet1!$F$2:$F$180,B32,Sheet1!$E$2:$E$180,C33)</f>
        <v>0</v>
      </c>
      <c r="E33" s="7">
        <f>D33/Sheet1!$I$9*Sheet1!$I$10</f>
        <v>0</v>
      </c>
      <c r="F33" s="470">
        <f>D33/Sheet1!$I$9*Sheet1!$I$11</f>
        <v>0</v>
      </c>
      <c r="G33" s="762"/>
      <c r="H33" s="756"/>
      <c r="J33" s="763"/>
      <c r="K33" s="747"/>
      <c r="L33" s="554"/>
      <c r="M33" s="7">
        <f>SUMIFS(Sheet1!$N$2:$N$180,Sheet1!$Q$2:$Q$180,$K$32,Sheet1!$P$2:$P$180,L33)</f>
        <v>0</v>
      </c>
      <c r="N33" s="7">
        <f>M33/Sheet1!$T$9*Sheet1!$T$10</f>
        <v>0</v>
      </c>
      <c r="O33" s="470">
        <f>M33/Sheet1!$T$9*Sheet1!$T$11</f>
        <v>0</v>
      </c>
      <c r="P33" s="762"/>
      <c r="Q33" s="756"/>
    </row>
    <row r="34" spans="1:17" ht="12.75" customHeight="1">
      <c r="A34" s="763"/>
      <c r="B34" s="757" t="s">
        <v>249</v>
      </c>
      <c r="C34" s="554" t="s">
        <v>595</v>
      </c>
      <c r="D34" s="7">
        <f>SUMIFS(Sheet1!$C$2:$C$180,Sheet1!$F$2:$F$180,B34,Sheet1!$E$2:$E$180,C34)</f>
        <v>90</v>
      </c>
      <c r="E34" s="7">
        <f>D34/Sheet1!$I$9*Sheet1!$I$10</f>
        <v>2.7157089157551546</v>
      </c>
      <c r="F34" s="470">
        <f>D34/Sheet1!$I$9*Sheet1!$I$11</f>
        <v>2.0359247399695671E-3</v>
      </c>
      <c r="G34" s="758">
        <f>SUM(F34:F36)</f>
        <v>2.0359247399695671E-3</v>
      </c>
      <c r="H34" s="756"/>
      <c r="J34" s="763"/>
      <c r="K34" s="757" t="s">
        <v>249</v>
      </c>
      <c r="L34" s="554" t="s">
        <v>595</v>
      </c>
      <c r="M34" s="7">
        <f>SUMIFS(Sheet1!$N$2:$N$180,Sheet1!$Q$2:$Q$180,$K$34,Sheet1!$P$2:$P$180,L34)</f>
        <v>90</v>
      </c>
      <c r="N34" s="7">
        <f>M34/Sheet1!$T$9*Sheet1!$T$10</f>
        <v>2.8640781380118061</v>
      </c>
      <c r="O34" s="470">
        <f>M34/Sheet1!$T$9*Sheet1!$T$11</f>
        <v>4.5038618650083172E-3</v>
      </c>
      <c r="P34" s="758">
        <f>SUM(O34:O36)</f>
        <v>4.5038618650083172E-3</v>
      </c>
      <c r="Q34" s="756"/>
    </row>
    <row r="35" spans="1:17" ht="12.75" customHeight="1">
      <c r="A35" s="763"/>
      <c r="B35" s="757"/>
      <c r="C35" s="554"/>
      <c r="D35" s="7">
        <f>SUMIFS(Sheet1!$C$2:$C$180,Sheet1!$F$2:$F$180,B34,Sheet1!$E$2:$E$180,C35)</f>
        <v>0</v>
      </c>
      <c r="E35" s="7">
        <f>D35/Sheet1!$I$9*Sheet1!$I$10</f>
        <v>0</v>
      </c>
      <c r="F35" s="470">
        <f>D35/Sheet1!$I$9*Sheet1!$I$11</f>
        <v>0</v>
      </c>
      <c r="G35" s="758"/>
      <c r="H35" s="756"/>
      <c r="J35" s="763"/>
      <c r="K35" s="757"/>
      <c r="L35" s="554"/>
      <c r="M35" s="7">
        <f>SUMIFS(Sheet1!$N$2:$N$180,Sheet1!$Q$2:$Q$180,$K$34,Sheet1!$P$2:$P$180,L35)</f>
        <v>0</v>
      </c>
      <c r="N35" s="7">
        <f>M35/Sheet1!$T$9*Sheet1!$T$10</f>
        <v>0</v>
      </c>
      <c r="O35" s="470">
        <f>M35/Sheet1!$T$9*Sheet1!$T$11</f>
        <v>0</v>
      </c>
      <c r="P35" s="758"/>
      <c r="Q35" s="756"/>
    </row>
    <row r="36" spans="1:17" ht="12.75" customHeight="1">
      <c r="A36" s="763"/>
      <c r="B36" s="757"/>
      <c r="C36" s="554"/>
      <c r="D36" s="7">
        <f>SUMIFS(Sheet1!$C$2:$C$180,Sheet1!$F$2:$F$180,B34,Sheet1!$E$2:$E$180,C36)</f>
        <v>0</v>
      </c>
      <c r="E36" s="7">
        <f>D36/Sheet1!$I$9*Sheet1!$I$10</f>
        <v>0</v>
      </c>
      <c r="F36" s="470">
        <f>D36/Sheet1!$I$9*Sheet1!$I$11</f>
        <v>0</v>
      </c>
      <c r="G36" s="758"/>
      <c r="H36" s="756"/>
      <c r="J36" s="763"/>
      <c r="K36" s="757"/>
      <c r="L36" s="554"/>
      <c r="M36" s="7">
        <f>SUMIFS(Sheet1!$N$2:$N$180,Sheet1!$Q$2:$Q$180,$K$34,Sheet1!$P$2:$P$180,L36)</f>
        <v>0</v>
      </c>
      <c r="N36" s="7">
        <f>M36/Sheet1!$T$9*Sheet1!$T$10</f>
        <v>0</v>
      </c>
      <c r="O36" s="470">
        <f>M36/Sheet1!$T$9*Sheet1!$T$11</f>
        <v>0</v>
      </c>
      <c r="P36" s="758"/>
      <c r="Q36" s="756"/>
    </row>
    <row r="37" spans="1:17" ht="12.75" customHeight="1">
      <c r="A37" s="763"/>
      <c r="B37" s="746" t="s">
        <v>250</v>
      </c>
      <c r="C37" s="554"/>
      <c r="D37" s="7">
        <f>SUMIFS(Sheet1!$C$2:$C$180,Sheet1!$F$2:$F$180,B37,Sheet1!$E$2:$E$180,C37)</f>
        <v>0</v>
      </c>
      <c r="E37" s="7">
        <f>D37/Sheet1!$I$9*Sheet1!$I$10</f>
        <v>0</v>
      </c>
      <c r="F37" s="470">
        <f>D37/Sheet1!$I$9*Sheet1!$I$11</f>
        <v>0</v>
      </c>
      <c r="G37" s="760">
        <f>SUM(F37:F38)</f>
        <v>0</v>
      </c>
      <c r="H37" s="756"/>
      <c r="J37" s="763"/>
      <c r="K37" s="746" t="s">
        <v>250</v>
      </c>
      <c r="L37" s="554"/>
      <c r="M37" s="7">
        <f>SUMIFS(Sheet1!$N$2:$N$180,Sheet1!$Q$2:$Q$180,$K$37,Sheet1!$P$2:$P$180,L37)</f>
        <v>0</v>
      </c>
      <c r="N37" s="7">
        <f>M37/Sheet1!$T$9*Sheet1!$T$10</f>
        <v>0</v>
      </c>
      <c r="O37" s="470">
        <f>M37/Sheet1!$T$9*Sheet1!$T$11</f>
        <v>0</v>
      </c>
      <c r="P37" s="760">
        <f>SUM(O37:O38)</f>
        <v>0</v>
      </c>
      <c r="Q37" s="756"/>
    </row>
    <row r="38" spans="1:17" ht="12.75" customHeight="1">
      <c r="A38" s="763"/>
      <c r="B38" s="747"/>
      <c r="C38" s="554"/>
      <c r="D38" s="7">
        <f>SUMIFS(Sheet1!$C$2:$C$180,Sheet1!$F$2:$F$180,B37,Sheet1!$E$2:$E$180,C38)</f>
        <v>0</v>
      </c>
      <c r="E38" s="7">
        <f>D38/Sheet1!$I$9*Sheet1!$I$10</f>
        <v>0</v>
      </c>
      <c r="F38" s="470">
        <f>D38/Sheet1!$I$9*Sheet1!$I$11</f>
        <v>0</v>
      </c>
      <c r="G38" s="762"/>
      <c r="H38" s="756"/>
      <c r="J38" s="763"/>
      <c r="K38" s="747"/>
      <c r="L38" s="554"/>
      <c r="M38" s="7">
        <f>SUMIFS(Sheet1!$N$2:$N$180,Sheet1!$Q$2:$Q$180,$K$37,Sheet1!$P$2:$P$180,L38)</f>
        <v>0</v>
      </c>
      <c r="N38" s="7">
        <f>M38/Sheet1!$T$9*Sheet1!$T$10</f>
        <v>0</v>
      </c>
      <c r="O38" s="470">
        <f>M38/Sheet1!$T$9*Sheet1!$T$11</f>
        <v>0</v>
      </c>
      <c r="P38" s="762"/>
      <c r="Q38" s="756"/>
    </row>
    <row r="39" spans="1:17" ht="12.75" customHeight="1">
      <c r="A39" s="763" t="s">
        <v>391</v>
      </c>
      <c r="B39" s="746" t="s">
        <v>251</v>
      </c>
      <c r="C39"/>
      <c r="D39" s="7">
        <f>SUMIFS(Sheet1!$C$2:$C$180,Sheet1!$F$2:$F$180,B39,Sheet1!$E$2:$E$180,C39)</f>
        <v>0</v>
      </c>
      <c r="E39" s="7">
        <f>D39/Sheet1!$I$9*Sheet1!$I$10</f>
        <v>0</v>
      </c>
      <c r="F39" s="470">
        <f>D39/Sheet1!$I$9*Sheet1!$I$11</f>
        <v>0</v>
      </c>
      <c r="G39" s="760">
        <f>SUM(F39:F40)</f>
        <v>0</v>
      </c>
      <c r="H39" s="765">
        <f>SUM(G39:G40)</f>
        <v>0</v>
      </c>
      <c r="J39" s="763" t="s">
        <v>391</v>
      </c>
      <c r="K39" s="746" t="s">
        <v>251</v>
      </c>
      <c r="L39"/>
      <c r="M39" s="7">
        <f>SUMIFS(Sheet1!$N$2:$N$180,Sheet1!$Q$2:$Q$180,K39,Sheet1!$P$2:$P$180,L39)</f>
        <v>0</v>
      </c>
      <c r="N39" s="7">
        <f>M39/Sheet1!$T$9*Sheet1!$T$10</f>
        <v>0</v>
      </c>
      <c r="O39" s="470">
        <f>M39/Sheet1!$T$9*Sheet1!$T$11</f>
        <v>0</v>
      </c>
      <c r="P39" s="760">
        <f>SUM(O39:O40)</f>
        <v>0</v>
      </c>
      <c r="Q39" s="765">
        <f>SUM(P39:P40)</f>
        <v>0</v>
      </c>
    </row>
    <row r="40" spans="1:17" ht="12.75" customHeight="1">
      <c r="A40" s="763"/>
      <c r="B40" s="747"/>
      <c r="C40" s="557"/>
      <c r="D40" s="7">
        <f>SUMIFS(Sheet1!$C$2:$C$180,Sheet1!$F$2:$F$180,B39,Sheet1!$E$2:$E$180,C40)</f>
        <v>0</v>
      </c>
      <c r="E40" s="7">
        <f>D40/Sheet1!$I$9*Sheet1!$I$10</f>
        <v>0</v>
      </c>
      <c r="F40" s="470">
        <f>D40/Sheet1!$I$9*Sheet1!$I$11</f>
        <v>0</v>
      </c>
      <c r="G40" s="762"/>
      <c r="H40" s="766"/>
      <c r="J40" s="763"/>
      <c r="K40" s="747"/>
      <c r="L40" s="557"/>
      <c r="M40" s="7">
        <f>SUMIFS(Sheet1!$N$2:$N$180,Sheet1!$Q$2:$Q$180,K39,Sheet1!$P$2:$P$180,L40)</f>
        <v>0</v>
      </c>
      <c r="N40" s="7">
        <f>M40/Sheet1!$T$9*Sheet1!$T$10</f>
        <v>0</v>
      </c>
      <c r="O40" s="470">
        <f>M40/Sheet1!$T$9*Sheet1!$T$11</f>
        <v>0</v>
      </c>
      <c r="P40" s="762"/>
      <c r="Q40" s="766"/>
    </row>
    <row r="41" spans="1:17" ht="15">
      <c r="A41" s="558"/>
      <c r="B41" s="764" t="s">
        <v>2</v>
      </c>
      <c r="C41" s="764"/>
      <c r="D41" s="305">
        <f>SUM(D4:D40)</f>
        <v>24379</v>
      </c>
      <c r="E41" s="305">
        <f>SUM(E4:E40)</f>
        <v>833.66755044185413</v>
      </c>
      <c r="F41" s="456">
        <f>SUM(F4:F40)</f>
        <v>0.62498759753212929</v>
      </c>
      <c r="G41" s="456">
        <f>SUM(G4:G40)</f>
        <v>0.62498759753212929</v>
      </c>
      <c r="H41" s="456">
        <f>SUM(H4:H40)</f>
        <v>0.62498759753212918</v>
      </c>
      <c r="J41" s="558"/>
      <c r="K41" s="764" t="s">
        <v>2</v>
      </c>
      <c r="L41" s="764"/>
      <c r="M41" s="305">
        <f>SUM(M4:M40)</f>
        <v>1183</v>
      </c>
      <c r="N41" s="305">
        <f>SUM(N4:N40)</f>
        <v>135.68907022044331</v>
      </c>
      <c r="O41" s="456">
        <f>SUM(O4:O40)</f>
        <v>0.21337575283072507</v>
      </c>
      <c r="P41" s="456">
        <f>SUM(P4:P40)</f>
        <v>0.21337575283072507</v>
      </c>
      <c r="Q41" s="456">
        <f>SUM(Q4:Q40)</f>
        <v>0.21337575283072507</v>
      </c>
    </row>
    <row r="42" spans="1:17" ht="15">
      <c r="A42" s="558"/>
      <c r="B42" s="764" t="s">
        <v>1</v>
      </c>
      <c r="C42" s="764"/>
      <c r="D42" s="764"/>
      <c r="E42" s="764"/>
      <c r="F42" s="559">
        <f>+Efficiency1!X168</f>
        <v>0.37501240246787071</v>
      </c>
      <c r="G42" s="559">
        <f>+F42</f>
        <v>0.37501240246787071</v>
      </c>
      <c r="H42" s="559">
        <f>+G42</f>
        <v>0.37501240246787071</v>
      </c>
      <c r="J42" s="558"/>
      <c r="K42" s="764" t="s">
        <v>1</v>
      </c>
      <c r="L42" s="764"/>
      <c r="M42" s="764"/>
      <c r="N42" s="764"/>
      <c r="O42" s="559">
        <f>+Efficiency2!X168</f>
        <v>0.78662424716927493</v>
      </c>
      <c r="P42" s="559">
        <f>+O42</f>
        <v>0.78662424716927493</v>
      </c>
      <c r="Q42" s="559">
        <f>+P42</f>
        <v>0.78662424716927493</v>
      </c>
    </row>
    <row r="43" spans="1:17" ht="15">
      <c r="A43" s="558"/>
      <c r="B43" s="764" t="s">
        <v>57</v>
      </c>
      <c r="C43" s="764"/>
      <c r="D43" s="764"/>
      <c r="E43" s="764"/>
      <c r="F43" s="472">
        <f>SUM(F41:F42)</f>
        <v>1</v>
      </c>
      <c r="G43" s="472">
        <f>SUM(G41:G42)</f>
        <v>1</v>
      </c>
      <c r="H43" s="550">
        <f>SUM(H41:H42)</f>
        <v>0.99999999999999989</v>
      </c>
      <c r="J43" s="558"/>
      <c r="K43" s="764" t="s">
        <v>57</v>
      </c>
      <c r="L43" s="764"/>
      <c r="M43" s="764"/>
      <c r="N43" s="764"/>
      <c r="O43" s="472">
        <f>SUM(O41:O42)</f>
        <v>1</v>
      </c>
      <c r="P43" s="472">
        <f>SUM(P41:P42)</f>
        <v>1</v>
      </c>
      <c r="Q43" s="550">
        <f>SUM(Q41:Q42)</f>
        <v>1</v>
      </c>
    </row>
  </sheetData>
  <mergeCells count="66">
    <mergeCell ref="Q39:Q40"/>
    <mergeCell ref="B41:C41"/>
    <mergeCell ref="K41:L41"/>
    <mergeCell ref="B42:E42"/>
    <mergeCell ref="K42:N42"/>
    <mergeCell ref="J39:J40"/>
    <mergeCell ref="B43:E43"/>
    <mergeCell ref="K43:N43"/>
    <mergeCell ref="P37:P38"/>
    <mergeCell ref="B39:B40"/>
    <mergeCell ref="G39:G40"/>
    <mergeCell ref="H39:H40"/>
    <mergeCell ref="K39:K40"/>
    <mergeCell ref="P39:P40"/>
    <mergeCell ref="J25:J38"/>
    <mergeCell ref="P25:P31"/>
    <mergeCell ref="Q25:Q38"/>
    <mergeCell ref="B32:B33"/>
    <mergeCell ref="G32:G33"/>
    <mergeCell ref="K32:K33"/>
    <mergeCell ref="P32:P33"/>
    <mergeCell ref="B34:B36"/>
    <mergeCell ref="G34:G36"/>
    <mergeCell ref="K34:K36"/>
    <mergeCell ref="P34:P36"/>
    <mergeCell ref="K25:K31"/>
    <mergeCell ref="K37:K38"/>
    <mergeCell ref="B25:B31"/>
    <mergeCell ref="G25:G31"/>
    <mergeCell ref="H25:H38"/>
    <mergeCell ref="B37:B38"/>
    <mergeCell ref="G37:G38"/>
    <mergeCell ref="A25:A38"/>
    <mergeCell ref="A39:A40"/>
    <mergeCell ref="A13:A14"/>
    <mergeCell ref="H13:H14"/>
    <mergeCell ref="J13:J14"/>
    <mergeCell ref="A4:A12"/>
    <mergeCell ref="J4:J12"/>
    <mergeCell ref="Q4:Q12"/>
    <mergeCell ref="Q13:Q14"/>
    <mergeCell ref="A15:A24"/>
    <mergeCell ref="H15:H24"/>
    <mergeCell ref="J15:J24"/>
    <mergeCell ref="Q15:Q24"/>
    <mergeCell ref="B17:B18"/>
    <mergeCell ref="G17:G18"/>
    <mergeCell ref="K17:K18"/>
    <mergeCell ref="P17:P18"/>
    <mergeCell ref="B20:B24"/>
    <mergeCell ref="G20:G24"/>
    <mergeCell ref="K20:K24"/>
    <mergeCell ref="P20:P24"/>
    <mergeCell ref="B6:B7"/>
    <mergeCell ref="K6:K7"/>
    <mergeCell ref="B8:B9"/>
    <mergeCell ref="K8:K9"/>
    <mergeCell ref="B10:B11"/>
    <mergeCell ref="K10:K11"/>
    <mergeCell ref="H4:H12"/>
    <mergeCell ref="L2:L3"/>
    <mergeCell ref="A2:A3"/>
    <mergeCell ref="B2:B3"/>
    <mergeCell ref="C2:C3"/>
    <mergeCell ref="J2:J3"/>
    <mergeCell ref="K2:K3"/>
  </mergeCells>
  <conditionalFormatting sqref="D4:D40">
    <cfRule type="cellIs" dxfId="5" priority="5" operator="between">
      <formula>180</formula>
      <formula>360</formula>
    </cfRule>
    <cfRule type="cellIs" dxfId="4" priority="6" operator="greaterThan">
      <formula>360</formula>
    </cfRule>
  </conditionalFormatting>
  <conditionalFormatting sqref="M5:M40">
    <cfRule type="cellIs" dxfId="3" priority="3" operator="between">
      <formula>180</formula>
      <formula>360</formula>
    </cfRule>
    <cfRule type="cellIs" dxfId="2" priority="4" operator="greaterThan">
      <formula>360</formula>
    </cfRule>
  </conditionalFormatting>
  <conditionalFormatting sqref="M4:M40">
    <cfRule type="cellIs" dxfId="1" priority="1" operator="between">
      <formula>180</formula>
      <formula>360</formula>
    </cfRule>
    <cfRule type="cellIs" dxfId="0" priority="2" operator="greaterThan">
      <formula>360</formula>
    </cfRule>
  </conditionalFormatting>
  <pageMargins left="0.39370078740157483" right="0.31496062992125984" top="0.15748031496062992" bottom="0.15748031496062992"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1"/>
  <sheetViews>
    <sheetView zoomScale="80" zoomScaleNormal="80" workbookViewId="0">
      <selection activeCell="H24" sqref="H24"/>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7.140625" style="149" customWidth="1"/>
    <col min="14" max="15" width="9.140625" style="149"/>
    <col min="16" max="16" width="10.28515625" style="149" bestFit="1" customWidth="1"/>
    <col min="17" max="17" width="9.28515625" style="149" bestFit="1" customWidth="1"/>
    <col min="18" max="16384" width="9.140625" style="149"/>
  </cols>
  <sheetData>
    <row r="1" spans="1:23" ht="15.75">
      <c r="A1" s="148"/>
    </row>
    <row r="2" spans="1:23" ht="15.75">
      <c r="A2" s="148" t="s">
        <v>182</v>
      </c>
    </row>
    <row r="3" spans="1:23" ht="15">
      <c r="A3" s="150"/>
    </row>
    <row r="4" spans="1:23" ht="20.25">
      <c r="A4" s="151" t="s">
        <v>3</v>
      </c>
      <c r="B4" s="152"/>
      <c r="F4" s="153" t="s">
        <v>28</v>
      </c>
      <c r="G4" s="154">
        <v>30</v>
      </c>
      <c r="H4" s="154" t="str">
        <f>+'1'!H4</f>
        <v>.11.25</v>
      </c>
    </row>
    <row r="5" spans="1:23" ht="13.5" thickBot="1">
      <c r="C5" s="155"/>
      <c r="D5" s="155"/>
    </row>
    <row r="6" spans="1:2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81" t="s">
        <v>91</v>
      </c>
      <c r="O6" s="422" t="s">
        <v>189</v>
      </c>
      <c r="P6" s="422" t="s">
        <v>189</v>
      </c>
      <c r="Q6" s="422" t="s">
        <v>190</v>
      </c>
      <c r="R6" s="422" t="s">
        <v>191</v>
      </c>
      <c r="S6" s="422" t="s">
        <v>192</v>
      </c>
      <c r="T6" s="422" t="s">
        <v>187</v>
      </c>
      <c r="U6" s="423" t="s">
        <v>193</v>
      </c>
      <c r="V6" s="422" t="s">
        <v>194</v>
      </c>
      <c r="W6" s="422" t="s">
        <v>188</v>
      </c>
    </row>
    <row r="7" spans="1:23" ht="13.5" customHeight="1" thickBot="1">
      <c r="A7" s="767" t="s">
        <v>407</v>
      </c>
      <c r="B7" s="215" t="s">
        <v>530</v>
      </c>
      <c r="C7" s="216">
        <v>14066</v>
      </c>
      <c r="D7" s="217"/>
      <c r="E7" s="218"/>
      <c r="F7" s="227">
        <v>9</v>
      </c>
      <c r="G7" s="228" t="s">
        <v>11</v>
      </c>
      <c r="H7" s="229" t="s">
        <v>460</v>
      </c>
      <c r="I7" s="770" t="s">
        <v>652</v>
      </c>
      <c r="J7" s="214" t="str">
        <f>+'29'!J7</f>
        <v>F 12 VP OW</v>
      </c>
      <c r="K7" s="237"/>
      <c r="L7" s="241"/>
      <c r="M7" s="117">
        <f>+K7+'29'!M7+L7</f>
        <v>164567</v>
      </c>
      <c r="N7" s="424">
        <v>14.5</v>
      </c>
      <c r="O7" s="199">
        <v>1200</v>
      </c>
      <c r="P7" s="199">
        <v>1120</v>
      </c>
      <c r="Q7" s="199">
        <v>896</v>
      </c>
      <c r="R7" s="425">
        <f>1-(Q7/P7)</f>
        <v>0.19999999999999996</v>
      </c>
      <c r="S7" s="426">
        <v>45</v>
      </c>
      <c r="T7" s="427">
        <v>256.5</v>
      </c>
      <c r="U7" s="428">
        <f>(O7*(1-R7)*N7*T7*S7)/100000000</f>
        <v>1.606716</v>
      </c>
      <c r="V7" s="429">
        <f>+C14/1000</f>
        <v>14.066000000000001</v>
      </c>
      <c r="W7" s="430">
        <f>SUM(V7:V9)/SUM(U7:U9)</f>
        <v>0.67342330567443165</v>
      </c>
    </row>
    <row r="8" spans="1:23" ht="13.5" thickBot="1">
      <c r="A8" s="768"/>
      <c r="B8" s="215"/>
      <c r="C8" s="216"/>
      <c r="D8" s="217"/>
      <c r="E8" s="219"/>
      <c r="F8" s="230"/>
      <c r="G8" s="231" t="s">
        <v>11</v>
      </c>
      <c r="H8" s="229" t="s">
        <v>282</v>
      </c>
      <c r="I8" s="771"/>
      <c r="J8" s="214" t="str">
        <f>+'29'!J8</f>
        <v>F 13 VP OW</v>
      </c>
      <c r="K8" s="238"/>
      <c r="L8" s="238"/>
      <c r="M8" s="117">
        <f>+K8+'29'!M8+L8</f>
        <v>110088</v>
      </c>
      <c r="N8" s="424">
        <v>18</v>
      </c>
      <c r="O8" s="199">
        <v>1200</v>
      </c>
      <c r="P8" s="199">
        <v>930</v>
      </c>
      <c r="Q8" s="199">
        <v>744</v>
      </c>
      <c r="R8" s="425">
        <f>1-(Q8/P8)</f>
        <v>0.19999999999999996</v>
      </c>
      <c r="S8" s="426">
        <f>480-S7</f>
        <v>435</v>
      </c>
      <c r="T8" s="427">
        <v>256.5</v>
      </c>
      <c r="U8" s="428">
        <f>(O8*(1-R8)*N8*T8*S8)/100000000</f>
        <v>19.280591999999999</v>
      </c>
      <c r="V8" s="429"/>
      <c r="W8" s="431"/>
    </row>
    <row r="9" spans="1:23" ht="13.5" thickBot="1">
      <c r="A9" s="768"/>
      <c r="B9" s="215"/>
      <c r="C9" s="216"/>
      <c r="D9" s="217"/>
      <c r="E9" s="220"/>
      <c r="F9" s="227">
        <v>20</v>
      </c>
      <c r="G9" s="231" t="s">
        <v>11</v>
      </c>
      <c r="H9" s="232" t="s">
        <v>479</v>
      </c>
      <c r="I9" s="771"/>
      <c r="J9" s="214" t="str">
        <f>+'29'!J9</f>
        <v>F 14 VP OW</v>
      </c>
      <c r="K9" s="238">
        <f>+C34</f>
        <v>41049</v>
      </c>
      <c r="L9" s="238"/>
      <c r="M9" s="117">
        <f>+K9+'29'!M9+L9</f>
        <v>69300</v>
      </c>
      <c r="N9" s="432"/>
    </row>
    <row r="10" spans="1:23" ht="51.75" thickBot="1">
      <c r="A10" s="768"/>
      <c r="B10" s="215"/>
      <c r="C10" s="216"/>
      <c r="D10" s="217"/>
      <c r="E10" s="219"/>
      <c r="F10" s="227"/>
      <c r="G10" s="236" t="s">
        <v>12</v>
      </c>
      <c r="H10" s="232" t="s">
        <v>657</v>
      </c>
      <c r="I10" s="771"/>
      <c r="J10" s="214" t="str">
        <f>+'29'!J10</f>
        <v>F 11 VP OW</v>
      </c>
      <c r="K10" s="238"/>
      <c r="L10" s="238"/>
      <c r="M10" s="117">
        <f>+K10+'29'!M10+L10</f>
        <v>33513</v>
      </c>
      <c r="N10" s="432"/>
    </row>
    <row r="11" spans="1:23" ht="13.5" thickBot="1">
      <c r="A11" s="768"/>
      <c r="B11" s="215"/>
      <c r="C11" s="216"/>
      <c r="D11" s="217"/>
      <c r="E11" s="219"/>
      <c r="F11" s="227"/>
      <c r="G11" s="231"/>
      <c r="H11" s="232"/>
      <c r="I11" s="771"/>
      <c r="J11" s="214" t="str">
        <f>+'29'!J11</f>
        <v>T 14 VP OW</v>
      </c>
      <c r="K11" s="238"/>
      <c r="L11" s="238"/>
      <c r="M11" s="117">
        <f>+K11+'29'!M11+L11</f>
        <v>54160</v>
      </c>
      <c r="N11" s="432"/>
    </row>
    <row r="12" spans="1:23" ht="13.5" thickBot="1">
      <c r="A12" s="768"/>
      <c r="B12" s="215"/>
      <c r="C12" s="216"/>
      <c r="D12" s="217"/>
      <c r="E12" s="219"/>
      <c r="F12" s="227"/>
      <c r="G12" s="231"/>
      <c r="H12" s="232"/>
      <c r="I12" s="771"/>
      <c r="J12" s="214" t="str">
        <f>+'29'!J12</f>
        <v>T 15 VP OW</v>
      </c>
      <c r="K12" s="238"/>
      <c r="L12" s="238"/>
      <c r="M12" s="117">
        <f>+K12+'29'!M12+L12</f>
        <v>68599</v>
      </c>
      <c r="N12" s="432"/>
    </row>
    <row r="13" spans="1:23" ht="13.5" thickBot="1">
      <c r="A13" s="768"/>
      <c r="B13" s="215"/>
      <c r="C13" s="216"/>
      <c r="D13" s="216"/>
      <c r="E13" s="219"/>
      <c r="F13" s="227"/>
      <c r="G13" s="231"/>
      <c r="H13" s="232"/>
      <c r="I13" s="772"/>
      <c r="J13" s="214">
        <f>+'29'!J13</f>
        <v>0</v>
      </c>
      <c r="K13" s="238"/>
      <c r="L13" s="238"/>
      <c r="M13" s="117">
        <f>+K13+'29'!M13+L13</f>
        <v>0</v>
      </c>
      <c r="N13" s="433"/>
      <c r="O13" s="434"/>
      <c r="P13" s="434"/>
      <c r="Q13" s="434"/>
      <c r="R13" s="434"/>
      <c r="S13" s="434"/>
      <c r="T13" s="434"/>
      <c r="U13" s="434"/>
      <c r="V13" s="434"/>
      <c r="W13" s="434"/>
    </row>
    <row r="14" spans="1:23" ht="13.5" thickBot="1">
      <c r="A14" s="769"/>
      <c r="B14" s="165" t="s">
        <v>2</v>
      </c>
      <c r="C14" s="99">
        <f>SUM(C7:C13)</f>
        <v>14066</v>
      </c>
      <c r="D14" s="111">
        <f>SUM(D7:D13)</f>
        <v>0</v>
      </c>
      <c r="E14" s="112">
        <f>SUM(E5:E13)</f>
        <v>0</v>
      </c>
      <c r="F14" s="116">
        <f>SUM(F7:F13)</f>
        <v>29</v>
      </c>
      <c r="G14" s="159"/>
      <c r="H14" s="166"/>
      <c r="I14" s="167"/>
      <c r="J14" s="214">
        <f>+'29'!J14</f>
        <v>0</v>
      </c>
      <c r="K14" s="238"/>
      <c r="L14" s="238"/>
      <c r="M14" s="117">
        <f>+K14+'29'!M14+L14</f>
        <v>0</v>
      </c>
    </row>
    <row r="15" spans="1:23" ht="13.5" customHeight="1" thickBot="1">
      <c r="A15" s="767" t="s">
        <v>389</v>
      </c>
      <c r="B15" s="165"/>
      <c r="C15" s="113">
        <f>C14/($C$23+$D$23+$E$23)</f>
        <v>1.0712871287128714</v>
      </c>
      <c r="D15" s="114">
        <f>D14/($C$23+$D$23+$E$23)</f>
        <v>0</v>
      </c>
      <c r="E15" s="115">
        <f>E14/($C$23+$D$23+$E$23)</f>
        <v>0</v>
      </c>
      <c r="F15" s="227"/>
      <c r="G15" s="228" t="s">
        <v>11</v>
      </c>
      <c r="H15" s="229" t="s">
        <v>384</v>
      </c>
      <c r="I15" s="770" t="s">
        <v>652</v>
      </c>
      <c r="J15" s="214">
        <f>+'29'!J15</f>
        <v>0</v>
      </c>
      <c r="K15" s="238"/>
      <c r="L15" s="238"/>
      <c r="M15" s="117">
        <f>+K15+'29'!M15+L15</f>
        <v>0</v>
      </c>
      <c r="N15" s="424">
        <v>18</v>
      </c>
      <c r="O15" s="199">
        <v>1200</v>
      </c>
      <c r="P15" s="199">
        <v>850</v>
      </c>
      <c r="Q15" s="199">
        <v>680</v>
      </c>
      <c r="R15" s="425">
        <f>1-(Q15/P15)</f>
        <v>0.19999999999999996</v>
      </c>
      <c r="S15" s="426">
        <v>480</v>
      </c>
      <c r="T15" s="427">
        <v>256.5</v>
      </c>
      <c r="U15" s="428">
        <f>(O15*(1-R15)*N15*T15*S15)/100000000</f>
        <v>21.275136</v>
      </c>
      <c r="V15" s="429">
        <f>+C23/1000</f>
        <v>13.13</v>
      </c>
      <c r="W15" s="430">
        <f>SUM(V15:V17)/SUM(U15:U17)</f>
        <v>0.6171523415878517</v>
      </c>
    </row>
    <row r="16" spans="1:23" ht="13.5" thickBot="1">
      <c r="A16" s="773"/>
      <c r="B16" s="215" t="s">
        <v>530</v>
      </c>
      <c r="C16" s="221">
        <v>13130</v>
      </c>
      <c r="D16" s="222"/>
      <c r="E16" s="223"/>
      <c r="F16" s="227">
        <v>8</v>
      </c>
      <c r="G16" s="231" t="s">
        <v>11</v>
      </c>
      <c r="H16" s="229" t="s">
        <v>457</v>
      </c>
      <c r="I16" s="771"/>
      <c r="J16" s="214">
        <f>+'29'!J16</f>
        <v>0</v>
      </c>
      <c r="K16" s="228"/>
      <c r="L16" s="228"/>
      <c r="M16" s="117">
        <f>+K16+'29'!M16+L16</f>
        <v>0</v>
      </c>
      <c r="N16" s="435"/>
      <c r="O16" s="199"/>
      <c r="P16" s="199"/>
      <c r="Q16" s="436"/>
      <c r="R16" s="425"/>
      <c r="S16" s="199"/>
      <c r="T16" s="427"/>
      <c r="U16" s="428"/>
      <c r="V16" s="429"/>
      <c r="W16" s="431"/>
    </row>
    <row r="17" spans="1:23" ht="13.5" thickBot="1">
      <c r="A17" s="773"/>
      <c r="B17" s="215"/>
      <c r="C17" s="216"/>
      <c r="D17" s="217"/>
      <c r="E17" s="224"/>
      <c r="F17" s="227">
        <v>10</v>
      </c>
      <c r="G17" s="231" t="s">
        <v>11</v>
      </c>
      <c r="H17" s="232" t="s">
        <v>493</v>
      </c>
      <c r="I17" s="771"/>
      <c r="J17" s="214">
        <f>+'29'!J17</f>
        <v>0</v>
      </c>
      <c r="K17" s="228"/>
      <c r="L17" s="228"/>
      <c r="M17" s="117">
        <f>+K17+'29'!M17+L17</f>
        <v>0</v>
      </c>
      <c r="N17" s="432"/>
      <c r="O17" s="199"/>
      <c r="R17" s="425"/>
      <c r="T17" s="427"/>
      <c r="U17" s="428"/>
    </row>
    <row r="18" spans="1:23" ht="26.25" thickBot="1">
      <c r="A18" s="773"/>
      <c r="B18" s="215"/>
      <c r="C18" s="216"/>
      <c r="D18" s="217"/>
      <c r="E18" s="224"/>
      <c r="F18" s="227"/>
      <c r="G18" s="236" t="s">
        <v>12</v>
      </c>
      <c r="H18" s="232" t="s">
        <v>656</v>
      </c>
      <c r="I18" s="771"/>
      <c r="J18" s="214">
        <f>+'29'!J18</f>
        <v>0</v>
      </c>
      <c r="K18" s="238"/>
      <c r="L18" s="238"/>
      <c r="M18" s="117">
        <f>+K18+'29'!M18+L18</f>
        <v>0</v>
      </c>
      <c r="N18" s="432"/>
    </row>
    <row r="19" spans="1:23" ht="13.5" thickBot="1">
      <c r="A19" s="773"/>
      <c r="B19" s="215"/>
      <c r="C19" s="216"/>
      <c r="D19" s="217"/>
      <c r="E19" s="224"/>
      <c r="F19" s="234"/>
      <c r="G19" s="231"/>
      <c r="H19" s="232"/>
      <c r="I19" s="771"/>
      <c r="J19" s="214">
        <f>+'29'!J19</f>
        <v>0</v>
      </c>
      <c r="K19" s="238"/>
      <c r="L19" s="238"/>
      <c r="M19" s="117">
        <f>+K19+'29'!M19+L19</f>
        <v>0</v>
      </c>
      <c r="N19" s="432"/>
    </row>
    <row r="20" spans="1:23" ht="13.5" thickBot="1">
      <c r="A20" s="773"/>
      <c r="B20" s="215"/>
      <c r="C20" s="216"/>
      <c r="D20" s="217"/>
      <c r="E20" s="224"/>
      <c r="F20" s="227"/>
      <c r="G20" s="231"/>
      <c r="H20" s="232"/>
      <c r="I20" s="771"/>
      <c r="J20" s="214">
        <f>+'29'!J20</f>
        <v>0</v>
      </c>
      <c r="K20" s="239"/>
      <c r="L20" s="239"/>
      <c r="M20" s="117">
        <f>+K20+'29'!M20+L20</f>
        <v>0</v>
      </c>
      <c r="N20" s="432"/>
    </row>
    <row r="21" spans="1:23" ht="13.5" thickBot="1">
      <c r="A21" s="773"/>
      <c r="B21" s="215"/>
      <c r="C21" s="216"/>
      <c r="D21" s="217"/>
      <c r="E21" s="224"/>
      <c r="F21" s="230"/>
      <c r="G21" s="231"/>
      <c r="H21" s="232"/>
      <c r="I21" s="771"/>
      <c r="J21" s="214">
        <f>+'29'!J21</f>
        <v>0</v>
      </c>
      <c r="K21" s="238"/>
      <c r="L21" s="238"/>
      <c r="M21" s="117">
        <f>+K21+'29'!M21+L21</f>
        <v>0</v>
      </c>
      <c r="N21" s="433"/>
      <c r="O21" s="434"/>
      <c r="P21" s="434"/>
      <c r="Q21" s="434"/>
      <c r="R21" s="434"/>
      <c r="S21" s="434"/>
      <c r="T21" s="434"/>
      <c r="U21" s="434"/>
      <c r="V21" s="434"/>
      <c r="W21" s="434"/>
    </row>
    <row r="22" spans="1:23" ht="13.5" thickBot="1">
      <c r="A22" s="773"/>
      <c r="B22" s="215"/>
      <c r="C22" s="216"/>
      <c r="D22" s="217"/>
      <c r="E22" s="224"/>
      <c r="F22" s="235"/>
      <c r="G22" s="231"/>
      <c r="H22" s="232"/>
      <c r="I22" s="772"/>
      <c r="J22" s="214">
        <f>+'29'!J22</f>
        <v>0</v>
      </c>
      <c r="K22" s="238"/>
      <c r="L22" s="238"/>
      <c r="M22" s="117">
        <f>+K22+'29'!M22+L22</f>
        <v>0</v>
      </c>
    </row>
    <row r="23" spans="1:23" ht="13.5" thickBot="1">
      <c r="A23" s="774"/>
      <c r="B23" s="168" t="s">
        <v>2</v>
      </c>
      <c r="C23" s="100">
        <f>SUM(C16:C22)</f>
        <v>13130</v>
      </c>
      <c r="D23" s="111">
        <f>SUM(D16:D22)</f>
        <v>0</v>
      </c>
      <c r="E23" s="112">
        <f>SUM(E18:E22)</f>
        <v>0</v>
      </c>
      <c r="F23" s="116">
        <f>SUM(F15:F22)</f>
        <v>18</v>
      </c>
      <c r="G23" s="159"/>
      <c r="H23" s="166"/>
      <c r="I23" s="169"/>
      <c r="J23" s="214">
        <f>+'29'!J23</f>
        <v>0</v>
      </c>
      <c r="K23" s="238"/>
      <c r="L23" s="238"/>
      <c r="M23" s="117">
        <f>+K23+'29'!M23+L23</f>
        <v>0</v>
      </c>
      <c r="N23" s="437"/>
      <c r="O23" s="438"/>
      <c r="P23" s="438"/>
      <c r="Q23" s="438"/>
      <c r="R23" s="438"/>
      <c r="S23" s="438"/>
      <c r="T23" s="438"/>
      <c r="U23" s="438"/>
      <c r="V23" s="438"/>
      <c r="W23" s="438"/>
    </row>
    <row r="24" spans="1:23" ht="13.5" customHeight="1" thickBot="1">
      <c r="A24" s="767" t="s">
        <v>410</v>
      </c>
      <c r="B24" s="170"/>
      <c r="C24" s="113">
        <f>C23/($C$23+$D$23+$E$23)</f>
        <v>1</v>
      </c>
      <c r="D24" s="114">
        <f>D23/($C$23+$D$23+$E$23)</f>
        <v>0</v>
      </c>
      <c r="E24" s="115">
        <f>E23/($C$23+$D$23+$E$23)</f>
        <v>0</v>
      </c>
      <c r="F24" s="235"/>
      <c r="G24" s="228" t="s">
        <v>11</v>
      </c>
      <c r="H24" s="229" t="s">
        <v>384</v>
      </c>
      <c r="I24" s="770" t="s">
        <v>652</v>
      </c>
      <c r="J24" s="214">
        <f>+'29'!J24</f>
        <v>0</v>
      </c>
      <c r="K24" s="238"/>
      <c r="L24" s="238"/>
      <c r="M24" s="117">
        <f>+K24+'29'!M24+L24</f>
        <v>0</v>
      </c>
      <c r="N24" s="424">
        <v>18</v>
      </c>
      <c r="O24" s="199">
        <v>1200</v>
      </c>
      <c r="P24" s="199">
        <v>770</v>
      </c>
      <c r="Q24" s="199">
        <v>616</v>
      </c>
      <c r="R24" s="425">
        <f>1-(Q24/P24)</f>
        <v>0.19999999999999996</v>
      </c>
      <c r="S24" s="426">
        <v>480</v>
      </c>
      <c r="T24" s="427">
        <v>256.5</v>
      </c>
      <c r="U24" s="428">
        <f>(O24*(1-R24)*N24*T24*S24)/100000000</f>
        <v>21.275136</v>
      </c>
      <c r="V24" s="429">
        <f>+C32/1000</f>
        <v>13.853</v>
      </c>
      <c r="W24" s="430">
        <f>SUM(V24:V25)/SUM(U24:U25)</f>
        <v>0.65113567311626119</v>
      </c>
    </row>
    <row r="25" spans="1:23" ht="13.5" thickBot="1">
      <c r="A25" s="773"/>
      <c r="B25" s="215" t="s">
        <v>530</v>
      </c>
      <c r="C25" s="225">
        <v>13853</v>
      </c>
      <c r="D25" s="217"/>
      <c r="E25" s="224"/>
      <c r="F25" s="230">
        <v>5</v>
      </c>
      <c r="G25" s="231" t="s">
        <v>11</v>
      </c>
      <c r="H25" s="229" t="s">
        <v>457</v>
      </c>
      <c r="I25" s="771"/>
      <c r="J25" s="214">
        <f>+'29'!J25</f>
        <v>0</v>
      </c>
      <c r="K25" s="238"/>
      <c r="L25" s="238"/>
      <c r="M25" s="117">
        <f>+K25+'29'!M25+L25</f>
        <v>0</v>
      </c>
      <c r="N25" s="424"/>
      <c r="O25" s="199"/>
      <c r="P25" s="199"/>
      <c r="Q25" s="199"/>
      <c r="R25" s="425"/>
      <c r="S25" s="426"/>
      <c r="T25" s="427"/>
      <c r="U25" s="428"/>
      <c r="V25" s="429"/>
      <c r="W25" s="430"/>
    </row>
    <row r="26" spans="1:23" ht="13.5" thickBot="1">
      <c r="A26" s="773"/>
      <c r="B26" s="215"/>
      <c r="C26" s="225"/>
      <c r="D26" s="217"/>
      <c r="E26" s="226"/>
      <c r="F26" s="230">
        <v>14</v>
      </c>
      <c r="G26" s="231" t="s">
        <v>11</v>
      </c>
      <c r="H26" s="232" t="s">
        <v>494</v>
      </c>
      <c r="I26" s="771"/>
      <c r="J26" s="214">
        <f>+'29'!J26</f>
        <v>0</v>
      </c>
      <c r="K26" s="238"/>
      <c r="L26" s="238"/>
      <c r="M26" s="117">
        <f>+K26+'29'!M26+L26</f>
        <v>0</v>
      </c>
    </row>
    <row r="27" spans="1:23" ht="39" thickBot="1">
      <c r="A27" s="773"/>
      <c r="B27" s="215"/>
      <c r="C27" s="216"/>
      <c r="D27" s="217"/>
      <c r="E27" s="224"/>
      <c r="F27" s="230"/>
      <c r="G27" s="236" t="s">
        <v>12</v>
      </c>
      <c r="H27" s="232" t="s">
        <v>655</v>
      </c>
      <c r="I27" s="771"/>
      <c r="J27" s="214">
        <f>+'29'!J27</f>
        <v>0</v>
      </c>
      <c r="K27" s="238"/>
      <c r="L27" s="238"/>
      <c r="M27" s="117">
        <f>+K27+'29'!M27+L27</f>
        <v>0</v>
      </c>
    </row>
    <row r="28" spans="1:23" ht="13.5" thickBot="1">
      <c r="A28" s="773"/>
      <c r="B28" s="215"/>
      <c r="C28" s="216"/>
      <c r="D28" s="217"/>
      <c r="E28" s="224"/>
      <c r="F28" s="230"/>
      <c r="G28" s="231"/>
      <c r="H28" s="232"/>
      <c r="I28" s="771"/>
      <c r="J28" s="214">
        <f>+'29'!J28</f>
        <v>0</v>
      </c>
      <c r="K28" s="238"/>
      <c r="L28" s="238"/>
      <c r="M28" s="117">
        <f>+K28+'29'!M28+L28</f>
        <v>0</v>
      </c>
    </row>
    <row r="29" spans="1:23" ht="13.5" thickBot="1">
      <c r="A29" s="773"/>
      <c r="B29" s="215"/>
      <c r="C29" s="216"/>
      <c r="D29" s="217"/>
      <c r="E29" s="224"/>
      <c r="F29" s="235"/>
      <c r="G29" s="231"/>
      <c r="H29" s="232"/>
      <c r="I29" s="771"/>
      <c r="J29" s="214">
        <f>+'29'!J29</f>
        <v>0</v>
      </c>
      <c r="K29" s="238"/>
      <c r="L29" s="238"/>
      <c r="M29" s="117">
        <f>+K29+'29'!M29+L29</f>
        <v>0</v>
      </c>
    </row>
    <row r="30" spans="1:23" ht="13.5" thickBot="1">
      <c r="A30" s="773"/>
      <c r="B30" s="215"/>
      <c r="C30" s="225"/>
      <c r="D30" s="217"/>
      <c r="E30" s="224"/>
      <c r="F30" s="235"/>
      <c r="G30" s="231"/>
      <c r="H30" s="232"/>
      <c r="I30" s="771"/>
      <c r="J30" s="214">
        <f>+'29'!J30</f>
        <v>0</v>
      </c>
      <c r="K30" s="238"/>
      <c r="L30" s="238"/>
      <c r="M30" s="117">
        <f>+K30+'29'!M30+L30</f>
        <v>0</v>
      </c>
      <c r="N30" s="155"/>
    </row>
    <row r="31" spans="1:23" ht="13.5" thickBot="1">
      <c r="A31" s="773"/>
      <c r="B31" s="215"/>
      <c r="C31" s="225"/>
      <c r="D31" s="217"/>
      <c r="E31" s="224"/>
      <c r="F31" s="235"/>
      <c r="G31" s="236"/>
      <c r="H31" s="233"/>
      <c r="I31" s="772"/>
      <c r="J31" s="214">
        <f>+'29'!J31</f>
        <v>0</v>
      </c>
      <c r="K31" s="238"/>
      <c r="L31" s="238"/>
      <c r="M31" s="117">
        <f>+K31+'29'!M31+L31</f>
        <v>0</v>
      </c>
    </row>
    <row r="32" spans="1:23" ht="13.5" thickBot="1">
      <c r="A32" s="774"/>
      <c r="B32" s="165" t="s">
        <v>2</v>
      </c>
      <c r="C32" s="99">
        <f>SUM(C25:C31)</f>
        <v>13853</v>
      </c>
      <c r="D32" s="100">
        <f>SUM(D25:D31)</f>
        <v>0</v>
      </c>
      <c r="E32" s="101">
        <f>SUM(E25:E31)</f>
        <v>0</v>
      </c>
      <c r="F32" s="102">
        <f>SUM(F24:F31)</f>
        <v>19</v>
      </c>
      <c r="G32" s="171"/>
      <c r="H32" s="172"/>
      <c r="I32" s="169"/>
      <c r="J32" s="214">
        <f>+'29'!J32</f>
        <v>0</v>
      </c>
      <c r="K32" s="240"/>
      <c r="L32" s="242"/>
      <c r="M32" s="117">
        <f>+K32+'29'!M32+L32</f>
        <v>0</v>
      </c>
    </row>
    <row r="33" spans="1:14" ht="13.5" thickBot="1">
      <c r="A33" s="173"/>
      <c r="B33" s="174"/>
      <c r="C33" s="103">
        <f>C32/($C$32+$D$32+$E$32)</f>
        <v>1</v>
      </c>
      <c r="D33" s="104">
        <f>D32/($C$32+$D$32+$E$32)</f>
        <v>0</v>
      </c>
      <c r="E33" s="105">
        <f>E32/($C$32+$D$32+$E$32)</f>
        <v>0</v>
      </c>
      <c r="F33" s="106"/>
      <c r="G33" s="175"/>
      <c r="H33" s="176"/>
      <c r="I33" s="177"/>
      <c r="J33" s="121"/>
      <c r="K33" s="122"/>
      <c r="L33" s="213"/>
      <c r="M33" s="119"/>
    </row>
    <row r="34" spans="1:14" ht="13.5" thickBot="1">
      <c r="A34" s="775" t="s">
        <v>57</v>
      </c>
      <c r="B34" s="776"/>
      <c r="C34" s="107">
        <f>C14+C23+C32</f>
        <v>41049</v>
      </c>
      <c r="D34" s="107">
        <f>D14+D23+D32</f>
        <v>0</v>
      </c>
      <c r="E34" s="107">
        <f>E14+E23+E32</f>
        <v>0</v>
      </c>
      <c r="F34" s="108">
        <f>F14+F23+F32</f>
        <v>66</v>
      </c>
      <c r="H34" s="178"/>
      <c r="I34" s="178"/>
      <c r="J34" s="123" t="s">
        <v>27</v>
      </c>
      <c r="K34" s="124">
        <f>SUM(K7:K32)</f>
        <v>41049</v>
      </c>
      <c r="L34" s="212">
        <f>SUM(L7:L32)</f>
        <v>0</v>
      </c>
      <c r="M34" s="120">
        <f>SUM(M7:M32)</f>
        <v>500227</v>
      </c>
      <c r="N34" s="155"/>
    </row>
    <row r="35" spans="1:14" ht="13.5" thickBot="1">
      <c r="A35" s="179"/>
      <c r="B35" s="180"/>
      <c r="C35" s="104">
        <f>C34/($C$34+$D$34+$E$34)</f>
        <v>1</v>
      </c>
      <c r="D35" s="104">
        <f>D34/($C$34+$D$34+$E$34)</f>
        <v>0</v>
      </c>
      <c r="E35" s="109">
        <f>E34/($C$34+$D$34+$E$34)</f>
        <v>0</v>
      </c>
      <c r="K35" s="155"/>
    </row>
    <row r="36" spans="1:14" ht="13.5" thickBot="1">
      <c r="A36" s="178"/>
      <c r="B36" s="178"/>
      <c r="C36" s="155"/>
      <c r="D36" s="155"/>
      <c r="E36" s="155"/>
      <c r="G36" s="155"/>
      <c r="H36" s="181"/>
      <c r="I36" s="162" t="s">
        <v>36</v>
      </c>
      <c r="J36" s="162" t="s">
        <v>37</v>
      </c>
      <c r="K36" s="182"/>
    </row>
    <row r="37" spans="1:14" ht="17.45" customHeight="1" thickBot="1">
      <c r="A37" s="777" t="s">
        <v>58</v>
      </c>
      <c r="B37" s="778"/>
      <c r="C37" s="162" t="s">
        <v>59</v>
      </c>
      <c r="D37" s="183" t="s">
        <v>60</v>
      </c>
      <c r="E37" s="184" t="s">
        <v>61</v>
      </c>
      <c r="F37" s="321"/>
      <c r="G37" s="323"/>
      <c r="H37" s="186" t="s">
        <v>62</v>
      </c>
      <c r="I37" s="243">
        <f>(14*1440)/1440*G42*2.74*1440/1000000</f>
        <v>47.018926080000014</v>
      </c>
      <c r="J37" s="125">
        <f>+I37+'29'!J37</f>
        <v>601.83737940361618</v>
      </c>
      <c r="K37" s="126" t="s">
        <v>63</v>
      </c>
    </row>
    <row r="38" spans="1:14" ht="17.45" customHeight="1">
      <c r="A38" s="779" t="s">
        <v>11</v>
      </c>
      <c r="B38" s="780"/>
      <c r="C38" s="164">
        <f>SUMIF($G$7:$G$31,"Process",$F$7:$F$31)</f>
        <v>66</v>
      </c>
      <c r="D38" s="118">
        <f>+C38+'29'!D38</f>
        <v>1008</v>
      </c>
      <c r="E38" s="143">
        <f t="shared" ref="E38:E51" si="0">D38/60</f>
        <v>16.8</v>
      </c>
      <c r="F38" s="321">
        <v>1120</v>
      </c>
      <c r="G38" s="321">
        <v>851.2</v>
      </c>
      <c r="H38" s="187" t="s">
        <v>64</v>
      </c>
      <c r="I38" s="244">
        <f>12.886+15.252+14.513</f>
        <v>42.650999999999996</v>
      </c>
      <c r="J38" s="127">
        <f>+I38+'29'!J38</f>
        <v>532.99699999999996</v>
      </c>
      <c r="K38" s="128" t="s">
        <v>63</v>
      </c>
    </row>
    <row r="39" spans="1:14" ht="17.45" customHeight="1">
      <c r="A39" s="781" t="s">
        <v>12</v>
      </c>
      <c r="B39" s="782"/>
      <c r="C39" s="164">
        <f>SUMIF($G$7:$G$31,"Cleaning",$F$7:$F$31)</f>
        <v>0</v>
      </c>
      <c r="D39" s="118">
        <f>+C39+'29'!D39</f>
        <v>0</v>
      </c>
      <c r="E39" s="143">
        <f t="shared" si="0"/>
        <v>0</v>
      </c>
      <c r="F39" s="321">
        <v>1120</v>
      </c>
      <c r="G39" s="321">
        <v>851.2</v>
      </c>
      <c r="H39" s="187" t="s">
        <v>65</v>
      </c>
      <c r="I39" s="142"/>
      <c r="J39" s="129">
        <f>J37/G4</f>
        <v>20.061245980120539</v>
      </c>
      <c r="K39" s="130" t="s">
        <v>63</v>
      </c>
    </row>
    <row r="40" spans="1:14" ht="17.45" customHeight="1">
      <c r="A40" s="781" t="s">
        <v>66</v>
      </c>
      <c r="B40" s="782"/>
      <c r="C40" s="164">
        <f>SUMIF($G$7:$G$31,"Mechanical",$F$7:$F$31)</f>
        <v>0</v>
      </c>
      <c r="D40" s="118">
        <f>+C40+'29'!D40</f>
        <v>0</v>
      </c>
      <c r="E40" s="143">
        <f t="shared" si="0"/>
        <v>0</v>
      </c>
      <c r="F40" s="321">
        <v>1120</v>
      </c>
      <c r="G40" s="321">
        <v>851.2</v>
      </c>
      <c r="H40" s="187" t="s">
        <v>67</v>
      </c>
      <c r="I40" s="118">
        <f>(K34+L34)/1000</f>
        <v>41.048999999999999</v>
      </c>
      <c r="J40" s="131">
        <f>+I40+'29'!J40</f>
        <v>500.22699999999998</v>
      </c>
      <c r="K40" s="130" t="s">
        <v>63</v>
      </c>
    </row>
    <row r="41" spans="1:14" ht="17.45" customHeight="1">
      <c r="A41" s="781" t="s">
        <v>68</v>
      </c>
      <c r="B41" s="782"/>
      <c r="C41" s="164">
        <f>SUMIF($G$7:$G$31,"Electrical",$F$7:$F$31)</f>
        <v>0</v>
      </c>
      <c r="D41" s="118">
        <f>+C41+'29'!D41</f>
        <v>175</v>
      </c>
      <c r="E41" s="143">
        <f t="shared" si="0"/>
        <v>2.9166666666666665</v>
      </c>
      <c r="F41" s="321"/>
      <c r="G41" s="321"/>
      <c r="H41" s="187" t="s">
        <v>69</v>
      </c>
      <c r="I41" s="142"/>
      <c r="J41" s="129">
        <f>J40/G4</f>
        <v>16.674233333333333</v>
      </c>
      <c r="K41" s="130" t="s">
        <v>63</v>
      </c>
    </row>
    <row r="42" spans="1:14" ht="17.45" customHeight="1">
      <c r="A42" s="781" t="s">
        <v>15</v>
      </c>
      <c r="B42" s="782"/>
      <c r="C42" s="164">
        <f>SUMIF($G$7:$G$31,"Instrument",$F$7:$F$31)</f>
        <v>0</v>
      </c>
      <c r="D42" s="118">
        <f>+C42+'29'!D42</f>
        <v>0</v>
      </c>
      <c r="E42" s="143">
        <f t="shared" si="0"/>
        <v>0</v>
      </c>
      <c r="F42" s="321">
        <f>+(F38*480+F39*480+F40*480)/1440</f>
        <v>1120</v>
      </c>
      <c r="G42" s="321">
        <f>+(G38*480+G39*480+G40*480)/1440</f>
        <v>851.2</v>
      </c>
      <c r="H42" s="187" t="s">
        <v>70</v>
      </c>
      <c r="I42" s="245" t="s">
        <v>652</v>
      </c>
      <c r="J42" s="132"/>
      <c r="K42" s="130" t="s">
        <v>71</v>
      </c>
    </row>
    <row r="43" spans="1:14" ht="17.45" customHeight="1">
      <c r="A43" s="781" t="s">
        <v>72</v>
      </c>
      <c r="B43" s="782"/>
      <c r="C43" s="164">
        <f>SUMIF($G$7:$G$31,"Water",$F$7:$F$31)</f>
        <v>0</v>
      </c>
      <c r="D43" s="118">
        <f>+C43+'29'!D43</f>
        <v>0</v>
      </c>
      <c r="E43" s="143">
        <f t="shared" si="0"/>
        <v>0</v>
      </c>
      <c r="F43" s="321"/>
      <c r="G43" s="322"/>
      <c r="H43" s="188" t="s">
        <v>73</v>
      </c>
      <c r="I43" s="118">
        <f>+Report1!Z38</f>
        <v>52.1</v>
      </c>
      <c r="J43" s="133">
        <f>+I43+'29'!J43</f>
        <v>1095.2999999999997</v>
      </c>
      <c r="K43" s="130" t="s">
        <v>63</v>
      </c>
      <c r="L43" s="189"/>
    </row>
    <row r="44" spans="1:14" ht="17.45" customHeight="1">
      <c r="A44" s="781" t="s">
        <v>16</v>
      </c>
      <c r="B44" s="782"/>
      <c r="C44" s="164">
        <f>SUMIF($G$7:$G$31,"PLN",$F$7:$F$31)</f>
        <v>0</v>
      </c>
      <c r="D44" s="118">
        <f>+C44+'29'!D44</f>
        <v>0</v>
      </c>
      <c r="E44" s="143">
        <f t="shared" si="0"/>
        <v>0</v>
      </c>
      <c r="F44" s="321"/>
      <c r="G44" s="322"/>
      <c r="H44" s="188" t="s">
        <v>74</v>
      </c>
      <c r="I44" s="118">
        <f>I43/I38</f>
        <v>1.2215422850577948</v>
      </c>
      <c r="J44" s="134">
        <f>J43/J38</f>
        <v>2.0549834239217102</v>
      </c>
      <c r="K44" s="130" t="s">
        <v>63</v>
      </c>
    </row>
    <row r="45" spans="1:14" ht="17.45" customHeight="1">
      <c r="A45" s="781" t="s">
        <v>17</v>
      </c>
      <c r="B45" s="782"/>
      <c r="C45" s="164">
        <f>SUMIF($G$7:$G$31,"Boiler",$F$7:$F$31)</f>
        <v>0</v>
      </c>
      <c r="D45" s="118">
        <f>+C45+'29'!D45</f>
        <v>0</v>
      </c>
      <c r="E45" s="143">
        <f t="shared" si="0"/>
        <v>0</v>
      </c>
      <c r="F45" s="321"/>
      <c r="G45" s="324"/>
      <c r="H45" s="188" t="s">
        <v>75</v>
      </c>
      <c r="I45" s="118">
        <f>I43/I40</f>
        <v>1.2692148408000195</v>
      </c>
      <c r="J45" s="134">
        <f>J43/J40</f>
        <v>2.1896059189128132</v>
      </c>
      <c r="K45" s="130" t="s">
        <v>63</v>
      </c>
    </row>
    <row r="46" spans="1:14" ht="17.45" customHeight="1">
      <c r="A46" s="781" t="s">
        <v>76</v>
      </c>
      <c r="B46" s="782"/>
      <c r="C46" s="164">
        <f>SUMIF($G$7:$G$31,"Gas",$F$7:$F$31)</f>
        <v>0</v>
      </c>
      <c r="D46" s="118">
        <f>+C46+'29'!D46</f>
        <v>0</v>
      </c>
      <c r="E46" s="143">
        <f t="shared" si="0"/>
        <v>0</v>
      </c>
      <c r="F46" s="321"/>
      <c r="G46" s="322"/>
      <c r="H46" s="188" t="s">
        <v>77</v>
      </c>
      <c r="I46" s="140">
        <f>+SUMIF(Listrik!P37,"&gt;0")</f>
        <v>37716.599999999271</v>
      </c>
      <c r="J46" s="135">
        <f>+I46+'29'!J46</f>
        <v>612858.1399999992</v>
      </c>
      <c r="K46" s="130" t="s">
        <v>78</v>
      </c>
    </row>
    <row r="47" spans="1:14" ht="17.45" customHeight="1">
      <c r="A47" s="781" t="s">
        <v>79</v>
      </c>
      <c r="B47" s="782"/>
      <c r="C47" s="164">
        <f>SUMIF($G$7:$G$31,"Gas",$F$7:$F$31)</f>
        <v>0</v>
      </c>
      <c r="D47" s="118">
        <f>+C47+'29'!D47</f>
        <v>0</v>
      </c>
      <c r="E47" s="143">
        <f t="shared" si="0"/>
        <v>0</v>
      </c>
      <c r="F47" s="321"/>
      <c r="G47" s="322"/>
      <c r="H47" s="188" t="s">
        <v>80</v>
      </c>
      <c r="I47" s="118">
        <f>I46/I38</f>
        <v>884.30751916717713</v>
      </c>
      <c r="J47" s="135">
        <f>J46/J38</f>
        <v>1149.8341266461148</v>
      </c>
      <c r="K47" s="130" t="s">
        <v>23</v>
      </c>
    </row>
    <row r="48" spans="1:14" ht="17.45" customHeight="1">
      <c r="A48" s="781" t="s">
        <v>13</v>
      </c>
      <c r="B48" s="782"/>
      <c r="C48" s="164">
        <f>SUMIF($G$7:$G$31,"Start Up",$F$7:$F$31)</f>
        <v>0</v>
      </c>
      <c r="D48" s="118">
        <f>+C48+'29'!D48</f>
        <v>0</v>
      </c>
      <c r="E48" s="143">
        <f t="shared" si="0"/>
        <v>0</v>
      </c>
      <c r="F48" s="321"/>
      <c r="G48" s="322"/>
      <c r="H48" s="188" t="s">
        <v>81</v>
      </c>
      <c r="I48" s="118">
        <f>I46/I40</f>
        <v>918.81897244754487</v>
      </c>
      <c r="J48" s="135">
        <f>J46/J40</f>
        <v>1225.1600573339688</v>
      </c>
      <c r="K48" s="130" t="s">
        <v>23</v>
      </c>
    </row>
    <row r="49" spans="1:23" ht="17.45" customHeight="1">
      <c r="A49" s="781" t="s">
        <v>19</v>
      </c>
      <c r="B49" s="782"/>
      <c r="C49" s="164">
        <f>SUMIF($G$7:$G$31,"Others",$F$7:$F$31)</f>
        <v>0</v>
      </c>
      <c r="D49" s="118">
        <f>+C49+'29'!D49</f>
        <v>22716</v>
      </c>
      <c r="E49" s="143">
        <f t="shared" si="0"/>
        <v>378.6</v>
      </c>
      <c r="F49" s="185"/>
      <c r="H49" s="188" t="s">
        <v>267</v>
      </c>
      <c r="I49" s="118">
        <f>+Report1!T38</f>
        <v>4677.5084311890178</v>
      </c>
      <c r="J49" s="135">
        <f>+I49+'29'!J49</f>
        <v>63809.784627154229</v>
      </c>
      <c r="K49" s="130" t="s">
        <v>82</v>
      </c>
    </row>
    <row r="50" spans="1:23" ht="17.45" customHeight="1">
      <c r="A50" s="781" t="s">
        <v>18</v>
      </c>
      <c r="B50" s="782"/>
      <c r="C50" s="164">
        <f>SUMIF($G$7:$G$31,"Steam",$F$7:$F$31)</f>
        <v>0</v>
      </c>
      <c r="D50" s="118">
        <f>+C50+'29'!D50</f>
        <v>0</v>
      </c>
      <c r="E50" s="143">
        <f t="shared" si="0"/>
        <v>0</v>
      </c>
      <c r="F50" s="185"/>
      <c r="H50" s="188" t="s">
        <v>83</v>
      </c>
      <c r="I50" s="140">
        <f>I49/I38</f>
        <v>109.66937307892003</v>
      </c>
      <c r="J50" s="133">
        <f>J49/J38</f>
        <v>119.71884387183086</v>
      </c>
      <c r="K50" s="130" t="s">
        <v>82</v>
      </c>
    </row>
    <row r="51" spans="1:23" ht="17.45" customHeight="1" thickBot="1">
      <c r="A51" s="783" t="s">
        <v>84</v>
      </c>
      <c r="B51" s="784"/>
      <c r="C51" s="164">
        <f>SUMIF($G$7:$G$31,"Planned shut",$F$7:$F$31)</f>
        <v>0</v>
      </c>
      <c r="D51" s="118">
        <f>+C51+'29'!D51</f>
        <v>0</v>
      </c>
      <c r="E51" s="143">
        <f t="shared" si="0"/>
        <v>0</v>
      </c>
      <c r="F51" s="185"/>
      <c r="H51" s="190" t="s">
        <v>85</v>
      </c>
      <c r="I51" s="141">
        <f>I49/I40</f>
        <v>113.94938807739574</v>
      </c>
      <c r="J51" s="136">
        <f>J49/J40</f>
        <v>127.56165626236535</v>
      </c>
      <c r="K51" s="137" t="s">
        <v>82</v>
      </c>
    </row>
    <row r="52" spans="1:23" ht="13.5" thickBot="1">
      <c r="A52" s="779" t="s">
        <v>27</v>
      </c>
      <c r="B52" s="780"/>
      <c r="C52" s="144">
        <f>SUM(C38:C51)</f>
        <v>66</v>
      </c>
      <c r="D52" s="144">
        <f>SUM(D38:D51)</f>
        <v>23899</v>
      </c>
      <c r="E52" s="145">
        <f>SUM(E38:E51)</f>
        <v>398.31666666666672</v>
      </c>
      <c r="F52" s="185"/>
      <c r="H52" s="191"/>
      <c r="I52" s="192"/>
      <c r="J52" s="138"/>
      <c r="K52" s="139"/>
    </row>
    <row r="53" spans="1:23" ht="13.5" thickBot="1">
      <c r="A53" s="785"/>
      <c r="B53" s="786"/>
      <c r="C53" s="146">
        <f>C52/(24*60)</f>
        <v>4.583333333333333E-2</v>
      </c>
      <c r="D53" s="146">
        <f>D52/(24*60*G4)</f>
        <v>0.55321759259259262</v>
      </c>
      <c r="E53" s="147">
        <f>E52/(G4*24)</f>
        <v>0.55321759259259262</v>
      </c>
      <c r="F53" s="185"/>
    </row>
    <row r="54" spans="1:23">
      <c r="E54" s="193"/>
      <c r="F54" s="185"/>
    </row>
    <row r="55" spans="1:23">
      <c r="E55" s="193"/>
    </row>
    <row r="56" spans="1:23">
      <c r="A56" s="194" t="s">
        <v>86</v>
      </c>
      <c r="B56" s="195"/>
      <c r="C56" s="196"/>
      <c r="D56" s="196"/>
      <c r="E56" s="196"/>
      <c r="F56" s="197"/>
      <c r="G56" s="196"/>
      <c r="H56" s="198"/>
      <c r="I56" s="199" t="s">
        <v>87</v>
      </c>
      <c r="J56" s="200">
        <f>+D34+'29'!J56</f>
        <v>7954</v>
      </c>
      <c r="K56" s="201">
        <f>J56/(J40+J56/1000)/1000</f>
        <v>1.5651903554048656E-2</v>
      </c>
    </row>
    <row r="57" spans="1:23">
      <c r="A57" s="176"/>
      <c r="I57" s="199" t="s">
        <v>88</v>
      </c>
      <c r="J57" s="200">
        <f>+E34+'29'!J57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1"/>
  <sheetViews>
    <sheetView topLeftCell="A31" zoomScale="80" zoomScaleNormal="80" workbookViewId="0">
      <selection activeCell="K9" sqref="K9"/>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5" width="9.140625" style="149" customWidth="1"/>
    <col min="16" max="16" width="10.28515625" style="149" customWidth="1"/>
    <col min="17" max="17" width="9.28515625" style="149" customWidth="1"/>
    <col min="18" max="23" width="9.140625" style="149" customWidth="1"/>
    <col min="24" max="16384" width="9.140625" style="149"/>
  </cols>
  <sheetData>
    <row r="1" spans="1:29" ht="15.75">
      <c r="A1" s="148"/>
    </row>
    <row r="2" spans="1:29" ht="15.75">
      <c r="A2" s="148" t="s">
        <v>182</v>
      </c>
    </row>
    <row r="3" spans="1:29" ht="15">
      <c r="A3" s="150"/>
    </row>
    <row r="4" spans="1:29" ht="20.25">
      <c r="A4" s="151" t="s">
        <v>3</v>
      </c>
      <c r="B4" s="152"/>
      <c r="F4" s="153" t="s">
        <v>28</v>
      </c>
      <c r="G4" s="154">
        <v>29</v>
      </c>
      <c r="H4" s="154" t="str">
        <f>+'1'!H4</f>
        <v>.11.25</v>
      </c>
    </row>
    <row r="5" spans="1:29" ht="13.5" thickBot="1">
      <c r="C5" s="155"/>
      <c r="D5" s="155"/>
    </row>
    <row r="6" spans="1:29"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81" t="s">
        <v>91</v>
      </c>
      <c r="O6" s="422" t="s">
        <v>189</v>
      </c>
      <c r="P6" s="422" t="s">
        <v>189</v>
      </c>
      <c r="Q6" s="422" t="s">
        <v>190</v>
      </c>
      <c r="R6" s="422" t="s">
        <v>191</v>
      </c>
      <c r="S6" s="422" t="s">
        <v>192</v>
      </c>
      <c r="T6" s="422" t="s">
        <v>187</v>
      </c>
      <c r="U6" s="423" t="s">
        <v>193</v>
      </c>
      <c r="V6" s="422" t="s">
        <v>194</v>
      </c>
      <c r="W6" s="422" t="s">
        <v>188</v>
      </c>
      <c r="X6" s="149" t="s">
        <v>386</v>
      </c>
      <c r="Y6" s="149">
        <v>1220</v>
      </c>
      <c r="Z6" s="149">
        <f>+Y6-Y6*0.23</f>
        <v>939.4</v>
      </c>
      <c r="AA6" s="149">
        <f>60*4+17</f>
        <v>257</v>
      </c>
      <c r="AB6" s="149">
        <f t="shared" ref="AB6:AB9" si="0">+Y6*AA6</f>
        <v>313540</v>
      </c>
      <c r="AC6" s="149">
        <f t="shared" ref="AC6:AC9" si="1">+Z6*AA6</f>
        <v>241425.8</v>
      </c>
    </row>
    <row r="7" spans="1:29" ht="13.5" customHeight="1" thickBot="1">
      <c r="A7" s="767" t="s">
        <v>407</v>
      </c>
      <c r="B7" s="215" t="s">
        <v>387</v>
      </c>
      <c r="C7" s="216">
        <v>9760</v>
      </c>
      <c r="D7" s="217"/>
      <c r="E7" s="218"/>
      <c r="F7" s="227">
        <v>9</v>
      </c>
      <c r="G7" s="228" t="s">
        <v>11</v>
      </c>
      <c r="H7" s="229" t="s">
        <v>460</v>
      </c>
      <c r="I7" s="770" t="s">
        <v>651</v>
      </c>
      <c r="J7" s="214" t="str">
        <f>+'28'!J7</f>
        <v>F 12 VP OW</v>
      </c>
      <c r="K7" s="237">
        <f>+C7</f>
        <v>9760</v>
      </c>
      <c r="L7" s="241"/>
      <c r="M7" s="117">
        <f>+K7+'28'!M7+L7</f>
        <v>164567</v>
      </c>
      <c r="N7" s="424">
        <v>14.5</v>
      </c>
      <c r="O7" s="199">
        <v>1200</v>
      </c>
      <c r="P7" s="199">
        <v>1120</v>
      </c>
      <c r="Q7" s="199">
        <v>896</v>
      </c>
      <c r="R7" s="425">
        <f>1-(Q7/P7)</f>
        <v>0.19999999999999996</v>
      </c>
      <c r="S7" s="426">
        <v>45</v>
      </c>
      <c r="T7" s="427">
        <v>256.5</v>
      </c>
      <c r="U7" s="428">
        <f>(O7*(1-R7)*N7*T7*S7)/100000000</f>
        <v>1.606716</v>
      </c>
      <c r="V7" s="429">
        <f>+C14/1000</f>
        <v>11.605</v>
      </c>
      <c r="W7" s="430">
        <f>SUM(V7:V9)/SUM(U7:U9)</f>
        <v>0.55560055896145166</v>
      </c>
      <c r="X7" s="149" t="s">
        <v>517</v>
      </c>
      <c r="Y7" s="149">
        <v>1120</v>
      </c>
      <c r="Z7" s="149">
        <f>+Y7-Y7*0.24</f>
        <v>851.2</v>
      </c>
      <c r="AA7" s="149">
        <f>480-AA6</f>
        <v>223</v>
      </c>
      <c r="AB7" s="149">
        <f t="shared" si="0"/>
        <v>249760</v>
      </c>
      <c r="AC7" s="149">
        <f t="shared" si="1"/>
        <v>189817.60000000001</v>
      </c>
    </row>
    <row r="8" spans="1:29" ht="13.5" thickBot="1">
      <c r="A8" s="768"/>
      <c r="B8" s="215" t="s">
        <v>530</v>
      </c>
      <c r="C8" s="216">
        <f>11605-C7</f>
        <v>1845</v>
      </c>
      <c r="D8" s="217"/>
      <c r="E8" s="219"/>
      <c r="F8" s="230"/>
      <c r="G8" s="231" t="s">
        <v>11</v>
      </c>
      <c r="H8" s="229" t="s">
        <v>282</v>
      </c>
      <c r="I8" s="771"/>
      <c r="J8" s="214" t="str">
        <f>+'28'!J8</f>
        <v>F 13 VP OW</v>
      </c>
      <c r="K8" s="238">
        <f>+C8+C16+C25</f>
        <v>28917</v>
      </c>
      <c r="L8" s="238"/>
      <c r="M8" s="117">
        <f>+K8+'28'!M8+L8</f>
        <v>110088</v>
      </c>
      <c r="N8" s="424">
        <v>18</v>
      </c>
      <c r="O8" s="199">
        <v>1200</v>
      </c>
      <c r="P8" s="199">
        <v>930</v>
      </c>
      <c r="Q8" s="199">
        <v>744</v>
      </c>
      <c r="R8" s="425">
        <f>1-(Q8/P8)</f>
        <v>0.19999999999999996</v>
      </c>
      <c r="S8" s="426">
        <f>480-S7</f>
        <v>435</v>
      </c>
      <c r="T8" s="427">
        <v>256.5</v>
      </c>
      <c r="U8" s="428">
        <f>(O8*(1-R8)*N8*T8*S8)/100000000</f>
        <v>19.280591999999999</v>
      </c>
      <c r="V8" s="429"/>
      <c r="W8" s="431"/>
      <c r="Z8" s="149">
        <f>+Y8-Y8*0.235</f>
        <v>0</v>
      </c>
      <c r="AB8" s="149">
        <f t="shared" si="0"/>
        <v>0</v>
      </c>
      <c r="AC8" s="149">
        <f t="shared" si="1"/>
        <v>0</v>
      </c>
    </row>
    <row r="9" spans="1:29" ht="13.5" thickBot="1">
      <c r="A9" s="768"/>
      <c r="B9" s="215"/>
      <c r="C9" s="216"/>
      <c r="D9" s="217"/>
      <c r="E9" s="220"/>
      <c r="F9" s="227">
        <f>27-9</f>
        <v>18</v>
      </c>
      <c r="G9" s="231" t="s">
        <v>11</v>
      </c>
      <c r="H9" s="232" t="s">
        <v>493</v>
      </c>
      <c r="I9" s="771"/>
      <c r="J9" s="214" t="str">
        <f>+'28'!J9</f>
        <v>F 14 VP OW</v>
      </c>
      <c r="K9" s="238"/>
      <c r="L9" s="238"/>
      <c r="M9" s="117">
        <f>+K9+'28'!M9+L9</f>
        <v>28251</v>
      </c>
      <c r="N9" s="432"/>
      <c r="Z9" s="149">
        <f>+Y9-Y9*0.23</f>
        <v>0</v>
      </c>
      <c r="AB9" s="149">
        <f t="shared" si="0"/>
        <v>0</v>
      </c>
      <c r="AC9" s="149">
        <f t="shared" si="1"/>
        <v>0</v>
      </c>
    </row>
    <row r="10" spans="1:29" ht="26.25" thickBot="1">
      <c r="A10" s="768"/>
      <c r="B10" s="215"/>
      <c r="C10" s="216"/>
      <c r="D10" s="217"/>
      <c r="E10" s="219"/>
      <c r="F10" s="227"/>
      <c r="G10" s="236" t="s">
        <v>12</v>
      </c>
      <c r="H10" s="232" t="s">
        <v>638</v>
      </c>
      <c r="I10" s="771"/>
      <c r="J10" s="214" t="str">
        <f>+'28'!J10</f>
        <v>F 11 VP OW</v>
      </c>
      <c r="K10" s="238"/>
      <c r="L10" s="238"/>
      <c r="M10" s="117">
        <f>+K10+'28'!M10+L10</f>
        <v>33513</v>
      </c>
      <c r="N10" s="432"/>
    </row>
    <row r="11" spans="1:29" ht="64.5" thickBot="1">
      <c r="A11" s="768"/>
      <c r="B11" s="215"/>
      <c r="C11" s="216"/>
      <c r="D11" s="217"/>
      <c r="E11" s="219"/>
      <c r="F11" s="227"/>
      <c r="G11" s="231"/>
      <c r="H11" s="232" t="s">
        <v>661</v>
      </c>
      <c r="I11" s="771"/>
      <c r="J11" s="214" t="str">
        <f>+'28'!J11</f>
        <v>T 14 VP OW</v>
      </c>
      <c r="K11" s="238"/>
      <c r="L11" s="238"/>
      <c r="M11" s="117">
        <f>+K11+'28'!M11+L11</f>
        <v>54160</v>
      </c>
      <c r="N11" s="432"/>
    </row>
    <row r="12" spans="1:29" ht="13.5" thickBot="1">
      <c r="A12" s="768"/>
      <c r="B12" s="215"/>
      <c r="C12" s="216"/>
      <c r="D12" s="217"/>
      <c r="E12" s="219"/>
      <c r="F12" s="227"/>
      <c r="G12" s="231"/>
      <c r="H12" s="232"/>
      <c r="I12" s="771"/>
      <c r="J12" s="214" t="str">
        <f>+'28'!J12</f>
        <v>T 15 VP OW</v>
      </c>
      <c r="K12" s="238"/>
      <c r="L12" s="238"/>
      <c r="M12" s="117">
        <f>+K12+'28'!M12+L12</f>
        <v>68599</v>
      </c>
      <c r="N12" s="432"/>
    </row>
    <row r="13" spans="1:29" ht="13.5" thickBot="1">
      <c r="A13" s="768"/>
      <c r="B13" s="215"/>
      <c r="C13" s="216"/>
      <c r="D13" s="216"/>
      <c r="E13" s="219"/>
      <c r="F13" s="227"/>
      <c r="G13" s="231"/>
      <c r="H13" s="232"/>
      <c r="I13" s="772"/>
      <c r="J13" s="214">
        <f>+'28'!J13</f>
        <v>0</v>
      </c>
      <c r="K13" s="238"/>
      <c r="L13" s="238"/>
      <c r="M13" s="117">
        <f>+K13+'28'!M13+L13</f>
        <v>0</v>
      </c>
      <c r="N13" s="433"/>
      <c r="O13" s="434"/>
      <c r="P13" s="434"/>
      <c r="Q13" s="434"/>
      <c r="R13" s="434"/>
      <c r="S13" s="434"/>
      <c r="T13" s="434"/>
      <c r="U13" s="434"/>
      <c r="V13" s="434"/>
      <c r="W13" s="434"/>
    </row>
    <row r="14" spans="1:29" ht="13.5" thickBot="1">
      <c r="A14" s="769"/>
      <c r="B14" s="165" t="s">
        <v>2</v>
      </c>
      <c r="C14" s="99">
        <f>SUM(C7:C13)</f>
        <v>11605</v>
      </c>
      <c r="D14" s="111">
        <f>SUM(D7:D13)</f>
        <v>0</v>
      </c>
      <c r="E14" s="112">
        <f>SUM(E5:E13)</f>
        <v>0</v>
      </c>
      <c r="F14" s="116">
        <f>SUM(F7:F13)</f>
        <v>27</v>
      </c>
      <c r="G14" s="159"/>
      <c r="H14" s="166"/>
      <c r="I14" s="167"/>
      <c r="J14" s="214">
        <f>+'28'!J14</f>
        <v>0</v>
      </c>
      <c r="K14" s="238"/>
      <c r="L14" s="238"/>
      <c r="M14" s="117">
        <f>+K14+'28'!M14+L14</f>
        <v>0</v>
      </c>
      <c r="AA14" s="149">
        <f>SUM(AA6:AA13)</f>
        <v>480</v>
      </c>
      <c r="AB14" s="149">
        <f>SUM(AB6:AB13)</f>
        <v>563300</v>
      </c>
      <c r="AC14" s="149">
        <f>SUM(AC6:AC13)</f>
        <v>431243.4</v>
      </c>
    </row>
    <row r="15" spans="1:29" ht="13.5" customHeight="1" thickBot="1">
      <c r="A15" s="767" t="s">
        <v>389</v>
      </c>
      <c r="B15" s="165"/>
      <c r="C15" s="113">
        <f>C14/($C$23+$D$23+$E$23)</f>
        <v>0.86391721878954808</v>
      </c>
      <c r="D15" s="114">
        <f>D14/($C$23+$D$23+$E$23)</f>
        <v>0</v>
      </c>
      <c r="E15" s="115">
        <f>E14/($C$23+$D$23+$E$23)</f>
        <v>0</v>
      </c>
      <c r="F15" s="227"/>
      <c r="G15" s="228" t="s">
        <v>11</v>
      </c>
      <c r="H15" s="229" t="s">
        <v>384</v>
      </c>
      <c r="I15" s="770" t="s">
        <v>652</v>
      </c>
      <c r="J15" s="214">
        <f>+'28'!J15</f>
        <v>0</v>
      </c>
      <c r="K15" s="238"/>
      <c r="L15" s="238"/>
      <c r="M15" s="117">
        <f>+K15+'28'!M15+L15</f>
        <v>0</v>
      </c>
      <c r="N15" s="424">
        <v>18</v>
      </c>
      <c r="O15" s="199">
        <v>1200</v>
      </c>
      <c r="P15" s="199">
        <v>850</v>
      </c>
      <c r="Q15" s="199">
        <v>680</v>
      </c>
      <c r="R15" s="425">
        <f>1-(Q15/P15)</f>
        <v>0.19999999999999996</v>
      </c>
      <c r="S15" s="426">
        <v>480</v>
      </c>
      <c r="T15" s="427">
        <v>256.5</v>
      </c>
      <c r="U15" s="428">
        <f>(O15*(1-R15)*N15*T15*S15)/100000000</f>
        <v>21.275136</v>
      </c>
      <c r="V15" s="429">
        <f>+C23/1000</f>
        <v>13.433</v>
      </c>
      <c r="W15" s="430">
        <f>SUM(V15:V17)/SUM(U15:U17)</f>
        <v>0.63139431870141749</v>
      </c>
      <c r="AA15" s="149">
        <f>480-AA14</f>
        <v>0</v>
      </c>
      <c r="AB15" s="149">
        <f>+AB14/AA14</f>
        <v>1173.5416666666667</v>
      </c>
      <c r="AC15" s="149">
        <f>+AC14/AA14</f>
        <v>898.42375000000004</v>
      </c>
    </row>
    <row r="16" spans="1:29" ht="13.5" thickBot="1">
      <c r="A16" s="773"/>
      <c r="B16" s="215" t="s">
        <v>530</v>
      </c>
      <c r="C16" s="221">
        <v>13433</v>
      </c>
      <c r="D16" s="222"/>
      <c r="E16" s="223"/>
      <c r="F16" s="230">
        <v>8</v>
      </c>
      <c r="G16" s="231" t="s">
        <v>11</v>
      </c>
      <c r="H16" s="229" t="s">
        <v>462</v>
      </c>
      <c r="I16" s="771"/>
      <c r="J16" s="214">
        <f>+'28'!J16</f>
        <v>0</v>
      </c>
      <c r="K16" s="228"/>
      <c r="L16" s="228"/>
      <c r="M16" s="117">
        <f>+K16+'28'!M16+L16</f>
        <v>0</v>
      </c>
      <c r="N16" s="435"/>
      <c r="O16" s="199"/>
      <c r="P16" s="199"/>
      <c r="Q16" s="436"/>
      <c r="R16" s="425"/>
      <c r="S16" s="199"/>
      <c r="T16" s="427"/>
      <c r="U16" s="428"/>
      <c r="V16" s="429"/>
      <c r="W16" s="431"/>
    </row>
    <row r="17" spans="1:29" ht="13.5" thickBot="1">
      <c r="A17" s="773"/>
      <c r="B17" s="215"/>
      <c r="C17" s="216"/>
      <c r="D17" s="217"/>
      <c r="E17" s="224"/>
      <c r="F17" s="227">
        <v>10</v>
      </c>
      <c r="G17" s="231" t="s">
        <v>11</v>
      </c>
      <c r="H17" s="232" t="s">
        <v>479</v>
      </c>
      <c r="I17" s="771"/>
      <c r="J17" s="214">
        <f>+'28'!J17</f>
        <v>0</v>
      </c>
      <c r="K17" s="228"/>
      <c r="L17" s="228"/>
      <c r="M17" s="117">
        <f>+K17+'28'!M17+L17</f>
        <v>0</v>
      </c>
      <c r="N17" s="432"/>
      <c r="O17" s="199"/>
      <c r="R17" s="425"/>
      <c r="T17" s="427"/>
      <c r="U17" s="428"/>
      <c r="X17" s="149" t="s">
        <v>517</v>
      </c>
      <c r="Y17" s="149">
        <v>1120</v>
      </c>
      <c r="Z17" s="149">
        <f>+Y17-Y17*0.24</f>
        <v>851.2</v>
      </c>
      <c r="AA17" s="149">
        <v>480</v>
      </c>
      <c r="AB17" s="149">
        <f t="shared" ref="AB17:AB20" si="2">+Y17*AA17</f>
        <v>537600</v>
      </c>
      <c r="AC17" s="149">
        <f t="shared" ref="AC17:AC20" si="3">+Z17*AA17</f>
        <v>408576</v>
      </c>
    </row>
    <row r="18" spans="1:29" ht="39" thickBot="1">
      <c r="A18" s="773"/>
      <c r="B18" s="215"/>
      <c r="C18" s="216"/>
      <c r="D18" s="217"/>
      <c r="E18" s="224"/>
      <c r="F18" s="227"/>
      <c r="G18" s="236" t="s">
        <v>12</v>
      </c>
      <c r="H18" s="232" t="s">
        <v>659</v>
      </c>
      <c r="I18" s="771"/>
      <c r="J18" s="214">
        <f>+'28'!J18</f>
        <v>0</v>
      </c>
      <c r="K18" s="238"/>
      <c r="L18" s="238"/>
      <c r="M18" s="117">
        <f>+K18+'28'!M18+L18</f>
        <v>0</v>
      </c>
      <c r="N18" s="432"/>
      <c r="AB18" s="149">
        <f t="shared" si="2"/>
        <v>0</v>
      </c>
      <c r="AC18" s="149">
        <f t="shared" si="3"/>
        <v>0</v>
      </c>
    </row>
    <row r="19" spans="1:29" ht="51.75" thickBot="1">
      <c r="A19" s="773"/>
      <c r="B19" s="215"/>
      <c r="C19" s="216"/>
      <c r="D19" s="217"/>
      <c r="E19" s="224"/>
      <c r="F19" s="234"/>
      <c r="G19" s="231"/>
      <c r="H19" s="232" t="s">
        <v>660</v>
      </c>
      <c r="I19" s="771"/>
      <c r="J19" s="214">
        <f>+'28'!J19</f>
        <v>0</v>
      </c>
      <c r="K19" s="238"/>
      <c r="L19" s="238"/>
      <c r="M19" s="117">
        <f>+K19+'28'!M19+L19</f>
        <v>0</v>
      </c>
      <c r="N19" s="432"/>
      <c r="Z19" s="149">
        <f>+Y19-Y19*0.235</f>
        <v>0</v>
      </c>
      <c r="AB19" s="149">
        <f t="shared" si="2"/>
        <v>0</v>
      </c>
      <c r="AC19" s="149">
        <f t="shared" si="3"/>
        <v>0</v>
      </c>
    </row>
    <row r="20" spans="1:29" ht="13.5" thickBot="1">
      <c r="A20" s="773"/>
      <c r="B20" s="215"/>
      <c r="C20" s="216"/>
      <c r="D20" s="217"/>
      <c r="E20" s="224"/>
      <c r="F20" s="227"/>
      <c r="G20" s="231"/>
      <c r="H20" s="232"/>
      <c r="I20" s="771"/>
      <c r="J20" s="214">
        <f>+'28'!J20</f>
        <v>0</v>
      </c>
      <c r="K20" s="239"/>
      <c r="L20" s="239"/>
      <c r="M20" s="117">
        <f>+K20+'28'!M20+L20</f>
        <v>0</v>
      </c>
      <c r="N20" s="432"/>
      <c r="Z20" s="149">
        <f>+Y20-Y20*0.23</f>
        <v>0</v>
      </c>
      <c r="AB20" s="149">
        <f t="shared" si="2"/>
        <v>0</v>
      </c>
      <c r="AC20" s="149">
        <f t="shared" si="3"/>
        <v>0</v>
      </c>
    </row>
    <row r="21" spans="1:29" ht="13.5" thickBot="1">
      <c r="A21" s="773"/>
      <c r="B21" s="215"/>
      <c r="C21" s="216"/>
      <c r="D21" s="217"/>
      <c r="E21" s="224"/>
      <c r="F21" s="230"/>
      <c r="G21" s="231"/>
      <c r="H21" s="232"/>
      <c r="I21" s="771"/>
      <c r="J21" s="214">
        <f>+'28'!J21</f>
        <v>0</v>
      </c>
      <c r="K21" s="238"/>
      <c r="L21" s="238"/>
      <c r="M21" s="117">
        <f>+K21+'28'!M21+L21</f>
        <v>0</v>
      </c>
      <c r="N21" s="433"/>
      <c r="O21" s="434"/>
      <c r="P21" s="434"/>
      <c r="Q21" s="434"/>
      <c r="R21" s="434"/>
      <c r="S21" s="434"/>
      <c r="T21" s="434"/>
      <c r="U21" s="434"/>
      <c r="V21" s="434"/>
      <c r="W21" s="434"/>
    </row>
    <row r="22" spans="1:29" ht="13.5" thickBot="1">
      <c r="A22" s="773"/>
      <c r="B22" s="215"/>
      <c r="C22" s="216"/>
      <c r="D22" s="217"/>
      <c r="E22" s="224"/>
      <c r="F22" s="235"/>
      <c r="G22" s="231"/>
      <c r="H22" s="232"/>
      <c r="I22" s="772"/>
      <c r="J22" s="214">
        <f>+'28'!J22</f>
        <v>0</v>
      </c>
      <c r="K22" s="238"/>
      <c r="L22" s="238"/>
      <c r="M22" s="117">
        <f>+K22+'28'!M22+L22</f>
        <v>0</v>
      </c>
    </row>
    <row r="23" spans="1:29" ht="13.5" thickBot="1">
      <c r="A23" s="774"/>
      <c r="B23" s="168" t="s">
        <v>2</v>
      </c>
      <c r="C23" s="100">
        <f>SUM(C16:C22)</f>
        <v>13433</v>
      </c>
      <c r="D23" s="111">
        <f>SUM(D16:D22)</f>
        <v>0</v>
      </c>
      <c r="E23" s="112">
        <f>SUM(E18:E22)</f>
        <v>0</v>
      </c>
      <c r="F23" s="116">
        <f>SUM(F15:F22)</f>
        <v>18</v>
      </c>
      <c r="G23" s="159"/>
      <c r="H23" s="166"/>
      <c r="I23" s="169"/>
      <c r="J23" s="214">
        <f>+'28'!J23</f>
        <v>0</v>
      </c>
      <c r="K23" s="238"/>
      <c r="L23" s="238"/>
      <c r="M23" s="117">
        <f>+K23+'28'!M23+L23</f>
        <v>0</v>
      </c>
      <c r="N23" s="437"/>
      <c r="O23" s="438"/>
      <c r="P23" s="438"/>
      <c r="Q23" s="438"/>
      <c r="R23" s="438"/>
      <c r="S23" s="438"/>
      <c r="T23" s="438"/>
      <c r="U23" s="438"/>
      <c r="V23" s="438"/>
      <c r="W23" s="438"/>
    </row>
    <row r="24" spans="1:29" ht="13.5" customHeight="1" thickBot="1">
      <c r="A24" s="767" t="s">
        <v>410</v>
      </c>
      <c r="B24" s="170"/>
      <c r="C24" s="113">
        <f>C23/($C$23+$D$23+$E$23)</f>
        <v>1</v>
      </c>
      <c r="D24" s="114">
        <f>D23/($C$23+$D$23+$E$23)</f>
        <v>0</v>
      </c>
      <c r="E24" s="115">
        <f>E23/($C$23+$D$23+$E$23)</f>
        <v>0</v>
      </c>
      <c r="F24" s="227"/>
      <c r="G24" s="228" t="s">
        <v>11</v>
      </c>
      <c r="H24" s="229" t="s">
        <v>384</v>
      </c>
      <c r="I24" s="770" t="s">
        <v>652</v>
      </c>
      <c r="J24" s="214">
        <f>+'28'!J24</f>
        <v>0</v>
      </c>
      <c r="K24" s="238"/>
      <c r="L24" s="238"/>
      <c r="M24" s="117">
        <f>+K24+'28'!M24+L24</f>
        <v>0</v>
      </c>
      <c r="N24" s="424">
        <v>18</v>
      </c>
      <c r="O24" s="199">
        <v>1200</v>
      </c>
      <c r="P24" s="199">
        <v>770</v>
      </c>
      <c r="Q24" s="199">
        <v>616</v>
      </c>
      <c r="R24" s="425">
        <f>1-(Q24/P24)</f>
        <v>0.19999999999999996</v>
      </c>
      <c r="S24" s="426">
        <v>480</v>
      </c>
      <c r="T24" s="427">
        <v>256.5</v>
      </c>
      <c r="U24" s="428">
        <f>(O24*(1-R24)*N24*T24*S24)/100000000</f>
        <v>21.275136</v>
      </c>
      <c r="V24" s="429">
        <f>+C32/1000</f>
        <v>13.638999999999999</v>
      </c>
      <c r="W24" s="430">
        <f>SUM(V24:V25)/SUM(U24:U25)</f>
        <v>0.64107698300965033</v>
      </c>
    </row>
    <row r="25" spans="1:29" ht="13.5" customHeight="1" thickBot="1">
      <c r="A25" s="773"/>
      <c r="B25" s="215" t="s">
        <v>530</v>
      </c>
      <c r="C25" s="225">
        <v>13639</v>
      </c>
      <c r="D25" s="217"/>
      <c r="E25" s="224"/>
      <c r="F25" s="230">
        <v>8</v>
      </c>
      <c r="G25" s="231" t="s">
        <v>11</v>
      </c>
      <c r="H25" s="229" t="s">
        <v>543</v>
      </c>
      <c r="I25" s="771"/>
      <c r="J25" s="214">
        <f>+'28'!J25</f>
        <v>0</v>
      </c>
      <c r="K25" s="238"/>
      <c r="L25" s="238"/>
      <c r="M25" s="117">
        <f>+K25+'28'!M25+L25</f>
        <v>0</v>
      </c>
      <c r="N25" s="424"/>
      <c r="O25" s="199"/>
      <c r="P25" s="199"/>
      <c r="Q25" s="199"/>
      <c r="R25" s="425"/>
      <c r="S25" s="426"/>
      <c r="T25" s="427"/>
      <c r="U25" s="428"/>
      <c r="V25" s="429"/>
      <c r="W25" s="430"/>
      <c r="AA25" s="149">
        <f>SUM(AA17:AA24)</f>
        <v>480</v>
      </c>
      <c r="AB25" s="149">
        <f>SUM(AB17:AB24)</f>
        <v>537600</v>
      </c>
      <c r="AC25" s="149">
        <f>SUM(AC17:AC24)</f>
        <v>408576</v>
      </c>
    </row>
    <row r="26" spans="1:29" ht="13.5" customHeight="1" thickBot="1">
      <c r="A26" s="773"/>
      <c r="B26" s="215"/>
      <c r="C26" s="225"/>
      <c r="D26" s="217"/>
      <c r="E26" s="226"/>
      <c r="F26" s="227">
        <v>13</v>
      </c>
      <c r="G26" s="231" t="s">
        <v>11</v>
      </c>
      <c r="H26" s="232" t="s">
        <v>494</v>
      </c>
      <c r="I26" s="771"/>
      <c r="J26" s="214">
        <f>+'28'!J26</f>
        <v>0</v>
      </c>
      <c r="K26" s="238"/>
      <c r="L26" s="238"/>
      <c r="M26" s="117">
        <f>+K26+'28'!M26+L26</f>
        <v>0</v>
      </c>
      <c r="AA26" s="149">
        <f>480-AA25</f>
        <v>0</v>
      </c>
      <c r="AB26" s="149">
        <f>+AB25/AA25</f>
        <v>1120</v>
      </c>
      <c r="AC26" s="149">
        <f>+AC25/AA25</f>
        <v>851.2</v>
      </c>
    </row>
    <row r="27" spans="1:29" ht="39" thickBot="1">
      <c r="A27" s="773"/>
      <c r="B27" s="215"/>
      <c r="C27" s="216"/>
      <c r="D27" s="217"/>
      <c r="E27" s="224"/>
      <c r="F27" s="227"/>
      <c r="G27" s="236" t="s">
        <v>12</v>
      </c>
      <c r="H27" s="232" t="s">
        <v>658</v>
      </c>
      <c r="I27" s="771"/>
      <c r="J27" s="214">
        <f>+'28'!J27</f>
        <v>0</v>
      </c>
      <c r="K27" s="238"/>
      <c r="L27" s="238"/>
      <c r="M27" s="117">
        <f>+K27+'28'!M27+L27</f>
        <v>0</v>
      </c>
      <c r="X27" s="149" t="s">
        <v>517</v>
      </c>
      <c r="Y27" s="149">
        <v>1120</v>
      </c>
      <c r="Z27" s="149">
        <f>+Y27-Y27*0.24</f>
        <v>851.2</v>
      </c>
      <c r="AA27" s="149">
        <v>480</v>
      </c>
      <c r="AB27" s="149">
        <f t="shared" ref="AB27:AB30" si="4">+Y27*AA27</f>
        <v>537600</v>
      </c>
      <c r="AC27" s="149">
        <f t="shared" ref="AC27:AC30" si="5">+Z27*AA27</f>
        <v>408576</v>
      </c>
    </row>
    <row r="28" spans="1:29" ht="13.5" customHeight="1" thickBot="1">
      <c r="A28" s="773"/>
      <c r="B28" s="215"/>
      <c r="C28" s="216"/>
      <c r="D28" s="217"/>
      <c r="E28" s="224"/>
      <c r="F28" s="230"/>
      <c r="G28" s="231"/>
      <c r="H28" s="232"/>
      <c r="I28" s="771"/>
      <c r="J28" s="214">
        <f>+'28'!J28</f>
        <v>0</v>
      </c>
      <c r="K28" s="238"/>
      <c r="L28" s="238"/>
      <c r="M28" s="117">
        <f>+K28+'28'!M28+L28</f>
        <v>0</v>
      </c>
      <c r="AB28" s="149">
        <f t="shared" si="4"/>
        <v>0</v>
      </c>
      <c r="AC28" s="149">
        <f t="shared" si="5"/>
        <v>0</v>
      </c>
    </row>
    <row r="29" spans="1:29" ht="13.5" customHeight="1" thickBot="1">
      <c r="A29" s="773"/>
      <c r="B29" s="215"/>
      <c r="C29" s="216"/>
      <c r="D29" s="217"/>
      <c r="E29" s="224"/>
      <c r="F29" s="235"/>
      <c r="G29" s="231"/>
      <c r="H29" s="232"/>
      <c r="I29" s="771"/>
      <c r="J29" s="214">
        <f>+'28'!J29</f>
        <v>0</v>
      </c>
      <c r="K29" s="238"/>
      <c r="L29" s="238"/>
      <c r="M29" s="117">
        <f>+K29+'28'!M29+L29</f>
        <v>0</v>
      </c>
      <c r="Z29" s="149">
        <f>+Y29-Y29*0.235</f>
        <v>0</v>
      </c>
      <c r="AB29" s="149">
        <f t="shared" si="4"/>
        <v>0</v>
      </c>
      <c r="AC29" s="149">
        <f t="shared" si="5"/>
        <v>0</v>
      </c>
    </row>
    <row r="30" spans="1:29" ht="13.5" customHeight="1" thickBot="1">
      <c r="A30" s="773"/>
      <c r="B30" s="215"/>
      <c r="C30" s="225"/>
      <c r="D30" s="217"/>
      <c r="E30" s="224"/>
      <c r="F30" s="235"/>
      <c r="G30" s="231"/>
      <c r="H30" s="232"/>
      <c r="I30" s="771"/>
      <c r="J30" s="214">
        <f>+'28'!J30</f>
        <v>0</v>
      </c>
      <c r="K30" s="238"/>
      <c r="L30" s="238"/>
      <c r="M30" s="117">
        <f>+K30+'28'!M30+L30</f>
        <v>0</v>
      </c>
      <c r="N30" s="155"/>
      <c r="Z30" s="149">
        <f>+Y30-Y30*0.23</f>
        <v>0</v>
      </c>
      <c r="AB30" s="149">
        <f t="shared" si="4"/>
        <v>0</v>
      </c>
      <c r="AC30" s="149">
        <f t="shared" si="5"/>
        <v>0</v>
      </c>
    </row>
    <row r="31" spans="1:29" ht="13.5" customHeight="1" thickBot="1">
      <c r="A31" s="773"/>
      <c r="B31" s="215"/>
      <c r="C31" s="225"/>
      <c r="D31" s="217"/>
      <c r="E31" s="224"/>
      <c r="F31" s="235"/>
      <c r="G31" s="236"/>
      <c r="H31" s="444"/>
      <c r="I31" s="772"/>
      <c r="J31" s="214">
        <f>+'28'!J31</f>
        <v>0</v>
      </c>
      <c r="K31" s="238"/>
      <c r="L31" s="238"/>
      <c r="M31" s="117">
        <f>+K31+'28'!M31+L31</f>
        <v>0</v>
      </c>
    </row>
    <row r="32" spans="1:29" ht="13.5" customHeight="1" thickBot="1">
      <c r="A32" s="774"/>
      <c r="B32" s="165" t="s">
        <v>2</v>
      </c>
      <c r="C32" s="99">
        <f>SUM(C25:C31)</f>
        <v>13639</v>
      </c>
      <c r="D32" s="100">
        <f>SUM(D25:D31)</f>
        <v>0</v>
      </c>
      <c r="E32" s="101">
        <f>SUM(E25:E31)</f>
        <v>0</v>
      </c>
      <c r="F32" s="102">
        <f>SUM(F24:F31)</f>
        <v>21</v>
      </c>
      <c r="G32" s="171"/>
      <c r="H32" s="172"/>
      <c r="I32" s="169"/>
      <c r="J32" s="214">
        <f>+'28'!J32</f>
        <v>0</v>
      </c>
      <c r="K32" s="240"/>
      <c r="L32" s="242"/>
      <c r="M32" s="117">
        <f>+K32+'28'!M32+L32</f>
        <v>0</v>
      </c>
    </row>
    <row r="33" spans="1:29" ht="13.5" thickBot="1">
      <c r="A33" s="173"/>
      <c r="B33" s="174"/>
      <c r="C33" s="103">
        <f>C32/($C$32+$D$32+$E$32)</f>
        <v>1</v>
      </c>
      <c r="D33" s="104">
        <f>D32/($C$32+$D$32+$E$32)</f>
        <v>0</v>
      </c>
      <c r="E33" s="105">
        <f>E32/($C$32+$D$32+$E$32)</f>
        <v>0</v>
      </c>
      <c r="F33" s="106"/>
      <c r="G33" s="175"/>
      <c r="H33" s="176"/>
      <c r="I33" s="177"/>
      <c r="J33" s="121"/>
      <c r="K33" s="122"/>
      <c r="L33" s="213"/>
      <c r="M33" s="119"/>
    </row>
    <row r="34" spans="1:29" ht="13.5" thickBot="1">
      <c r="A34" s="775" t="s">
        <v>57</v>
      </c>
      <c r="B34" s="776"/>
      <c r="C34" s="107">
        <f>C14+C23+C32</f>
        <v>38677</v>
      </c>
      <c r="D34" s="107">
        <f>D14+D23+D32</f>
        <v>0</v>
      </c>
      <c r="E34" s="107">
        <f>E14+E23+E32</f>
        <v>0</v>
      </c>
      <c r="F34" s="108">
        <f>F14+F23+F32</f>
        <v>66</v>
      </c>
      <c r="H34" s="178"/>
      <c r="I34" s="178"/>
      <c r="J34" s="123" t="s">
        <v>27</v>
      </c>
      <c r="K34" s="124">
        <f>SUM(K7:K32)</f>
        <v>38677</v>
      </c>
      <c r="L34" s="212">
        <f>SUM(L7:L32)</f>
        <v>0</v>
      </c>
      <c r="M34" s="120">
        <f>SUM(M7:M32)</f>
        <v>459178</v>
      </c>
      <c r="N34" s="155"/>
    </row>
    <row r="35" spans="1:29" ht="13.5" thickBot="1">
      <c r="A35" s="179"/>
      <c r="B35" s="180"/>
      <c r="C35" s="104">
        <f>C34/($C$34+$D$34+$E$34)</f>
        <v>1</v>
      </c>
      <c r="D35" s="104">
        <f>D34/($C$34+$D$34+$E$34)</f>
        <v>0</v>
      </c>
      <c r="E35" s="109">
        <f>E34/($C$34+$D$34+$E$34)</f>
        <v>0</v>
      </c>
      <c r="K35" s="155"/>
      <c r="AA35" s="149">
        <f>SUM(AA27:AA34)</f>
        <v>480</v>
      </c>
      <c r="AB35" s="149">
        <f>SUM(AB27:AB34)</f>
        <v>537600</v>
      </c>
      <c r="AC35" s="149">
        <f>SUM(AC27:AC34)</f>
        <v>408576</v>
      </c>
    </row>
    <row r="36" spans="1:29" ht="13.5" thickBot="1">
      <c r="A36" s="178"/>
      <c r="B36" s="178"/>
      <c r="C36" s="155"/>
      <c r="D36" s="155"/>
      <c r="E36" s="155"/>
      <c r="G36" s="155"/>
      <c r="H36" s="181" t="s">
        <v>0</v>
      </c>
      <c r="I36" s="162" t="s">
        <v>36</v>
      </c>
      <c r="J36" s="162" t="s">
        <v>37</v>
      </c>
      <c r="K36" s="182"/>
      <c r="AA36" s="149">
        <f>480-AA35</f>
        <v>0</v>
      </c>
      <c r="AB36" s="149">
        <f>+AB35/AA35</f>
        <v>1120</v>
      </c>
      <c r="AC36" s="149">
        <f>+AC35/AA35</f>
        <v>851.2</v>
      </c>
    </row>
    <row r="37" spans="1:29" ht="17.45" customHeight="1" thickBot="1">
      <c r="A37" s="777" t="s">
        <v>58</v>
      </c>
      <c r="B37" s="778"/>
      <c r="C37" s="162" t="s">
        <v>59</v>
      </c>
      <c r="D37" s="183" t="s">
        <v>60</v>
      </c>
      <c r="E37" s="184" t="s">
        <v>61</v>
      </c>
      <c r="F37" s="321"/>
      <c r="G37" s="323"/>
      <c r="H37" s="186" t="s">
        <v>62</v>
      </c>
      <c r="I37" s="243">
        <f>(12*257+1183*14)/1440*G42*2.74*1440/1000000</f>
        <v>46.667482165149998</v>
      </c>
      <c r="J37" s="125">
        <f>+I37+'28'!J37</f>
        <v>554.81845332361615</v>
      </c>
      <c r="K37" s="126" t="s">
        <v>63</v>
      </c>
    </row>
    <row r="38" spans="1:29" ht="17.45" customHeight="1">
      <c r="A38" s="779" t="s">
        <v>11</v>
      </c>
      <c r="B38" s="780"/>
      <c r="C38" s="164">
        <f>SUMIF($G$7:$G$31,"Process",$F$7:$F$31)</f>
        <v>66</v>
      </c>
      <c r="D38" s="118">
        <f>+C38+'28'!D38</f>
        <v>942</v>
      </c>
      <c r="E38" s="143">
        <f t="shared" ref="E38:E51" si="6">D38/60</f>
        <v>15.7</v>
      </c>
      <c r="F38" s="321">
        <v>1173.5416666666667</v>
      </c>
      <c r="G38" s="321">
        <v>898.42375000000004</v>
      </c>
      <c r="H38" s="187" t="s">
        <v>64</v>
      </c>
      <c r="I38" s="244">
        <f>13.182+14.003+14.363</f>
        <v>41.548000000000002</v>
      </c>
      <c r="J38" s="127">
        <f>+I38+'28'!J38</f>
        <v>490.346</v>
      </c>
      <c r="K38" s="128" t="s">
        <v>63</v>
      </c>
      <c r="L38" s="149" t="s">
        <v>386</v>
      </c>
      <c r="M38" s="149">
        <v>1220</v>
      </c>
      <c r="N38" s="149">
        <v>939.4</v>
      </c>
      <c r="O38" s="149">
        <v>257</v>
      </c>
    </row>
    <row r="39" spans="1:29" ht="17.45" customHeight="1">
      <c r="A39" s="781" t="s">
        <v>12</v>
      </c>
      <c r="B39" s="782"/>
      <c r="C39" s="164">
        <f>SUMIF($G$7:$G$31,"Cleaning",$F$7:$F$31)</f>
        <v>0</v>
      </c>
      <c r="D39" s="118">
        <f>+C39+'28'!D39</f>
        <v>0</v>
      </c>
      <c r="E39" s="143">
        <f t="shared" si="6"/>
        <v>0</v>
      </c>
      <c r="F39" s="321">
        <v>1120</v>
      </c>
      <c r="G39" s="321">
        <v>851.2</v>
      </c>
      <c r="H39" s="187" t="s">
        <v>65</v>
      </c>
      <c r="I39" s="142"/>
      <c r="J39" s="129">
        <f>J37/G4</f>
        <v>19.131670804262626</v>
      </c>
      <c r="K39" s="130" t="s">
        <v>63</v>
      </c>
      <c r="L39" s="149" t="s">
        <v>517</v>
      </c>
      <c r="M39" s="149">
        <v>1120</v>
      </c>
      <c r="N39" s="149">
        <v>851.2</v>
      </c>
      <c r="O39" s="149">
        <f>480+480+223</f>
        <v>1183</v>
      </c>
    </row>
    <row r="40" spans="1:29" ht="17.45" customHeight="1">
      <c r="A40" s="781" t="s">
        <v>66</v>
      </c>
      <c r="B40" s="782"/>
      <c r="C40" s="164">
        <f>SUMIF($G$7:$G$31,"Mechanical",$F$7:$F$31)</f>
        <v>0</v>
      </c>
      <c r="D40" s="118">
        <f>+C40+'28'!D40</f>
        <v>0</v>
      </c>
      <c r="E40" s="143">
        <f t="shared" si="6"/>
        <v>0</v>
      </c>
      <c r="F40" s="321">
        <v>1120</v>
      </c>
      <c r="G40" s="321">
        <v>851.2</v>
      </c>
      <c r="H40" s="187" t="s">
        <v>67</v>
      </c>
      <c r="I40" s="118">
        <f>(K34+L34)/1000</f>
        <v>38.677</v>
      </c>
      <c r="J40" s="131">
        <f>+I40+'28'!J40</f>
        <v>459.178</v>
      </c>
      <c r="K40" s="130" t="s">
        <v>63</v>
      </c>
      <c r="O40" s="149">
        <f>+O38+O39</f>
        <v>1440</v>
      </c>
    </row>
    <row r="41" spans="1:29" ht="17.45" customHeight="1">
      <c r="A41" s="781" t="s">
        <v>68</v>
      </c>
      <c r="B41" s="782"/>
      <c r="C41" s="164">
        <f>SUMIF($G$7:$G$31,"Electrical",$F$7:$F$31)</f>
        <v>0</v>
      </c>
      <c r="D41" s="118">
        <f>+C41+'28'!D41</f>
        <v>175</v>
      </c>
      <c r="E41" s="143">
        <f t="shared" si="6"/>
        <v>2.9166666666666665</v>
      </c>
      <c r="F41" s="321"/>
      <c r="G41" s="321"/>
      <c r="H41" s="187" t="s">
        <v>69</v>
      </c>
      <c r="I41" s="142"/>
      <c r="J41" s="129">
        <f>J40/G4</f>
        <v>15.833724137931034</v>
      </c>
      <c r="K41" s="130" t="s">
        <v>63</v>
      </c>
    </row>
    <row r="42" spans="1:29" ht="17.45" customHeight="1">
      <c r="A42" s="781" t="s">
        <v>15</v>
      </c>
      <c r="B42" s="782"/>
      <c r="C42" s="164">
        <f>SUMIF($G$7:$G$31,"Instrument",$F$7:$F$31)</f>
        <v>0</v>
      </c>
      <c r="D42" s="118">
        <f>+C42+'28'!D42</f>
        <v>0</v>
      </c>
      <c r="E42" s="143">
        <f t="shared" si="6"/>
        <v>0</v>
      </c>
      <c r="F42" s="321">
        <f>+(480*F38+480*F39+480*F40)/1440</f>
        <v>1137.8472222222222</v>
      </c>
      <c r="G42" s="321">
        <f>+(480*G38+480*G39+480*G40)/1440</f>
        <v>866.94124999999997</v>
      </c>
      <c r="H42" s="187" t="s">
        <v>70</v>
      </c>
      <c r="I42" s="245" t="s">
        <v>653</v>
      </c>
      <c r="J42" s="132"/>
      <c r="K42" s="130" t="s">
        <v>71</v>
      </c>
    </row>
    <row r="43" spans="1:29" ht="17.45" customHeight="1">
      <c r="A43" s="781" t="s">
        <v>72</v>
      </c>
      <c r="B43" s="782"/>
      <c r="C43" s="164">
        <f>SUMIF($G$7:$G$31,"Water",$F$7:$F$31)</f>
        <v>0</v>
      </c>
      <c r="D43" s="118">
        <f>+C43+'28'!D43</f>
        <v>0</v>
      </c>
      <c r="E43" s="143">
        <f t="shared" si="6"/>
        <v>0</v>
      </c>
      <c r="F43" s="321"/>
      <c r="G43" s="322"/>
      <c r="H43" s="188" t="s">
        <v>73</v>
      </c>
      <c r="I43" s="118">
        <f>+Report1!Z37</f>
        <v>50.3</v>
      </c>
      <c r="J43" s="133">
        <f>+I43+'28'!J43</f>
        <v>1043.1999999999998</v>
      </c>
      <c r="K43" s="130" t="s">
        <v>63</v>
      </c>
      <c r="L43" s="189"/>
    </row>
    <row r="44" spans="1:29" ht="17.45" customHeight="1">
      <c r="A44" s="781" t="s">
        <v>16</v>
      </c>
      <c r="B44" s="782"/>
      <c r="C44" s="164">
        <f>SUMIF($G$7:$G$31,"PLN",$F$7:$F$31)</f>
        <v>0</v>
      </c>
      <c r="D44" s="118">
        <f>+C44+'28'!D44</f>
        <v>0</v>
      </c>
      <c r="E44" s="143">
        <f t="shared" si="6"/>
        <v>0</v>
      </c>
      <c r="F44" s="321"/>
      <c r="G44" s="322"/>
      <c r="H44" s="188" t="s">
        <v>74</v>
      </c>
      <c r="I44" s="118">
        <f>I43/I38</f>
        <v>1.2106479252912292</v>
      </c>
      <c r="J44" s="134">
        <f>J43/J38</f>
        <v>2.127477332332679</v>
      </c>
      <c r="K44" s="130" t="s">
        <v>63</v>
      </c>
    </row>
    <row r="45" spans="1:29" ht="17.45" customHeight="1">
      <c r="A45" s="781" t="s">
        <v>17</v>
      </c>
      <c r="B45" s="782"/>
      <c r="C45" s="164">
        <f>SUMIF($G$7:$G$31,"Boiler",$F$7:$F$31)</f>
        <v>0</v>
      </c>
      <c r="D45" s="118">
        <f>+C45+'28'!D45</f>
        <v>0</v>
      </c>
      <c r="E45" s="143">
        <f t="shared" si="6"/>
        <v>0</v>
      </c>
      <c r="F45" s="321"/>
      <c r="G45" s="324"/>
      <c r="H45" s="188" t="s">
        <v>75</v>
      </c>
      <c r="I45" s="118">
        <f>I43/I40</f>
        <v>1.3005145176720014</v>
      </c>
      <c r="J45" s="134">
        <f>J43/J40</f>
        <v>2.2718858481895907</v>
      </c>
      <c r="K45" s="130" t="s">
        <v>63</v>
      </c>
    </row>
    <row r="46" spans="1:29" ht="17.45" customHeight="1">
      <c r="A46" s="781" t="s">
        <v>76</v>
      </c>
      <c r="B46" s="782"/>
      <c r="C46" s="164">
        <f>SUMIF($G$7:$G$31,"Gas",$F$7:$F$31)</f>
        <v>0</v>
      </c>
      <c r="D46" s="118">
        <f>+C46+'28'!D46</f>
        <v>0</v>
      </c>
      <c r="E46" s="143">
        <f t="shared" si="6"/>
        <v>0</v>
      </c>
      <c r="F46" s="321"/>
      <c r="G46" s="322"/>
      <c r="H46" s="188" t="s">
        <v>77</v>
      </c>
      <c r="I46" s="140">
        <f>+SUMIF(Listrik!P36,"&gt;0")</f>
        <v>36711.22</v>
      </c>
      <c r="J46" s="135">
        <f>+I46+'28'!J46</f>
        <v>575141.53999999992</v>
      </c>
      <c r="K46" s="130" t="s">
        <v>78</v>
      </c>
    </row>
    <row r="47" spans="1:29" ht="17.45" customHeight="1">
      <c r="A47" s="781" t="s">
        <v>79</v>
      </c>
      <c r="B47" s="782"/>
      <c r="C47" s="164">
        <f>SUMIF($G$7:$G$31,"Gas",$F$7:$F$31)</f>
        <v>0</v>
      </c>
      <c r="D47" s="118">
        <f>+C47+'28'!D47</f>
        <v>0</v>
      </c>
      <c r="E47" s="143">
        <f t="shared" si="6"/>
        <v>0</v>
      </c>
      <c r="F47" s="321"/>
      <c r="G47" s="322"/>
      <c r="H47" s="188" t="s">
        <v>80</v>
      </c>
      <c r="I47" s="118">
        <f>I46/I38</f>
        <v>883.58573216520654</v>
      </c>
      <c r="J47" s="135">
        <f>J46/J38</f>
        <v>1172.9300126849203</v>
      </c>
      <c r="K47" s="130" t="s">
        <v>23</v>
      </c>
    </row>
    <row r="48" spans="1:29" ht="17.45" customHeight="1">
      <c r="A48" s="781" t="s">
        <v>13</v>
      </c>
      <c r="B48" s="782"/>
      <c r="C48" s="164">
        <f>SUMIF($G$7:$G$31,"Start Up",$F$7:$F$31)</f>
        <v>0</v>
      </c>
      <c r="D48" s="118">
        <f>+C48+'28'!D48</f>
        <v>0</v>
      </c>
      <c r="E48" s="143">
        <f t="shared" si="6"/>
        <v>0</v>
      </c>
      <c r="F48" s="321"/>
      <c r="G48" s="322"/>
      <c r="H48" s="188" t="s">
        <v>81</v>
      </c>
      <c r="I48" s="118">
        <f>I46/I40</f>
        <v>949.17444476045193</v>
      </c>
      <c r="J48" s="135">
        <f>J46/J40</f>
        <v>1252.5459407898461</v>
      </c>
      <c r="K48" s="130" t="s">
        <v>23</v>
      </c>
    </row>
    <row r="49" spans="1:23" ht="17.45" customHeight="1">
      <c r="A49" s="787" t="s">
        <v>19</v>
      </c>
      <c r="B49" s="782"/>
      <c r="C49" s="164">
        <f>SUMIF($G$7:$G$31,"Others",$F$7:$F$31)</f>
        <v>0</v>
      </c>
      <c r="D49" s="118">
        <f>+C49+'28'!D49</f>
        <v>22716</v>
      </c>
      <c r="E49" s="143">
        <f t="shared" si="6"/>
        <v>378.6</v>
      </c>
      <c r="F49" s="185"/>
      <c r="H49" s="188" t="s">
        <v>267</v>
      </c>
      <c r="I49" s="118">
        <f>+Report1!T37</f>
        <v>4287.5898034035499</v>
      </c>
      <c r="J49" s="135">
        <f>+I49+'28'!J49</f>
        <v>59132.276195965213</v>
      </c>
      <c r="K49" s="130" t="s">
        <v>82</v>
      </c>
    </row>
    <row r="50" spans="1:23" ht="17.45" customHeight="1">
      <c r="A50" s="781" t="s">
        <v>18</v>
      </c>
      <c r="B50" s="782"/>
      <c r="C50" s="164">
        <f>SUMIF($G$7:$G$31,"Steam",$F$7:$F$31)</f>
        <v>0</v>
      </c>
      <c r="D50" s="118">
        <f>+C50+'28'!D50</f>
        <v>0</v>
      </c>
      <c r="E50" s="143">
        <f t="shared" si="6"/>
        <v>0</v>
      </c>
      <c r="F50" s="185"/>
      <c r="H50" s="188" t="s">
        <v>83</v>
      </c>
      <c r="I50" s="140">
        <f>I49/I38</f>
        <v>103.19605765388346</v>
      </c>
      <c r="J50" s="133">
        <f>J49/J38</f>
        <v>120.59296128848857</v>
      </c>
      <c r="K50" s="130" t="s">
        <v>82</v>
      </c>
    </row>
    <row r="51" spans="1:23" ht="17.45" customHeight="1" thickBot="1">
      <c r="A51" s="783" t="s">
        <v>84</v>
      </c>
      <c r="B51" s="784"/>
      <c r="C51" s="164">
        <f>SUMIF($G$7:$G$31,"Planned shut",$F$7:$F$31)</f>
        <v>0</v>
      </c>
      <c r="D51" s="118">
        <f>+C51+'28'!D51</f>
        <v>0</v>
      </c>
      <c r="E51" s="143">
        <f t="shared" si="6"/>
        <v>0</v>
      </c>
      <c r="F51" s="185"/>
      <c r="H51" s="190" t="s">
        <v>85</v>
      </c>
      <c r="I51" s="141">
        <f>I49/I40</f>
        <v>110.856317796198</v>
      </c>
      <c r="J51" s="136">
        <f>J49/J40</f>
        <v>128.77854817949731</v>
      </c>
      <c r="K51" s="137" t="s">
        <v>82</v>
      </c>
    </row>
    <row r="52" spans="1:23" ht="13.5" thickBot="1">
      <c r="A52" s="779" t="s">
        <v>27</v>
      </c>
      <c r="B52" s="780"/>
      <c r="C52" s="144">
        <f>SUM(C38:C51)</f>
        <v>66</v>
      </c>
      <c r="D52" s="144">
        <f>SUM(D38:D51)</f>
        <v>23833</v>
      </c>
      <c r="E52" s="145">
        <f>SUM(E38:E51)</f>
        <v>397.2166666666667</v>
      </c>
      <c r="F52" s="185"/>
      <c r="H52" s="191"/>
      <c r="I52" s="192"/>
      <c r="J52" s="138"/>
      <c r="K52" s="139"/>
    </row>
    <row r="53" spans="1:23" ht="13.5" thickBot="1">
      <c r="A53" s="785"/>
      <c r="B53" s="786"/>
      <c r="C53" s="146">
        <f>C52/(24*60)</f>
        <v>4.583333333333333E-2</v>
      </c>
      <c r="D53" s="146">
        <f>D52/(24*60*G4)</f>
        <v>0.57071360153256701</v>
      </c>
      <c r="E53" s="147">
        <f>E52/(G4*24)</f>
        <v>0.57071360153256712</v>
      </c>
      <c r="F53" s="185"/>
    </row>
    <row r="54" spans="1:23">
      <c r="E54" s="193"/>
      <c r="F54" s="185"/>
    </row>
    <row r="55" spans="1:23">
      <c r="E55" s="193"/>
    </row>
    <row r="56" spans="1:23">
      <c r="A56" s="194" t="s">
        <v>86</v>
      </c>
      <c r="B56" s="195"/>
      <c r="C56" s="196"/>
      <c r="D56" s="196"/>
      <c r="E56" s="196"/>
      <c r="F56" s="197"/>
      <c r="G56" s="196"/>
      <c r="H56" s="198"/>
      <c r="I56" s="199" t="s">
        <v>87</v>
      </c>
      <c r="J56" s="200">
        <f>+D34+'28'!J56</f>
        <v>7954</v>
      </c>
      <c r="K56" s="201">
        <f>J56/(J40+J56/1000)/1000</f>
        <v>1.7027307056677772E-2</v>
      </c>
    </row>
    <row r="57" spans="1:23">
      <c r="A57" s="176"/>
      <c r="I57" s="199" t="s">
        <v>88</v>
      </c>
      <c r="J57" s="200">
        <f>+E34+'28'!J57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61"/>
  <sheetViews>
    <sheetView topLeftCell="A22" zoomScale="80" zoomScaleNormal="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5" width="0" style="149" hidden="1" customWidth="1"/>
    <col min="16" max="16" width="10.28515625" style="149" hidden="1" customWidth="1"/>
    <col min="17" max="17" width="9.28515625" style="149" hidden="1" customWidth="1"/>
    <col min="18" max="23" width="0" style="149" hidden="1" customWidth="1"/>
    <col min="24" max="16384" width="9.140625" style="149"/>
  </cols>
  <sheetData>
    <row r="1" spans="1:36" ht="15.75">
      <c r="A1" s="148"/>
    </row>
    <row r="2" spans="1:36" ht="15.75">
      <c r="A2" s="148" t="s">
        <v>182</v>
      </c>
    </row>
    <row r="3" spans="1:36" ht="15">
      <c r="A3" s="150"/>
    </row>
    <row r="4" spans="1:36" ht="20.25">
      <c r="A4" s="151" t="s">
        <v>3</v>
      </c>
      <c r="B4" s="152"/>
      <c r="F4" s="153" t="s">
        <v>28</v>
      </c>
      <c r="G4" s="154">
        <v>28</v>
      </c>
      <c r="H4" s="154" t="str">
        <f>+'1'!H4</f>
        <v>.11.25</v>
      </c>
    </row>
    <row r="5" spans="1:36" ht="13.5" thickBot="1">
      <c r="C5" s="155"/>
      <c r="D5" s="155"/>
    </row>
    <row r="6" spans="1:36"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81" t="s">
        <v>91</v>
      </c>
      <c r="O6" s="422" t="s">
        <v>189</v>
      </c>
      <c r="P6" s="422" t="s">
        <v>189</v>
      </c>
      <c r="Q6" s="422" t="s">
        <v>190</v>
      </c>
      <c r="R6" s="422" t="s">
        <v>191</v>
      </c>
      <c r="S6" s="422" t="s">
        <v>192</v>
      </c>
      <c r="T6" s="422" t="s">
        <v>187</v>
      </c>
      <c r="U6" s="423" t="s">
        <v>193</v>
      </c>
      <c r="V6" s="422" t="s">
        <v>194</v>
      </c>
      <c r="W6" s="422" t="s">
        <v>188</v>
      </c>
      <c r="X6" s="149" t="s">
        <v>386</v>
      </c>
      <c r="Y6" s="149">
        <v>1220</v>
      </c>
      <c r="Z6" s="149">
        <f>+Y6-Y6*0.23</f>
        <v>939.4</v>
      </c>
      <c r="AA6" s="149">
        <f>60*2+55</f>
        <v>175</v>
      </c>
      <c r="AB6" s="149">
        <f t="shared" ref="AB6:AB9" si="0">+Y6*AA6</f>
        <v>213500</v>
      </c>
      <c r="AC6" s="149">
        <f t="shared" ref="AC6:AC9" si="1">+Z6*AA6</f>
        <v>164395</v>
      </c>
      <c r="AE6" s="149" t="s">
        <v>386</v>
      </c>
      <c r="AF6" s="149">
        <v>1220</v>
      </c>
      <c r="AG6" s="149">
        <f>+AF6-AF6*0.23</f>
        <v>939.4</v>
      </c>
      <c r="AH6" s="149">
        <f>60*2+55</f>
        <v>175</v>
      </c>
      <c r="AI6" s="149">
        <f t="shared" ref="AI6:AI10" si="2">+AF6*AH6</f>
        <v>213500</v>
      </c>
      <c r="AJ6" s="149">
        <f t="shared" ref="AJ6:AJ10" si="3">+AG6*AH6</f>
        <v>164395</v>
      </c>
    </row>
    <row r="7" spans="1:36" ht="13.5" customHeight="1" thickBot="1">
      <c r="A7" s="767" t="s">
        <v>407</v>
      </c>
      <c r="B7" s="215" t="s">
        <v>387</v>
      </c>
      <c r="C7" s="216">
        <v>13214</v>
      </c>
      <c r="D7" s="217"/>
      <c r="E7" s="218"/>
      <c r="F7" s="227">
        <v>9</v>
      </c>
      <c r="G7" s="228" t="s">
        <v>11</v>
      </c>
      <c r="H7" s="229" t="s">
        <v>460</v>
      </c>
      <c r="I7" s="770" t="s">
        <v>643</v>
      </c>
      <c r="J7" s="214" t="str">
        <f>+'27'!J7</f>
        <v>F 12 VP OW</v>
      </c>
      <c r="K7" s="237">
        <f>+C7+C16</f>
        <v>18028</v>
      </c>
      <c r="L7" s="241"/>
      <c r="M7" s="117">
        <f>+K7+'27'!M7+L7</f>
        <v>154807</v>
      </c>
      <c r="N7" s="424">
        <v>14.5</v>
      </c>
      <c r="O7" s="199">
        <v>1200</v>
      </c>
      <c r="P7" s="199">
        <v>1120</v>
      </c>
      <c r="Q7" s="199">
        <v>896</v>
      </c>
      <c r="R7" s="425">
        <f>1-(Q7/P7)</f>
        <v>0.19999999999999996</v>
      </c>
      <c r="S7" s="426">
        <v>45</v>
      </c>
      <c r="T7" s="427">
        <v>256.5</v>
      </c>
      <c r="U7" s="428">
        <f>(O7*(1-R7)*N7*T7*S7)/100000000</f>
        <v>1.606716</v>
      </c>
      <c r="V7" s="429">
        <f>+C14/1000</f>
        <v>13.214</v>
      </c>
      <c r="W7" s="430">
        <f>SUM(V7:V9)/SUM(U7:U9)</f>
        <v>0.6326329845856633</v>
      </c>
      <c r="Y7" s="149">
        <v>1230</v>
      </c>
      <c r="Z7" s="149">
        <f>+Y7-Y7*0.23</f>
        <v>947.09999999999991</v>
      </c>
      <c r="AA7" s="149">
        <f>60-55+180+35</f>
        <v>220</v>
      </c>
      <c r="AB7" s="149">
        <f t="shared" si="0"/>
        <v>270600</v>
      </c>
      <c r="AC7" s="149">
        <f t="shared" si="1"/>
        <v>208361.99999999997</v>
      </c>
      <c r="AF7" s="149">
        <v>1230</v>
      </c>
      <c r="AG7" s="149">
        <f>+AF7-AF7*0.23</f>
        <v>947.09999999999991</v>
      </c>
      <c r="AH7" s="149">
        <f>60-55+180+35</f>
        <v>220</v>
      </c>
      <c r="AI7" s="149">
        <f t="shared" si="2"/>
        <v>270600</v>
      </c>
      <c r="AJ7" s="149">
        <f t="shared" si="3"/>
        <v>208361.99999999997</v>
      </c>
    </row>
    <row r="8" spans="1:36" ht="13.5" thickBot="1">
      <c r="A8" s="768"/>
      <c r="B8" s="215"/>
      <c r="C8" s="216"/>
      <c r="D8" s="217"/>
      <c r="E8" s="219"/>
      <c r="F8" s="230"/>
      <c r="G8" s="231" t="s">
        <v>11</v>
      </c>
      <c r="H8" s="229" t="s">
        <v>282</v>
      </c>
      <c r="I8" s="771"/>
      <c r="J8" s="214" t="str">
        <f>+'27'!J8</f>
        <v>F 13 VP OW</v>
      </c>
      <c r="K8" s="238">
        <f>+C17+C25</f>
        <v>21079</v>
      </c>
      <c r="L8" s="238"/>
      <c r="M8" s="117">
        <f>+K8+'27'!M8+L8</f>
        <v>81171</v>
      </c>
      <c r="N8" s="424">
        <v>18</v>
      </c>
      <c r="O8" s="199">
        <v>1200</v>
      </c>
      <c r="P8" s="199">
        <v>930</v>
      </c>
      <c r="Q8" s="199">
        <v>744</v>
      </c>
      <c r="R8" s="425">
        <f>1-(Q8/P8)</f>
        <v>0.19999999999999996</v>
      </c>
      <c r="S8" s="426">
        <f>480-S7</f>
        <v>435</v>
      </c>
      <c r="T8" s="427">
        <v>256.5</v>
      </c>
      <c r="U8" s="428">
        <f>(O8*(1-R8)*N8*T8*S8)/100000000</f>
        <v>19.280591999999999</v>
      </c>
      <c r="V8" s="429"/>
      <c r="W8" s="431"/>
      <c r="Y8" s="149">
        <v>1230</v>
      </c>
      <c r="Z8" s="149">
        <f>+Y8-Y8*0.235</f>
        <v>940.95</v>
      </c>
      <c r="AA8" s="149">
        <f>60-22</f>
        <v>38</v>
      </c>
      <c r="AB8" s="149">
        <f t="shared" si="0"/>
        <v>46740</v>
      </c>
      <c r="AC8" s="149">
        <f t="shared" si="1"/>
        <v>35756.1</v>
      </c>
      <c r="AF8" s="149">
        <v>1230</v>
      </c>
      <c r="AG8" s="149">
        <f>+AF8-AF8*0.235</f>
        <v>940.95</v>
      </c>
      <c r="AH8" s="149">
        <f>60-22</f>
        <v>38</v>
      </c>
      <c r="AI8" s="149">
        <f t="shared" si="2"/>
        <v>46740</v>
      </c>
      <c r="AJ8" s="149">
        <f t="shared" si="3"/>
        <v>35756.1</v>
      </c>
    </row>
    <row r="9" spans="1:36" ht="13.5" thickBot="1">
      <c r="A9" s="768"/>
      <c r="B9" s="215"/>
      <c r="C9" s="216"/>
      <c r="D9" s="217"/>
      <c r="E9" s="220"/>
      <c r="F9" s="227">
        <f>24-9</f>
        <v>15</v>
      </c>
      <c r="G9" s="231" t="s">
        <v>11</v>
      </c>
      <c r="H9" s="232" t="s">
        <v>493</v>
      </c>
      <c r="I9" s="771"/>
      <c r="J9" s="214" t="str">
        <f>+'27'!J9</f>
        <v>F 14 VP OW</v>
      </c>
      <c r="K9" s="238"/>
      <c r="L9" s="238"/>
      <c r="M9" s="117">
        <f>+K9+'27'!M9+L9</f>
        <v>28251</v>
      </c>
      <c r="N9" s="432"/>
      <c r="Z9" s="149">
        <f>+Y9-Y9*0.23</f>
        <v>0</v>
      </c>
      <c r="AB9" s="149">
        <f t="shared" si="0"/>
        <v>0</v>
      </c>
      <c r="AC9" s="149">
        <f t="shared" si="1"/>
        <v>0</v>
      </c>
      <c r="AE9" s="149" t="s">
        <v>386</v>
      </c>
      <c r="AF9" s="149">
        <v>1230</v>
      </c>
      <c r="AG9" s="149">
        <v>947.09999999999991</v>
      </c>
      <c r="AH9" s="149">
        <v>107</v>
      </c>
      <c r="AI9" s="149">
        <f t="shared" si="2"/>
        <v>131610</v>
      </c>
      <c r="AJ9" s="149">
        <f t="shared" si="3"/>
        <v>101339.7</v>
      </c>
    </row>
    <row r="10" spans="1:36" ht="26.25" thickBot="1">
      <c r="A10" s="768"/>
      <c r="B10" s="215"/>
      <c r="C10" s="216"/>
      <c r="D10" s="217"/>
      <c r="E10" s="219"/>
      <c r="F10" s="227"/>
      <c r="G10" s="236" t="s">
        <v>12</v>
      </c>
      <c r="H10" s="232" t="s">
        <v>640</v>
      </c>
      <c r="I10" s="771"/>
      <c r="J10" s="214" t="str">
        <f>+'27'!J10</f>
        <v>F 11 VP OW</v>
      </c>
      <c r="K10" s="238"/>
      <c r="L10" s="238"/>
      <c r="M10" s="117">
        <f>+K10+'27'!M10+L10</f>
        <v>33513</v>
      </c>
      <c r="N10" s="432"/>
      <c r="AE10" s="149" t="s">
        <v>386</v>
      </c>
      <c r="AF10" s="149">
        <v>1230</v>
      </c>
      <c r="AG10" s="149">
        <v>947.09999999999991</v>
      </c>
      <c r="AH10" s="149">
        <v>114</v>
      </c>
      <c r="AI10" s="149">
        <f t="shared" si="2"/>
        <v>140220</v>
      </c>
      <c r="AJ10" s="149">
        <f t="shared" si="3"/>
        <v>107969.4</v>
      </c>
    </row>
    <row r="11" spans="1:36" ht="64.5" thickBot="1">
      <c r="A11" s="768"/>
      <c r="B11" s="215"/>
      <c r="C11" s="216"/>
      <c r="D11" s="217"/>
      <c r="E11" s="219"/>
      <c r="F11" s="227">
        <v>47</v>
      </c>
      <c r="G11" s="231" t="s">
        <v>11</v>
      </c>
      <c r="H11" s="232" t="s">
        <v>641</v>
      </c>
      <c r="I11" s="771"/>
      <c r="J11" s="214" t="str">
        <f>+'27'!J11</f>
        <v>T 14 VP OW</v>
      </c>
      <c r="K11" s="238"/>
      <c r="L11" s="238"/>
      <c r="M11" s="117">
        <f>+K11+'27'!M11+L11</f>
        <v>54160</v>
      </c>
      <c r="N11" s="432"/>
    </row>
    <row r="12" spans="1:36" ht="13.5" thickBot="1">
      <c r="A12" s="768"/>
      <c r="B12" s="215"/>
      <c r="C12" s="216"/>
      <c r="D12" s="217"/>
      <c r="E12" s="219"/>
      <c r="F12" s="227"/>
      <c r="G12" s="231"/>
      <c r="H12" s="232"/>
      <c r="I12" s="771"/>
      <c r="J12" s="214" t="str">
        <f>+'27'!J12</f>
        <v>T 15 VP OW</v>
      </c>
      <c r="K12" s="238"/>
      <c r="L12" s="238"/>
      <c r="M12" s="117">
        <f>+K12+'27'!M12+L12</f>
        <v>68599</v>
      </c>
      <c r="N12" s="432"/>
    </row>
    <row r="13" spans="1:36" ht="13.5" thickBot="1">
      <c r="A13" s="768"/>
      <c r="B13" s="215"/>
      <c r="C13" s="216"/>
      <c r="D13" s="216"/>
      <c r="E13" s="219"/>
      <c r="F13" s="227"/>
      <c r="G13" s="231"/>
      <c r="H13" s="232"/>
      <c r="I13" s="772"/>
      <c r="J13" s="214">
        <f>+'27'!J13</f>
        <v>0</v>
      </c>
      <c r="K13" s="238"/>
      <c r="L13" s="238"/>
      <c r="M13" s="117">
        <f>+K13+'27'!M13+L13</f>
        <v>0</v>
      </c>
      <c r="N13" s="433"/>
      <c r="O13" s="434"/>
      <c r="P13" s="434"/>
      <c r="Q13" s="434"/>
      <c r="R13" s="434"/>
      <c r="S13" s="434"/>
      <c r="T13" s="434"/>
      <c r="U13" s="434"/>
      <c r="V13" s="434"/>
      <c r="W13" s="434"/>
    </row>
    <row r="14" spans="1:36" ht="13.5" thickBot="1">
      <c r="A14" s="769"/>
      <c r="B14" s="165" t="s">
        <v>2</v>
      </c>
      <c r="C14" s="99">
        <f>SUM(C7:C13)</f>
        <v>13214</v>
      </c>
      <c r="D14" s="111">
        <f>SUM(D7:D13)</f>
        <v>0</v>
      </c>
      <c r="E14" s="112">
        <f>SUM(E5:E13)</f>
        <v>0</v>
      </c>
      <c r="F14" s="116">
        <f>SUM(F7:F13)</f>
        <v>71</v>
      </c>
      <c r="G14" s="159"/>
      <c r="H14" s="166"/>
      <c r="I14" s="167"/>
      <c r="J14" s="214">
        <f>+'27'!J14</f>
        <v>0</v>
      </c>
      <c r="K14" s="238"/>
      <c r="L14" s="238"/>
      <c r="M14" s="117">
        <f>+K14+'27'!M14+L14</f>
        <v>0</v>
      </c>
      <c r="AA14" s="149">
        <f>SUM(AA6:AA13)</f>
        <v>433</v>
      </c>
      <c r="AB14" s="149">
        <f>SUM(AB6:AB13)</f>
        <v>530840</v>
      </c>
      <c r="AC14" s="149">
        <f>SUM(AC6:AC13)</f>
        <v>408513.1</v>
      </c>
      <c r="AH14" s="149">
        <f>SUM(AH6:AH13)</f>
        <v>654</v>
      </c>
      <c r="AI14" s="149">
        <f>SUM(AI6:AI13)</f>
        <v>802670</v>
      </c>
      <c r="AJ14" s="149">
        <f>SUM(AJ6:AJ13)</f>
        <v>617822.19999999995</v>
      </c>
    </row>
    <row r="15" spans="1:36" ht="13.5" customHeight="1" thickBot="1">
      <c r="A15" s="767" t="s">
        <v>388</v>
      </c>
      <c r="B15" s="165"/>
      <c r="C15" s="113">
        <f>C14/($C$23+$D$23+$E$23)</f>
        <v>1.0488966502619463</v>
      </c>
      <c r="D15" s="114">
        <f>D14/($C$23+$D$23+$E$23)</f>
        <v>0</v>
      </c>
      <c r="E15" s="115">
        <f>E14/($C$23+$D$23+$E$23)</f>
        <v>0</v>
      </c>
      <c r="F15" s="227">
        <v>9</v>
      </c>
      <c r="G15" s="228" t="s">
        <v>11</v>
      </c>
      <c r="H15" s="229" t="s">
        <v>460</v>
      </c>
      <c r="I15" s="770" t="s">
        <v>644</v>
      </c>
      <c r="J15" s="214">
        <f>+'27'!J15</f>
        <v>0</v>
      </c>
      <c r="K15" s="238"/>
      <c r="L15" s="238"/>
      <c r="M15" s="117">
        <f>+K15+'27'!M15+L15</f>
        <v>0</v>
      </c>
      <c r="N15" s="424">
        <v>18</v>
      </c>
      <c r="O15" s="199">
        <v>1200</v>
      </c>
      <c r="P15" s="199">
        <v>850</v>
      </c>
      <c r="Q15" s="199">
        <v>680</v>
      </c>
      <c r="R15" s="425">
        <f>1-(Q15/P15)</f>
        <v>0.19999999999999996</v>
      </c>
      <c r="S15" s="426">
        <v>480</v>
      </c>
      <c r="T15" s="427">
        <v>256.5</v>
      </c>
      <c r="U15" s="428">
        <f>(O15*(1-R15)*N15*T15*S15)/100000000</f>
        <v>21.275136</v>
      </c>
      <c r="V15" s="429">
        <f>+C23/1000</f>
        <v>12.063000000000001</v>
      </c>
      <c r="W15" s="430">
        <f>SUM(V15:V17)/SUM(U15:U17)</f>
        <v>0.56699990072918927</v>
      </c>
      <c r="AA15" s="149">
        <f>480-AA14</f>
        <v>47</v>
      </c>
      <c r="AB15" s="149">
        <f>+AB14/AA14</f>
        <v>1225.958429561201</v>
      </c>
      <c r="AC15" s="149">
        <f>+AC14/AA14</f>
        <v>943.44826789838328</v>
      </c>
      <c r="AH15" s="149">
        <f>480-AH14</f>
        <v>-174</v>
      </c>
      <c r="AI15" s="149">
        <f>+AI14/AH14</f>
        <v>1227.3241590214068</v>
      </c>
      <c r="AJ15" s="149">
        <f>+AJ14/AH14</f>
        <v>944.68226299694186</v>
      </c>
    </row>
    <row r="16" spans="1:36" ht="13.5" thickBot="1">
      <c r="A16" s="773"/>
      <c r="B16" s="215" t="s">
        <v>387</v>
      </c>
      <c r="C16" s="221">
        <f>2584+2230</f>
        <v>4814</v>
      </c>
      <c r="D16" s="222">
        <v>535</v>
      </c>
      <c r="E16" s="223"/>
      <c r="F16" s="230"/>
      <c r="G16" s="231" t="s">
        <v>11</v>
      </c>
      <c r="H16" s="229" t="s">
        <v>282</v>
      </c>
      <c r="I16" s="771"/>
      <c r="J16" s="214">
        <f>+'27'!J16</f>
        <v>0</v>
      </c>
      <c r="K16" s="228"/>
      <c r="L16" s="228"/>
      <c r="M16" s="117">
        <f>+K16+'27'!M16+L16</f>
        <v>0</v>
      </c>
      <c r="N16" s="435"/>
      <c r="O16" s="199"/>
      <c r="P16" s="199"/>
      <c r="Q16" s="436"/>
      <c r="R16" s="425"/>
      <c r="S16" s="199"/>
      <c r="T16" s="427"/>
      <c r="U16" s="428"/>
      <c r="V16" s="429"/>
      <c r="W16" s="431"/>
    </row>
    <row r="17" spans="1:36" ht="13.5" thickBot="1">
      <c r="A17" s="773"/>
      <c r="B17" s="215" t="s">
        <v>529</v>
      </c>
      <c r="C17" s="216">
        <f>3249+4000</f>
        <v>7249</v>
      </c>
      <c r="D17" s="217"/>
      <c r="E17" s="224"/>
      <c r="F17" s="227">
        <f>26-9</f>
        <v>17</v>
      </c>
      <c r="G17" s="231" t="s">
        <v>11</v>
      </c>
      <c r="H17" s="232" t="s">
        <v>479</v>
      </c>
      <c r="I17" s="771"/>
      <c r="J17" s="214">
        <f>+'27'!J17</f>
        <v>0</v>
      </c>
      <c r="K17" s="228"/>
      <c r="L17" s="228"/>
      <c r="M17" s="117">
        <f>+K17+'27'!M17+L17</f>
        <v>0</v>
      </c>
      <c r="N17" s="432"/>
      <c r="O17" s="199"/>
      <c r="R17" s="425"/>
      <c r="T17" s="427"/>
      <c r="U17" s="428"/>
      <c r="X17" s="149" t="s">
        <v>386</v>
      </c>
      <c r="Y17" s="149">
        <v>1230</v>
      </c>
      <c r="Z17" s="149">
        <f>+Y17-Y17*0.23</f>
        <v>947.09999999999991</v>
      </c>
      <c r="AA17" s="149">
        <f>60+47</f>
        <v>107</v>
      </c>
      <c r="AB17" s="149">
        <f t="shared" ref="AB17:AB20" si="4">+Y17*AA17</f>
        <v>131610</v>
      </c>
      <c r="AC17" s="149">
        <f t="shared" ref="AC17:AC20" si="5">+Z17*AA17</f>
        <v>101339.7</v>
      </c>
    </row>
    <row r="18" spans="1:36" ht="26.25" thickBot="1">
      <c r="A18" s="773"/>
      <c r="B18" s="215"/>
      <c r="C18" s="216"/>
      <c r="D18" s="217"/>
      <c r="E18" s="224"/>
      <c r="F18" s="227"/>
      <c r="G18" s="236" t="s">
        <v>12</v>
      </c>
      <c r="H18" s="232" t="s">
        <v>638</v>
      </c>
      <c r="I18" s="771"/>
      <c r="J18" s="214">
        <f>+'27'!J18</f>
        <v>0</v>
      </c>
      <c r="K18" s="238"/>
      <c r="L18" s="238"/>
      <c r="M18" s="117">
        <f>+K18+'27'!M18+L18</f>
        <v>0</v>
      </c>
      <c r="N18" s="432"/>
      <c r="X18" s="149" t="s">
        <v>516</v>
      </c>
      <c r="Y18" s="149">
        <v>1210</v>
      </c>
      <c r="Z18" s="149">
        <f t="shared" ref="Z18:Z19" si="6">+Y18-Y18*0.23</f>
        <v>931.7</v>
      </c>
      <c r="AA18" s="149">
        <f>60-47+60+11</f>
        <v>84</v>
      </c>
      <c r="AB18" s="149">
        <f t="shared" si="4"/>
        <v>101640</v>
      </c>
      <c r="AC18" s="149">
        <f t="shared" si="5"/>
        <v>78262.8</v>
      </c>
      <c r="AE18" s="149" t="s">
        <v>516</v>
      </c>
      <c r="AF18" s="149">
        <v>1210</v>
      </c>
      <c r="AG18" s="149">
        <v>931.7</v>
      </c>
      <c r="AH18" s="149">
        <v>84</v>
      </c>
      <c r="AI18" s="149">
        <f t="shared" ref="AI18:AI21" si="7">+AF18*AH18</f>
        <v>101640</v>
      </c>
      <c r="AJ18" s="149">
        <f t="shared" ref="AJ18:AJ21" si="8">+AG18*AH18</f>
        <v>78262.8</v>
      </c>
    </row>
    <row r="19" spans="1:36" ht="39" thickBot="1">
      <c r="A19" s="773"/>
      <c r="B19" s="215"/>
      <c r="C19" s="216"/>
      <c r="D19" s="217"/>
      <c r="E19" s="224"/>
      <c r="F19" s="234"/>
      <c r="G19" s="231"/>
      <c r="H19" s="232" t="s">
        <v>639</v>
      </c>
      <c r="I19" s="771"/>
      <c r="J19" s="214">
        <f>+'27'!J19</f>
        <v>0</v>
      </c>
      <c r="K19" s="238"/>
      <c r="L19" s="238"/>
      <c r="M19" s="117">
        <f>+K19+'27'!M19+L19</f>
        <v>0</v>
      </c>
      <c r="N19" s="432"/>
      <c r="Y19" s="149">
        <v>1230</v>
      </c>
      <c r="Z19" s="149">
        <f t="shared" si="6"/>
        <v>947.09999999999991</v>
      </c>
      <c r="AA19" s="149">
        <f>480-AA17-AA18</f>
        <v>289</v>
      </c>
      <c r="AB19" s="149">
        <f t="shared" si="4"/>
        <v>355470</v>
      </c>
      <c r="AC19" s="149">
        <f t="shared" si="5"/>
        <v>273711.89999999997</v>
      </c>
      <c r="AF19" s="149">
        <v>1230</v>
      </c>
      <c r="AG19" s="149">
        <v>947.09999999999991</v>
      </c>
      <c r="AH19" s="149">
        <v>289</v>
      </c>
      <c r="AI19" s="149">
        <f t="shared" si="7"/>
        <v>355470</v>
      </c>
      <c r="AJ19" s="149">
        <f t="shared" si="8"/>
        <v>273711.89999999997</v>
      </c>
    </row>
    <row r="20" spans="1:36" ht="13.5" thickBot="1">
      <c r="A20" s="773"/>
      <c r="B20" s="215"/>
      <c r="C20" s="216"/>
      <c r="D20" s="217"/>
      <c r="E20" s="224"/>
      <c r="F20" s="227"/>
      <c r="G20" s="231"/>
      <c r="H20" s="232"/>
      <c r="I20" s="771"/>
      <c r="J20" s="214">
        <f>+'27'!J20</f>
        <v>0</v>
      </c>
      <c r="K20" s="239"/>
      <c r="L20" s="239"/>
      <c r="M20" s="117">
        <f>+K20+'27'!M20+L20</f>
        <v>0</v>
      </c>
      <c r="N20" s="432"/>
      <c r="Z20" s="149">
        <f>+Y20-Y20*0.23</f>
        <v>0</v>
      </c>
      <c r="AB20" s="149">
        <f t="shared" si="4"/>
        <v>0</v>
      </c>
      <c r="AC20" s="149">
        <f t="shared" si="5"/>
        <v>0</v>
      </c>
      <c r="AE20" s="149" t="s">
        <v>516</v>
      </c>
      <c r="AF20" s="149">
        <v>1230</v>
      </c>
      <c r="AG20" s="149">
        <v>947.09999999999991</v>
      </c>
      <c r="AH20" s="149">
        <v>366</v>
      </c>
      <c r="AI20" s="149">
        <f t="shared" si="7"/>
        <v>450180</v>
      </c>
      <c r="AJ20" s="149">
        <f t="shared" si="8"/>
        <v>346638.6</v>
      </c>
    </row>
    <row r="21" spans="1:36" ht="13.5" thickBot="1">
      <c r="A21" s="773"/>
      <c r="B21" s="215"/>
      <c r="C21" s="216"/>
      <c r="D21" s="217"/>
      <c r="E21" s="224"/>
      <c r="F21" s="230"/>
      <c r="G21" s="231"/>
      <c r="H21" s="232"/>
      <c r="I21" s="771"/>
      <c r="J21" s="214">
        <f>+'27'!J21</f>
        <v>0</v>
      </c>
      <c r="K21" s="238"/>
      <c r="L21" s="238"/>
      <c r="M21" s="117">
        <f>+K21+'27'!M21+L21</f>
        <v>0</v>
      </c>
      <c r="N21" s="433"/>
      <c r="O21" s="434"/>
      <c r="P21" s="434"/>
      <c r="Q21" s="434"/>
      <c r="R21" s="434"/>
      <c r="S21" s="434"/>
      <c r="T21" s="434"/>
      <c r="U21" s="434"/>
      <c r="V21" s="434"/>
      <c r="W21" s="434"/>
      <c r="AG21" s="149">
        <f>+AF21-AF21*0.23</f>
        <v>0</v>
      </c>
      <c r="AI21" s="149">
        <f t="shared" si="7"/>
        <v>0</v>
      </c>
      <c r="AJ21" s="149">
        <f t="shared" si="8"/>
        <v>0</v>
      </c>
    </row>
    <row r="22" spans="1:36" ht="13.5" thickBot="1">
      <c r="A22" s="773"/>
      <c r="B22" s="215"/>
      <c r="C22" s="216"/>
      <c r="D22" s="217"/>
      <c r="E22" s="224"/>
      <c r="F22" s="235"/>
      <c r="G22" s="231"/>
      <c r="H22" s="232"/>
      <c r="I22" s="772"/>
      <c r="J22" s="214">
        <f>+'27'!J22</f>
        <v>0</v>
      </c>
      <c r="K22" s="238"/>
      <c r="L22" s="238"/>
      <c r="M22" s="117">
        <f>+K22+'27'!M22+L22</f>
        <v>0</v>
      </c>
    </row>
    <row r="23" spans="1:36" ht="13.5" thickBot="1">
      <c r="A23" s="774"/>
      <c r="B23" s="168" t="s">
        <v>2</v>
      </c>
      <c r="C23" s="100">
        <f>SUM(C16:C22)</f>
        <v>12063</v>
      </c>
      <c r="D23" s="111">
        <f>SUM(D16:D22)</f>
        <v>535</v>
      </c>
      <c r="E23" s="112">
        <f>SUM(E18:E22)</f>
        <v>0</v>
      </c>
      <c r="F23" s="116">
        <f>SUM(F15:F22)</f>
        <v>26</v>
      </c>
      <c r="G23" s="159"/>
      <c r="H23" s="166"/>
      <c r="I23" s="169"/>
      <c r="J23" s="214">
        <f>+'27'!J23</f>
        <v>0</v>
      </c>
      <c r="K23" s="238"/>
      <c r="L23" s="238"/>
      <c r="M23" s="117">
        <f>+K23+'27'!M23+L23</f>
        <v>0</v>
      </c>
      <c r="N23" s="437"/>
      <c r="O23" s="438"/>
      <c r="P23" s="438"/>
      <c r="Q23" s="438"/>
      <c r="R23" s="438"/>
      <c r="S23" s="438"/>
      <c r="T23" s="438"/>
      <c r="U23" s="438"/>
      <c r="V23" s="438"/>
      <c r="W23" s="438"/>
    </row>
    <row r="24" spans="1:36" ht="13.5" customHeight="1" thickBot="1">
      <c r="A24" s="767" t="s">
        <v>410</v>
      </c>
      <c r="B24" s="170"/>
      <c r="C24" s="113">
        <f>C23/($C$23+$D$23+$E$23)</f>
        <v>0.9575329417367836</v>
      </c>
      <c r="D24" s="114">
        <f>D23/($C$23+$D$23+$E$23)</f>
        <v>4.2467058263216381E-2</v>
      </c>
      <c r="E24" s="115">
        <f>E23/($C$23+$D$23+$E$23)</f>
        <v>0</v>
      </c>
      <c r="F24" s="227">
        <v>9</v>
      </c>
      <c r="G24" s="228" t="s">
        <v>11</v>
      </c>
      <c r="H24" s="229" t="s">
        <v>460</v>
      </c>
      <c r="I24" s="770" t="s">
        <v>508</v>
      </c>
      <c r="J24" s="214">
        <f>+'27'!J24</f>
        <v>0</v>
      </c>
      <c r="K24" s="238"/>
      <c r="L24" s="238"/>
      <c r="M24" s="117">
        <f>+K24+'27'!M24+L24</f>
        <v>0</v>
      </c>
      <c r="N24" s="424">
        <v>18</v>
      </c>
      <c r="O24" s="199">
        <v>1200</v>
      </c>
      <c r="P24" s="199">
        <v>770</v>
      </c>
      <c r="Q24" s="199">
        <v>616</v>
      </c>
      <c r="R24" s="425">
        <f>1-(Q24/P24)</f>
        <v>0.19999999999999996</v>
      </c>
      <c r="S24" s="426">
        <v>480</v>
      </c>
      <c r="T24" s="427">
        <v>256.5</v>
      </c>
      <c r="U24" s="428">
        <f>(O24*(1-R24)*N24*T24*S24)/100000000</f>
        <v>21.275136</v>
      </c>
      <c r="V24" s="429">
        <f>+C32/1000</f>
        <v>13.83</v>
      </c>
      <c r="W24" s="430">
        <f>SUM(V24:V25)/SUM(U24:U25)</f>
        <v>0.65005459894592454</v>
      </c>
    </row>
    <row r="25" spans="1:36" ht="13.5" customHeight="1" thickBot="1">
      <c r="A25" s="773"/>
      <c r="B25" s="215" t="s">
        <v>529</v>
      </c>
      <c r="C25" s="225">
        <v>13830</v>
      </c>
      <c r="D25" s="217"/>
      <c r="E25" s="224"/>
      <c r="F25" s="230">
        <v>2</v>
      </c>
      <c r="G25" s="231" t="s">
        <v>11</v>
      </c>
      <c r="H25" s="229" t="s">
        <v>455</v>
      </c>
      <c r="I25" s="771"/>
      <c r="J25" s="214">
        <f>+'27'!J25</f>
        <v>0</v>
      </c>
      <c r="K25" s="238"/>
      <c r="L25" s="238"/>
      <c r="M25" s="117">
        <f>+K25+'27'!M25+L25</f>
        <v>0</v>
      </c>
      <c r="N25" s="424"/>
      <c r="O25" s="199"/>
      <c r="P25" s="199"/>
      <c r="Q25" s="199"/>
      <c r="R25" s="425"/>
      <c r="S25" s="426"/>
      <c r="T25" s="427"/>
      <c r="U25" s="428"/>
      <c r="V25" s="429"/>
      <c r="W25" s="430"/>
      <c r="AA25" s="149">
        <f>SUM(AA17:AA24)</f>
        <v>480</v>
      </c>
      <c r="AB25" s="149">
        <f>SUM(AB17:AB24)</f>
        <v>588720</v>
      </c>
      <c r="AC25" s="149">
        <f>SUM(AC17:AC24)</f>
        <v>453314.39999999997</v>
      </c>
    </row>
    <row r="26" spans="1:36" ht="13.5" customHeight="1" thickBot="1">
      <c r="A26" s="773"/>
      <c r="B26" s="215"/>
      <c r="C26" s="225"/>
      <c r="D26" s="217"/>
      <c r="E26" s="226"/>
      <c r="F26" s="227">
        <f>23-11</f>
        <v>12</v>
      </c>
      <c r="G26" s="231" t="s">
        <v>11</v>
      </c>
      <c r="H26" s="232" t="s">
        <v>479</v>
      </c>
      <c r="I26" s="771"/>
      <c r="J26" s="214">
        <f>+'27'!J26</f>
        <v>0</v>
      </c>
      <c r="K26" s="238"/>
      <c r="L26" s="238"/>
      <c r="M26" s="117">
        <f>+K26+'27'!M26+L26</f>
        <v>0</v>
      </c>
      <c r="AA26" s="149">
        <f>480-AA25</f>
        <v>0</v>
      </c>
      <c r="AB26" s="149">
        <f>+AB25/AA25</f>
        <v>1226.5</v>
      </c>
      <c r="AC26" s="149">
        <f>+AC25/AA25</f>
        <v>944.40499999999997</v>
      </c>
      <c r="AH26" s="149">
        <f>SUM(AH18:AH25)</f>
        <v>739</v>
      </c>
      <c r="AI26" s="149">
        <f>SUM(AI18:AI25)</f>
        <v>907290</v>
      </c>
      <c r="AJ26" s="149">
        <f>SUM(AJ18:AJ25)</f>
        <v>698613.29999999993</v>
      </c>
    </row>
    <row r="27" spans="1:36" ht="26.25" thickBot="1">
      <c r="A27" s="773"/>
      <c r="B27" s="215"/>
      <c r="C27" s="216"/>
      <c r="D27" s="217"/>
      <c r="E27" s="224"/>
      <c r="F27" s="227"/>
      <c r="G27" s="236" t="s">
        <v>12</v>
      </c>
      <c r="H27" s="232" t="s">
        <v>637</v>
      </c>
      <c r="I27" s="771"/>
      <c r="J27" s="214">
        <f>+'27'!J27</f>
        <v>0</v>
      </c>
      <c r="K27" s="238"/>
      <c r="L27" s="238"/>
      <c r="M27" s="117">
        <f>+K27+'27'!M27+L27</f>
        <v>0</v>
      </c>
      <c r="X27" s="149" t="s">
        <v>516</v>
      </c>
      <c r="Y27" s="149">
        <v>1230</v>
      </c>
      <c r="Z27" s="149">
        <f>+Y27-Y27*0.23</f>
        <v>947.09999999999991</v>
      </c>
      <c r="AA27" s="149">
        <f>60*6+6</f>
        <v>366</v>
      </c>
      <c r="AB27" s="149">
        <f t="shared" ref="AB27:AB30" si="9">+Y27*AA27</f>
        <v>450180</v>
      </c>
      <c r="AC27" s="149">
        <f t="shared" ref="AC27:AC30" si="10">+Z27*AA27</f>
        <v>346638.6</v>
      </c>
      <c r="AH27" s="149">
        <f>480-AH26</f>
        <v>-259</v>
      </c>
      <c r="AI27" s="149">
        <f>+AI26/AH26</f>
        <v>1227.726657645467</v>
      </c>
      <c r="AJ27" s="149">
        <f>+AJ26/AH26</f>
        <v>945.3495263870094</v>
      </c>
    </row>
    <row r="28" spans="1:36" ht="13.5" customHeight="1" thickBot="1">
      <c r="A28" s="773"/>
      <c r="B28" s="215"/>
      <c r="C28" s="216"/>
      <c r="D28" s="217"/>
      <c r="E28" s="224"/>
      <c r="F28" s="230"/>
      <c r="G28" s="231"/>
      <c r="H28" s="232" t="s">
        <v>642</v>
      </c>
      <c r="I28" s="771"/>
      <c r="J28" s="214">
        <f>+'27'!J28</f>
        <v>0</v>
      </c>
      <c r="K28" s="238"/>
      <c r="L28" s="238"/>
      <c r="M28" s="117">
        <f>+K28+'27'!M28+L28</f>
        <v>0</v>
      </c>
      <c r="X28" s="149" t="s">
        <v>386</v>
      </c>
      <c r="Y28" s="149">
        <v>1230</v>
      </c>
      <c r="Z28" s="149">
        <f>+Y28-Y28*0.23</f>
        <v>947.09999999999991</v>
      </c>
      <c r="AA28" s="149">
        <f>480-AA27</f>
        <v>114</v>
      </c>
      <c r="AB28" s="149">
        <f t="shared" si="9"/>
        <v>140220</v>
      </c>
      <c r="AC28" s="149">
        <f t="shared" si="10"/>
        <v>107969.4</v>
      </c>
    </row>
    <row r="29" spans="1:36" ht="13.5" customHeight="1" thickBot="1">
      <c r="A29" s="773"/>
      <c r="B29" s="215"/>
      <c r="C29" s="216"/>
      <c r="D29" s="217"/>
      <c r="E29" s="224"/>
      <c r="F29" s="235"/>
      <c r="G29" s="231"/>
      <c r="H29" s="232"/>
      <c r="I29" s="771"/>
      <c r="J29" s="214">
        <f>+'27'!J29</f>
        <v>0</v>
      </c>
      <c r="K29" s="238"/>
      <c r="L29" s="238"/>
      <c r="M29" s="117">
        <f>+K29+'27'!M29+L29</f>
        <v>0</v>
      </c>
      <c r="Z29" s="149">
        <f t="shared" ref="Z29" si="11">+Y29-Y29*0.23</f>
        <v>0</v>
      </c>
      <c r="AA29" s="149">
        <f>480-AA27-AA28</f>
        <v>0</v>
      </c>
      <c r="AB29" s="149">
        <f t="shared" si="9"/>
        <v>0</v>
      </c>
      <c r="AC29" s="149">
        <f t="shared" si="10"/>
        <v>0</v>
      </c>
    </row>
    <row r="30" spans="1:36" ht="13.5" customHeight="1" thickBot="1">
      <c r="A30" s="773"/>
      <c r="B30" s="215"/>
      <c r="C30" s="225"/>
      <c r="D30" s="217"/>
      <c r="E30" s="224"/>
      <c r="F30" s="235"/>
      <c r="G30" s="231"/>
      <c r="H30" s="232"/>
      <c r="I30" s="771"/>
      <c r="J30" s="214">
        <f>+'27'!J30</f>
        <v>0</v>
      </c>
      <c r="K30" s="238"/>
      <c r="L30" s="238"/>
      <c r="M30" s="117">
        <f>+K30+'27'!M30+L30</f>
        <v>0</v>
      </c>
      <c r="N30" s="155"/>
      <c r="Z30" s="149">
        <f>+Y30-Y30*0.23</f>
        <v>0</v>
      </c>
      <c r="AB30" s="149">
        <f t="shared" si="9"/>
        <v>0</v>
      </c>
      <c r="AC30" s="149">
        <f t="shared" si="10"/>
        <v>0</v>
      </c>
    </row>
    <row r="31" spans="1:36" ht="13.5" customHeight="1" thickBot="1">
      <c r="A31" s="773"/>
      <c r="B31" s="215"/>
      <c r="C31" s="225"/>
      <c r="D31" s="217"/>
      <c r="E31" s="224"/>
      <c r="F31" s="235"/>
      <c r="G31" s="236"/>
      <c r="H31" s="444"/>
      <c r="I31" s="772"/>
      <c r="J31" s="214">
        <f>+'27'!J31</f>
        <v>0</v>
      </c>
      <c r="K31" s="238"/>
      <c r="L31" s="238"/>
      <c r="M31" s="117">
        <f>+K31+'27'!M31+L31</f>
        <v>0</v>
      </c>
    </row>
    <row r="32" spans="1:36" ht="13.5" customHeight="1" thickBot="1">
      <c r="A32" s="774"/>
      <c r="B32" s="165" t="s">
        <v>2</v>
      </c>
      <c r="C32" s="99">
        <f>SUM(C25:C31)</f>
        <v>13830</v>
      </c>
      <c r="D32" s="100">
        <f>SUM(D25:D31)</f>
        <v>0</v>
      </c>
      <c r="E32" s="101">
        <f>SUM(E25:E31)</f>
        <v>0</v>
      </c>
      <c r="F32" s="102">
        <f>SUM(F24:F31)</f>
        <v>23</v>
      </c>
      <c r="G32" s="171"/>
      <c r="H32" s="172"/>
      <c r="I32" s="169"/>
      <c r="J32" s="214">
        <f>+'27'!J32</f>
        <v>0</v>
      </c>
      <c r="K32" s="240"/>
      <c r="L32" s="242"/>
      <c r="M32" s="117">
        <f>+K32+'27'!M32+L32</f>
        <v>0</v>
      </c>
    </row>
    <row r="33" spans="1:29" ht="13.5" thickBot="1">
      <c r="A33" s="173"/>
      <c r="B33" s="174"/>
      <c r="C33" s="103">
        <f>C32/($C$32+$D$32+$E$32)</f>
        <v>1</v>
      </c>
      <c r="D33" s="104">
        <f>D32/($C$32+$D$32+$E$32)</f>
        <v>0</v>
      </c>
      <c r="E33" s="105">
        <f>E32/($C$32+$D$32+$E$32)</f>
        <v>0</v>
      </c>
      <c r="F33" s="106"/>
      <c r="G33" s="175"/>
      <c r="H33" s="176"/>
      <c r="I33" s="177"/>
      <c r="J33" s="121"/>
      <c r="K33" s="122"/>
      <c r="L33" s="213"/>
      <c r="M33" s="119"/>
    </row>
    <row r="34" spans="1:29" ht="13.5" thickBot="1">
      <c r="A34" s="775" t="s">
        <v>57</v>
      </c>
      <c r="B34" s="776"/>
      <c r="C34" s="107">
        <f>C14+C23+C32</f>
        <v>39107</v>
      </c>
      <c r="D34" s="107">
        <f>D14+D23+D32</f>
        <v>535</v>
      </c>
      <c r="E34" s="107">
        <f>E14+E23+E32</f>
        <v>0</v>
      </c>
      <c r="F34" s="108">
        <f>F14+F23+F32</f>
        <v>120</v>
      </c>
      <c r="H34" s="178"/>
      <c r="I34" s="178"/>
      <c r="J34" s="123" t="s">
        <v>27</v>
      </c>
      <c r="K34" s="124">
        <f>SUM(K7:K32)</f>
        <v>39107</v>
      </c>
      <c r="L34" s="212">
        <f>SUM(L7:L32)</f>
        <v>0</v>
      </c>
      <c r="M34" s="120">
        <f>SUM(M7:M32)</f>
        <v>420501</v>
      </c>
      <c r="N34" s="155"/>
    </row>
    <row r="35" spans="1:29" ht="13.5" thickBot="1">
      <c r="A35" s="179"/>
      <c r="B35" s="180"/>
      <c r="C35" s="104">
        <f>C34/($C$34+$D$34+$E$34)</f>
        <v>0.98650421270369815</v>
      </c>
      <c r="D35" s="104">
        <f>D34/($C$34+$D$34+$E$34)</f>
        <v>1.3495787296301902E-2</v>
      </c>
      <c r="E35" s="109">
        <f>E34/($C$34+$D$34+$E$34)</f>
        <v>0</v>
      </c>
      <c r="K35" s="155"/>
      <c r="AA35" s="149">
        <f>SUM(AA27:AA34)</f>
        <v>480</v>
      </c>
      <c r="AB35" s="149">
        <f>SUM(AB27:AB34)</f>
        <v>590400</v>
      </c>
      <c r="AC35" s="149">
        <f>SUM(AC27:AC34)</f>
        <v>454608</v>
      </c>
    </row>
    <row r="36" spans="1:29" ht="13.5" thickBot="1">
      <c r="A36" s="178"/>
      <c r="B36" s="178"/>
      <c r="C36" s="155"/>
      <c r="D36" s="155"/>
      <c r="E36" s="155"/>
      <c r="G36" s="155"/>
      <c r="H36" s="181"/>
      <c r="I36" s="162" t="s">
        <v>36</v>
      </c>
      <c r="J36" s="162" t="s">
        <v>37</v>
      </c>
      <c r="K36" s="182"/>
      <c r="AA36" s="149">
        <f>480-AA35</f>
        <v>0</v>
      </c>
      <c r="AB36" s="149">
        <f>+AB35/AA35</f>
        <v>1230</v>
      </c>
      <c r="AC36" s="149">
        <f>+AC35/AA35</f>
        <v>947.1</v>
      </c>
    </row>
    <row r="37" spans="1:29" ht="17.45" customHeight="1" thickBot="1">
      <c r="A37" s="777" t="s">
        <v>58</v>
      </c>
      <c r="B37" s="778"/>
      <c r="C37" s="162" t="s">
        <v>59</v>
      </c>
      <c r="D37" s="183" t="s">
        <v>60</v>
      </c>
      <c r="E37" s="184" t="s">
        <v>61</v>
      </c>
      <c r="F37" s="321"/>
      <c r="G37" s="323"/>
      <c r="H37" s="186" t="s">
        <v>62</v>
      </c>
      <c r="I37" s="243">
        <f>(12*654+13*739)/1393*G42*2.74*1393/1000000</f>
        <v>45.197965346625985</v>
      </c>
      <c r="J37" s="125">
        <f>+I37+'27'!J37</f>
        <v>508.15097115846612</v>
      </c>
      <c r="K37" s="126" t="s">
        <v>63</v>
      </c>
    </row>
    <row r="38" spans="1:29" ht="17.45" customHeight="1">
      <c r="A38" s="779" t="s">
        <v>11</v>
      </c>
      <c r="B38" s="780"/>
      <c r="C38" s="164">
        <f>SUMIF($G$7:$G$31,"Process",$F$7:$F$31)</f>
        <v>120</v>
      </c>
      <c r="D38" s="118">
        <f>+C38+'27'!D38</f>
        <v>876</v>
      </c>
      <c r="E38" s="143">
        <f t="shared" ref="E38:E51" si="12">D38/60</f>
        <v>14.6</v>
      </c>
      <c r="F38" s="321">
        <v>1225.958429561201</v>
      </c>
      <c r="G38" s="321">
        <v>943.44826789838328</v>
      </c>
      <c r="H38" s="187" t="s">
        <v>64</v>
      </c>
      <c r="I38" s="244">
        <f>12.079+13.847+14.992</f>
        <v>40.918000000000006</v>
      </c>
      <c r="J38" s="127">
        <f>+I38+'27'!J38</f>
        <v>448.798</v>
      </c>
      <c r="K38" s="128" t="s">
        <v>63</v>
      </c>
    </row>
    <row r="39" spans="1:29" ht="17.45" customHeight="1">
      <c r="A39" s="781" t="s">
        <v>12</v>
      </c>
      <c r="B39" s="782"/>
      <c r="C39" s="164">
        <f>SUMIF($G$7:$G$31,"Cleaning",$F$7:$F$31)</f>
        <v>0</v>
      </c>
      <c r="D39" s="118">
        <f>+C39+'27'!D39</f>
        <v>0</v>
      </c>
      <c r="E39" s="143">
        <f t="shared" si="12"/>
        <v>0</v>
      </c>
      <c r="F39" s="321">
        <v>1226.5</v>
      </c>
      <c r="G39" s="321">
        <v>944.40499999999997</v>
      </c>
      <c r="H39" s="187" t="s">
        <v>65</v>
      </c>
      <c r="I39" s="142"/>
      <c r="J39" s="129">
        <f>J37/G4</f>
        <v>18.148248969945218</v>
      </c>
      <c r="K39" s="130" t="s">
        <v>63</v>
      </c>
      <c r="M39" s="149">
        <v>433</v>
      </c>
      <c r="X39" s="149" t="s">
        <v>386</v>
      </c>
      <c r="Y39" s="149">
        <v>1227.3241590214068</v>
      </c>
      <c r="Z39" s="149">
        <v>944.68226299694186</v>
      </c>
      <c r="AA39" s="149">
        <v>654</v>
      </c>
    </row>
    <row r="40" spans="1:29" ht="17.45" customHeight="1">
      <c r="A40" s="781" t="s">
        <v>66</v>
      </c>
      <c r="B40" s="782"/>
      <c r="C40" s="164">
        <f>SUMIF($G$7:$G$31,"Mechanical",$F$7:$F$31)</f>
        <v>0</v>
      </c>
      <c r="D40" s="118">
        <f>+C40+'27'!D40</f>
        <v>0</v>
      </c>
      <c r="E40" s="143">
        <f t="shared" si="12"/>
        <v>0</v>
      </c>
      <c r="F40" s="321">
        <v>1230</v>
      </c>
      <c r="G40" s="321">
        <v>947.1</v>
      </c>
      <c r="H40" s="187" t="s">
        <v>67</v>
      </c>
      <c r="I40" s="118">
        <f>(K34+L34)/1000</f>
        <v>39.106999999999999</v>
      </c>
      <c r="J40" s="131">
        <f>+I40+'27'!J40</f>
        <v>420.50099999999998</v>
      </c>
      <c r="K40" s="130" t="s">
        <v>63</v>
      </c>
      <c r="M40" s="149">
        <v>480</v>
      </c>
      <c r="X40" s="149" t="s">
        <v>516</v>
      </c>
      <c r="Y40" s="149">
        <v>1227.726657645467</v>
      </c>
      <c r="Z40" s="149">
        <v>945.3495263870094</v>
      </c>
      <c r="AA40" s="149">
        <v>739</v>
      </c>
    </row>
    <row r="41" spans="1:29" ht="17.45" customHeight="1">
      <c r="A41" s="781" t="s">
        <v>68</v>
      </c>
      <c r="B41" s="782"/>
      <c r="C41" s="164">
        <f>SUMIF($G$7:$G$31,"Electrical",$F$7:$F$31)</f>
        <v>0</v>
      </c>
      <c r="D41" s="118">
        <f>+C41+'27'!D41</f>
        <v>175</v>
      </c>
      <c r="E41" s="143">
        <f t="shared" si="12"/>
        <v>2.9166666666666665</v>
      </c>
      <c r="F41" s="321"/>
      <c r="G41" s="321"/>
      <c r="H41" s="187" t="s">
        <v>69</v>
      </c>
      <c r="I41" s="142"/>
      <c r="J41" s="129">
        <f>J40/G4</f>
        <v>15.017892857142856</v>
      </c>
      <c r="K41" s="130" t="s">
        <v>63</v>
      </c>
      <c r="M41" s="149">
        <v>480</v>
      </c>
      <c r="AA41" s="149">
        <f>+AA39+AA40</f>
        <v>1393</v>
      </c>
    </row>
    <row r="42" spans="1:29" ht="17.45" customHeight="1">
      <c r="A42" s="781" t="s">
        <v>15</v>
      </c>
      <c r="B42" s="782"/>
      <c r="C42" s="164">
        <f>SUMIF($G$7:$G$31,"Instrument",$F$7:$F$31)</f>
        <v>0</v>
      </c>
      <c r="D42" s="118">
        <f>+C42+'27'!D42</f>
        <v>0</v>
      </c>
      <c r="E42" s="143">
        <f t="shared" si="12"/>
        <v>0</v>
      </c>
      <c r="F42" s="321">
        <f>+(433*F38+480*F39+480*F40)/1393</f>
        <v>1227.537688442211</v>
      </c>
      <c r="G42" s="321">
        <f>+(433*G38+480*G39+480*G40)/1393</f>
        <v>945.03625269203155</v>
      </c>
      <c r="H42" s="187" t="s">
        <v>70</v>
      </c>
      <c r="I42" s="245" t="s">
        <v>645</v>
      </c>
      <c r="J42" s="132"/>
      <c r="K42" s="130" t="s">
        <v>71</v>
      </c>
      <c r="M42" s="149">
        <f>+M39+M40+M41</f>
        <v>1393</v>
      </c>
    </row>
    <row r="43" spans="1:29" ht="17.45" customHeight="1">
      <c r="A43" s="781" t="s">
        <v>72</v>
      </c>
      <c r="B43" s="782"/>
      <c r="C43" s="164">
        <f>SUMIF($G$7:$G$31,"Water",$F$7:$F$31)</f>
        <v>0</v>
      </c>
      <c r="D43" s="118">
        <f>+C43+'27'!D43</f>
        <v>0</v>
      </c>
      <c r="E43" s="143">
        <f t="shared" si="12"/>
        <v>0</v>
      </c>
      <c r="F43" s="321"/>
      <c r="G43" s="322"/>
      <c r="H43" s="188" t="s">
        <v>73</v>
      </c>
      <c r="I43" s="118">
        <f>+Report1!Z36</f>
        <v>52.8</v>
      </c>
      <c r="J43" s="133">
        <f>+I43+'27'!J43</f>
        <v>992.89999999999986</v>
      </c>
      <c r="K43" s="130" t="s">
        <v>63</v>
      </c>
      <c r="L43" s="189"/>
    </row>
    <row r="44" spans="1:29" ht="17.45" customHeight="1">
      <c r="A44" s="781" t="s">
        <v>16</v>
      </c>
      <c r="B44" s="782"/>
      <c r="C44" s="164">
        <f>SUMIF($G$7:$G$31,"PLN",$F$7:$F$31)</f>
        <v>0</v>
      </c>
      <c r="D44" s="118">
        <f>+C44+'27'!D44</f>
        <v>0</v>
      </c>
      <c r="E44" s="143">
        <f t="shared" si="12"/>
        <v>0</v>
      </c>
      <c r="F44" s="321"/>
      <c r="G44" s="322"/>
      <c r="H44" s="188" t="s">
        <v>74</v>
      </c>
      <c r="I44" s="118">
        <f>I43/I38</f>
        <v>1.2903856493474752</v>
      </c>
      <c r="J44" s="134">
        <f>J43/J38</f>
        <v>2.2123538874950421</v>
      </c>
      <c r="K44" s="130" t="s">
        <v>63</v>
      </c>
    </row>
    <row r="45" spans="1:29" ht="17.45" customHeight="1">
      <c r="A45" s="781" t="s">
        <v>17</v>
      </c>
      <c r="B45" s="782"/>
      <c r="C45" s="164">
        <f>SUMIF($G$7:$G$31,"Boiler",$F$7:$F$31)</f>
        <v>0</v>
      </c>
      <c r="D45" s="118">
        <f>+C45+'27'!D45</f>
        <v>0</v>
      </c>
      <c r="E45" s="143">
        <f t="shared" si="12"/>
        <v>0</v>
      </c>
      <c r="F45" s="321"/>
      <c r="G45" s="324"/>
      <c r="H45" s="188" t="s">
        <v>75</v>
      </c>
      <c r="I45" s="118">
        <f>I43/I40</f>
        <v>1.3501419183266423</v>
      </c>
      <c r="J45" s="134">
        <f>J43/J40</f>
        <v>2.3612310077740597</v>
      </c>
      <c r="K45" s="130" t="s">
        <v>63</v>
      </c>
    </row>
    <row r="46" spans="1:29" ht="17.45" customHeight="1">
      <c r="A46" s="781" t="s">
        <v>76</v>
      </c>
      <c r="B46" s="782"/>
      <c r="C46" s="164">
        <f>SUMIF($G$7:$G$31,"Gas",$F$7:$F$31)</f>
        <v>0</v>
      </c>
      <c r="D46" s="118">
        <f>+C46+'27'!D46</f>
        <v>0</v>
      </c>
      <c r="E46" s="143">
        <f t="shared" si="12"/>
        <v>0</v>
      </c>
      <c r="F46" s="321"/>
      <c r="G46" s="322"/>
      <c r="H46" s="188" t="s">
        <v>77</v>
      </c>
      <c r="I46" s="140">
        <f>+SUMIF(Listrik!P35,"&gt;0")</f>
        <v>40060.799999999275</v>
      </c>
      <c r="J46" s="135">
        <f>+I46+'27'!J46</f>
        <v>538430.31999999995</v>
      </c>
      <c r="K46" s="130" t="s">
        <v>78</v>
      </c>
    </row>
    <row r="47" spans="1:29" ht="17.45" customHeight="1">
      <c r="A47" s="781" t="s">
        <v>79</v>
      </c>
      <c r="B47" s="782"/>
      <c r="C47" s="164">
        <f>SUMIF($G$7:$G$31,"Gas",$F$7:$F$31)</f>
        <v>0</v>
      </c>
      <c r="D47" s="118">
        <f>+C47+'27'!D47</f>
        <v>0</v>
      </c>
      <c r="E47" s="143">
        <f t="shared" si="12"/>
        <v>0</v>
      </c>
      <c r="F47" s="321"/>
      <c r="G47" s="322"/>
      <c r="H47" s="188" t="s">
        <v>80</v>
      </c>
      <c r="I47" s="118">
        <f>I46/I38</f>
        <v>979.0507844958031</v>
      </c>
      <c r="J47" s="135">
        <f>J46/J38</f>
        <v>1199.7163980231639</v>
      </c>
      <c r="K47" s="130" t="s">
        <v>23</v>
      </c>
    </row>
    <row r="48" spans="1:29" ht="17.45" customHeight="1">
      <c r="A48" s="781" t="s">
        <v>13</v>
      </c>
      <c r="B48" s="782"/>
      <c r="C48" s="164">
        <f>SUMIF($G$7:$G$31,"Start Up",$F$7:$F$31)</f>
        <v>0</v>
      </c>
      <c r="D48" s="118">
        <f>+C48+'27'!D48</f>
        <v>0</v>
      </c>
      <c r="E48" s="143">
        <f t="shared" si="12"/>
        <v>0</v>
      </c>
      <c r="F48" s="321"/>
      <c r="G48" s="322"/>
      <c r="H48" s="188" t="s">
        <v>81</v>
      </c>
      <c r="I48" s="118">
        <f>I46/I40</f>
        <v>1024.389495486723</v>
      </c>
      <c r="J48" s="135">
        <f>J46/J40</f>
        <v>1280.4495589784567</v>
      </c>
      <c r="K48" s="130" t="s">
        <v>23</v>
      </c>
    </row>
    <row r="49" spans="1:23" ht="17.45" customHeight="1">
      <c r="A49" s="781" t="s">
        <v>19</v>
      </c>
      <c r="B49" s="782"/>
      <c r="C49" s="164">
        <f>SUMIF($G$7:$G$31,"Others",$F$7:$F$31)</f>
        <v>0</v>
      </c>
      <c r="D49" s="118">
        <f>+C49+'27'!D49</f>
        <v>22716</v>
      </c>
      <c r="E49" s="143">
        <f t="shared" si="12"/>
        <v>378.6</v>
      </c>
      <c r="F49" s="185"/>
      <c r="H49" s="188" t="s">
        <v>267</v>
      </c>
      <c r="I49" s="118">
        <f>+Report1!T36</f>
        <v>4964.5644997197014</v>
      </c>
      <c r="J49" s="135">
        <f>+I49+'27'!J49</f>
        <v>54844.686392561664</v>
      </c>
      <c r="K49" s="130" t="s">
        <v>82</v>
      </c>
    </row>
    <row r="50" spans="1:23" ht="17.45" customHeight="1">
      <c r="A50" s="781" t="s">
        <v>18</v>
      </c>
      <c r="B50" s="782"/>
      <c r="C50" s="164">
        <f>SUMIF($G$7:$G$31,"Steam",$F$7:$F$31)</f>
        <v>0</v>
      </c>
      <c r="D50" s="118">
        <f>+C50+'27'!D50</f>
        <v>0</v>
      </c>
      <c r="E50" s="143">
        <f t="shared" si="12"/>
        <v>0</v>
      </c>
      <c r="F50" s="185"/>
      <c r="H50" s="188" t="s">
        <v>83</v>
      </c>
      <c r="I50" s="140">
        <f>I49/I38</f>
        <v>121.32959821398164</v>
      </c>
      <c r="J50" s="133">
        <f>J49/J38</f>
        <v>122.20349999902331</v>
      </c>
      <c r="K50" s="130" t="s">
        <v>82</v>
      </c>
    </row>
    <row r="51" spans="1:23" ht="17.45" customHeight="1" thickBot="1">
      <c r="A51" s="783" t="s">
        <v>84</v>
      </c>
      <c r="B51" s="784"/>
      <c r="C51" s="164">
        <f>SUMIF($G$7:$G$31,"Planned shut",$F$7:$F$31)</f>
        <v>0</v>
      </c>
      <c r="D51" s="118">
        <f>+C51+'27'!D51</f>
        <v>0</v>
      </c>
      <c r="E51" s="143">
        <f t="shared" si="12"/>
        <v>0</v>
      </c>
      <c r="F51" s="185"/>
      <c r="H51" s="190" t="s">
        <v>85</v>
      </c>
      <c r="I51" s="141">
        <f>I49/I40</f>
        <v>126.94823176719517</v>
      </c>
      <c r="J51" s="136">
        <f>J49/J40</f>
        <v>130.42700586339075</v>
      </c>
      <c r="K51" s="137" t="s">
        <v>82</v>
      </c>
    </row>
    <row r="52" spans="1:23" ht="13.5" thickBot="1">
      <c r="A52" s="779" t="s">
        <v>27</v>
      </c>
      <c r="B52" s="780"/>
      <c r="C52" s="144">
        <f>SUM(C38:C51)</f>
        <v>120</v>
      </c>
      <c r="D52" s="144">
        <f>SUM(D38:D51)</f>
        <v>23767</v>
      </c>
      <c r="E52" s="145">
        <f>SUM(E38:E51)</f>
        <v>396.11666666666667</v>
      </c>
      <c r="F52" s="185"/>
      <c r="H52" s="191"/>
      <c r="I52" s="192"/>
      <c r="J52" s="138"/>
      <c r="K52" s="139"/>
    </row>
    <row r="53" spans="1:23" ht="13.5" thickBot="1">
      <c r="A53" s="785"/>
      <c r="B53" s="786"/>
      <c r="C53" s="146">
        <f>C52/(24*60)</f>
        <v>8.3333333333333329E-2</v>
      </c>
      <c r="D53" s="146">
        <f>D52/(24*60*G4)</f>
        <v>0.58945932539682544</v>
      </c>
      <c r="E53" s="147">
        <f>E52/(G4*24)</f>
        <v>0.58945932539682544</v>
      </c>
      <c r="F53" s="185"/>
    </row>
    <row r="54" spans="1:23">
      <c r="E54" s="193"/>
      <c r="F54" s="185"/>
    </row>
    <row r="55" spans="1:23">
      <c r="E55" s="193"/>
    </row>
    <row r="56" spans="1:23">
      <c r="A56" s="194" t="s">
        <v>86</v>
      </c>
      <c r="B56" s="195"/>
      <c r="C56" s="196"/>
      <c r="D56" s="196"/>
      <c r="E56" s="196"/>
      <c r="F56" s="197"/>
      <c r="G56" s="196"/>
      <c r="H56" s="198"/>
      <c r="I56" s="199" t="s">
        <v>87</v>
      </c>
      <c r="J56" s="200">
        <f>+D34+'27'!J56</f>
        <v>7954</v>
      </c>
      <c r="K56" s="201">
        <f>J56/(J40+J56/1000)/1000</f>
        <v>1.8564376655658122E-2</v>
      </c>
    </row>
    <row r="57" spans="1:23">
      <c r="A57" s="176"/>
      <c r="I57" s="199" t="s">
        <v>88</v>
      </c>
      <c r="J57" s="200">
        <f>+E34+'27'!J57</f>
        <v>0</v>
      </c>
      <c r="K57" s="201">
        <f>J57/(J40+J57/1000)/1000</f>
        <v>0</v>
      </c>
    </row>
    <row r="58" spans="1:23">
      <c r="A58" s="202"/>
      <c r="B58" s="203"/>
      <c r="F58" s="185"/>
      <c r="H58" s="204"/>
    </row>
    <row r="59" spans="1:23">
      <c r="A59" s="205"/>
      <c r="B59" s="176"/>
      <c r="C59" s="176"/>
      <c r="D59" s="176"/>
      <c r="E59" s="176"/>
      <c r="F59" s="189"/>
      <c r="G59" s="176"/>
      <c r="H59" s="204"/>
      <c r="J59" s="149">
        <v>8474</v>
      </c>
    </row>
    <row r="60" spans="1:23">
      <c r="H60" s="204"/>
      <c r="J60" s="155">
        <f>+J56+K60</f>
        <v>8474</v>
      </c>
      <c r="K60" s="149">
        <v>520</v>
      </c>
    </row>
    <row r="61" spans="1:23">
      <c r="A61" s="206"/>
      <c r="B61" s="207"/>
      <c r="C61" s="207"/>
      <c r="D61" s="207"/>
      <c r="E61" s="207"/>
      <c r="F61" s="208"/>
      <c r="G61" s="207"/>
      <c r="H61" s="209"/>
      <c r="W61" s="149" t="s">
        <v>0</v>
      </c>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zoomScale="80" zoomScaleNormal="80" workbookViewId="0">
      <selection activeCell="H28" sqref="A24:H32"/>
    </sheetView>
  </sheetViews>
  <sheetFormatPr defaultColWidth="9.140625" defaultRowHeight="12.75"/>
  <cols>
    <col min="1" max="1" width="8" style="149" customWidth="1"/>
    <col min="2" max="2" width="10.7109375" style="149"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28515625" style="149" customWidth="1"/>
    <col min="14" max="16384" width="9.140625" style="149"/>
  </cols>
  <sheetData>
    <row r="1" spans="1:26" ht="15.75">
      <c r="A1" s="148"/>
    </row>
    <row r="2" spans="1:26" ht="15.75">
      <c r="A2" s="148" t="s">
        <v>182</v>
      </c>
    </row>
    <row r="3" spans="1:26" ht="15">
      <c r="A3" s="150"/>
    </row>
    <row r="4" spans="1:26" ht="20.25">
      <c r="A4" s="151" t="s">
        <v>3</v>
      </c>
      <c r="B4" s="152"/>
      <c r="F4" s="153" t="s">
        <v>28</v>
      </c>
      <c r="G4" s="154">
        <v>27</v>
      </c>
      <c r="H4" s="154" t="str">
        <f>+'1'!H4</f>
        <v>.11.25</v>
      </c>
    </row>
    <row r="5" spans="1:26" ht="13.5" thickBot="1">
      <c r="C5" s="155"/>
      <c r="D5" s="155"/>
    </row>
    <row r="6" spans="1:26"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606</v>
      </c>
      <c r="O6" s="149">
        <v>1050</v>
      </c>
      <c r="P6" s="149">
        <f>+O6-O6*0.23</f>
        <v>808.5</v>
      </c>
      <c r="Q6" s="149">
        <f>60*2+50</f>
        <v>170</v>
      </c>
      <c r="R6" s="149">
        <f t="shared" ref="R6:R9" si="0">+O6*Q6</f>
        <v>178500</v>
      </c>
      <c r="S6" s="149">
        <f t="shared" ref="S6:S9" si="1">+P6*Q6</f>
        <v>137445</v>
      </c>
      <c r="U6" s="149" t="s">
        <v>386</v>
      </c>
      <c r="V6" s="149">
        <v>1200</v>
      </c>
      <c r="W6" s="149">
        <v>924</v>
      </c>
      <c r="X6" s="149">
        <v>480</v>
      </c>
      <c r="Y6" s="149">
        <f t="shared" ref="Y6:Y11" si="2">+V6*X6</f>
        <v>576000</v>
      </c>
      <c r="Z6" s="149">
        <f t="shared" ref="Z6:Z11" si="3">+W6*X6</f>
        <v>443520</v>
      </c>
    </row>
    <row r="7" spans="1:26" ht="13.5" customHeight="1" thickBot="1">
      <c r="A7" s="767" t="s">
        <v>407</v>
      </c>
      <c r="B7" s="215" t="s">
        <v>611</v>
      </c>
      <c r="C7" s="216">
        <f>528+7925</f>
        <v>8453</v>
      </c>
      <c r="D7" s="217"/>
      <c r="E7" s="218"/>
      <c r="F7" s="227">
        <v>9</v>
      </c>
      <c r="G7" s="228" t="s">
        <v>11</v>
      </c>
      <c r="H7" s="229" t="s">
        <v>460</v>
      </c>
      <c r="I7" s="770" t="s">
        <v>631</v>
      </c>
      <c r="J7" s="214" t="str">
        <f>+'26'!J7</f>
        <v>F 12 VP OW</v>
      </c>
      <c r="K7" s="237">
        <f>+C8+C16+C25</f>
        <v>28987</v>
      </c>
      <c r="L7" s="241"/>
      <c r="M7" s="117">
        <f>+K7+'26'!M7+L7</f>
        <v>136779</v>
      </c>
      <c r="N7" s="149" t="s">
        <v>386</v>
      </c>
      <c r="O7" s="149">
        <v>1120</v>
      </c>
      <c r="P7" s="149">
        <f>+O7-O7*0.23</f>
        <v>862.4</v>
      </c>
      <c r="Q7" s="149">
        <f>60-50+55</f>
        <v>65</v>
      </c>
      <c r="R7" s="149">
        <f t="shared" si="0"/>
        <v>72800</v>
      </c>
      <c r="S7" s="149">
        <f t="shared" si="1"/>
        <v>56056</v>
      </c>
      <c r="U7" s="149" t="s">
        <v>386</v>
      </c>
      <c r="V7" s="149">
        <v>1120</v>
      </c>
      <c r="W7" s="149">
        <f>+V7-V7*0.23</f>
        <v>862.4</v>
      </c>
      <c r="X7" s="149">
        <v>65</v>
      </c>
      <c r="Y7" s="149">
        <f t="shared" si="2"/>
        <v>72800</v>
      </c>
      <c r="Z7" s="149">
        <f t="shared" si="3"/>
        <v>56056</v>
      </c>
    </row>
    <row r="8" spans="1:26" ht="13.5" thickBot="1">
      <c r="A8" s="768"/>
      <c r="B8" s="215" t="s">
        <v>387</v>
      </c>
      <c r="C8" s="216">
        <f>2215+1921</f>
        <v>4136</v>
      </c>
      <c r="D8" s="217"/>
      <c r="E8" s="219"/>
      <c r="F8" s="230"/>
      <c r="G8" s="231" t="s">
        <v>11</v>
      </c>
      <c r="H8" s="229" t="s">
        <v>282</v>
      </c>
      <c r="I8" s="771"/>
      <c r="J8" s="214" t="str">
        <f>+'26'!J8</f>
        <v>F 13 VP OW</v>
      </c>
      <c r="K8" s="238"/>
      <c r="L8" s="238"/>
      <c r="M8" s="117">
        <f>+K8+'26'!M8+L8</f>
        <v>60092</v>
      </c>
      <c r="O8" s="149">
        <v>1150</v>
      </c>
      <c r="P8" s="149">
        <f>+O8-O8*0.23</f>
        <v>885.5</v>
      </c>
      <c r="Q8" s="149">
        <f>480-Q6-Q7-Q9</f>
        <v>194</v>
      </c>
      <c r="R8" s="149">
        <f t="shared" si="0"/>
        <v>223100</v>
      </c>
      <c r="S8" s="149">
        <f t="shared" si="1"/>
        <v>171787</v>
      </c>
      <c r="V8" s="149">
        <v>1150</v>
      </c>
      <c r="W8" s="149">
        <f>+V8-V8*0.23</f>
        <v>885.5</v>
      </c>
      <c r="X8" s="149">
        <v>194</v>
      </c>
      <c r="Y8" s="149">
        <f t="shared" si="2"/>
        <v>223100</v>
      </c>
      <c r="Z8" s="149">
        <f t="shared" si="3"/>
        <v>171787</v>
      </c>
    </row>
    <row r="9" spans="1:26" ht="13.5" thickBot="1">
      <c r="A9" s="768"/>
      <c r="B9" s="215"/>
      <c r="C9" s="216"/>
      <c r="D9" s="217"/>
      <c r="E9" s="220"/>
      <c r="F9" s="227">
        <f>24-9</f>
        <v>15</v>
      </c>
      <c r="G9" s="231" t="s">
        <v>11</v>
      </c>
      <c r="H9" s="232" t="s">
        <v>479</v>
      </c>
      <c r="I9" s="771"/>
      <c r="J9" s="214" t="str">
        <f>+'26'!J9</f>
        <v>F 14 VP OW</v>
      </c>
      <c r="K9" s="238"/>
      <c r="L9" s="238"/>
      <c r="M9" s="117">
        <f>+K9+'26'!M9+L9</f>
        <v>28251</v>
      </c>
      <c r="O9" s="149">
        <v>1190</v>
      </c>
      <c r="P9" s="149">
        <f>+O9-O9*0.23</f>
        <v>916.3</v>
      </c>
      <c r="Q9" s="149">
        <f>60-9</f>
        <v>51</v>
      </c>
      <c r="R9" s="149">
        <f t="shared" si="0"/>
        <v>60690</v>
      </c>
      <c r="S9" s="149">
        <f t="shared" si="1"/>
        <v>46731.299999999996</v>
      </c>
      <c r="V9" s="149">
        <v>1190</v>
      </c>
      <c r="W9" s="149">
        <f>+V9-V9*0.23</f>
        <v>916.3</v>
      </c>
      <c r="X9" s="149">
        <v>51</v>
      </c>
      <c r="Y9" s="149">
        <f t="shared" si="2"/>
        <v>60690</v>
      </c>
      <c r="Z9" s="149">
        <f t="shared" si="3"/>
        <v>46731.299999999996</v>
      </c>
    </row>
    <row r="10" spans="1:26" ht="26.25" thickBot="1">
      <c r="A10" s="768"/>
      <c r="B10" s="215"/>
      <c r="C10" s="216"/>
      <c r="D10" s="217"/>
      <c r="E10" s="219"/>
      <c r="F10" s="227"/>
      <c r="G10" s="236" t="s">
        <v>12</v>
      </c>
      <c r="H10" s="232" t="s">
        <v>614</v>
      </c>
      <c r="I10" s="771"/>
      <c r="J10" s="214" t="str">
        <f>+'26'!J10</f>
        <v>F 11 VP OW</v>
      </c>
      <c r="K10" s="238"/>
      <c r="L10" s="238"/>
      <c r="M10" s="117">
        <f>+K10+'26'!M10+L10</f>
        <v>33513</v>
      </c>
      <c r="U10" s="149" t="s">
        <v>386</v>
      </c>
      <c r="V10" s="149">
        <v>1080</v>
      </c>
      <c r="W10" s="149">
        <v>831.6</v>
      </c>
      <c r="X10" s="149">
        <v>128</v>
      </c>
      <c r="Y10" s="149">
        <f t="shared" si="2"/>
        <v>138240</v>
      </c>
      <c r="Z10" s="149">
        <f t="shared" si="3"/>
        <v>106444.8</v>
      </c>
    </row>
    <row r="11" spans="1:26" ht="51.75" thickBot="1">
      <c r="A11" s="768"/>
      <c r="B11" s="215"/>
      <c r="C11" s="216"/>
      <c r="D11" s="217"/>
      <c r="E11" s="219"/>
      <c r="F11" s="227"/>
      <c r="G11" s="231"/>
      <c r="H11" s="232" t="s">
        <v>629</v>
      </c>
      <c r="I11" s="771"/>
      <c r="J11" s="214" t="str">
        <f>+'26'!J11</f>
        <v>T 14 VP OW</v>
      </c>
      <c r="K11" s="238"/>
      <c r="L11" s="238"/>
      <c r="M11" s="117">
        <f>+K11+'26'!M11+L11</f>
        <v>54160</v>
      </c>
      <c r="V11" s="149">
        <v>1030</v>
      </c>
      <c r="W11" s="149">
        <v>793.1</v>
      </c>
      <c r="X11" s="149">
        <v>352</v>
      </c>
      <c r="Y11" s="149">
        <f t="shared" si="2"/>
        <v>362560</v>
      </c>
      <c r="Z11" s="149">
        <f t="shared" si="3"/>
        <v>279171.20000000001</v>
      </c>
    </row>
    <row r="12" spans="1:26" ht="13.5" thickBot="1">
      <c r="A12" s="768"/>
      <c r="B12" s="215"/>
      <c r="C12" s="216"/>
      <c r="D12" s="217"/>
      <c r="E12" s="219"/>
      <c r="F12" s="227"/>
      <c r="G12" s="231"/>
      <c r="H12" s="232"/>
      <c r="I12" s="771"/>
      <c r="J12" s="214" t="str">
        <f>+'26'!J12</f>
        <v>T 15 VP OW</v>
      </c>
      <c r="K12" s="238">
        <f>+C7</f>
        <v>8453</v>
      </c>
      <c r="L12" s="238"/>
      <c r="M12" s="117">
        <f>+K12+'26'!M12+L12</f>
        <v>68599</v>
      </c>
    </row>
    <row r="13" spans="1:26" ht="13.5" thickBot="1">
      <c r="A13" s="768"/>
      <c r="B13" s="215"/>
      <c r="C13" s="216"/>
      <c r="D13" s="216"/>
      <c r="E13" s="219"/>
      <c r="F13" s="227"/>
      <c r="G13" s="231"/>
      <c r="H13" s="232"/>
      <c r="I13" s="772"/>
      <c r="J13" s="214">
        <f>+'26'!J13</f>
        <v>0</v>
      </c>
      <c r="K13" s="238"/>
      <c r="L13" s="238"/>
      <c r="M13" s="117">
        <f>+K13+'26'!M13+L13</f>
        <v>0</v>
      </c>
    </row>
    <row r="14" spans="1:26" ht="13.5" thickBot="1">
      <c r="A14" s="769"/>
      <c r="B14" s="165" t="s">
        <v>2</v>
      </c>
      <c r="C14" s="99">
        <f>SUM(C7:C13)</f>
        <v>12589</v>
      </c>
      <c r="D14" s="111">
        <f>SUM(D7:D13)</f>
        <v>0</v>
      </c>
      <c r="E14" s="112">
        <f>SUM(E5:E13)</f>
        <v>0</v>
      </c>
      <c r="F14" s="116">
        <f>SUM(F7:F13)</f>
        <v>24</v>
      </c>
      <c r="G14" s="159"/>
      <c r="H14" s="166"/>
      <c r="I14" s="167"/>
      <c r="J14" s="214">
        <f>+'26'!J14</f>
        <v>0</v>
      </c>
      <c r="K14" s="238"/>
      <c r="L14" s="238"/>
      <c r="M14" s="117">
        <f>+K14+'26'!M14+L14</f>
        <v>0</v>
      </c>
      <c r="Q14" s="149">
        <f>SUM(Q6:Q13)</f>
        <v>480</v>
      </c>
      <c r="R14" s="149">
        <f>SUM(R6:R13)</f>
        <v>535090</v>
      </c>
      <c r="S14" s="149">
        <f>SUM(S6:S13)</f>
        <v>412019.3</v>
      </c>
      <c r="X14" s="149">
        <f>SUM(X6:X13)</f>
        <v>1270</v>
      </c>
      <c r="Y14" s="149">
        <f>SUM(Y6:Y13)</f>
        <v>1433390</v>
      </c>
      <c r="Z14" s="149">
        <f>SUM(Z6:Z13)</f>
        <v>1103710.3</v>
      </c>
    </row>
    <row r="15" spans="1:26" ht="13.5" customHeight="1" thickBot="1">
      <c r="A15" s="767" t="s">
        <v>388</v>
      </c>
      <c r="B15" s="165"/>
      <c r="C15" s="113">
        <f>C14/($C$23+$D$23+$E$23)</f>
        <v>1.0010337150127226</v>
      </c>
      <c r="D15" s="114">
        <f>D14/($C$23+$D$23+$E$23)</f>
        <v>0</v>
      </c>
      <c r="E15" s="115">
        <f>E14/($C$23+$D$23+$E$23)</f>
        <v>0</v>
      </c>
      <c r="F15" s="227">
        <v>9</v>
      </c>
      <c r="G15" s="228" t="s">
        <v>11</v>
      </c>
      <c r="H15" s="229" t="s">
        <v>460</v>
      </c>
      <c r="I15" s="770" t="s">
        <v>564</v>
      </c>
      <c r="J15" s="214">
        <f>+'26'!J15</f>
        <v>0</v>
      </c>
      <c r="K15" s="238"/>
      <c r="L15" s="238"/>
      <c r="M15" s="117">
        <f>+K15+'26'!M15+L15</f>
        <v>0</v>
      </c>
      <c r="Q15" s="149">
        <f>480-Q14</f>
        <v>0</v>
      </c>
      <c r="R15" s="149">
        <f>+R14/Q14</f>
        <v>1114.7708333333333</v>
      </c>
      <c r="S15" s="149">
        <f>+S14/Q14</f>
        <v>858.3735416666666</v>
      </c>
      <c r="X15" s="149">
        <f>480-X14</f>
        <v>-790</v>
      </c>
      <c r="Y15" s="149">
        <f>+Y14/X14</f>
        <v>1128.6535433070867</v>
      </c>
      <c r="Z15" s="149">
        <f>+Z14/X14</f>
        <v>869.06322834645675</v>
      </c>
    </row>
    <row r="16" spans="1:26" ht="13.5" thickBot="1">
      <c r="A16" s="773"/>
      <c r="B16" s="215" t="s">
        <v>387</v>
      </c>
      <c r="C16" s="221">
        <v>12576</v>
      </c>
      <c r="D16" s="222"/>
      <c r="E16" s="223"/>
      <c r="F16" s="230"/>
      <c r="G16" s="231" t="s">
        <v>11</v>
      </c>
      <c r="H16" s="229" t="s">
        <v>282</v>
      </c>
      <c r="I16" s="771"/>
      <c r="J16" s="214">
        <f>+'26'!J16</f>
        <v>0</v>
      </c>
      <c r="K16" s="228"/>
      <c r="L16" s="228"/>
      <c r="M16" s="117">
        <f>+K16+'26'!M16+L16</f>
        <v>0</v>
      </c>
    </row>
    <row r="17" spans="1:19" ht="13.5" thickBot="1">
      <c r="A17" s="773"/>
      <c r="B17" s="215"/>
      <c r="C17" s="216"/>
      <c r="D17" s="217"/>
      <c r="E17" s="224"/>
      <c r="F17" s="227">
        <f>24-9</f>
        <v>15</v>
      </c>
      <c r="G17" s="231" t="s">
        <v>11</v>
      </c>
      <c r="H17" s="232" t="s">
        <v>494</v>
      </c>
      <c r="I17" s="771"/>
      <c r="J17" s="214">
        <f>+'26'!J17</f>
        <v>0</v>
      </c>
      <c r="K17" s="228"/>
      <c r="L17" s="228"/>
      <c r="M17" s="117">
        <f>+K17+'26'!M17+L17</f>
        <v>0</v>
      </c>
      <c r="N17" s="149" t="s">
        <v>386</v>
      </c>
      <c r="O17" s="149">
        <v>1200</v>
      </c>
      <c r="P17" s="149">
        <f>+O17-O17*0.23</f>
        <v>924</v>
      </c>
      <c r="Q17" s="149">
        <v>480</v>
      </c>
      <c r="R17" s="149">
        <f t="shared" ref="R17:R20" si="4">+O17*Q17</f>
        <v>576000</v>
      </c>
      <c r="S17" s="149">
        <f t="shared" ref="S17:S20" si="5">+P17*Q17</f>
        <v>443520</v>
      </c>
    </row>
    <row r="18" spans="1:19" ht="26.25" thickBot="1">
      <c r="A18" s="773"/>
      <c r="B18" s="215"/>
      <c r="C18" s="216"/>
      <c r="D18" s="217"/>
      <c r="E18" s="224"/>
      <c r="F18" s="227"/>
      <c r="G18" s="236" t="s">
        <v>12</v>
      </c>
      <c r="H18" s="232" t="s">
        <v>630</v>
      </c>
      <c r="I18" s="771"/>
      <c r="J18" s="214">
        <f>+'26'!J18</f>
        <v>0</v>
      </c>
      <c r="K18" s="238"/>
      <c r="L18" s="238"/>
      <c r="M18" s="117">
        <f>+K18+'26'!M18+L18</f>
        <v>0</v>
      </c>
      <c r="P18" s="149">
        <f>+O18-O18*0.23</f>
        <v>0</v>
      </c>
      <c r="R18" s="149">
        <f t="shared" si="4"/>
        <v>0</v>
      </c>
      <c r="S18" s="149">
        <f t="shared" si="5"/>
        <v>0</v>
      </c>
    </row>
    <row r="19" spans="1:19" ht="13.5" thickBot="1">
      <c r="A19" s="773"/>
      <c r="B19" s="215"/>
      <c r="C19" s="216"/>
      <c r="D19" s="217"/>
      <c r="E19" s="224"/>
      <c r="F19" s="234"/>
      <c r="G19" s="231"/>
      <c r="H19" s="232"/>
      <c r="I19" s="771"/>
      <c r="J19" s="214">
        <f>+'26'!J19</f>
        <v>0</v>
      </c>
      <c r="K19" s="238"/>
      <c r="L19" s="238"/>
      <c r="M19" s="117">
        <f>+K19+'26'!M19+L19</f>
        <v>0</v>
      </c>
      <c r="P19" s="149">
        <f>+O19-O19*0.23</f>
        <v>0</v>
      </c>
      <c r="R19" s="149">
        <f t="shared" si="4"/>
        <v>0</v>
      </c>
      <c r="S19" s="149">
        <f t="shared" si="5"/>
        <v>0</v>
      </c>
    </row>
    <row r="20" spans="1:19" ht="13.5" thickBot="1">
      <c r="A20" s="773"/>
      <c r="B20" s="215"/>
      <c r="C20" s="216"/>
      <c r="D20" s="217"/>
      <c r="E20" s="224"/>
      <c r="F20" s="227"/>
      <c r="G20" s="231"/>
      <c r="H20" s="232"/>
      <c r="I20" s="771"/>
      <c r="J20" s="214">
        <f>+'26'!J20</f>
        <v>0</v>
      </c>
      <c r="K20" s="239"/>
      <c r="L20" s="239"/>
      <c r="M20" s="117">
        <f>+K20+'26'!M20+L20</f>
        <v>0</v>
      </c>
      <c r="P20" s="149">
        <f>+O20-O20*0.23</f>
        <v>0</v>
      </c>
      <c r="R20" s="149">
        <f t="shared" si="4"/>
        <v>0</v>
      </c>
      <c r="S20" s="149">
        <f t="shared" si="5"/>
        <v>0</v>
      </c>
    </row>
    <row r="21" spans="1:19" ht="13.5" thickBot="1">
      <c r="A21" s="773"/>
      <c r="B21" s="215"/>
      <c r="C21" s="216"/>
      <c r="D21" s="217"/>
      <c r="E21" s="224"/>
      <c r="F21" s="230"/>
      <c r="G21" s="231"/>
      <c r="H21" s="232"/>
      <c r="I21" s="771"/>
      <c r="J21" s="214">
        <f>+'26'!J21</f>
        <v>0</v>
      </c>
      <c r="K21" s="238"/>
      <c r="L21" s="238"/>
      <c r="M21" s="117">
        <f>+K21+'26'!M21+L21</f>
        <v>0</v>
      </c>
    </row>
    <row r="22" spans="1:19" ht="13.5" thickBot="1">
      <c r="A22" s="773"/>
      <c r="B22" s="215"/>
      <c r="C22" s="216"/>
      <c r="D22" s="217"/>
      <c r="E22" s="224"/>
      <c r="F22" s="235"/>
      <c r="G22" s="231"/>
      <c r="H22" s="232"/>
      <c r="I22" s="772"/>
      <c r="J22" s="214">
        <f>+'26'!J22</f>
        <v>0</v>
      </c>
      <c r="K22" s="238"/>
      <c r="L22" s="238"/>
      <c r="M22" s="117">
        <f>+K22+'26'!M22+L22</f>
        <v>0</v>
      </c>
    </row>
    <row r="23" spans="1:19" ht="13.5" thickBot="1">
      <c r="A23" s="774"/>
      <c r="B23" s="168" t="s">
        <v>2</v>
      </c>
      <c r="C23" s="100">
        <f>SUM(C16:C22)</f>
        <v>12576</v>
      </c>
      <c r="D23" s="111">
        <f>SUM(D16:D22)</f>
        <v>0</v>
      </c>
      <c r="E23" s="112">
        <f>SUM(E18:E22)</f>
        <v>0</v>
      </c>
      <c r="F23" s="116">
        <f>SUM(F15:F22)</f>
        <v>24</v>
      </c>
      <c r="G23" s="159"/>
      <c r="H23" s="166"/>
      <c r="I23" s="169"/>
      <c r="J23" s="214">
        <f>+'26'!J23</f>
        <v>0</v>
      </c>
      <c r="K23" s="238"/>
      <c r="L23" s="238"/>
      <c r="M23" s="117">
        <f>+K23+'26'!M23+L23</f>
        <v>0</v>
      </c>
    </row>
    <row r="24" spans="1:19" ht="13.5" customHeight="1" thickBot="1">
      <c r="A24" s="767" t="s">
        <v>410</v>
      </c>
      <c r="B24" s="170"/>
      <c r="C24" s="113">
        <f>C23/($C$23+$D$23+$E$23)</f>
        <v>1</v>
      </c>
      <c r="D24" s="114">
        <f>D23/($C$23+$D$23+$E$23)</f>
        <v>0</v>
      </c>
      <c r="E24" s="115">
        <f>E23/($C$23+$D$23+$E$23)</f>
        <v>0</v>
      </c>
      <c r="F24" s="227">
        <v>6</v>
      </c>
      <c r="G24" s="228" t="s">
        <v>11</v>
      </c>
      <c r="H24" s="229" t="s">
        <v>460</v>
      </c>
      <c r="I24" s="770" t="s">
        <v>632</v>
      </c>
      <c r="J24" s="214">
        <f>+'26'!J24</f>
        <v>0</v>
      </c>
      <c r="K24" s="238"/>
      <c r="L24" s="238"/>
      <c r="M24" s="117">
        <f>+K24+'26'!M24+L24</f>
        <v>0</v>
      </c>
    </row>
    <row r="25" spans="1:19" ht="13.5" thickBot="1">
      <c r="A25" s="773"/>
      <c r="B25" s="215" t="s">
        <v>387</v>
      </c>
      <c r="C25" s="225">
        <v>12275</v>
      </c>
      <c r="D25" s="217">
        <v>518</v>
      </c>
      <c r="E25" s="224"/>
      <c r="F25" s="230">
        <v>2</v>
      </c>
      <c r="G25" s="231" t="s">
        <v>11</v>
      </c>
      <c r="H25" s="229" t="s">
        <v>455</v>
      </c>
      <c r="I25" s="771"/>
      <c r="J25" s="214">
        <f>+'26'!J25</f>
        <v>0</v>
      </c>
      <c r="K25" s="238"/>
      <c r="L25" s="238"/>
      <c r="M25" s="117">
        <f>+K25+'26'!M25+L25</f>
        <v>0</v>
      </c>
      <c r="Q25" s="149">
        <f>SUM(Q17:Q24)</f>
        <v>480</v>
      </c>
      <c r="R25" s="149">
        <f>SUM(R17:R24)</f>
        <v>576000</v>
      </c>
      <c r="S25" s="149">
        <f>SUM(S17:S24)</f>
        <v>443520</v>
      </c>
    </row>
    <row r="26" spans="1:19" ht="13.5" thickBot="1">
      <c r="A26" s="773"/>
      <c r="B26" s="215"/>
      <c r="C26" s="225"/>
      <c r="D26" s="217"/>
      <c r="E26" s="226"/>
      <c r="F26" s="227">
        <v>10</v>
      </c>
      <c r="G26" s="231" t="s">
        <v>11</v>
      </c>
      <c r="H26" s="232" t="s">
        <v>477</v>
      </c>
      <c r="I26" s="771"/>
      <c r="J26" s="214">
        <f>+'26'!J26</f>
        <v>0</v>
      </c>
      <c r="K26" s="238"/>
      <c r="L26" s="238"/>
      <c r="M26" s="117">
        <f>+K26+'26'!M26+L26</f>
        <v>0</v>
      </c>
      <c r="Q26" s="149">
        <f>480-Q25</f>
        <v>0</v>
      </c>
      <c r="R26" s="149">
        <f>+R25/Q25</f>
        <v>1200</v>
      </c>
      <c r="S26" s="149">
        <f>+S25/Q25</f>
        <v>924</v>
      </c>
    </row>
    <row r="27" spans="1:19" ht="39" thickBot="1">
      <c r="A27" s="773"/>
      <c r="B27" s="215"/>
      <c r="C27" s="216"/>
      <c r="D27" s="217"/>
      <c r="E27" s="224"/>
      <c r="F27" s="227"/>
      <c r="G27" s="236" t="s">
        <v>12</v>
      </c>
      <c r="H27" s="232" t="s">
        <v>627</v>
      </c>
      <c r="I27" s="771"/>
      <c r="J27" s="214">
        <f>+'26'!J27</f>
        <v>0</v>
      </c>
      <c r="K27" s="238"/>
      <c r="L27" s="238"/>
      <c r="M27" s="117">
        <f>+K27+'26'!M27+L27</f>
        <v>0</v>
      </c>
      <c r="N27" s="149" t="s">
        <v>386</v>
      </c>
      <c r="O27" s="149">
        <v>1080</v>
      </c>
      <c r="P27" s="149">
        <f>+O27-O27*0.23</f>
        <v>831.6</v>
      </c>
      <c r="Q27" s="149">
        <f>60*2+8</f>
        <v>128</v>
      </c>
      <c r="R27" s="149">
        <f t="shared" ref="R27:R30" si="6">+O27*Q27</f>
        <v>138240</v>
      </c>
      <c r="S27" s="149">
        <f t="shared" ref="S27:S30" si="7">+P27*Q27</f>
        <v>106444.8</v>
      </c>
    </row>
    <row r="28" spans="1:19" ht="77.25" thickBot="1">
      <c r="A28" s="773"/>
      <c r="B28" s="215"/>
      <c r="C28" s="216"/>
      <c r="D28" s="217"/>
      <c r="E28" s="224"/>
      <c r="F28" s="230"/>
      <c r="G28" s="231"/>
      <c r="H28" s="232" t="s">
        <v>628</v>
      </c>
      <c r="I28" s="771"/>
      <c r="J28" s="214">
        <f>+'26'!J28</f>
        <v>0</v>
      </c>
      <c r="K28" s="238"/>
      <c r="L28" s="238"/>
      <c r="M28" s="117">
        <f>+K28+'26'!M28+L28</f>
        <v>0</v>
      </c>
      <c r="O28" s="149">
        <v>1030</v>
      </c>
      <c r="P28" s="149">
        <f>+O28-O28*0.23</f>
        <v>793.1</v>
      </c>
      <c r="Q28" s="149">
        <f>480-Q27</f>
        <v>352</v>
      </c>
      <c r="R28" s="149">
        <f t="shared" si="6"/>
        <v>362560</v>
      </c>
      <c r="S28" s="149">
        <f t="shared" si="7"/>
        <v>279171.20000000001</v>
      </c>
    </row>
    <row r="29" spans="1:19" ht="13.5" thickBot="1">
      <c r="A29" s="773"/>
      <c r="B29" s="215"/>
      <c r="C29" s="216"/>
      <c r="D29" s="217"/>
      <c r="E29" s="224"/>
      <c r="F29" s="235"/>
      <c r="G29" s="231"/>
      <c r="H29" s="232"/>
      <c r="I29" s="771"/>
      <c r="J29" s="214">
        <f>+'26'!J29</f>
        <v>0</v>
      </c>
      <c r="K29" s="238"/>
      <c r="L29" s="238"/>
      <c r="M29" s="117">
        <f>+K29+'26'!M29+L29</f>
        <v>0</v>
      </c>
      <c r="P29" s="149">
        <f>+O29-O29*0.23</f>
        <v>0</v>
      </c>
      <c r="R29" s="149">
        <f t="shared" si="6"/>
        <v>0</v>
      </c>
      <c r="S29" s="149">
        <f t="shared" si="7"/>
        <v>0</v>
      </c>
    </row>
    <row r="30" spans="1:19" ht="13.5" thickBot="1">
      <c r="A30" s="773"/>
      <c r="B30" s="215"/>
      <c r="C30" s="225"/>
      <c r="D30" s="217"/>
      <c r="E30" s="224"/>
      <c r="F30" s="235"/>
      <c r="G30" s="231"/>
      <c r="H30" s="232"/>
      <c r="I30" s="771"/>
      <c r="J30" s="214">
        <f>+'26'!J30</f>
        <v>0</v>
      </c>
      <c r="K30" s="238"/>
      <c r="L30" s="238"/>
      <c r="M30" s="117">
        <f>+K30+'26'!M30+L30</f>
        <v>0</v>
      </c>
      <c r="P30" s="149">
        <f>+O30-O30*0.23</f>
        <v>0</v>
      </c>
      <c r="R30" s="149">
        <f t="shared" si="6"/>
        <v>0</v>
      </c>
      <c r="S30" s="149">
        <f t="shared" si="7"/>
        <v>0</v>
      </c>
    </row>
    <row r="31" spans="1:19" ht="13.5" thickBot="1">
      <c r="A31" s="773"/>
      <c r="B31" s="215"/>
      <c r="C31" s="225"/>
      <c r="D31" s="217"/>
      <c r="E31" s="224"/>
      <c r="F31" s="235"/>
      <c r="G31" s="236"/>
      <c r="H31" s="444"/>
      <c r="I31" s="772"/>
      <c r="J31" s="214">
        <f>+'26'!J31</f>
        <v>0</v>
      </c>
      <c r="K31" s="238"/>
      <c r="L31" s="238"/>
      <c r="M31" s="117">
        <f>+K31+'26'!M31+L31</f>
        <v>0</v>
      </c>
    </row>
    <row r="32" spans="1:19" ht="13.5" thickBot="1">
      <c r="A32" s="774"/>
      <c r="B32" s="165" t="s">
        <v>2</v>
      </c>
      <c r="C32" s="99">
        <f>SUM(C25:C31)</f>
        <v>12275</v>
      </c>
      <c r="D32" s="100">
        <f>SUM(D25:D31)</f>
        <v>518</v>
      </c>
      <c r="E32" s="101">
        <f>SUM(E25:E31)</f>
        <v>0</v>
      </c>
      <c r="F32" s="102">
        <f>SUM(F24:F31)</f>
        <v>18</v>
      </c>
      <c r="G32" s="171"/>
      <c r="H32" s="172"/>
      <c r="I32" s="169"/>
      <c r="J32" s="214">
        <f>+'26'!J32</f>
        <v>0</v>
      </c>
      <c r="K32" s="240"/>
      <c r="L32" s="242"/>
      <c r="M32" s="117">
        <f>+K32+'26'!M32+L32</f>
        <v>0</v>
      </c>
    </row>
    <row r="33" spans="1:19" ht="13.5" thickBot="1">
      <c r="A33" s="173"/>
      <c r="B33" s="174"/>
      <c r="C33" s="103">
        <f>C32/($C$32+$D$32+$E$32)</f>
        <v>0.95950910654264054</v>
      </c>
      <c r="D33" s="104">
        <f>D32/($C$32+$D$32+$E$32)</f>
        <v>4.0490893457359491E-2</v>
      </c>
      <c r="E33" s="105">
        <f>E32/($C$32+$D$32+$E$32)</f>
        <v>0</v>
      </c>
      <c r="F33" s="106"/>
      <c r="G33" s="175"/>
      <c r="H33" s="176"/>
      <c r="I33" s="177"/>
      <c r="J33" s="121"/>
      <c r="K33" s="122"/>
      <c r="L33" s="213"/>
      <c r="M33" s="119"/>
    </row>
    <row r="34" spans="1:19" ht="13.5" thickBot="1">
      <c r="A34" s="775" t="s">
        <v>57</v>
      </c>
      <c r="B34" s="776"/>
      <c r="C34" s="107">
        <f>C14+C23+C32</f>
        <v>37440</v>
      </c>
      <c r="D34" s="107">
        <f>D14+D23+D32</f>
        <v>518</v>
      </c>
      <c r="E34" s="107">
        <f>E14+E23+E32</f>
        <v>0</v>
      </c>
      <c r="F34" s="108">
        <f>F14+F23+F32</f>
        <v>66</v>
      </c>
      <c r="H34" s="178"/>
      <c r="I34" s="178"/>
      <c r="J34" s="123" t="s">
        <v>27</v>
      </c>
      <c r="K34" s="124">
        <f>SUM(K7:K32)</f>
        <v>37440</v>
      </c>
      <c r="L34" s="212">
        <f>SUM(L7:L32)</f>
        <v>0</v>
      </c>
      <c r="M34" s="120">
        <f>SUM(M7:M32)</f>
        <v>381394</v>
      </c>
    </row>
    <row r="35" spans="1:19" ht="13.5" thickBot="1">
      <c r="A35" s="179"/>
      <c r="B35" s="180"/>
      <c r="C35" s="104">
        <f>C34/($C$34+$D$34+$E$34)</f>
        <v>0.98635333789978397</v>
      </c>
      <c r="D35" s="104">
        <f>D34/($C$34+$D$34+$E$34)</f>
        <v>1.3646662100216029E-2</v>
      </c>
      <c r="E35" s="109">
        <f>E34/($C$34+$D$34+$E$34)</f>
        <v>0</v>
      </c>
      <c r="K35" s="155"/>
      <c r="Q35" s="149">
        <f>SUM(Q27:Q34)</f>
        <v>480</v>
      </c>
      <c r="R35" s="149">
        <f>SUM(R27:R34)</f>
        <v>500800</v>
      </c>
      <c r="S35" s="149">
        <f>SUM(S27:S34)</f>
        <v>385616</v>
      </c>
    </row>
    <row r="36" spans="1:19" ht="13.5" thickBot="1">
      <c r="A36" s="178"/>
      <c r="B36" s="178"/>
      <c r="C36" s="155"/>
      <c r="D36" s="155"/>
      <c r="E36" s="155"/>
      <c r="G36" s="155"/>
      <c r="H36" s="181"/>
      <c r="I36" s="162" t="s">
        <v>36</v>
      </c>
      <c r="J36" s="162" t="s">
        <v>37</v>
      </c>
      <c r="K36" s="182"/>
      <c r="Q36" s="149">
        <f>480-Q35</f>
        <v>0</v>
      </c>
      <c r="R36" s="149">
        <f>+R35/Q35</f>
        <v>1043.3333333333333</v>
      </c>
      <c r="S36" s="149">
        <f>+S35/Q35</f>
        <v>803.36666666666667</v>
      </c>
    </row>
    <row r="37" spans="1:19" ht="17.45" customHeight="1" thickBot="1">
      <c r="A37" s="777" t="s">
        <v>58</v>
      </c>
      <c r="B37" s="778"/>
      <c r="C37" s="162" t="s">
        <v>59</v>
      </c>
      <c r="D37" s="183" t="s">
        <v>60</v>
      </c>
      <c r="E37" s="184" t="s">
        <v>61</v>
      </c>
      <c r="F37" s="328"/>
      <c r="G37" s="323"/>
      <c r="H37" s="186" t="s">
        <v>62</v>
      </c>
      <c r="I37" s="243">
        <f>(15*170+12*1270)/1440*G42*2.74*1440/1000000</f>
        <v>42.013624053041674</v>
      </c>
      <c r="J37" s="125">
        <f>+I37+'26'!J37</f>
        <v>462.95300581184011</v>
      </c>
      <c r="K37" s="126" t="s">
        <v>63</v>
      </c>
    </row>
    <row r="38" spans="1:19" ht="17.45" customHeight="1">
      <c r="A38" s="779" t="s">
        <v>11</v>
      </c>
      <c r="B38" s="780"/>
      <c r="C38" s="164">
        <f>SUMIF($G$7:$G$31,"Process",$F$7:$F$31)</f>
        <v>66</v>
      </c>
      <c r="D38" s="118">
        <f>+C38+'26'!D38</f>
        <v>756</v>
      </c>
      <c r="E38" s="143">
        <f t="shared" ref="E38:E51" si="8">D38/60</f>
        <v>12.6</v>
      </c>
      <c r="F38" s="321">
        <v>1114.7708333333333</v>
      </c>
      <c r="G38" s="321">
        <v>858.3735416666666</v>
      </c>
      <c r="H38" s="187" t="s">
        <v>64</v>
      </c>
      <c r="I38" s="244">
        <f>12.123+13.244+12.394</f>
        <v>37.760999999999996</v>
      </c>
      <c r="J38" s="127">
        <f>+I38+'26'!J38</f>
        <v>407.88</v>
      </c>
      <c r="K38" s="128" t="s">
        <v>63</v>
      </c>
    </row>
    <row r="39" spans="1:19" ht="17.45" customHeight="1">
      <c r="A39" s="781" t="s">
        <v>12</v>
      </c>
      <c r="B39" s="782"/>
      <c r="C39" s="164">
        <f>SUMIF($G$7:$G$31,"Cleaning",$F$7:$F$31)</f>
        <v>0</v>
      </c>
      <c r="D39" s="118">
        <f>+C39+'26'!D39</f>
        <v>0</v>
      </c>
      <c r="E39" s="143">
        <f t="shared" si="8"/>
        <v>0</v>
      </c>
      <c r="F39" s="321">
        <v>1200</v>
      </c>
      <c r="G39" s="321">
        <v>924</v>
      </c>
      <c r="H39" s="187" t="s">
        <v>65</v>
      </c>
      <c r="I39" s="142"/>
      <c r="J39" s="129">
        <f>J37/G4</f>
        <v>17.146407622660746</v>
      </c>
      <c r="K39" s="130" t="s">
        <v>63</v>
      </c>
    </row>
    <row r="40" spans="1:19" ht="17.45" customHeight="1">
      <c r="A40" s="781" t="s">
        <v>66</v>
      </c>
      <c r="B40" s="782"/>
      <c r="C40" s="164">
        <f>SUMIF($G$7:$G$31,"Mechanical",$F$7:$F$31)</f>
        <v>0</v>
      </c>
      <c r="D40" s="118">
        <f>+C40+'26'!D40</f>
        <v>0</v>
      </c>
      <c r="E40" s="143">
        <f t="shared" si="8"/>
        <v>0</v>
      </c>
      <c r="F40" s="321">
        <v>1043.3333333333333</v>
      </c>
      <c r="G40" s="321">
        <v>803.36666666666667</v>
      </c>
      <c r="H40" s="187" t="s">
        <v>67</v>
      </c>
      <c r="I40" s="118">
        <f>(K34+L34)/1000</f>
        <v>37.44</v>
      </c>
      <c r="J40" s="131">
        <f>+I40+'26'!J40</f>
        <v>381.39400000000001</v>
      </c>
      <c r="K40" s="130" t="s">
        <v>63</v>
      </c>
      <c r="N40" s="149" t="s">
        <v>606</v>
      </c>
      <c r="O40" s="149">
        <v>1050</v>
      </c>
      <c r="P40" s="149">
        <v>808.5</v>
      </c>
      <c r="Q40" s="149">
        <v>170</v>
      </c>
    </row>
    <row r="41" spans="1:19" ht="17.45" customHeight="1">
      <c r="A41" s="781" t="s">
        <v>68</v>
      </c>
      <c r="B41" s="782"/>
      <c r="C41" s="164">
        <f>SUMIF($G$7:$G$31,"Electrical",$F$7:$F$31)</f>
        <v>0</v>
      </c>
      <c r="D41" s="118">
        <f>+C41+'26'!D41</f>
        <v>175</v>
      </c>
      <c r="E41" s="143">
        <f t="shared" si="8"/>
        <v>2.9166666666666665</v>
      </c>
      <c r="F41" s="321"/>
      <c r="G41" s="321"/>
      <c r="H41" s="187" t="s">
        <v>69</v>
      </c>
      <c r="I41" s="142"/>
      <c r="J41" s="129">
        <f>J40/G4</f>
        <v>14.125703703703705</v>
      </c>
      <c r="K41" s="130" t="s">
        <v>63</v>
      </c>
      <c r="N41" s="149" t="s">
        <v>386</v>
      </c>
      <c r="O41" s="149">
        <v>1128.6535433070867</v>
      </c>
      <c r="P41" s="149">
        <v>869.06322834645675</v>
      </c>
      <c r="Q41" s="149">
        <v>1270</v>
      </c>
    </row>
    <row r="42" spans="1:19" ht="17.45" customHeight="1">
      <c r="A42" s="781" t="s">
        <v>15</v>
      </c>
      <c r="B42" s="782"/>
      <c r="C42" s="164">
        <f>SUMIF($G$7:$G$31,"Instrument",$F$7:$F$31)</f>
        <v>0</v>
      </c>
      <c r="D42" s="118">
        <f>+C42+'26'!D42</f>
        <v>0</v>
      </c>
      <c r="E42" s="143">
        <f t="shared" si="8"/>
        <v>0</v>
      </c>
      <c r="F42" s="321">
        <f>+(480*F38+480*F39+480*F40)/1440</f>
        <v>1119.3680555555557</v>
      </c>
      <c r="G42" s="321">
        <f>+(480*G38+480*G39+480*G40)/1440</f>
        <v>861.91340277777783</v>
      </c>
      <c r="H42" s="187" t="s">
        <v>70</v>
      </c>
      <c r="I42" s="245" t="s">
        <v>633</v>
      </c>
      <c r="J42" s="132"/>
      <c r="K42" s="130" t="s">
        <v>71</v>
      </c>
      <c r="Q42" s="149">
        <f>+Q40+Q41</f>
        <v>1440</v>
      </c>
    </row>
    <row r="43" spans="1:19" ht="17.45" customHeight="1">
      <c r="A43" s="781" t="s">
        <v>72</v>
      </c>
      <c r="B43" s="782"/>
      <c r="C43" s="164">
        <f>SUMIF($G$7:$G$31,"Water",$F$7:$F$31)</f>
        <v>0</v>
      </c>
      <c r="D43" s="118">
        <f>+C43+'26'!D43</f>
        <v>0</v>
      </c>
      <c r="E43" s="143">
        <f t="shared" si="8"/>
        <v>0</v>
      </c>
      <c r="F43" s="321"/>
      <c r="G43" s="322"/>
      <c r="H43" s="188" t="s">
        <v>73</v>
      </c>
      <c r="I43" s="118">
        <f>+Report1!Z35</f>
        <v>54.1</v>
      </c>
      <c r="J43" s="133">
        <f>+I43+'26'!J43</f>
        <v>940.09999999999991</v>
      </c>
      <c r="K43" s="130" t="s">
        <v>63</v>
      </c>
      <c r="L43" s="189"/>
    </row>
    <row r="44" spans="1:19" ht="17.45" customHeight="1">
      <c r="A44" s="781" t="s">
        <v>16</v>
      </c>
      <c r="B44" s="782"/>
      <c r="C44" s="164">
        <f>SUMIF($G$7:$G$31,"PLN",$F$7:$F$31)</f>
        <v>0</v>
      </c>
      <c r="D44" s="118">
        <f>+C44+'26'!D44</f>
        <v>0</v>
      </c>
      <c r="E44" s="143">
        <f t="shared" si="8"/>
        <v>0</v>
      </c>
      <c r="F44" s="321"/>
      <c r="G44" s="322"/>
      <c r="H44" s="188" t="s">
        <v>74</v>
      </c>
      <c r="I44" s="118">
        <f>I43/I38</f>
        <v>1.432695108710045</v>
      </c>
      <c r="J44" s="134">
        <f>J43/J38</f>
        <v>2.3048445621261155</v>
      </c>
      <c r="K44" s="130" t="s">
        <v>63</v>
      </c>
    </row>
    <row r="45" spans="1:19" ht="17.45" customHeight="1">
      <c r="A45" s="781" t="s">
        <v>17</v>
      </c>
      <c r="B45" s="782"/>
      <c r="C45" s="164">
        <f>SUMIF($G$7:$G$31,"Boiler",$F$7:$F$31)</f>
        <v>0</v>
      </c>
      <c r="D45" s="118">
        <f>+C45+'26'!D45</f>
        <v>0</v>
      </c>
      <c r="E45" s="143">
        <f t="shared" si="8"/>
        <v>0</v>
      </c>
      <c r="F45" s="321"/>
      <c r="G45" s="324"/>
      <c r="H45" s="188" t="s">
        <v>75</v>
      </c>
      <c r="I45" s="118">
        <f>I43/I40</f>
        <v>1.4449786324786327</v>
      </c>
      <c r="J45" s="134">
        <f>J43/J40</f>
        <v>2.4649050588105736</v>
      </c>
      <c r="K45" s="130" t="s">
        <v>63</v>
      </c>
    </row>
    <row r="46" spans="1:19" ht="17.45" customHeight="1">
      <c r="A46" s="781" t="s">
        <v>76</v>
      </c>
      <c r="B46" s="782"/>
      <c r="C46" s="164">
        <f>SUMIF($G$7:$G$31,"Gas",$F$7:$F$31)</f>
        <v>0</v>
      </c>
      <c r="D46" s="118">
        <f>+C46+'26'!D46</f>
        <v>0</v>
      </c>
      <c r="E46" s="143">
        <f t="shared" si="8"/>
        <v>0</v>
      </c>
      <c r="F46" s="321"/>
      <c r="G46" s="322"/>
      <c r="H46" s="188" t="s">
        <v>77</v>
      </c>
      <c r="I46" s="140">
        <f>+SUMIF(Listrik!P34,"&gt;0")</f>
        <v>39197.78</v>
      </c>
      <c r="J46" s="135">
        <f>+I46+'26'!J46</f>
        <v>498369.52000000072</v>
      </c>
      <c r="K46" s="130" t="s">
        <v>78</v>
      </c>
    </row>
    <row r="47" spans="1:19" ht="17.45" customHeight="1">
      <c r="A47" s="781" t="s">
        <v>79</v>
      </c>
      <c r="B47" s="782"/>
      <c r="C47" s="164">
        <f>SUMIF($G$7:$G$31,"Gas",$F$7:$F$31)</f>
        <v>0</v>
      </c>
      <c r="D47" s="118">
        <f>+C47+'26'!D47</f>
        <v>0</v>
      </c>
      <c r="E47" s="143">
        <f t="shared" si="8"/>
        <v>0</v>
      </c>
      <c r="F47" s="321"/>
      <c r="G47" s="322"/>
      <c r="H47" s="188" t="s">
        <v>80</v>
      </c>
      <c r="I47" s="118">
        <f>I46/I38</f>
        <v>1038.0493101347952</v>
      </c>
      <c r="J47" s="135">
        <f>J46/J38</f>
        <v>1221.8532901833889</v>
      </c>
      <c r="K47" s="130" t="s">
        <v>23</v>
      </c>
    </row>
    <row r="48" spans="1:19" ht="17.45" customHeight="1">
      <c r="A48" s="781" t="s">
        <v>13</v>
      </c>
      <c r="B48" s="782"/>
      <c r="C48" s="164">
        <f>SUMIF($G$7:$G$31,"Start Up",$F$7:$F$31)</f>
        <v>0</v>
      </c>
      <c r="D48" s="118">
        <f>+C48+'26'!D48</f>
        <v>0</v>
      </c>
      <c r="E48" s="143">
        <f t="shared" si="8"/>
        <v>0</v>
      </c>
      <c r="F48" s="321"/>
      <c r="G48" s="322"/>
      <c r="H48" s="188" t="s">
        <v>81</v>
      </c>
      <c r="I48" s="118">
        <f>I46/I40</f>
        <v>1046.9492521367522</v>
      </c>
      <c r="J48" s="135">
        <f>J46/J40</f>
        <v>1306.7051920061688</v>
      </c>
      <c r="K48" s="130" t="s">
        <v>23</v>
      </c>
    </row>
    <row r="49" spans="1:11" ht="17.45" customHeight="1">
      <c r="A49" s="781" t="s">
        <v>19</v>
      </c>
      <c r="B49" s="782"/>
      <c r="C49" s="164">
        <f>SUMIF($G$7:$G$31,"Others",$F$7:$F$31)</f>
        <v>0</v>
      </c>
      <c r="D49" s="118">
        <f>+C49+'26'!D49</f>
        <v>22716</v>
      </c>
      <c r="E49" s="143">
        <f t="shared" si="8"/>
        <v>378.6</v>
      </c>
      <c r="F49" s="185"/>
      <c r="H49" s="188" t="s">
        <v>267</v>
      </c>
      <c r="I49" s="118">
        <f>+Report1!T35</f>
        <v>4682.5869117647062</v>
      </c>
      <c r="J49" s="135">
        <f>+I49+'26'!J49</f>
        <v>49880.121892841962</v>
      </c>
      <c r="K49" s="130" t="s">
        <v>82</v>
      </c>
    </row>
    <row r="50" spans="1:11" ht="17.45" customHeight="1">
      <c r="A50" s="781" t="s">
        <v>18</v>
      </c>
      <c r="B50" s="782"/>
      <c r="C50" s="164">
        <f>SUMIF($G$7:$G$31,"Steam",$F$7:$F$31)</f>
        <v>0</v>
      </c>
      <c r="D50" s="118">
        <f>+C50+'26'!D50</f>
        <v>0</v>
      </c>
      <c r="E50" s="143">
        <f t="shared" si="8"/>
        <v>0</v>
      </c>
      <c r="F50" s="185"/>
      <c r="H50" s="188" t="s">
        <v>83</v>
      </c>
      <c r="I50" s="140">
        <f>I49/I38</f>
        <v>124.00590322726376</v>
      </c>
      <c r="J50" s="133">
        <f>J49/J38</f>
        <v>122.29116870854654</v>
      </c>
      <c r="K50" s="130" t="s">
        <v>82</v>
      </c>
    </row>
    <row r="51" spans="1:11" ht="17.45" customHeight="1" thickBot="1">
      <c r="A51" s="783" t="s">
        <v>84</v>
      </c>
      <c r="B51" s="784"/>
      <c r="C51" s="164">
        <f>SUMIF($G$7:$G$31,"Planned shut",$F$7:$F$31)</f>
        <v>0</v>
      </c>
      <c r="D51" s="118">
        <f>+C51+'26'!D51</f>
        <v>0</v>
      </c>
      <c r="E51" s="143">
        <f t="shared" si="8"/>
        <v>0</v>
      </c>
      <c r="F51" s="185"/>
      <c r="H51" s="190" t="s">
        <v>85</v>
      </c>
      <c r="I51" s="141">
        <f>I49/I40</f>
        <v>125.06909486551032</v>
      </c>
      <c r="J51" s="136">
        <f>J49/J40</f>
        <v>130.78370895410509</v>
      </c>
      <c r="K51" s="137" t="s">
        <v>82</v>
      </c>
    </row>
    <row r="52" spans="1:11" ht="13.5" thickBot="1">
      <c r="A52" s="779" t="s">
        <v>27</v>
      </c>
      <c r="B52" s="780"/>
      <c r="C52" s="144">
        <f>SUM(C38:C51)</f>
        <v>66</v>
      </c>
      <c r="D52" s="144">
        <f>SUM(D38:D51)</f>
        <v>23647</v>
      </c>
      <c r="E52" s="145">
        <f>SUM(E38:E51)</f>
        <v>394.11666666666667</v>
      </c>
      <c r="F52" s="185"/>
      <c r="H52" s="191"/>
      <c r="I52" s="192"/>
      <c r="J52" s="138"/>
      <c r="K52" s="139"/>
    </row>
    <row r="53" spans="1:11" ht="13.5" thickBot="1">
      <c r="A53" s="785"/>
      <c r="B53" s="786"/>
      <c r="C53" s="146">
        <f>C52/(24*60)</f>
        <v>4.583333333333333E-2</v>
      </c>
      <c r="D53" s="146">
        <f>D52/(24*60*G4)</f>
        <v>0.60820473251028806</v>
      </c>
      <c r="E53" s="147">
        <f>E52/(G4*24)</f>
        <v>0.60820473251028806</v>
      </c>
      <c r="F53" s="185"/>
    </row>
    <row r="54" spans="1:11">
      <c r="E54" s="193"/>
      <c r="F54" s="185"/>
    </row>
    <row r="55" spans="1:11">
      <c r="E55" s="193"/>
    </row>
    <row r="56" spans="1:11">
      <c r="A56" s="194" t="s">
        <v>86</v>
      </c>
      <c r="B56" s="195"/>
      <c r="C56" s="196"/>
      <c r="D56" s="196"/>
      <c r="E56" s="196"/>
      <c r="F56" s="197"/>
      <c r="G56" s="196"/>
      <c r="H56" s="198"/>
      <c r="I56" s="199" t="s">
        <v>87</v>
      </c>
      <c r="J56" s="200">
        <f>+D34+'26'!J56</f>
        <v>7419</v>
      </c>
      <c r="K56" s="201">
        <f>J56/(J40+J56/1000)/1000</f>
        <v>1.9081152121971232E-2</v>
      </c>
    </row>
    <row r="57" spans="1:11">
      <c r="A57" s="176"/>
      <c r="I57" s="199" t="s">
        <v>88</v>
      </c>
      <c r="J57" s="200">
        <f>+E34+'26'!J57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topLeftCell="A13" zoomScale="80" zoomScaleNormal="80" workbookViewId="0">
      <selection activeCell="A7" sqref="A7:A32"/>
    </sheetView>
  </sheetViews>
  <sheetFormatPr defaultColWidth="9.140625" defaultRowHeight="12.75"/>
  <cols>
    <col min="1" max="1" width="8" style="149" customWidth="1"/>
    <col min="2" max="2" width="7" style="149" bestFit="1" customWidth="1"/>
    <col min="3" max="3" width="1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7.140625" style="149" customWidth="1"/>
    <col min="14" max="16384" width="9.140625" style="149"/>
  </cols>
  <sheetData>
    <row r="1" spans="1:19" ht="15.75">
      <c r="A1" s="148"/>
    </row>
    <row r="2" spans="1:19" ht="15.75">
      <c r="A2" s="148" t="s">
        <v>182</v>
      </c>
    </row>
    <row r="3" spans="1:19" ht="15">
      <c r="A3" s="150"/>
    </row>
    <row r="4" spans="1:19" ht="20.25">
      <c r="A4" s="151" t="s">
        <v>3</v>
      </c>
      <c r="B4" s="152"/>
      <c r="F4" s="153" t="s">
        <v>28</v>
      </c>
      <c r="G4" s="154">
        <v>26</v>
      </c>
      <c r="H4" s="154" t="str">
        <f>+'1'!H4</f>
        <v>.11.25</v>
      </c>
    </row>
    <row r="5" spans="1:19" ht="13.5" thickBot="1">
      <c r="C5" s="155"/>
      <c r="D5" s="155"/>
    </row>
    <row r="6" spans="1:19"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606</v>
      </c>
      <c r="O6" s="149">
        <v>980</v>
      </c>
      <c r="P6" s="149">
        <f>+O6-O6*0.23</f>
        <v>754.6</v>
      </c>
      <c r="Q6" s="149">
        <v>10</v>
      </c>
      <c r="R6" s="149">
        <f t="shared" ref="R6:R8" si="0">+O6*Q6</f>
        <v>9800</v>
      </c>
      <c r="S6" s="149">
        <f t="shared" ref="S6:S8" si="1">+P6*Q6</f>
        <v>7546</v>
      </c>
    </row>
    <row r="7" spans="1:19" ht="13.5" customHeight="1" thickBot="1">
      <c r="A7" s="767" t="s">
        <v>407</v>
      </c>
      <c r="B7" s="215" t="s">
        <v>611</v>
      </c>
      <c r="C7" s="216">
        <v>13041</v>
      </c>
      <c r="D7" s="217"/>
      <c r="E7" s="218"/>
      <c r="F7" s="227">
        <v>12</v>
      </c>
      <c r="G7" s="228" t="s">
        <v>11</v>
      </c>
      <c r="H7" s="229" t="s">
        <v>622</v>
      </c>
      <c r="I7" s="770" t="s">
        <v>619</v>
      </c>
      <c r="J7" s="214" t="str">
        <f>+'25'!J7</f>
        <v>F 12 VP OW</v>
      </c>
      <c r="K7" s="237"/>
      <c r="L7" s="241"/>
      <c r="M7" s="117">
        <f>+K7+'25'!M7+L7</f>
        <v>107792</v>
      </c>
      <c r="O7" s="149">
        <v>1050</v>
      </c>
      <c r="P7" s="149">
        <f>+O7-O7*0.23</f>
        <v>808.5</v>
      </c>
      <c r="Q7" s="149">
        <f>480-Q6</f>
        <v>470</v>
      </c>
      <c r="R7" s="149">
        <f t="shared" si="0"/>
        <v>493500</v>
      </c>
      <c r="S7" s="149">
        <f t="shared" si="1"/>
        <v>379995</v>
      </c>
    </row>
    <row r="8" spans="1:19" ht="13.5" thickBot="1">
      <c r="A8" s="768"/>
      <c r="B8" s="215"/>
      <c r="C8" s="216"/>
      <c r="D8" s="217"/>
      <c r="E8" s="219"/>
      <c r="F8" s="230"/>
      <c r="G8" s="231" t="s">
        <v>11</v>
      </c>
      <c r="H8" s="229" t="s">
        <v>282</v>
      </c>
      <c r="I8" s="771"/>
      <c r="J8" s="214" t="str">
        <f>+'25'!J8</f>
        <v>F 13 VP OW</v>
      </c>
      <c r="K8" s="238"/>
      <c r="L8" s="238"/>
      <c r="M8" s="117">
        <f>+K8+'25'!M8+L8</f>
        <v>60092</v>
      </c>
      <c r="P8" s="149">
        <f>+O8-O8*0.23</f>
        <v>0</v>
      </c>
      <c r="R8" s="149">
        <f t="shared" si="0"/>
        <v>0</v>
      </c>
      <c r="S8" s="149">
        <f t="shared" si="1"/>
        <v>0</v>
      </c>
    </row>
    <row r="9" spans="1:19" ht="13.5" thickBot="1">
      <c r="A9" s="768"/>
      <c r="B9" s="215"/>
      <c r="C9" s="216"/>
      <c r="D9" s="217"/>
      <c r="E9" s="220"/>
      <c r="F9" s="227">
        <f>28-12</f>
        <v>16</v>
      </c>
      <c r="G9" s="231" t="s">
        <v>11</v>
      </c>
      <c r="H9" s="232" t="s">
        <v>494</v>
      </c>
      <c r="I9" s="771"/>
      <c r="J9" s="214" t="str">
        <f>+'25'!J9</f>
        <v>F 14 VP OW</v>
      </c>
      <c r="K9" s="238"/>
      <c r="L9" s="238"/>
      <c r="M9" s="117">
        <f>+K9+'25'!M9+L9</f>
        <v>28251</v>
      </c>
    </row>
    <row r="10" spans="1:19" ht="51.75" thickBot="1">
      <c r="A10" s="768"/>
      <c r="B10" s="215"/>
      <c r="C10" s="216"/>
      <c r="D10" s="217"/>
      <c r="E10" s="219"/>
      <c r="F10" s="227"/>
      <c r="G10" s="236" t="s">
        <v>12</v>
      </c>
      <c r="H10" s="232" t="s">
        <v>613</v>
      </c>
      <c r="I10" s="771"/>
      <c r="J10" s="214" t="str">
        <f>+'25'!J10</f>
        <v>F 11 VP OW</v>
      </c>
      <c r="K10" s="238"/>
      <c r="L10" s="238"/>
      <c r="M10" s="117">
        <f>+K10+'25'!M10+L10</f>
        <v>33513</v>
      </c>
    </row>
    <row r="11" spans="1:19" ht="26.25" thickBot="1">
      <c r="A11" s="768"/>
      <c r="B11" s="215"/>
      <c r="C11" s="216"/>
      <c r="D11" s="217"/>
      <c r="E11" s="219"/>
      <c r="F11" s="227"/>
      <c r="G11" s="231"/>
      <c r="H11" s="232" t="s">
        <v>618</v>
      </c>
      <c r="I11" s="771"/>
      <c r="J11" s="214" t="str">
        <f>+'25'!J11</f>
        <v>T 14 VP OW</v>
      </c>
      <c r="K11" s="238"/>
      <c r="L11" s="238"/>
      <c r="M11" s="117">
        <f>+K11+'25'!M11+L11</f>
        <v>54160</v>
      </c>
    </row>
    <row r="12" spans="1:19" ht="13.5" thickBot="1">
      <c r="A12" s="768"/>
      <c r="B12" s="215"/>
      <c r="C12" s="216"/>
      <c r="D12" s="217"/>
      <c r="E12" s="219"/>
      <c r="F12" s="227"/>
      <c r="G12" s="231"/>
      <c r="H12" s="232"/>
      <c r="I12" s="771"/>
      <c r="J12" s="214" t="str">
        <f>+'25'!J12</f>
        <v>T 15 VP OW</v>
      </c>
      <c r="K12" s="238">
        <f>+C34</f>
        <v>38931</v>
      </c>
      <c r="L12" s="238"/>
      <c r="M12" s="117">
        <f>+K12+'25'!M12+L12</f>
        <v>60146</v>
      </c>
    </row>
    <row r="13" spans="1:19" ht="13.5" thickBot="1">
      <c r="A13" s="768"/>
      <c r="B13" s="215"/>
      <c r="C13" s="216"/>
      <c r="D13" s="216"/>
      <c r="E13" s="219"/>
      <c r="F13" s="227"/>
      <c r="G13" s="231"/>
      <c r="H13" s="232"/>
      <c r="I13" s="772"/>
      <c r="J13" s="214">
        <f>+'25'!J13</f>
        <v>0</v>
      </c>
      <c r="K13" s="238"/>
      <c r="L13" s="238"/>
      <c r="M13" s="117">
        <f>+K13+'25'!M13+L13</f>
        <v>0</v>
      </c>
    </row>
    <row r="14" spans="1:19" ht="13.5" thickBot="1">
      <c r="A14" s="769"/>
      <c r="B14" s="165" t="s">
        <v>2</v>
      </c>
      <c r="C14" s="99">
        <f>SUM(C7:C13)</f>
        <v>13041</v>
      </c>
      <c r="D14" s="111">
        <f>SUM(D7:D13)</f>
        <v>0</v>
      </c>
      <c r="E14" s="112">
        <f>SUM(E5:E13)</f>
        <v>0</v>
      </c>
      <c r="F14" s="116">
        <f>SUM(F7:F13)</f>
        <v>28</v>
      </c>
      <c r="G14" s="159"/>
      <c r="H14" s="166"/>
      <c r="I14" s="167"/>
      <c r="J14" s="214">
        <f>+'25'!J14</f>
        <v>0</v>
      </c>
      <c r="K14" s="238"/>
      <c r="L14" s="238"/>
      <c r="M14" s="117">
        <f>+K14+'25'!M14+L14</f>
        <v>0</v>
      </c>
      <c r="Q14" s="149">
        <f>SUM(Q6:Q13)</f>
        <v>480</v>
      </c>
      <c r="R14" s="149">
        <f>SUM(R6:R13)</f>
        <v>503300</v>
      </c>
      <c r="S14" s="149">
        <f>SUM(S6:S13)</f>
        <v>387541</v>
      </c>
    </row>
    <row r="15" spans="1:19" ht="13.5" customHeight="1" thickBot="1">
      <c r="A15" s="767" t="s">
        <v>388</v>
      </c>
      <c r="B15" s="165"/>
      <c r="C15" s="113">
        <f>C14/($C$23+$D$23+$E$23)</f>
        <v>0.91567195618592889</v>
      </c>
      <c r="D15" s="114">
        <f>D14/($C$23+$D$23+$E$23)</f>
        <v>0</v>
      </c>
      <c r="E15" s="115">
        <f>E14/($C$23+$D$23+$E$23)</f>
        <v>0</v>
      </c>
      <c r="F15" s="227">
        <v>9</v>
      </c>
      <c r="G15" s="228" t="s">
        <v>11</v>
      </c>
      <c r="H15" s="229" t="s">
        <v>460</v>
      </c>
      <c r="I15" s="770" t="s">
        <v>508</v>
      </c>
      <c r="J15" s="214">
        <f>+'25'!J15</f>
        <v>0</v>
      </c>
      <c r="K15" s="238"/>
      <c r="L15" s="238"/>
      <c r="M15" s="117">
        <f>+K15+'25'!M15+L15</f>
        <v>0</v>
      </c>
      <c r="Q15" s="149">
        <f>480-Q14</f>
        <v>0</v>
      </c>
      <c r="R15" s="149">
        <f>+R14/Q14</f>
        <v>1048.5416666666667</v>
      </c>
      <c r="S15" s="149">
        <f>+S14/Q14</f>
        <v>807.3770833333333</v>
      </c>
    </row>
    <row r="16" spans="1:19" ht="13.5" thickBot="1">
      <c r="A16" s="773"/>
      <c r="B16" s="215" t="s">
        <v>611</v>
      </c>
      <c r="C16" s="221">
        <v>13358</v>
      </c>
      <c r="D16" s="222">
        <v>884</v>
      </c>
      <c r="E16" s="223"/>
      <c r="F16" s="230"/>
      <c r="G16" s="231" t="s">
        <v>11</v>
      </c>
      <c r="H16" s="229" t="s">
        <v>282</v>
      </c>
      <c r="I16" s="771"/>
      <c r="J16" s="214">
        <f>+'25'!J16</f>
        <v>0</v>
      </c>
      <c r="K16" s="228"/>
      <c r="L16" s="228"/>
      <c r="M16" s="117">
        <f>+K16+'25'!M16+L16</f>
        <v>0</v>
      </c>
    </row>
    <row r="17" spans="1:19" ht="13.5" thickBot="1">
      <c r="A17" s="773"/>
      <c r="B17" s="215"/>
      <c r="C17" s="216"/>
      <c r="D17" s="217"/>
      <c r="E17" s="224"/>
      <c r="F17" s="227">
        <f>22-9</f>
        <v>13</v>
      </c>
      <c r="G17" s="231" t="s">
        <v>11</v>
      </c>
      <c r="H17" s="232" t="s">
        <v>493</v>
      </c>
      <c r="I17" s="771"/>
      <c r="J17" s="214">
        <f>+'25'!J17</f>
        <v>0</v>
      </c>
      <c r="K17" s="228"/>
      <c r="L17" s="228"/>
      <c r="M17" s="117">
        <f>+K17+'25'!M17+L17</f>
        <v>0</v>
      </c>
      <c r="N17" s="149" t="s">
        <v>606</v>
      </c>
      <c r="O17" s="149">
        <v>1230</v>
      </c>
      <c r="P17" s="149">
        <f>+O17-O17*0.23</f>
        <v>947.09999999999991</v>
      </c>
      <c r="Q17" s="149">
        <v>480</v>
      </c>
      <c r="R17" s="149">
        <f t="shared" ref="R17:R19" si="2">+O17*Q17</f>
        <v>590400</v>
      </c>
      <c r="S17" s="149">
        <f t="shared" ref="S17:S19" si="3">+P17*Q17</f>
        <v>454607.99999999994</v>
      </c>
    </row>
    <row r="18" spans="1:19" ht="26.25" thickBot="1">
      <c r="A18" s="773"/>
      <c r="B18" s="215"/>
      <c r="C18" s="216"/>
      <c r="D18" s="217"/>
      <c r="E18" s="224"/>
      <c r="F18" s="227"/>
      <c r="G18" s="236" t="s">
        <v>12</v>
      </c>
      <c r="H18" s="232" t="s">
        <v>617</v>
      </c>
      <c r="I18" s="771"/>
      <c r="J18" s="214">
        <f>+'25'!J18</f>
        <v>0</v>
      </c>
      <c r="K18" s="238"/>
      <c r="L18" s="238"/>
      <c r="M18" s="117">
        <f>+K18+'25'!M18+L18</f>
        <v>0</v>
      </c>
      <c r="P18" s="149">
        <f>+O18-O18*0.23</f>
        <v>0</v>
      </c>
      <c r="Q18" s="149">
        <f>480-Q17</f>
        <v>0</v>
      </c>
      <c r="R18" s="149">
        <f t="shared" si="2"/>
        <v>0</v>
      </c>
      <c r="S18" s="149">
        <f t="shared" si="3"/>
        <v>0</v>
      </c>
    </row>
    <row r="19" spans="1:19" ht="26.25" thickBot="1">
      <c r="A19" s="773"/>
      <c r="B19" s="215"/>
      <c r="C19" s="216"/>
      <c r="D19" s="217"/>
      <c r="E19" s="224"/>
      <c r="F19" s="234"/>
      <c r="G19" s="231"/>
      <c r="H19" s="232" t="s">
        <v>616</v>
      </c>
      <c r="I19" s="771"/>
      <c r="J19" s="214">
        <f>+'25'!J19</f>
        <v>0</v>
      </c>
      <c r="K19" s="238"/>
      <c r="L19" s="238"/>
      <c r="M19" s="117">
        <f>+K19+'25'!M19+L19</f>
        <v>0</v>
      </c>
      <c r="P19" s="149">
        <f>+O19-O19*0.23</f>
        <v>0</v>
      </c>
      <c r="R19" s="149">
        <f t="shared" si="2"/>
        <v>0</v>
      </c>
      <c r="S19" s="149">
        <f t="shared" si="3"/>
        <v>0</v>
      </c>
    </row>
    <row r="20" spans="1:19" ht="13.5" thickBot="1">
      <c r="A20" s="773"/>
      <c r="B20" s="215"/>
      <c r="C20" s="216"/>
      <c r="D20" s="217"/>
      <c r="E20" s="224"/>
      <c r="F20" s="227"/>
      <c r="G20" s="231"/>
      <c r="H20" s="232"/>
      <c r="I20" s="771"/>
      <c r="J20" s="214">
        <f>+'25'!J20</f>
        <v>0</v>
      </c>
      <c r="K20" s="239"/>
      <c r="L20" s="239"/>
      <c r="M20" s="117">
        <f>+K20+'25'!M20+L20</f>
        <v>0</v>
      </c>
    </row>
    <row r="21" spans="1:19" ht="13.5" thickBot="1">
      <c r="A21" s="773"/>
      <c r="B21" s="215"/>
      <c r="C21" s="216"/>
      <c r="D21" s="217"/>
      <c r="E21" s="224"/>
      <c r="F21" s="230"/>
      <c r="G21" s="231"/>
      <c r="H21" s="232"/>
      <c r="I21" s="771"/>
      <c r="J21" s="214">
        <f>+'25'!J21</f>
        <v>0</v>
      </c>
      <c r="K21" s="238"/>
      <c r="L21" s="238"/>
      <c r="M21" s="117">
        <f>+K21+'25'!M21+L21</f>
        <v>0</v>
      </c>
    </row>
    <row r="22" spans="1:19" ht="13.5" thickBot="1">
      <c r="A22" s="773"/>
      <c r="B22" s="215"/>
      <c r="C22" s="216"/>
      <c r="D22" s="217"/>
      <c r="E22" s="224"/>
      <c r="F22" s="235"/>
      <c r="G22" s="231"/>
      <c r="H22" s="232"/>
      <c r="I22" s="772"/>
      <c r="J22" s="214">
        <f>+'25'!J22</f>
        <v>0</v>
      </c>
      <c r="K22" s="238"/>
      <c r="L22" s="238"/>
      <c r="M22" s="117">
        <f>+K22+'25'!M22+L22</f>
        <v>0</v>
      </c>
    </row>
    <row r="23" spans="1:19" ht="13.5" thickBot="1">
      <c r="A23" s="774"/>
      <c r="B23" s="168" t="s">
        <v>2</v>
      </c>
      <c r="C23" s="100">
        <f>SUM(C16:C22)</f>
        <v>13358</v>
      </c>
      <c r="D23" s="111">
        <f>SUM(D16:D22)</f>
        <v>884</v>
      </c>
      <c r="E23" s="112">
        <f>SUM(E18:E22)</f>
        <v>0</v>
      </c>
      <c r="F23" s="116">
        <f>SUM(F15:F22)</f>
        <v>22</v>
      </c>
      <c r="G23" s="159"/>
      <c r="H23" s="166"/>
      <c r="I23" s="169"/>
      <c r="J23" s="214">
        <f>+'25'!J23</f>
        <v>0</v>
      </c>
      <c r="K23" s="238"/>
      <c r="L23" s="238"/>
      <c r="M23" s="117">
        <f>+K23+'25'!M23+L23</f>
        <v>0</v>
      </c>
    </row>
    <row r="24" spans="1:19" ht="13.5" customHeight="1" thickBot="1">
      <c r="A24" s="767" t="s">
        <v>389</v>
      </c>
      <c r="B24" s="170"/>
      <c r="C24" s="113">
        <f>C23/($C$23+$D$23+$E$23)</f>
        <v>0.93793006600196605</v>
      </c>
      <c r="D24" s="114">
        <f>D23/($C$23+$D$23+$E$23)</f>
        <v>6.2069933998033983E-2</v>
      </c>
      <c r="E24" s="115">
        <f>E23/($C$23+$D$23+$E$23)</f>
        <v>0</v>
      </c>
      <c r="F24" s="227">
        <v>6</v>
      </c>
      <c r="G24" s="228" t="s">
        <v>11</v>
      </c>
      <c r="H24" s="229" t="s">
        <v>460</v>
      </c>
      <c r="I24" s="770" t="s">
        <v>620</v>
      </c>
      <c r="J24" s="214">
        <f>+'25'!J24</f>
        <v>0</v>
      </c>
      <c r="K24" s="238"/>
      <c r="L24" s="238"/>
      <c r="M24" s="117">
        <f>+K24+'25'!M24+L24</f>
        <v>0</v>
      </c>
    </row>
    <row r="25" spans="1:19" ht="13.5" thickBot="1">
      <c r="A25" s="773"/>
      <c r="B25" s="215" t="s">
        <v>611</v>
      </c>
      <c r="C25" s="225">
        <v>12532</v>
      </c>
      <c r="D25" s="217">
        <v>588</v>
      </c>
      <c r="E25" s="224"/>
      <c r="F25" s="230"/>
      <c r="G25" s="231" t="s">
        <v>11</v>
      </c>
      <c r="H25" s="229" t="s">
        <v>282</v>
      </c>
      <c r="I25" s="771"/>
      <c r="J25" s="214">
        <f>+'25'!J25</f>
        <v>0</v>
      </c>
      <c r="K25" s="238"/>
      <c r="L25" s="238"/>
      <c r="M25" s="117">
        <f>+K25+'25'!M25+L25</f>
        <v>0</v>
      </c>
      <c r="Q25" s="149">
        <f>SUM(Q17:Q24)</f>
        <v>480</v>
      </c>
      <c r="R25" s="149">
        <f>SUM(R17:R24)</f>
        <v>590400</v>
      </c>
      <c r="S25" s="149">
        <f>SUM(S17:S24)</f>
        <v>454607.99999999994</v>
      </c>
    </row>
    <row r="26" spans="1:19" ht="13.5" thickBot="1">
      <c r="A26" s="773"/>
      <c r="B26" s="215"/>
      <c r="C26" s="225"/>
      <c r="D26" s="217"/>
      <c r="E26" s="226"/>
      <c r="F26" s="227">
        <v>12</v>
      </c>
      <c r="G26" s="231" t="s">
        <v>11</v>
      </c>
      <c r="H26" s="232" t="s">
        <v>479</v>
      </c>
      <c r="I26" s="771"/>
      <c r="J26" s="214">
        <f>+'25'!J26</f>
        <v>0</v>
      </c>
      <c r="K26" s="238"/>
      <c r="L26" s="238"/>
      <c r="M26" s="117">
        <f>+K26+'25'!M26+L26</f>
        <v>0</v>
      </c>
      <c r="Q26" s="149">
        <f>480-Q25</f>
        <v>0</v>
      </c>
      <c r="R26" s="149">
        <f>+R25/Q25</f>
        <v>1230</v>
      </c>
      <c r="S26" s="149">
        <f>+S25/Q25</f>
        <v>947.09999999999991</v>
      </c>
    </row>
    <row r="27" spans="1:19" ht="26.25" thickBot="1">
      <c r="A27" s="773"/>
      <c r="B27" s="215"/>
      <c r="C27" s="216"/>
      <c r="D27" s="217"/>
      <c r="E27" s="224"/>
      <c r="F27" s="227"/>
      <c r="G27" s="236" t="s">
        <v>12</v>
      </c>
      <c r="H27" s="232" t="s">
        <v>614</v>
      </c>
      <c r="I27" s="771"/>
      <c r="J27" s="214">
        <f>+'25'!J27</f>
        <v>0</v>
      </c>
      <c r="K27" s="238"/>
      <c r="L27" s="238"/>
      <c r="M27" s="117">
        <f>+K27+'25'!M27+L27</f>
        <v>0</v>
      </c>
      <c r="N27" s="149" t="s">
        <v>606</v>
      </c>
      <c r="O27" s="149">
        <v>1050</v>
      </c>
      <c r="P27" s="149">
        <f>+O27-O27*0.23</f>
        <v>808.5</v>
      </c>
      <c r="Q27" s="149">
        <v>480</v>
      </c>
      <c r="R27" s="149">
        <f t="shared" ref="R27:R29" si="4">+O27*Q27</f>
        <v>504000</v>
      </c>
      <c r="S27" s="149">
        <f t="shared" ref="S27:S29" si="5">+P27*Q27</f>
        <v>388080</v>
      </c>
    </row>
    <row r="28" spans="1:19" ht="13.5" customHeight="1" thickBot="1">
      <c r="A28" s="773"/>
      <c r="B28" s="215"/>
      <c r="C28" s="216"/>
      <c r="D28" s="217"/>
      <c r="E28" s="224"/>
      <c r="F28" s="230"/>
      <c r="G28" s="231"/>
      <c r="H28" s="232" t="s">
        <v>615</v>
      </c>
      <c r="I28" s="771"/>
      <c r="J28" s="214">
        <f>+'25'!J28</f>
        <v>0</v>
      </c>
      <c r="K28" s="238"/>
      <c r="L28" s="238"/>
      <c r="M28" s="117">
        <f>+K28+'25'!M28+L28</f>
        <v>0</v>
      </c>
      <c r="P28" s="149">
        <f>+O28-O28*0.23</f>
        <v>0</v>
      </c>
      <c r="Q28" s="149">
        <f>480-Q27</f>
        <v>0</v>
      </c>
      <c r="R28" s="149">
        <f t="shared" si="4"/>
        <v>0</v>
      </c>
      <c r="S28" s="149">
        <f t="shared" si="5"/>
        <v>0</v>
      </c>
    </row>
    <row r="29" spans="1:19" ht="13.5" thickBot="1">
      <c r="A29" s="773"/>
      <c r="B29" s="215"/>
      <c r="C29" s="216"/>
      <c r="D29" s="217"/>
      <c r="E29" s="224"/>
      <c r="F29" s="235"/>
      <c r="G29" s="231"/>
      <c r="H29" s="232"/>
      <c r="I29" s="771"/>
      <c r="J29" s="214">
        <f>+'25'!J29</f>
        <v>0</v>
      </c>
      <c r="K29" s="238"/>
      <c r="L29" s="238"/>
      <c r="M29" s="117">
        <f>+K29+'25'!M29+L29</f>
        <v>0</v>
      </c>
      <c r="P29" s="149">
        <f>+O29-O29*0.23</f>
        <v>0</v>
      </c>
      <c r="R29" s="149">
        <f t="shared" si="4"/>
        <v>0</v>
      </c>
      <c r="S29" s="149">
        <f t="shared" si="5"/>
        <v>0</v>
      </c>
    </row>
    <row r="30" spans="1:19" ht="13.5" thickBot="1">
      <c r="A30" s="773"/>
      <c r="B30" s="215"/>
      <c r="C30" s="225"/>
      <c r="D30" s="217"/>
      <c r="E30" s="224"/>
      <c r="F30" s="235"/>
      <c r="G30" s="231"/>
      <c r="H30" s="232"/>
      <c r="I30" s="771"/>
      <c r="J30" s="214">
        <f>+'25'!J30</f>
        <v>0</v>
      </c>
      <c r="K30" s="238"/>
      <c r="L30" s="238"/>
      <c r="M30" s="117">
        <f>+K30+'25'!M30+L30</f>
        <v>0</v>
      </c>
    </row>
    <row r="31" spans="1:19" ht="13.5" thickBot="1">
      <c r="A31" s="773"/>
      <c r="B31" s="215"/>
      <c r="C31" s="225"/>
      <c r="D31" s="217"/>
      <c r="E31" s="224"/>
      <c r="F31" s="235"/>
      <c r="G31" s="236"/>
      <c r="H31" s="444"/>
      <c r="I31" s="772"/>
      <c r="J31" s="214">
        <f>+'25'!J31</f>
        <v>0</v>
      </c>
      <c r="K31" s="238"/>
      <c r="L31" s="238"/>
      <c r="M31" s="117">
        <f>+K31+'25'!M31+L31</f>
        <v>0</v>
      </c>
    </row>
    <row r="32" spans="1:19" ht="13.5" thickBot="1">
      <c r="A32" s="774"/>
      <c r="B32" s="165" t="s">
        <v>2</v>
      </c>
      <c r="C32" s="99">
        <f>SUM(C25:C31)</f>
        <v>12532</v>
      </c>
      <c r="D32" s="100">
        <f>SUM(D25:D31)</f>
        <v>588</v>
      </c>
      <c r="E32" s="101">
        <f>SUM(E25:E31)</f>
        <v>0</v>
      </c>
      <c r="F32" s="102">
        <f>SUM(F24:F31)</f>
        <v>18</v>
      </c>
      <c r="G32" s="171"/>
      <c r="H32" s="172"/>
      <c r="I32" s="169"/>
      <c r="J32" s="214">
        <f>+'25'!J32</f>
        <v>0</v>
      </c>
      <c r="K32" s="240"/>
      <c r="L32" s="242"/>
      <c r="M32" s="117">
        <f>+K32+'25'!M32+L32</f>
        <v>0</v>
      </c>
    </row>
    <row r="33" spans="1:19" ht="13.5" thickBot="1">
      <c r="A33" s="173"/>
      <c r="B33" s="174"/>
      <c r="C33" s="103">
        <f>C32/($C$32+$D$32+$E$32)</f>
        <v>0.95518292682926831</v>
      </c>
      <c r="D33" s="104">
        <f>D32/($C$32+$D$32+$E$32)</f>
        <v>4.4817073170731705E-2</v>
      </c>
      <c r="E33" s="105">
        <f>E32/($C$32+$D$32+$E$32)</f>
        <v>0</v>
      </c>
      <c r="F33" s="106"/>
      <c r="G33" s="175"/>
      <c r="H33" s="176"/>
      <c r="I33" s="177"/>
      <c r="J33" s="121"/>
      <c r="K33" s="122"/>
      <c r="L33" s="213"/>
      <c r="M33" s="119"/>
    </row>
    <row r="34" spans="1:19" ht="13.5" thickBot="1">
      <c r="A34" s="775" t="s">
        <v>57</v>
      </c>
      <c r="B34" s="776"/>
      <c r="C34" s="107">
        <f>C14+C23+C32</f>
        <v>38931</v>
      </c>
      <c r="D34" s="107">
        <f>D14+D23+D32</f>
        <v>1472</v>
      </c>
      <c r="E34" s="107">
        <f>E14+E23+E32</f>
        <v>0</v>
      </c>
      <c r="F34" s="108">
        <f>F14+F23+F32</f>
        <v>68</v>
      </c>
      <c r="H34" s="178"/>
      <c r="I34" s="178"/>
      <c r="J34" s="123" t="s">
        <v>27</v>
      </c>
      <c r="K34" s="124">
        <f>SUM(K7:K32)</f>
        <v>38931</v>
      </c>
      <c r="L34" s="212">
        <f>SUM(L7:L32)</f>
        <v>0</v>
      </c>
      <c r="M34" s="120">
        <f>SUM(M7:M32)</f>
        <v>343954</v>
      </c>
    </row>
    <row r="35" spans="1:19" ht="13.5" thickBot="1">
      <c r="A35" s="179"/>
      <c r="B35" s="180"/>
      <c r="C35" s="104">
        <f>C34/($C$34+$D$34+$E$34)</f>
        <v>0.96356706185184271</v>
      </c>
      <c r="D35" s="104">
        <f>D34/($C$34+$D$34+$E$34)</f>
        <v>3.6432938148157318E-2</v>
      </c>
      <c r="E35" s="109">
        <f>E34/($C$34+$D$34+$E$34)</f>
        <v>0</v>
      </c>
      <c r="K35" s="155"/>
      <c r="Q35" s="149">
        <f>SUM(Q27:Q34)</f>
        <v>480</v>
      </c>
      <c r="R35" s="149">
        <f>SUM(R27:R34)</f>
        <v>504000</v>
      </c>
      <c r="S35" s="149">
        <f>SUM(S27:S34)</f>
        <v>388080</v>
      </c>
    </row>
    <row r="36" spans="1:19" ht="13.5" thickBot="1">
      <c r="A36" s="178"/>
      <c r="B36" s="178"/>
      <c r="C36" s="155"/>
      <c r="D36" s="155"/>
      <c r="E36" s="155"/>
      <c r="G36" s="155"/>
      <c r="H36" s="181"/>
      <c r="I36" s="162" t="s">
        <v>36</v>
      </c>
      <c r="J36" s="162" t="s">
        <v>37</v>
      </c>
      <c r="K36" s="182"/>
      <c r="Q36" s="149">
        <f>480-Q35</f>
        <v>0</v>
      </c>
      <c r="R36" s="149">
        <f>+R35/Q35</f>
        <v>1050</v>
      </c>
      <c r="S36" s="149">
        <f>+S35/Q35</f>
        <v>808.5</v>
      </c>
    </row>
    <row r="37" spans="1:19" ht="17.45" customHeight="1" thickBot="1">
      <c r="A37" s="777" t="s">
        <v>58</v>
      </c>
      <c r="B37" s="778"/>
      <c r="C37" s="162" t="s">
        <v>59</v>
      </c>
      <c r="D37" s="183" t="s">
        <v>60</v>
      </c>
      <c r="E37" s="184" t="s">
        <v>61</v>
      </c>
      <c r="F37" s="321"/>
      <c r="G37" s="323"/>
      <c r="H37" s="186" t="s">
        <v>62</v>
      </c>
      <c r="I37" s="243">
        <f>(15*1440)/1440*G42*2.74*1440/1000000</f>
        <v>50.562411900000015</v>
      </c>
      <c r="J37" s="125">
        <f>+I37+'25'!J37</f>
        <v>420.93938175879845</v>
      </c>
      <c r="K37" s="126" t="s">
        <v>63</v>
      </c>
    </row>
    <row r="38" spans="1:19" ht="17.45" customHeight="1">
      <c r="A38" s="779" t="s">
        <v>11</v>
      </c>
      <c r="B38" s="780"/>
      <c r="C38" s="164">
        <f>SUMIF($G$7:$G$31,"Process",$F$7:$F$31)</f>
        <v>68</v>
      </c>
      <c r="D38" s="118">
        <f>+C38+'25'!D38</f>
        <v>690</v>
      </c>
      <c r="E38" s="143">
        <f t="shared" ref="E38:E51" si="6">D38/60</f>
        <v>11.5</v>
      </c>
      <c r="F38" s="321">
        <v>1048.5416666666667</v>
      </c>
      <c r="G38" s="321">
        <v>807.3770833333333</v>
      </c>
      <c r="H38" s="187" t="s">
        <v>64</v>
      </c>
      <c r="I38" s="244">
        <f>13.003+15.194+14.479</f>
        <v>42.676000000000002</v>
      </c>
      <c r="J38" s="127">
        <f>+I38+'25'!J38</f>
        <v>370.11899999999997</v>
      </c>
      <c r="K38" s="128" t="s">
        <v>63</v>
      </c>
    </row>
    <row r="39" spans="1:19" ht="17.45" customHeight="1">
      <c r="A39" s="781" t="s">
        <v>12</v>
      </c>
      <c r="B39" s="782"/>
      <c r="C39" s="164">
        <f>SUMIF($G$7:$G$31,"Cleaning",$F$7:$F$31)</f>
        <v>0</v>
      </c>
      <c r="D39" s="118">
        <f>+C39+'25'!D39</f>
        <v>0</v>
      </c>
      <c r="E39" s="143">
        <f t="shared" si="6"/>
        <v>0</v>
      </c>
      <c r="F39" s="321">
        <v>1230</v>
      </c>
      <c r="G39" s="321">
        <v>947.09999999999991</v>
      </c>
      <c r="H39" s="187" t="s">
        <v>65</v>
      </c>
      <c r="I39" s="142"/>
      <c r="J39" s="129">
        <f>J37/G4</f>
        <v>16.189976221492248</v>
      </c>
      <c r="K39" s="130" t="s">
        <v>63</v>
      </c>
    </row>
    <row r="40" spans="1:19" ht="17.45" customHeight="1">
      <c r="A40" s="781" t="s">
        <v>66</v>
      </c>
      <c r="B40" s="782"/>
      <c r="C40" s="164">
        <f>SUMIF($G$7:$G$31,"Mechanical",$F$7:$F$31)</f>
        <v>0</v>
      </c>
      <c r="D40" s="118">
        <f>+C40+'25'!D40</f>
        <v>0</v>
      </c>
      <c r="E40" s="143">
        <f t="shared" si="6"/>
        <v>0</v>
      </c>
      <c r="F40" s="321">
        <v>1050</v>
      </c>
      <c r="G40" s="321">
        <v>808.5</v>
      </c>
      <c r="H40" s="187" t="s">
        <v>67</v>
      </c>
      <c r="I40" s="118">
        <f>(K34+L34)/1000</f>
        <v>38.930999999999997</v>
      </c>
      <c r="J40" s="131">
        <f>+I40+'25'!J40</f>
        <v>343.95400000000001</v>
      </c>
      <c r="K40" s="130" t="s">
        <v>63</v>
      </c>
    </row>
    <row r="41" spans="1:19" ht="17.45" customHeight="1">
      <c r="A41" s="781" t="s">
        <v>68</v>
      </c>
      <c r="B41" s="782"/>
      <c r="C41" s="164">
        <f>SUMIF($G$7:$G$31,"Electrical",$F$7:$F$31)</f>
        <v>0</v>
      </c>
      <c r="D41" s="118">
        <f>+C41+'25'!D41</f>
        <v>175</v>
      </c>
      <c r="E41" s="143">
        <f t="shared" si="6"/>
        <v>2.9166666666666665</v>
      </c>
      <c r="F41" s="321"/>
      <c r="G41" s="321"/>
      <c r="H41" s="187" t="s">
        <v>69</v>
      </c>
      <c r="I41" s="142"/>
      <c r="J41" s="129">
        <f>J40/G4</f>
        <v>13.229000000000001</v>
      </c>
      <c r="K41" s="130" t="s">
        <v>63</v>
      </c>
    </row>
    <row r="42" spans="1:19" ht="17.45" customHeight="1">
      <c r="A42" s="781" t="s">
        <v>15</v>
      </c>
      <c r="B42" s="782"/>
      <c r="C42" s="164">
        <f>SUMIF($G$7:$G$31,"Instrument",$F$7:$F$31)</f>
        <v>0</v>
      </c>
      <c r="D42" s="118">
        <f>+C42+'25'!D42</f>
        <v>0</v>
      </c>
      <c r="E42" s="143">
        <f t="shared" si="6"/>
        <v>0</v>
      </c>
      <c r="F42" s="321">
        <f>+(480*F38+480*F39+480*F40)/1440</f>
        <v>1109.5138888888889</v>
      </c>
      <c r="G42" s="321">
        <f>+(480*G38+480*G39+480*G40)/1440</f>
        <v>854.32569444444448</v>
      </c>
      <c r="H42" s="187" t="s">
        <v>70</v>
      </c>
      <c r="I42" s="245" t="s">
        <v>621</v>
      </c>
      <c r="J42" s="132"/>
      <c r="K42" s="130" t="s">
        <v>71</v>
      </c>
    </row>
    <row r="43" spans="1:19" ht="17.45" customHeight="1">
      <c r="A43" s="781" t="s">
        <v>72</v>
      </c>
      <c r="B43" s="782"/>
      <c r="C43" s="164">
        <f>SUMIF($G$7:$G$31,"Water",$F$7:$F$31)</f>
        <v>0</v>
      </c>
      <c r="D43" s="118">
        <f>+C43+'25'!D43</f>
        <v>0</v>
      </c>
      <c r="E43" s="143">
        <f t="shared" si="6"/>
        <v>0</v>
      </c>
      <c r="F43" s="321"/>
      <c r="G43" s="322"/>
      <c r="H43" s="188" t="s">
        <v>73</v>
      </c>
      <c r="I43" s="118">
        <f>+Report1!Z34</f>
        <v>54.8</v>
      </c>
      <c r="J43" s="133">
        <f>+I43+'25'!J43</f>
        <v>885.99999999999989</v>
      </c>
      <c r="K43" s="130" t="s">
        <v>63</v>
      </c>
      <c r="L43" s="189"/>
    </row>
    <row r="44" spans="1:19" ht="17.45" customHeight="1">
      <c r="A44" s="781" t="s">
        <v>16</v>
      </c>
      <c r="B44" s="782"/>
      <c r="C44" s="164">
        <f>SUMIF($G$7:$G$31,"PLN",$F$7:$F$31)</f>
        <v>0</v>
      </c>
      <c r="D44" s="118">
        <f>+C44+'25'!D44</f>
        <v>0</v>
      </c>
      <c r="E44" s="143">
        <f t="shared" si="6"/>
        <v>0</v>
      </c>
      <c r="F44" s="321"/>
      <c r="G44" s="322"/>
      <c r="H44" s="188" t="s">
        <v>74</v>
      </c>
      <c r="I44" s="118">
        <f>I43/I38</f>
        <v>1.2840941044146592</v>
      </c>
      <c r="J44" s="134">
        <f>J43/J38</f>
        <v>2.3938246888162995</v>
      </c>
      <c r="K44" s="130" t="s">
        <v>63</v>
      </c>
    </row>
    <row r="45" spans="1:19" ht="17.45" customHeight="1">
      <c r="A45" s="781" t="s">
        <v>17</v>
      </c>
      <c r="B45" s="782"/>
      <c r="C45" s="164">
        <f>SUMIF($G$7:$G$31,"Boiler",$F$7:$F$31)</f>
        <v>0</v>
      </c>
      <c r="D45" s="118">
        <f>+C45+'25'!D45</f>
        <v>0</v>
      </c>
      <c r="E45" s="143">
        <f t="shared" si="6"/>
        <v>0</v>
      </c>
      <c r="F45" s="321"/>
      <c r="G45" s="324"/>
      <c r="H45" s="188" t="s">
        <v>75</v>
      </c>
      <c r="I45" s="118">
        <f>I43/I40</f>
        <v>1.4076186072795458</v>
      </c>
      <c r="J45" s="134">
        <f>J43/J40</f>
        <v>2.5759258505497824</v>
      </c>
      <c r="K45" s="130" t="s">
        <v>63</v>
      </c>
    </row>
    <row r="46" spans="1:19" ht="17.45" customHeight="1">
      <c r="A46" s="781" t="s">
        <v>76</v>
      </c>
      <c r="B46" s="782"/>
      <c r="C46" s="164">
        <f>SUMIF($G$7:$G$31,"Gas",$F$7:$F$31)</f>
        <v>0</v>
      </c>
      <c r="D46" s="118">
        <f>+C46+'25'!D46</f>
        <v>0</v>
      </c>
      <c r="E46" s="143">
        <f t="shared" si="6"/>
        <v>0</v>
      </c>
      <c r="F46" s="321"/>
      <c r="G46" s="322"/>
      <c r="H46" s="188" t="s">
        <v>77</v>
      </c>
      <c r="I46" s="140">
        <f>+SUMIF(Listrik!P33,"&gt;0")</f>
        <v>37294.46</v>
      </c>
      <c r="J46" s="135">
        <f>+I46+'25'!J46</f>
        <v>459171.74000000075</v>
      </c>
      <c r="K46" s="130" t="s">
        <v>78</v>
      </c>
    </row>
    <row r="47" spans="1:19" ht="17.45" customHeight="1">
      <c r="A47" s="781" t="s">
        <v>79</v>
      </c>
      <c r="B47" s="782"/>
      <c r="C47" s="164">
        <f>SUMIF($G$7:$G$31,"Gas",$F$7:$F$31)</f>
        <v>0</v>
      </c>
      <c r="D47" s="118">
        <f>+C47+'25'!D47</f>
        <v>0</v>
      </c>
      <c r="E47" s="143">
        <f t="shared" si="6"/>
        <v>0</v>
      </c>
      <c r="F47" s="321"/>
      <c r="G47" s="322"/>
      <c r="H47" s="188" t="s">
        <v>80</v>
      </c>
      <c r="I47" s="118">
        <f>I46/I38</f>
        <v>873.89774111913016</v>
      </c>
      <c r="J47" s="135">
        <f>J46/J38</f>
        <v>1240.6056970866148</v>
      </c>
      <c r="K47" s="130" t="s">
        <v>23</v>
      </c>
    </row>
    <row r="48" spans="1:19" ht="17.45" customHeight="1">
      <c r="A48" s="781" t="s">
        <v>13</v>
      </c>
      <c r="B48" s="782"/>
      <c r="C48" s="164">
        <f>SUMIF($G$7:$G$31,"Start Up",$F$7:$F$31)</f>
        <v>0</v>
      </c>
      <c r="D48" s="118">
        <f>+C48+'25'!D48</f>
        <v>0</v>
      </c>
      <c r="E48" s="143">
        <f t="shared" si="6"/>
        <v>0</v>
      </c>
      <c r="F48" s="321"/>
      <c r="G48" s="322"/>
      <c r="H48" s="188" t="s">
        <v>81</v>
      </c>
      <c r="I48" s="118">
        <f>I46/I40</f>
        <v>957.96306285479443</v>
      </c>
      <c r="J48" s="135">
        <f>J46/J40</f>
        <v>1334.9800845461914</v>
      </c>
      <c r="K48" s="130" t="s">
        <v>23</v>
      </c>
    </row>
    <row r="49" spans="1:11" ht="17.45" customHeight="1">
      <c r="A49" s="781" t="s">
        <v>19</v>
      </c>
      <c r="B49" s="782"/>
      <c r="C49" s="164">
        <f>SUMIF($G$7:$G$31,"Others",$F$7:$F$31)</f>
        <v>0</v>
      </c>
      <c r="D49" s="118">
        <f>+C49+'25'!D49</f>
        <v>22716</v>
      </c>
      <c r="E49" s="143">
        <f t="shared" si="6"/>
        <v>378.6</v>
      </c>
      <c r="F49" s="185"/>
      <c r="H49" s="188" t="s">
        <v>267</v>
      </c>
      <c r="I49" s="118">
        <f>+Report1!T34</f>
        <v>5206.9111623746521</v>
      </c>
      <c r="J49" s="135">
        <f>+I49+'25'!J49</f>
        <v>45197.534981077253</v>
      </c>
      <c r="K49" s="130" t="s">
        <v>82</v>
      </c>
    </row>
    <row r="50" spans="1:11" ht="17.45" customHeight="1">
      <c r="A50" s="781" t="s">
        <v>18</v>
      </c>
      <c r="B50" s="782"/>
      <c r="C50" s="164">
        <f>SUMIF($G$7:$G$31,"Steam",$F$7:$F$31)</f>
        <v>0</v>
      </c>
      <c r="D50" s="118">
        <f>+C50+'25'!D50</f>
        <v>0</v>
      </c>
      <c r="E50" s="143">
        <f t="shared" si="6"/>
        <v>0</v>
      </c>
      <c r="F50" s="185"/>
      <c r="H50" s="188" t="s">
        <v>83</v>
      </c>
      <c r="I50" s="140">
        <f>I49/I38</f>
        <v>122.01029061708341</v>
      </c>
      <c r="J50" s="133">
        <f>J49/J38</f>
        <v>122.11622473063328</v>
      </c>
      <c r="K50" s="130" t="s">
        <v>82</v>
      </c>
    </row>
    <row r="51" spans="1:11" ht="17.45" customHeight="1" thickBot="1">
      <c r="A51" s="783" t="s">
        <v>84</v>
      </c>
      <c r="B51" s="784"/>
      <c r="C51" s="164">
        <f>SUMIF($G$7:$G$31,"Planned shut",$F$7:$F$31)</f>
        <v>0</v>
      </c>
      <c r="D51" s="118">
        <f>+C51+'25'!D51</f>
        <v>0</v>
      </c>
      <c r="E51" s="143">
        <f t="shared" si="6"/>
        <v>0</v>
      </c>
      <c r="F51" s="185"/>
      <c r="H51" s="190" t="s">
        <v>85</v>
      </c>
      <c r="I51" s="141">
        <f>I49/I40</f>
        <v>133.74717223741112</v>
      </c>
      <c r="J51" s="136">
        <f>J49/J40</f>
        <v>131.40575478429457</v>
      </c>
      <c r="K51" s="137" t="s">
        <v>82</v>
      </c>
    </row>
    <row r="52" spans="1:11" ht="13.5" thickBot="1">
      <c r="A52" s="779" t="s">
        <v>27</v>
      </c>
      <c r="B52" s="780"/>
      <c r="C52" s="144">
        <f>SUM(C38:C51)</f>
        <v>68</v>
      </c>
      <c r="D52" s="144">
        <f>SUM(D38:D51)</f>
        <v>23581</v>
      </c>
      <c r="E52" s="145">
        <f>SUM(E38:E51)</f>
        <v>393.01666666666671</v>
      </c>
      <c r="F52" s="185"/>
      <c r="H52" s="191"/>
      <c r="I52" s="192"/>
      <c r="J52" s="138"/>
      <c r="K52" s="139"/>
    </row>
    <row r="53" spans="1:11" ht="13.5" thickBot="1">
      <c r="A53" s="785"/>
      <c r="B53" s="786"/>
      <c r="C53" s="146">
        <f>C52/(24*60)</f>
        <v>4.7222222222222221E-2</v>
      </c>
      <c r="D53" s="146">
        <f>D52/(24*60*G4)</f>
        <v>0.62983440170940175</v>
      </c>
      <c r="E53" s="147">
        <f>E52/(G4*24)</f>
        <v>0.62983440170940175</v>
      </c>
      <c r="F53" s="185"/>
    </row>
    <row r="54" spans="1:11">
      <c r="E54" s="193"/>
      <c r="F54" s="185"/>
    </row>
    <row r="55" spans="1:11">
      <c r="E55" s="193"/>
    </row>
    <row r="56" spans="1:11">
      <c r="A56" s="194" t="s">
        <v>86</v>
      </c>
      <c r="B56" s="195"/>
      <c r="C56" s="196"/>
      <c r="D56" s="196"/>
      <c r="E56" s="196"/>
      <c r="F56" s="197"/>
      <c r="G56" s="196"/>
      <c r="H56" s="198"/>
      <c r="I56" s="199" t="s">
        <v>87</v>
      </c>
      <c r="J56" s="200">
        <f>+D34+'25'!J56</f>
        <v>6901</v>
      </c>
      <c r="K56" s="201">
        <f>J56/(J40+J56/1000)/1000</f>
        <v>1.9669094070199941E-2</v>
      </c>
    </row>
    <row r="57" spans="1:11">
      <c r="A57" s="176"/>
      <c r="I57" s="199" t="s">
        <v>88</v>
      </c>
      <c r="J57" s="200">
        <f>+E34+'25'!J57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topLeftCell="A10" zoomScale="80" zoomScaleNormal="80" workbookViewId="0">
      <selection activeCell="G18" sqref="A15:G23"/>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bestFit="1" customWidth="1"/>
    <col min="14" max="16384" width="9.140625" style="149"/>
  </cols>
  <sheetData>
    <row r="1" spans="1:26" ht="15.75">
      <c r="A1" s="148"/>
    </row>
    <row r="2" spans="1:26" ht="15.75">
      <c r="A2" s="148" t="s">
        <v>182</v>
      </c>
    </row>
    <row r="3" spans="1:26" ht="15">
      <c r="A3" s="150"/>
    </row>
    <row r="4" spans="1:26" ht="20.25">
      <c r="A4" s="151" t="s">
        <v>3</v>
      </c>
      <c r="B4" s="152"/>
      <c r="F4" s="153" t="s">
        <v>28</v>
      </c>
      <c r="G4" s="154">
        <v>25</v>
      </c>
      <c r="H4" s="154" t="str">
        <f>+'1'!H4</f>
        <v>.11.25</v>
      </c>
    </row>
    <row r="5" spans="1:26" ht="13.5" thickBot="1">
      <c r="C5" s="155"/>
      <c r="D5" s="155"/>
    </row>
    <row r="6" spans="1:26"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566</v>
      </c>
      <c r="O6" s="149">
        <v>1230</v>
      </c>
      <c r="P6" s="149">
        <f>+O6-O6*0.23</f>
        <v>947.09999999999991</v>
      </c>
      <c r="Q6" s="149">
        <f>60+5</f>
        <v>65</v>
      </c>
      <c r="R6" s="149">
        <f t="shared" ref="R6:R8" si="0">+O6*Q6</f>
        <v>79950</v>
      </c>
      <c r="S6" s="149">
        <f t="shared" ref="S6:S8" si="1">+P6*Q6</f>
        <v>61561.499999999993</v>
      </c>
      <c r="U6" s="149" t="s">
        <v>566</v>
      </c>
      <c r="V6" s="149">
        <v>1230</v>
      </c>
      <c r="W6" s="149">
        <f>+V6-V6*0.23</f>
        <v>947.09999999999991</v>
      </c>
      <c r="X6" s="149">
        <f>60+5</f>
        <v>65</v>
      </c>
      <c r="Y6" s="149">
        <f t="shared" ref="Y6:Y9" si="2">+V6*X6</f>
        <v>79950</v>
      </c>
      <c r="Z6" s="149">
        <f t="shared" ref="Z6:Z9" si="3">+W6*X6</f>
        <v>61561.499999999993</v>
      </c>
    </row>
    <row r="7" spans="1:26" ht="13.5" customHeight="1" thickBot="1">
      <c r="A7" s="767" t="s">
        <v>407</v>
      </c>
      <c r="B7" s="215" t="s">
        <v>580</v>
      </c>
      <c r="C7" s="216">
        <v>12966</v>
      </c>
      <c r="D7" s="217"/>
      <c r="E7" s="218"/>
      <c r="F7" s="227">
        <v>12</v>
      </c>
      <c r="G7" s="228" t="s">
        <v>11</v>
      </c>
      <c r="H7" s="229" t="s">
        <v>460</v>
      </c>
      <c r="I7" s="770" t="s">
        <v>609</v>
      </c>
      <c r="J7" s="214" t="str">
        <f>+'24'!J7</f>
        <v>F 12 VP OW</v>
      </c>
      <c r="K7" s="237"/>
      <c r="L7" s="241"/>
      <c r="M7" s="117">
        <f>+K7+'24'!M7+L7</f>
        <v>107792</v>
      </c>
      <c r="O7" s="149">
        <v>1040</v>
      </c>
      <c r="P7" s="149">
        <f>+O7-O7*0.23</f>
        <v>800.8</v>
      </c>
      <c r="Q7" s="149">
        <f>60-5+180+20</f>
        <v>255</v>
      </c>
      <c r="R7" s="149">
        <f t="shared" si="0"/>
        <v>265200</v>
      </c>
      <c r="S7" s="149">
        <f t="shared" si="1"/>
        <v>204204</v>
      </c>
      <c r="V7" s="149">
        <v>1040</v>
      </c>
      <c r="W7" s="149">
        <f>+V7-V7*0.23</f>
        <v>800.8</v>
      </c>
      <c r="X7" s="149">
        <f>60-5+180+20</f>
        <v>255</v>
      </c>
      <c r="Y7" s="149">
        <f t="shared" si="2"/>
        <v>265200</v>
      </c>
      <c r="Z7" s="149">
        <f t="shared" si="3"/>
        <v>204204</v>
      </c>
    </row>
    <row r="8" spans="1:26" ht="13.5" thickBot="1">
      <c r="A8" s="768"/>
      <c r="B8" s="215"/>
      <c r="C8" s="216"/>
      <c r="D8" s="217"/>
      <c r="E8" s="219"/>
      <c r="F8" s="230"/>
      <c r="G8" s="231" t="s">
        <v>11</v>
      </c>
      <c r="H8" s="229" t="s">
        <v>282</v>
      </c>
      <c r="I8" s="771"/>
      <c r="J8" s="214" t="str">
        <f>+'24'!J8</f>
        <v>F 13 VP OW</v>
      </c>
      <c r="K8" s="238"/>
      <c r="L8" s="238"/>
      <c r="M8" s="117">
        <f>+K8+'24'!M8+L8</f>
        <v>60092</v>
      </c>
      <c r="O8" s="149">
        <v>1070</v>
      </c>
      <c r="P8" s="149">
        <f>+O8-O8*0.23</f>
        <v>823.9</v>
      </c>
      <c r="Q8" s="149">
        <f>60-20+120</f>
        <v>160</v>
      </c>
      <c r="R8" s="149">
        <f t="shared" si="0"/>
        <v>171200</v>
      </c>
      <c r="S8" s="149">
        <f t="shared" si="1"/>
        <v>131824</v>
      </c>
      <c r="V8" s="149">
        <v>1070</v>
      </c>
      <c r="W8" s="149">
        <f>+V8-V8*0.23</f>
        <v>823.9</v>
      </c>
      <c r="X8" s="149">
        <f>60-20+120</f>
        <v>160</v>
      </c>
      <c r="Y8" s="149">
        <f t="shared" si="2"/>
        <v>171200</v>
      </c>
      <c r="Z8" s="149">
        <f t="shared" si="3"/>
        <v>131824</v>
      </c>
    </row>
    <row r="9" spans="1:26" ht="13.5" thickBot="1">
      <c r="A9" s="768"/>
      <c r="B9" s="215"/>
      <c r="C9" s="216"/>
      <c r="D9" s="217"/>
      <c r="E9" s="220"/>
      <c r="F9" s="227">
        <f>27-12</f>
        <v>15</v>
      </c>
      <c r="G9" s="231" t="s">
        <v>11</v>
      </c>
      <c r="H9" s="232" t="s">
        <v>479</v>
      </c>
      <c r="I9" s="771"/>
      <c r="J9" s="214" t="str">
        <f>+'24'!J9</f>
        <v>F 14 VP OW</v>
      </c>
      <c r="K9" s="238"/>
      <c r="L9" s="238"/>
      <c r="M9" s="117">
        <f>+K9+'24'!M9+L9</f>
        <v>28251</v>
      </c>
      <c r="U9" s="149" t="s">
        <v>566</v>
      </c>
      <c r="V9" s="149">
        <v>1070</v>
      </c>
      <c r="W9" s="149">
        <v>823.9</v>
      </c>
      <c r="X9" s="149">
        <v>30</v>
      </c>
      <c r="Y9" s="149">
        <f t="shared" si="2"/>
        <v>32100</v>
      </c>
      <c r="Z9" s="149">
        <f t="shared" si="3"/>
        <v>24717</v>
      </c>
    </row>
    <row r="10" spans="1:26" ht="39" thickBot="1">
      <c r="A10" s="768"/>
      <c r="B10" s="215"/>
      <c r="C10" s="216"/>
      <c r="D10" s="217"/>
      <c r="E10" s="219"/>
      <c r="F10" s="227"/>
      <c r="G10" s="236" t="s">
        <v>12</v>
      </c>
      <c r="H10" s="232" t="s">
        <v>605</v>
      </c>
      <c r="I10" s="771"/>
      <c r="J10" s="214" t="str">
        <f>+'24'!J10</f>
        <v>F 11 VP OW</v>
      </c>
      <c r="K10" s="238"/>
      <c r="L10" s="238"/>
      <c r="M10" s="117">
        <f>+K10+'24'!M10+L10</f>
        <v>33513</v>
      </c>
    </row>
    <row r="11" spans="1:26" ht="51.75" thickBot="1">
      <c r="A11" s="768"/>
      <c r="B11" s="215"/>
      <c r="C11" s="216"/>
      <c r="D11" s="217"/>
      <c r="E11" s="219"/>
      <c r="F11" s="230">
        <v>10</v>
      </c>
      <c r="G11" s="231" t="s">
        <v>68</v>
      </c>
      <c r="H11" s="232" t="s">
        <v>598</v>
      </c>
      <c r="I11" s="771"/>
      <c r="J11" s="214" t="str">
        <f>+'24'!J11</f>
        <v>T 14 VP OW</v>
      </c>
      <c r="K11" s="238">
        <f>+C7+C16</f>
        <v>17248</v>
      </c>
      <c r="L11" s="238"/>
      <c r="M11" s="117">
        <f>+K11+'24'!M11+L11</f>
        <v>54160</v>
      </c>
    </row>
    <row r="12" spans="1:26" ht="13.5" thickBot="1">
      <c r="A12" s="768"/>
      <c r="B12" s="215"/>
      <c r="C12" s="216"/>
      <c r="D12" s="217"/>
      <c r="E12" s="219"/>
      <c r="F12" s="227"/>
      <c r="G12" s="231"/>
      <c r="H12" s="232" t="s">
        <v>604</v>
      </c>
      <c r="I12" s="771"/>
      <c r="J12" s="214" t="s">
        <v>611</v>
      </c>
      <c r="K12" s="238">
        <f>+C17+C25</f>
        <v>21215</v>
      </c>
      <c r="L12" s="238"/>
      <c r="M12" s="117">
        <f>+K12+'24'!M12+L12</f>
        <v>21215</v>
      </c>
    </row>
    <row r="13" spans="1:26" ht="13.5" thickBot="1">
      <c r="A13" s="768"/>
      <c r="B13" s="215"/>
      <c r="C13" s="216"/>
      <c r="D13" s="216"/>
      <c r="E13" s="219"/>
      <c r="F13" s="227"/>
      <c r="G13" s="231"/>
      <c r="H13" s="232"/>
      <c r="I13" s="772"/>
      <c r="J13" s="214">
        <f>+'24'!J13</f>
        <v>0</v>
      </c>
      <c r="K13" s="238"/>
      <c r="L13" s="238"/>
      <c r="M13" s="117">
        <f>+K13+'24'!M13+L13</f>
        <v>0</v>
      </c>
    </row>
    <row r="14" spans="1:26" ht="13.5" thickBot="1">
      <c r="A14" s="769"/>
      <c r="B14" s="165" t="s">
        <v>2</v>
      </c>
      <c r="C14" s="99">
        <f>SUM(C7:C13)</f>
        <v>12966</v>
      </c>
      <c r="D14" s="111">
        <f>SUM(D7:D13)</f>
        <v>0</v>
      </c>
      <c r="E14" s="112">
        <f>SUM(E5:E13)</f>
        <v>0</v>
      </c>
      <c r="F14" s="116">
        <f>SUM(F7:F13)</f>
        <v>37</v>
      </c>
      <c r="G14" s="159"/>
      <c r="H14" s="166"/>
      <c r="I14" s="167"/>
      <c r="J14" s="214">
        <f>+'24'!J14</f>
        <v>0</v>
      </c>
      <c r="K14" s="238"/>
      <c r="L14" s="238"/>
      <c r="M14" s="117">
        <f>+K14+'24'!M14+L14</f>
        <v>0</v>
      </c>
      <c r="Q14" s="149">
        <f>SUM(Q6:Q13)</f>
        <v>480</v>
      </c>
      <c r="R14" s="149">
        <f>SUM(R6:R13)</f>
        <v>516350</v>
      </c>
      <c r="S14" s="149">
        <f>SUM(S6:S13)</f>
        <v>397589.5</v>
      </c>
      <c r="X14" s="149">
        <f>SUM(X6:X13)</f>
        <v>510</v>
      </c>
      <c r="Y14" s="149">
        <f>SUM(Y6:Y13)</f>
        <v>548450</v>
      </c>
      <c r="Z14" s="149">
        <f>SUM(Z6:Z13)</f>
        <v>422306.5</v>
      </c>
    </row>
    <row r="15" spans="1:26" ht="13.5" customHeight="1" thickBot="1">
      <c r="A15" s="767" t="s">
        <v>388</v>
      </c>
      <c r="B15" s="165"/>
      <c r="C15" s="113">
        <f>C14/($C$23+$D$23+$E$23)</f>
        <v>1.0013901760889712</v>
      </c>
      <c r="D15" s="114">
        <f>D14/($C$23+$D$23+$E$23)</f>
        <v>0</v>
      </c>
      <c r="E15" s="115">
        <f>E14/($C$23+$D$23+$E$23)</f>
        <v>0</v>
      </c>
      <c r="F15" s="227">
        <v>12</v>
      </c>
      <c r="G15" s="228" t="s">
        <v>11</v>
      </c>
      <c r="H15" s="229" t="s">
        <v>460</v>
      </c>
      <c r="I15" s="770" t="s">
        <v>608</v>
      </c>
      <c r="J15" s="214">
        <f>+'24'!J15</f>
        <v>0</v>
      </c>
      <c r="K15" s="238"/>
      <c r="L15" s="238"/>
      <c r="M15" s="117">
        <f>+K15+'24'!M15+L15</f>
        <v>0</v>
      </c>
      <c r="Q15" s="149">
        <f>480-Q14</f>
        <v>0</v>
      </c>
      <c r="R15" s="149">
        <f>+R14/Q14</f>
        <v>1075.7291666666667</v>
      </c>
      <c r="S15" s="149">
        <f>+S14/Q14</f>
        <v>828.31145833333335</v>
      </c>
      <c r="X15" s="149">
        <f>480-X14</f>
        <v>-30</v>
      </c>
      <c r="Y15" s="149">
        <f>+Y14/X14</f>
        <v>1075.3921568627452</v>
      </c>
      <c r="Z15" s="149">
        <f>+Z14/X14</f>
        <v>828.05196078431368</v>
      </c>
    </row>
    <row r="16" spans="1:26" ht="13.5" thickBot="1">
      <c r="A16" s="773"/>
      <c r="B16" s="215" t="s">
        <v>580</v>
      </c>
      <c r="C16" s="221">
        <v>4282</v>
      </c>
      <c r="D16" s="222"/>
      <c r="E16" s="223"/>
      <c r="F16" s="230"/>
      <c r="G16" s="231" t="s">
        <v>11</v>
      </c>
      <c r="H16" s="229" t="s">
        <v>282</v>
      </c>
      <c r="I16" s="771"/>
      <c r="J16" s="214">
        <f>+'24'!J16</f>
        <v>0</v>
      </c>
      <c r="K16" s="228"/>
      <c r="L16" s="228"/>
      <c r="M16" s="117">
        <f>+K16+'24'!M16+L16</f>
        <v>0</v>
      </c>
    </row>
    <row r="17" spans="1:26" ht="13.5" thickBot="1">
      <c r="A17" s="773"/>
      <c r="B17" s="215" t="s">
        <v>611</v>
      </c>
      <c r="C17" s="216">
        <v>8666</v>
      </c>
      <c r="D17" s="217"/>
      <c r="E17" s="224"/>
      <c r="F17" s="227">
        <f>28-12</f>
        <v>16</v>
      </c>
      <c r="G17" s="231" t="s">
        <v>11</v>
      </c>
      <c r="H17" s="232" t="s">
        <v>494</v>
      </c>
      <c r="I17" s="771"/>
      <c r="J17" s="214">
        <f>+'24'!J17</f>
        <v>0</v>
      </c>
      <c r="K17" s="228"/>
      <c r="L17" s="228"/>
      <c r="M17" s="117">
        <f>+K17+'24'!M17+L17</f>
        <v>0</v>
      </c>
      <c r="N17" s="149" t="s">
        <v>566</v>
      </c>
      <c r="O17" s="149">
        <v>1070</v>
      </c>
      <c r="P17" s="149">
        <f>+O17-O17*0.23</f>
        <v>823.9</v>
      </c>
      <c r="Q17" s="149">
        <v>30</v>
      </c>
      <c r="R17" s="149">
        <f t="shared" ref="R17:R19" si="4">+O17*Q17</f>
        <v>32100</v>
      </c>
      <c r="S17" s="149">
        <f t="shared" ref="S17:S19" si="5">+P17*Q17</f>
        <v>24717</v>
      </c>
      <c r="U17" s="149" t="s">
        <v>606</v>
      </c>
      <c r="V17" s="149">
        <v>1050</v>
      </c>
      <c r="W17" s="149">
        <v>808.5</v>
      </c>
      <c r="X17" s="149">
        <v>450</v>
      </c>
      <c r="Y17" s="149">
        <f t="shared" ref="Y17:Y19" si="6">+V17*X17</f>
        <v>472500</v>
      </c>
      <c r="Z17" s="149">
        <f t="shared" ref="Z17:Z19" si="7">+W17*X17</f>
        <v>363825</v>
      </c>
    </row>
    <row r="18" spans="1:26" ht="26.25" thickBot="1">
      <c r="A18" s="773"/>
      <c r="B18" s="215"/>
      <c r="C18" s="216"/>
      <c r="D18" s="217"/>
      <c r="E18" s="224"/>
      <c r="F18" s="227"/>
      <c r="G18" s="236" t="s">
        <v>12</v>
      </c>
      <c r="H18" s="232" t="s">
        <v>602</v>
      </c>
      <c r="I18" s="771"/>
      <c r="J18" s="214">
        <f>+'24'!J18</f>
        <v>0</v>
      </c>
      <c r="K18" s="238"/>
      <c r="L18" s="238"/>
      <c r="M18" s="117">
        <f>+K18+'24'!M18+L18</f>
        <v>0</v>
      </c>
      <c r="N18" s="149" t="s">
        <v>606</v>
      </c>
      <c r="O18" s="149">
        <v>1050</v>
      </c>
      <c r="P18" s="149">
        <f>+O18-O18*0.23</f>
        <v>808.5</v>
      </c>
      <c r="Q18" s="149">
        <f>480-Q17</f>
        <v>450</v>
      </c>
      <c r="R18" s="149">
        <f t="shared" si="4"/>
        <v>472500</v>
      </c>
      <c r="S18" s="149">
        <f t="shared" si="5"/>
        <v>363825</v>
      </c>
      <c r="U18" s="149" t="s">
        <v>606</v>
      </c>
      <c r="V18" s="149">
        <v>1050</v>
      </c>
      <c r="W18" s="149">
        <v>808.5</v>
      </c>
      <c r="X18" s="149">
        <v>371</v>
      </c>
      <c r="Y18" s="149">
        <f t="shared" si="6"/>
        <v>389550</v>
      </c>
      <c r="Z18" s="149">
        <f t="shared" si="7"/>
        <v>299953.5</v>
      </c>
    </row>
    <row r="19" spans="1:26" ht="13.5" thickBot="1">
      <c r="A19" s="773"/>
      <c r="B19" s="215"/>
      <c r="C19" s="216"/>
      <c r="D19" s="217"/>
      <c r="E19" s="224"/>
      <c r="F19" s="234"/>
      <c r="G19" s="231"/>
      <c r="H19" s="232" t="s">
        <v>603</v>
      </c>
      <c r="I19" s="771"/>
      <c r="J19" s="214">
        <f>+'24'!J19</f>
        <v>0</v>
      </c>
      <c r="K19" s="238"/>
      <c r="L19" s="238"/>
      <c r="M19" s="117">
        <f>+K19+'24'!M19+L19</f>
        <v>0</v>
      </c>
      <c r="P19" s="149">
        <f>+O19-O19*0.23</f>
        <v>0</v>
      </c>
      <c r="R19" s="149">
        <f t="shared" si="4"/>
        <v>0</v>
      </c>
      <c r="S19" s="149">
        <f t="shared" si="5"/>
        <v>0</v>
      </c>
      <c r="V19" s="149">
        <v>930</v>
      </c>
      <c r="W19" s="149">
        <v>716.1</v>
      </c>
      <c r="X19" s="149">
        <v>109</v>
      </c>
      <c r="Y19" s="149">
        <f t="shared" si="6"/>
        <v>101370</v>
      </c>
      <c r="Z19" s="149">
        <f t="shared" si="7"/>
        <v>78054.900000000009</v>
      </c>
    </row>
    <row r="20" spans="1:26" ht="13.5" thickBot="1">
      <c r="A20" s="773"/>
      <c r="B20" s="215"/>
      <c r="C20" s="216"/>
      <c r="D20" s="217"/>
      <c r="E20" s="224"/>
      <c r="F20" s="227"/>
      <c r="G20" s="231"/>
      <c r="H20" s="232"/>
      <c r="I20" s="771"/>
      <c r="J20" s="214">
        <f>+'24'!J20</f>
        <v>0</v>
      </c>
      <c r="K20" s="239"/>
      <c r="L20" s="239"/>
      <c r="M20" s="117">
        <f>+K20+'24'!M20+L20</f>
        <v>0</v>
      </c>
    </row>
    <row r="21" spans="1:26" ht="13.5" thickBot="1">
      <c r="A21" s="773"/>
      <c r="B21" s="215"/>
      <c r="C21" s="216"/>
      <c r="D21" s="217"/>
      <c r="E21" s="224"/>
      <c r="F21" s="230"/>
      <c r="G21" s="231"/>
      <c r="H21" s="232"/>
      <c r="I21" s="771"/>
      <c r="J21" s="214">
        <f>+'24'!J21</f>
        <v>0</v>
      </c>
      <c r="K21" s="238"/>
      <c r="L21" s="238"/>
      <c r="M21" s="117">
        <f>+K21+'24'!M21+L21</f>
        <v>0</v>
      </c>
    </row>
    <row r="22" spans="1:26" ht="13.5" thickBot="1">
      <c r="A22" s="773"/>
      <c r="B22" s="215"/>
      <c r="C22" s="216"/>
      <c r="D22" s="217"/>
      <c r="E22" s="224"/>
      <c r="F22" s="235"/>
      <c r="G22" s="231"/>
      <c r="H22" s="232"/>
      <c r="I22" s="772"/>
      <c r="J22" s="214">
        <f>+'24'!J22</f>
        <v>0</v>
      </c>
      <c r="K22" s="238"/>
      <c r="L22" s="238"/>
      <c r="M22" s="117">
        <f>+K22+'24'!M22+L22</f>
        <v>0</v>
      </c>
    </row>
    <row r="23" spans="1:26" ht="13.5" thickBot="1">
      <c r="A23" s="774"/>
      <c r="B23" s="168" t="s">
        <v>2</v>
      </c>
      <c r="C23" s="100">
        <f>SUM(C16:C22)</f>
        <v>12948</v>
      </c>
      <c r="D23" s="111">
        <f>SUM(D16:D22)</f>
        <v>0</v>
      </c>
      <c r="E23" s="112">
        <f>SUM(E18:E22)</f>
        <v>0</v>
      </c>
      <c r="F23" s="116">
        <f>SUM(F15:F22)</f>
        <v>28</v>
      </c>
      <c r="G23" s="159"/>
      <c r="H23" s="166"/>
      <c r="I23" s="169"/>
      <c r="J23" s="214">
        <f>+'24'!J23</f>
        <v>0</v>
      </c>
      <c r="K23" s="238"/>
      <c r="L23" s="238"/>
      <c r="M23" s="117">
        <f>+K23+'24'!M23+L23</f>
        <v>0</v>
      </c>
    </row>
    <row r="24" spans="1:26" ht="13.5" customHeight="1" thickBot="1">
      <c r="A24" s="767" t="s">
        <v>389</v>
      </c>
      <c r="B24" s="170"/>
      <c r="C24" s="113">
        <f>C23/($C$23+$D$23+$E$23)</f>
        <v>1</v>
      </c>
      <c r="D24" s="114">
        <f>D23/($C$23+$D$23+$E$23)</f>
        <v>0</v>
      </c>
      <c r="E24" s="115">
        <f>E23/($C$23+$D$23+$E$23)</f>
        <v>0</v>
      </c>
      <c r="F24" s="227"/>
      <c r="G24" s="228" t="s">
        <v>11</v>
      </c>
      <c r="H24" s="229" t="s">
        <v>384</v>
      </c>
      <c r="I24" s="770" t="s">
        <v>607</v>
      </c>
      <c r="J24" s="214">
        <f>+'24'!J24</f>
        <v>0</v>
      </c>
      <c r="K24" s="238"/>
      <c r="L24" s="238"/>
      <c r="M24" s="117">
        <f>+K24+'24'!M24+L24</f>
        <v>0</v>
      </c>
    </row>
    <row r="25" spans="1:26" ht="13.5" thickBot="1">
      <c r="A25" s="773"/>
      <c r="B25" s="215" t="s">
        <v>611</v>
      </c>
      <c r="C25" s="225">
        <v>12549</v>
      </c>
      <c r="D25" s="217">
        <v>300</v>
      </c>
      <c r="E25" s="224"/>
      <c r="F25" s="230">
        <v>8</v>
      </c>
      <c r="G25" s="231" t="s">
        <v>11</v>
      </c>
      <c r="H25" s="229" t="s">
        <v>462</v>
      </c>
      <c r="I25" s="771"/>
      <c r="J25" s="214">
        <f>+'24'!J25</f>
        <v>0</v>
      </c>
      <c r="K25" s="238"/>
      <c r="L25" s="238"/>
      <c r="M25" s="117">
        <f>+K25+'24'!M25+L25</f>
        <v>0</v>
      </c>
      <c r="Q25" s="149">
        <f>SUM(Q17:Q24)</f>
        <v>480</v>
      </c>
      <c r="R25" s="149">
        <f>SUM(R17:R24)</f>
        <v>504600</v>
      </c>
      <c r="S25" s="149">
        <f>SUM(S17:S24)</f>
        <v>388542</v>
      </c>
      <c r="X25" s="149">
        <f>SUM(X17:X24)</f>
        <v>930</v>
      </c>
      <c r="Y25" s="149">
        <f>SUM(Y17:Y24)</f>
        <v>963420</v>
      </c>
      <c r="Z25" s="149">
        <f>SUM(Z17:Z24)</f>
        <v>741833.4</v>
      </c>
    </row>
    <row r="26" spans="1:26" ht="13.5" thickBot="1">
      <c r="A26" s="773"/>
      <c r="B26" s="215"/>
      <c r="C26" s="225"/>
      <c r="D26" s="217"/>
      <c r="E26" s="226"/>
      <c r="F26" s="227">
        <v>10</v>
      </c>
      <c r="G26" s="231" t="s">
        <v>11</v>
      </c>
      <c r="H26" s="232" t="s">
        <v>494</v>
      </c>
      <c r="I26" s="771"/>
      <c r="J26" s="214">
        <f>+'24'!J26</f>
        <v>0</v>
      </c>
      <c r="K26" s="238"/>
      <c r="L26" s="238"/>
      <c r="M26" s="117">
        <f>+K26+'24'!M26+L26</f>
        <v>0</v>
      </c>
      <c r="Q26" s="149">
        <f>480-Q25</f>
        <v>0</v>
      </c>
      <c r="R26" s="149">
        <f>+R25/Q25</f>
        <v>1051.25</v>
      </c>
      <c r="S26" s="149">
        <f>+S25/Q25</f>
        <v>809.46249999999998</v>
      </c>
      <c r="X26" s="149">
        <f>480-X25</f>
        <v>-450</v>
      </c>
      <c r="Y26" s="149">
        <f>+Y25/X25</f>
        <v>1035.9354838709678</v>
      </c>
      <c r="Z26" s="149">
        <f>+Z25/X25</f>
        <v>797.67032258064523</v>
      </c>
    </row>
    <row r="27" spans="1:26" ht="39" thickBot="1">
      <c r="A27" s="773"/>
      <c r="B27" s="215"/>
      <c r="C27" s="216"/>
      <c r="D27" s="217"/>
      <c r="E27" s="224"/>
      <c r="F27" s="227"/>
      <c r="G27" s="236" t="s">
        <v>12</v>
      </c>
      <c r="H27" s="232" t="s">
        <v>599</v>
      </c>
      <c r="I27" s="771"/>
      <c r="J27" s="214">
        <f>+'24'!J27</f>
        <v>0</v>
      </c>
      <c r="K27" s="238"/>
      <c r="L27" s="238"/>
      <c r="M27" s="117">
        <f>+K27+'24'!M27+L27</f>
        <v>0</v>
      </c>
      <c r="N27" s="149" t="s">
        <v>606</v>
      </c>
      <c r="O27" s="149">
        <v>1050</v>
      </c>
      <c r="P27" s="149">
        <f>+O27-O27*0.23</f>
        <v>808.5</v>
      </c>
      <c r="Q27" s="149">
        <f>60*6+11</f>
        <v>371</v>
      </c>
      <c r="R27" s="149">
        <f t="shared" ref="R27:R29" si="8">+O27*Q27</f>
        <v>389550</v>
      </c>
      <c r="S27" s="149">
        <f t="shared" ref="S27:S29" si="9">+P27*Q27</f>
        <v>299953.5</v>
      </c>
    </row>
    <row r="28" spans="1:26" ht="122.25" customHeight="1" thickBot="1">
      <c r="A28" s="773"/>
      <c r="B28" s="215"/>
      <c r="C28" s="216"/>
      <c r="D28" s="217"/>
      <c r="E28" s="224"/>
      <c r="F28" s="230">
        <v>25</v>
      </c>
      <c r="G28" s="231" t="s">
        <v>68</v>
      </c>
      <c r="H28" s="232" t="s">
        <v>600</v>
      </c>
      <c r="I28" s="771"/>
      <c r="J28" s="214">
        <f>+'24'!J28</f>
        <v>0</v>
      </c>
      <c r="K28" s="238"/>
      <c r="L28" s="238"/>
      <c r="M28" s="117">
        <f>+K28+'24'!M28+L28</f>
        <v>0</v>
      </c>
      <c r="O28" s="149">
        <v>930</v>
      </c>
      <c r="P28" s="149">
        <f>+O28-O28*0.23</f>
        <v>716.1</v>
      </c>
      <c r="Q28" s="149">
        <f>480-Q27</f>
        <v>109</v>
      </c>
      <c r="R28" s="149">
        <f t="shared" si="8"/>
        <v>101370</v>
      </c>
      <c r="S28" s="149">
        <f t="shared" si="9"/>
        <v>78054.900000000009</v>
      </c>
    </row>
    <row r="29" spans="1:26" ht="13.5" thickBot="1">
      <c r="A29" s="773"/>
      <c r="B29" s="215"/>
      <c r="C29" s="216"/>
      <c r="D29" s="217"/>
      <c r="E29" s="224"/>
      <c r="F29" s="235"/>
      <c r="G29" s="231"/>
      <c r="H29" s="232" t="s">
        <v>601</v>
      </c>
      <c r="I29" s="771"/>
      <c r="J29" s="214">
        <f>+'24'!J29</f>
        <v>0</v>
      </c>
      <c r="K29" s="238"/>
      <c r="L29" s="238"/>
      <c r="M29" s="117">
        <f>+K29+'24'!M29+L29</f>
        <v>0</v>
      </c>
      <c r="P29" s="149">
        <f>+O29-O29*0.23</f>
        <v>0</v>
      </c>
      <c r="R29" s="149">
        <f t="shared" si="8"/>
        <v>0</v>
      </c>
      <c r="S29" s="149">
        <f t="shared" si="9"/>
        <v>0</v>
      </c>
    </row>
    <row r="30" spans="1:26" ht="13.5" thickBot="1">
      <c r="A30" s="773"/>
      <c r="B30" s="215"/>
      <c r="C30" s="225"/>
      <c r="D30" s="217"/>
      <c r="E30" s="224"/>
      <c r="F30" s="235"/>
      <c r="G30" s="231"/>
      <c r="H30" s="232"/>
      <c r="I30" s="771"/>
      <c r="J30" s="214">
        <f>+'24'!J30</f>
        <v>0</v>
      </c>
      <c r="K30" s="238"/>
      <c r="L30" s="238"/>
      <c r="M30" s="117">
        <f>+K30+'24'!M30+L30</f>
        <v>0</v>
      </c>
    </row>
    <row r="31" spans="1:26" ht="13.5" thickBot="1">
      <c r="A31" s="773"/>
      <c r="B31" s="215"/>
      <c r="C31" s="225"/>
      <c r="D31" s="217"/>
      <c r="E31" s="224"/>
      <c r="F31" s="235"/>
      <c r="G31" s="236"/>
      <c r="H31" s="444"/>
      <c r="I31" s="772"/>
      <c r="J31" s="214">
        <f>+'24'!J31</f>
        <v>0</v>
      </c>
      <c r="K31" s="238"/>
      <c r="L31" s="238"/>
      <c r="M31" s="117">
        <f>+K31+'24'!M31+L31</f>
        <v>0</v>
      </c>
    </row>
    <row r="32" spans="1:26" ht="13.5" thickBot="1">
      <c r="A32" s="774"/>
      <c r="B32" s="165" t="s">
        <v>2</v>
      </c>
      <c r="C32" s="99">
        <f>SUM(C25:C31)</f>
        <v>12549</v>
      </c>
      <c r="D32" s="100">
        <f>SUM(D25:D31)</f>
        <v>300</v>
      </c>
      <c r="E32" s="101">
        <f>SUM(E25:E31)</f>
        <v>0</v>
      </c>
      <c r="F32" s="102">
        <f>SUM(F24:F31)</f>
        <v>43</v>
      </c>
      <c r="G32" s="171"/>
      <c r="H32" s="172"/>
      <c r="I32" s="169"/>
      <c r="J32" s="214">
        <f>+'24'!J32</f>
        <v>0</v>
      </c>
      <c r="K32" s="240"/>
      <c r="L32" s="242"/>
      <c r="M32" s="117">
        <f>+K32+'24'!M32+L32</f>
        <v>0</v>
      </c>
    </row>
    <row r="33" spans="1:23" ht="13.5" thickBot="1">
      <c r="A33" s="173"/>
      <c r="B33" s="174"/>
      <c r="C33" s="103">
        <f>C32/($C$32+$D$32+$E$32)</f>
        <v>0.97665187952369836</v>
      </c>
      <c r="D33" s="104">
        <f>D32/($C$32+$D$32+$E$32)</f>
        <v>2.3348120476301658E-2</v>
      </c>
      <c r="E33" s="105">
        <f>E32/($C$32+$D$32+$E$32)</f>
        <v>0</v>
      </c>
      <c r="F33" s="106"/>
      <c r="G33" s="175"/>
      <c r="H33" s="176"/>
      <c r="I33" s="177"/>
      <c r="J33" s="121"/>
      <c r="K33" s="122"/>
      <c r="L33" s="213"/>
      <c r="M33" s="119"/>
    </row>
    <row r="34" spans="1:23" ht="13.5" thickBot="1">
      <c r="A34" s="775" t="s">
        <v>57</v>
      </c>
      <c r="B34" s="776"/>
      <c r="C34" s="107">
        <f>C14+C23+C32</f>
        <v>38463</v>
      </c>
      <c r="D34" s="107">
        <f>D14+D23+D32</f>
        <v>300</v>
      </c>
      <c r="E34" s="107">
        <f>E14+E23+E32</f>
        <v>0</v>
      </c>
      <c r="F34" s="108">
        <f>F14+F23+F32</f>
        <v>108</v>
      </c>
      <c r="H34" s="178"/>
      <c r="I34" s="178"/>
      <c r="J34" s="123" t="s">
        <v>27</v>
      </c>
      <c r="K34" s="124">
        <f>SUM(K7:K32)</f>
        <v>38463</v>
      </c>
      <c r="L34" s="212">
        <f>SUM(L7:L32)</f>
        <v>0</v>
      </c>
      <c r="M34" s="120">
        <f>SUM(M7:M32)</f>
        <v>305023</v>
      </c>
    </row>
    <row r="35" spans="1:23" ht="13.5" thickBot="1">
      <c r="A35" s="179"/>
      <c r="B35" s="180"/>
      <c r="C35" s="104">
        <f>C34/($C$34+$D$34+$E$34)</f>
        <v>0.99226066093955578</v>
      </c>
      <c r="D35" s="104">
        <f>D34/($C$34+$D$34+$E$34)</f>
        <v>7.7393390604442378E-3</v>
      </c>
      <c r="E35" s="109">
        <f>E34/($C$34+$D$34+$E$34)</f>
        <v>0</v>
      </c>
      <c r="K35" s="155"/>
      <c r="Q35" s="149">
        <f>SUM(Q27:Q34)</f>
        <v>480</v>
      </c>
      <c r="R35" s="149">
        <f>SUM(R27:R34)</f>
        <v>490920</v>
      </c>
      <c r="S35" s="149">
        <f>SUM(S27:S34)</f>
        <v>378008.4</v>
      </c>
    </row>
    <row r="36" spans="1:23" ht="13.5" thickBot="1">
      <c r="A36" s="178"/>
      <c r="B36" s="178"/>
      <c r="C36" s="155"/>
      <c r="D36" s="155"/>
      <c r="E36" s="155"/>
      <c r="G36" s="155"/>
      <c r="H36" s="181"/>
      <c r="I36" s="162" t="s">
        <v>36</v>
      </c>
      <c r="J36" s="162" t="s">
        <v>37</v>
      </c>
      <c r="K36" s="182"/>
      <c r="Q36" s="149">
        <f>480-Q35</f>
        <v>0</v>
      </c>
      <c r="R36" s="149">
        <f>+R35/Q35</f>
        <v>1022.75</v>
      </c>
      <c r="S36" s="149">
        <f>+S35/Q35</f>
        <v>787.51750000000004</v>
      </c>
    </row>
    <row r="37" spans="1:23" ht="17.45" customHeight="1" thickBot="1">
      <c r="A37" s="777" t="s">
        <v>58</v>
      </c>
      <c r="B37" s="778"/>
      <c r="C37" s="162" t="s">
        <v>59</v>
      </c>
      <c r="D37" s="183" t="s">
        <v>60</v>
      </c>
      <c r="E37" s="184" t="s">
        <v>61</v>
      </c>
      <c r="F37" s="321"/>
      <c r="G37" s="323"/>
      <c r="H37" s="186" t="s">
        <v>62</v>
      </c>
      <c r="I37" s="243">
        <f>(15*930+14*510)/1440*G42*2.74*1440/1000000</f>
        <v>46.716449128708334</v>
      </c>
      <c r="J37" s="125">
        <f>+I37+'24'!J37</f>
        <v>370.37696985879842</v>
      </c>
      <c r="K37" s="126" t="s">
        <v>63</v>
      </c>
    </row>
    <row r="38" spans="1:23" ht="17.45" customHeight="1">
      <c r="A38" s="779" t="s">
        <v>11</v>
      </c>
      <c r="B38" s="780"/>
      <c r="C38" s="164">
        <f>SUMIF($G$7:$G$31,"Process",$F$7:$F$31)</f>
        <v>73</v>
      </c>
      <c r="D38" s="118">
        <f>+C38+'24'!D38</f>
        <v>622</v>
      </c>
      <c r="E38" s="143">
        <f t="shared" ref="E38:E51" si="10">D38/60</f>
        <v>10.366666666666667</v>
      </c>
      <c r="F38" s="321">
        <v>1075.7291666666667</v>
      </c>
      <c r="G38" s="321">
        <v>828.31145833333335</v>
      </c>
      <c r="H38" s="187" t="s">
        <v>64</v>
      </c>
      <c r="I38" s="244">
        <f>13.672+1.835+10.47+14.62</f>
        <v>40.597000000000001</v>
      </c>
      <c r="J38" s="127">
        <f>+I38+'24'!J38</f>
        <v>327.44299999999998</v>
      </c>
      <c r="K38" s="128" t="s">
        <v>63</v>
      </c>
    </row>
    <row r="39" spans="1:23" ht="17.45" customHeight="1">
      <c r="A39" s="781" t="s">
        <v>12</v>
      </c>
      <c r="B39" s="782"/>
      <c r="C39" s="164">
        <f>SUMIF($G$7:$G$31,"Cleaning",$F$7:$F$31)</f>
        <v>0</v>
      </c>
      <c r="D39" s="118">
        <f>+C39+'24'!D39</f>
        <v>0</v>
      </c>
      <c r="E39" s="143">
        <f t="shared" si="10"/>
        <v>0</v>
      </c>
      <c r="F39" s="321">
        <v>1051.25</v>
      </c>
      <c r="G39" s="321">
        <v>809.46249999999998</v>
      </c>
      <c r="H39" s="187" t="s">
        <v>65</v>
      </c>
      <c r="I39" s="142"/>
      <c r="J39" s="129">
        <f>J37/G4</f>
        <v>14.815078794351937</v>
      </c>
      <c r="K39" s="130" t="s">
        <v>63</v>
      </c>
      <c r="N39" s="149" t="s">
        <v>566</v>
      </c>
      <c r="O39" s="149">
        <v>1075.3921568627452</v>
      </c>
      <c r="P39" s="149">
        <v>828.05196078431368</v>
      </c>
      <c r="Q39" s="149">
        <v>510</v>
      </c>
    </row>
    <row r="40" spans="1:23" ht="17.45" customHeight="1">
      <c r="A40" s="781" t="s">
        <v>66</v>
      </c>
      <c r="B40" s="782"/>
      <c r="C40" s="164">
        <f>SUMIF($G$7:$G$31,"Mechanical",$F$7:$F$31)</f>
        <v>0</v>
      </c>
      <c r="D40" s="118">
        <f>+C40+'24'!D40</f>
        <v>0</v>
      </c>
      <c r="E40" s="143">
        <f t="shared" si="10"/>
        <v>0</v>
      </c>
      <c r="F40" s="321">
        <v>1022.75</v>
      </c>
      <c r="G40" s="321">
        <v>787.51750000000004</v>
      </c>
      <c r="H40" s="187" t="s">
        <v>67</v>
      </c>
      <c r="I40" s="118">
        <f>(K34+L34)/1000</f>
        <v>38.463000000000001</v>
      </c>
      <c r="J40" s="131">
        <f>+I40+'24'!J40</f>
        <v>305.02300000000002</v>
      </c>
      <c r="K40" s="130" t="s">
        <v>63</v>
      </c>
      <c r="N40" s="149" t="s">
        <v>606</v>
      </c>
      <c r="O40" s="149">
        <v>1035.9354838709678</v>
      </c>
      <c r="P40" s="149">
        <v>797.67032258064523</v>
      </c>
      <c r="Q40" s="149">
        <v>930</v>
      </c>
    </row>
    <row r="41" spans="1:23" ht="17.45" customHeight="1">
      <c r="A41" s="781" t="s">
        <v>68</v>
      </c>
      <c r="B41" s="782"/>
      <c r="C41" s="164">
        <f>SUMIF($G$7:$G$31,"Electrical",$F$7:$F$31)</f>
        <v>35</v>
      </c>
      <c r="D41" s="118">
        <f>+C41+'24'!D41</f>
        <v>175</v>
      </c>
      <c r="E41" s="143">
        <f t="shared" si="10"/>
        <v>2.9166666666666665</v>
      </c>
      <c r="F41" s="321"/>
      <c r="G41" s="321"/>
      <c r="H41" s="187" t="s">
        <v>69</v>
      </c>
      <c r="I41" s="142"/>
      <c r="J41" s="129">
        <f>J40/G4</f>
        <v>12.200920000000002</v>
      </c>
      <c r="K41" s="130" t="s">
        <v>63</v>
      </c>
      <c r="Q41" s="149">
        <f>+Q39+Q40</f>
        <v>1440</v>
      </c>
    </row>
    <row r="42" spans="1:23" ht="17.45" customHeight="1" thickBot="1">
      <c r="A42" s="781" t="s">
        <v>15</v>
      </c>
      <c r="B42" s="782"/>
      <c r="C42" s="164">
        <f>SUMIF($G$7:$G$31,"Instrument",$F$7:$F$31)</f>
        <v>0</v>
      </c>
      <c r="D42" s="118">
        <f>+C42+'24'!D42</f>
        <v>0</v>
      </c>
      <c r="E42" s="143">
        <f t="shared" si="10"/>
        <v>0</v>
      </c>
      <c r="F42" s="321">
        <f>+(480*F38+480*F39+480*F40)/1440</f>
        <v>1049.9097222222222</v>
      </c>
      <c r="G42" s="321">
        <f>+(480*G38+480*G39+480*G40)/1440</f>
        <v>808.43048611111101</v>
      </c>
      <c r="H42" s="187" t="s">
        <v>70</v>
      </c>
      <c r="I42" s="245" t="s">
        <v>607</v>
      </c>
      <c r="J42" s="132"/>
      <c r="K42" s="130" t="s">
        <v>71</v>
      </c>
    </row>
    <row r="43" spans="1:23" ht="17.45" customHeight="1" thickBot="1">
      <c r="A43" s="781" t="s">
        <v>72</v>
      </c>
      <c r="B43" s="782"/>
      <c r="C43" s="164">
        <f>SUMIF($G$7:$G$31,"Water",$F$7:$F$31)</f>
        <v>0</v>
      </c>
      <c r="D43" s="118">
        <f>+C43+'24'!D43</f>
        <v>0</v>
      </c>
      <c r="E43" s="143">
        <f t="shared" si="10"/>
        <v>0</v>
      </c>
      <c r="F43" s="321"/>
      <c r="G43" s="322"/>
      <c r="H43" s="188" t="s">
        <v>73</v>
      </c>
      <c r="I43" s="118">
        <f>+Report1!Z33</f>
        <v>54.4</v>
      </c>
      <c r="J43" s="133">
        <f>+I43+'24'!J43</f>
        <v>831.19999999999993</v>
      </c>
      <c r="K43" s="130" t="s">
        <v>63</v>
      </c>
      <c r="L43" s="189"/>
      <c r="N43" s="181" t="s">
        <v>91</v>
      </c>
      <c r="O43" s="422" t="s">
        <v>549</v>
      </c>
      <c r="P43" s="422" t="s">
        <v>550</v>
      </c>
      <c r="Q43" s="422" t="s">
        <v>190</v>
      </c>
      <c r="R43" s="422" t="s">
        <v>191</v>
      </c>
      <c r="S43" s="595" t="s">
        <v>192</v>
      </c>
      <c r="T43" s="422" t="s">
        <v>187</v>
      </c>
      <c r="U43" s="423" t="s">
        <v>193</v>
      </c>
      <c r="V43" s="422" t="s">
        <v>194</v>
      </c>
      <c r="W43" s="422" t="s">
        <v>188</v>
      </c>
    </row>
    <row r="44" spans="1:23" ht="17.45" customHeight="1" thickBot="1">
      <c r="A44" s="781" t="s">
        <v>16</v>
      </c>
      <c r="B44" s="782"/>
      <c r="C44" s="164">
        <f>SUMIF($G$7:$G$31,"PLN",$F$7:$F$31)</f>
        <v>0</v>
      </c>
      <c r="D44" s="118">
        <f>+C44+'24'!D44</f>
        <v>0</v>
      </c>
      <c r="E44" s="143">
        <f t="shared" si="10"/>
        <v>0</v>
      </c>
      <c r="F44" s="321"/>
      <c r="G44" s="322"/>
      <c r="H44" s="188" t="s">
        <v>74</v>
      </c>
      <c r="I44" s="118">
        <f>I43/I38</f>
        <v>1.34000049264724</v>
      </c>
      <c r="J44" s="134">
        <f>J43/J38</f>
        <v>2.5384570749718272</v>
      </c>
      <c r="K44" s="130" t="s">
        <v>63</v>
      </c>
      <c r="N44" s="424">
        <v>14</v>
      </c>
      <c r="O44" s="199">
        <v>1075.3921568627452</v>
      </c>
      <c r="P44" s="199">
        <v>1230</v>
      </c>
      <c r="Q44" s="149">
        <v>828.05196078431368</v>
      </c>
      <c r="R44" s="425">
        <f>1-(Q44/O44)</f>
        <v>0.23000000000000009</v>
      </c>
      <c r="S44" s="596">
        <v>10</v>
      </c>
      <c r="T44" s="427">
        <v>257</v>
      </c>
      <c r="U44" s="428">
        <f>(O44*(1-R44)*N44*T44*S44)/100000000</f>
        <v>0.29793309549019603</v>
      </c>
      <c r="V44" s="429">
        <f>+C51/1000</f>
        <v>0</v>
      </c>
      <c r="W44" s="430">
        <f>SUM(V44:V46)/SUM(U44:U46)</f>
        <v>0</v>
      </c>
    </row>
    <row r="45" spans="1:23" ht="17.45" customHeight="1">
      <c r="A45" s="781" t="s">
        <v>17</v>
      </c>
      <c r="B45" s="782"/>
      <c r="C45" s="164">
        <f>SUMIF($G$7:$G$31,"Boiler",$F$7:$F$31)</f>
        <v>0</v>
      </c>
      <c r="D45" s="118">
        <f>+C45+'24'!D45</f>
        <v>0</v>
      </c>
      <c r="E45" s="143">
        <f t="shared" si="10"/>
        <v>0</v>
      </c>
      <c r="F45" s="321"/>
      <c r="G45" s="324"/>
      <c r="H45" s="188" t="s">
        <v>75</v>
      </c>
      <c r="I45" s="118">
        <f>I43/I40</f>
        <v>1.414346254842316</v>
      </c>
      <c r="J45" s="134">
        <f>J43/J40</f>
        <v>2.7250404067889957</v>
      </c>
      <c r="K45" s="130" t="s">
        <v>63</v>
      </c>
      <c r="N45" s="424"/>
      <c r="O45" s="199"/>
      <c r="P45" s="199"/>
      <c r="Q45" s="199"/>
      <c r="R45" s="425"/>
      <c r="S45" s="426"/>
      <c r="T45" s="427"/>
      <c r="U45" s="428"/>
      <c r="V45" s="429"/>
      <c r="W45" s="431"/>
    </row>
    <row r="46" spans="1:23" ht="17.45" customHeight="1">
      <c r="A46" s="781" t="s">
        <v>76</v>
      </c>
      <c r="B46" s="782"/>
      <c r="C46" s="164">
        <f>SUMIF($G$7:$G$31,"Gas",$F$7:$F$31)</f>
        <v>0</v>
      </c>
      <c r="D46" s="118">
        <f>+C46+'24'!D46</f>
        <v>0</v>
      </c>
      <c r="E46" s="143">
        <f t="shared" si="10"/>
        <v>0</v>
      </c>
      <c r="F46" s="321"/>
      <c r="G46" s="322"/>
      <c r="H46" s="188" t="s">
        <v>77</v>
      </c>
      <c r="I46" s="140">
        <f>+SUMIF(Listrik!P32,"&gt;0")</f>
        <v>35326.640000001091</v>
      </c>
      <c r="J46" s="135">
        <f>+I46+'24'!J46</f>
        <v>421877.28000000073</v>
      </c>
      <c r="K46" s="130" t="s">
        <v>78</v>
      </c>
      <c r="U46" s="149">
        <f>289/1000</f>
        <v>0.28899999999999998</v>
      </c>
    </row>
    <row r="47" spans="1:23" ht="17.45" customHeight="1">
      <c r="A47" s="781" t="s">
        <v>79</v>
      </c>
      <c r="B47" s="782"/>
      <c r="C47" s="164">
        <f>SUMIF($G$7:$G$31,"Gas",$F$7:$F$31)</f>
        <v>0</v>
      </c>
      <c r="D47" s="118">
        <f>+C47+'24'!D47</f>
        <v>0</v>
      </c>
      <c r="E47" s="143">
        <f t="shared" si="10"/>
        <v>0</v>
      </c>
      <c r="F47" s="321"/>
      <c r="G47" s="322"/>
      <c r="H47" s="188" t="s">
        <v>80</v>
      </c>
      <c r="I47" s="118">
        <f>I46/I38</f>
        <v>870.17858462450647</v>
      </c>
      <c r="J47" s="135">
        <f>J46/J38</f>
        <v>1288.3991412245819</v>
      </c>
      <c r="K47" s="130" t="s">
        <v>23</v>
      </c>
    </row>
    <row r="48" spans="1:23" ht="17.45" customHeight="1" thickBot="1">
      <c r="A48" s="781" t="s">
        <v>13</v>
      </c>
      <c r="B48" s="782"/>
      <c r="C48" s="164">
        <f>SUMIF($G$7:$G$31,"Start Up",$F$7:$F$31)</f>
        <v>0</v>
      </c>
      <c r="D48" s="118">
        <f>+C48+'24'!D48</f>
        <v>0</v>
      </c>
      <c r="E48" s="143">
        <f t="shared" si="10"/>
        <v>0</v>
      </c>
      <c r="F48" s="321"/>
      <c r="G48" s="322"/>
      <c r="H48" s="188" t="s">
        <v>81</v>
      </c>
      <c r="I48" s="118">
        <f>I46/I40</f>
        <v>918.45773860596137</v>
      </c>
      <c r="J48" s="135">
        <f>J46/J40</f>
        <v>1383.0998973847898</v>
      </c>
      <c r="K48" s="130" t="s">
        <v>23</v>
      </c>
    </row>
    <row r="49" spans="1:23" ht="17.45" customHeight="1" thickBot="1">
      <c r="A49" s="781" t="s">
        <v>19</v>
      </c>
      <c r="B49" s="782"/>
      <c r="C49" s="164">
        <f>SUMIF($G$7:$G$31,"Others",$F$7:$F$31)</f>
        <v>0</v>
      </c>
      <c r="D49" s="118">
        <f>+C49+'24'!D49</f>
        <v>22716</v>
      </c>
      <c r="E49" s="143">
        <f t="shared" si="10"/>
        <v>378.6</v>
      </c>
      <c r="F49" s="185"/>
      <c r="H49" s="188" t="s">
        <v>267</v>
      </c>
      <c r="I49" s="118">
        <f>+Report1!T33</f>
        <v>4979.4702472793806</v>
      </c>
      <c r="J49" s="135">
        <f>+I49+'24'!J49</f>
        <v>39990.623818702603</v>
      </c>
      <c r="K49" s="130" t="s">
        <v>82</v>
      </c>
      <c r="N49" s="181" t="s">
        <v>91</v>
      </c>
      <c r="O49" s="422" t="s">
        <v>549</v>
      </c>
      <c r="P49" s="422" t="s">
        <v>550</v>
      </c>
      <c r="Q49" s="422" t="s">
        <v>190</v>
      </c>
      <c r="R49" s="422" t="s">
        <v>191</v>
      </c>
      <c r="S49" s="595" t="s">
        <v>192</v>
      </c>
      <c r="T49" s="422" t="s">
        <v>187</v>
      </c>
      <c r="U49" s="423" t="s">
        <v>193</v>
      </c>
      <c r="V49" s="422" t="s">
        <v>194</v>
      </c>
      <c r="W49" s="422" t="s">
        <v>188</v>
      </c>
    </row>
    <row r="50" spans="1:23" ht="17.45" customHeight="1" thickBot="1">
      <c r="A50" s="781" t="s">
        <v>18</v>
      </c>
      <c r="B50" s="782"/>
      <c r="C50" s="164">
        <f>SUMIF($G$7:$G$31,"Steam",$F$7:$F$31)</f>
        <v>0</v>
      </c>
      <c r="D50" s="118">
        <f>+C50+'24'!D50</f>
        <v>0</v>
      </c>
      <c r="E50" s="143">
        <f t="shared" si="10"/>
        <v>0</v>
      </c>
      <c r="F50" s="185"/>
      <c r="H50" s="188" t="s">
        <v>83</v>
      </c>
      <c r="I50" s="140">
        <f>I49/I38</f>
        <v>122.65611368523241</v>
      </c>
      <c r="J50" s="133">
        <f>J49/J38</f>
        <v>122.13003123811657</v>
      </c>
      <c r="K50" s="130" t="s">
        <v>82</v>
      </c>
      <c r="N50" s="424">
        <v>15</v>
      </c>
      <c r="O50" s="199">
        <v>1035.9354838709678</v>
      </c>
      <c r="P50" s="199">
        <v>1210</v>
      </c>
      <c r="Q50" s="149">
        <v>797.67032258064523</v>
      </c>
      <c r="R50" s="425">
        <f>1-(Q50/O50)</f>
        <v>0.22999999999999998</v>
      </c>
      <c r="S50" s="596">
        <v>25</v>
      </c>
      <c r="T50" s="427">
        <v>257</v>
      </c>
      <c r="U50" s="428">
        <f>(O50*(1-R50)*N50*T50*S50)/100000000</f>
        <v>0.76875477338709686</v>
      </c>
      <c r="V50" s="429">
        <f>+C57/1000</f>
        <v>0</v>
      </c>
      <c r="W50" s="430">
        <f>SUM(V50:V52)/SUM(U50:U52)</f>
        <v>0</v>
      </c>
    </row>
    <row r="51" spans="1:23" ht="17.45" customHeight="1" thickBot="1">
      <c r="A51" s="783" t="s">
        <v>84</v>
      </c>
      <c r="B51" s="784"/>
      <c r="C51" s="164">
        <f>SUMIF($G$7:$G$31,"Planned shut",$F$7:$F$31)</f>
        <v>0</v>
      </c>
      <c r="D51" s="118">
        <f>+C51+'24'!D51</f>
        <v>0</v>
      </c>
      <c r="E51" s="143">
        <f t="shared" si="10"/>
        <v>0</v>
      </c>
      <c r="F51" s="185"/>
      <c r="H51" s="190" t="s">
        <v>85</v>
      </c>
      <c r="I51" s="141">
        <f>I49/I40</f>
        <v>129.46130689960171</v>
      </c>
      <c r="J51" s="136">
        <f>J49/J40</f>
        <v>131.10691265479193</v>
      </c>
      <c r="K51" s="137" t="s">
        <v>82</v>
      </c>
      <c r="N51" s="424"/>
      <c r="O51" s="199"/>
      <c r="P51" s="199"/>
      <c r="Q51" s="199"/>
      <c r="R51" s="425"/>
      <c r="S51" s="426"/>
      <c r="T51" s="427"/>
      <c r="U51" s="428"/>
      <c r="V51" s="429"/>
      <c r="W51" s="431"/>
    </row>
    <row r="52" spans="1:23" ht="13.5" thickBot="1">
      <c r="A52" s="779" t="s">
        <v>27</v>
      </c>
      <c r="B52" s="780"/>
      <c r="C52" s="144">
        <f>SUM(C38:C51)</f>
        <v>108</v>
      </c>
      <c r="D52" s="144">
        <f>SUM(D38:D51)</f>
        <v>23513</v>
      </c>
      <c r="E52" s="145">
        <f>SUM(E38:E51)</f>
        <v>391.88333333333338</v>
      </c>
      <c r="F52" s="185"/>
      <c r="H52" s="191"/>
      <c r="I52" s="192"/>
      <c r="J52" s="138"/>
      <c r="K52" s="139"/>
      <c r="U52" s="149">
        <f>750/1000</f>
        <v>0.75</v>
      </c>
    </row>
    <row r="53" spans="1:23" ht="13.5" thickBot="1">
      <c r="A53" s="785"/>
      <c r="B53" s="786"/>
      <c r="C53" s="146">
        <f>C52/(24*60)</f>
        <v>7.4999999999999997E-2</v>
      </c>
      <c r="D53" s="146">
        <f>D52/(24*60*G4)</f>
        <v>0.65313888888888894</v>
      </c>
      <c r="E53" s="147">
        <f>E52/(G4*24)</f>
        <v>0.65313888888888894</v>
      </c>
      <c r="F53" s="185"/>
    </row>
    <row r="54" spans="1:23">
      <c r="E54" s="193"/>
      <c r="F54" s="185"/>
    </row>
    <row r="55" spans="1:23">
      <c r="E55" s="193"/>
    </row>
    <row r="56" spans="1:23">
      <c r="A56" s="194" t="s">
        <v>86</v>
      </c>
      <c r="B56" s="195"/>
      <c r="C56" s="196"/>
      <c r="D56" s="196"/>
      <c r="E56" s="196"/>
      <c r="F56" s="197"/>
      <c r="G56" s="196"/>
      <c r="H56" s="198"/>
      <c r="I56" s="199" t="s">
        <v>87</v>
      </c>
      <c r="J56" s="200">
        <f>+D34+'24'!J56</f>
        <v>5429</v>
      </c>
      <c r="K56" s="201">
        <f>J56/(J40+J56/1000)/1000</f>
        <v>1.7487405460425442E-2</v>
      </c>
    </row>
    <row r="57" spans="1:23">
      <c r="A57" s="176"/>
      <c r="I57" s="199" t="s">
        <v>88</v>
      </c>
      <c r="J57" s="200">
        <f>+E34+'24'!J57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topLeftCell="H16" zoomScale="80" zoomScaleNormal="80" workbookViewId="0">
      <selection activeCell="N34" sqref="N33:V34"/>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5703125" style="149" customWidth="1"/>
    <col min="14" max="16384" width="9.140625" style="149"/>
  </cols>
  <sheetData>
    <row r="1" spans="1:19" ht="15.75">
      <c r="A1" s="148"/>
    </row>
    <row r="2" spans="1:19" ht="15.75">
      <c r="A2" s="148" t="s">
        <v>182</v>
      </c>
    </row>
    <row r="3" spans="1:19" ht="15">
      <c r="A3" s="150"/>
    </row>
    <row r="4" spans="1:19" ht="20.25">
      <c r="A4" s="151" t="s">
        <v>3</v>
      </c>
      <c r="B4" s="152"/>
      <c r="F4" s="153" t="s">
        <v>28</v>
      </c>
      <c r="G4" s="154">
        <v>24</v>
      </c>
      <c r="H4" s="154" t="str">
        <f>+'1'!H4</f>
        <v>.11.25</v>
      </c>
    </row>
    <row r="5" spans="1:19" ht="13.5" thickBot="1">
      <c r="C5" s="155"/>
      <c r="D5" s="155"/>
    </row>
    <row r="6" spans="1:19"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566</v>
      </c>
      <c r="O6" s="149">
        <v>1100</v>
      </c>
      <c r="P6" s="149">
        <f>+O6-O6*0.23</f>
        <v>847</v>
      </c>
      <c r="Q6" s="149">
        <f>480-10</f>
        <v>470</v>
      </c>
      <c r="R6" s="149">
        <f t="shared" ref="R6:R7" si="0">+O6*Q6</f>
        <v>517000</v>
      </c>
      <c r="S6" s="149">
        <f t="shared" ref="S6:S7" si="1">+P6*Q6</f>
        <v>398090</v>
      </c>
    </row>
    <row r="7" spans="1:19" ht="13.5" customHeight="1" thickBot="1">
      <c r="A7" s="767" t="s">
        <v>410</v>
      </c>
      <c r="B7" s="215" t="s">
        <v>580</v>
      </c>
      <c r="C7" s="216">
        <v>12765</v>
      </c>
      <c r="D7" s="217"/>
      <c r="E7" s="218"/>
      <c r="F7" s="227"/>
      <c r="G7" s="228" t="s">
        <v>11</v>
      </c>
      <c r="H7" s="229" t="s">
        <v>384</v>
      </c>
      <c r="I7" s="770" t="s">
        <v>584</v>
      </c>
      <c r="J7" s="214" t="str">
        <f>+'23'!J7</f>
        <v>F 12 VP OW</v>
      </c>
      <c r="K7" s="237"/>
      <c r="L7" s="241"/>
      <c r="M7" s="117">
        <f>+K7+'23'!M7+L7</f>
        <v>107792</v>
      </c>
      <c r="P7" s="149">
        <f>+O7-O7*0.23</f>
        <v>0</v>
      </c>
      <c r="R7" s="149">
        <f t="shared" si="0"/>
        <v>0</v>
      </c>
      <c r="S7" s="149">
        <f t="shared" si="1"/>
        <v>0</v>
      </c>
    </row>
    <row r="8" spans="1:19" ht="13.5" thickBot="1">
      <c r="A8" s="768"/>
      <c r="B8" s="215"/>
      <c r="C8" s="216"/>
      <c r="D8" s="217"/>
      <c r="E8" s="219"/>
      <c r="F8" s="230">
        <v>10</v>
      </c>
      <c r="G8" s="231" t="s">
        <v>11</v>
      </c>
      <c r="H8" s="229" t="s">
        <v>457</v>
      </c>
      <c r="I8" s="771"/>
      <c r="J8" s="214" t="str">
        <f>+'23'!J8</f>
        <v>F 13 VP OW</v>
      </c>
      <c r="K8" s="238"/>
      <c r="L8" s="238"/>
      <c r="M8" s="117">
        <f>+K8+'23'!M8+L8</f>
        <v>60092</v>
      </c>
    </row>
    <row r="9" spans="1:19" ht="13.5" thickBot="1">
      <c r="A9" s="768"/>
      <c r="B9" s="215"/>
      <c r="C9" s="216"/>
      <c r="D9" s="217"/>
      <c r="E9" s="220"/>
      <c r="F9" s="227">
        <v>10</v>
      </c>
      <c r="G9" s="231" t="s">
        <v>11</v>
      </c>
      <c r="H9" s="232" t="s">
        <v>494</v>
      </c>
      <c r="I9" s="771"/>
      <c r="J9" s="214" t="str">
        <f>+'23'!J9</f>
        <v>F 14 VP OW</v>
      </c>
      <c r="K9" s="238"/>
      <c r="L9" s="238"/>
      <c r="M9" s="117">
        <f>+K9+'23'!M9+L9</f>
        <v>28251</v>
      </c>
    </row>
    <row r="10" spans="1:19" ht="39" thickBot="1">
      <c r="A10" s="768"/>
      <c r="B10" s="215"/>
      <c r="C10" s="216"/>
      <c r="D10" s="217"/>
      <c r="E10" s="219"/>
      <c r="F10" s="227"/>
      <c r="G10" s="236" t="s">
        <v>12</v>
      </c>
      <c r="H10" s="232" t="s">
        <v>589</v>
      </c>
      <c r="I10" s="771"/>
      <c r="J10" s="214" t="str">
        <f>+'23'!J10</f>
        <v>F 11 VP OW</v>
      </c>
      <c r="K10" s="238"/>
      <c r="L10" s="238"/>
      <c r="M10" s="117">
        <f>+K10+'23'!M10+L10</f>
        <v>33513</v>
      </c>
    </row>
    <row r="11" spans="1:19" ht="13.5" thickBot="1">
      <c r="A11" s="768"/>
      <c r="B11" s="215"/>
      <c r="C11" s="216"/>
      <c r="D11" s="217"/>
      <c r="E11" s="219"/>
      <c r="F11" s="227">
        <v>10</v>
      </c>
      <c r="G11" s="231" t="s">
        <v>68</v>
      </c>
      <c r="H11" s="232" t="s">
        <v>583</v>
      </c>
      <c r="I11" s="771"/>
      <c r="J11" s="214" t="str">
        <f>+'23'!J11</f>
        <v>T 14 VP OW</v>
      </c>
      <c r="K11" s="238">
        <f>+C34</f>
        <v>35371</v>
      </c>
      <c r="L11" s="238"/>
      <c r="M11" s="117">
        <f>+K11+'23'!M11+L11</f>
        <v>36912</v>
      </c>
    </row>
    <row r="12" spans="1:19" ht="13.5" thickBot="1">
      <c r="A12" s="768"/>
      <c r="B12" s="215"/>
      <c r="C12" s="216"/>
      <c r="D12" s="217"/>
      <c r="E12" s="219"/>
      <c r="F12" s="227"/>
      <c r="G12" s="231"/>
      <c r="H12" s="232"/>
      <c r="I12" s="771"/>
      <c r="J12" s="214">
        <f>+'23'!J12</f>
        <v>0</v>
      </c>
      <c r="K12" s="238"/>
      <c r="L12" s="238"/>
      <c r="M12" s="117">
        <f>+K12+'23'!M12+L12</f>
        <v>0</v>
      </c>
    </row>
    <row r="13" spans="1:19" ht="13.5" thickBot="1">
      <c r="A13" s="768"/>
      <c r="B13" s="215"/>
      <c r="C13" s="216"/>
      <c r="D13" s="216"/>
      <c r="E13" s="219"/>
      <c r="F13" s="227"/>
      <c r="G13" s="231"/>
      <c r="H13" s="232"/>
      <c r="I13" s="772"/>
      <c r="J13" s="214">
        <f>+'23'!J13</f>
        <v>0</v>
      </c>
      <c r="K13" s="238"/>
      <c r="L13" s="238"/>
      <c r="M13" s="117">
        <f>+K13+'23'!M13+L13</f>
        <v>0</v>
      </c>
    </row>
    <row r="14" spans="1:19" ht="13.5" thickBot="1">
      <c r="A14" s="769"/>
      <c r="B14" s="165" t="s">
        <v>2</v>
      </c>
      <c r="C14" s="99">
        <f>SUM(C7:C13)</f>
        <v>12765</v>
      </c>
      <c r="D14" s="111">
        <f>SUM(D7:D13)</f>
        <v>0</v>
      </c>
      <c r="E14" s="112">
        <f>SUM(E5:E13)</f>
        <v>0</v>
      </c>
      <c r="F14" s="116">
        <f>SUM(F7:F13)</f>
        <v>30</v>
      </c>
      <c r="G14" s="159"/>
      <c r="H14" s="166"/>
      <c r="I14" s="167"/>
      <c r="J14" s="214">
        <f>+'23'!J14</f>
        <v>0</v>
      </c>
      <c r="K14" s="238"/>
      <c r="L14" s="238"/>
      <c r="M14" s="117">
        <f>+K14+'23'!M14+L14</f>
        <v>0</v>
      </c>
      <c r="Q14" s="149">
        <f>+Q6+Q7</f>
        <v>470</v>
      </c>
      <c r="R14" s="149">
        <f>+R6+R7</f>
        <v>517000</v>
      </c>
      <c r="S14" s="149">
        <f>+S6+S7</f>
        <v>398090</v>
      </c>
    </row>
    <row r="15" spans="1:19" ht="13.5" customHeight="1" thickBot="1">
      <c r="A15" s="767" t="s">
        <v>388</v>
      </c>
      <c r="B15" s="165"/>
      <c r="C15" s="113">
        <f>C14/($C$23+$D$23+$E$23)</f>
        <v>1.2128266033254156</v>
      </c>
      <c r="D15" s="114">
        <f>D14/($C$23+$D$23+$E$23)</f>
        <v>0</v>
      </c>
      <c r="E15" s="115">
        <f>E14/($C$23+$D$23+$E$23)</f>
        <v>0</v>
      </c>
      <c r="F15" s="227">
        <v>9</v>
      </c>
      <c r="G15" s="228" t="s">
        <v>11</v>
      </c>
      <c r="H15" s="229" t="s">
        <v>460</v>
      </c>
      <c r="I15" s="770" t="s">
        <v>585</v>
      </c>
      <c r="J15" s="214">
        <f>+'23'!J15</f>
        <v>0</v>
      </c>
      <c r="K15" s="238"/>
      <c r="L15" s="238"/>
      <c r="M15" s="117">
        <f>+K15+'23'!M15+L15</f>
        <v>0</v>
      </c>
      <c r="Q15" s="149">
        <f>480-Q14</f>
        <v>10</v>
      </c>
      <c r="R15" s="149">
        <f>+R14/Q14</f>
        <v>1100</v>
      </c>
      <c r="S15" s="149">
        <f>+S14/Q14</f>
        <v>847</v>
      </c>
    </row>
    <row r="16" spans="1:19" ht="13.5" thickBot="1">
      <c r="A16" s="773"/>
      <c r="B16" s="215" t="s">
        <v>580</v>
      </c>
      <c r="C16" s="221">
        <v>10525</v>
      </c>
      <c r="D16" s="222"/>
      <c r="E16" s="223"/>
      <c r="F16" s="230"/>
      <c r="G16" s="231" t="s">
        <v>11</v>
      </c>
      <c r="H16" s="229" t="s">
        <v>282</v>
      </c>
      <c r="I16" s="771"/>
      <c r="J16" s="214">
        <f>+'23'!J16</f>
        <v>0</v>
      </c>
      <c r="K16" s="228"/>
      <c r="L16" s="228"/>
      <c r="M16" s="117">
        <f>+K16+'23'!M16+L16</f>
        <v>0</v>
      </c>
    </row>
    <row r="17" spans="1:26" ht="13.5" thickBot="1">
      <c r="A17" s="773"/>
      <c r="B17" s="215"/>
      <c r="C17" s="216"/>
      <c r="D17" s="217"/>
      <c r="E17" s="224"/>
      <c r="F17" s="227">
        <v>11</v>
      </c>
      <c r="G17" s="231" t="s">
        <v>11</v>
      </c>
      <c r="H17" s="232" t="s">
        <v>477</v>
      </c>
      <c r="I17" s="771"/>
      <c r="J17" s="214">
        <f>+'23'!J17</f>
        <v>0</v>
      </c>
      <c r="K17" s="228"/>
      <c r="L17" s="228"/>
      <c r="M17" s="117">
        <f>+K17+'23'!M17+L17</f>
        <v>0</v>
      </c>
      <c r="N17" s="149" t="s">
        <v>566</v>
      </c>
      <c r="O17" s="149">
        <v>1000</v>
      </c>
      <c r="P17" s="149">
        <f>+O17-O17*0.23</f>
        <v>770</v>
      </c>
      <c r="Q17" s="149">
        <f>60-15+180+30</f>
        <v>255</v>
      </c>
      <c r="R17" s="149">
        <f t="shared" ref="R17:R18" si="2">+O17*Q17</f>
        <v>255000</v>
      </c>
      <c r="S17" s="149">
        <f t="shared" ref="S17:S18" si="3">+P17*Q17</f>
        <v>196350</v>
      </c>
    </row>
    <row r="18" spans="1:26" ht="26.25" thickBot="1">
      <c r="A18" s="773"/>
      <c r="B18" s="215"/>
      <c r="C18" s="216"/>
      <c r="D18" s="217"/>
      <c r="E18" s="224"/>
      <c r="F18" s="227"/>
      <c r="G18" s="236" t="s">
        <v>12</v>
      </c>
      <c r="H18" s="232" t="s">
        <v>581</v>
      </c>
      <c r="I18" s="771"/>
      <c r="J18" s="214">
        <f>+'23'!J18</f>
        <v>0</v>
      </c>
      <c r="K18" s="238"/>
      <c r="L18" s="238"/>
      <c r="M18" s="117">
        <f>+K18+'23'!M18+L18</f>
        <v>0</v>
      </c>
      <c r="O18" s="149">
        <v>1060</v>
      </c>
      <c r="P18" s="149">
        <f>+O18-O18*0.23</f>
        <v>816.2</v>
      </c>
      <c r="Q18" s="149">
        <f>60-30+120</f>
        <v>150</v>
      </c>
      <c r="R18" s="149">
        <f t="shared" si="2"/>
        <v>159000</v>
      </c>
      <c r="S18" s="149">
        <f t="shared" si="3"/>
        <v>122430</v>
      </c>
    </row>
    <row r="19" spans="1:26" ht="64.5" thickBot="1">
      <c r="A19" s="773"/>
      <c r="B19" s="215"/>
      <c r="C19" s="216"/>
      <c r="D19" s="217"/>
      <c r="E19" s="224"/>
      <c r="F19" s="234">
        <f>60+15</f>
        <v>75</v>
      </c>
      <c r="G19" s="231" t="s">
        <v>68</v>
      </c>
      <c r="H19" s="232" t="s">
        <v>582</v>
      </c>
      <c r="I19" s="771"/>
      <c r="J19" s="214">
        <f>+'23'!J19</f>
        <v>0</v>
      </c>
      <c r="K19" s="238"/>
      <c r="L19" s="238">
        <v>0</v>
      </c>
      <c r="M19" s="117">
        <f>+K19+'23'!M19+L19</f>
        <v>0</v>
      </c>
    </row>
    <row r="20" spans="1:26" ht="13.5" thickBot="1">
      <c r="A20" s="773"/>
      <c r="B20" s="215"/>
      <c r="C20" s="216"/>
      <c r="D20" s="217"/>
      <c r="E20" s="224"/>
      <c r="F20" s="227"/>
      <c r="G20" s="231"/>
      <c r="H20" s="232"/>
      <c r="I20" s="771"/>
      <c r="J20" s="214">
        <f>+'23'!J20</f>
        <v>0</v>
      </c>
      <c r="K20" s="239"/>
      <c r="L20" s="239">
        <v>0</v>
      </c>
      <c r="M20" s="117">
        <f>+K20+'23'!M20+L20</f>
        <v>0</v>
      </c>
    </row>
    <row r="21" spans="1:26" ht="13.5" thickBot="1">
      <c r="A21" s="773"/>
      <c r="B21" s="215"/>
      <c r="C21" s="216"/>
      <c r="D21" s="217"/>
      <c r="E21" s="224"/>
      <c r="F21" s="230"/>
      <c r="G21" s="231"/>
      <c r="H21" s="232"/>
      <c r="I21" s="771"/>
      <c r="J21" s="214">
        <f>+'23'!J21</f>
        <v>0</v>
      </c>
      <c r="K21" s="238"/>
      <c r="L21" s="238">
        <v>0</v>
      </c>
      <c r="M21" s="117">
        <f>+K21+'23'!M21+L21</f>
        <v>0</v>
      </c>
    </row>
    <row r="22" spans="1:26" ht="13.5" thickBot="1">
      <c r="A22" s="773"/>
      <c r="B22" s="215"/>
      <c r="C22" s="216"/>
      <c r="D22" s="217"/>
      <c r="E22" s="224"/>
      <c r="F22" s="235"/>
      <c r="G22" s="231"/>
      <c r="H22" s="232"/>
      <c r="I22" s="772"/>
      <c r="J22" s="214">
        <f>+'23'!J22</f>
        <v>0</v>
      </c>
      <c r="K22" s="238"/>
      <c r="L22" s="238">
        <v>0</v>
      </c>
      <c r="M22" s="117">
        <f>+K22+'23'!M22+L22</f>
        <v>0</v>
      </c>
    </row>
    <row r="23" spans="1:26" ht="13.5" thickBot="1">
      <c r="A23" s="774"/>
      <c r="B23" s="168" t="s">
        <v>2</v>
      </c>
      <c r="C23" s="100">
        <f>SUM(C16:C22)</f>
        <v>10525</v>
      </c>
      <c r="D23" s="111">
        <f>SUM(D16:D22)</f>
        <v>0</v>
      </c>
      <c r="E23" s="112">
        <f>SUM(E18:E22)</f>
        <v>0</v>
      </c>
      <c r="F23" s="116">
        <f>SUM(F15:F22)</f>
        <v>95</v>
      </c>
      <c r="G23" s="159"/>
      <c r="H23" s="166"/>
      <c r="I23" s="169"/>
      <c r="J23" s="214">
        <f>+'23'!J23</f>
        <v>0</v>
      </c>
      <c r="K23" s="238"/>
      <c r="L23" s="238"/>
      <c r="M23" s="117">
        <f>+K23+'23'!M23+L23</f>
        <v>0</v>
      </c>
    </row>
    <row r="24" spans="1:26" ht="13.5" customHeight="1" thickBot="1">
      <c r="A24" s="767" t="s">
        <v>389</v>
      </c>
      <c r="B24" s="170"/>
      <c r="C24" s="113">
        <f>C23/($C$23+$D$23+$E$23)</f>
        <v>1</v>
      </c>
      <c r="D24" s="114">
        <f>D23/($C$23+$D$23+$E$23)</f>
        <v>0</v>
      </c>
      <c r="E24" s="115">
        <f>E23/($C$23+$D$23+$E$23)</f>
        <v>0</v>
      </c>
      <c r="F24" s="227"/>
      <c r="G24" s="228" t="s">
        <v>11</v>
      </c>
      <c r="H24" s="229" t="s">
        <v>384</v>
      </c>
      <c r="I24" s="770" t="s">
        <v>586</v>
      </c>
      <c r="J24" s="214">
        <f>+'23'!J24</f>
        <v>0</v>
      </c>
      <c r="K24" s="238"/>
      <c r="L24" s="238"/>
      <c r="M24" s="117">
        <f>+K24+'23'!M24+L24</f>
        <v>0</v>
      </c>
    </row>
    <row r="25" spans="1:26" ht="13.5" thickBot="1">
      <c r="A25" s="773"/>
      <c r="B25" s="215" t="s">
        <v>580</v>
      </c>
      <c r="C25" s="225">
        <v>12081</v>
      </c>
      <c r="D25" s="217"/>
      <c r="E25" s="224"/>
      <c r="F25" s="230">
        <v>5</v>
      </c>
      <c r="G25" s="231" t="s">
        <v>11</v>
      </c>
      <c r="H25" s="229" t="s">
        <v>457</v>
      </c>
      <c r="I25" s="771"/>
      <c r="J25" s="214">
        <f>+'23'!J25</f>
        <v>0</v>
      </c>
      <c r="K25" s="238"/>
      <c r="L25" s="238"/>
      <c r="M25" s="117">
        <f>+K25+'23'!M25+L25</f>
        <v>0</v>
      </c>
      <c r="Q25" s="149">
        <f>+Q17+Q18</f>
        <v>405</v>
      </c>
      <c r="R25" s="149">
        <f>+R17+R18</f>
        <v>414000</v>
      </c>
      <c r="S25" s="149">
        <f>+S17+S18</f>
        <v>318780</v>
      </c>
    </row>
    <row r="26" spans="1:26" ht="13.5" thickBot="1">
      <c r="A26" s="773"/>
      <c r="B26" s="215"/>
      <c r="C26" s="225"/>
      <c r="D26" s="217"/>
      <c r="E26" s="226"/>
      <c r="F26" s="227">
        <v>13</v>
      </c>
      <c r="G26" s="231" t="s">
        <v>11</v>
      </c>
      <c r="H26" s="232" t="s">
        <v>494</v>
      </c>
      <c r="I26" s="771"/>
      <c r="J26" s="214">
        <f>+'23'!J26</f>
        <v>0</v>
      </c>
      <c r="K26" s="238"/>
      <c r="L26" s="238"/>
      <c r="M26" s="117">
        <f>+K26+'23'!M26+L26</f>
        <v>0</v>
      </c>
      <c r="Q26" s="149">
        <f>480-Q25</f>
        <v>75</v>
      </c>
      <c r="R26" s="149">
        <f>+R25/Q25</f>
        <v>1022.2222222222222</v>
      </c>
      <c r="S26" s="149">
        <f>+S25/Q25</f>
        <v>787.11111111111109</v>
      </c>
    </row>
    <row r="27" spans="1:26" ht="39" thickBot="1">
      <c r="A27" s="773"/>
      <c r="B27" s="215"/>
      <c r="C27" s="216"/>
      <c r="D27" s="217"/>
      <c r="E27" s="224"/>
      <c r="F27" s="227"/>
      <c r="G27" s="236" t="s">
        <v>12</v>
      </c>
      <c r="H27" s="232" t="s">
        <v>588</v>
      </c>
      <c r="I27" s="771"/>
      <c r="J27" s="214">
        <f>+'23'!J27</f>
        <v>0</v>
      </c>
      <c r="K27" s="238"/>
      <c r="L27" s="238"/>
      <c r="M27" s="117">
        <f>+K27+'23'!M27+L27</f>
        <v>0</v>
      </c>
      <c r="N27" s="149" t="s">
        <v>566</v>
      </c>
      <c r="O27" s="149">
        <v>1060</v>
      </c>
      <c r="P27" s="149">
        <f>+O27-O27*0.23</f>
        <v>816.2</v>
      </c>
      <c r="Q27" s="149">
        <v>480</v>
      </c>
      <c r="R27" s="149">
        <f t="shared" ref="R27:R28" si="4">+O27*Q27</f>
        <v>508800</v>
      </c>
      <c r="S27" s="149">
        <f t="shared" ref="S27:S28" si="5">+P27*Q27</f>
        <v>391776</v>
      </c>
      <c r="U27" s="149" t="s">
        <v>566</v>
      </c>
      <c r="V27" s="149">
        <v>1000</v>
      </c>
      <c r="W27" s="149">
        <v>770</v>
      </c>
      <c r="X27" s="149">
        <v>255</v>
      </c>
      <c r="Y27" s="149">
        <f t="shared" ref="Y27:Y29" si="6">+V27*X27</f>
        <v>255000</v>
      </c>
      <c r="Z27" s="149">
        <f t="shared" ref="Z27:Z29" si="7">+W27*X27</f>
        <v>196350</v>
      </c>
    </row>
    <row r="28" spans="1:26" ht="13.5" thickBot="1">
      <c r="A28" s="773"/>
      <c r="B28" s="215"/>
      <c r="C28" s="216"/>
      <c r="D28" s="217"/>
      <c r="E28" s="224"/>
      <c r="F28" s="230"/>
      <c r="G28" s="231"/>
      <c r="H28" s="232"/>
      <c r="I28" s="771"/>
      <c r="J28" s="214">
        <f>+'23'!J28</f>
        <v>0</v>
      </c>
      <c r="K28" s="238"/>
      <c r="L28" s="238"/>
      <c r="M28" s="117">
        <f>+K28+'23'!M28+L28</f>
        <v>0</v>
      </c>
      <c r="P28" s="149">
        <f>+O28-O28*0.23</f>
        <v>0</v>
      </c>
      <c r="R28" s="149">
        <f t="shared" si="4"/>
        <v>0</v>
      </c>
      <c r="S28" s="149">
        <f t="shared" si="5"/>
        <v>0</v>
      </c>
      <c r="V28" s="149">
        <v>1060</v>
      </c>
      <c r="W28" s="149">
        <v>816.2</v>
      </c>
      <c r="X28" s="149">
        <v>150</v>
      </c>
      <c r="Y28" s="149">
        <f t="shared" si="6"/>
        <v>159000</v>
      </c>
      <c r="Z28" s="149">
        <f t="shared" si="7"/>
        <v>122430</v>
      </c>
    </row>
    <row r="29" spans="1:26" ht="13.5" thickBot="1">
      <c r="A29" s="773"/>
      <c r="B29" s="215"/>
      <c r="C29" s="216"/>
      <c r="D29" s="217"/>
      <c r="E29" s="224"/>
      <c r="F29" s="235"/>
      <c r="G29" s="231"/>
      <c r="H29" s="232"/>
      <c r="I29" s="771"/>
      <c r="J29" s="214">
        <f>+'23'!J29</f>
        <v>0</v>
      </c>
      <c r="K29" s="238"/>
      <c r="L29" s="238"/>
      <c r="M29" s="117">
        <f>+K29+'23'!M29+L29</f>
        <v>0</v>
      </c>
      <c r="U29" s="149" t="s">
        <v>566</v>
      </c>
      <c r="V29" s="149">
        <v>1060</v>
      </c>
      <c r="W29" s="149">
        <v>816.2</v>
      </c>
      <c r="X29" s="149">
        <v>480</v>
      </c>
      <c r="Y29" s="149">
        <f t="shared" si="6"/>
        <v>508800</v>
      </c>
      <c r="Z29" s="149">
        <f t="shared" si="7"/>
        <v>391776</v>
      </c>
    </row>
    <row r="30" spans="1:26" ht="13.5" thickBot="1">
      <c r="A30" s="773"/>
      <c r="B30" s="215"/>
      <c r="C30" s="225"/>
      <c r="D30" s="217"/>
      <c r="E30" s="224"/>
      <c r="F30" s="235"/>
      <c r="G30" s="231"/>
      <c r="H30" s="232"/>
      <c r="I30" s="771"/>
      <c r="J30" s="214">
        <f>+'23'!J30</f>
        <v>0</v>
      </c>
      <c r="K30" s="238"/>
      <c r="L30" s="238"/>
      <c r="M30" s="117">
        <f>+K30+'23'!M30+L30</f>
        <v>0</v>
      </c>
    </row>
    <row r="31" spans="1:26" ht="13.5" thickBot="1">
      <c r="A31" s="773"/>
      <c r="B31" s="215"/>
      <c r="C31" s="225"/>
      <c r="D31" s="217"/>
      <c r="E31" s="224"/>
      <c r="F31" s="235"/>
      <c r="G31" s="236"/>
      <c r="H31" s="444"/>
      <c r="I31" s="772"/>
      <c r="J31" s="214">
        <f>+'23'!J31</f>
        <v>0</v>
      </c>
      <c r="K31" s="238"/>
      <c r="L31" s="238"/>
      <c r="M31" s="117">
        <f>+K31+'23'!M31+L31</f>
        <v>0</v>
      </c>
    </row>
    <row r="32" spans="1:26" ht="13.5" thickBot="1">
      <c r="A32" s="774"/>
      <c r="B32" s="165" t="s">
        <v>2</v>
      </c>
      <c r="C32" s="99">
        <f>SUM(C25:C31)</f>
        <v>12081</v>
      </c>
      <c r="D32" s="100">
        <f>SUM(D25:D31)</f>
        <v>0</v>
      </c>
      <c r="E32" s="101">
        <f>SUM(E25:E31)</f>
        <v>0</v>
      </c>
      <c r="F32" s="102">
        <f>SUM(F24:F31)</f>
        <v>18</v>
      </c>
      <c r="G32" s="171"/>
      <c r="H32" s="172"/>
      <c r="I32" s="169"/>
      <c r="J32" s="214">
        <f>+'23'!J32</f>
        <v>0</v>
      </c>
      <c r="K32" s="240"/>
      <c r="L32" s="242"/>
      <c r="M32" s="117">
        <f>+K32+'23'!M32+L32</f>
        <v>0</v>
      </c>
    </row>
    <row r="33" spans="1:26" ht="13.5" thickBot="1">
      <c r="A33" s="173"/>
      <c r="B33" s="174"/>
      <c r="C33" s="103">
        <f>C32/($C$32+$D$32+$E$32)</f>
        <v>1</v>
      </c>
      <c r="D33" s="104">
        <f>D32/($C$32+$D$32+$E$32)</f>
        <v>0</v>
      </c>
      <c r="E33" s="105">
        <f>E32/($C$32+$D$32+$E$32)</f>
        <v>0</v>
      </c>
      <c r="F33" s="106"/>
      <c r="G33" s="175"/>
      <c r="H33" s="176"/>
      <c r="I33" s="177"/>
      <c r="J33" s="121"/>
      <c r="K33" s="122"/>
      <c r="L33" s="213"/>
      <c r="M33" s="119"/>
    </row>
    <row r="34" spans="1:26" ht="13.5" thickBot="1">
      <c r="A34" s="775" t="s">
        <v>57</v>
      </c>
      <c r="B34" s="776"/>
      <c r="C34" s="107">
        <f>C14+C23+C32</f>
        <v>35371</v>
      </c>
      <c r="D34" s="107">
        <f>D14+D23+D32</f>
        <v>0</v>
      </c>
      <c r="E34" s="107">
        <f>E14+E23+E32</f>
        <v>0</v>
      </c>
      <c r="F34" s="108">
        <f>F14+F23+F32</f>
        <v>143</v>
      </c>
      <c r="H34" s="178"/>
      <c r="I34" s="178"/>
      <c r="J34" s="123" t="s">
        <v>27</v>
      </c>
      <c r="K34" s="124">
        <f>SUM(K7:K32)</f>
        <v>35371</v>
      </c>
      <c r="L34" s="212">
        <f>SUM(L7:L32)</f>
        <v>0</v>
      </c>
      <c r="M34" s="120">
        <f>SUM(M7:M32)</f>
        <v>266560</v>
      </c>
    </row>
    <row r="35" spans="1:26" ht="13.5" thickBot="1">
      <c r="A35" s="179"/>
      <c r="B35" s="180"/>
      <c r="C35" s="104">
        <f>C34/($C$34+$D$34+$E$34)</f>
        <v>1</v>
      </c>
      <c r="D35" s="104">
        <f>D34/($C$34+$D$34+$E$34)</f>
        <v>0</v>
      </c>
      <c r="E35" s="109">
        <f>E34/($C$34+$D$34+$E$34)</f>
        <v>0</v>
      </c>
      <c r="K35" s="155"/>
      <c r="Q35" s="149">
        <f>+Q27+Q28</f>
        <v>480</v>
      </c>
      <c r="R35" s="149">
        <f>+R27+R28</f>
        <v>508800</v>
      </c>
      <c r="S35" s="149">
        <f>+S27+S28</f>
        <v>391776</v>
      </c>
      <c r="X35" s="149">
        <f>SUM(X27:X34)</f>
        <v>885</v>
      </c>
      <c r="Y35" s="149">
        <f>SUM(Y27:Y34)</f>
        <v>922800</v>
      </c>
      <c r="Z35" s="149">
        <f>SUM(Z27:Z34)</f>
        <v>710556</v>
      </c>
    </row>
    <row r="36" spans="1:26" ht="13.5" thickBot="1">
      <c r="A36" s="178"/>
      <c r="B36" s="178"/>
      <c r="C36" s="155"/>
      <c r="D36" s="155"/>
      <c r="E36" s="155"/>
      <c r="G36" s="155"/>
      <c r="H36" s="181"/>
      <c r="I36" s="162" t="s">
        <v>36</v>
      </c>
      <c r="J36" s="162" t="s">
        <v>37</v>
      </c>
      <c r="K36" s="182"/>
      <c r="Q36" s="149">
        <f>480-Q35</f>
        <v>0</v>
      </c>
      <c r="R36" s="149">
        <f>+R35/Q35</f>
        <v>1060</v>
      </c>
      <c r="S36" s="149">
        <f>+S35/Q35</f>
        <v>816.2</v>
      </c>
      <c r="X36" s="149">
        <f>480-X35</f>
        <v>-405</v>
      </c>
      <c r="Y36" s="149">
        <f>+Y35/X35</f>
        <v>1042.7118644067796</v>
      </c>
      <c r="Z36" s="149">
        <f>+Z35/X35</f>
        <v>802.88813559322034</v>
      </c>
    </row>
    <row r="37" spans="1:26" ht="17.45" customHeight="1" thickBot="1">
      <c r="A37" s="777" t="s">
        <v>58</v>
      </c>
      <c r="B37" s="778"/>
      <c r="C37" s="162" t="s">
        <v>59</v>
      </c>
      <c r="D37" s="183" t="s">
        <v>60</v>
      </c>
      <c r="E37" s="184" t="s">
        <v>61</v>
      </c>
      <c r="F37" s="321"/>
      <c r="G37" s="323"/>
      <c r="H37" s="186" t="s">
        <v>62</v>
      </c>
      <c r="I37" s="243">
        <f>(13*470+885*14)/1355*G42*2.74*1355/1000000</f>
        <v>41.473996856088569</v>
      </c>
      <c r="J37" s="125">
        <f>+I37+'23'!J37</f>
        <v>323.66052073009007</v>
      </c>
      <c r="K37" s="126" t="s">
        <v>63</v>
      </c>
      <c r="N37" s="149" t="s">
        <v>516</v>
      </c>
      <c r="O37" s="149">
        <v>1100</v>
      </c>
      <c r="P37" s="149">
        <v>847</v>
      </c>
      <c r="Q37" s="149">
        <v>470</v>
      </c>
    </row>
    <row r="38" spans="1:26" ht="17.45" customHeight="1">
      <c r="A38" s="779" t="s">
        <v>11</v>
      </c>
      <c r="B38" s="780"/>
      <c r="C38" s="164">
        <f>SUMIF($G$7:$G$31,"Process",$F$7:$F$31)</f>
        <v>58</v>
      </c>
      <c r="D38" s="118">
        <f>+C38+'23'!D38</f>
        <v>549</v>
      </c>
      <c r="E38" s="143">
        <f t="shared" ref="E38:E51" si="8">D38/60</f>
        <v>9.15</v>
      </c>
      <c r="F38" s="321">
        <v>1100</v>
      </c>
      <c r="G38" s="321">
        <v>847</v>
      </c>
      <c r="H38" s="187" t="s">
        <v>64</v>
      </c>
      <c r="I38" s="244">
        <f>14.255+9.723+13.708</f>
        <v>37.686</v>
      </c>
      <c r="J38" s="127">
        <f>+I38+'23'!J38</f>
        <v>286.846</v>
      </c>
      <c r="K38" s="128" t="s">
        <v>63</v>
      </c>
      <c r="N38" s="149" t="s">
        <v>566</v>
      </c>
      <c r="O38" s="149">
        <v>1042.7118644067796</v>
      </c>
      <c r="P38" s="149">
        <v>802.88813559322034</v>
      </c>
      <c r="Q38" s="149">
        <v>885</v>
      </c>
    </row>
    <row r="39" spans="1:26" ht="17.45" customHeight="1">
      <c r="A39" s="781" t="s">
        <v>12</v>
      </c>
      <c r="B39" s="782"/>
      <c r="C39" s="164">
        <f>SUMIF($G$7:$G$31,"Cleaning",$F$7:$F$31)</f>
        <v>0</v>
      </c>
      <c r="D39" s="118">
        <f>+C39+'23'!D39</f>
        <v>0</v>
      </c>
      <c r="E39" s="143">
        <f t="shared" si="8"/>
        <v>0</v>
      </c>
      <c r="F39" s="321">
        <v>1022.2222222222222</v>
      </c>
      <c r="G39" s="321">
        <v>787.11111111111109</v>
      </c>
      <c r="H39" s="187" t="s">
        <v>65</v>
      </c>
      <c r="I39" s="142"/>
      <c r="J39" s="129">
        <f>J37/G4</f>
        <v>13.485855030420419</v>
      </c>
      <c r="K39" s="130" t="s">
        <v>63</v>
      </c>
      <c r="Q39" s="149">
        <f>+Q37+Q38</f>
        <v>1355</v>
      </c>
    </row>
    <row r="40" spans="1:26" ht="17.45" customHeight="1">
      <c r="A40" s="781" t="s">
        <v>66</v>
      </c>
      <c r="B40" s="782"/>
      <c r="C40" s="164">
        <f>SUMIF($G$7:$G$31,"Mechanical",$F$7:$F$31)</f>
        <v>0</v>
      </c>
      <c r="D40" s="118">
        <f>+C40+'23'!D40</f>
        <v>0</v>
      </c>
      <c r="E40" s="143">
        <f t="shared" si="8"/>
        <v>0</v>
      </c>
      <c r="F40" s="321">
        <v>1060</v>
      </c>
      <c r="G40" s="321">
        <v>816.2</v>
      </c>
      <c r="H40" s="187" t="s">
        <v>67</v>
      </c>
      <c r="I40" s="118">
        <f>(K34+L34)/1000</f>
        <v>35.371000000000002</v>
      </c>
      <c r="J40" s="131">
        <f>+I40+'23'!J40</f>
        <v>266.56</v>
      </c>
      <c r="K40" s="130" t="s">
        <v>63</v>
      </c>
    </row>
    <row r="41" spans="1:26" ht="17.45" customHeight="1">
      <c r="A41" s="781" t="s">
        <v>68</v>
      </c>
      <c r="B41" s="782"/>
      <c r="C41" s="164">
        <f>SUMIF($G$7:$G$31,"Electrical",$F$7:$F$31)</f>
        <v>85</v>
      </c>
      <c r="D41" s="118">
        <f>+C41+'23'!D41</f>
        <v>140</v>
      </c>
      <c r="E41" s="143">
        <f t="shared" si="8"/>
        <v>2.3333333333333335</v>
      </c>
      <c r="F41" s="321"/>
      <c r="G41" s="321"/>
      <c r="H41" s="187" t="s">
        <v>69</v>
      </c>
      <c r="I41" s="142"/>
      <c r="J41" s="129">
        <f>J40/G4</f>
        <v>11.106666666666667</v>
      </c>
      <c r="K41" s="130" t="s">
        <v>63</v>
      </c>
      <c r="N41" s="149">
        <v>470</v>
      </c>
    </row>
    <row r="42" spans="1:26" ht="17.45" customHeight="1">
      <c r="A42" s="781" t="s">
        <v>15</v>
      </c>
      <c r="B42" s="782"/>
      <c r="C42" s="164">
        <f>SUMIF($G$7:$G$31,"Instrument",$F$7:$F$31)</f>
        <v>0</v>
      </c>
      <c r="D42" s="118">
        <f>+C42+'23'!D42</f>
        <v>0</v>
      </c>
      <c r="E42" s="143">
        <f t="shared" si="8"/>
        <v>0</v>
      </c>
      <c r="F42" s="321">
        <f>+(470*F38+405*F39+480*F40)/1355</f>
        <v>1062.5830258302583</v>
      </c>
      <c r="G42" s="321">
        <f>+(470*G38+405*G39+480*G40)/1355</f>
        <v>818.18892988929895</v>
      </c>
      <c r="H42" s="187" t="s">
        <v>70</v>
      </c>
      <c r="I42" s="245" t="s">
        <v>587</v>
      </c>
      <c r="J42" s="132"/>
      <c r="K42" s="130" t="s">
        <v>71</v>
      </c>
      <c r="N42" s="149">
        <v>405</v>
      </c>
    </row>
    <row r="43" spans="1:26" ht="17.45" customHeight="1">
      <c r="A43" s="781" t="s">
        <v>72</v>
      </c>
      <c r="B43" s="782"/>
      <c r="C43" s="164">
        <f>SUMIF($G$7:$G$31,"Water",$F$7:$F$31)</f>
        <v>0</v>
      </c>
      <c r="D43" s="118">
        <f>+C43+'23'!D43</f>
        <v>0</v>
      </c>
      <c r="E43" s="143">
        <f t="shared" si="8"/>
        <v>0</v>
      </c>
      <c r="F43" s="321"/>
      <c r="G43" s="322"/>
      <c r="H43" s="188" t="s">
        <v>73</v>
      </c>
      <c r="I43" s="118">
        <f>+Report1!Z32</f>
        <v>53.5</v>
      </c>
      <c r="J43" s="133">
        <f>+I43+'23'!J43</f>
        <v>776.8</v>
      </c>
      <c r="K43" s="130" t="s">
        <v>63</v>
      </c>
      <c r="L43" s="189"/>
      <c r="N43" s="149">
        <v>480</v>
      </c>
    </row>
    <row r="44" spans="1:26" ht="17.45" customHeight="1">
      <c r="A44" s="781" t="s">
        <v>16</v>
      </c>
      <c r="B44" s="782"/>
      <c r="C44" s="164">
        <f>SUMIF($G$7:$G$31,"PLN",$F$7:$F$31)</f>
        <v>0</v>
      </c>
      <c r="D44" s="118">
        <f>+C44+'23'!D44</f>
        <v>0</v>
      </c>
      <c r="E44" s="143">
        <f t="shared" si="8"/>
        <v>0</v>
      </c>
      <c r="F44" s="321"/>
      <c r="G44" s="322"/>
      <c r="H44" s="188" t="s">
        <v>74</v>
      </c>
      <c r="I44" s="118">
        <f>I43/I38</f>
        <v>1.4196253250543969</v>
      </c>
      <c r="J44" s="134">
        <f>J43/J38</f>
        <v>2.7080733215732482</v>
      </c>
      <c r="K44" s="130" t="s">
        <v>63</v>
      </c>
      <c r="N44" s="149">
        <f>+N41+N42+N43</f>
        <v>1355</v>
      </c>
    </row>
    <row r="45" spans="1:26" ht="17.45" customHeight="1">
      <c r="A45" s="781" t="s">
        <v>17</v>
      </c>
      <c r="B45" s="782"/>
      <c r="C45" s="164">
        <f>SUMIF($G$7:$G$31,"Boiler",$F$7:$F$31)</f>
        <v>0</v>
      </c>
      <c r="D45" s="118">
        <f>+C45+'23'!D45</f>
        <v>0</v>
      </c>
      <c r="E45" s="143">
        <f t="shared" si="8"/>
        <v>0</v>
      </c>
      <c r="F45" s="321"/>
      <c r="G45" s="324"/>
      <c r="H45" s="188" t="s">
        <v>75</v>
      </c>
      <c r="I45" s="118">
        <f>I43/I40</f>
        <v>1.5125385202567074</v>
      </c>
      <c r="J45" s="134">
        <f>J43/J40</f>
        <v>2.9141656662665065</v>
      </c>
      <c r="K45" s="130" t="s">
        <v>63</v>
      </c>
    </row>
    <row r="46" spans="1:26" ht="17.45" customHeight="1">
      <c r="A46" s="781" t="s">
        <v>76</v>
      </c>
      <c r="B46" s="782"/>
      <c r="C46" s="164">
        <f>SUMIF($G$7:$G$31,"Gas",$F$7:$F$31)</f>
        <v>0</v>
      </c>
      <c r="D46" s="118">
        <f>+C46+'23'!D46</f>
        <v>0</v>
      </c>
      <c r="E46" s="143">
        <f t="shared" si="8"/>
        <v>0</v>
      </c>
      <c r="F46" s="321"/>
      <c r="G46" s="322"/>
      <c r="H46" s="188" t="s">
        <v>77</v>
      </c>
      <c r="I46" s="140">
        <f>+SUMIF(Listrik!P31,"&gt;0")</f>
        <v>36251.679999998909</v>
      </c>
      <c r="J46" s="135">
        <f>+I46+'23'!J46</f>
        <v>386550.63999999961</v>
      </c>
      <c r="K46" s="130" t="s">
        <v>78</v>
      </c>
    </row>
    <row r="47" spans="1:26" ht="17.45" customHeight="1">
      <c r="A47" s="781" t="s">
        <v>79</v>
      </c>
      <c r="B47" s="782"/>
      <c r="C47" s="164">
        <f>SUMIF($G$7:$G$31,"Gas",$F$7:$F$31)</f>
        <v>0</v>
      </c>
      <c r="D47" s="118">
        <f>+C47+'23'!D47</f>
        <v>0</v>
      </c>
      <c r="E47" s="143">
        <f t="shared" si="8"/>
        <v>0</v>
      </c>
      <c r="F47" s="321"/>
      <c r="G47" s="322"/>
      <c r="H47" s="188" t="s">
        <v>80</v>
      </c>
      <c r="I47" s="118">
        <f>I46/I38</f>
        <v>961.94024306105473</v>
      </c>
      <c r="J47" s="135">
        <f>J46/J38</f>
        <v>1347.5894382351491</v>
      </c>
      <c r="K47" s="130" t="s">
        <v>23</v>
      </c>
    </row>
    <row r="48" spans="1:26" ht="17.45" customHeight="1">
      <c r="A48" s="781" t="s">
        <v>13</v>
      </c>
      <c r="B48" s="782"/>
      <c r="C48" s="164">
        <f>SUMIF($G$7:$G$31,"Start Up",$F$7:$F$31)</f>
        <v>0</v>
      </c>
      <c r="D48" s="118">
        <f>+C48+'23'!D48</f>
        <v>0</v>
      </c>
      <c r="E48" s="143">
        <f t="shared" si="8"/>
        <v>0</v>
      </c>
      <c r="F48" s="321"/>
      <c r="G48" s="322"/>
      <c r="H48" s="188" t="s">
        <v>81</v>
      </c>
      <c r="I48" s="118">
        <f>I46/I40</f>
        <v>1024.8983630657574</v>
      </c>
      <c r="J48" s="135">
        <f>J46/J40</f>
        <v>1450.1449579831917</v>
      </c>
      <c r="K48" s="130" t="s">
        <v>23</v>
      </c>
    </row>
    <row r="49" spans="1:11" ht="17.45" customHeight="1">
      <c r="A49" s="781" t="s">
        <v>19</v>
      </c>
      <c r="B49" s="782"/>
      <c r="C49" s="164">
        <f>SUMIF($G$7:$G$31,"Others",$F$7:$F$31)</f>
        <v>0</v>
      </c>
      <c r="D49" s="118">
        <f>+C49+'23'!D49</f>
        <v>22716</v>
      </c>
      <c r="E49" s="143">
        <f t="shared" si="8"/>
        <v>378.6</v>
      </c>
      <c r="F49" s="185"/>
      <c r="H49" s="188" t="s">
        <v>267</v>
      </c>
      <c r="I49" s="118">
        <f>+Report1!T32</f>
        <v>4859.2856740782436</v>
      </c>
      <c r="J49" s="135">
        <f>+I49+'23'!J49</f>
        <v>35011.153571423223</v>
      </c>
      <c r="K49" s="130" t="s">
        <v>82</v>
      </c>
    </row>
    <row r="50" spans="1:11" ht="17.45" customHeight="1">
      <c r="A50" s="781" t="s">
        <v>18</v>
      </c>
      <c r="B50" s="782"/>
      <c r="C50" s="164">
        <f>SUMIF($G$7:$G$31,"Steam",$F$7:$F$31)</f>
        <v>0</v>
      </c>
      <c r="D50" s="118">
        <f>+C50+'23'!D50</f>
        <v>0</v>
      </c>
      <c r="E50" s="143">
        <f t="shared" si="8"/>
        <v>0</v>
      </c>
      <c r="F50" s="185"/>
      <c r="H50" s="188" t="s">
        <v>83</v>
      </c>
      <c r="I50" s="140">
        <f>I49/I38</f>
        <v>128.94140195505608</v>
      </c>
      <c r="J50" s="133">
        <f>J49/J38</f>
        <v>122.05557536595673</v>
      </c>
      <c r="K50" s="130" t="s">
        <v>82</v>
      </c>
    </row>
    <row r="51" spans="1:11" ht="17.45" customHeight="1" thickBot="1">
      <c r="A51" s="783" t="s">
        <v>84</v>
      </c>
      <c r="B51" s="784"/>
      <c r="C51" s="164">
        <f>SUMIF($G$7:$G$31,"Planned shut",$F$7:$F$31)</f>
        <v>0</v>
      </c>
      <c r="D51" s="118">
        <f>+C51+'23'!D51</f>
        <v>0</v>
      </c>
      <c r="E51" s="143">
        <f t="shared" si="8"/>
        <v>0</v>
      </c>
      <c r="F51" s="185"/>
      <c r="H51" s="190" t="s">
        <v>85</v>
      </c>
      <c r="I51" s="141">
        <f>I49/I40</f>
        <v>137.38050024252192</v>
      </c>
      <c r="J51" s="136">
        <f>J49/J40</f>
        <v>131.34436363829241</v>
      </c>
      <c r="K51" s="137" t="s">
        <v>82</v>
      </c>
    </row>
    <row r="52" spans="1:11" ht="13.5" thickBot="1">
      <c r="A52" s="779" t="s">
        <v>27</v>
      </c>
      <c r="B52" s="780"/>
      <c r="C52" s="144">
        <f>SUM(C38:C51)</f>
        <v>143</v>
      </c>
      <c r="D52" s="144">
        <f>SUM(D38:D51)</f>
        <v>23405</v>
      </c>
      <c r="E52" s="145">
        <f>SUM(E38:E51)</f>
        <v>390.08333333333337</v>
      </c>
      <c r="F52" s="185"/>
      <c r="H52" s="191"/>
      <c r="I52" s="192"/>
      <c r="J52" s="138"/>
      <c r="K52" s="139"/>
    </row>
    <row r="53" spans="1:11" ht="13.5" thickBot="1">
      <c r="A53" s="785"/>
      <c r="B53" s="786"/>
      <c r="C53" s="146">
        <f>C52/(24*60)</f>
        <v>9.930555555555555E-2</v>
      </c>
      <c r="D53" s="146">
        <f>D52/(24*60*G4)</f>
        <v>0.6772280092592593</v>
      </c>
      <c r="E53" s="147">
        <f>E52/(G4*24)</f>
        <v>0.6772280092592593</v>
      </c>
      <c r="F53" s="185"/>
    </row>
    <row r="54" spans="1:11">
      <c r="E54" s="193"/>
      <c r="F54" s="185"/>
    </row>
    <row r="55" spans="1:11">
      <c r="E55" s="193"/>
    </row>
    <row r="56" spans="1:11">
      <c r="A56" s="194" t="s">
        <v>86</v>
      </c>
      <c r="B56" s="195"/>
      <c r="C56" s="196"/>
      <c r="D56" s="196"/>
      <c r="E56" s="196"/>
      <c r="F56" s="197"/>
      <c r="G56" s="196"/>
      <c r="H56" s="198"/>
      <c r="I56" s="199" t="s">
        <v>87</v>
      </c>
      <c r="J56" s="200">
        <f>+D34+'23'!J56</f>
        <v>5129</v>
      </c>
      <c r="K56" s="201">
        <f>J56/(J40+J56/1000)/1000</f>
        <v>1.8878202650825023E-2</v>
      </c>
    </row>
    <row r="57" spans="1:11">
      <c r="A57" s="176"/>
      <c r="I57" s="199" t="s">
        <v>88</v>
      </c>
      <c r="J57" s="200">
        <f>+E34+'23'!J57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topLeftCell="A22" zoomScale="80" zoomScaleNormal="80" workbookViewId="0">
      <selection activeCell="I24" sqref="A24:I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7109375" style="149" customWidth="1"/>
    <col min="14" max="16384" width="9.140625" style="149"/>
  </cols>
  <sheetData>
    <row r="1" spans="1:26" ht="15.75">
      <c r="A1" s="148"/>
    </row>
    <row r="2" spans="1:26" ht="15.75">
      <c r="A2" s="148" t="s">
        <v>182</v>
      </c>
    </row>
    <row r="3" spans="1:26" ht="15">
      <c r="A3" s="150"/>
    </row>
    <row r="4" spans="1:26" ht="20.25">
      <c r="A4" s="151" t="s">
        <v>3</v>
      </c>
      <c r="B4" s="152"/>
      <c r="F4" s="153" t="s">
        <v>28</v>
      </c>
      <c r="G4" s="154">
        <v>23</v>
      </c>
      <c r="H4" s="154" t="str">
        <f>+'1'!H4</f>
        <v>.11.25</v>
      </c>
    </row>
    <row r="5" spans="1:26" ht="13.5" thickBot="1">
      <c r="C5" s="155"/>
      <c r="D5" s="155"/>
    </row>
    <row r="6" spans="1:26"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516</v>
      </c>
      <c r="O6" s="149">
        <v>1180</v>
      </c>
      <c r="P6" s="149">
        <f>+O6-O6*0.23</f>
        <v>908.59999999999991</v>
      </c>
      <c r="Q6" s="149">
        <v>480</v>
      </c>
      <c r="R6" s="149">
        <f t="shared" ref="R6:R7" si="0">+O6*Q6</f>
        <v>566400</v>
      </c>
      <c r="S6" s="149">
        <f t="shared" ref="S6:S7" si="1">+P6*Q6</f>
        <v>436127.99999999994</v>
      </c>
      <c r="U6" s="149" t="s">
        <v>516</v>
      </c>
      <c r="V6" s="149">
        <v>1180</v>
      </c>
      <c r="W6" s="149">
        <f>+V6-V6*0.23</f>
        <v>908.59999999999991</v>
      </c>
      <c r="X6" s="149">
        <v>480</v>
      </c>
      <c r="Y6" s="149">
        <f t="shared" ref="Y6:Y8" si="2">+V6*X6</f>
        <v>566400</v>
      </c>
      <c r="Z6" s="149">
        <f t="shared" ref="Z6:Z8" si="3">+W6*X6</f>
        <v>436127.99999999994</v>
      </c>
    </row>
    <row r="7" spans="1:26" ht="13.5" customHeight="1" thickBot="1">
      <c r="A7" s="767" t="s">
        <v>410</v>
      </c>
      <c r="B7" s="215" t="s">
        <v>529</v>
      </c>
      <c r="C7" s="216">
        <v>11609</v>
      </c>
      <c r="D7" s="217">
        <v>900</v>
      </c>
      <c r="E7" s="218"/>
      <c r="F7" s="227">
        <v>9</v>
      </c>
      <c r="G7" s="228" t="s">
        <v>11</v>
      </c>
      <c r="H7" s="229" t="s">
        <v>460</v>
      </c>
      <c r="I7" s="770" t="s">
        <v>567</v>
      </c>
      <c r="J7" s="214" t="str">
        <f>+'22'!J7</f>
        <v>F 12 VP OW</v>
      </c>
      <c r="K7" s="237"/>
      <c r="L7" s="241"/>
      <c r="M7" s="117">
        <f>+K7+'22'!M7+L7</f>
        <v>107792</v>
      </c>
      <c r="P7" s="149">
        <f>+O7-O7*0.23</f>
        <v>0</v>
      </c>
      <c r="R7" s="149">
        <f t="shared" si="0"/>
        <v>0</v>
      </c>
      <c r="S7" s="149">
        <f t="shared" si="1"/>
        <v>0</v>
      </c>
      <c r="U7" s="149" t="s">
        <v>516</v>
      </c>
      <c r="V7" s="149">
        <v>1140</v>
      </c>
      <c r="W7" s="149">
        <v>877.8</v>
      </c>
      <c r="X7" s="149">
        <v>480</v>
      </c>
      <c r="Y7" s="149">
        <f t="shared" si="2"/>
        <v>547200</v>
      </c>
      <c r="Z7" s="149">
        <f t="shared" si="3"/>
        <v>421344</v>
      </c>
    </row>
    <row r="8" spans="1:26" ht="13.5" thickBot="1">
      <c r="A8" s="768"/>
      <c r="B8" s="215"/>
      <c r="C8" s="216"/>
      <c r="D8" s="217"/>
      <c r="E8" s="219"/>
      <c r="F8" s="230"/>
      <c r="G8" s="231" t="s">
        <v>11</v>
      </c>
      <c r="H8" s="229" t="s">
        <v>282</v>
      </c>
      <c r="I8" s="771"/>
      <c r="J8" s="214" t="str">
        <f>+'22'!J8</f>
        <v>F 13 VP OW</v>
      </c>
      <c r="K8" s="238">
        <f>++C7+C16+C25</f>
        <v>33417</v>
      </c>
      <c r="L8" s="238"/>
      <c r="M8" s="117">
        <f>+K8+'22'!M8+L8</f>
        <v>60092</v>
      </c>
      <c r="U8" s="149" t="s">
        <v>516</v>
      </c>
      <c r="V8" s="149">
        <v>1140</v>
      </c>
      <c r="W8" s="149">
        <v>877.8</v>
      </c>
      <c r="X8" s="149">
        <v>197</v>
      </c>
      <c r="Y8" s="149">
        <f t="shared" si="2"/>
        <v>224580</v>
      </c>
      <c r="Z8" s="149">
        <f t="shared" si="3"/>
        <v>172926.59999999998</v>
      </c>
    </row>
    <row r="9" spans="1:26" ht="13.5" thickBot="1">
      <c r="A9" s="768"/>
      <c r="B9" s="215"/>
      <c r="C9" s="216"/>
      <c r="D9" s="217"/>
      <c r="E9" s="220"/>
      <c r="F9" s="227">
        <f>21-9</f>
        <v>12</v>
      </c>
      <c r="G9" s="231" t="s">
        <v>11</v>
      </c>
      <c r="H9" s="232" t="s">
        <v>477</v>
      </c>
      <c r="I9" s="771"/>
      <c r="J9" s="214" t="str">
        <f>+'22'!J9</f>
        <v>F 14 VP OW</v>
      </c>
      <c r="K9" s="238">
        <f>+C26</f>
        <v>2626</v>
      </c>
      <c r="L9" s="238"/>
      <c r="M9" s="117">
        <f>+K9+'22'!M9+L9</f>
        <v>28251</v>
      </c>
    </row>
    <row r="10" spans="1:26" ht="39" thickBot="1">
      <c r="A10" s="768"/>
      <c r="B10" s="215"/>
      <c r="C10" s="216"/>
      <c r="D10" s="217"/>
      <c r="E10" s="219"/>
      <c r="F10" s="227"/>
      <c r="G10" s="236" t="s">
        <v>12</v>
      </c>
      <c r="H10" s="232" t="s">
        <v>555</v>
      </c>
      <c r="I10" s="771"/>
      <c r="J10" s="214" t="str">
        <f>+'22'!J10</f>
        <v>F 11 VP OW</v>
      </c>
      <c r="K10" s="238"/>
      <c r="L10" s="238"/>
      <c r="M10" s="117">
        <f>+K10+'22'!M10+L10</f>
        <v>33513</v>
      </c>
    </row>
    <row r="11" spans="1:26" ht="39" thickBot="1">
      <c r="A11" s="768"/>
      <c r="B11" s="215"/>
      <c r="C11" s="216"/>
      <c r="D11" s="217"/>
      <c r="E11" s="219"/>
      <c r="F11" s="227"/>
      <c r="G11" s="231"/>
      <c r="H11" s="232" t="s">
        <v>556</v>
      </c>
      <c r="I11" s="771"/>
      <c r="J11" s="214" t="s">
        <v>580</v>
      </c>
      <c r="K11" s="238">
        <f>+C27</f>
        <v>1541</v>
      </c>
      <c r="L11" s="238"/>
      <c r="M11" s="117">
        <f>+K11+'22'!M11+L11</f>
        <v>1541</v>
      </c>
    </row>
    <row r="12" spans="1:26" ht="13.5" thickBot="1">
      <c r="A12" s="768"/>
      <c r="B12" s="215"/>
      <c r="C12" s="216"/>
      <c r="D12" s="217"/>
      <c r="E12" s="219"/>
      <c r="F12" s="227"/>
      <c r="G12" s="231"/>
      <c r="H12" s="232"/>
      <c r="I12" s="771"/>
      <c r="J12" s="214">
        <f>+'22'!J12</f>
        <v>0</v>
      </c>
      <c r="K12" s="238"/>
      <c r="L12" s="238"/>
      <c r="M12" s="117">
        <f>+K12+'22'!M12+L12</f>
        <v>0</v>
      </c>
    </row>
    <row r="13" spans="1:26" ht="13.5" thickBot="1">
      <c r="A13" s="768"/>
      <c r="B13" s="215"/>
      <c r="C13" s="216"/>
      <c r="D13" s="216"/>
      <c r="E13" s="219"/>
      <c r="F13" s="227"/>
      <c r="G13" s="231"/>
      <c r="H13" s="232"/>
      <c r="I13" s="772"/>
      <c r="J13" s="214">
        <f>+'22'!J13</f>
        <v>0</v>
      </c>
      <c r="K13" s="238"/>
      <c r="L13" s="238"/>
      <c r="M13" s="117">
        <f>+K13+'22'!M13+L13</f>
        <v>0</v>
      </c>
    </row>
    <row r="14" spans="1:26" ht="13.5" thickBot="1">
      <c r="A14" s="769"/>
      <c r="B14" s="165" t="s">
        <v>2</v>
      </c>
      <c r="C14" s="99">
        <f>SUM(C7:C13)</f>
        <v>11609</v>
      </c>
      <c r="D14" s="111">
        <f>SUM(D7:D13)</f>
        <v>900</v>
      </c>
      <c r="E14" s="112">
        <f>SUM(E5:E13)</f>
        <v>0</v>
      </c>
      <c r="F14" s="116">
        <f>SUM(F7:F13)</f>
        <v>21</v>
      </c>
      <c r="G14" s="159"/>
      <c r="H14" s="166"/>
      <c r="I14" s="167"/>
      <c r="J14" s="214">
        <f>+'22'!J14</f>
        <v>0</v>
      </c>
      <c r="K14" s="238"/>
      <c r="L14" s="238"/>
      <c r="M14" s="117">
        <f>+K14+'22'!M14+L14</f>
        <v>0</v>
      </c>
      <c r="Q14" s="149">
        <f>+Q6+Q7</f>
        <v>480</v>
      </c>
      <c r="R14" s="149">
        <f>+R6+R7</f>
        <v>566400</v>
      </c>
      <c r="S14" s="149">
        <f>+S6+S7</f>
        <v>436127.99999999994</v>
      </c>
      <c r="X14" s="149">
        <f>SUM(X6:X13)</f>
        <v>1157</v>
      </c>
      <c r="Y14" s="149">
        <f>SUM(Y6:Y13)</f>
        <v>1338180</v>
      </c>
      <c r="Z14" s="149">
        <f>SUM(Z6:Z13)</f>
        <v>1030398.6</v>
      </c>
    </row>
    <row r="15" spans="1:26" ht="13.5" customHeight="1" thickBot="1">
      <c r="A15" s="767" t="s">
        <v>388</v>
      </c>
      <c r="B15" s="165"/>
      <c r="C15" s="113">
        <f>C14/($C$23+$D$23+$E$23)</f>
        <v>0.84873519520397722</v>
      </c>
      <c r="D15" s="114">
        <f>D14/($C$23+$D$23+$E$23)</f>
        <v>6.5799093434712672E-2</v>
      </c>
      <c r="E15" s="115">
        <f>E14/($C$23+$D$23+$E$23)</f>
        <v>0</v>
      </c>
      <c r="F15" s="227">
        <v>9</v>
      </c>
      <c r="G15" s="228" t="s">
        <v>11</v>
      </c>
      <c r="H15" s="229" t="s">
        <v>460</v>
      </c>
      <c r="I15" s="770" t="s">
        <v>568</v>
      </c>
      <c r="J15" s="214">
        <f>+'22'!J15</f>
        <v>0</v>
      </c>
      <c r="K15" s="238"/>
      <c r="L15" s="238"/>
      <c r="M15" s="117">
        <f>+K15+'22'!M15+L15</f>
        <v>0</v>
      </c>
      <c r="Q15" s="149">
        <f>480-Q14</f>
        <v>0</v>
      </c>
      <c r="R15" s="149">
        <f>+R14/Q14</f>
        <v>1180</v>
      </c>
      <c r="S15" s="149">
        <f>+S14/Q14</f>
        <v>908.59999999999991</v>
      </c>
      <c r="X15" s="149">
        <f>480-X14</f>
        <v>-677</v>
      </c>
      <c r="Y15" s="149">
        <f>+Y14/X14</f>
        <v>1156.5946413137424</v>
      </c>
      <c r="Z15" s="149">
        <f>+Z14/X14</f>
        <v>890.57787381158164</v>
      </c>
    </row>
    <row r="16" spans="1:26" ht="13.5" thickBot="1">
      <c r="A16" s="773"/>
      <c r="B16" s="215" t="s">
        <v>529</v>
      </c>
      <c r="C16" s="221">
        <v>13678</v>
      </c>
      <c r="D16" s="222"/>
      <c r="E16" s="223"/>
      <c r="F16" s="230"/>
      <c r="G16" s="231" t="s">
        <v>11</v>
      </c>
      <c r="H16" s="229" t="s">
        <v>282</v>
      </c>
      <c r="I16" s="771"/>
      <c r="J16" s="214">
        <f>+'22'!J16</f>
        <v>0</v>
      </c>
      <c r="K16" s="238"/>
      <c r="L16" s="228"/>
      <c r="M16" s="117">
        <f>+K16+'22'!M16+L16</f>
        <v>0</v>
      </c>
    </row>
    <row r="17" spans="1:26" ht="13.5" thickBot="1">
      <c r="A17" s="773"/>
      <c r="B17" s="215"/>
      <c r="C17" s="216"/>
      <c r="D17" s="217"/>
      <c r="E17" s="224"/>
      <c r="F17" s="227">
        <f>23-9</f>
        <v>14</v>
      </c>
      <c r="G17" s="231" t="s">
        <v>11</v>
      </c>
      <c r="H17" s="232" t="s">
        <v>494</v>
      </c>
      <c r="I17" s="771"/>
      <c r="J17" s="214">
        <f>+'22'!J17</f>
        <v>0</v>
      </c>
      <c r="K17" s="238"/>
      <c r="L17" s="228"/>
      <c r="M17" s="117">
        <f>+K17+'22'!M17+L17</f>
        <v>0</v>
      </c>
    </row>
    <row r="18" spans="1:26" ht="26.25" thickBot="1">
      <c r="A18" s="773"/>
      <c r="B18" s="215"/>
      <c r="C18" s="216"/>
      <c r="D18" s="217"/>
      <c r="E18" s="224"/>
      <c r="F18" s="227"/>
      <c r="G18" s="236" t="s">
        <v>12</v>
      </c>
      <c r="H18" s="232" t="s">
        <v>554</v>
      </c>
      <c r="I18" s="771"/>
      <c r="J18" s="214">
        <f>+'22'!J18</f>
        <v>0</v>
      </c>
      <c r="K18" s="238"/>
      <c r="L18" s="238"/>
      <c r="M18" s="117">
        <f>+K18+'22'!M18+L18</f>
        <v>0</v>
      </c>
      <c r="N18" s="149" t="s">
        <v>516</v>
      </c>
      <c r="O18" s="149">
        <v>1140</v>
      </c>
      <c r="P18" s="149">
        <f>+O18-O18*0.23</f>
        <v>877.8</v>
      </c>
      <c r="Q18" s="149">
        <v>480</v>
      </c>
      <c r="R18" s="149">
        <f t="shared" ref="R18:R19" si="4">+O18*Q18</f>
        <v>547200</v>
      </c>
      <c r="S18" s="149">
        <f t="shared" ref="S18:S19" si="5">+P18*Q18</f>
        <v>421344</v>
      </c>
      <c r="U18" s="149" t="s">
        <v>517</v>
      </c>
      <c r="V18" s="149">
        <v>1080</v>
      </c>
      <c r="W18" s="149">
        <v>831.6</v>
      </c>
      <c r="X18" s="149">
        <v>2</v>
      </c>
      <c r="Y18" s="149">
        <f t="shared" ref="Y18:Y19" si="6">+V18*X18</f>
        <v>2160</v>
      </c>
      <c r="Z18" s="149">
        <f t="shared" ref="Z18:Z19" si="7">+W18*X18</f>
        <v>1663.2</v>
      </c>
    </row>
    <row r="19" spans="1:26" ht="13.5" thickBot="1">
      <c r="A19" s="773"/>
      <c r="B19" s="215"/>
      <c r="C19" s="216"/>
      <c r="D19" s="217"/>
      <c r="E19" s="224"/>
      <c r="F19" s="234"/>
      <c r="G19" s="231"/>
      <c r="H19" s="232"/>
      <c r="I19" s="771"/>
      <c r="J19" s="214">
        <f>+'22'!J19</f>
        <v>0</v>
      </c>
      <c r="K19" s="238"/>
      <c r="L19" s="238"/>
      <c r="M19" s="117">
        <f>+K19+'22'!M19+L19</f>
        <v>0</v>
      </c>
      <c r="P19" s="149">
        <f>+O19-O19*0.23</f>
        <v>0</v>
      </c>
      <c r="R19" s="149">
        <f t="shared" si="4"/>
        <v>0</v>
      </c>
      <c r="S19" s="149">
        <f t="shared" si="5"/>
        <v>0</v>
      </c>
      <c r="V19" s="149">
        <v>980</v>
      </c>
      <c r="W19" s="149">
        <v>754.6</v>
      </c>
      <c r="X19" s="149">
        <v>113</v>
      </c>
      <c r="Y19" s="149">
        <f t="shared" si="6"/>
        <v>110740</v>
      </c>
      <c r="Z19" s="149">
        <f t="shared" si="7"/>
        <v>85269.8</v>
      </c>
    </row>
    <row r="20" spans="1:26" ht="13.5" thickBot="1">
      <c r="A20" s="773"/>
      <c r="B20" s="215"/>
      <c r="C20" s="216"/>
      <c r="D20" s="217"/>
      <c r="E20" s="224"/>
      <c r="F20" s="227"/>
      <c r="G20" s="231"/>
      <c r="H20" s="232"/>
      <c r="I20" s="771"/>
      <c r="J20" s="214">
        <f>+'22'!J20</f>
        <v>0</v>
      </c>
      <c r="K20" s="239"/>
      <c r="L20" s="239"/>
      <c r="M20" s="117">
        <f>+K20+'22'!M20+L20</f>
        <v>0</v>
      </c>
    </row>
    <row r="21" spans="1:26" ht="13.5" thickBot="1">
      <c r="A21" s="773"/>
      <c r="B21" s="215"/>
      <c r="C21" s="216"/>
      <c r="D21" s="217"/>
      <c r="E21" s="224"/>
      <c r="F21" s="230"/>
      <c r="G21" s="231"/>
      <c r="H21" s="232"/>
      <c r="I21" s="771"/>
      <c r="J21" s="214">
        <f>+'22'!J21</f>
        <v>0</v>
      </c>
      <c r="K21" s="238"/>
      <c r="L21" s="238"/>
      <c r="M21" s="117">
        <f>+K21+'22'!M21+L21</f>
        <v>0</v>
      </c>
    </row>
    <row r="22" spans="1:26" ht="13.5" thickBot="1">
      <c r="A22" s="773"/>
      <c r="B22" s="215"/>
      <c r="C22" s="216"/>
      <c r="D22" s="217"/>
      <c r="E22" s="224"/>
      <c r="F22" s="235"/>
      <c r="G22" s="231"/>
      <c r="H22" s="232"/>
      <c r="I22" s="772"/>
      <c r="J22" s="214">
        <f>+'22'!J22</f>
        <v>0</v>
      </c>
      <c r="K22" s="238"/>
      <c r="L22" s="238"/>
      <c r="M22" s="117">
        <f>+K22+'22'!M22+L22</f>
        <v>0</v>
      </c>
    </row>
    <row r="23" spans="1:26" ht="13.5" thickBot="1">
      <c r="A23" s="774"/>
      <c r="B23" s="168" t="s">
        <v>2</v>
      </c>
      <c r="C23" s="100">
        <f>SUM(C16:C22)</f>
        <v>13678</v>
      </c>
      <c r="D23" s="111">
        <f>SUM(D16:D22)</f>
        <v>0</v>
      </c>
      <c r="E23" s="112">
        <f>SUM(E18:E22)</f>
        <v>0</v>
      </c>
      <c r="F23" s="116">
        <f>SUM(F15:F22)</f>
        <v>23</v>
      </c>
      <c r="G23" s="159"/>
      <c r="H23" s="166"/>
      <c r="I23" s="169"/>
      <c r="J23" s="214">
        <f>+'22'!J23</f>
        <v>0</v>
      </c>
      <c r="K23" s="238"/>
      <c r="L23" s="238"/>
      <c r="M23" s="117">
        <f>+K23+'22'!M23+L23</f>
        <v>0</v>
      </c>
    </row>
    <row r="24" spans="1:26" ht="13.5" customHeight="1" thickBot="1">
      <c r="A24" s="767" t="s">
        <v>389</v>
      </c>
      <c r="B24" s="170"/>
      <c r="C24" s="113">
        <f>C23/($C$23+$D$23+$E$23)</f>
        <v>1</v>
      </c>
      <c r="D24" s="114">
        <f>D23/($C$23+$D$23+$E$23)</f>
        <v>0</v>
      </c>
      <c r="E24" s="115">
        <f>E23/($C$23+$D$23+$E$23)</f>
        <v>0</v>
      </c>
      <c r="F24" s="227"/>
      <c r="G24" s="228" t="s">
        <v>11</v>
      </c>
      <c r="H24" s="229" t="s">
        <v>384</v>
      </c>
      <c r="I24" s="770" t="s">
        <v>569</v>
      </c>
      <c r="J24" s="214">
        <f>+'22'!J24</f>
        <v>0</v>
      </c>
      <c r="K24" s="238"/>
      <c r="L24" s="238"/>
      <c r="M24" s="117">
        <f>+K24+'22'!M24+L24</f>
        <v>0</v>
      </c>
    </row>
    <row r="25" spans="1:26" ht="13.5" thickBot="1">
      <c r="A25" s="773"/>
      <c r="B25" s="215" t="s">
        <v>529</v>
      </c>
      <c r="C25" s="225">
        <f>3639+4491</f>
        <v>8130</v>
      </c>
      <c r="D25" s="217"/>
      <c r="E25" s="224"/>
      <c r="F25" s="230">
        <v>9</v>
      </c>
      <c r="G25" s="231" t="s">
        <v>11</v>
      </c>
      <c r="H25" s="229" t="s">
        <v>543</v>
      </c>
      <c r="I25" s="771"/>
      <c r="J25" s="214">
        <f>+'22'!J25</f>
        <v>0</v>
      </c>
      <c r="K25" s="238"/>
      <c r="L25" s="238"/>
      <c r="M25" s="117">
        <f>+K25+'22'!M25+L25</f>
        <v>0</v>
      </c>
    </row>
    <row r="26" spans="1:26" ht="13.5" thickBot="1">
      <c r="A26" s="773"/>
      <c r="B26" s="215" t="s">
        <v>530</v>
      </c>
      <c r="C26" s="225">
        <v>2626</v>
      </c>
      <c r="D26" s="217">
        <v>392</v>
      </c>
      <c r="E26" s="226"/>
      <c r="F26" s="227">
        <v>10</v>
      </c>
      <c r="G26" s="231" t="s">
        <v>11</v>
      </c>
      <c r="H26" s="232" t="s">
        <v>493</v>
      </c>
      <c r="I26" s="771"/>
      <c r="J26" s="214">
        <f>+'22'!J26</f>
        <v>0</v>
      </c>
      <c r="K26" s="238"/>
      <c r="L26" s="238"/>
      <c r="M26" s="117">
        <f>+K26+'22'!M26+L26</f>
        <v>0</v>
      </c>
      <c r="Q26" s="149">
        <f>+Q18+Q19</f>
        <v>480</v>
      </c>
      <c r="R26" s="149">
        <f>+R18+R19</f>
        <v>547200</v>
      </c>
      <c r="S26" s="149">
        <f>+S18+S19</f>
        <v>421344</v>
      </c>
      <c r="X26" s="149">
        <f>SUM(X18:X25)</f>
        <v>115</v>
      </c>
      <c r="Y26" s="149">
        <f>SUM(Y18:Y25)</f>
        <v>112900</v>
      </c>
      <c r="Z26" s="149">
        <f>SUM(Z18:Z25)</f>
        <v>86933</v>
      </c>
    </row>
    <row r="27" spans="1:26" ht="26.25" thickBot="1">
      <c r="A27" s="773"/>
      <c r="B27" s="215" t="s">
        <v>580</v>
      </c>
      <c r="C27" s="216">
        <v>1541</v>
      </c>
      <c r="D27" s="217"/>
      <c r="E27" s="224"/>
      <c r="F27" s="227"/>
      <c r="G27" s="236" t="s">
        <v>12</v>
      </c>
      <c r="H27" s="232" t="s">
        <v>551</v>
      </c>
      <c r="I27" s="771"/>
      <c r="J27" s="214">
        <f>+'22'!J27</f>
        <v>0</v>
      </c>
      <c r="K27" s="238"/>
      <c r="L27" s="238"/>
      <c r="M27" s="117">
        <f>+K27+'22'!M27+L27</f>
        <v>0</v>
      </c>
      <c r="Q27" s="149">
        <f>480-Q26</f>
        <v>0</v>
      </c>
      <c r="R27" s="149">
        <f>+R26/Q26</f>
        <v>1140</v>
      </c>
      <c r="S27" s="149">
        <f>+S26/Q26</f>
        <v>877.8</v>
      </c>
      <c r="X27" s="149">
        <f>480-X26</f>
        <v>365</v>
      </c>
      <c r="Y27" s="149">
        <f>+Y26/X26</f>
        <v>981.73913043478262</v>
      </c>
      <c r="Z27" s="149">
        <f>+Z26/X26</f>
        <v>755.93913043478256</v>
      </c>
    </row>
    <row r="28" spans="1:26" ht="138.75" customHeight="1" thickBot="1">
      <c r="A28" s="773"/>
      <c r="B28" s="215"/>
      <c r="C28" s="216"/>
      <c r="D28" s="217"/>
      <c r="E28" s="224"/>
      <c r="F28" s="230"/>
      <c r="G28" s="231"/>
      <c r="H28" s="232" t="s">
        <v>552</v>
      </c>
      <c r="I28" s="771"/>
      <c r="J28" s="214">
        <f>+'22'!J28</f>
        <v>0</v>
      </c>
      <c r="K28" s="238"/>
      <c r="L28" s="238"/>
      <c r="M28" s="117">
        <f>+K28+'22'!M28+L28</f>
        <v>0</v>
      </c>
      <c r="N28" s="149" t="s">
        <v>516</v>
      </c>
      <c r="O28" s="149">
        <v>1140</v>
      </c>
      <c r="P28" s="149">
        <f>+O28-O28*0.23</f>
        <v>877.8</v>
      </c>
      <c r="Q28" s="149">
        <f>60*3+17</f>
        <v>197</v>
      </c>
      <c r="R28" s="149">
        <f t="shared" ref="R28:R31" si="8">+O28*Q28</f>
        <v>224580</v>
      </c>
      <c r="S28" s="149">
        <f t="shared" ref="S28:S31" si="9">+P28*Q28</f>
        <v>172926.59999999998</v>
      </c>
    </row>
    <row r="29" spans="1:26" ht="84" customHeight="1" thickBot="1">
      <c r="A29" s="773"/>
      <c r="B29" s="215"/>
      <c r="C29" s="216"/>
      <c r="D29" s="217"/>
      <c r="E29" s="224"/>
      <c r="F29" s="235"/>
      <c r="G29" s="231"/>
      <c r="H29" s="232" t="s">
        <v>553</v>
      </c>
      <c r="I29" s="771"/>
      <c r="J29" s="214">
        <f>+'22'!J29</f>
        <v>0</v>
      </c>
      <c r="K29" s="238"/>
      <c r="L29" s="238"/>
      <c r="M29" s="117">
        <f>+K29+'22'!M29+L29</f>
        <v>0</v>
      </c>
      <c r="N29" s="149" t="s">
        <v>517</v>
      </c>
      <c r="O29" s="149">
        <v>1080</v>
      </c>
      <c r="P29" s="149">
        <f>+O29-O29*0.23</f>
        <v>831.6</v>
      </c>
      <c r="Q29" s="149">
        <f>19-17</f>
        <v>2</v>
      </c>
      <c r="R29" s="149">
        <f t="shared" si="8"/>
        <v>2160</v>
      </c>
      <c r="S29" s="149">
        <f t="shared" si="9"/>
        <v>1663.2</v>
      </c>
    </row>
    <row r="30" spans="1:26" ht="13.5" thickBot="1">
      <c r="A30" s="773"/>
      <c r="B30" s="215"/>
      <c r="C30" s="225"/>
      <c r="D30" s="217"/>
      <c r="E30" s="224"/>
      <c r="F30" s="235"/>
      <c r="G30" s="231"/>
      <c r="H30" s="232"/>
      <c r="I30" s="771"/>
      <c r="J30" s="214">
        <f>+'22'!J30</f>
        <v>0</v>
      </c>
      <c r="K30" s="238"/>
      <c r="L30" s="238"/>
      <c r="M30" s="117">
        <f>+K30+'22'!M30+L30</f>
        <v>0</v>
      </c>
      <c r="O30" s="149">
        <v>980</v>
      </c>
      <c r="P30" s="149">
        <f>+O30-O30*0.23</f>
        <v>754.6</v>
      </c>
      <c r="Q30" s="149">
        <f>60-19+60+12</f>
        <v>113</v>
      </c>
      <c r="R30" s="149">
        <f t="shared" si="8"/>
        <v>110740</v>
      </c>
      <c r="S30" s="149">
        <f t="shared" si="9"/>
        <v>85269.8</v>
      </c>
    </row>
    <row r="31" spans="1:26" ht="13.5" thickBot="1">
      <c r="A31" s="773"/>
      <c r="B31" s="215"/>
      <c r="C31" s="225"/>
      <c r="D31" s="217"/>
      <c r="E31" s="224"/>
      <c r="F31" s="235"/>
      <c r="G31" s="236"/>
      <c r="H31" s="444"/>
      <c r="I31" s="772"/>
      <c r="J31" s="214">
        <f>+'22'!J31</f>
        <v>0</v>
      </c>
      <c r="K31" s="238"/>
      <c r="L31" s="238"/>
      <c r="M31" s="117">
        <f>+K31+'22'!M31+L31</f>
        <v>0</v>
      </c>
      <c r="N31" s="149" t="s">
        <v>566</v>
      </c>
      <c r="O31" s="149">
        <v>1040</v>
      </c>
      <c r="P31" s="149">
        <f>+O31-O31*0.23</f>
        <v>800.8</v>
      </c>
      <c r="Q31" s="149">
        <f>60-12+120</f>
        <v>168</v>
      </c>
      <c r="R31" s="149">
        <f t="shared" si="8"/>
        <v>174720</v>
      </c>
      <c r="S31" s="149">
        <f t="shared" si="9"/>
        <v>134534.39999999999</v>
      </c>
    </row>
    <row r="32" spans="1:26" ht="13.5" thickBot="1">
      <c r="A32" s="774"/>
      <c r="B32" s="165" t="s">
        <v>2</v>
      </c>
      <c r="C32" s="99">
        <f>SUM(C25:C31)</f>
        <v>12297</v>
      </c>
      <c r="D32" s="100">
        <f>SUM(D25:D31)</f>
        <v>392</v>
      </c>
      <c r="E32" s="101">
        <f>SUM(E25:E31)</f>
        <v>0</v>
      </c>
      <c r="F32" s="102">
        <f>SUM(F24:F31)</f>
        <v>19</v>
      </c>
      <c r="G32" s="171"/>
      <c r="H32" s="172"/>
      <c r="I32" s="169"/>
      <c r="J32" s="214">
        <f>+'22'!J32</f>
        <v>0</v>
      </c>
      <c r="K32" s="240"/>
      <c r="L32" s="242"/>
      <c r="M32" s="117">
        <f>+K32+'22'!M32+L32</f>
        <v>0</v>
      </c>
    </row>
    <row r="33" spans="1:19" ht="13.5" thickBot="1">
      <c r="A33" s="173"/>
      <c r="B33" s="174"/>
      <c r="C33" s="103">
        <f>C32/($C$32+$D$32+$E$32)</f>
        <v>0.96910710063834815</v>
      </c>
      <c r="D33" s="104">
        <f>D32/($C$32+$D$32+$E$32)</f>
        <v>3.0892899361651825E-2</v>
      </c>
      <c r="E33" s="105">
        <f>E32/($C$32+$D$32+$E$32)</f>
        <v>0</v>
      </c>
      <c r="F33" s="106"/>
      <c r="G33" s="175"/>
      <c r="H33" s="176"/>
      <c r="I33" s="177"/>
      <c r="J33" s="121"/>
      <c r="K33" s="122"/>
      <c r="L33" s="213"/>
      <c r="M33" s="119"/>
    </row>
    <row r="34" spans="1:19" ht="13.5" thickBot="1">
      <c r="A34" s="775" t="s">
        <v>57</v>
      </c>
      <c r="B34" s="776"/>
      <c r="C34" s="107">
        <f>C14+C23+C32</f>
        <v>37584</v>
      </c>
      <c r="D34" s="107">
        <f>D14+D23+D32</f>
        <v>1292</v>
      </c>
      <c r="E34" s="107">
        <f>E14+E23+E32</f>
        <v>0</v>
      </c>
      <c r="F34" s="108">
        <f>F14+F23+F32</f>
        <v>63</v>
      </c>
      <c r="H34" s="178"/>
      <c r="I34" s="178"/>
      <c r="J34" s="123" t="s">
        <v>27</v>
      </c>
      <c r="K34" s="124">
        <f>SUM(K7:K32)</f>
        <v>37584</v>
      </c>
      <c r="L34" s="212">
        <f>SUM(L7:L32)</f>
        <v>0</v>
      </c>
      <c r="M34" s="120">
        <f>SUM(M7:M32)</f>
        <v>231189</v>
      </c>
    </row>
    <row r="35" spans="1:19" ht="13.5" thickBot="1">
      <c r="A35" s="179"/>
      <c r="B35" s="180"/>
      <c r="C35" s="104">
        <f>C34/($C$34+$D$34+$E$34)</f>
        <v>0.96676612820248997</v>
      </c>
      <c r="D35" s="104">
        <f>D34/($C$34+$D$34+$E$34)</f>
        <v>3.3233871797510035E-2</v>
      </c>
      <c r="E35" s="109">
        <f>E34/($C$34+$D$34+$E$34)</f>
        <v>0</v>
      </c>
      <c r="K35" s="155"/>
    </row>
    <row r="36" spans="1:19" ht="13.5" thickBot="1">
      <c r="A36" s="178"/>
      <c r="B36" s="178"/>
      <c r="C36" s="155"/>
      <c r="D36" s="155"/>
      <c r="E36" s="155"/>
      <c r="G36" s="155"/>
      <c r="H36" s="181"/>
      <c r="I36" s="162" t="s">
        <v>36</v>
      </c>
      <c r="J36" s="162" t="s">
        <v>37</v>
      </c>
      <c r="K36" s="182"/>
      <c r="Q36" s="149">
        <f>SUM(Q28:Q35)</f>
        <v>480</v>
      </c>
      <c r="R36" s="149">
        <f>SUM(R28:R35)</f>
        <v>512200</v>
      </c>
      <c r="S36" s="149">
        <f>SUM(S28:S35)</f>
        <v>394394</v>
      </c>
    </row>
    <row r="37" spans="1:19" ht="17.45" customHeight="1" thickBot="1">
      <c r="A37" s="777" t="s">
        <v>58</v>
      </c>
      <c r="B37" s="778"/>
      <c r="C37" s="162" t="s">
        <v>59</v>
      </c>
      <c r="D37" s="183" t="s">
        <v>60</v>
      </c>
      <c r="E37" s="184" t="s">
        <v>61</v>
      </c>
      <c r="F37" s="321"/>
      <c r="G37" s="323"/>
      <c r="H37" s="186" t="s">
        <v>62</v>
      </c>
      <c r="I37" s="243">
        <f>(13*1157+14*115+168*14)/1440*G42*2.74*1440/1000000</f>
        <v>45.26557937397223</v>
      </c>
      <c r="J37" s="125">
        <f>+I37+'22'!J37</f>
        <v>282.18652387400152</v>
      </c>
      <c r="K37" s="126" t="s">
        <v>63</v>
      </c>
      <c r="Q37" s="149">
        <f>480-Q36</f>
        <v>0</v>
      </c>
      <c r="R37" s="149">
        <f>+R36/Q36</f>
        <v>1067.0833333333333</v>
      </c>
      <c r="S37" s="149">
        <f>+S36/Q36</f>
        <v>821.6541666666667</v>
      </c>
    </row>
    <row r="38" spans="1:19" ht="17.45" customHeight="1">
      <c r="A38" s="779" t="s">
        <v>11</v>
      </c>
      <c r="B38" s="780"/>
      <c r="C38" s="164">
        <f>SUMIF($G$7:$G$31,"Process",$F$7:$F$31)</f>
        <v>63</v>
      </c>
      <c r="D38" s="118">
        <f>+C38+'22'!D38</f>
        <v>491</v>
      </c>
      <c r="E38" s="143">
        <f t="shared" ref="E38:E51" si="10">D38/60</f>
        <v>8.1833333333333336</v>
      </c>
      <c r="F38" s="321">
        <v>1180</v>
      </c>
      <c r="G38" s="321">
        <v>908.59999999999991</v>
      </c>
      <c r="H38" s="187" t="s">
        <v>64</v>
      </c>
      <c r="I38" s="244">
        <f>12.63+12.581+13.662</f>
        <v>38.872999999999998</v>
      </c>
      <c r="J38" s="127">
        <f>+I38+'22'!J38</f>
        <v>249.16</v>
      </c>
      <c r="K38" s="128" t="s">
        <v>63</v>
      </c>
    </row>
    <row r="39" spans="1:19" ht="17.45" customHeight="1">
      <c r="A39" s="781" t="s">
        <v>12</v>
      </c>
      <c r="B39" s="782"/>
      <c r="C39" s="164">
        <f>SUMIF($G$7:$G$31,"Cleaning",$F$7:$F$31)</f>
        <v>0</v>
      </c>
      <c r="D39" s="118">
        <f>+C39+'22'!D39</f>
        <v>0</v>
      </c>
      <c r="E39" s="143">
        <f t="shared" si="10"/>
        <v>0</v>
      </c>
      <c r="F39" s="321">
        <v>1140</v>
      </c>
      <c r="G39" s="321">
        <v>877.8</v>
      </c>
      <c r="H39" s="187" t="s">
        <v>65</v>
      </c>
      <c r="I39" s="142"/>
      <c r="J39" s="129">
        <f>J37/G4</f>
        <v>12.268979298869631</v>
      </c>
      <c r="K39" s="130" t="s">
        <v>63</v>
      </c>
      <c r="N39" s="149" t="s">
        <v>516</v>
      </c>
      <c r="O39" s="149">
        <v>1156.5946413137424</v>
      </c>
      <c r="P39" s="149">
        <v>890.57787381158164</v>
      </c>
      <c r="Q39" s="149">
        <v>1157</v>
      </c>
    </row>
    <row r="40" spans="1:19" ht="17.45" customHeight="1">
      <c r="A40" s="781" t="s">
        <v>66</v>
      </c>
      <c r="B40" s="782"/>
      <c r="C40" s="164">
        <f>SUMIF($G$7:$G$31,"Mechanical",$F$7:$F$31)</f>
        <v>0</v>
      </c>
      <c r="D40" s="118">
        <f>+C40+'22'!D40</f>
        <v>0</v>
      </c>
      <c r="E40" s="143">
        <f t="shared" si="10"/>
        <v>0</v>
      </c>
      <c r="F40" s="321">
        <v>1067.0833333333333</v>
      </c>
      <c r="G40" s="321">
        <v>821.6541666666667</v>
      </c>
      <c r="H40" s="187" t="s">
        <v>67</v>
      </c>
      <c r="I40" s="118">
        <f>(K34+L34)/1000</f>
        <v>37.584000000000003</v>
      </c>
      <c r="J40" s="131">
        <f>+I40+'22'!J40</f>
        <v>231.18899999999999</v>
      </c>
      <c r="K40" s="130" t="s">
        <v>63</v>
      </c>
      <c r="N40" s="149" t="s">
        <v>517</v>
      </c>
      <c r="O40" s="149">
        <v>981.73913043478262</v>
      </c>
      <c r="P40" s="149">
        <v>755.93913043478256</v>
      </c>
      <c r="Q40" s="149">
        <v>115</v>
      </c>
    </row>
    <row r="41" spans="1:19" ht="17.45" customHeight="1">
      <c r="A41" s="781" t="s">
        <v>68</v>
      </c>
      <c r="B41" s="782"/>
      <c r="C41" s="164">
        <f>SUMIF($G$7:$G$31,"Electrical",$F$7:$F$31)</f>
        <v>0</v>
      </c>
      <c r="D41" s="118">
        <f>+C41+'22'!D41</f>
        <v>55</v>
      </c>
      <c r="E41" s="143">
        <f t="shared" si="10"/>
        <v>0.91666666666666663</v>
      </c>
      <c r="F41" s="321"/>
      <c r="G41" s="321"/>
      <c r="H41" s="187" t="s">
        <v>69</v>
      </c>
      <c r="I41" s="142"/>
      <c r="J41" s="129">
        <f>J40/G4</f>
        <v>10.051695652173914</v>
      </c>
      <c r="K41" s="130" t="s">
        <v>63</v>
      </c>
      <c r="N41" s="149" t="s">
        <v>566</v>
      </c>
      <c r="O41" s="149">
        <v>1040</v>
      </c>
      <c r="P41" s="149">
        <v>800.8</v>
      </c>
      <c r="Q41" s="149">
        <v>168</v>
      </c>
    </row>
    <row r="42" spans="1:19" ht="17.45" customHeight="1">
      <c r="A42" s="781" t="s">
        <v>15</v>
      </c>
      <c r="B42" s="782"/>
      <c r="C42" s="164">
        <f>SUMIF($G$7:$G$31,"Instrument",$F$7:$F$31)</f>
        <v>0</v>
      </c>
      <c r="D42" s="118">
        <f>+C42+'22'!D42</f>
        <v>0</v>
      </c>
      <c r="E42" s="143">
        <f t="shared" si="10"/>
        <v>0</v>
      </c>
      <c r="F42" s="321">
        <f>+(480*F38+480*F39+480*F40)/1440</f>
        <v>1129.0277777777778</v>
      </c>
      <c r="G42" s="321">
        <f>+(480*G38+480*G39+480*G40)/1440</f>
        <v>869.35138888888889</v>
      </c>
      <c r="H42" s="187" t="s">
        <v>70</v>
      </c>
      <c r="I42" s="245" t="s">
        <v>570</v>
      </c>
      <c r="J42" s="132"/>
      <c r="K42" s="130" t="s">
        <v>71</v>
      </c>
      <c r="Q42" s="149">
        <f>+Q39+Q40+Q41</f>
        <v>1440</v>
      </c>
    </row>
    <row r="43" spans="1:19" ht="17.45" customHeight="1">
      <c r="A43" s="781" t="s">
        <v>72</v>
      </c>
      <c r="B43" s="782"/>
      <c r="C43" s="164">
        <f>SUMIF($G$7:$G$31,"Water",$F$7:$F$31)</f>
        <v>0</v>
      </c>
      <c r="D43" s="118">
        <f>+C43+'22'!D43</f>
        <v>0</v>
      </c>
      <c r="E43" s="143">
        <f t="shared" si="10"/>
        <v>0</v>
      </c>
      <c r="F43" s="321"/>
      <c r="G43" s="322"/>
      <c r="H43" s="188" t="s">
        <v>73</v>
      </c>
      <c r="I43" s="118">
        <f>+Report1!Z31</f>
        <v>55.5</v>
      </c>
      <c r="J43" s="133">
        <f>+I43+'22'!J43</f>
        <v>723.3</v>
      </c>
      <c r="K43" s="130" t="s">
        <v>63</v>
      </c>
      <c r="L43" s="189"/>
    </row>
    <row r="44" spans="1:19" ht="17.45" customHeight="1">
      <c r="A44" s="781" t="s">
        <v>16</v>
      </c>
      <c r="B44" s="782"/>
      <c r="C44" s="164">
        <f>SUMIF($G$7:$G$31,"PLN",$F$7:$F$31)</f>
        <v>0</v>
      </c>
      <c r="D44" s="118">
        <f>+C44+'22'!D44</f>
        <v>0</v>
      </c>
      <c r="E44" s="143">
        <f t="shared" si="10"/>
        <v>0</v>
      </c>
      <c r="F44" s="321"/>
      <c r="G44" s="322"/>
      <c r="H44" s="188" t="s">
        <v>74</v>
      </c>
      <c r="I44" s="118">
        <f>I43/I38</f>
        <v>1.4277261852699819</v>
      </c>
      <c r="J44" s="134">
        <f>J43/J38</f>
        <v>2.9029539251886338</v>
      </c>
      <c r="K44" s="130" t="s">
        <v>63</v>
      </c>
    </row>
    <row r="45" spans="1:19" ht="17.45" customHeight="1">
      <c r="A45" s="781" t="s">
        <v>17</v>
      </c>
      <c r="B45" s="782"/>
      <c r="C45" s="164">
        <f>SUMIF($G$7:$G$31,"Boiler",$F$7:$F$31)</f>
        <v>0</v>
      </c>
      <c r="D45" s="118">
        <f>+C45+'22'!D45</f>
        <v>0</v>
      </c>
      <c r="E45" s="143">
        <f t="shared" si="10"/>
        <v>0</v>
      </c>
      <c r="F45" s="321"/>
      <c r="G45" s="324"/>
      <c r="H45" s="188" t="s">
        <v>75</v>
      </c>
      <c r="I45" s="118">
        <f>I43/I40</f>
        <v>1.4766922094508299</v>
      </c>
      <c r="J45" s="134">
        <f>J43/J40</f>
        <v>3.1286090601196421</v>
      </c>
      <c r="K45" s="130" t="s">
        <v>63</v>
      </c>
    </row>
    <row r="46" spans="1:19" ht="17.45" customHeight="1">
      <c r="A46" s="781" t="s">
        <v>76</v>
      </c>
      <c r="B46" s="782"/>
      <c r="C46" s="164">
        <f>SUMIF($G$7:$G$31,"Gas",$F$7:$F$31)</f>
        <v>0</v>
      </c>
      <c r="D46" s="118">
        <f>+C46+'22'!D46</f>
        <v>0</v>
      </c>
      <c r="E46" s="143">
        <f t="shared" si="10"/>
        <v>0</v>
      </c>
      <c r="F46" s="321"/>
      <c r="G46" s="322"/>
      <c r="H46" s="188" t="s">
        <v>77</v>
      </c>
      <c r="I46" s="140">
        <f>+SUMIF(Listrik!P30,"&gt;0")</f>
        <v>38161.60000000109</v>
      </c>
      <c r="J46" s="135">
        <f>+I46+'22'!J46</f>
        <v>350298.96000000072</v>
      </c>
      <c r="K46" s="130" t="s">
        <v>78</v>
      </c>
    </row>
    <row r="47" spans="1:19" ht="17.45" customHeight="1">
      <c r="A47" s="781" t="s">
        <v>79</v>
      </c>
      <c r="B47" s="782"/>
      <c r="C47" s="164">
        <f>SUMIF($G$7:$G$31,"Gas",$F$7:$F$31)</f>
        <v>0</v>
      </c>
      <c r="D47" s="118">
        <f>+C47+'22'!D47</f>
        <v>0</v>
      </c>
      <c r="E47" s="143">
        <f t="shared" si="10"/>
        <v>0</v>
      </c>
      <c r="F47" s="321"/>
      <c r="G47" s="322"/>
      <c r="H47" s="188" t="s">
        <v>80</v>
      </c>
      <c r="I47" s="118">
        <f>I46/I38</f>
        <v>981.69938003244135</v>
      </c>
      <c r="J47" s="135">
        <f>J46/J38</f>
        <v>1405.9197302937901</v>
      </c>
      <c r="K47" s="130" t="s">
        <v>23</v>
      </c>
    </row>
    <row r="48" spans="1:19" ht="17.45" customHeight="1">
      <c r="A48" s="781" t="s">
        <v>13</v>
      </c>
      <c r="B48" s="782"/>
      <c r="C48" s="164">
        <f>SUMIF($G$7:$G$31,"Start Up",$F$7:$F$31)</f>
        <v>0</v>
      </c>
      <c r="D48" s="118">
        <f>+C48+'22'!D48</f>
        <v>0</v>
      </c>
      <c r="E48" s="143">
        <f t="shared" si="10"/>
        <v>0</v>
      </c>
      <c r="F48" s="321"/>
      <c r="G48" s="322"/>
      <c r="H48" s="188" t="s">
        <v>81</v>
      </c>
      <c r="I48" s="118">
        <f>I46/I40</f>
        <v>1015.3682418050523</v>
      </c>
      <c r="J48" s="135">
        <f>J46/J40</f>
        <v>1515.2060002854839</v>
      </c>
      <c r="K48" s="130" t="s">
        <v>23</v>
      </c>
    </row>
    <row r="49" spans="1:11" ht="17.45" customHeight="1">
      <c r="A49" s="781" t="s">
        <v>19</v>
      </c>
      <c r="B49" s="782"/>
      <c r="C49" s="164">
        <f>SUMIF($G$7:$G$31,"Others",$F$7:$F$31)</f>
        <v>0</v>
      </c>
      <c r="D49" s="118">
        <f>+C49+'22'!D49</f>
        <v>22716</v>
      </c>
      <c r="E49" s="143">
        <f t="shared" si="10"/>
        <v>378.6</v>
      </c>
      <c r="F49" s="185"/>
      <c r="H49" s="188" t="s">
        <v>267</v>
      </c>
      <c r="I49" s="118">
        <f>+Report1!T31</f>
        <v>4443.1239197653222</v>
      </c>
      <c r="J49" s="135">
        <f>+I49+'22'!J49</f>
        <v>30151.867897344982</v>
      </c>
      <c r="K49" s="130" t="s">
        <v>82</v>
      </c>
    </row>
    <row r="50" spans="1:11" ht="17.45" customHeight="1">
      <c r="A50" s="781" t="s">
        <v>18</v>
      </c>
      <c r="B50" s="782"/>
      <c r="C50" s="164">
        <f>SUMIF($G$7:$G$31,"Steam",$F$7:$F$31)</f>
        <v>0</v>
      </c>
      <c r="D50" s="118">
        <f>+C50+'22'!D50</f>
        <v>0</v>
      </c>
      <c r="E50" s="143">
        <f t="shared" si="10"/>
        <v>0</v>
      </c>
      <c r="F50" s="185"/>
      <c r="H50" s="188" t="s">
        <v>83</v>
      </c>
      <c r="I50" s="140">
        <f>I49/I38</f>
        <v>114.29845702069103</v>
      </c>
      <c r="J50" s="133">
        <f>J49/J38</f>
        <v>121.01407889446533</v>
      </c>
      <c r="K50" s="130" t="s">
        <v>82</v>
      </c>
    </row>
    <row r="51" spans="1:11" ht="17.45" customHeight="1" thickBot="1">
      <c r="A51" s="783" t="s">
        <v>84</v>
      </c>
      <c r="B51" s="784"/>
      <c r="C51" s="164">
        <f>SUMIF($G$7:$G$31,"Planned shut",$F$7:$F$31)</f>
        <v>0</v>
      </c>
      <c r="D51" s="118">
        <f>+C51+'22'!D51</f>
        <v>0</v>
      </c>
      <c r="E51" s="143">
        <f t="shared" si="10"/>
        <v>0</v>
      </c>
      <c r="F51" s="185"/>
      <c r="H51" s="190" t="s">
        <v>85</v>
      </c>
      <c r="I51" s="141">
        <f>I49/I40</f>
        <v>118.2184950980556</v>
      </c>
      <c r="J51" s="136">
        <f>J49/J40</f>
        <v>130.42085867988953</v>
      </c>
      <c r="K51" s="137" t="s">
        <v>82</v>
      </c>
    </row>
    <row r="52" spans="1:11" ht="13.5" thickBot="1">
      <c r="A52" s="779" t="s">
        <v>27</v>
      </c>
      <c r="B52" s="780"/>
      <c r="C52" s="144">
        <f>SUM(C38:C51)</f>
        <v>63</v>
      </c>
      <c r="D52" s="144">
        <f>SUM(D38:D51)</f>
        <v>23262</v>
      </c>
      <c r="E52" s="145">
        <f>SUM(E38:E51)</f>
        <v>387.70000000000005</v>
      </c>
      <c r="F52" s="185"/>
      <c r="H52" s="191"/>
      <c r="I52" s="192"/>
      <c r="J52" s="138"/>
      <c r="K52" s="139"/>
    </row>
    <row r="53" spans="1:11" ht="13.5" thickBot="1">
      <c r="A53" s="785"/>
      <c r="B53" s="786"/>
      <c r="C53" s="146">
        <f>C52/(24*60)</f>
        <v>4.3749999999999997E-2</v>
      </c>
      <c r="D53" s="146">
        <f>D52/(24*60*G4)</f>
        <v>0.70235507246376816</v>
      </c>
      <c r="E53" s="147">
        <f>E52/(G4*24)</f>
        <v>0.70235507246376816</v>
      </c>
      <c r="F53" s="185"/>
    </row>
    <row r="54" spans="1:11">
      <c r="E54" s="193"/>
      <c r="F54" s="185"/>
    </row>
    <row r="55" spans="1:11">
      <c r="E55" s="193"/>
    </row>
    <row r="56" spans="1:11">
      <c r="A56" s="194" t="s">
        <v>86</v>
      </c>
      <c r="B56" s="195"/>
      <c r="C56" s="196"/>
      <c r="D56" s="196"/>
      <c r="E56" s="196"/>
      <c r="F56" s="197"/>
      <c r="G56" s="196"/>
      <c r="H56" s="198"/>
      <c r="I56" s="199" t="s">
        <v>87</v>
      </c>
      <c r="J56" s="200">
        <f>+D34+'22'!J56</f>
        <v>5129</v>
      </c>
      <c r="K56" s="201">
        <f>J56/(J40+J56/1000)/1000</f>
        <v>2.1703805888675428E-2</v>
      </c>
    </row>
    <row r="57" spans="1:11">
      <c r="A57" s="176"/>
      <c r="I57" s="199" t="s">
        <v>88</v>
      </c>
      <c r="J57" s="200">
        <f>+E34+'22'!J57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24:A32"/>
    <mergeCell ref="I24:I31"/>
    <mergeCell ref="A34:B34"/>
    <mergeCell ref="A37:B37"/>
    <mergeCell ref="A7:A14"/>
    <mergeCell ref="I7:I13"/>
    <mergeCell ref="A15:A23"/>
    <mergeCell ref="I15:I22"/>
    <mergeCell ref="A38:B38"/>
  </mergeCells>
  <phoneticPr fontId="32" type="noConversion"/>
  <printOptions horizontalCentered="1"/>
  <pageMargins left="0.19513888888888889" right="0.19513888888888889" top="0.19513888888888889" bottom="0.19513888888888889" header="0" footer="0"/>
  <pageSetup paperSize="9" scale="65" firstPageNumber="4294963191"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topLeftCell="I22" zoomScale="80" zoomScaleNormal="80" workbookViewId="0">
      <selection activeCell="O31" sqref="O28:V3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7109375" style="149" bestFit="1" customWidth="1"/>
    <col min="12" max="12" width="8.28515625" style="149" customWidth="1"/>
    <col min="13" max="13" width="15.28515625" style="149" customWidth="1"/>
    <col min="14" max="16384" width="9.140625" style="149"/>
  </cols>
  <sheetData>
    <row r="1" spans="1:26" ht="15.75">
      <c r="A1" s="148"/>
    </row>
    <row r="2" spans="1:26" ht="15.75">
      <c r="A2" s="148" t="s">
        <v>182</v>
      </c>
    </row>
    <row r="3" spans="1:26" ht="15">
      <c r="A3" s="150"/>
    </row>
    <row r="4" spans="1:26" ht="20.25">
      <c r="A4" s="151" t="s">
        <v>3</v>
      </c>
      <c r="B4" s="152"/>
      <c r="F4" s="153" t="s">
        <v>28</v>
      </c>
      <c r="G4" s="154">
        <v>22</v>
      </c>
      <c r="H4" s="154" t="str">
        <f>+'1'!H4</f>
        <v>.11.25</v>
      </c>
    </row>
    <row r="5" spans="1:26" ht="13.5" thickBot="1">
      <c r="C5" s="155"/>
      <c r="D5" s="155"/>
    </row>
    <row r="6" spans="1:26"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538</v>
      </c>
      <c r="O6" s="149">
        <v>1200</v>
      </c>
      <c r="P6" s="149">
        <f>+O6-O6*0.23</f>
        <v>924</v>
      </c>
      <c r="Q6" s="149">
        <v>420</v>
      </c>
      <c r="R6" s="149">
        <f t="shared" ref="R6:R7" si="0">+O6*Q6</f>
        <v>504000</v>
      </c>
      <c r="S6" s="149">
        <f t="shared" ref="S6:S7" si="1">+P6*Q6</f>
        <v>388080</v>
      </c>
      <c r="U6" s="149" t="s">
        <v>538</v>
      </c>
      <c r="V6" s="149">
        <v>1200</v>
      </c>
      <c r="W6" s="149">
        <f>+V6-V6*0.23</f>
        <v>924</v>
      </c>
      <c r="X6" s="149">
        <v>420</v>
      </c>
      <c r="Y6" s="149">
        <f t="shared" ref="Y6:Y7" si="2">+V6*X6</f>
        <v>504000</v>
      </c>
      <c r="Z6" s="149">
        <f t="shared" ref="Z6:Z7" si="3">+W6*X6</f>
        <v>388080</v>
      </c>
    </row>
    <row r="7" spans="1:26" ht="13.5" customHeight="1" thickBot="1">
      <c r="A7" s="767" t="s">
        <v>410</v>
      </c>
      <c r="B7" s="215" t="s">
        <v>548</v>
      </c>
      <c r="C7" s="216">
        <v>7537</v>
      </c>
      <c r="D7" s="217"/>
      <c r="E7" s="218"/>
      <c r="F7" s="227"/>
      <c r="G7" s="228" t="s">
        <v>11</v>
      </c>
      <c r="H7" s="229" t="s">
        <v>384</v>
      </c>
      <c r="I7" s="770" t="s">
        <v>564</v>
      </c>
      <c r="J7" s="214" t="str">
        <f>+'21'!J7</f>
        <v>F 12 VP OW</v>
      </c>
      <c r="K7" s="237"/>
      <c r="L7" s="241"/>
      <c r="M7" s="117">
        <f>+K7+'21'!M7+L7</f>
        <v>107792</v>
      </c>
      <c r="P7" s="149">
        <f>+O7-O7*0.23</f>
        <v>0</v>
      </c>
      <c r="R7" s="149">
        <f t="shared" si="0"/>
        <v>0</v>
      </c>
      <c r="S7" s="149">
        <f t="shared" si="1"/>
        <v>0</v>
      </c>
      <c r="U7" s="149" t="s">
        <v>538</v>
      </c>
      <c r="V7" s="149">
        <v>1200</v>
      </c>
      <c r="W7" s="149">
        <v>912</v>
      </c>
      <c r="X7" s="149">
        <v>448</v>
      </c>
      <c r="Y7" s="149">
        <f t="shared" si="2"/>
        <v>537600</v>
      </c>
      <c r="Z7" s="149">
        <f t="shared" si="3"/>
        <v>408576</v>
      </c>
    </row>
    <row r="8" spans="1:26" ht="13.5" thickBot="1">
      <c r="A8" s="768"/>
      <c r="B8" s="215"/>
      <c r="C8" s="216"/>
      <c r="D8" s="217"/>
      <c r="E8" s="219"/>
      <c r="F8" s="230">
        <v>6</v>
      </c>
      <c r="G8" s="231" t="s">
        <v>11</v>
      </c>
      <c r="H8" s="229" t="s">
        <v>510</v>
      </c>
      <c r="I8" s="771"/>
      <c r="J8" s="214" t="str">
        <f>+'21'!J8</f>
        <v>F 13 VP OW</v>
      </c>
      <c r="K8" s="238">
        <f>+C26</f>
        <v>9577</v>
      </c>
      <c r="L8" s="238"/>
      <c r="M8" s="117">
        <f>+K8+'21'!M8+L8</f>
        <v>26675</v>
      </c>
    </row>
    <row r="9" spans="1:26" ht="13.5" thickBot="1">
      <c r="A9" s="768"/>
      <c r="B9" s="215"/>
      <c r="C9" s="216"/>
      <c r="D9" s="217"/>
      <c r="E9" s="220"/>
      <c r="F9" s="227">
        <v>14</v>
      </c>
      <c r="G9" s="231" t="s">
        <v>11</v>
      </c>
      <c r="H9" s="232" t="s">
        <v>494</v>
      </c>
      <c r="I9" s="771"/>
      <c r="J9" s="214" t="str">
        <f>+'21'!J9</f>
        <v>F 14 VP OW</v>
      </c>
      <c r="K9" s="238"/>
      <c r="L9" s="238"/>
      <c r="M9" s="117">
        <f>+K9+'21'!M9+L9</f>
        <v>25625</v>
      </c>
    </row>
    <row r="10" spans="1:26" ht="39" thickBot="1">
      <c r="A10" s="768"/>
      <c r="B10" s="215"/>
      <c r="C10" s="216"/>
      <c r="D10" s="217"/>
      <c r="E10" s="219"/>
      <c r="F10" s="227"/>
      <c r="G10" s="236" t="s">
        <v>12</v>
      </c>
      <c r="H10" s="232" t="s">
        <v>560</v>
      </c>
      <c r="I10" s="771"/>
      <c r="J10" s="214" t="str">
        <f>+'21'!J10</f>
        <v>F 11 VP OW</v>
      </c>
      <c r="K10" s="238">
        <f>+C7+C16+C25</f>
        <v>24768</v>
      </c>
      <c r="L10" s="238"/>
      <c r="M10" s="117">
        <f>+K10+'21'!M10+L10</f>
        <v>33513</v>
      </c>
    </row>
    <row r="11" spans="1:26" ht="64.5" thickBot="1">
      <c r="A11" s="768"/>
      <c r="B11" s="215"/>
      <c r="C11" s="216"/>
      <c r="D11" s="217"/>
      <c r="E11" s="219"/>
      <c r="F11" s="227">
        <v>60</v>
      </c>
      <c r="G11" s="231" t="s">
        <v>11</v>
      </c>
      <c r="H11" s="232" t="s">
        <v>561</v>
      </c>
      <c r="I11" s="771"/>
      <c r="J11" s="214">
        <f>+'21'!J11</f>
        <v>0</v>
      </c>
      <c r="K11" s="238"/>
      <c r="L11" s="238"/>
      <c r="M11" s="117">
        <f>+K11+'21'!M11+L11</f>
        <v>0</v>
      </c>
    </row>
    <row r="12" spans="1:26" ht="13.5" thickBot="1">
      <c r="A12" s="768"/>
      <c r="B12" s="215"/>
      <c r="C12" s="216"/>
      <c r="D12" s="217"/>
      <c r="E12" s="219"/>
      <c r="F12" s="227"/>
      <c r="G12" s="231"/>
      <c r="H12" s="232"/>
      <c r="I12" s="771"/>
      <c r="J12" s="214">
        <f>+'21'!J12</f>
        <v>0</v>
      </c>
      <c r="K12" s="238"/>
      <c r="L12" s="238"/>
      <c r="M12" s="117">
        <f>+K12+'21'!M12+L12</f>
        <v>0</v>
      </c>
    </row>
    <row r="13" spans="1:26" ht="13.5" thickBot="1">
      <c r="A13" s="768"/>
      <c r="B13" s="215"/>
      <c r="C13" s="216"/>
      <c r="D13" s="216"/>
      <c r="E13" s="219"/>
      <c r="F13" s="227"/>
      <c r="G13" s="231"/>
      <c r="H13" s="232"/>
      <c r="I13" s="772"/>
      <c r="J13" s="214">
        <f>+'21'!J13</f>
        <v>0</v>
      </c>
      <c r="K13" s="238"/>
      <c r="L13" s="238"/>
      <c r="M13" s="117">
        <f>+K13+'21'!M13+L13</f>
        <v>0</v>
      </c>
    </row>
    <row r="14" spans="1:26" ht="13.5" thickBot="1">
      <c r="A14" s="769"/>
      <c r="B14" s="165" t="s">
        <v>2</v>
      </c>
      <c r="C14" s="99">
        <f>SUM(C7:C13)</f>
        <v>7537</v>
      </c>
      <c r="D14" s="111">
        <f>SUM(D7:D13)</f>
        <v>0</v>
      </c>
      <c r="E14" s="112">
        <f>SUM(E5:E13)</f>
        <v>0</v>
      </c>
      <c r="F14" s="116">
        <f>SUM(F7:F13)</f>
        <v>80</v>
      </c>
      <c r="G14" s="159"/>
      <c r="H14" s="166"/>
      <c r="I14" s="167"/>
      <c r="J14" s="214">
        <f>+'21'!J14</f>
        <v>0</v>
      </c>
      <c r="K14" s="238"/>
      <c r="L14" s="238"/>
      <c r="M14" s="117">
        <f>+K14+'21'!M14+L14</f>
        <v>0</v>
      </c>
      <c r="Q14" s="149">
        <f>+Q6+Q7</f>
        <v>420</v>
      </c>
      <c r="R14" s="149">
        <f>+R6+R7</f>
        <v>504000</v>
      </c>
      <c r="S14" s="149">
        <f>+S6+S7</f>
        <v>388080</v>
      </c>
      <c r="X14" s="149">
        <f>+X6+X7</f>
        <v>868</v>
      </c>
      <c r="Y14" s="149">
        <f>+Y6+Y7</f>
        <v>1041600</v>
      </c>
      <c r="Z14" s="149">
        <f>+Z6+Z7</f>
        <v>796656</v>
      </c>
    </row>
    <row r="15" spans="1:26" ht="13.5" customHeight="1" thickBot="1">
      <c r="A15" s="767" t="s">
        <v>407</v>
      </c>
      <c r="B15" s="165"/>
      <c r="C15" s="113">
        <f>C14/($C$23+$D$23+$E$23)</f>
        <v>0.59510461902881961</v>
      </c>
      <c r="D15" s="114">
        <f>D14/($C$23+$D$23+$E$23)</f>
        <v>0</v>
      </c>
      <c r="E15" s="115">
        <f>E14/($C$23+$D$23+$E$23)</f>
        <v>0</v>
      </c>
      <c r="F15" s="227">
        <v>9</v>
      </c>
      <c r="G15" s="228" t="s">
        <v>11</v>
      </c>
      <c r="H15" s="229" t="s">
        <v>460</v>
      </c>
      <c r="I15" s="770" t="s">
        <v>563</v>
      </c>
      <c r="J15" s="214">
        <f>+'21'!J15</f>
        <v>0</v>
      </c>
      <c r="K15" s="238"/>
      <c r="L15" s="238"/>
      <c r="M15" s="117">
        <f>+K15+'21'!M15+L15</f>
        <v>0</v>
      </c>
      <c r="P15" s="149">
        <f>480-420</f>
        <v>60</v>
      </c>
      <c r="Q15" s="149">
        <f>480-Q14</f>
        <v>60</v>
      </c>
      <c r="R15" s="149">
        <f>+R14/Q14</f>
        <v>1200</v>
      </c>
      <c r="S15" s="149">
        <f>+S14/Q14</f>
        <v>924</v>
      </c>
      <c r="W15" s="149">
        <f>480-420</f>
        <v>60</v>
      </c>
      <c r="X15" s="149">
        <f>480-X14</f>
        <v>-388</v>
      </c>
      <c r="Y15" s="149">
        <f>+Y14/X14</f>
        <v>1200</v>
      </c>
      <c r="Z15" s="149">
        <f>+Z14/X14</f>
        <v>917.80645161290317</v>
      </c>
    </row>
    <row r="16" spans="1:26" ht="13.5" thickBot="1">
      <c r="A16" s="773"/>
      <c r="B16" s="215" t="s">
        <v>548</v>
      </c>
      <c r="C16" s="221">
        <v>12665</v>
      </c>
      <c r="D16" s="222"/>
      <c r="E16" s="223"/>
      <c r="F16" s="230"/>
      <c r="G16" s="231" t="s">
        <v>11</v>
      </c>
      <c r="H16" s="229" t="s">
        <v>282</v>
      </c>
      <c r="I16" s="771"/>
      <c r="J16" s="214">
        <f>+'21'!J16</f>
        <v>0</v>
      </c>
      <c r="K16" s="228"/>
      <c r="L16" s="228"/>
      <c r="M16" s="117">
        <f>+K16+'21'!M16+L16</f>
        <v>0</v>
      </c>
    </row>
    <row r="17" spans="1:26" ht="13.5" thickBot="1">
      <c r="A17" s="773"/>
      <c r="B17" s="215"/>
      <c r="C17" s="216"/>
      <c r="D17" s="217"/>
      <c r="E17" s="224"/>
      <c r="F17" s="227">
        <f>24-9</f>
        <v>15</v>
      </c>
      <c r="G17" s="231" t="s">
        <v>11</v>
      </c>
      <c r="H17" s="232" t="s">
        <v>494</v>
      </c>
      <c r="I17" s="771"/>
      <c r="J17" s="214">
        <f>+'21'!J17</f>
        <v>0</v>
      </c>
      <c r="K17" s="228"/>
      <c r="L17" s="228"/>
      <c r="M17" s="117">
        <f>+K17+'21'!M17+L17</f>
        <v>0</v>
      </c>
      <c r="N17" s="149" t="s">
        <v>538</v>
      </c>
      <c r="O17" s="149">
        <v>1200</v>
      </c>
      <c r="P17" s="149">
        <f>+O17-O17*0.24</f>
        <v>912</v>
      </c>
      <c r="Q17" s="149">
        <f>480-Q18</f>
        <v>448</v>
      </c>
      <c r="R17" s="149">
        <f t="shared" ref="R17:R18" si="4">+O17*Q17</f>
        <v>537600</v>
      </c>
      <c r="S17" s="149">
        <f t="shared" ref="S17:S18" si="5">+P17*Q17</f>
        <v>408576</v>
      </c>
    </row>
    <row r="18" spans="1:26" ht="51.75" thickBot="1">
      <c r="A18" s="773"/>
      <c r="B18" s="215"/>
      <c r="C18" s="216"/>
      <c r="D18" s="217"/>
      <c r="E18" s="224"/>
      <c r="F18" s="227"/>
      <c r="G18" s="236" t="s">
        <v>12</v>
      </c>
      <c r="H18" s="232" t="s">
        <v>558</v>
      </c>
      <c r="I18" s="771"/>
      <c r="J18" s="214">
        <f>+'21'!J18</f>
        <v>0</v>
      </c>
      <c r="K18" s="238"/>
      <c r="L18" s="238"/>
      <c r="M18" s="117">
        <f>+K18+'21'!M18+L18</f>
        <v>0</v>
      </c>
      <c r="N18" s="149" t="s">
        <v>516</v>
      </c>
      <c r="O18" s="149">
        <v>1150</v>
      </c>
      <c r="P18" s="149">
        <f>+O18-O18*0.23</f>
        <v>885.5</v>
      </c>
      <c r="Q18" s="149">
        <f>60-28</f>
        <v>32</v>
      </c>
      <c r="R18" s="149">
        <f t="shared" si="4"/>
        <v>36800</v>
      </c>
      <c r="S18" s="149">
        <f t="shared" si="5"/>
        <v>28336</v>
      </c>
      <c r="U18" s="149" t="s">
        <v>516</v>
      </c>
      <c r="V18" s="149">
        <v>1150</v>
      </c>
      <c r="W18" s="149">
        <v>885.5</v>
      </c>
      <c r="X18" s="149">
        <v>32</v>
      </c>
      <c r="Y18" s="149">
        <f t="shared" ref="Y18:Y19" si="6">+V18*X18</f>
        <v>36800</v>
      </c>
      <c r="Z18" s="149">
        <f t="shared" ref="Z18:Z19" si="7">+W18*X18</f>
        <v>28336</v>
      </c>
    </row>
    <row r="19" spans="1:26" ht="26.25" thickBot="1">
      <c r="A19" s="773"/>
      <c r="B19" s="215"/>
      <c r="C19" s="216"/>
      <c r="D19" s="217"/>
      <c r="E19" s="224"/>
      <c r="F19" s="234"/>
      <c r="G19" s="231"/>
      <c r="H19" s="232" t="s">
        <v>559</v>
      </c>
      <c r="I19" s="771"/>
      <c r="J19" s="214">
        <f>+'21'!J19</f>
        <v>0</v>
      </c>
      <c r="K19" s="238"/>
      <c r="L19" s="238"/>
      <c r="M19" s="117">
        <f>+K19+'21'!M19+L19</f>
        <v>0</v>
      </c>
      <c r="U19" s="149" t="s">
        <v>516</v>
      </c>
      <c r="V19" s="149">
        <v>1150</v>
      </c>
      <c r="W19" s="149">
        <v>885.5</v>
      </c>
      <c r="X19" s="149">
        <v>480</v>
      </c>
      <c r="Y19" s="149">
        <f t="shared" si="6"/>
        <v>552000</v>
      </c>
      <c r="Z19" s="149">
        <f t="shared" si="7"/>
        <v>425040</v>
      </c>
    </row>
    <row r="20" spans="1:26" ht="13.5" thickBot="1">
      <c r="A20" s="773"/>
      <c r="B20" s="215"/>
      <c r="C20" s="216"/>
      <c r="D20" s="217"/>
      <c r="E20" s="224"/>
      <c r="F20" s="227"/>
      <c r="G20" s="231"/>
      <c r="H20" s="232"/>
      <c r="I20" s="771"/>
      <c r="J20" s="214">
        <f>+'21'!J20</f>
        <v>0</v>
      </c>
      <c r="K20" s="239"/>
      <c r="L20" s="239"/>
      <c r="M20" s="117">
        <f>+K20+'21'!M20+L20</f>
        <v>0</v>
      </c>
    </row>
    <row r="21" spans="1:26" ht="13.5" thickBot="1">
      <c r="A21" s="773"/>
      <c r="B21" s="215"/>
      <c r="C21" s="216"/>
      <c r="D21" s="217"/>
      <c r="E21" s="224"/>
      <c r="F21" s="230"/>
      <c r="G21" s="231"/>
      <c r="H21" s="232"/>
      <c r="I21" s="771"/>
      <c r="J21" s="214">
        <f>+'21'!J21</f>
        <v>0</v>
      </c>
      <c r="K21" s="238"/>
      <c r="L21" s="238"/>
      <c r="M21" s="117">
        <f>+K21+'21'!M21+L21</f>
        <v>0</v>
      </c>
    </row>
    <row r="22" spans="1:26" ht="13.5" thickBot="1">
      <c r="A22" s="773"/>
      <c r="B22" s="215"/>
      <c r="C22" s="216"/>
      <c r="D22" s="217"/>
      <c r="E22" s="224"/>
      <c r="F22" s="235"/>
      <c r="G22" s="231"/>
      <c r="H22" s="232"/>
      <c r="I22" s="772"/>
      <c r="J22" s="214">
        <f>+'21'!J22</f>
        <v>0</v>
      </c>
      <c r="K22" s="238"/>
      <c r="L22" s="238"/>
      <c r="M22" s="117">
        <f>+K22+'21'!M22+L22</f>
        <v>0</v>
      </c>
    </row>
    <row r="23" spans="1:26" ht="13.5" thickBot="1">
      <c r="A23" s="774"/>
      <c r="B23" s="168" t="s">
        <v>2</v>
      </c>
      <c r="C23" s="100">
        <f>SUM(C16:C22)</f>
        <v>12665</v>
      </c>
      <c r="D23" s="111">
        <f>SUM(D16:D22)</f>
        <v>0</v>
      </c>
      <c r="E23" s="112">
        <f>SUM(E18:E22)</f>
        <v>0</v>
      </c>
      <c r="F23" s="116">
        <f>SUM(F15:F22)</f>
        <v>24</v>
      </c>
      <c r="G23" s="159"/>
      <c r="H23" s="166"/>
      <c r="I23" s="169"/>
      <c r="J23" s="214">
        <f>+'21'!J23</f>
        <v>0</v>
      </c>
      <c r="K23" s="238"/>
      <c r="L23" s="238"/>
      <c r="M23" s="117">
        <f>+K23+'21'!M23+L23</f>
        <v>0</v>
      </c>
    </row>
    <row r="24" spans="1:26" ht="13.5" customHeight="1" thickBot="1">
      <c r="A24" s="767" t="s">
        <v>389</v>
      </c>
      <c r="B24" s="170"/>
      <c r="C24" s="113">
        <f>C23/($C$23+$D$23+$E$23)</f>
        <v>1</v>
      </c>
      <c r="D24" s="114">
        <f>D23/($C$23+$D$23+$E$23)</f>
        <v>0</v>
      </c>
      <c r="E24" s="115">
        <f>E23/($C$23+$D$23+$E$23)</f>
        <v>0</v>
      </c>
      <c r="F24" s="227"/>
      <c r="G24" s="228" t="s">
        <v>11</v>
      </c>
      <c r="H24" s="229" t="s">
        <v>384</v>
      </c>
      <c r="I24" s="770" t="s">
        <v>521</v>
      </c>
      <c r="J24" s="214">
        <f>+'21'!J24</f>
        <v>0</v>
      </c>
      <c r="K24" s="238"/>
      <c r="L24" s="238"/>
      <c r="M24" s="117">
        <f>+K24+'21'!M24+L24</f>
        <v>0</v>
      </c>
    </row>
    <row r="25" spans="1:26" ht="13.5" thickBot="1">
      <c r="A25" s="773"/>
      <c r="B25" s="215" t="s">
        <v>548</v>
      </c>
      <c r="C25" s="225">
        <f>2182+2384</f>
        <v>4566</v>
      </c>
      <c r="D25" s="217"/>
      <c r="E25" s="224"/>
      <c r="F25" s="230">
        <v>4</v>
      </c>
      <c r="G25" s="231" t="s">
        <v>11</v>
      </c>
      <c r="H25" s="229" t="s">
        <v>510</v>
      </c>
      <c r="I25" s="771"/>
      <c r="J25" s="214">
        <f>+'21'!J25</f>
        <v>0</v>
      </c>
      <c r="K25" s="238"/>
      <c r="L25" s="238"/>
      <c r="M25" s="117">
        <f>+K25+'21'!M25+L25</f>
        <v>0</v>
      </c>
      <c r="Q25" s="149">
        <f>+Q17+Q18</f>
        <v>480</v>
      </c>
      <c r="R25" s="149">
        <f>+R17+R18</f>
        <v>574400</v>
      </c>
      <c r="S25" s="149">
        <f>+S17+S18</f>
        <v>436912</v>
      </c>
    </row>
    <row r="26" spans="1:26" ht="13.5" thickBot="1">
      <c r="A26" s="773"/>
      <c r="B26" s="215" t="s">
        <v>529</v>
      </c>
      <c r="C26" s="225">
        <f>4307+5270</f>
        <v>9577</v>
      </c>
      <c r="D26" s="217"/>
      <c r="E26" s="226"/>
      <c r="F26" s="227">
        <v>14</v>
      </c>
      <c r="G26" s="231" t="s">
        <v>11</v>
      </c>
      <c r="H26" s="232" t="s">
        <v>477</v>
      </c>
      <c r="I26" s="771"/>
      <c r="J26" s="214">
        <f>+'21'!J26</f>
        <v>0</v>
      </c>
      <c r="K26" s="238"/>
      <c r="L26" s="238"/>
      <c r="M26" s="117">
        <f>+K26+'21'!M26+L26</f>
        <v>0</v>
      </c>
      <c r="P26" s="149">
        <f>60*4+3</f>
        <v>243</v>
      </c>
      <c r="Q26" s="149">
        <f>480-Q25</f>
        <v>0</v>
      </c>
      <c r="R26" s="149">
        <f>+R25/Q25</f>
        <v>1196.6666666666667</v>
      </c>
      <c r="S26" s="149">
        <f>+S25/Q25</f>
        <v>910.23333333333335</v>
      </c>
      <c r="X26" s="149">
        <f>+X18+X19</f>
        <v>512</v>
      </c>
      <c r="Y26" s="149">
        <f>+Y18+Y19</f>
        <v>588800</v>
      </c>
      <c r="Z26" s="149">
        <f>+Z18+Z19</f>
        <v>453376</v>
      </c>
    </row>
    <row r="27" spans="1:26" ht="39" thickBot="1">
      <c r="A27" s="773"/>
      <c r="B27" s="215"/>
      <c r="C27" s="216"/>
      <c r="D27" s="217"/>
      <c r="E27" s="224"/>
      <c r="F27" s="227"/>
      <c r="G27" s="236" t="s">
        <v>12</v>
      </c>
      <c r="H27" s="232" t="s">
        <v>562</v>
      </c>
      <c r="I27" s="771"/>
      <c r="J27" s="214">
        <f>+'21'!J27</f>
        <v>0</v>
      </c>
      <c r="K27" s="238"/>
      <c r="L27" s="238"/>
      <c r="M27" s="117">
        <f>+K27+'21'!M27+L27</f>
        <v>0</v>
      </c>
      <c r="N27" s="149" t="s">
        <v>516</v>
      </c>
      <c r="O27" s="149">
        <v>1150</v>
      </c>
      <c r="P27" s="149">
        <f>+O27-O27*0.23</f>
        <v>885.5</v>
      </c>
      <c r="Q27" s="149">
        <v>480</v>
      </c>
      <c r="R27" s="149">
        <f t="shared" ref="R27:R28" si="8">+O27*Q27</f>
        <v>552000</v>
      </c>
      <c r="S27" s="149">
        <f t="shared" ref="S27:S28" si="9">+P27*Q27</f>
        <v>425040</v>
      </c>
      <c r="W27" s="149">
        <f>480-420</f>
        <v>60</v>
      </c>
      <c r="X27" s="149">
        <f>480-X26</f>
        <v>-32</v>
      </c>
      <c r="Y27" s="149">
        <f>+Y26/X26</f>
        <v>1150</v>
      </c>
      <c r="Z27" s="149">
        <f>+Z26/X26</f>
        <v>885.5</v>
      </c>
    </row>
    <row r="28" spans="1:26" ht="13.5" thickBot="1">
      <c r="A28" s="773"/>
      <c r="B28" s="215"/>
      <c r="C28" s="216"/>
      <c r="D28" s="217"/>
      <c r="E28" s="224"/>
      <c r="F28" s="230"/>
      <c r="G28" s="231"/>
      <c r="H28" s="232" t="s">
        <v>557</v>
      </c>
      <c r="I28" s="771"/>
      <c r="J28" s="214">
        <f>+'21'!J28</f>
        <v>0</v>
      </c>
      <c r="K28" s="238"/>
      <c r="L28" s="238"/>
      <c r="M28" s="117">
        <f>+K28+'21'!M28+L28</f>
        <v>0</v>
      </c>
      <c r="P28" s="149">
        <f>+O28-O28*0.23</f>
        <v>0</v>
      </c>
      <c r="R28" s="149">
        <f t="shared" si="8"/>
        <v>0</v>
      </c>
      <c r="S28" s="149">
        <f t="shared" si="9"/>
        <v>0</v>
      </c>
    </row>
    <row r="29" spans="1:26" ht="13.5" thickBot="1">
      <c r="A29" s="773"/>
      <c r="B29" s="215"/>
      <c r="C29" s="216"/>
      <c r="D29" s="217"/>
      <c r="E29" s="224"/>
      <c r="F29" s="235"/>
      <c r="G29" s="231"/>
      <c r="H29" s="232"/>
      <c r="I29" s="771"/>
      <c r="J29" s="214">
        <f>+'21'!J29</f>
        <v>0</v>
      </c>
      <c r="K29" s="238"/>
      <c r="L29" s="238"/>
      <c r="M29" s="117">
        <f>+K29+'21'!M29+L29</f>
        <v>0</v>
      </c>
    </row>
    <row r="30" spans="1:26" ht="13.5" thickBot="1">
      <c r="A30" s="773"/>
      <c r="B30" s="215"/>
      <c r="C30" s="225"/>
      <c r="D30" s="217"/>
      <c r="E30" s="224"/>
      <c r="F30" s="235"/>
      <c r="G30" s="231"/>
      <c r="H30" s="232"/>
      <c r="I30" s="771"/>
      <c r="J30" s="214">
        <f>+'21'!J30</f>
        <v>0</v>
      </c>
      <c r="K30" s="238"/>
      <c r="L30" s="238"/>
      <c r="M30" s="117">
        <f>+K30+'21'!M30+L30</f>
        <v>0</v>
      </c>
    </row>
    <row r="31" spans="1:26" ht="13.5" thickBot="1">
      <c r="A31" s="773"/>
      <c r="B31" s="215"/>
      <c r="C31" s="225"/>
      <c r="D31" s="217"/>
      <c r="E31" s="224"/>
      <c r="F31" s="235"/>
      <c r="G31" s="236"/>
      <c r="H31" s="444"/>
      <c r="I31" s="772"/>
      <c r="J31" s="214">
        <f>+'21'!J31</f>
        <v>0</v>
      </c>
      <c r="K31" s="238"/>
      <c r="L31" s="238"/>
      <c r="M31" s="117">
        <f>+K31+'21'!M31+L31</f>
        <v>0</v>
      </c>
    </row>
    <row r="32" spans="1:26" ht="13.5" thickBot="1">
      <c r="A32" s="774"/>
      <c r="B32" s="165" t="s">
        <v>2</v>
      </c>
      <c r="C32" s="99">
        <f>SUM(C25:C31)</f>
        <v>14143</v>
      </c>
      <c r="D32" s="100">
        <f>SUM(D25:D31)</f>
        <v>0</v>
      </c>
      <c r="E32" s="101">
        <f>SUM(E25:E31)</f>
        <v>0</v>
      </c>
      <c r="F32" s="102">
        <f>SUM(F24:F31)</f>
        <v>18</v>
      </c>
      <c r="G32" s="171"/>
      <c r="H32" s="172"/>
      <c r="I32" s="169"/>
      <c r="J32" s="214">
        <f>+'21'!J32</f>
        <v>0</v>
      </c>
      <c r="K32" s="240"/>
      <c r="L32" s="242"/>
      <c r="M32" s="117">
        <f>+K32+'21'!M32+L32</f>
        <v>0</v>
      </c>
    </row>
    <row r="33" spans="1:19" ht="13.5" thickBot="1">
      <c r="A33" s="173"/>
      <c r="B33" s="174"/>
      <c r="C33" s="103">
        <f>C32/($C$32+$D$32+$E$32)</f>
        <v>1</v>
      </c>
      <c r="D33" s="104">
        <f>D32/($C$32+$D$32+$E$32)</f>
        <v>0</v>
      </c>
      <c r="E33" s="105">
        <f>E32/($C$32+$D$32+$E$32)</f>
        <v>0</v>
      </c>
      <c r="F33" s="106"/>
      <c r="G33" s="175"/>
      <c r="H33" s="176"/>
      <c r="I33" s="177"/>
      <c r="J33" s="121"/>
      <c r="K33" s="122"/>
      <c r="L33" s="213"/>
      <c r="M33" s="119"/>
    </row>
    <row r="34" spans="1:19" ht="13.5" thickBot="1">
      <c r="A34" s="775" t="s">
        <v>57</v>
      </c>
      <c r="B34" s="776"/>
      <c r="C34" s="107">
        <f>C14+C23+C32</f>
        <v>34345</v>
      </c>
      <c r="D34" s="107">
        <f>D14+D23+D32</f>
        <v>0</v>
      </c>
      <c r="E34" s="107">
        <f>E14+E23+E32</f>
        <v>0</v>
      </c>
      <c r="F34" s="108">
        <f>F14+F23+F32</f>
        <v>122</v>
      </c>
      <c r="H34" s="178"/>
      <c r="I34" s="178"/>
      <c r="J34" s="123" t="s">
        <v>27</v>
      </c>
      <c r="K34" s="124">
        <f>SUM(K7:K32)</f>
        <v>34345</v>
      </c>
      <c r="L34" s="212">
        <f>SUM(L7:L32)</f>
        <v>0</v>
      </c>
      <c r="M34" s="120">
        <f>SUM(M7:M32)</f>
        <v>193605</v>
      </c>
    </row>
    <row r="35" spans="1:19" ht="13.5" thickBot="1">
      <c r="A35" s="179"/>
      <c r="B35" s="180"/>
      <c r="C35" s="104">
        <f>C34/($C$34+$D$34+$E$34)</f>
        <v>1</v>
      </c>
      <c r="D35" s="104">
        <f>D34/($C$34+$D$34+$E$34)</f>
        <v>0</v>
      </c>
      <c r="E35" s="109">
        <f>E34/($C$34+$D$34+$E$34)</f>
        <v>0</v>
      </c>
      <c r="K35" s="155"/>
      <c r="Q35" s="149">
        <f>+Q27+Q28</f>
        <v>480</v>
      </c>
      <c r="R35" s="149">
        <f>+R27+R28</f>
        <v>552000</v>
      </c>
      <c r="S35" s="149">
        <f>+S27+S28</f>
        <v>425040</v>
      </c>
    </row>
    <row r="36" spans="1:19" ht="13.5" thickBot="1">
      <c r="A36" s="178"/>
      <c r="B36" s="178"/>
      <c r="C36" s="155"/>
      <c r="D36" s="155"/>
      <c r="E36" s="155"/>
      <c r="G36" s="155"/>
      <c r="H36" s="181"/>
      <c r="I36" s="162" t="s">
        <v>36</v>
      </c>
      <c r="J36" s="162" t="s">
        <v>37</v>
      </c>
      <c r="K36" s="182"/>
      <c r="Q36" s="149">
        <f>480-Q35</f>
        <v>0</v>
      </c>
      <c r="R36" s="149">
        <f>+R35/Q35</f>
        <v>1150</v>
      </c>
      <c r="S36" s="149">
        <f>+S35/Q35</f>
        <v>885.5</v>
      </c>
    </row>
    <row r="37" spans="1:19" ht="17.45" customHeight="1" thickBot="1">
      <c r="A37" s="777" t="s">
        <v>58</v>
      </c>
      <c r="B37" s="778"/>
      <c r="C37" s="162" t="s">
        <v>59</v>
      </c>
      <c r="D37" s="183" t="s">
        <v>60</v>
      </c>
      <c r="E37" s="184" t="s">
        <v>61</v>
      </c>
      <c r="F37" s="321"/>
      <c r="G37" s="323"/>
      <c r="H37" s="186" t="s">
        <v>62</v>
      </c>
      <c r="I37" s="243">
        <f>(11*868+512*13)/1380*G42*2.74*1380/1000000</f>
        <v>40.217478816463768</v>
      </c>
      <c r="J37" s="125">
        <f>+I37+'21'!J37</f>
        <v>236.92094450002932</v>
      </c>
      <c r="K37" s="126" t="s">
        <v>63</v>
      </c>
    </row>
    <row r="38" spans="1:19" ht="17.45" customHeight="1">
      <c r="A38" s="779" t="s">
        <v>11</v>
      </c>
      <c r="B38" s="780"/>
      <c r="C38" s="164">
        <f>SUMIF($G$7:$G$31,"Process",$F$7:$F$31)</f>
        <v>122</v>
      </c>
      <c r="D38" s="118">
        <f>+C38+'21'!D38</f>
        <v>428</v>
      </c>
      <c r="E38" s="143">
        <f t="shared" ref="E38:E51" si="10">D38/60</f>
        <v>7.1333333333333337</v>
      </c>
      <c r="F38" s="321">
        <v>1200</v>
      </c>
      <c r="G38" s="321">
        <v>924</v>
      </c>
      <c r="H38" s="187" t="s">
        <v>64</v>
      </c>
      <c r="I38" s="244">
        <f>11.036+12.099+13.472</f>
        <v>36.606999999999999</v>
      </c>
      <c r="J38" s="127">
        <f>+I38+'21'!J38</f>
        <v>210.28700000000001</v>
      </c>
      <c r="K38" s="128" t="s">
        <v>63</v>
      </c>
      <c r="M38" s="149">
        <v>420</v>
      </c>
      <c r="O38" s="149" t="s">
        <v>538</v>
      </c>
      <c r="P38" s="149">
        <v>1200</v>
      </c>
      <c r="Q38" s="149">
        <v>917.80645161290317</v>
      </c>
      <c r="R38" s="149">
        <v>868</v>
      </c>
    </row>
    <row r="39" spans="1:19" ht="17.45" customHeight="1">
      <c r="A39" s="781" t="s">
        <v>12</v>
      </c>
      <c r="B39" s="782"/>
      <c r="C39" s="164">
        <f>SUMIF($G$7:$G$31,"Cleaning",$F$7:$F$31)</f>
        <v>0</v>
      </c>
      <c r="D39" s="118">
        <f>+C39+'21'!D39</f>
        <v>0</v>
      </c>
      <c r="E39" s="143">
        <f t="shared" si="10"/>
        <v>0</v>
      </c>
      <c r="F39" s="321">
        <v>1196.6666666666667</v>
      </c>
      <c r="G39" s="321">
        <v>910.23333333333335</v>
      </c>
      <c r="H39" s="187" t="s">
        <v>65</v>
      </c>
      <c r="I39" s="142"/>
      <c r="J39" s="129">
        <f>J37/G4</f>
        <v>10.769133840910424</v>
      </c>
      <c r="K39" s="130" t="s">
        <v>63</v>
      </c>
      <c r="M39" s="149">
        <v>480</v>
      </c>
      <c r="O39" s="149" t="s">
        <v>516</v>
      </c>
      <c r="P39" s="149">
        <v>1150</v>
      </c>
      <c r="Q39" s="149">
        <v>885.5</v>
      </c>
      <c r="R39" s="149">
        <v>512</v>
      </c>
    </row>
    <row r="40" spans="1:19" ht="17.45" customHeight="1">
      <c r="A40" s="781" t="s">
        <v>66</v>
      </c>
      <c r="B40" s="782"/>
      <c r="C40" s="164">
        <f>SUMIF($G$7:$G$31,"Mechanical",$F$7:$F$31)</f>
        <v>0</v>
      </c>
      <c r="D40" s="118">
        <f>+C40+'21'!D40</f>
        <v>0</v>
      </c>
      <c r="E40" s="143">
        <f t="shared" si="10"/>
        <v>0</v>
      </c>
      <c r="F40" s="321">
        <v>1150</v>
      </c>
      <c r="G40" s="321">
        <v>885.5</v>
      </c>
      <c r="H40" s="187" t="s">
        <v>67</v>
      </c>
      <c r="I40" s="118">
        <f>(K34+L34)/1000</f>
        <v>34.344999999999999</v>
      </c>
      <c r="J40" s="131">
        <f>+I40+'21'!J40</f>
        <v>193.60499999999999</v>
      </c>
      <c r="K40" s="130" t="s">
        <v>63</v>
      </c>
      <c r="M40" s="149">
        <v>480</v>
      </c>
      <c r="R40" s="149">
        <f>+R38+R39</f>
        <v>1380</v>
      </c>
    </row>
    <row r="41" spans="1:19" ht="17.45" customHeight="1">
      <c r="A41" s="781" t="s">
        <v>68</v>
      </c>
      <c r="B41" s="782"/>
      <c r="C41" s="164">
        <f>SUMIF($G$7:$G$31,"Electrical",$F$7:$F$31)</f>
        <v>0</v>
      </c>
      <c r="D41" s="118">
        <f>+C41+'21'!D41</f>
        <v>55</v>
      </c>
      <c r="E41" s="143">
        <f t="shared" si="10"/>
        <v>0.91666666666666663</v>
      </c>
      <c r="F41" s="321"/>
      <c r="G41" s="321"/>
      <c r="H41" s="187" t="s">
        <v>69</v>
      </c>
      <c r="I41" s="142"/>
      <c r="J41" s="129">
        <f>J40/G4</f>
        <v>8.8002272727272715</v>
      </c>
      <c r="K41" s="130" t="s">
        <v>63</v>
      </c>
      <c r="M41" s="149">
        <f>+M38+M39+M40</f>
        <v>1380</v>
      </c>
    </row>
    <row r="42" spans="1:19" ht="17.45" customHeight="1">
      <c r="A42" s="781" t="s">
        <v>15</v>
      </c>
      <c r="B42" s="782"/>
      <c r="C42" s="164">
        <f>SUMIF($G$7:$G$31,"Instrument",$F$7:$F$31)</f>
        <v>0</v>
      </c>
      <c r="D42" s="118">
        <f>+C42+'21'!D42</f>
        <v>0</v>
      </c>
      <c r="E42" s="143">
        <f t="shared" si="10"/>
        <v>0</v>
      </c>
      <c r="F42" s="321">
        <f>+(420*F38+480*F39+480*F40)/1380</f>
        <v>1181.4492753623188</v>
      </c>
      <c r="G42" s="321">
        <f>+(420*G38+480*G39+480*G40)/1380</f>
        <v>905.82028985507247</v>
      </c>
      <c r="H42" s="187" t="s">
        <v>70</v>
      </c>
      <c r="I42" s="245" t="s">
        <v>565</v>
      </c>
      <c r="J42" s="132"/>
      <c r="K42" s="130" t="s">
        <v>71</v>
      </c>
    </row>
    <row r="43" spans="1:19" ht="17.45" customHeight="1">
      <c r="A43" s="781" t="s">
        <v>72</v>
      </c>
      <c r="B43" s="782"/>
      <c r="C43" s="164">
        <f>SUMIF($G$7:$G$31,"Water",$F$7:$F$31)</f>
        <v>0</v>
      </c>
      <c r="D43" s="118">
        <f>+C43+'21'!D43</f>
        <v>0</v>
      </c>
      <c r="E43" s="143">
        <f t="shared" si="10"/>
        <v>0</v>
      </c>
      <c r="F43" s="321"/>
      <c r="G43" s="322"/>
      <c r="H43" s="188" t="s">
        <v>73</v>
      </c>
      <c r="I43" s="118">
        <f>+Report1!Z30</f>
        <v>52.9</v>
      </c>
      <c r="J43" s="133">
        <f>+I43+'21'!J43</f>
        <v>667.8</v>
      </c>
      <c r="K43" s="130" t="s">
        <v>63</v>
      </c>
      <c r="L43" s="189"/>
    </row>
    <row r="44" spans="1:19" ht="17.45" customHeight="1">
      <c r="A44" s="781" t="s">
        <v>16</v>
      </c>
      <c r="B44" s="782"/>
      <c r="C44" s="164">
        <f>SUMIF($G$7:$G$31,"PLN",$F$7:$F$31)</f>
        <v>0</v>
      </c>
      <c r="D44" s="118">
        <f>+C44+'21'!D44</f>
        <v>0</v>
      </c>
      <c r="E44" s="143">
        <f t="shared" si="10"/>
        <v>0</v>
      </c>
      <c r="F44" s="321"/>
      <c r="G44" s="322"/>
      <c r="H44" s="188" t="s">
        <v>74</v>
      </c>
      <c r="I44" s="118">
        <f>I43/I38</f>
        <v>1.4450788100636489</v>
      </c>
      <c r="J44" s="134">
        <f>J43/J38</f>
        <v>3.1756599314270493</v>
      </c>
      <c r="K44" s="130" t="s">
        <v>63</v>
      </c>
    </row>
    <row r="45" spans="1:19" ht="17.45" customHeight="1">
      <c r="A45" s="781" t="s">
        <v>17</v>
      </c>
      <c r="B45" s="782"/>
      <c r="C45" s="164">
        <f>SUMIF($G$7:$G$31,"Boiler",$F$7:$F$31)</f>
        <v>0</v>
      </c>
      <c r="D45" s="118">
        <f>+C45+'21'!D45</f>
        <v>0</v>
      </c>
      <c r="E45" s="143">
        <f t="shared" si="10"/>
        <v>0</v>
      </c>
      <c r="F45" s="321"/>
      <c r="G45" s="324"/>
      <c r="H45" s="188" t="s">
        <v>75</v>
      </c>
      <c r="I45" s="118">
        <f>I43/I40</f>
        <v>1.5402533119813655</v>
      </c>
      <c r="J45" s="134">
        <f>J43/J40</f>
        <v>3.44929108235841</v>
      </c>
      <c r="K45" s="130" t="s">
        <v>63</v>
      </c>
    </row>
    <row r="46" spans="1:19" ht="17.45" customHeight="1">
      <c r="A46" s="781" t="s">
        <v>76</v>
      </c>
      <c r="B46" s="782"/>
      <c r="C46" s="164">
        <f>SUMIF($G$7:$G$31,"Gas",$F$7:$F$31)</f>
        <v>0</v>
      </c>
      <c r="D46" s="118">
        <f>+C46+'21'!D46</f>
        <v>0</v>
      </c>
      <c r="E46" s="143">
        <f t="shared" si="10"/>
        <v>0</v>
      </c>
      <c r="F46" s="321"/>
      <c r="G46" s="322"/>
      <c r="H46" s="188" t="s">
        <v>77</v>
      </c>
      <c r="I46" s="140">
        <f>+SUMIF(Listrik!P29,"&gt;0")</f>
        <v>38351.699999998906</v>
      </c>
      <c r="J46" s="135">
        <f>+I46+'21'!J46</f>
        <v>312137.35999999964</v>
      </c>
      <c r="K46" s="130" t="s">
        <v>78</v>
      </c>
    </row>
    <row r="47" spans="1:19" ht="17.45" customHeight="1">
      <c r="A47" s="781" t="s">
        <v>79</v>
      </c>
      <c r="B47" s="782"/>
      <c r="C47" s="164">
        <f>SUMIF($G$7:$G$31,"Gas",$F$7:$F$31)</f>
        <v>0</v>
      </c>
      <c r="D47" s="118">
        <f>+C47+'21'!D47</f>
        <v>0</v>
      </c>
      <c r="E47" s="143">
        <f t="shared" si="10"/>
        <v>0</v>
      </c>
      <c r="F47" s="321"/>
      <c r="G47" s="322"/>
      <c r="H47" s="188" t="s">
        <v>80</v>
      </c>
      <c r="I47" s="118">
        <f>I46/I38</f>
        <v>1047.6602835522963</v>
      </c>
      <c r="J47" s="135">
        <f>J46/J38</f>
        <v>1484.3397832486062</v>
      </c>
      <c r="K47" s="130" t="s">
        <v>23</v>
      </c>
    </row>
    <row r="48" spans="1:19" ht="17.45" customHeight="1">
      <c r="A48" s="781" t="s">
        <v>13</v>
      </c>
      <c r="B48" s="782"/>
      <c r="C48" s="164">
        <f>SUMIF($G$7:$G$31,"Start Up",$F$7:$F$31)</f>
        <v>0</v>
      </c>
      <c r="D48" s="118">
        <f>+C48+'21'!D48</f>
        <v>0</v>
      </c>
      <c r="E48" s="143">
        <f t="shared" si="10"/>
        <v>0</v>
      </c>
      <c r="F48" s="321"/>
      <c r="G48" s="322"/>
      <c r="H48" s="188" t="s">
        <v>81</v>
      </c>
      <c r="I48" s="118">
        <f>I46/I40</f>
        <v>1116.6603581307004</v>
      </c>
      <c r="J48" s="135">
        <f>J46/J40</f>
        <v>1612.2381136850786</v>
      </c>
      <c r="K48" s="130" t="s">
        <v>23</v>
      </c>
    </row>
    <row r="49" spans="1:11" ht="17.45" customHeight="1">
      <c r="A49" s="781" t="s">
        <v>19</v>
      </c>
      <c r="B49" s="782"/>
      <c r="C49" s="164">
        <f>SUMIF($G$7:$G$31,"Others",$F$7:$F$31)</f>
        <v>0</v>
      </c>
      <c r="D49" s="118">
        <f>+C49+'21'!D49</f>
        <v>22716</v>
      </c>
      <c r="E49" s="143">
        <f t="shared" si="10"/>
        <v>378.6</v>
      </c>
      <c r="F49" s="185"/>
      <c r="H49" s="188" t="s">
        <v>267</v>
      </c>
      <c r="I49" s="118">
        <f>+Report1!T30</f>
        <v>4441.269881332234</v>
      </c>
      <c r="J49" s="135">
        <f>+I49+'21'!J49</f>
        <v>25708.743977579659</v>
      </c>
      <c r="K49" s="130" t="s">
        <v>82</v>
      </c>
    </row>
    <row r="50" spans="1:11" ht="17.45" customHeight="1">
      <c r="A50" s="781" t="s">
        <v>18</v>
      </c>
      <c r="B50" s="782"/>
      <c r="C50" s="164">
        <f>SUMIF($G$7:$G$31,"Steam",$F$7:$F$31)</f>
        <v>0</v>
      </c>
      <c r="D50" s="118">
        <f>+C50+'21'!D50</f>
        <v>0</v>
      </c>
      <c r="E50" s="143">
        <f t="shared" si="10"/>
        <v>0</v>
      </c>
      <c r="F50" s="185"/>
      <c r="H50" s="188" t="s">
        <v>83</v>
      </c>
      <c r="I50" s="140">
        <f>I49/I38</f>
        <v>121.32296777480356</v>
      </c>
      <c r="J50" s="133">
        <f>J49/J38</f>
        <v>122.25550784204282</v>
      </c>
      <c r="K50" s="130" t="s">
        <v>82</v>
      </c>
    </row>
    <row r="51" spans="1:11" ht="17.45" customHeight="1" thickBot="1">
      <c r="A51" s="783" t="s">
        <v>84</v>
      </c>
      <c r="B51" s="784"/>
      <c r="C51" s="164">
        <f>SUMIF($G$7:$G$31,"Planned shut",$F$7:$F$31)</f>
        <v>0</v>
      </c>
      <c r="D51" s="118">
        <f>+C51+'21'!D51</f>
        <v>0</v>
      </c>
      <c r="E51" s="143">
        <f t="shared" si="10"/>
        <v>0</v>
      </c>
      <c r="F51" s="185"/>
      <c r="H51" s="190" t="s">
        <v>85</v>
      </c>
      <c r="I51" s="141">
        <f>I49/I40</f>
        <v>129.31343372637164</v>
      </c>
      <c r="J51" s="136">
        <f>J49/J40</f>
        <v>132.78966957247829</v>
      </c>
      <c r="K51" s="137" t="s">
        <v>82</v>
      </c>
    </row>
    <row r="52" spans="1:11" ht="13.5" thickBot="1">
      <c r="A52" s="779" t="s">
        <v>27</v>
      </c>
      <c r="B52" s="780"/>
      <c r="C52" s="144">
        <f>SUM(C38:C51)</f>
        <v>122</v>
      </c>
      <c r="D52" s="144">
        <f>SUM(D38:D51)</f>
        <v>23199</v>
      </c>
      <c r="E52" s="145">
        <f>SUM(E38:E51)</f>
        <v>386.65000000000003</v>
      </c>
      <c r="F52" s="185"/>
      <c r="H52" s="191"/>
      <c r="I52" s="192"/>
      <c r="J52" s="138"/>
      <c r="K52" s="139"/>
    </row>
    <row r="53" spans="1:11" ht="13.5" thickBot="1">
      <c r="A53" s="785"/>
      <c r="B53" s="786"/>
      <c r="C53" s="146">
        <f>C52/(24*60)</f>
        <v>8.4722222222222227E-2</v>
      </c>
      <c r="D53" s="146">
        <f>D52/(24*60*G4)</f>
        <v>0.73229166666666667</v>
      </c>
      <c r="E53" s="147">
        <f>E52/(G4*24)</f>
        <v>0.73229166666666679</v>
      </c>
      <c r="F53" s="185"/>
    </row>
    <row r="54" spans="1:11">
      <c r="E54" s="193"/>
      <c r="F54" s="185"/>
    </row>
    <row r="55" spans="1:11">
      <c r="E55" s="193"/>
    </row>
    <row r="56" spans="1:11">
      <c r="A56" s="194" t="s">
        <v>86</v>
      </c>
      <c r="B56" s="195"/>
      <c r="C56" s="196"/>
      <c r="D56" s="196"/>
      <c r="E56" s="196"/>
      <c r="F56" s="197"/>
      <c r="G56" s="196"/>
      <c r="H56" s="198"/>
      <c r="I56" s="199" t="s">
        <v>87</v>
      </c>
      <c r="J56" s="200">
        <f>+D34+'21'!J56</f>
        <v>3837</v>
      </c>
      <c r="K56" s="201">
        <f>J56/(J40+J56/1000)/1000</f>
        <v>1.9433555170632392E-2</v>
      </c>
    </row>
    <row r="57" spans="1:11">
      <c r="A57" s="176"/>
      <c r="I57" s="199" t="s">
        <v>88</v>
      </c>
      <c r="J57" s="200">
        <f>+E34+'21'!J57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2"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61"/>
  <sheetViews>
    <sheetView topLeftCell="A19" zoomScale="80" zoomScaleNormal="80" workbookViewId="0">
      <selection activeCell="E30" sqref="E30"/>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710937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7109375" style="149" customWidth="1"/>
    <col min="14" max="15" width="0" style="149" hidden="1" customWidth="1"/>
    <col min="16" max="16" width="10.28515625" style="149" hidden="1" customWidth="1"/>
    <col min="17" max="17" width="9.28515625" style="149" hidden="1" customWidth="1"/>
    <col min="18" max="23" width="0" style="149" hidden="1" customWidth="1"/>
    <col min="24" max="16384" width="9.140625" style="149"/>
  </cols>
  <sheetData>
    <row r="1" spans="1:36" ht="15.75">
      <c r="A1" s="148"/>
    </row>
    <row r="2" spans="1:36" ht="15.75">
      <c r="A2" s="148" t="s">
        <v>182</v>
      </c>
    </row>
    <row r="3" spans="1:36" ht="15">
      <c r="A3" s="150"/>
    </row>
    <row r="4" spans="1:36" ht="20.25">
      <c r="A4" s="151" t="s">
        <v>3</v>
      </c>
      <c r="B4" s="152"/>
      <c r="F4" s="153" t="s">
        <v>28</v>
      </c>
      <c r="G4" s="154">
        <v>21</v>
      </c>
      <c r="H4" s="154" t="str">
        <f>+'1'!H4</f>
        <v>.11.25</v>
      </c>
    </row>
    <row r="5" spans="1:36" ht="13.5" thickBot="1">
      <c r="C5" s="155"/>
      <c r="D5" s="155"/>
    </row>
    <row r="6" spans="1:36"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81" t="s">
        <v>91</v>
      </c>
      <c r="O6" s="422" t="s">
        <v>189</v>
      </c>
      <c r="P6" s="422" t="s">
        <v>189</v>
      </c>
      <c r="Q6" s="422" t="s">
        <v>190</v>
      </c>
      <c r="R6" s="422" t="s">
        <v>191</v>
      </c>
      <c r="S6" s="422" t="s">
        <v>192</v>
      </c>
      <c r="T6" s="422" t="s">
        <v>187</v>
      </c>
      <c r="U6" s="423" t="s">
        <v>193</v>
      </c>
      <c r="V6" s="422" t="s">
        <v>194</v>
      </c>
      <c r="W6" s="422" t="s">
        <v>188</v>
      </c>
      <c r="X6" s="149" t="s">
        <v>516</v>
      </c>
      <c r="Y6" s="149">
        <v>1150</v>
      </c>
      <c r="Z6" s="149">
        <f>+Y6-Y6*0.23</f>
        <v>885.5</v>
      </c>
      <c r="AA6" s="149">
        <v>45</v>
      </c>
      <c r="AB6" s="149">
        <f t="shared" ref="AB6:AB9" si="0">+Y6*AA6</f>
        <v>51750</v>
      </c>
      <c r="AC6" s="149">
        <f t="shared" ref="AC6:AC9" si="1">+Z6*AA6</f>
        <v>39847.5</v>
      </c>
      <c r="AE6" s="149" t="s">
        <v>516</v>
      </c>
      <c r="AF6" s="149">
        <v>1150</v>
      </c>
      <c r="AG6" s="149">
        <f>+AF6-AF6*0.23</f>
        <v>885.5</v>
      </c>
      <c r="AH6" s="149">
        <v>45</v>
      </c>
      <c r="AI6" s="149">
        <f t="shared" ref="AI6:AI9" si="2">+AF6*AH6</f>
        <v>51750</v>
      </c>
      <c r="AJ6" s="149">
        <f t="shared" ref="AJ6:AJ9" si="3">+AG6*AH6</f>
        <v>39847.5</v>
      </c>
    </row>
    <row r="7" spans="1:36" ht="13.5" customHeight="1" thickBot="1">
      <c r="A7" s="767" t="s">
        <v>410</v>
      </c>
      <c r="B7" s="215" t="s">
        <v>529</v>
      </c>
      <c r="C7" s="216">
        <f>6205+2312</f>
        <v>8517</v>
      </c>
      <c r="D7" s="217">
        <v>197</v>
      </c>
      <c r="E7" s="218"/>
      <c r="F7" s="227">
        <v>6</v>
      </c>
      <c r="G7" s="228" t="s">
        <v>11</v>
      </c>
      <c r="H7" s="229" t="s">
        <v>460</v>
      </c>
      <c r="I7" s="770" t="s">
        <v>541</v>
      </c>
      <c r="J7" s="326" t="str">
        <f>+'20'!J7</f>
        <v>F 12 VP OW</v>
      </c>
      <c r="K7" s="237"/>
      <c r="L7" s="241"/>
      <c r="M7" s="117">
        <f>+K7+'20'!M7+L7</f>
        <v>107792</v>
      </c>
      <c r="N7" s="424">
        <v>14.5</v>
      </c>
      <c r="O7" s="199">
        <v>1200</v>
      </c>
      <c r="P7" s="199">
        <v>1120</v>
      </c>
      <c r="Q7" s="199">
        <v>896</v>
      </c>
      <c r="R7" s="425">
        <f>1-(Q7/P7)</f>
        <v>0.19999999999999996</v>
      </c>
      <c r="S7" s="426">
        <v>45</v>
      </c>
      <c r="T7" s="427">
        <v>256.5</v>
      </c>
      <c r="U7" s="428">
        <f>(O7*(1-R7)*N7*T7*S7)/100000000</f>
        <v>1.606716</v>
      </c>
      <c r="V7" s="429">
        <f>+C14/1000</f>
        <v>15.513999999999999</v>
      </c>
      <c r="W7" s="430">
        <f>SUM(V7:V9)/SUM(U7:U9)</f>
        <v>0.74274770113985011</v>
      </c>
      <c r="Y7" s="149">
        <v>1050</v>
      </c>
      <c r="Z7" s="149">
        <f>+Y7-Y7*0.23</f>
        <v>808.5</v>
      </c>
      <c r="AA7" s="149">
        <f>60-45</f>
        <v>15</v>
      </c>
      <c r="AB7" s="149">
        <f t="shared" si="0"/>
        <v>15750</v>
      </c>
      <c r="AC7" s="149">
        <f t="shared" si="1"/>
        <v>12127.5</v>
      </c>
      <c r="AF7" s="149">
        <v>1050</v>
      </c>
      <c r="AG7" s="149">
        <f>+AF7-AF7*0.23</f>
        <v>808.5</v>
      </c>
      <c r="AH7" s="149">
        <f>60-45</f>
        <v>15</v>
      </c>
      <c r="AI7" s="149">
        <f t="shared" si="2"/>
        <v>15750</v>
      </c>
      <c r="AJ7" s="149">
        <f t="shared" si="3"/>
        <v>12127.5</v>
      </c>
    </row>
    <row r="8" spans="1:36" ht="13.5" thickBot="1">
      <c r="A8" s="768"/>
      <c r="B8" s="215" t="s">
        <v>530</v>
      </c>
      <c r="C8" s="216">
        <v>6997</v>
      </c>
      <c r="D8" s="217"/>
      <c r="E8" s="219"/>
      <c r="F8" s="230">
        <v>6</v>
      </c>
      <c r="G8" s="231" t="s">
        <v>11</v>
      </c>
      <c r="H8" s="229" t="s">
        <v>510</v>
      </c>
      <c r="I8" s="771"/>
      <c r="J8" s="214" t="str">
        <f>+'20'!J8</f>
        <v>F 13 VP OW</v>
      </c>
      <c r="K8" s="238">
        <f>+C7</f>
        <v>8517</v>
      </c>
      <c r="L8" s="238"/>
      <c r="M8" s="117">
        <f>+K8+'20'!M8+L8</f>
        <v>17098</v>
      </c>
      <c r="N8" s="424">
        <v>18</v>
      </c>
      <c r="O8" s="199">
        <v>1200</v>
      </c>
      <c r="P8" s="199">
        <v>930</v>
      </c>
      <c r="Q8" s="199">
        <v>744</v>
      </c>
      <c r="R8" s="425">
        <f>1-(Q8/P8)</f>
        <v>0.19999999999999996</v>
      </c>
      <c r="S8" s="426">
        <f>480-S7</f>
        <v>435</v>
      </c>
      <c r="T8" s="427">
        <v>256.5</v>
      </c>
      <c r="U8" s="428">
        <f>(O8*(1-R8)*N8*T8*S8)/100000000</f>
        <v>19.280591999999999</v>
      </c>
      <c r="V8" s="429"/>
      <c r="W8" s="431"/>
      <c r="Y8" s="149">
        <v>1150</v>
      </c>
      <c r="Z8" s="149">
        <f>+Y8-Y8*0.23</f>
        <v>885.5</v>
      </c>
      <c r="AA8" s="149">
        <f>60+2</f>
        <v>62</v>
      </c>
      <c r="AB8" s="149">
        <f t="shared" si="0"/>
        <v>71300</v>
      </c>
      <c r="AC8" s="149">
        <f t="shared" si="1"/>
        <v>54901</v>
      </c>
      <c r="AF8" s="149">
        <v>1150</v>
      </c>
      <c r="AG8" s="149">
        <f>+AF8-AF8*0.23</f>
        <v>885.5</v>
      </c>
      <c r="AH8" s="149">
        <f>60+2</f>
        <v>62</v>
      </c>
      <c r="AI8" s="149">
        <f t="shared" si="2"/>
        <v>71300</v>
      </c>
      <c r="AJ8" s="149">
        <f t="shared" si="3"/>
        <v>54901</v>
      </c>
    </row>
    <row r="9" spans="1:36" ht="13.5" thickBot="1">
      <c r="A9" s="768"/>
      <c r="B9" s="215"/>
      <c r="C9" s="216"/>
      <c r="D9" s="217"/>
      <c r="E9" s="220"/>
      <c r="F9" s="227">
        <f>20-12</f>
        <v>8</v>
      </c>
      <c r="G9" s="231" t="s">
        <v>11</v>
      </c>
      <c r="H9" s="232" t="s">
        <v>494</v>
      </c>
      <c r="I9" s="771"/>
      <c r="J9" s="214" t="str">
        <f>+'20'!J9</f>
        <v>F 14 VP OW</v>
      </c>
      <c r="K9" s="238">
        <f>+C8+C16+C25</f>
        <v>22401</v>
      </c>
      <c r="L9" s="238"/>
      <c r="M9" s="117">
        <f>+K9+'20'!M9+L9</f>
        <v>25625</v>
      </c>
      <c r="N9" s="432"/>
      <c r="X9" s="149" t="s">
        <v>517</v>
      </c>
      <c r="Y9" s="149">
        <v>1100</v>
      </c>
      <c r="Z9" s="149">
        <f>+Y9-Y9*0.23</f>
        <v>847</v>
      </c>
      <c r="AA9" s="149">
        <f>60-2+300</f>
        <v>358</v>
      </c>
      <c r="AB9" s="149">
        <f t="shared" si="0"/>
        <v>393800</v>
      </c>
      <c r="AC9" s="149">
        <f t="shared" si="1"/>
        <v>303226</v>
      </c>
      <c r="AI9" s="149">
        <f t="shared" si="2"/>
        <v>0</v>
      </c>
      <c r="AJ9" s="149">
        <f t="shared" si="3"/>
        <v>0</v>
      </c>
    </row>
    <row r="10" spans="1:36" ht="26.25" thickBot="1">
      <c r="A10" s="768"/>
      <c r="B10" s="215"/>
      <c r="C10" s="216"/>
      <c r="D10" s="217"/>
      <c r="E10" s="219"/>
      <c r="F10" s="227"/>
      <c r="G10" s="236" t="s">
        <v>12</v>
      </c>
      <c r="H10" s="232" t="s">
        <v>531</v>
      </c>
      <c r="I10" s="771"/>
      <c r="J10" s="214" t="s">
        <v>548</v>
      </c>
      <c r="K10" s="238">
        <f>+C26</f>
        <v>8745</v>
      </c>
      <c r="L10" s="238"/>
      <c r="M10" s="117">
        <f>+K10+'20'!M10+L10</f>
        <v>8745</v>
      </c>
      <c r="N10" s="432"/>
    </row>
    <row r="11" spans="1:36" ht="39" thickBot="1">
      <c r="A11" s="768"/>
      <c r="B11" s="215"/>
      <c r="C11" s="216"/>
      <c r="D11" s="217"/>
      <c r="E11" s="219"/>
      <c r="F11" s="227">
        <v>15</v>
      </c>
      <c r="G11" s="231" t="s">
        <v>68</v>
      </c>
      <c r="H11" s="232" t="s">
        <v>532</v>
      </c>
      <c r="I11" s="771"/>
      <c r="J11" s="214">
        <f>+'20'!J11</f>
        <v>0</v>
      </c>
      <c r="K11" s="238"/>
      <c r="L11" s="238"/>
      <c r="M11" s="117">
        <f>+K11+'20'!M11+L11</f>
        <v>0</v>
      </c>
      <c r="N11" s="432"/>
    </row>
    <row r="12" spans="1:36" ht="13.5" thickBot="1">
      <c r="A12" s="768"/>
      <c r="B12" s="215"/>
      <c r="C12" s="216"/>
      <c r="D12" s="217"/>
      <c r="E12" s="219"/>
      <c r="F12" s="227">
        <v>34</v>
      </c>
      <c r="G12" s="231" t="s">
        <v>68</v>
      </c>
      <c r="H12" s="232" t="s">
        <v>533</v>
      </c>
      <c r="I12" s="771"/>
      <c r="J12" s="214">
        <f>+'20'!J12</f>
        <v>0</v>
      </c>
      <c r="K12" s="238"/>
      <c r="L12" s="238"/>
      <c r="M12" s="117">
        <f>+K12+'20'!M12+L12</f>
        <v>0</v>
      </c>
      <c r="N12" s="432"/>
    </row>
    <row r="13" spans="1:36" ht="13.5" thickBot="1">
      <c r="A13" s="768"/>
      <c r="B13" s="215"/>
      <c r="C13" s="216"/>
      <c r="D13" s="216"/>
      <c r="E13" s="219"/>
      <c r="F13" s="227"/>
      <c r="G13" s="231"/>
      <c r="H13" s="232"/>
      <c r="I13" s="772"/>
      <c r="J13" s="214">
        <f>+'20'!J13</f>
        <v>0</v>
      </c>
      <c r="K13" s="238"/>
      <c r="L13" s="238"/>
      <c r="M13" s="117">
        <f>+K13+'20'!M13+L13</f>
        <v>0</v>
      </c>
      <c r="N13" s="433"/>
      <c r="O13" s="434"/>
      <c r="P13" s="434"/>
      <c r="Q13" s="434"/>
      <c r="R13" s="434"/>
      <c r="S13" s="434"/>
      <c r="T13" s="434"/>
      <c r="U13" s="434"/>
      <c r="V13" s="434"/>
      <c r="W13" s="434"/>
    </row>
    <row r="14" spans="1:36" ht="13.5" thickBot="1">
      <c r="A14" s="769"/>
      <c r="B14" s="165" t="s">
        <v>2</v>
      </c>
      <c r="C14" s="99">
        <f>SUM(C7:C13)</f>
        <v>15514</v>
      </c>
      <c r="D14" s="111">
        <f>SUM(D7:D13)</f>
        <v>197</v>
      </c>
      <c r="E14" s="112">
        <f>SUM(E5:E13)</f>
        <v>0</v>
      </c>
      <c r="F14" s="116">
        <f>SUM(F7:F13)</f>
        <v>69</v>
      </c>
      <c r="G14" s="159"/>
      <c r="H14" s="166"/>
      <c r="I14" s="167"/>
      <c r="J14" s="214">
        <f>+'20'!J14</f>
        <v>0</v>
      </c>
      <c r="K14" s="238"/>
      <c r="L14" s="238"/>
      <c r="M14" s="117">
        <f>+K14+'20'!M14+L14</f>
        <v>0</v>
      </c>
      <c r="AA14" s="149">
        <f>SUM(AA1:AA12)</f>
        <v>480</v>
      </c>
      <c r="AB14" s="149">
        <f>SUM(AB1:AB12)</f>
        <v>532600</v>
      </c>
      <c r="AC14" s="149">
        <f>SUM(AC1:AC12)</f>
        <v>410102</v>
      </c>
      <c r="AH14" s="149">
        <f>SUM(AH1:AH12)</f>
        <v>122</v>
      </c>
      <c r="AI14" s="149">
        <f>SUM(AI1:AI12)</f>
        <v>138800</v>
      </c>
      <c r="AJ14" s="149">
        <f>SUM(AJ1:AJ12)</f>
        <v>106876</v>
      </c>
    </row>
    <row r="15" spans="1:36" ht="13.5" customHeight="1" thickBot="1">
      <c r="A15" s="767" t="s">
        <v>407</v>
      </c>
      <c r="B15" s="165"/>
      <c r="C15" s="113">
        <f>C14/($C$23+$D$23+$E$23)</f>
        <v>1.228345209817894</v>
      </c>
      <c r="D15" s="114">
        <f>D14/($C$23+$D$23+$E$23)</f>
        <v>1.5597783056215361E-2</v>
      </c>
      <c r="E15" s="115">
        <f>E14/($C$23+$D$23+$E$23)</f>
        <v>0</v>
      </c>
      <c r="F15" s="227">
        <v>9</v>
      </c>
      <c r="G15" s="228" t="s">
        <v>11</v>
      </c>
      <c r="H15" s="229" t="s">
        <v>460</v>
      </c>
      <c r="I15" s="770" t="s">
        <v>540</v>
      </c>
      <c r="J15" s="214">
        <f>+'20'!J15</f>
        <v>0</v>
      </c>
      <c r="K15" s="238"/>
      <c r="L15" s="238"/>
      <c r="M15" s="117">
        <f>+K15+'20'!M15+L15</f>
        <v>0</v>
      </c>
      <c r="N15" s="424">
        <v>18</v>
      </c>
      <c r="O15" s="199">
        <v>1200</v>
      </c>
      <c r="P15" s="199">
        <v>850</v>
      </c>
      <c r="Q15" s="199">
        <v>680</v>
      </c>
      <c r="R15" s="425">
        <f>1-(Q15/P15)</f>
        <v>0.19999999999999996</v>
      </c>
      <c r="S15" s="426">
        <v>480</v>
      </c>
      <c r="T15" s="427">
        <v>256.5</v>
      </c>
      <c r="U15" s="428">
        <f>(O15*(1-R15)*N15*T15*S15)/100000000</f>
        <v>21.275136</v>
      </c>
      <c r="V15" s="429">
        <f>+C23/1000</f>
        <v>12.63</v>
      </c>
      <c r="W15" s="430">
        <f>SUM(V15:V17)/SUM(U15:U17)</f>
        <v>0.59365072918922823</v>
      </c>
      <c r="Z15" s="149">
        <f>60*4+3</f>
        <v>243</v>
      </c>
      <c r="AA15" s="149">
        <f>480-AA14</f>
        <v>0</v>
      </c>
      <c r="AB15" s="149">
        <f>+AB14/AA14</f>
        <v>1109.5833333333333</v>
      </c>
      <c r="AC15" s="149">
        <f>+AC14/AA14</f>
        <v>854.37916666666672</v>
      </c>
      <c r="AG15" s="149">
        <f>60*4+3</f>
        <v>243</v>
      </c>
      <c r="AH15" s="149">
        <f>480-AH14</f>
        <v>358</v>
      </c>
      <c r="AI15" s="149">
        <f>+AI14/AH14</f>
        <v>1137.704918032787</v>
      </c>
      <c r="AJ15" s="149">
        <f>+AJ14/AH14</f>
        <v>876.03278688524586</v>
      </c>
    </row>
    <row r="16" spans="1:36" ht="13.5" thickBot="1">
      <c r="A16" s="773"/>
      <c r="B16" s="215" t="s">
        <v>530</v>
      </c>
      <c r="C16" s="221">
        <v>12630</v>
      </c>
      <c r="D16" s="222"/>
      <c r="E16" s="223"/>
      <c r="F16" s="230"/>
      <c r="G16" s="231" t="s">
        <v>11</v>
      </c>
      <c r="H16" s="229" t="s">
        <v>282</v>
      </c>
      <c r="I16" s="771"/>
      <c r="J16" s="214">
        <f>+'20'!J16</f>
        <v>0</v>
      </c>
      <c r="K16" s="228"/>
      <c r="L16" s="228"/>
      <c r="M16" s="117">
        <f>+K16+'20'!M16+L16</f>
        <v>0</v>
      </c>
      <c r="N16" s="435"/>
      <c r="O16" s="199"/>
      <c r="P16" s="199"/>
      <c r="Q16" s="436"/>
      <c r="R16" s="425"/>
      <c r="S16" s="199"/>
      <c r="T16" s="427"/>
      <c r="U16" s="428"/>
      <c r="V16" s="429"/>
      <c r="W16" s="431"/>
    </row>
    <row r="17" spans="1:36" ht="13.5" thickBot="1">
      <c r="A17" s="773"/>
      <c r="B17" s="215"/>
      <c r="C17" s="216"/>
      <c r="D17" s="217"/>
      <c r="E17" s="224"/>
      <c r="F17" s="227">
        <f>27-9</f>
        <v>18</v>
      </c>
      <c r="G17" s="231" t="s">
        <v>11</v>
      </c>
      <c r="H17" s="232" t="s">
        <v>493</v>
      </c>
      <c r="I17" s="771"/>
      <c r="J17" s="214">
        <f>+'20'!J17</f>
        <v>0</v>
      </c>
      <c r="K17" s="228"/>
      <c r="L17" s="228"/>
      <c r="M17" s="117">
        <f>+K17+'20'!M17+L17</f>
        <v>0</v>
      </c>
      <c r="N17" s="432"/>
      <c r="O17" s="199"/>
      <c r="R17" s="425"/>
      <c r="T17" s="427"/>
      <c r="U17" s="428"/>
      <c r="X17" s="149" t="s">
        <v>517</v>
      </c>
      <c r="Y17" s="149">
        <v>1100</v>
      </c>
      <c r="Z17" s="149">
        <f>+Y17-Y17*0.23</f>
        <v>847</v>
      </c>
      <c r="AA17" s="149">
        <v>45</v>
      </c>
      <c r="AB17" s="149">
        <f t="shared" ref="AB17:AB18" si="4">+Y17*AA17</f>
        <v>49500</v>
      </c>
      <c r="AC17" s="149">
        <f t="shared" ref="AC17:AC18" si="5">+Z17*AA17</f>
        <v>38115</v>
      </c>
    </row>
    <row r="18" spans="1:36" ht="51.75" thickBot="1">
      <c r="A18" s="773"/>
      <c r="B18" s="215"/>
      <c r="C18" s="216"/>
      <c r="D18" s="217"/>
      <c r="E18" s="224"/>
      <c r="F18" s="227"/>
      <c r="G18" s="236" t="s">
        <v>12</v>
      </c>
      <c r="H18" s="232" t="s">
        <v>534</v>
      </c>
      <c r="I18" s="771"/>
      <c r="J18" s="214">
        <f>+'20'!J18</f>
        <v>0</v>
      </c>
      <c r="K18" s="238"/>
      <c r="L18" s="238"/>
      <c r="M18" s="117">
        <f>+K18+'20'!M18+L18</f>
        <v>0</v>
      </c>
      <c r="N18" s="432"/>
      <c r="X18" s="149" t="s">
        <v>538</v>
      </c>
      <c r="Y18" s="149">
        <v>1200</v>
      </c>
      <c r="Z18" s="149">
        <f>+Y18-Y18*0.23</f>
        <v>924</v>
      </c>
      <c r="AA18" s="149">
        <f>480-AA17</f>
        <v>435</v>
      </c>
      <c r="AB18" s="149">
        <f t="shared" si="4"/>
        <v>522000</v>
      </c>
      <c r="AC18" s="149">
        <f t="shared" si="5"/>
        <v>401940</v>
      </c>
      <c r="AE18" s="149" t="s">
        <v>538</v>
      </c>
      <c r="AF18" s="149">
        <v>1200</v>
      </c>
      <c r="AG18" s="149">
        <v>924</v>
      </c>
      <c r="AH18" s="149">
        <v>435</v>
      </c>
      <c r="AI18" s="149">
        <f t="shared" ref="AI18:AI21" si="6">+AF18*AH18</f>
        <v>522000</v>
      </c>
      <c r="AJ18" s="149">
        <f t="shared" ref="AJ18:AJ21" si="7">+AG18*AH18</f>
        <v>401940</v>
      </c>
    </row>
    <row r="19" spans="1:36" ht="64.5" thickBot="1">
      <c r="A19" s="773"/>
      <c r="B19" s="215"/>
      <c r="C19" s="216"/>
      <c r="D19" s="217"/>
      <c r="E19" s="224"/>
      <c r="F19" s="234">
        <v>6</v>
      </c>
      <c r="G19" s="231" t="s">
        <v>68</v>
      </c>
      <c r="H19" s="232" t="s">
        <v>535</v>
      </c>
      <c r="I19" s="771"/>
      <c r="J19" s="214">
        <f>+'20'!J19</f>
        <v>0</v>
      </c>
      <c r="K19" s="238"/>
      <c r="L19" s="238"/>
      <c r="M19" s="117">
        <f>+K19+'20'!M19+L19</f>
        <v>0</v>
      </c>
      <c r="N19" s="432"/>
      <c r="AE19" s="149" t="s">
        <v>538</v>
      </c>
      <c r="AF19" s="149">
        <v>1200</v>
      </c>
      <c r="AG19" s="149">
        <v>912</v>
      </c>
      <c r="AH19" s="149">
        <v>480</v>
      </c>
      <c r="AI19" s="149">
        <f t="shared" si="6"/>
        <v>576000</v>
      </c>
      <c r="AJ19" s="149">
        <f t="shared" si="7"/>
        <v>437760</v>
      </c>
    </row>
    <row r="20" spans="1:36" ht="13.5" thickBot="1">
      <c r="A20" s="773"/>
      <c r="B20" s="215"/>
      <c r="C20" s="216"/>
      <c r="D20" s="217"/>
      <c r="E20" s="224"/>
      <c r="F20" s="227"/>
      <c r="G20" s="231"/>
      <c r="H20" s="232"/>
      <c r="I20" s="771"/>
      <c r="J20" s="214">
        <f>+'20'!J20</f>
        <v>0</v>
      </c>
      <c r="K20" s="239"/>
      <c r="L20" s="239"/>
      <c r="M20" s="117">
        <f>+K20+'20'!M20+L20</f>
        <v>0</v>
      </c>
      <c r="N20" s="432"/>
      <c r="AI20" s="149">
        <f t="shared" si="6"/>
        <v>0</v>
      </c>
      <c r="AJ20" s="149">
        <f t="shared" si="7"/>
        <v>0</v>
      </c>
    </row>
    <row r="21" spans="1:36" ht="13.5" thickBot="1">
      <c r="A21" s="773"/>
      <c r="B21" s="215"/>
      <c r="C21" s="216"/>
      <c r="D21" s="217"/>
      <c r="E21" s="224"/>
      <c r="F21" s="230"/>
      <c r="G21" s="231"/>
      <c r="H21" s="232"/>
      <c r="I21" s="771"/>
      <c r="J21" s="214">
        <f>+'20'!J21</f>
        <v>0</v>
      </c>
      <c r="K21" s="238"/>
      <c r="L21" s="238"/>
      <c r="M21" s="117">
        <f>+K21+'20'!M21+L21</f>
        <v>0</v>
      </c>
      <c r="N21" s="433"/>
      <c r="O21" s="434"/>
      <c r="P21" s="434"/>
      <c r="Q21" s="434"/>
      <c r="R21" s="434"/>
      <c r="S21" s="434"/>
      <c r="T21" s="434"/>
      <c r="U21" s="434"/>
      <c r="V21" s="434"/>
      <c r="W21" s="434"/>
      <c r="AI21" s="149">
        <f t="shared" si="6"/>
        <v>0</v>
      </c>
      <c r="AJ21" s="149">
        <f t="shared" si="7"/>
        <v>0</v>
      </c>
    </row>
    <row r="22" spans="1:36" ht="13.5" thickBot="1">
      <c r="A22" s="773"/>
      <c r="B22" s="215"/>
      <c r="C22" s="216"/>
      <c r="D22" s="217"/>
      <c r="E22" s="224"/>
      <c r="F22" s="235"/>
      <c r="G22" s="231"/>
      <c r="H22" s="232"/>
      <c r="I22" s="772"/>
      <c r="J22" s="214">
        <f>+'20'!J22</f>
        <v>0</v>
      </c>
      <c r="K22" s="238"/>
      <c r="L22" s="238"/>
      <c r="M22" s="117">
        <f>+K22+'20'!M22+L22</f>
        <v>0</v>
      </c>
    </row>
    <row r="23" spans="1:36" ht="13.5" thickBot="1">
      <c r="A23" s="774"/>
      <c r="B23" s="168" t="s">
        <v>2</v>
      </c>
      <c r="C23" s="100">
        <f>SUM(C16:C22)</f>
        <v>12630</v>
      </c>
      <c r="D23" s="111">
        <f>SUM(D16:D22)</f>
        <v>0</v>
      </c>
      <c r="E23" s="112">
        <f>SUM(E18:E22)</f>
        <v>0</v>
      </c>
      <c r="F23" s="116">
        <f>SUM(F15:F22)</f>
        <v>33</v>
      </c>
      <c r="G23" s="159"/>
      <c r="H23" s="166"/>
      <c r="I23" s="169"/>
      <c r="J23" s="214">
        <f>+'20'!J23</f>
        <v>0</v>
      </c>
      <c r="K23" s="238"/>
      <c r="L23" s="238"/>
      <c r="M23" s="117">
        <f>+K23+'20'!M23+L23</f>
        <v>0</v>
      </c>
      <c r="N23" s="437"/>
      <c r="O23" s="438"/>
      <c r="P23" s="438"/>
      <c r="Q23" s="438"/>
      <c r="R23" s="438"/>
      <c r="S23" s="438"/>
      <c r="T23" s="438"/>
      <c r="U23" s="438"/>
      <c r="V23" s="438"/>
      <c r="W23" s="438"/>
    </row>
    <row r="24" spans="1:36" ht="13.5" customHeight="1" thickBot="1">
      <c r="A24" s="767" t="s">
        <v>389</v>
      </c>
      <c r="B24" s="170"/>
      <c r="C24" s="113">
        <f>C23/($C$23+$D$23+$E$23)</f>
        <v>1</v>
      </c>
      <c r="D24" s="114">
        <f>D23/($C$23+$D$23+$E$23)</f>
        <v>0</v>
      </c>
      <c r="E24" s="115">
        <f>E23/($C$23+$D$23+$E$23)</f>
        <v>0</v>
      </c>
      <c r="F24" s="227">
        <v>6</v>
      </c>
      <c r="G24" s="228" t="s">
        <v>11</v>
      </c>
      <c r="H24" s="229" t="s">
        <v>460</v>
      </c>
      <c r="I24" s="770" t="s">
        <v>495</v>
      </c>
      <c r="J24" s="214">
        <f>+'20'!J24</f>
        <v>0</v>
      </c>
      <c r="K24" s="238"/>
      <c r="L24" s="238"/>
      <c r="M24" s="117">
        <f>+K24+'20'!M24+L24</f>
        <v>0</v>
      </c>
      <c r="N24" s="424">
        <v>14.5</v>
      </c>
      <c r="O24" s="199">
        <v>1130</v>
      </c>
      <c r="P24" s="199">
        <v>1130</v>
      </c>
      <c r="Q24" s="199">
        <v>915</v>
      </c>
      <c r="R24" s="425">
        <f>1-(Q24/P24)</f>
        <v>0.19026548672566368</v>
      </c>
      <c r="S24" s="426">
        <v>9</v>
      </c>
      <c r="T24" s="427">
        <v>266</v>
      </c>
      <c r="U24" s="428">
        <f>(O24*(1-R24)*N24*T24*S24)/100000000</f>
        <v>0.31762394999999999</v>
      </c>
      <c r="V24" s="429">
        <f>+C32/1000</f>
        <v>11.519</v>
      </c>
      <c r="W24" s="430">
        <f>SUM(V24:V25)/SUM(U24:U25)</f>
        <v>36.266156881431641</v>
      </c>
    </row>
    <row r="25" spans="1:36" ht="13.5" thickBot="1">
      <c r="A25" s="773"/>
      <c r="B25" s="215" t="s">
        <v>530</v>
      </c>
      <c r="C25" s="225">
        <v>2774</v>
      </c>
      <c r="D25" s="217">
        <v>560</v>
      </c>
      <c r="E25" s="224"/>
      <c r="F25" s="230">
        <v>6</v>
      </c>
      <c r="G25" s="231" t="s">
        <v>11</v>
      </c>
      <c r="H25" s="229" t="s">
        <v>510</v>
      </c>
      <c r="I25" s="771"/>
      <c r="J25" s="214">
        <f>+'20'!J25</f>
        <v>0</v>
      </c>
      <c r="K25" s="238"/>
      <c r="L25" s="238"/>
      <c r="M25" s="117">
        <f>+K25+'20'!M25+L25</f>
        <v>0</v>
      </c>
      <c r="N25" s="424"/>
      <c r="O25" s="199"/>
      <c r="P25" s="199"/>
      <c r="Q25" s="199"/>
      <c r="R25" s="425"/>
      <c r="S25" s="426"/>
      <c r="T25" s="427"/>
      <c r="U25" s="428"/>
      <c r="V25" s="429"/>
      <c r="W25" s="430"/>
      <c r="AA25" s="149">
        <f>+AA17+AA18</f>
        <v>480</v>
      </c>
      <c r="AB25" s="149">
        <f>+AB17+AB18</f>
        <v>571500</v>
      </c>
      <c r="AC25" s="149">
        <f>+AC17+AC18</f>
        <v>440055</v>
      </c>
    </row>
    <row r="26" spans="1:36" ht="13.5" thickBot="1">
      <c r="A26" s="773"/>
      <c r="B26" s="215" t="s">
        <v>548</v>
      </c>
      <c r="C26" s="225">
        <f>4181+4564</f>
        <v>8745</v>
      </c>
      <c r="D26" s="217"/>
      <c r="E26" s="226"/>
      <c r="F26" s="227">
        <f>19-12</f>
        <v>7</v>
      </c>
      <c r="G26" s="231" t="s">
        <v>11</v>
      </c>
      <c r="H26" s="232" t="s">
        <v>479</v>
      </c>
      <c r="I26" s="771"/>
      <c r="J26" s="214">
        <f>+'20'!J26</f>
        <v>0</v>
      </c>
      <c r="K26" s="238"/>
      <c r="L26" s="238"/>
      <c r="M26" s="117">
        <f>+K26+'20'!M26+L26</f>
        <v>0</v>
      </c>
      <c r="Z26" s="149">
        <f>60*4+3</f>
        <v>243</v>
      </c>
      <c r="AA26" s="149">
        <f>480-AA25</f>
        <v>0</v>
      </c>
      <c r="AB26" s="149">
        <f>+AB25/AA25</f>
        <v>1190.625</v>
      </c>
      <c r="AC26" s="149">
        <f>+AC25/AA25</f>
        <v>916.78125</v>
      </c>
      <c r="AH26" s="149">
        <f>+AH18+AH19</f>
        <v>915</v>
      </c>
      <c r="AI26" s="149">
        <f>+AI18+AI19</f>
        <v>1098000</v>
      </c>
      <c r="AJ26" s="149">
        <f>+AJ18+AJ19</f>
        <v>839700</v>
      </c>
    </row>
    <row r="27" spans="1:36" ht="39" thickBot="1">
      <c r="A27" s="773"/>
      <c r="B27" s="215"/>
      <c r="C27" s="216"/>
      <c r="D27" s="217"/>
      <c r="E27" s="224"/>
      <c r="F27" s="227"/>
      <c r="G27" s="236" t="s">
        <v>12</v>
      </c>
      <c r="H27" s="232" t="s">
        <v>537</v>
      </c>
      <c r="I27" s="771"/>
      <c r="J27" s="214">
        <f>+'20'!J27</f>
        <v>0</v>
      </c>
      <c r="K27" s="238"/>
      <c r="L27" s="238"/>
      <c r="M27" s="117">
        <f>+K27+'20'!M27+L27</f>
        <v>0</v>
      </c>
      <c r="X27" s="149" t="s">
        <v>538</v>
      </c>
      <c r="Y27" s="149">
        <v>1200</v>
      </c>
      <c r="Z27" s="149">
        <f>+Y27-Y27*0.24</f>
        <v>912</v>
      </c>
      <c r="AA27" s="149">
        <v>480</v>
      </c>
      <c r="AB27" s="149">
        <f t="shared" ref="AB27:AB28" si="8">+Y27*AA27</f>
        <v>576000</v>
      </c>
      <c r="AC27" s="149">
        <f t="shared" ref="AC27:AC28" si="9">+Z27*AA27</f>
        <v>437760</v>
      </c>
      <c r="AG27" s="149">
        <f>60*4+3</f>
        <v>243</v>
      </c>
      <c r="AH27" s="149">
        <f>480-AH26</f>
        <v>-435</v>
      </c>
      <c r="AI27" s="149">
        <f>+AI26/AH26</f>
        <v>1200</v>
      </c>
      <c r="AJ27" s="149">
        <f>+AJ26/AH26</f>
        <v>917.70491803278685</v>
      </c>
    </row>
    <row r="28" spans="1:36" ht="13.5" thickBot="1">
      <c r="A28" s="773"/>
      <c r="B28" s="215"/>
      <c r="C28" s="216"/>
      <c r="D28" s="217"/>
      <c r="E28" s="224"/>
      <c r="F28" s="230"/>
      <c r="G28" s="231"/>
      <c r="H28" s="232" t="s">
        <v>536</v>
      </c>
      <c r="I28" s="771"/>
      <c r="J28" s="214">
        <f>+'20'!J28</f>
        <v>0</v>
      </c>
      <c r="K28" s="238"/>
      <c r="L28" s="238"/>
      <c r="M28" s="117">
        <f>+K28+'20'!M28+L28</f>
        <v>0</v>
      </c>
      <c r="Z28" s="149">
        <f>+Y28-Y28*0.23</f>
        <v>0</v>
      </c>
      <c r="AA28" s="149">
        <f>480-AA27</f>
        <v>0</v>
      </c>
      <c r="AB28" s="149">
        <f t="shared" si="8"/>
        <v>0</v>
      </c>
      <c r="AC28" s="149">
        <f t="shared" si="9"/>
        <v>0</v>
      </c>
    </row>
    <row r="29" spans="1:36" ht="13.5" thickBot="1">
      <c r="A29" s="773"/>
      <c r="B29" s="215"/>
      <c r="C29" s="216"/>
      <c r="D29" s="217"/>
      <c r="E29" s="224"/>
      <c r="F29" s="235"/>
      <c r="G29" s="231"/>
      <c r="H29" s="232"/>
      <c r="I29" s="771"/>
      <c r="J29" s="214">
        <f>+'20'!J29</f>
        <v>0</v>
      </c>
      <c r="K29" s="238"/>
      <c r="L29" s="238"/>
      <c r="M29" s="117">
        <f>+K29+'20'!M29+L29</f>
        <v>0</v>
      </c>
    </row>
    <row r="30" spans="1:36" ht="13.5" thickBot="1">
      <c r="A30" s="773"/>
      <c r="B30" s="215"/>
      <c r="C30" s="225"/>
      <c r="D30" s="217"/>
      <c r="E30" s="224"/>
      <c r="F30" s="235"/>
      <c r="G30" s="231"/>
      <c r="H30" s="232"/>
      <c r="I30" s="771"/>
      <c r="J30" s="214">
        <f>+'20'!J30</f>
        <v>0</v>
      </c>
      <c r="K30" s="238"/>
      <c r="L30" s="238"/>
      <c r="M30" s="117">
        <f>+K30+'20'!M30+L30</f>
        <v>0</v>
      </c>
      <c r="N30" s="155"/>
    </row>
    <row r="31" spans="1:36" ht="13.5" thickBot="1">
      <c r="A31" s="773"/>
      <c r="B31" s="215"/>
      <c r="C31" s="225"/>
      <c r="D31" s="217"/>
      <c r="E31" s="224"/>
      <c r="F31" s="235"/>
      <c r="G31" s="236"/>
      <c r="H31" s="444"/>
      <c r="I31" s="772"/>
      <c r="J31" s="214">
        <f>+'20'!J31</f>
        <v>0</v>
      </c>
      <c r="K31" s="238"/>
      <c r="L31" s="238"/>
      <c r="M31" s="117">
        <f>+K31+'20'!M31+L31</f>
        <v>0</v>
      </c>
    </row>
    <row r="32" spans="1:36" ht="13.5" thickBot="1">
      <c r="A32" s="774"/>
      <c r="B32" s="165" t="s">
        <v>2</v>
      </c>
      <c r="C32" s="99">
        <f>SUM(C25:C31)</f>
        <v>11519</v>
      </c>
      <c r="D32" s="100">
        <f>SUM(D25:D31)</f>
        <v>560</v>
      </c>
      <c r="E32" s="101">
        <f>SUM(E25:E31)</f>
        <v>0</v>
      </c>
      <c r="F32" s="102">
        <f>SUM(F24:F31)</f>
        <v>19</v>
      </c>
      <c r="G32" s="171"/>
      <c r="H32" s="172"/>
      <c r="I32" s="169"/>
      <c r="J32" s="214">
        <f>+'20'!J32</f>
        <v>0</v>
      </c>
      <c r="K32" s="240"/>
      <c r="L32" s="242"/>
      <c r="M32" s="117">
        <f>+K32+'20'!M32+L32</f>
        <v>0</v>
      </c>
    </row>
    <row r="33" spans="1:40" ht="13.5" thickBot="1">
      <c r="A33" s="173"/>
      <c r="B33" s="174"/>
      <c r="C33" s="103">
        <f>C32/($C$32+$D$32+$E$32)</f>
        <v>0.95363854623727129</v>
      </c>
      <c r="D33" s="104">
        <f>D32/($C$32+$D$32+$E$32)</f>
        <v>4.6361453762728703E-2</v>
      </c>
      <c r="E33" s="105">
        <f>E32/($C$32+$D$32+$E$32)</f>
        <v>0</v>
      </c>
      <c r="F33" s="106"/>
      <c r="G33" s="175"/>
      <c r="H33" s="176"/>
      <c r="I33" s="177"/>
      <c r="J33" s="121"/>
      <c r="K33" s="122"/>
      <c r="L33" s="213"/>
      <c r="M33" s="119"/>
      <c r="AE33" s="181" t="s">
        <v>91</v>
      </c>
      <c r="AF33" s="422" t="s">
        <v>549</v>
      </c>
      <c r="AG33" s="422" t="s">
        <v>550</v>
      </c>
      <c r="AH33" s="422" t="s">
        <v>190</v>
      </c>
      <c r="AI33" s="422" t="s">
        <v>191</v>
      </c>
      <c r="AJ33" s="595" t="s">
        <v>192</v>
      </c>
      <c r="AK33" s="422" t="s">
        <v>187</v>
      </c>
      <c r="AL33" s="423" t="s">
        <v>193</v>
      </c>
      <c r="AM33" s="422" t="s">
        <v>194</v>
      </c>
      <c r="AN33" s="422" t="s">
        <v>188</v>
      </c>
    </row>
    <row r="34" spans="1:40" ht="13.5" thickBot="1">
      <c r="A34" s="775" t="s">
        <v>57</v>
      </c>
      <c r="B34" s="776"/>
      <c r="C34" s="107">
        <f>C14+C23+C32</f>
        <v>39663</v>
      </c>
      <c r="D34" s="107">
        <f>D14+D23+D32</f>
        <v>757</v>
      </c>
      <c r="E34" s="107">
        <f>E14+E23+E32</f>
        <v>0</v>
      </c>
      <c r="F34" s="108">
        <f>F14+F23+F32</f>
        <v>121</v>
      </c>
      <c r="H34" s="178"/>
      <c r="I34" s="178"/>
      <c r="J34" s="123" t="s">
        <v>27</v>
      </c>
      <c r="K34" s="124">
        <f>SUM(K7:K32)</f>
        <v>39663</v>
      </c>
      <c r="L34" s="212">
        <f>SUM(L7:L32)</f>
        <v>0</v>
      </c>
      <c r="M34" s="120">
        <f>SUM(M7:M32)</f>
        <v>159260</v>
      </c>
      <c r="N34" s="155"/>
      <c r="AE34" s="424">
        <v>13</v>
      </c>
      <c r="AF34" s="199">
        <v>1137.704918032787</v>
      </c>
      <c r="AG34" s="199">
        <v>1230</v>
      </c>
      <c r="AH34" s="149">
        <v>876.03278688524586</v>
      </c>
      <c r="AI34" s="425">
        <f>1-(AH34/AF34)</f>
        <v>0.23000000000000009</v>
      </c>
      <c r="AJ34" s="596">
        <v>34</v>
      </c>
      <c r="AK34" s="427">
        <v>258</v>
      </c>
      <c r="AL34" s="428">
        <f>(AF34*(1-AI34)*AE34*AK34*AJ34)/100000000</f>
        <v>0.99899274885245892</v>
      </c>
      <c r="AM34" s="429">
        <f>+T41/1000</f>
        <v>0</v>
      </c>
      <c r="AN34" s="430">
        <f>SUM(AM34:AM36)/SUM(AL34:AL36)</f>
        <v>0</v>
      </c>
    </row>
    <row r="35" spans="1:40" ht="13.5" thickBot="1">
      <c r="A35" s="179"/>
      <c r="B35" s="180"/>
      <c r="C35" s="104">
        <f>C34/($C$34+$D$34+$E$34)</f>
        <v>0.98127164769915887</v>
      </c>
      <c r="D35" s="104">
        <f>D34/($C$34+$D$34+$E$34)</f>
        <v>1.8728352300841168E-2</v>
      </c>
      <c r="E35" s="109">
        <f>E34/($C$34+$D$34+$E$34)</f>
        <v>0</v>
      </c>
      <c r="K35" s="155"/>
      <c r="AA35" s="149">
        <f>+AA27+AA28</f>
        <v>480</v>
      </c>
      <c r="AB35" s="149">
        <f>+AB27+AB28</f>
        <v>576000</v>
      </c>
      <c r="AC35" s="149">
        <f>+AC27+AC28</f>
        <v>437760</v>
      </c>
      <c r="AE35" s="424"/>
      <c r="AF35" s="199"/>
      <c r="AG35" s="199"/>
      <c r="AH35" s="199"/>
      <c r="AI35" s="425"/>
      <c r="AJ35" s="426"/>
      <c r="AK35" s="427"/>
      <c r="AL35" s="428"/>
      <c r="AM35" s="429"/>
      <c r="AN35" s="431"/>
    </row>
    <row r="36" spans="1:40" ht="13.5" thickBot="1">
      <c r="A36" s="178"/>
      <c r="B36" s="178"/>
      <c r="C36" s="155"/>
      <c r="D36" s="155"/>
      <c r="E36" s="155"/>
      <c r="G36" s="155"/>
      <c r="H36" s="181"/>
      <c r="I36" s="162" t="s">
        <v>36</v>
      </c>
      <c r="J36" s="162" t="s">
        <v>37</v>
      </c>
      <c r="K36" s="182"/>
      <c r="Z36" s="149">
        <f>60*4+3</f>
        <v>243</v>
      </c>
      <c r="AA36" s="149">
        <f>480-AA35</f>
        <v>0</v>
      </c>
      <c r="AB36" s="149">
        <f>+AB35/AA35</f>
        <v>1200</v>
      </c>
      <c r="AC36" s="149">
        <f>+AC35/AA35</f>
        <v>912</v>
      </c>
      <c r="AL36" s="149">
        <f>990/1000</f>
        <v>0.99</v>
      </c>
    </row>
    <row r="37" spans="1:40" ht="17.45" customHeight="1" thickBot="1">
      <c r="A37" s="777" t="s">
        <v>58</v>
      </c>
      <c r="B37" s="778"/>
      <c r="C37" s="162" t="s">
        <v>59</v>
      </c>
      <c r="D37" s="183" t="s">
        <v>60</v>
      </c>
      <c r="E37" s="184" t="s">
        <v>61</v>
      </c>
      <c r="F37" s="321"/>
      <c r="G37" s="323"/>
      <c r="H37" s="186" t="s">
        <v>62</v>
      </c>
      <c r="I37" s="243">
        <f>(13*122+14*403+11*915)/1440*G42*2.74*1440/1000000</f>
        <v>42.378569018013884</v>
      </c>
      <c r="J37" s="125">
        <f>+I37+'20'!J37</f>
        <v>196.70346568356555</v>
      </c>
      <c r="K37" s="126" t="s">
        <v>63</v>
      </c>
    </row>
    <row r="38" spans="1:40" ht="17.45" customHeight="1">
      <c r="A38" s="779" t="s">
        <v>11</v>
      </c>
      <c r="B38" s="780"/>
      <c r="C38" s="164">
        <f>SUMIF($G$7:$G$31,"Process",$F$7:$F$31)</f>
        <v>66</v>
      </c>
      <c r="D38" s="118">
        <f>+C38+'20'!D38</f>
        <v>306</v>
      </c>
      <c r="E38" s="143">
        <f t="shared" ref="E38:E51" si="10">D38/60</f>
        <v>5.0999999999999996</v>
      </c>
      <c r="F38" s="321">
        <v>1109.5833333333333</v>
      </c>
      <c r="G38" s="321">
        <v>854.37916666666672</v>
      </c>
      <c r="H38" s="187" t="s">
        <v>64</v>
      </c>
      <c r="I38" s="244">
        <f>12.842+14.39+11.802</f>
        <v>39.033999999999999</v>
      </c>
      <c r="J38" s="127">
        <f>+I38+'20'!J38</f>
        <v>173.68</v>
      </c>
      <c r="K38" s="128" t="s">
        <v>63</v>
      </c>
    </row>
    <row r="39" spans="1:40" ht="17.45" customHeight="1">
      <c r="A39" s="781" t="s">
        <v>12</v>
      </c>
      <c r="B39" s="782"/>
      <c r="C39" s="164">
        <f>SUMIF($G$7:$G$31,"Cleaning",$F$7:$F$31)</f>
        <v>0</v>
      </c>
      <c r="D39" s="118">
        <f>+C39+'20'!D39</f>
        <v>0</v>
      </c>
      <c r="E39" s="143">
        <f t="shared" si="10"/>
        <v>0</v>
      </c>
      <c r="F39" s="321">
        <v>1190.625</v>
      </c>
      <c r="G39" s="321">
        <v>916.78125</v>
      </c>
      <c r="H39" s="187" t="s">
        <v>65</v>
      </c>
      <c r="I39" s="142"/>
      <c r="J39" s="129">
        <f>J37/G4</f>
        <v>9.366831699217407</v>
      </c>
      <c r="K39" s="130" t="s">
        <v>63</v>
      </c>
      <c r="M39" s="149" t="s">
        <v>516</v>
      </c>
      <c r="X39" s="149">
        <v>1137.704918032787</v>
      </c>
      <c r="Y39" s="149">
        <v>876.03278688524586</v>
      </c>
      <c r="Z39" s="149">
        <v>122</v>
      </c>
    </row>
    <row r="40" spans="1:40" ht="17.45" customHeight="1">
      <c r="A40" s="781" t="s">
        <v>66</v>
      </c>
      <c r="B40" s="782"/>
      <c r="C40" s="164">
        <f>SUMIF($G$7:$G$31,"Mechanical",$F$7:$F$31)</f>
        <v>0</v>
      </c>
      <c r="D40" s="118">
        <f>+C40+'20'!D40</f>
        <v>0</v>
      </c>
      <c r="E40" s="143">
        <f t="shared" si="10"/>
        <v>0</v>
      </c>
      <c r="F40" s="321">
        <v>1200</v>
      </c>
      <c r="G40" s="321">
        <v>912</v>
      </c>
      <c r="H40" s="187" t="s">
        <v>67</v>
      </c>
      <c r="I40" s="118">
        <f>(K34+L34)/1000</f>
        <v>39.662999999999997</v>
      </c>
      <c r="J40" s="131">
        <f>+I40+'20'!J40</f>
        <v>159.26</v>
      </c>
      <c r="K40" s="130" t="s">
        <v>63</v>
      </c>
      <c r="M40" s="149" t="s">
        <v>517</v>
      </c>
      <c r="N40" s="149">
        <v>1100</v>
      </c>
      <c r="O40" s="149">
        <v>847</v>
      </c>
      <c r="X40" s="149">
        <v>1100</v>
      </c>
      <c r="Y40" s="149">
        <v>847</v>
      </c>
      <c r="Z40" s="149">
        <v>403</v>
      </c>
    </row>
    <row r="41" spans="1:40" ht="17.45" customHeight="1">
      <c r="A41" s="781" t="s">
        <v>68</v>
      </c>
      <c r="B41" s="782"/>
      <c r="C41" s="164">
        <f>SUMIF($G$7:$G$31,"Electrical",$F$7:$F$31)</f>
        <v>55</v>
      </c>
      <c r="D41" s="118">
        <f>+C41+'20'!D41</f>
        <v>55</v>
      </c>
      <c r="E41" s="143">
        <f t="shared" si="10"/>
        <v>0.91666666666666663</v>
      </c>
      <c r="F41" s="321"/>
      <c r="G41" s="321"/>
      <c r="H41" s="187" t="s">
        <v>69</v>
      </c>
      <c r="I41" s="142"/>
      <c r="J41" s="129">
        <f>J40/G4</f>
        <v>7.5838095238095233</v>
      </c>
      <c r="K41" s="130" t="s">
        <v>63</v>
      </c>
      <c r="M41" s="149" t="s">
        <v>538</v>
      </c>
      <c r="X41" s="149">
        <v>1200</v>
      </c>
      <c r="Y41" s="149">
        <v>917.70491803278685</v>
      </c>
      <c r="Z41" s="149">
        <v>915</v>
      </c>
    </row>
    <row r="42" spans="1:40" ht="17.45" customHeight="1">
      <c r="A42" s="781" t="s">
        <v>15</v>
      </c>
      <c r="B42" s="782"/>
      <c r="C42" s="164">
        <f>SUMIF($G$7:$G$31,"Instrument",$F$7:$F$31)</f>
        <v>0</v>
      </c>
      <c r="D42" s="118">
        <f>+C42+'20'!D42</f>
        <v>0</v>
      </c>
      <c r="E42" s="143">
        <f t="shared" si="10"/>
        <v>0</v>
      </c>
      <c r="F42" s="321">
        <f>+(480*F38+480*F39+480*F40)/1440</f>
        <v>1166.7361111111111</v>
      </c>
      <c r="G42" s="321">
        <f>+(480*G38+480*G39+480*G40)/1440</f>
        <v>894.38680555555561</v>
      </c>
      <c r="H42" s="187" t="s">
        <v>70</v>
      </c>
      <c r="I42" s="245" t="s">
        <v>542</v>
      </c>
      <c r="J42" s="132"/>
      <c r="K42" s="130" t="s">
        <v>71</v>
      </c>
      <c r="Z42" s="149">
        <f>+Z39+Z40+Z41</f>
        <v>1440</v>
      </c>
    </row>
    <row r="43" spans="1:40" ht="17.45" customHeight="1">
      <c r="A43" s="781" t="s">
        <v>72</v>
      </c>
      <c r="B43" s="782"/>
      <c r="C43" s="164">
        <f>SUMIF($G$7:$G$31,"Water",$F$7:$F$31)</f>
        <v>0</v>
      </c>
      <c r="D43" s="118">
        <f>+C43+'20'!D43</f>
        <v>0</v>
      </c>
      <c r="E43" s="143">
        <f t="shared" si="10"/>
        <v>0</v>
      </c>
      <c r="F43" s="321"/>
      <c r="G43" s="322"/>
      <c r="H43" s="188" t="s">
        <v>73</v>
      </c>
      <c r="I43" s="118">
        <f>+Report1!Z29</f>
        <v>55.5</v>
      </c>
      <c r="J43" s="133">
        <f>+I43+'20'!J43</f>
        <v>614.9</v>
      </c>
      <c r="K43" s="130" t="s">
        <v>63</v>
      </c>
      <c r="L43" s="189"/>
    </row>
    <row r="44" spans="1:40" ht="17.45" customHeight="1">
      <c r="A44" s="781" t="s">
        <v>16</v>
      </c>
      <c r="B44" s="782"/>
      <c r="C44" s="164">
        <f>SUMIF($G$7:$G$31,"PLN",$F$7:$F$31)</f>
        <v>0</v>
      </c>
      <c r="D44" s="118">
        <f>+C44+'20'!D44</f>
        <v>0</v>
      </c>
      <c r="E44" s="143">
        <f t="shared" si="10"/>
        <v>0</v>
      </c>
      <c r="F44" s="321"/>
      <c r="G44" s="322"/>
      <c r="H44" s="188" t="s">
        <v>74</v>
      </c>
      <c r="I44" s="118">
        <f>I43/I38</f>
        <v>1.4218373725470104</v>
      </c>
      <c r="J44" s="134">
        <f>J43/J38</f>
        <v>3.5404191616766463</v>
      </c>
      <c r="K44" s="130" t="s">
        <v>63</v>
      </c>
    </row>
    <row r="45" spans="1:40" ht="17.45" customHeight="1">
      <c r="A45" s="781" t="s">
        <v>17</v>
      </c>
      <c r="B45" s="782"/>
      <c r="C45" s="164">
        <f>SUMIF($G$7:$G$31,"Boiler",$F$7:$F$31)</f>
        <v>0</v>
      </c>
      <c r="D45" s="118">
        <f>+C45+'20'!D45</f>
        <v>0</v>
      </c>
      <c r="E45" s="143">
        <f t="shared" si="10"/>
        <v>0</v>
      </c>
      <c r="F45" s="321"/>
      <c r="G45" s="324"/>
      <c r="H45" s="188" t="s">
        <v>75</v>
      </c>
      <c r="I45" s="118">
        <f>I43/I40</f>
        <v>1.3992890099084792</v>
      </c>
      <c r="J45" s="134">
        <f>J43/J40</f>
        <v>3.8609820419439909</v>
      </c>
      <c r="K45" s="130" t="s">
        <v>63</v>
      </c>
    </row>
    <row r="46" spans="1:40" ht="17.45" customHeight="1">
      <c r="A46" s="781" t="s">
        <v>76</v>
      </c>
      <c r="B46" s="782"/>
      <c r="C46" s="164">
        <f>SUMIF($G$7:$G$31,"Gas",$F$7:$F$31)</f>
        <v>0</v>
      </c>
      <c r="D46" s="118">
        <f>+C46+'20'!D46</f>
        <v>0</v>
      </c>
      <c r="E46" s="143">
        <f t="shared" si="10"/>
        <v>0</v>
      </c>
      <c r="F46" s="321"/>
      <c r="G46" s="322"/>
      <c r="H46" s="188" t="s">
        <v>77</v>
      </c>
      <c r="I46" s="140">
        <f>+SUMIF(Listrik!P28,"&gt;0")</f>
        <v>40426.020000000361</v>
      </c>
      <c r="J46" s="135">
        <f>+I46+'20'!J46</f>
        <v>273785.66000000073</v>
      </c>
      <c r="K46" s="130" t="s">
        <v>78</v>
      </c>
    </row>
    <row r="47" spans="1:40" ht="17.45" customHeight="1">
      <c r="A47" s="781" t="s">
        <v>79</v>
      </c>
      <c r="B47" s="782"/>
      <c r="C47" s="164">
        <f>SUMIF($G$7:$G$31,"Gas",$F$7:$F$31)</f>
        <v>0</v>
      </c>
      <c r="D47" s="118">
        <f>+C47+'20'!D47</f>
        <v>0</v>
      </c>
      <c r="E47" s="143">
        <f t="shared" si="10"/>
        <v>0</v>
      </c>
      <c r="F47" s="321"/>
      <c r="G47" s="322"/>
      <c r="H47" s="188" t="s">
        <v>80</v>
      </c>
      <c r="I47" s="118">
        <f>I46/I38</f>
        <v>1035.6617307988001</v>
      </c>
      <c r="J47" s="135">
        <f>J46/J38</f>
        <v>1576.3798940580418</v>
      </c>
      <c r="K47" s="130" t="s">
        <v>23</v>
      </c>
    </row>
    <row r="48" spans="1:40" ht="17.45" customHeight="1">
      <c r="A48" s="781" t="s">
        <v>13</v>
      </c>
      <c r="B48" s="782"/>
      <c r="C48" s="164">
        <f>SUMIF($G$7:$G$31,"Start Up",$F$7:$F$31)</f>
        <v>0</v>
      </c>
      <c r="D48" s="118">
        <f>+C48+'20'!D48</f>
        <v>0</v>
      </c>
      <c r="E48" s="143">
        <f t="shared" si="10"/>
        <v>0</v>
      </c>
      <c r="F48" s="321"/>
      <c r="G48" s="322"/>
      <c r="H48" s="188" t="s">
        <v>81</v>
      </c>
      <c r="I48" s="118">
        <f>I46/I40</f>
        <v>1019.2375765827185</v>
      </c>
      <c r="J48" s="135">
        <f>J46/J40</f>
        <v>1719.1112645987739</v>
      </c>
      <c r="K48" s="130" t="s">
        <v>23</v>
      </c>
    </row>
    <row r="49" spans="1:23" ht="17.45" customHeight="1">
      <c r="A49" s="787" t="s">
        <v>19</v>
      </c>
      <c r="B49" s="782"/>
      <c r="C49" s="164">
        <f>SUMIF($G$7:$G$31,"Others",$F$7:$F$31)</f>
        <v>0</v>
      </c>
      <c r="D49" s="118">
        <f>+C49+'20'!D49</f>
        <v>22716</v>
      </c>
      <c r="E49" s="143">
        <f t="shared" si="10"/>
        <v>378.6</v>
      </c>
      <c r="F49" s="185"/>
      <c r="H49" s="188" t="s">
        <v>267</v>
      </c>
      <c r="I49" s="118">
        <f>+Report1!T29</f>
        <v>4544.756140113509</v>
      </c>
      <c r="J49" s="135">
        <f>+I49+'20'!J49</f>
        <v>21267.474096247424</v>
      </c>
      <c r="K49" s="130" t="s">
        <v>82</v>
      </c>
    </row>
    <row r="50" spans="1:23" ht="17.45" customHeight="1">
      <c r="A50" s="781" t="s">
        <v>18</v>
      </c>
      <c r="B50" s="782"/>
      <c r="C50" s="164">
        <f>SUMIF($G$7:$G$31,"Steam",$F$7:$F$31)</f>
        <v>0</v>
      </c>
      <c r="D50" s="118">
        <f>+C50+'20'!D50</f>
        <v>0</v>
      </c>
      <c r="E50" s="143">
        <f t="shared" si="10"/>
        <v>0</v>
      </c>
      <c r="F50" s="185"/>
      <c r="H50" s="188" t="s">
        <v>83</v>
      </c>
      <c r="I50" s="140">
        <f>I49/I38</f>
        <v>116.43070502929521</v>
      </c>
      <c r="J50" s="133">
        <f>J49/J38</f>
        <v>122.45206181625647</v>
      </c>
      <c r="K50" s="130" t="s">
        <v>82</v>
      </c>
    </row>
    <row r="51" spans="1:23" ht="17.45" customHeight="1" thickBot="1">
      <c r="A51" s="783" t="s">
        <v>84</v>
      </c>
      <c r="B51" s="784"/>
      <c r="C51" s="164">
        <f>SUMIF($G$7:$G$31,"Planned shut",$F$7:$F$31)</f>
        <v>0</v>
      </c>
      <c r="D51" s="118">
        <f>+C51+'20'!D51</f>
        <v>0</v>
      </c>
      <c r="E51" s="143">
        <f t="shared" si="10"/>
        <v>0</v>
      </c>
      <c r="F51" s="185"/>
      <c r="H51" s="190" t="s">
        <v>85</v>
      </c>
      <c r="I51" s="141">
        <f>I49/I40</f>
        <v>114.58427602837681</v>
      </c>
      <c r="J51" s="136">
        <f>J49/J40</f>
        <v>133.53933251442564</v>
      </c>
      <c r="K51" s="137" t="s">
        <v>82</v>
      </c>
    </row>
    <row r="52" spans="1:23" ht="13.5" thickBot="1">
      <c r="A52" s="779" t="s">
        <v>27</v>
      </c>
      <c r="B52" s="780"/>
      <c r="C52" s="144">
        <f>SUM(C38:C51)</f>
        <v>121</v>
      </c>
      <c r="D52" s="144">
        <f>SUM(D38:D51)</f>
        <v>23077</v>
      </c>
      <c r="E52" s="145">
        <f>SUM(E38:E51)</f>
        <v>384.61666666666667</v>
      </c>
      <c r="F52" s="185"/>
      <c r="H52" s="191"/>
      <c r="I52" s="192"/>
      <c r="J52" s="138"/>
      <c r="K52" s="139"/>
    </row>
    <row r="53" spans="1:23" ht="13.5" thickBot="1">
      <c r="A53" s="785"/>
      <c r="B53" s="786"/>
      <c r="C53" s="146">
        <f>C52/(24*60)</f>
        <v>8.4027777777777785E-2</v>
      </c>
      <c r="D53" s="146">
        <f>D52/(24*60*G4)</f>
        <v>0.76312830687830691</v>
      </c>
      <c r="E53" s="147">
        <f>E52/(G4*24)</f>
        <v>0.76312830687830691</v>
      </c>
      <c r="F53" s="185"/>
    </row>
    <row r="54" spans="1:23">
      <c r="E54" s="193"/>
      <c r="F54" s="185"/>
    </row>
    <row r="55" spans="1:23">
      <c r="E55" s="193"/>
    </row>
    <row r="56" spans="1:23">
      <c r="A56" s="194" t="s">
        <v>86</v>
      </c>
      <c r="B56" s="195"/>
      <c r="C56" s="196"/>
      <c r="D56" s="196"/>
      <c r="E56" s="196"/>
      <c r="F56" s="197"/>
      <c r="G56" s="196"/>
      <c r="H56" s="198"/>
      <c r="I56" s="199" t="s">
        <v>87</v>
      </c>
      <c r="J56" s="200">
        <f>+D34+'20'!J56</f>
        <v>3837</v>
      </c>
      <c r="K56" s="201">
        <f>J56/(J40+J56/1000)/1000</f>
        <v>2.3525877238698447E-2</v>
      </c>
    </row>
    <row r="57" spans="1:23">
      <c r="A57" s="176"/>
      <c r="I57" s="199" t="s">
        <v>88</v>
      </c>
      <c r="J57" s="200">
        <f>+E34+'20'!J57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24:A32"/>
    <mergeCell ref="I24:I31"/>
    <mergeCell ref="A34:B34"/>
    <mergeCell ref="A37:B37"/>
    <mergeCell ref="A7:A14"/>
    <mergeCell ref="I7:I13"/>
    <mergeCell ref="A15:A23"/>
    <mergeCell ref="I15:I22"/>
    <mergeCell ref="A38:B38"/>
  </mergeCells>
  <phoneticPr fontId="32"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61"/>
  <sheetViews>
    <sheetView topLeftCell="A28" zoomScale="80" zoomScaleNormal="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6384" width="9.140625" style="149"/>
  </cols>
  <sheetData>
    <row r="1" spans="1:33" ht="15.75">
      <c r="A1" s="148"/>
    </row>
    <row r="2" spans="1:33" ht="15.75">
      <c r="A2" s="148" t="s">
        <v>182</v>
      </c>
    </row>
    <row r="3" spans="1:33" ht="15">
      <c r="A3" s="150"/>
    </row>
    <row r="4" spans="1:33" ht="20.25">
      <c r="A4" s="151" t="s">
        <v>3</v>
      </c>
      <c r="B4" s="152"/>
      <c r="F4" s="153" t="s">
        <v>28</v>
      </c>
      <c r="G4" s="154">
        <v>20</v>
      </c>
      <c r="H4" s="154" t="str">
        <f>+'1'!H4</f>
        <v>.11.25</v>
      </c>
    </row>
    <row r="5" spans="1:33" ht="13.5" thickBot="1">
      <c r="C5" s="155"/>
      <c r="D5" s="155"/>
    </row>
    <row r="6" spans="1:3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33" ht="13.5" customHeight="1" thickBot="1">
      <c r="A7" s="767" t="s">
        <v>410</v>
      </c>
      <c r="B7" s="215" t="s">
        <v>387</v>
      </c>
      <c r="C7" s="216"/>
      <c r="D7" s="217"/>
      <c r="E7" s="218"/>
      <c r="F7" s="227"/>
      <c r="G7" s="228" t="s">
        <v>11</v>
      </c>
      <c r="H7" s="229" t="s">
        <v>384</v>
      </c>
      <c r="I7" s="770" t="s">
        <v>406</v>
      </c>
      <c r="J7" s="214" t="str">
        <f>+'19'!J7</f>
        <v>F 12 VP OW</v>
      </c>
      <c r="K7" s="237"/>
      <c r="L7" s="241"/>
      <c r="M7" s="117">
        <f>+K7+'19'!M7+L7</f>
        <v>107792</v>
      </c>
    </row>
    <row r="8" spans="1:33" ht="13.5" thickBot="1">
      <c r="A8" s="768"/>
      <c r="B8" s="215"/>
      <c r="C8" s="216"/>
      <c r="D8" s="217"/>
      <c r="E8" s="219"/>
      <c r="F8" s="230"/>
      <c r="G8" s="231" t="s">
        <v>11</v>
      </c>
      <c r="H8" s="229" t="s">
        <v>282</v>
      </c>
      <c r="I8" s="771"/>
      <c r="J8" s="214" t="s">
        <v>529</v>
      </c>
      <c r="K8" s="238">
        <f>+C25</f>
        <v>8581</v>
      </c>
      <c r="L8" s="238"/>
      <c r="M8" s="117">
        <f>+K8+'19'!M8+L8</f>
        <v>8581</v>
      </c>
    </row>
    <row r="9" spans="1:33" ht="13.5" thickBot="1">
      <c r="A9" s="768"/>
      <c r="B9" s="215"/>
      <c r="C9" s="216"/>
      <c r="D9" s="217"/>
      <c r="E9" s="220"/>
      <c r="F9" s="227"/>
      <c r="G9" s="231" t="s">
        <v>11</v>
      </c>
      <c r="H9" s="232" t="s">
        <v>408</v>
      </c>
      <c r="I9" s="771"/>
      <c r="J9" s="214" t="s">
        <v>530</v>
      </c>
      <c r="K9" s="238">
        <f>+C16+C26</f>
        <v>3224</v>
      </c>
      <c r="L9" s="238"/>
      <c r="M9" s="117">
        <f>+K9+'19'!M9+L9</f>
        <v>3224</v>
      </c>
    </row>
    <row r="10" spans="1:33" ht="39" thickBot="1">
      <c r="A10" s="768"/>
      <c r="B10" s="215"/>
      <c r="C10" s="216"/>
      <c r="D10" s="217"/>
      <c r="E10" s="219"/>
      <c r="F10" s="227"/>
      <c r="G10" s="236" t="s">
        <v>12</v>
      </c>
      <c r="H10" s="232" t="s">
        <v>515</v>
      </c>
      <c r="I10" s="771"/>
      <c r="J10" s="214">
        <f>+'19'!J10</f>
        <v>0</v>
      </c>
      <c r="K10" s="238"/>
      <c r="L10" s="238"/>
      <c r="M10" s="117">
        <f>+K10+'19'!M10+L10</f>
        <v>0</v>
      </c>
    </row>
    <row r="11" spans="1:33" ht="13.5" thickBot="1">
      <c r="A11" s="768"/>
      <c r="B11" s="215"/>
      <c r="C11" s="216"/>
      <c r="D11" s="217"/>
      <c r="E11" s="219"/>
      <c r="F11" s="230">
        <v>480</v>
      </c>
      <c r="G11" s="231" t="s">
        <v>19</v>
      </c>
      <c r="H11" s="232"/>
      <c r="I11" s="771"/>
      <c r="J11" s="214">
        <f>+'19'!J11</f>
        <v>0</v>
      </c>
      <c r="K11" s="238"/>
      <c r="L11" s="238"/>
      <c r="M11" s="117">
        <f>+K11+'19'!M11+L11</f>
        <v>0</v>
      </c>
    </row>
    <row r="12" spans="1:33" ht="13.5" thickBot="1">
      <c r="A12" s="768"/>
      <c r="B12" s="215"/>
      <c r="C12" s="216"/>
      <c r="D12" s="217"/>
      <c r="E12" s="219"/>
      <c r="F12" s="235"/>
      <c r="G12" s="231"/>
      <c r="H12" s="232"/>
      <c r="I12" s="771"/>
      <c r="J12" s="214">
        <f>+'19'!J12</f>
        <v>0</v>
      </c>
      <c r="K12" s="238"/>
      <c r="L12" s="238"/>
      <c r="M12" s="117">
        <f>+K12+'19'!M12+L12</f>
        <v>0</v>
      </c>
    </row>
    <row r="13" spans="1:33" ht="13.5" thickBot="1">
      <c r="A13" s="768"/>
      <c r="B13" s="215"/>
      <c r="C13" s="216"/>
      <c r="D13" s="216"/>
      <c r="E13" s="219"/>
      <c r="F13" s="235"/>
      <c r="G13" s="586"/>
      <c r="H13" s="587"/>
      <c r="I13" s="771"/>
      <c r="J13" s="214">
        <f>+'19'!J13</f>
        <v>0</v>
      </c>
      <c r="K13" s="238"/>
      <c r="L13" s="238"/>
      <c r="M13" s="117">
        <f>+K13+'19'!M13+L13</f>
        <v>0</v>
      </c>
    </row>
    <row r="14" spans="1:33" ht="13.5" thickBot="1">
      <c r="A14" s="769"/>
      <c r="B14" s="165" t="s">
        <v>2</v>
      </c>
      <c r="C14" s="99">
        <f>SUM(C7:C13)</f>
        <v>0</v>
      </c>
      <c r="D14" s="111">
        <f>SUM(D7:D13)</f>
        <v>0</v>
      </c>
      <c r="E14" s="112">
        <f>SUM(E5:E13)</f>
        <v>0</v>
      </c>
      <c r="F14" s="102">
        <f>SUM(F6:F13)</f>
        <v>480</v>
      </c>
      <c r="G14" s="591"/>
      <c r="H14" s="592"/>
      <c r="I14" s="788"/>
      <c r="J14" s="214">
        <f>+'19'!J14</f>
        <v>0</v>
      </c>
      <c r="K14" s="238"/>
      <c r="L14" s="238"/>
      <c r="M14" s="117">
        <f>+K14+'19'!M14+L14</f>
        <v>0</v>
      </c>
    </row>
    <row r="15" spans="1:33" ht="13.5" customHeight="1" thickBot="1">
      <c r="A15" s="767" t="s">
        <v>407</v>
      </c>
      <c r="B15" s="165"/>
      <c r="C15" s="113">
        <f>C14/($C$23+$D$23+$E$23)</f>
        <v>0</v>
      </c>
      <c r="D15" s="114">
        <f>D14/($C$23+$D$23+$E$23)</f>
        <v>0</v>
      </c>
      <c r="E15" s="115">
        <f>E14/($C$23+$D$23+$E$23)</f>
        <v>0</v>
      </c>
      <c r="F15" s="588">
        <v>5</v>
      </c>
      <c r="G15" s="589" t="s">
        <v>11</v>
      </c>
      <c r="H15" s="590" t="s">
        <v>524</v>
      </c>
      <c r="I15" s="770" t="s">
        <v>522</v>
      </c>
      <c r="J15" s="214">
        <f>+'19'!J15</f>
        <v>0</v>
      </c>
      <c r="K15" s="238"/>
      <c r="L15" s="238"/>
      <c r="M15" s="117">
        <f>+K15+'19'!M15+L15</f>
        <v>0</v>
      </c>
    </row>
    <row r="16" spans="1:33" ht="13.5" thickBot="1">
      <c r="A16" s="773"/>
      <c r="B16" s="215" t="s">
        <v>530</v>
      </c>
      <c r="C16" s="221">
        <v>2617</v>
      </c>
      <c r="D16" s="222"/>
      <c r="E16" s="223"/>
      <c r="F16" s="230"/>
      <c r="G16" s="231" t="s">
        <v>11</v>
      </c>
      <c r="H16" s="229" t="s">
        <v>282</v>
      </c>
      <c r="I16" s="771"/>
      <c r="J16" s="214">
        <f>+'19'!J16</f>
        <v>0</v>
      </c>
      <c r="K16" s="228"/>
      <c r="L16" s="228"/>
      <c r="M16" s="117">
        <f>+K16+'19'!M16+L16</f>
        <v>0</v>
      </c>
      <c r="N16" s="149" t="s">
        <v>516</v>
      </c>
      <c r="O16" s="149">
        <v>1000</v>
      </c>
      <c r="P16" s="149">
        <f t="shared" ref="P16:P22" si="0">+O16-O16*0.24</f>
        <v>760</v>
      </c>
      <c r="Q16" s="149">
        <v>11</v>
      </c>
      <c r="R16" s="149">
        <f>+O16*Q16</f>
        <v>11000</v>
      </c>
      <c r="S16" s="149">
        <f>+P16*Q16</f>
        <v>8360</v>
      </c>
      <c r="U16" s="149" t="s">
        <v>516</v>
      </c>
      <c r="V16" s="149">
        <v>1000</v>
      </c>
      <c r="W16" s="149">
        <v>760</v>
      </c>
      <c r="X16" s="149">
        <v>11</v>
      </c>
      <c r="Y16" s="149">
        <f>+V16*X16</f>
        <v>11000</v>
      </c>
      <c r="Z16" s="149">
        <f>+W16*X16</f>
        <v>8360</v>
      </c>
      <c r="AB16" s="149" t="s">
        <v>517</v>
      </c>
      <c r="AC16" s="149">
        <v>1000</v>
      </c>
      <c r="AD16" s="149">
        <v>760</v>
      </c>
      <c r="AE16" s="149">
        <v>18</v>
      </c>
      <c r="AF16" s="149">
        <f>+AC16*AE16</f>
        <v>18000</v>
      </c>
      <c r="AG16" s="149">
        <f>+AD16*AE16</f>
        <v>13680</v>
      </c>
    </row>
    <row r="17" spans="1:33" ht="13.5" thickBot="1">
      <c r="A17" s="773"/>
      <c r="B17" s="215"/>
      <c r="C17" s="216"/>
      <c r="D17" s="217"/>
      <c r="E17" s="224"/>
      <c r="F17" s="227">
        <v>6</v>
      </c>
      <c r="G17" s="231" t="s">
        <v>11</v>
      </c>
      <c r="H17" s="232" t="s">
        <v>456</v>
      </c>
      <c r="I17" s="771"/>
      <c r="J17" s="214">
        <f>+'19'!J17</f>
        <v>0</v>
      </c>
      <c r="K17" s="228"/>
      <c r="L17" s="228"/>
      <c r="M17" s="117">
        <f>+K17+'19'!M17+L17</f>
        <v>0</v>
      </c>
      <c r="N17" s="149" t="s">
        <v>517</v>
      </c>
      <c r="O17" s="149">
        <v>1000</v>
      </c>
      <c r="P17" s="149">
        <f t="shared" si="0"/>
        <v>760</v>
      </c>
      <c r="Q17" s="149">
        <f>32-14</f>
        <v>18</v>
      </c>
      <c r="R17" s="149">
        <f t="shared" ref="R17:R22" si="1">+O17*Q17</f>
        <v>18000</v>
      </c>
      <c r="S17" s="149">
        <f t="shared" ref="S17:S22" si="2">+P17*Q17</f>
        <v>13680</v>
      </c>
      <c r="U17" s="149" t="s">
        <v>516</v>
      </c>
      <c r="V17" s="149">
        <v>1100</v>
      </c>
      <c r="W17" s="149">
        <v>836</v>
      </c>
      <c r="X17" s="149">
        <v>69</v>
      </c>
      <c r="Y17" s="149">
        <f t="shared" ref="Y17:Y19" si="3">+V17*X17</f>
        <v>75900</v>
      </c>
      <c r="Z17" s="149">
        <f t="shared" ref="Z17:Z19" si="4">+W17*X17</f>
        <v>57684</v>
      </c>
      <c r="AC17" s="149">
        <v>1100</v>
      </c>
      <c r="AD17" s="149">
        <v>836</v>
      </c>
      <c r="AE17" s="149">
        <v>73</v>
      </c>
      <c r="AF17" s="149">
        <f t="shared" ref="AF17:AF19" si="5">+AC17*AE17</f>
        <v>80300</v>
      </c>
      <c r="AG17" s="149">
        <f t="shared" ref="AG17:AG19" si="6">+AD17*AE17</f>
        <v>61028</v>
      </c>
    </row>
    <row r="18" spans="1:33" ht="106.5" customHeight="1" thickBot="1">
      <c r="A18" s="773"/>
      <c r="B18" s="215"/>
      <c r="C18" s="216"/>
      <c r="D18" s="217"/>
      <c r="E18" s="224"/>
      <c r="F18" s="227">
        <v>243</v>
      </c>
      <c r="G18" s="236" t="s">
        <v>19</v>
      </c>
      <c r="H18" s="232" t="s">
        <v>518</v>
      </c>
      <c r="I18" s="771"/>
      <c r="J18" s="214">
        <f>+'19'!J18</f>
        <v>0</v>
      </c>
      <c r="K18" s="238"/>
      <c r="L18" s="238"/>
      <c r="M18" s="117">
        <f>+K18+'19'!M18+L18</f>
        <v>0</v>
      </c>
      <c r="O18" s="149">
        <v>1100</v>
      </c>
      <c r="P18" s="149">
        <f t="shared" si="0"/>
        <v>836</v>
      </c>
      <c r="Q18" s="149">
        <f>60-32+45</f>
        <v>73</v>
      </c>
      <c r="R18" s="149">
        <f t="shared" si="1"/>
        <v>80300</v>
      </c>
      <c r="S18" s="149">
        <f t="shared" si="2"/>
        <v>61028</v>
      </c>
      <c r="V18" s="149">
        <v>1150</v>
      </c>
      <c r="W18" s="149">
        <v>874</v>
      </c>
      <c r="X18" s="149">
        <v>30</v>
      </c>
      <c r="Y18" s="149">
        <f t="shared" si="3"/>
        <v>34500</v>
      </c>
      <c r="Z18" s="149">
        <f t="shared" si="4"/>
        <v>26220</v>
      </c>
      <c r="AC18" s="149">
        <v>900</v>
      </c>
      <c r="AD18" s="149">
        <v>684</v>
      </c>
      <c r="AE18" s="149">
        <v>5</v>
      </c>
      <c r="AF18" s="149">
        <f t="shared" si="5"/>
        <v>4500</v>
      </c>
      <c r="AG18" s="149">
        <f t="shared" si="6"/>
        <v>3420</v>
      </c>
    </row>
    <row r="19" spans="1:33" ht="164.25" customHeight="1" thickBot="1">
      <c r="A19" s="773"/>
      <c r="B19" s="215"/>
      <c r="C19" s="216"/>
      <c r="D19" s="217"/>
      <c r="E19" s="224"/>
      <c r="F19" s="234"/>
      <c r="G19" s="231"/>
      <c r="H19" s="232" t="s">
        <v>519</v>
      </c>
      <c r="I19" s="771"/>
      <c r="J19" s="214">
        <f>+'19'!J19</f>
        <v>0</v>
      </c>
      <c r="K19" s="238"/>
      <c r="L19" s="238"/>
      <c r="M19" s="117">
        <f>+K19+'19'!M19+L19</f>
        <v>0</v>
      </c>
      <c r="O19" s="149">
        <v>900</v>
      </c>
      <c r="P19" s="149">
        <f t="shared" si="0"/>
        <v>684</v>
      </c>
      <c r="Q19" s="149">
        <f>50-45</f>
        <v>5</v>
      </c>
      <c r="R19" s="149">
        <f t="shared" si="1"/>
        <v>4500</v>
      </c>
      <c r="S19" s="149">
        <f t="shared" si="2"/>
        <v>3420</v>
      </c>
      <c r="U19" s="149" t="s">
        <v>516</v>
      </c>
      <c r="V19" s="149">
        <v>1150</v>
      </c>
      <c r="W19" s="149">
        <v>885.5</v>
      </c>
      <c r="X19" s="149">
        <v>480</v>
      </c>
      <c r="Y19" s="149">
        <f t="shared" si="3"/>
        <v>552000</v>
      </c>
      <c r="Z19" s="149">
        <f t="shared" si="4"/>
        <v>425040</v>
      </c>
      <c r="AC19" s="149">
        <v>1020</v>
      </c>
      <c r="AD19" s="149">
        <v>775.2</v>
      </c>
      <c r="AE19" s="149">
        <v>31</v>
      </c>
      <c r="AF19" s="149">
        <f t="shared" si="5"/>
        <v>31620</v>
      </c>
      <c r="AG19" s="149">
        <f t="shared" si="6"/>
        <v>24031.200000000001</v>
      </c>
    </row>
    <row r="20" spans="1:33" ht="13.5" thickBot="1">
      <c r="A20" s="773"/>
      <c r="B20" s="215"/>
      <c r="C20" s="216"/>
      <c r="D20" s="217"/>
      <c r="E20" s="224"/>
      <c r="F20" s="227"/>
      <c r="G20" s="231"/>
      <c r="H20" s="232"/>
      <c r="I20" s="771"/>
      <c r="J20" s="214">
        <f>+'19'!J20</f>
        <v>0</v>
      </c>
      <c r="K20" s="239"/>
      <c r="L20" s="239"/>
      <c r="M20" s="117">
        <f>+K20+'19'!M20+L20</f>
        <v>0</v>
      </c>
      <c r="O20" s="149">
        <v>1020</v>
      </c>
      <c r="P20" s="149">
        <f t="shared" si="0"/>
        <v>775.2</v>
      </c>
      <c r="Q20" s="149">
        <f>60-50+21</f>
        <v>31</v>
      </c>
      <c r="R20" s="149">
        <f t="shared" si="1"/>
        <v>31620</v>
      </c>
      <c r="S20" s="149">
        <f t="shared" si="2"/>
        <v>24031.200000000001</v>
      </c>
    </row>
    <row r="21" spans="1:33" ht="13.5" thickBot="1">
      <c r="A21" s="773"/>
      <c r="B21" s="215"/>
      <c r="C21" s="216"/>
      <c r="D21" s="217"/>
      <c r="E21" s="224"/>
      <c r="F21" s="230"/>
      <c r="G21" s="231"/>
      <c r="H21" s="232"/>
      <c r="I21" s="771"/>
      <c r="J21" s="214">
        <f>+'19'!J21</f>
        <v>0</v>
      </c>
      <c r="K21" s="238"/>
      <c r="L21" s="238"/>
      <c r="M21" s="117">
        <f>+K21+'19'!M21+L21</f>
        <v>0</v>
      </c>
      <c r="N21" s="149" t="s">
        <v>516</v>
      </c>
      <c r="O21" s="149">
        <v>1100</v>
      </c>
      <c r="P21" s="149">
        <f t="shared" si="0"/>
        <v>836</v>
      </c>
      <c r="Q21" s="149">
        <f>60-21+30</f>
        <v>69</v>
      </c>
      <c r="R21" s="149">
        <f t="shared" si="1"/>
        <v>75900</v>
      </c>
      <c r="S21" s="149">
        <f t="shared" si="2"/>
        <v>57684</v>
      </c>
    </row>
    <row r="22" spans="1:33" ht="13.5" thickBot="1">
      <c r="A22" s="773"/>
      <c r="B22" s="215"/>
      <c r="C22" s="216"/>
      <c r="D22" s="217"/>
      <c r="E22" s="224"/>
      <c r="F22" s="235"/>
      <c r="G22" s="231"/>
      <c r="H22" s="232"/>
      <c r="I22" s="772"/>
      <c r="J22" s="214">
        <f>+'19'!J22</f>
        <v>0</v>
      </c>
      <c r="K22" s="238"/>
      <c r="L22" s="238"/>
      <c r="M22" s="117">
        <f>+K22+'19'!M22+L22</f>
        <v>0</v>
      </c>
      <c r="O22" s="149">
        <v>1150</v>
      </c>
      <c r="P22" s="149">
        <f t="shared" si="0"/>
        <v>874</v>
      </c>
      <c r="Q22" s="149">
        <v>30</v>
      </c>
      <c r="R22" s="149">
        <f t="shared" si="1"/>
        <v>34500</v>
      </c>
      <c r="S22" s="149">
        <f t="shared" si="2"/>
        <v>26220</v>
      </c>
    </row>
    <row r="23" spans="1:33" ht="13.5" thickBot="1">
      <c r="A23" s="774"/>
      <c r="B23" s="168" t="s">
        <v>2</v>
      </c>
      <c r="C23" s="100">
        <f>SUM(C16:C22)</f>
        <v>2617</v>
      </c>
      <c r="D23" s="111">
        <f>SUM(D16:D22)</f>
        <v>0</v>
      </c>
      <c r="E23" s="112">
        <f>SUM(E18:E22)</f>
        <v>0</v>
      </c>
      <c r="F23" s="116">
        <f>SUM(F15:F22)</f>
        <v>254</v>
      </c>
      <c r="G23" s="159"/>
      <c r="H23" s="166"/>
      <c r="I23" s="169"/>
      <c r="J23" s="214">
        <f>+'19'!J23</f>
        <v>0</v>
      </c>
      <c r="K23" s="238"/>
      <c r="L23" s="238"/>
      <c r="M23" s="117">
        <f>+K23+'19'!M23+L23</f>
        <v>0</v>
      </c>
    </row>
    <row r="24" spans="1:33" ht="13.5" customHeight="1" thickBot="1">
      <c r="A24" s="767" t="s">
        <v>388</v>
      </c>
      <c r="B24" s="170"/>
      <c r="C24" s="113">
        <f>C23/($C$23+$D$23+$E$23)</f>
        <v>1</v>
      </c>
      <c r="D24" s="114">
        <f>D23/($C$23+$D$23+$E$23)</f>
        <v>0</v>
      </c>
      <c r="E24" s="115">
        <f>E23/($C$23+$D$23+$E$23)</f>
        <v>0</v>
      </c>
      <c r="F24" s="227">
        <v>9</v>
      </c>
      <c r="G24" s="228" t="s">
        <v>11</v>
      </c>
      <c r="H24" s="229" t="s">
        <v>460</v>
      </c>
      <c r="I24" s="770" t="s">
        <v>521</v>
      </c>
      <c r="J24" s="214">
        <f>+'19'!J24</f>
        <v>0</v>
      </c>
      <c r="K24" s="238"/>
      <c r="L24" s="238"/>
      <c r="M24" s="117">
        <f>+K24+'19'!M24+L24</f>
        <v>0</v>
      </c>
    </row>
    <row r="25" spans="1:33" ht="13.5" thickBot="1">
      <c r="A25" s="773"/>
      <c r="B25" s="215" t="s">
        <v>529</v>
      </c>
      <c r="C25" s="225">
        <f>6254+2327</f>
        <v>8581</v>
      </c>
      <c r="D25" s="217">
        <v>168</v>
      </c>
      <c r="E25" s="224"/>
      <c r="F25" s="230"/>
      <c r="G25" s="231" t="s">
        <v>11</v>
      </c>
      <c r="H25" s="229" t="s">
        <v>282</v>
      </c>
      <c r="I25" s="771"/>
      <c r="J25" s="214">
        <f>+'19'!J25</f>
        <v>0</v>
      </c>
      <c r="K25" s="238"/>
      <c r="L25" s="238"/>
      <c r="M25" s="117">
        <f>+K25+'19'!M25+L25</f>
        <v>0</v>
      </c>
    </row>
    <row r="26" spans="1:33" ht="13.5" thickBot="1">
      <c r="A26" s="773"/>
      <c r="B26" s="215" t="s">
        <v>530</v>
      </c>
      <c r="C26" s="225">
        <v>607</v>
      </c>
      <c r="D26" s="217"/>
      <c r="E26" s="226"/>
      <c r="F26" s="227">
        <f>20-9</f>
        <v>11</v>
      </c>
      <c r="G26" s="231" t="s">
        <v>11</v>
      </c>
      <c r="H26" s="232" t="s">
        <v>494</v>
      </c>
      <c r="I26" s="771"/>
      <c r="J26" s="214">
        <f>+'19'!J26</f>
        <v>0</v>
      </c>
      <c r="K26" s="238"/>
      <c r="L26" s="238"/>
      <c r="M26" s="117">
        <f>+K26+'19'!M26+L26</f>
        <v>0</v>
      </c>
    </row>
    <row r="27" spans="1:33" ht="26.25" thickBot="1">
      <c r="A27" s="773"/>
      <c r="B27" s="215"/>
      <c r="C27" s="216"/>
      <c r="D27" s="217"/>
      <c r="E27" s="224"/>
      <c r="F27" s="227"/>
      <c r="G27" s="236" t="s">
        <v>12</v>
      </c>
      <c r="H27" s="232" t="s">
        <v>520</v>
      </c>
      <c r="I27" s="771"/>
      <c r="J27" s="214">
        <f>+'19'!J27</f>
        <v>0</v>
      </c>
      <c r="K27" s="238"/>
      <c r="L27" s="238"/>
      <c r="M27" s="117">
        <f>+K27+'19'!M27+L27</f>
        <v>0</v>
      </c>
    </row>
    <row r="28" spans="1:33" ht="126" customHeight="1" thickBot="1">
      <c r="A28" s="773"/>
      <c r="B28" s="215"/>
      <c r="C28" s="216"/>
      <c r="D28" s="217"/>
      <c r="E28" s="224"/>
      <c r="F28" s="230"/>
      <c r="G28" s="231"/>
      <c r="H28" s="232" t="s">
        <v>514</v>
      </c>
      <c r="I28" s="771"/>
      <c r="J28" s="214">
        <f>+'19'!J28</f>
        <v>0</v>
      </c>
      <c r="K28" s="238"/>
      <c r="L28" s="238"/>
      <c r="M28" s="117">
        <f>+K28+'19'!M28+L28</f>
        <v>0</v>
      </c>
    </row>
    <row r="29" spans="1:33" ht="13.5" thickBot="1">
      <c r="A29" s="773"/>
      <c r="B29" s="215"/>
      <c r="C29" s="216"/>
      <c r="D29" s="217"/>
      <c r="E29" s="224"/>
      <c r="F29" s="235"/>
      <c r="G29" s="231"/>
      <c r="H29" s="232"/>
      <c r="I29" s="771"/>
      <c r="J29" s="214">
        <f>+'19'!J29</f>
        <v>0</v>
      </c>
      <c r="K29" s="238"/>
      <c r="L29" s="238"/>
      <c r="M29" s="117">
        <f>+K29+'19'!M29+L29</f>
        <v>0</v>
      </c>
      <c r="Q29" s="149">
        <f>SUM(Q16:Q27)</f>
        <v>237</v>
      </c>
      <c r="R29" s="149">
        <f>SUM(R16:R27)</f>
        <v>255820</v>
      </c>
      <c r="S29" s="149">
        <f>SUM(S16:S27)</f>
        <v>194423.2</v>
      </c>
      <c r="X29" s="149">
        <f>SUM(X16:X27)</f>
        <v>590</v>
      </c>
      <c r="Y29" s="149">
        <f>SUM(Y16:Y27)</f>
        <v>673400</v>
      </c>
      <c r="Z29" s="149">
        <f>SUM(Z16:Z27)</f>
        <v>517304</v>
      </c>
      <c r="AE29" s="149">
        <f>SUM(AE16:AE27)</f>
        <v>127</v>
      </c>
      <c r="AF29" s="149">
        <f>SUM(AF16:AF27)</f>
        <v>134420</v>
      </c>
      <c r="AG29" s="149">
        <f>SUM(AG16:AG27)</f>
        <v>102159.2</v>
      </c>
    </row>
    <row r="30" spans="1:33" ht="13.5" thickBot="1">
      <c r="A30" s="773"/>
      <c r="B30" s="215"/>
      <c r="C30" s="225"/>
      <c r="D30" s="217"/>
      <c r="E30" s="224"/>
      <c r="F30" s="235"/>
      <c r="G30" s="231"/>
      <c r="H30" s="232"/>
      <c r="I30" s="771"/>
      <c r="J30" s="214">
        <f>+'19'!J30</f>
        <v>0</v>
      </c>
      <c r="K30" s="238"/>
      <c r="L30" s="238"/>
      <c r="M30" s="117">
        <f>+K30+'19'!M30+L30</f>
        <v>0</v>
      </c>
      <c r="P30" s="149">
        <f>60*4+3</f>
        <v>243</v>
      </c>
      <c r="Q30" s="149">
        <f>480-Q29</f>
        <v>243</v>
      </c>
      <c r="R30" s="149">
        <f>+R29/Q29</f>
        <v>1079.409282700422</v>
      </c>
      <c r="S30" s="149">
        <f>+S29/Q29</f>
        <v>820.35105485232077</v>
      </c>
      <c r="W30" s="149">
        <f>60*4+3</f>
        <v>243</v>
      </c>
      <c r="X30" s="149">
        <f>480-X29</f>
        <v>-110</v>
      </c>
      <c r="Y30" s="149">
        <f>+Y29/X29</f>
        <v>1141.3559322033898</v>
      </c>
      <c r="Z30" s="149">
        <f>+Z29/X29</f>
        <v>876.78644067796608</v>
      </c>
      <c r="AD30" s="149">
        <f>60*4+3</f>
        <v>243</v>
      </c>
      <c r="AE30" s="149">
        <f>480-AE29</f>
        <v>353</v>
      </c>
      <c r="AF30" s="149">
        <f>+AF29/AE29</f>
        <v>1058.4251968503936</v>
      </c>
      <c r="AG30" s="149">
        <f>+AG29/AE29</f>
        <v>804.40314960629917</v>
      </c>
    </row>
    <row r="31" spans="1:33" ht="13.5" thickBot="1">
      <c r="A31" s="773"/>
      <c r="B31" s="215"/>
      <c r="C31" s="225"/>
      <c r="D31" s="217"/>
      <c r="E31" s="224"/>
      <c r="F31" s="235"/>
      <c r="G31" s="236"/>
      <c r="H31" s="444"/>
      <c r="I31" s="772"/>
      <c r="J31" s="214">
        <f>+'19'!J31</f>
        <v>0</v>
      </c>
      <c r="K31" s="238"/>
      <c r="L31" s="238"/>
      <c r="M31" s="117">
        <f>+K31+'19'!M31+L31</f>
        <v>0</v>
      </c>
    </row>
    <row r="32" spans="1:33" ht="13.5" thickBot="1">
      <c r="A32" s="774"/>
      <c r="B32" s="165" t="s">
        <v>2</v>
      </c>
      <c r="C32" s="99">
        <f>SUM(C25:C31)</f>
        <v>9188</v>
      </c>
      <c r="D32" s="100">
        <f>SUM(D25:D31)</f>
        <v>168</v>
      </c>
      <c r="E32" s="101">
        <f>SUM(E25:E31)</f>
        <v>0</v>
      </c>
      <c r="F32" s="102">
        <f>SUM(F24:F31)</f>
        <v>20</v>
      </c>
      <c r="G32" s="171"/>
      <c r="H32" s="172"/>
      <c r="I32" s="169"/>
      <c r="J32" s="214">
        <f>+'19'!J32</f>
        <v>0</v>
      </c>
      <c r="K32" s="240"/>
      <c r="L32" s="242"/>
      <c r="M32" s="117">
        <f>+K32+'19'!M32+L32</f>
        <v>0</v>
      </c>
    </row>
    <row r="33" spans="1:19" ht="13.5" thickBot="1">
      <c r="A33" s="173"/>
      <c r="B33" s="174"/>
      <c r="C33" s="103">
        <f>C32/($C$32+$D$32+$E$32)</f>
        <v>0.98204360837964944</v>
      </c>
      <c r="D33" s="104">
        <f>D32/($C$32+$D$32+$E$32)</f>
        <v>1.7956391620350579E-2</v>
      </c>
      <c r="E33" s="105">
        <f>E32/($C$32+$D$32+$E$32)</f>
        <v>0</v>
      </c>
      <c r="F33" s="106"/>
      <c r="G33" s="175"/>
      <c r="H33" s="176"/>
      <c r="I33" s="177"/>
      <c r="J33" s="121"/>
      <c r="K33" s="122"/>
      <c r="L33" s="213"/>
      <c r="M33" s="119"/>
      <c r="N33" s="149" t="s">
        <v>516</v>
      </c>
      <c r="O33" s="149">
        <v>1150</v>
      </c>
      <c r="P33" s="149">
        <f>+O33-O33*0.23</f>
        <v>885.5</v>
      </c>
      <c r="Q33" s="149">
        <v>480</v>
      </c>
      <c r="R33" s="149">
        <f>+O33*Q33</f>
        <v>552000</v>
      </c>
      <c r="S33" s="149">
        <f>+P33*Q33</f>
        <v>425040</v>
      </c>
    </row>
    <row r="34" spans="1:19" ht="13.5" thickBot="1">
      <c r="A34" s="775" t="s">
        <v>57</v>
      </c>
      <c r="B34" s="776"/>
      <c r="C34" s="107">
        <f>C14+C23+C32</f>
        <v>11805</v>
      </c>
      <c r="D34" s="107">
        <f>D14+D23+D32</f>
        <v>168</v>
      </c>
      <c r="E34" s="107">
        <f>E14+E23+E32</f>
        <v>0</v>
      </c>
      <c r="F34" s="108">
        <f>F14+F23+F32</f>
        <v>754</v>
      </c>
      <c r="G34" s="149">
        <f>31+723</f>
        <v>754</v>
      </c>
      <c r="H34" s="178"/>
      <c r="I34" s="178"/>
      <c r="J34" s="123" t="s">
        <v>27</v>
      </c>
      <c r="K34" s="124">
        <f>SUM(K7:K32)</f>
        <v>11805</v>
      </c>
      <c r="L34" s="212">
        <f>SUM(L7:L32)</f>
        <v>0</v>
      </c>
      <c r="M34" s="120">
        <f>SUM(M7:M32)</f>
        <v>119597</v>
      </c>
    </row>
    <row r="35" spans="1:19" ht="13.5" thickBot="1">
      <c r="A35" s="179"/>
      <c r="B35" s="180"/>
      <c r="C35" s="104">
        <f>C34/($C$34+$D$34+$E$34)</f>
        <v>0.98596842896517167</v>
      </c>
      <c r="D35" s="104">
        <f>D34/($C$34+$D$34+$E$34)</f>
        <v>1.4031571034828364E-2</v>
      </c>
      <c r="E35" s="109">
        <f>E34/($C$34+$D$34+$E$34)</f>
        <v>0</v>
      </c>
      <c r="K35" s="155"/>
    </row>
    <row r="36" spans="1:19" ht="13.5" thickBot="1">
      <c r="A36" s="178"/>
      <c r="B36" s="178"/>
      <c r="C36" s="155"/>
      <c r="D36" s="155"/>
      <c r="E36" s="155"/>
      <c r="G36" s="155"/>
      <c r="H36" s="181"/>
      <c r="I36" s="162" t="s">
        <v>36</v>
      </c>
      <c r="J36" s="162" t="s">
        <v>37</v>
      </c>
      <c r="K36" s="182"/>
    </row>
    <row r="37" spans="1:19" ht="17.45" customHeight="1" thickBot="1">
      <c r="A37" s="777" t="s">
        <v>58</v>
      </c>
      <c r="B37" s="778"/>
      <c r="C37" s="162" t="s">
        <v>59</v>
      </c>
      <c r="D37" s="183" t="s">
        <v>60</v>
      </c>
      <c r="E37" s="184" t="s">
        <v>61</v>
      </c>
      <c r="F37" s="321"/>
      <c r="G37" s="323"/>
      <c r="H37" s="186" t="s">
        <v>62</v>
      </c>
      <c r="I37" s="243">
        <f>(13*590+14*127)/717*G42*2.74*717/1000000</f>
        <v>22.365921867871684</v>
      </c>
      <c r="J37" s="125">
        <f>+I37+'19'!J37</f>
        <v>154.32489666555168</v>
      </c>
      <c r="K37" s="126" t="s">
        <v>63</v>
      </c>
    </row>
    <row r="38" spans="1:19" ht="17.45" customHeight="1">
      <c r="A38" s="779" t="s">
        <v>11</v>
      </c>
      <c r="B38" s="780"/>
      <c r="C38" s="164">
        <f>SUMIF($G$7:$G$31,"Process",$F$7:$F$31)</f>
        <v>31</v>
      </c>
      <c r="D38" s="118">
        <f>+C38+'19'!D38</f>
        <v>240</v>
      </c>
      <c r="E38" s="143">
        <f t="shared" ref="E38:E51" si="7">D38/60</f>
        <v>4</v>
      </c>
      <c r="F38" s="321"/>
      <c r="G38" s="321"/>
      <c r="H38" s="187" t="s">
        <v>64</v>
      </c>
      <c r="I38" s="244">
        <f>5.385+14.591</f>
        <v>19.975999999999999</v>
      </c>
      <c r="J38" s="127">
        <f>+I38+'19'!J38</f>
        <v>134.64600000000002</v>
      </c>
      <c r="K38" s="128" t="s">
        <v>63</v>
      </c>
    </row>
    <row r="39" spans="1:19" ht="17.45" customHeight="1">
      <c r="A39" s="781" t="s">
        <v>12</v>
      </c>
      <c r="B39" s="782"/>
      <c r="C39" s="164">
        <f>SUMIF($G$7:$G$31,"Cleaning",$F$7:$F$31)</f>
        <v>0</v>
      </c>
      <c r="D39" s="118">
        <f>+C39+'19'!D39</f>
        <v>0</v>
      </c>
      <c r="E39" s="143">
        <f t="shared" si="7"/>
        <v>0</v>
      </c>
      <c r="F39" s="321">
        <v>1079.409282700422</v>
      </c>
      <c r="G39" s="321">
        <v>820.35105485232077</v>
      </c>
      <c r="H39" s="187" t="s">
        <v>65</v>
      </c>
      <c r="I39" s="142"/>
      <c r="J39" s="129">
        <f>J37/G4</f>
        <v>7.7162448332775835</v>
      </c>
      <c r="K39" s="130" t="s">
        <v>63</v>
      </c>
    </row>
    <row r="40" spans="1:19" ht="17.45" customHeight="1">
      <c r="A40" s="781" t="s">
        <v>66</v>
      </c>
      <c r="B40" s="782"/>
      <c r="C40" s="164">
        <f>SUMIF($G$7:$G$31,"Mechanical",$F$7:$F$31)</f>
        <v>0</v>
      </c>
      <c r="D40" s="118">
        <f>+C40+'19'!D40</f>
        <v>0</v>
      </c>
      <c r="E40" s="143">
        <f t="shared" si="7"/>
        <v>0</v>
      </c>
      <c r="F40" s="321">
        <v>1150</v>
      </c>
      <c r="G40" s="321">
        <v>885.5</v>
      </c>
      <c r="H40" s="187" t="s">
        <v>67</v>
      </c>
      <c r="I40" s="118">
        <f>(K34+L34)/1000</f>
        <v>11.805</v>
      </c>
      <c r="J40" s="131">
        <f>+I40+'19'!J40</f>
        <v>119.59699999999998</v>
      </c>
      <c r="K40" s="130" t="s">
        <v>63</v>
      </c>
    </row>
    <row r="41" spans="1:19" ht="17.45" customHeight="1">
      <c r="A41" s="781" t="s">
        <v>68</v>
      </c>
      <c r="B41" s="782"/>
      <c r="C41" s="164">
        <f>SUMIF($G$7:$G$31,"Electrical",$F$7:$F$31)</f>
        <v>0</v>
      </c>
      <c r="D41" s="118">
        <f>+C41+'19'!D41</f>
        <v>0</v>
      </c>
      <c r="E41" s="143">
        <f t="shared" si="7"/>
        <v>0</v>
      </c>
      <c r="F41" s="321"/>
      <c r="G41" s="321"/>
      <c r="H41" s="187" t="s">
        <v>69</v>
      </c>
      <c r="I41" s="142"/>
      <c r="J41" s="129">
        <f>J40/G4</f>
        <v>5.979849999999999</v>
      </c>
      <c r="K41" s="130" t="s">
        <v>63</v>
      </c>
    </row>
    <row r="42" spans="1:19" ht="17.45" customHeight="1">
      <c r="A42" s="781" t="s">
        <v>15</v>
      </c>
      <c r="B42" s="782"/>
      <c r="C42" s="164">
        <f>SUMIF($G$7:$G$31,"Instrument",$F$7:$F$31)</f>
        <v>0</v>
      </c>
      <c r="D42" s="118">
        <f>+C42+'19'!D42</f>
        <v>0</v>
      </c>
      <c r="E42" s="143">
        <f t="shared" si="7"/>
        <v>0</v>
      </c>
      <c r="F42" s="321">
        <f>+(237*F39+480*F40)/717</f>
        <v>1126.6666666666667</v>
      </c>
      <c r="G42" s="321">
        <f>+(237*G39+480*G40)/717</f>
        <v>863.9654114365411</v>
      </c>
      <c r="H42" s="187" t="s">
        <v>70</v>
      </c>
      <c r="I42" s="245" t="s">
        <v>523</v>
      </c>
      <c r="J42" s="132"/>
      <c r="K42" s="130" t="s">
        <v>71</v>
      </c>
    </row>
    <row r="43" spans="1:19" ht="17.45" customHeight="1">
      <c r="A43" s="781" t="s">
        <v>72</v>
      </c>
      <c r="B43" s="782"/>
      <c r="C43" s="164">
        <f>SUMIF($G$7:$G$31,"Water",$F$7:$F$31)</f>
        <v>0</v>
      </c>
      <c r="D43" s="118">
        <f>+C43+'19'!D43</f>
        <v>0</v>
      </c>
      <c r="E43" s="143">
        <f t="shared" si="7"/>
        <v>0</v>
      </c>
      <c r="F43" s="321"/>
      <c r="G43" s="322"/>
      <c r="H43" s="188" t="s">
        <v>73</v>
      </c>
      <c r="I43" s="118">
        <f>+Report1!Z28</f>
        <v>33.4</v>
      </c>
      <c r="J43" s="133">
        <f>+I43+'19'!J43</f>
        <v>559.4</v>
      </c>
      <c r="K43" s="130" t="s">
        <v>63</v>
      </c>
      <c r="L43" s="189"/>
    </row>
    <row r="44" spans="1:19" ht="17.45" customHeight="1">
      <c r="A44" s="781" t="s">
        <v>16</v>
      </c>
      <c r="B44" s="782"/>
      <c r="C44" s="164">
        <f>SUMIF($G$7:$G$31,"PLN",$F$7:$F$31)</f>
        <v>0</v>
      </c>
      <c r="D44" s="118">
        <f>+C44+'19'!D44</f>
        <v>0</v>
      </c>
      <c r="E44" s="143">
        <f t="shared" si="7"/>
        <v>0</v>
      </c>
      <c r="F44" s="321"/>
      <c r="G44" s="322"/>
      <c r="H44" s="188" t="s">
        <v>74</v>
      </c>
      <c r="I44" s="118">
        <f>I43/I38</f>
        <v>1.6720064076892271</v>
      </c>
      <c r="J44" s="134">
        <f>J43/J38</f>
        <v>4.1545979828587551</v>
      </c>
      <c r="K44" s="130" t="s">
        <v>63</v>
      </c>
    </row>
    <row r="45" spans="1:19" ht="17.45" customHeight="1">
      <c r="A45" s="781" t="s">
        <v>17</v>
      </c>
      <c r="B45" s="782"/>
      <c r="C45" s="164">
        <f>SUMIF($G$7:$G$31,"Boiler",$F$7:$F$31)</f>
        <v>0</v>
      </c>
      <c r="D45" s="118">
        <f>+C45+'19'!D45</f>
        <v>0</v>
      </c>
      <c r="E45" s="143">
        <f t="shared" si="7"/>
        <v>0</v>
      </c>
      <c r="F45" s="321"/>
      <c r="G45" s="324"/>
      <c r="H45" s="188" t="s">
        <v>75</v>
      </c>
      <c r="I45" s="118">
        <f>I43/I40</f>
        <v>2.8293096145700973</v>
      </c>
      <c r="J45" s="134">
        <f>J43/J40</f>
        <v>4.6773748505397297</v>
      </c>
      <c r="K45" s="130" t="s">
        <v>63</v>
      </c>
    </row>
    <row r="46" spans="1:19" ht="17.45" customHeight="1">
      <c r="A46" s="781" t="s">
        <v>76</v>
      </c>
      <c r="B46" s="782"/>
      <c r="C46" s="164">
        <f>SUMIF($G$7:$G$31,"Gas",$F$7:$F$31)</f>
        <v>0</v>
      </c>
      <c r="D46" s="118">
        <f>+C46+'19'!D46</f>
        <v>0</v>
      </c>
      <c r="E46" s="143">
        <f t="shared" si="7"/>
        <v>0</v>
      </c>
      <c r="F46" s="321"/>
      <c r="G46" s="322"/>
      <c r="H46" s="188" t="s">
        <v>77</v>
      </c>
      <c r="I46" s="140">
        <f>+SUMIF(Listrik!P27,"&gt;0")</f>
        <v>19849.060000000001</v>
      </c>
      <c r="J46" s="135">
        <f>+I46+'19'!J46</f>
        <v>233359.64000000036</v>
      </c>
      <c r="K46" s="130" t="s">
        <v>78</v>
      </c>
      <c r="Q46" s="149">
        <f>SUM(Q33:Q44)</f>
        <v>480</v>
      </c>
      <c r="R46" s="149">
        <f>SUM(R33:R44)</f>
        <v>552000</v>
      </c>
      <c r="S46" s="149">
        <f>SUM(S33:S44)</f>
        <v>425040</v>
      </c>
    </row>
    <row r="47" spans="1:19" ht="17.45" customHeight="1">
      <c r="A47" s="781" t="s">
        <v>79</v>
      </c>
      <c r="B47" s="782"/>
      <c r="C47" s="164">
        <f>SUMIF($G$7:$G$31,"Gas",$F$7:$F$31)</f>
        <v>0</v>
      </c>
      <c r="D47" s="118">
        <f>+C47+'19'!D47</f>
        <v>0</v>
      </c>
      <c r="E47" s="143">
        <f t="shared" si="7"/>
        <v>0</v>
      </c>
      <c r="F47" s="321"/>
      <c r="G47" s="322"/>
      <c r="H47" s="188" t="s">
        <v>80</v>
      </c>
      <c r="I47" s="118">
        <f>I46/I38</f>
        <v>993.64537444933933</v>
      </c>
      <c r="J47" s="135">
        <f>J46/J38</f>
        <v>1733.1345899618284</v>
      </c>
      <c r="K47" s="130" t="s">
        <v>23</v>
      </c>
      <c r="Q47" s="149">
        <f>480-Q46</f>
        <v>0</v>
      </c>
      <c r="R47" s="149">
        <f>+R46/Q46</f>
        <v>1150</v>
      </c>
      <c r="S47" s="149">
        <f>+S46/Q46</f>
        <v>885.5</v>
      </c>
    </row>
    <row r="48" spans="1:19" ht="17.45" customHeight="1">
      <c r="A48" s="781" t="s">
        <v>13</v>
      </c>
      <c r="B48" s="782"/>
      <c r="C48" s="164">
        <f>SUMIF($G$7:$G$31,"Start Up",$F$7:$F$31)</f>
        <v>0</v>
      </c>
      <c r="D48" s="118">
        <f>+C48+'19'!D48</f>
        <v>0</v>
      </c>
      <c r="E48" s="143">
        <f t="shared" si="7"/>
        <v>0</v>
      </c>
      <c r="F48" s="321"/>
      <c r="G48" s="322"/>
      <c r="H48" s="188" t="s">
        <v>81</v>
      </c>
      <c r="I48" s="118">
        <f>I46/I40</f>
        <v>1681.4112664125373</v>
      </c>
      <c r="J48" s="135">
        <f>J46/J40</f>
        <v>1951.2165020861762</v>
      </c>
      <c r="K48" s="130" t="s">
        <v>23</v>
      </c>
    </row>
    <row r="49" spans="1:18" ht="17.45" customHeight="1">
      <c r="A49" s="781" t="s">
        <v>19</v>
      </c>
      <c r="B49" s="782"/>
      <c r="C49" s="164">
        <f>SUMIF($G$7:$G$31,"Others",$F$7:$F$31)</f>
        <v>723</v>
      </c>
      <c r="D49" s="118">
        <f>+C49+'19'!D49</f>
        <v>22716</v>
      </c>
      <c r="E49" s="143">
        <f t="shared" si="7"/>
        <v>378.6</v>
      </c>
      <c r="F49" s="185"/>
      <c r="H49" s="188" t="s">
        <v>267</v>
      </c>
      <c r="I49" s="118">
        <f>+Report1!T28</f>
        <v>2577.3201739319852</v>
      </c>
      <c r="J49" s="135">
        <f>+I49+'19'!J49</f>
        <v>16722.717956133914</v>
      </c>
      <c r="K49" s="130" t="s">
        <v>82</v>
      </c>
      <c r="M49" s="149">
        <v>237</v>
      </c>
      <c r="O49" s="149" t="s">
        <v>516</v>
      </c>
      <c r="P49" s="149">
        <v>1141.3559322033898</v>
      </c>
      <c r="Q49" s="149">
        <v>876.78644067796608</v>
      </c>
      <c r="R49" s="149">
        <v>590</v>
      </c>
    </row>
    <row r="50" spans="1:18" ht="17.45" customHeight="1">
      <c r="A50" s="781" t="s">
        <v>18</v>
      </c>
      <c r="B50" s="782"/>
      <c r="C50" s="164">
        <f>SUMIF($G$7:$G$31,"Steam",$F$7:$F$31)</f>
        <v>0</v>
      </c>
      <c r="D50" s="118">
        <f>+C50+'19'!D50</f>
        <v>0</v>
      </c>
      <c r="E50" s="143">
        <f t="shared" si="7"/>
        <v>0</v>
      </c>
      <c r="F50" s="185"/>
      <c r="H50" s="188" t="s">
        <v>83</v>
      </c>
      <c r="I50" s="140">
        <f>I49/I38</f>
        <v>129.0208336970357</v>
      </c>
      <c r="J50" s="133">
        <f>J49/J38</f>
        <v>124.19765872089711</v>
      </c>
      <c r="K50" s="130" t="s">
        <v>82</v>
      </c>
      <c r="M50" s="149">
        <v>480</v>
      </c>
      <c r="O50" s="149" t="s">
        <v>517</v>
      </c>
      <c r="P50" s="149">
        <v>1058.4251968503936</v>
      </c>
      <c r="Q50" s="149">
        <v>804.40314960629917</v>
      </c>
      <c r="R50" s="149">
        <v>127</v>
      </c>
    </row>
    <row r="51" spans="1:18" ht="17.45" customHeight="1" thickBot="1">
      <c r="A51" s="783" t="s">
        <v>84</v>
      </c>
      <c r="B51" s="784"/>
      <c r="C51" s="164">
        <f>SUMIF($G$7:$G$31,"Planned shut",$F$7:$F$31)</f>
        <v>0</v>
      </c>
      <c r="D51" s="118">
        <f>+C51+'19'!D51</f>
        <v>0</v>
      </c>
      <c r="E51" s="143">
        <f t="shared" si="7"/>
        <v>0</v>
      </c>
      <c r="F51" s="185"/>
      <c r="H51" s="190" t="s">
        <v>85</v>
      </c>
      <c r="I51" s="141">
        <f>I49/I40</f>
        <v>218.3244535308755</v>
      </c>
      <c r="J51" s="136">
        <f>J49/J40</f>
        <v>139.82556381961018</v>
      </c>
      <c r="K51" s="137" t="s">
        <v>82</v>
      </c>
      <c r="M51" s="149">
        <f>+M49+M50</f>
        <v>717</v>
      </c>
      <c r="R51" s="149">
        <f>+R49+R50</f>
        <v>717</v>
      </c>
    </row>
    <row r="52" spans="1:18" ht="13.5" thickBot="1">
      <c r="A52" s="779" t="s">
        <v>27</v>
      </c>
      <c r="B52" s="780"/>
      <c r="C52" s="144">
        <f>SUM(C38:C51)</f>
        <v>754</v>
      </c>
      <c r="D52" s="144">
        <f>SUM(D38:D51)</f>
        <v>22956</v>
      </c>
      <c r="E52" s="145">
        <f>SUM(E38:E51)</f>
        <v>382.6</v>
      </c>
      <c r="F52" s="185"/>
      <c r="H52" s="191"/>
      <c r="I52" s="192"/>
      <c r="J52" s="138"/>
      <c r="K52" s="139"/>
    </row>
    <row r="53" spans="1:18" ht="13.5" thickBot="1">
      <c r="A53" s="785"/>
      <c r="B53" s="786"/>
      <c r="C53" s="146">
        <f>C52/(24*60)</f>
        <v>0.52361111111111114</v>
      </c>
      <c r="D53" s="146">
        <f>D52/(24*60*G4)</f>
        <v>0.79708333333333337</v>
      </c>
      <c r="E53" s="147">
        <f>E52/(G4*24)</f>
        <v>0.79708333333333337</v>
      </c>
      <c r="F53" s="185"/>
    </row>
    <row r="54" spans="1:18">
      <c r="E54" s="193"/>
      <c r="F54" s="185"/>
    </row>
    <row r="55" spans="1:18">
      <c r="E55" s="193"/>
    </row>
    <row r="56" spans="1:18">
      <c r="A56" s="194" t="s">
        <v>86</v>
      </c>
      <c r="B56" s="195"/>
      <c r="C56" s="196"/>
      <c r="D56" s="196"/>
      <c r="E56" s="196"/>
      <c r="F56" s="197"/>
      <c r="G56" s="196"/>
      <c r="H56" s="198"/>
      <c r="I56" s="199" t="s">
        <v>87</v>
      </c>
      <c r="J56" s="200">
        <f>+D34+'19'!J56</f>
        <v>3080</v>
      </c>
      <c r="K56" s="201">
        <f>J56/(J40+J56/1000)/1000</f>
        <v>2.5106580695647925E-2</v>
      </c>
    </row>
    <row r="57" spans="1:18">
      <c r="A57" s="176"/>
      <c r="I57" s="199" t="s">
        <v>88</v>
      </c>
      <c r="J57" s="200">
        <f>+E34+'19'!J57</f>
        <v>0</v>
      </c>
      <c r="K57" s="201">
        <f>J57/(J40+J57/1000)/1000</f>
        <v>0</v>
      </c>
    </row>
    <row r="58" spans="1:18">
      <c r="A58" s="202"/>
      <c r="B58" s="203"/>
      <c r="F58" s="185"/>
      <c r="H58" s="204"/>
      <c r="J58" s="149">
        <v>3600</v>
      </c>
    </row>
    <row r="59" spans="1:18">
      <c r="A59" s="205"/>
      <c r="B59" s="176"/>
      <c r="C59" s="176"/>
      <c r="D59" s="176"/>
      <c r="E59" s="176"/>
      <c r="F59" s="189"/>
      <c r="G59" s="176"/>
      <c r="H59" s="204"/>
      <c r="J59" s="155">
        <f>+J56-J58</f>
        <v>-520</v>
      </c>
    </row>
    <row r="60" spans="1:18">
      <c r="H60" s="204"/>
    </row>
    <row r="61" spans="1:18">
      <c r="A61" s="206"/>
      <c r="B61" s="207"/>
      <c r="C61" s="207"/>
      <c r="D61" s="207"/>
      <c r="E61" s="207"/>
      <c r="F61" s="208"/>
      <c r="G61" s="207"/>
      <c r="H61" s="209"/>
    </row>
  </sheetData>
  <mergeCells count="24">
    <mergeCell ref="A7:A14"/>
    <mergeCell ref="I7:I14"/>
    <mergeCell ref="A43:B43"/>
    <mergeCell ref="A44:B44"/>
    <mergeCell ref="A45:B45"/>
    <mergeCell ref="A37:B37"/>
    <mergeCell ref="A38:B38"/>
    <mergeCell ref="A24:A32"/>
    <mergeCell ref="I24:I31"/>
    <mergeCell ref="A15:A23"/>
    <mergeCell ref="I15:I22"/>
    <mergeCell ref="A34:B34"/>
    <mergeCell ref="A46:B46"/>
    <mergeCell ref="A39:B39"/>
    <mergeCell ref="A40:B40"/>
    <mergeCell ref="A41:B41"/>
    <mergeCell ref="A42:B42"/>
    <mergeCell ref="A51:B51"/>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59027777777777779" header="0" footer="0"/>
  <pageSetup paperSize="9" scale="61"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zoomScale="80" zoomScaleNormal="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4" width="10.140625" style="149" bestFit="1" customWidth="1"/>
    <col min="15" max="16384" width="9.140625" style="149"/>
  </cols>
  <sheetData>
    <row r="1" spans="1:19" ht="15.75">
      <c r="A1" s="148"/>
    </row>
    <row r="2" spans="1:19" ht="15.75">
      <c r="A2" s="148" t="s">
        <v>182</v>
      </c>
    </row>
    <row r="3" spans="1:19" ht="15">
      <c r="A3" s="150"/>
    </row>
    <row r="4" spans="1:19" ht="20.25">
      <c r="A4" s="151" t="s">
        <v>3</v>
      </c>
      <c r="B4" s="152"/>
      <c r="F4" s="153" t="s">
        <v>28</v>
      </c>
      <c r="G4" s="154">
        <v>19</v>
      </c>
      <c r="H4" s="154" t="str">
        <f>+'1'!H4</f>
        <v>.11.25</v>
      </c>
    </row>
    <row r="5" spans="1:19" ht="13.5" thickBot="1">
      <c r="C5" s="155"/>
      <c r="D5" s="155"/>
    </row>
    <row r="6" spans="1:19"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386</v>
      </c>
      <c r="O6" s="149">
        <v>1230</v>
      </c>
      <c r="P6" s="149">
        <f>+O6-O6*0.23</f>
        <v>947.09999999999991</v>
      </c>
      <c r="Q6" s="149">
        <v>480</v>
      </c>
      <c r="R6" s="149">
        <f>+O6*Q6</f>
        <v>590400</v>
      </c>
      <c r="S6" s="149">
        <f>+P6*Q6</f>
        <v>454607.99999999994</v>
      </c>
    </row>
    <row r="7" spans="1:19" ht="13.5" customHeight="1" thickBot="1">
      <c r="A7" s="767" t="s">
        <v>410</v>
      </c>
      <c r="B7" s="215" t="s">
        <v>387</v>
      </c>
      <c r="C7" s="216">
        <v>11371</v>
      </c>
      <c r="D7" s="217"/>
      <c r="E7" s="218"/>
      <c r="F7" s="227"/>
      <c r="G7" s="228" t="s">
        <v>11</v>
      </c>
      <c r="H7" s="229" t="s">
        <v>384</v>
      </c>
      <c r="I7" s="770" t="s">
        <v>508</v>
      </c>
      <c r="J7" s="214" t="str">
        <f>+'18'!J7</f>
        <v>F 12 VP OW</v>
      </c>
      <c r="K7" s="237">
        <f>+C34</f>
        <v>25437</v>
      </c>
      <c r="L7" s="241"/>
      <c r="M7" s="117">
        <f>+K7+'18'!M7+L7</f>
        <v>107792</v>
      </c>
    </row>
    <row r="8" spans="1:19" ht="13.5" thickBot="1">
      <c r="A8" s="768"/>
      <c r="B8" s="215"/>
      <c r="C8" s="216"/>
      <c r="D8" s="217"/>
      <c r="E8" s="219"/>
      <c r="F8" s="230">
        <v>4</v>
      </c>
      <c r="G8" s="231" t="s">
        <v>11</v>
      </c>
      <c r="H8" s="229" t="s">
        <v>510</v>
      </c>
      <c r="I8" s="771"/>
      <c r="J8" s="214">
        <f>+'18'!J8</f>
        <v>0</v>
      </c>
      <c r="K8" s="238"/>
      <c r="L8" s="238"/>
      <c r="M8" s="117">
        <f>+K8+'18'!M8+L8</f>
        <v>0</v>
      </c>
    </row>
    <row r="9" spans="1:19" ht="13.5" thickBot="1">
      <c r="A9" s="768"/>
      <c r="B9" s="215"/>
      <c r="C9" s="216"/>
      <c r="D9" s="217"/>
      <c r="E9" s="220"/>
      <c r="F9" s="227">
        <v>9</v>
      </c>
      <c r="G9" s="231" t="s">
        <v>11</v>
      </c>
      <c r="H9" s="232" t="s">
        <v>477</v>
      </c>
      <c r="I9" s="771"/>
      <c r="J9" s="214">
        <f>+'18'!J9</f>
        <v>0</v>
      </c>
      <c r="K9" s="238"/>
      <c r="L9" s="238"/>
      <c r="M9" s="117">
        <f>+K9+'18'!M9+L9</f>
        <v>0</v>
      </c>
    </row>
    <row r="10" spans="1:19" ht="26.25" thickBot="1">
      <c r="A10" s="768"/>
      <c r="B10" s="215"/>
      <c r="C10" s="216"/>
      <c r="D10" s="217"/>
      <c r="E10" s="219"/>
      <c r="F10" s="227"/>
      <c r="G10" s="236" t="s">
        <v>12</v>
      </c>
      <c r="H10" s="232" t="s">
        <v>506</v>
      </c>
      <c r="I10" s="771"/>
      <c r="J10" s="214">
        <f>+'18'!J10</f>
        <v>0</v>
      </c>
      <c r="K10" s="238"/>
      <c r="L10" s="238"/>
      <c r="M10" s="117">
        <f>+K10+'18'!M10+L10</f>
        <v>0</v>
      </c>
    </row>
    <row r="11" spans="1:19" ht="13.5" thickBot="1">
      <c r="A11" s="768"/>
      <c r="B11" s="215"/>
      <c r="C11" s="216"/>
      <c r="D11" s="217"/>
      <c r="E11" s="219"/>
      <c r="F11" s="227"/>
      <c r="G11" s="231"/>
      <c r="H11" s="232"/>
      <c r="I11" s="771"/>
      <c r="J11" s="214">
        <f>+'18'!J11</f>
        <v>0</v>
      </c>
      <c r="K11" s="238"/>
      <c r="L11" s="238"/>
      <c r="M11" s="117">
        <f>+K11+'18'!M11+L11</f>
        <v>0</v>
      </c>
    </row>
    <row r="12" spans="1:19" ht="13.5" thickBot="1">
      <c r="A12" s="768"/>
      <c r="B12" s="215"/>
      <c r="C12" s="216"/>
      <c r="D12" s="217"/>
      <c r="E12" s="219"/>
      <c r="F12" s="227"/>
      <c r="G12" s="231"/>
      <c r="H12" s="232"/>
      <c r="I12" s="771"/>
      <c r="J12" s="214">
        <f>+'18'!J12</f>
        <v>0</v>
      </c>
      <c r="K12" s="238"/>
      <c r="L12" s="238"/>
      <c r="M12" s="117">
        <f>+K12+'18'!M12+L12</f>
        <v>0</v>
      </c>
    </row>
    <row r="13" spans="1:19" ht="13.5" thickBot="1">
      <c r="A13" s="768"/>
      <c r="B13" s="215"/>
      <c r="C13" s="216"/>
      <c r="D13" s="216"/>
      <c r="E13" s="219"/>
      <c r="F13" s="227"/>
      <c r="G13" s="231"/>
      <c r="H13" s="232"/>
      <c r="I13" s="772"/>
      <c r="J13" s="214">
        <f>+'18'!J13</f>
        <v>0</v>
      </c>
      <c r="K13" s="238"/>
      <c r="L13" s="238"/>
      <c r="M13" s="117">
        <f>+K13+'18'!M13+L13</f>
        <v>0</v>
      </c>
    </row>
    <row r="14" spans="1:19" ht="13.5" thickBot="1">
      <c r="A14" s="769"/>
      <c r="B14" s="165" t="s">
        <v>2</v>
      </c>
      <c r="C14" s="99">
        <f>SUM(C7:C13)</f>
        <v>11371</v>
      </c>
      <c r="D14" s="111">
        <f>SUM(D7:D13)</f>
        <v>0</v>
      </c>
      <c r="E14" s="112">
        <f>SUM(E5:E13)</f>
        <v>0</v>
      </c>
      <c r="F14" s="116">
        <f>SUM(F7:F13)</f>
        <v>13</v>
      </c>
      <c r="G14" s="159"/>
      <c r="H14" s="166"/>
      <c r="I14" s="167"/>
      <c r="J14" s="214">
        <f>+'18'!J14</f>
        <v>0</v>
      </c>
      <c r="K14" s="238"/>
      <c r="L14" s="238"/>
      <c r="M14" s="117">
        <f>+K14+'18'!M14+L14</f>
        <v>0</v>
      </c>
    </row>
    <row r="15" spans="1:19" ht="13.5" customHeight="1" thickBot="1">
      <c r="A15" s="767" t="s">
        <v>407</v>
      </c>
      <c r="B15" s="165"/>
      <c r="C15" s="113">
        <f>C14/($C$23+$D$23+$E$23)</f>
        <v>0.97538171212901015</v>
      </c>
      <c r="D15" s="114">
        <f>D14/($C$23+$D$23+$E$23)</f>
        <v>0</v>
      </c>
      <c r="E15" s="115">
        <f>E14/($C$23+$D$23+$E$23)</f>
        <v>0</v>
      </c>
      <c r="F15" s="227">
        <v>9</v>
      </c>
      <c r="G15" s="228" t="s">
        <v>11</v>
      </c>
      <c r="H15" s="229" t="s">
        <v>460</v>
      </c>
      <c r="I15" s="770" t="s">
        <v>507</v>
      </c>
      <c r="J15" s="214">
        <f>+'18'!J15</f>
        <v>0</v>
      </c>
      <c r="K15" s="238"/>
      <c r="L15" s="238"/>
      <c r="M15" s="117">
        <f>+K15+'18'!M15+L15</f>
        <v>0</v>
      </c>
    </row>
    <row r="16" spans="1:19" ht="13.5" thickBot="1">
      <c r="A16" s="773"/>
      <c r="B16" s="215" t="s">
        <v>387</v>
      </c>
      <c r="C16" s="221">
        <v>11658</v>
      </c>
      <c r="D16" s="222"/>
      <c r="E16" s="223"/>
      <c r="F16" s="230"/>
      <c r="G16" s="231" t="s">
        <v>11</v>
      </c>
      <c r="H16" s="229" t="s">
        <v>282</v>
      </c>
      <c r="I16" s="771"/>
      <c r="J16" s="214">
        <f>+'18'!J16</f>
        <v>0</v>
      </c>
      <c r="K16" s="228"/>
      <c r="L16" s="228"/>
      <c r="M16" s="117">
        <f>+K16+'18'!M16+L16</f>
        <v>0</v>
      </c>
    </row>
    <row r="17" spans="1:19" ht="13.5" thickBot="1">
      <c r="A17" s="773"/>
      <c r="B17" s="215"/>
      <c r="C17" s="216"/>
      <c r="D17" s="217"/>
      <c r="E17" s="224"/>
      <c r="F17" s="227">
        <f>16-9</f>
        <v>7</v>
      </c>
      <c r="G17" s="231" t="s">
        <v>11</v>
      </c>
      <c r="H17" s="232" t="s">
        <v>477</v>
      </c>
      <c r="I17" s="771"/>
      <c r="J17" s="214">
        <f>+'18'!J17</f>
        <v>0</v>
      </c>
      <c r="K17" s="228"/>
      <c r="L17" s="228"/>
      <c r="M17" s="117">
        <f>+K17+'18'!M17+L17</f>
        <v>0</v>
      </c>
    </row>
    <row r="18" spans="1:19" ht="26.25" thickBot="1">
      <c r="A18" s="773"/>
      <c r="B18" s="215"/>
      <c r="C18" s="216"/>
      <c r="D18" s="217"/>
      <c r="E18" s="224"/>
      <c r="F18" s="227"/>
      <c r="G18" s="236" t="s">
        <v>12</v>
      </c>
      <c r="H18" s="232" t="s">
        <v>503</v>
      </c>
      <c r="I18" s="771"/>
      <c r="J18" s="214">
        <f>+'18'!J18</f>
        <v>0</v>
      </c>
      <c r="K18" s="238"/>
      <c r="L18" s="238"/>
      <c r="M18" s="117">
        <f>+K18+'18'!M18+L18</f>
        <v>0</v>
      </c>
    </row>
    <row r="19" spans="1:19" ht="96" customHeight="1" thickBot="1">
      <c r="A19" s="773"/>
      <c r="B19" s="215"/>
      <c r="C19" s="216"/>
      <c r="D19" s="217"/>
      <c r="E19" s="224"/>
      <c r="F19" s="234">
        <v>173</v>
      </c>
      <c r="G19" s="231" t="s">
        <v>19</v>
      </c>
      <c r="H19" s="232" t="s">
        <v>504</v>
      </c>
      <c r="I19" s="771"/>
      <c r="J19" s="214">
        <f>+'18'!J19</f>
        <v>0</v>
      </c>
      <c r="K19" s="238"/>
      <c r="L19" s="238"/>
      <c r="M19" s="117">
        <f>+K19+'18'!M19+L19</f>
        <v>0</v>
      </c>
      <c r="Q19" s="149">
        <f>SUM(Q6:Q17)</f>
        <v>480</v>
      </c>
      <c r="R19" s="149">
        <f>SUM(R6:R17)</f>
        <v>590400</v>
      </c>
      <c r="S19" s="149">
        <f>SUM(S6:S17)</f>
        <v>454607.99999999994</v>
      </c>
    </row>
    <row r="20" spans="1:19" ht="13.5" thickBot="1">
      <c r="A20" s="773"/>
      <c r="B20" s="215"/>
      <c r="C20" s="216"/>
      <c r="D20" s="217"/>
      <c r="E20" s="224"/>
      <c r="F20" s="227"/>
      <c r="G20" s="231"/>
      <c r="H20" s="232"/>
      <c r="I20" s="771"/>
      <c r="J20" s="214">
        <f>+'18'!J20</f>
        <v>0</v>
      </c>
      <c r="K20" s="239"/>
      <c r="L20" s="239"/>
      <c r="M20" s="117">
        <f>+K20+'18'!M20+L20</f>
        <v>0</v>
      </c>
      <c r="Q20" s="149">
        <f>480-Q19</f>
        <v>0</v>
      </c>
      <c r="R20" s="149">
        <f>+R19/Q19</f>
        <v>1230</v>
      </c>
      <c r="S20" s="149">
        <f>+S19/Q19</f>
        <v>947.09999999999991</v>
      </c>
    </row>
    <row r="21" spans="1:19" ht="13.5" thickBot="1">
      <c r="A21" s="773"/>
      <c r="B21" s="215"/>
      <c r="C21" s="216"/>
      <c r="D21" s="217"/>
      <c r="E21" s="224"/>
      <c r="F21" s="230"/>
      <c r="G21" s="231"/>
      <c r="H21" s="232"/>
      <c r="I21" s="771"/>
      <c r="J21" s="214">
        <f>+'18'!J21</f>
        <v>0</v>
      </c>
      <c r="K21" s="238"/>
      <c r="L21" s="238"/>
      <c r="M21" s="117">
        <f>+K21+'18'!M21+L21</f>
        <v>0</v>
      </c>
    </row>
    <row r="22" spans="1:19" ht="13.5" thickBot="1">
      <c r="A22" s="773"/>
      <c r="B22" s="215"/>
      <c r="C22" s="216"/>
      <c r="D22" s="217"/>
      <c r="E22" s="224"/>
      <c r="F22" s="235"/>
      <c r="G22" s="231"/>
      <c r="H22" s="232"/>
      <c r="I22" s="772"/>
      <c r="J22" s="214">
        <f>+'18'!J22</f>
        <v>0</v>
      </c>
      <c r="K22" s="238"/>
      <c r="L22" s="238"/>
      <c r="M22" s="117">
        <f>+K22+'18'!M22+L22</f>
        <v>0</v>
      </c>
      <c r="N22" s="149" t="s">
        <v>386</v>
      </c>
      <c r="O22" s="149">
        <v>1230</v>
      </c>
      <c r="P22" s="149">
        <f>+O22-O22*0.24</f>
        <v>934.8</v>
      </c>
      <c r="Q22" s="149">
        <f>60*5+7</f>
        <v>307</v>
      </c>
      <c r="R22" s="149">
        <f>+O22*Q22</f>
        <v>377610</v>
      </c>
      <c r="S22" s="149">
        <f>+P22*Q22</f>
        <v>286983.59999999998</v>
      </c>
    </row>
    <row r="23" spans="1:19" ht="13.5" thickBot="1">
      <c r="A23" s="774"/>
      <c r="B23" s="168" t="s">
        <v>2</v>
      </c>
      <c r="C23" s="100">
        <f>SUM(C16:C22)</f>
        <v>11658</v>
      </c>
      <c r="D23" s="111">
        <f>SUM(D16:D22)</f>
        <v>0</v>
      </c>
      <c r="E23" s="112">
        <f>SUM(E18:E22)</f>
        <v>0</v>
      </c>
      <c r="F23" s="116">
        <f>SUM(F15:F22)</f>
        <v>189</v>
      </c>
      <c r="G23" s="159"/>
      <c r="H23" s="166"/>
      <c r="I23" s="169"/>
      <c r="J23" s="214">
        <f>+'18'!J23</f>
        <v>0</v>
      </c>
      <c r="K23" s="238"/>
      <c r="L23" s="238"/>
      <c r="M23" s="117">
        <f>+K23+'18'!M23+L23</f>
        <v>0</v>
      </c>
    </row>
    <row r="24" spans="1:19" ht="13.5" customHeight="1" thickBot="1">
      <c r="A24" s="767" t="s">
        <v>388</v>
      </c>
      <c r="B24" s="170"/>
      <c r="C24" s="113">
        <f>C23/($C$23+$D$23+$E$23)</f>
        <v>1</v>
      </c>
      <c r="D24" s="114">
        <f>D23/($C$23+$D$23+$E$23)</f>
        <v>0</v>
      </c>
      <c r="E24" s="115">
        <f>E23/($C$23+$D$23+$E$23)</f>
        <v>0</v>
      </c>
      <c r="F24" s="227"/>
      <c r="G24" s="228" t="s">
        <v>11</v>
      </c>
      <c r="H24" s="229" t="s">
        <v>460</v>
      </c>
      <c r="I24" s="770" t="s">
        <v>406</v>
      </c>
      <c r="J24" s="214">
        <f>+'18'!J24</f>
        <v>0</v>
      </c>
      <c r="K24" s="238"/>
      <c r="L24" s="238"/>
      <c r="M24" s="117">
        <f>+K24+'18'!M24+L24</f>
        <v>0</v>
      </c>
    </row>
    <row r="25" spans="1:19" ht="13.5" thickBot="1">
      <c r="A25" s="773"/>
      <c r="B25" s="215" t="s">
        <v>387</v>
      </c>
      <c r="C25" s="225">
        <v>2408</v>
      </c>
      <c r="D25" s="217"/>
      <c r="E25" s="224"/>
      <c r="F25" s="230"/>
      <c r="G25" s="231" t="s">
        <v>11</v>
      </c>
      <c r="H25" s="229" t="s">
        <v>282</v>
      </c>
      <c r="I25" s="771"/>
      <c r="J25" s="214">
        <f>+'18'!J25</f>
        <v>0</v>
      </c>
      <c r="K25" s="238"/>
      <c r="L25" s="238"/>
      <c r="M25" s="117">
        <f>+K25+'18'!M25+L25</f>
        <v>0</v>
      </c>
    </row>
    <row r="26" spans="1:19" ht="13.5" thickBot="1">
      <c r="A26" s="773"/>
      <c r="B26" s="215"/>
      <c r="C26" s="225"/>
      <c r="D26" s="217"/>
      <c r="E26" s="226"/>
      <c r="F26" s="227"/>
      <c r="G26" s="231" t="s">
        <v>11</v>
      </c>
      <c r="H26" s="232" t="s">
        <v>494</v>
      </c>
      <c r="I26" s="771"/>
      <c r="J26" s="214">
        <f>+'18'!J26</f>
        <v>0</v>
      </c>
      <c r="K26" s="238"/>
      <c r="L26" s="238"/>
      <c r="M26" s="117">
        <f>+K26+'18'!M26+L26</f>
        <v>0</v>
      </c>
    </row>
    <row r="27" spans="1:19" ht="51.75" thickBot="1">
      <c r="A27" s="773"/>
      <c r="B27" s="215"/>
      <c r="C27" s="216"/>
      <c r="D27" s="217"/>
      <c r="E27" s="224"/>
      <c r="F27" s="227"/>
      <c r="G27" s="236" t="s">
        <v>12</v>
      </c>
      <c r="H27" s="232" t="s">
        <v>505</v>
      </c>
      <c r="I27" s="771"/>
      <c r="J27" s="214">
        <f>+'18'!J27</f>
        <v>0</v>
      </c>
      <c r="K27" s="238"/>
      <c r="L27" s="238"/>
      <c r="M27" s="117">
        <f>+K27+'18'!M27+L27</f>
        <v>0</v>
      </c>
    </row>
    <row r="28" spans="1:19" ht="13.5" thickBot="1">
      <c r="A28" s="773"/>
      <c r="B28" s="215"/>
      <c r="C28" s="216"/>
      <c r="D28" s="217"/>
      <c r="E28" s="224"/>
      <c r="F28" s="230">
        <v>480</v>
      </c>
      <c r="G28" s="231" t="s">
        <v>19</v>
      </c>
      <c r="H28" s="232"/>
      <c r="I28" s="771"/>
      <c r="J28" s="214">
        <f>+'18'!J28</f>
        <v>0</v>
      </c>
      <c r="K28" s="238"/>
      <c r="L28" s="238"/>
      <c r="M28" s="117">
        <f>+K28+'18'!M28+L28</f>
        <v>0</v>
      </c>
    </row>
    <row r="29" spans="1:19" ht="13.5" thickBot="1">
      <c r="A29" s="773"/>
      <c r="B29" s="215"/>
      <c r="C29" s="216"/>
      <c r="D29" s="217"/>
      <c r="E29" s="224"/>
      <c r="F29" s="235"/>
      <c r="G29" s="231"/>
      <c r="H29" s="232"/>
      <c r="I29" s="771"/>
      <c r="J29" s="214">
        <f>+'18'!J29</f>
        <v>0</v>
      </c>
      <c r="K29" s="238"/>
      <c r="L29" s="238"/>
      <c r="M29" s="117">
        <f>+K29+'18'!M29+L29</f>
        <v>0</v>
      </c>
    </row>
    <row r="30" spans="1:19" ht="13.5" thickBot="1">
      <c r="A30" s="773"/>
      <c r="B30" s="215"/>
      <c r="C30" s="225"/>
      <c r="D30" s="217"/>
      <c r="E30" s="224"/>
      <c r="F30" s="235"/>
      <c r="G30" s="231"/>
      <c r="H30" s="232"/>
      <c r="I30" s="771"/>
      <c r="J30" s="214">
        <f>+'18'!J30</f>
        <v>0</v>
      </c>
      <c r="K30" s="238"/>
      <c r="L30" s="238"/>
      <c r="M30" s="117">
        <f>+K30+'18'!M30+L30</f>
        <v>0</v>
      </c>
    </row>
    <row r="31" spans="1:19" ht="13.5" thickBot="1">
      <c r="A31" s="773"/>
      <c r="B31" s="215"/>
      <c r="C31" s="225"/>
      <c r="D31" s="217"/>
      <c r="E31" s="224"/>
      <c r="F31" s="235"/>
      <c r="G31" s="236"/>
      <c r="H31" s="444"/>
      <c r="I31" s="772"/>
      <c r="J31" s="214">
        <f>+'18'!J31</f>
        <v>0</v>
      </c>
      <c r="K31" s="238"/>
      <c r="L31" s="238"/>
      <c r="M31" s="117">
        <f>+K31+'18'!M31+L31</f>
        <v>0</v>
      </c>
    </row>
    <row r="32" spans="1:19" ht="13.5" thickBot="1">
      <c r="A32" s="774"/>
      <c r="B32" s="165" t="s">
        <v>2</v>
      </c>
      <c r="C32" s="99">
        <f>SUM(C25:C31)</f>
        <v>2408</v>
      </c>
      <c r="D32" s="100">
        <f>SUM(D25:D31)</f>
        <v>0</v>
      </c>
      <c r="E32" s="101">
        <f>SUM(E25:E31)</f>
        <v>0</v>
      </c>
      <c r="F32" s="102">
        <f>SUM(F24:F31)</f>
        <v>480</v>
      </c>
      <c r="G32" s="171"/>
      <c r="H32" s="172"/>
      <c r="I32" s="169"/>
      <c r="J32" s="214">
        <f>+'18'!J32</f>
        <v>0</v>
      </c>
      <c r="K32" s="240"/>
      <c r="L32" s="242"/>
      <c r="M32" s="117">
        <f>+K32+'18'!M32+L32</f>
        <v>0</v>
      </c>
    </row>
    <row r="33" spans="1:19" ht="13.5" thickBot="1">
      <c r="A33" s="173"/>
      <c r="B33" s="174"/>
      <c r="C33" s="103">
        <f>C32/($C$32+$D$32+$E$32)</f>
        <v>1</v>
      </c>
      <c r="D33" s="104">
        <f>D32/($C$32+$D$32+$E$32)</f>
        <v>0</v>
      </c>
      <c r="E33" s="105">
        <f>E32/($C$32+$D$32+$E$32)</f>
        <v>0</v>
      </c>
      <c r="F33" s="106"/>
      <c r="G33" s="175"/>
      <c r="H33" s="176"/>
      <c r="I33" s="177"/>
      <c r="J33" s="121"/>
      <c r="K33" s="122"/>
      <c r="L33" s="213"/>
      <c r="M33" s="119"/>
    </row>
    <row r="34" spans="1:19" ht="13.5" thickBot="1">
      <c r="A34" s="775" t="s">
        <v>57</v>
      </c>
      <c r="B34" s="776"/>
      <c r="C34" s="107">
        <f>C14+C23+C32</f>
        <v>25437</v>
      </c>
      <c r="D34" s="107">
        <f>D14+D23+D32</f>
        <v>0</v>
      </c>
      <c r="E34" s="107">
        <f>E14+E23+E32</f>
        <v>0</v>
      </c>
      <c r="F34" s="108">
        <f>F14+F23+F32</f>
        <v>682</v>
      </c>
      <c r="H34" s="178"/>
      <c r="I34" s="178"/>
      <c r="J34" s="123" t="s">
        <v>27</v>
      </c>
      <c r="K34" s="124">
        <f>SUM(K7:K32)</f>
        <v>25437</v>
      </c>
      <c r="L34" s="212">
        <f>SUM(L7:L32)</f>
        <v>0</v>
      </c>
      <c r="M34" s="120">
        <f>SUM(M7:M32)</f>
        <v>107792</v>
      </c>
    </row>
    <row r="35" spans="1:19" ht="13.5" thickBot="1">
      <c r="A35" s="179"/>
      <c r="B35" s="180"/>
      <c r="C35" s="104">
        <f>C34/($C$34+$D$34+$E$34)</f>
        <v>1</v>
      </c>
      <c r="D35" s="104">
        <f>D34/($C$34+$D$34+$E$34)</f>
        <v>0</v>
      </c>
      <c r="E35" s="109">
        <f>E34/($C$34+$D$34+$E$34)</f>
        <v>0</v>
      </c>
      <c r="K35" s="155"/>
      <c r="Q35" s="149">
        <f>SUM(Q22:Q33)</f>
        <v>307</v>
      </c>
      <c r="R35" s="149">
        <f>SUM(R22:R33)</f>
        <v>377610</v>
      </c>
      <c r="S35" s="149">
        <f>SUM(S22:S33)</f>
        <v>286983.59999999998</v>
      </c>
    </row>
    <row r="36" spans="1:19" ht="13.5" thickBot="1">
      <c r="A36" s="178"/>
      <c r="B36" s="178"/>
      <c r="C36" s="155"/>
      <c r="D36" s="155"/>
      <c r="E36" s="155"/>
      <c r="G36" s="155"/>
      <c r="H36" s="181" t="s">
        <v>225</v>
      </c>
      <c r="I36" s="162" t="s">
        <v>36</v>
      </c>
      <c r="J36" s="162" t="s">
        <v>37</v>
      </c>
      <c r="K36" s="182"/>
      <c r="Q36" s="149">
        <f>480-Q35</f>
        <v>173</v>
      </c>
      <c r="R36" s="149">
        <f>+R35/Q35</f>
        <v>1230</v>
      </c>
      <c r="S36" s="149">
        <f>+S35/Q35</f>
        <v>934.8</v>
      </c>
    </row>
    <row r="37" spans="1:19" ht="17.45" customHeight="1" thickBot="1">
      <c r="A37" s="777" t="s">
        <v>58</v>
      </c>
      <c r="B37" s="778"/>
      <c r="C37" s="162" t="s">
        <v>59</v>
      </c>
      <c r="D37" s="183" t="s">
        <v>60</v>
      </c>
      <c r="E37" s="184" t="s">
        <v>61</v>
      </c>
      <c r="F37" s="321"/>
      <c r="G37" s="323"/>
      <c r="H37" s="186" t="s">
        <v>62</v>
      </c>
      <c r="I37" s="243">
        <f>(12*787)/787*G42*2.74*787/1000000</f>
        <v>24.383531807999997</v>
      </c>
      <c r="J37" s="125">
        <f>+I37+'18'!J37</f>
        <v>131.95897479767999</v>
      </c>
      <c r="K37" s="126" t="s">
        <v>63</v>
      </c>
    </row>
    <row r="38" spans="1:19" ht="17.45" customHeight="1">
      <c r="A38" s="779" t="s">
        <v>11</v>
      </c>
      <c r="B38" s="780"/>
      <c r="C38" s="164">
        <f>SUMIF($G$7:$G$31,"Process",$F$7:$F$31)</f>
        <v>29</v>
      </c>
      <c r="D38" s="118">
        <f>+C38+'18'!D38</f>
        <v>209</v>
      </c>
      <c r="E38" s="143">
        <f t="shared" ref="E38:E51" si="0">D38/60</f>
        <v>3.4833333333333334</v>
      </c>
      <c r="F38" s="321">
        <v>1230</v>
      </c>
      <c r="G38" s="321">
        <v>947.09999999999991</v>
      </c>
      <c r="H38" s="187" t="s">
        <v>64</v>
      </c>
      <c r="I38" s="244">
        <f>11.371+8.82</f>
        <v>20.191000000000003</v>
      </c>
      <c r="J38" s="127">
        <f>+I38+'18'!J38</f>
        <v>114.67</v>
      </c>
      <c r="K38" s="128" t="s">
        <v>63</v>
      </c>
    </row>
    <row r="39" spans="1:19" ht="17.45" customHeight="1">
      <c r="A39" s="781" t="s">
        <v>12</v>
      </c>
      <c r="B39" s="782"/>
      <c r="C39" s="164">
        <f>SUMIF($G$7:$G$31,"Cleaning",$F$7:$F$31)</f>
        <v>0</v>
      </c>
      <c r="D39" s="118">
        <f>+C39+'18'!D39</f>
        <v>0</v>
      </c>
      <c r="E39" s="143">
        <f t="shared" si="0"/>
        <v>0</v>
      </c>
      <c r="F39" s="321">
        <v>1230</v>
      </c>
      <c r="G39" s="321">
        <v>934.8</v>
      </c>
      <c r="H39" s="187" t="s">
        <v>65</v>
      </c>
      <c r="I39" s="142"/>
      <c r="J39" s="129">
        <f>J37/G4</f>
        <v>6.945209199877894</v>
      </c>
      <c r="K39" s="130" t="s">
        <v>63</v>
      </c>
      <c r="O39" s="149">
        <v>480</v>
      </c>
    </row>
    <row r="40" spans="1:19" ht="17.45" customHeight="1">
      <c r="A40" s="781" t="s">
        <v>66</v>
      </c>
      <c r="B40" s="782"/>
      <c r="C40" s="164">
        <f>SUMIF($G$7:$G$31,"Mechanical",$F$7:$F$31)</f>
        <v>0</v>
      </c>
      <c r="D40" s="118">
        <f>+C40+'18'!D40</f>
        <v>0</v>
      </c>
      <c r="E40" s="143">
        <f t="shared" si="0"/>
        <v>0</v>
      </c>
      <c r="F40" s="321"/>
      <c r="G40" s="321"/>
      <c r="H40" s="187" t="s">
        <v>67</v>
      </c>
      <c r="I40" s="118">
        <f>(K34+L34)/1000</f>
        <v>25.437000000000001</v>
      </c>
      <c r="J40" s="131">
        <f>+I40+'18'!J40</f>
        <v>107.79199999999999</v>
      </c>
      <c r="K40" s="130" t="s">
        <v>63</v>
      </c>
      <c r="O40" s="149">
        <v>307</v>
      </c>
    </row>
    <row r="41" spans="1:19" ht="17.45" customHeight="1">
      <c r="A41" s="781" t="s">
        <v>68</v>
      </c>
      <c r="B41" s="782"/>
      <c r="C41" s="164">
        <f>SUMIF($G$7:$G$31,"Electrical",$F$7:$F$31)</f>
        <v>0</v>
      </c>
      <c r="D41" s="118">
        <f>+C41+'18'!D41</f>
        <v>0</v>
      </c>
      <c r="E41" s="143">
        <f t="shared" si="0"/>
        <v>0</v>
      </c>
      <c r="F41" s="321"/>
      <c r="G41" s="321"/>
      <c r="H41" s="187" t="s">
        <v>69</v>
      </c>
      <c r="I41" s="142"/>
      <c r="J41" s="129">
        <f>J40/G4</f>
        <v>5.6732631578947359</v>
      </c>
      <c r="K41" s="130" t="s">
        <v>63</v>
      </c>
      <c r="O41" s="149">
        <f>+O39+O40</f>
        <v>787</v>
      </c>
    </row>
    <row r="42" spans="1:19" ht="17.45" customHeight="1">
      <c r="A42" s="781" t="s">
        <v>15</v>
      </c>
      <c r="B42" s="782"/>
      <c r="C42" s="164">
        <f>SUMIF($G$7:$G$31,"Instrument",$F$7:$F$31)</f>
        <v>0</v>
      </c>
      <c r="D42" s="118">
        <f>+C42+'18'!D42</f>
        <v>0</v>
      </c>
      <c r="E42" s="143">
        <f t="shared" si="0"/>
        <v>0</v>
      </c>
      <c r="F42" s="321">
        <f>+(480*F38+307*F39)/787</f>
        <v>1230</v>
      </c>
      <c r="G42" s="321">
        <f>+(480*G38+307*G39)/787</f>
        <v>942.30190597204557</v>
      </c>
      <c r="H42" s="187" t="s">
        <v>70</v>
      </c>
      <c r="I42" s="245" t="s">
        <v>509</v>
      </c>
      <c r="J42" s="132"/>
      <c r="K42" s="130" t="s">
        <v>71</v>
      </c>
    </row>
    <row r="43" spans="1:19" ht="17.45" customHeight="1">
      <c r="A43" s="781" t="s">
        <v>72</v>
      </c>
      <c r="B43" s="782"/>
      <c r="C43" s="164">
        <f>SUMIF($G$7:$G$31,"Water",$F$7:$F$31)</f>
        <v>0</v>
      </c>
      <c r="D43" s="118">
        <f>+C43+'18'!D43</f>
        <v>0</v>
      </c>
      <c r="E43" s="143">
        <f t="shared" si="0"/>
        <v>0</v>
      </c>
      <c r="F43" s="321"/>
      <c r="G43" s="322"/>
      <c r="H43" s="188" t="s">
        <v>73</v>
      </c>
      <c r="I43" s="118">
        <f>+Report1!Z27</f>
        <v>29.1</v>
      </c>
      <c r="J43" s="133">
        <f>+I43+'18'!J43</f>
        <v>526</v>
      </c>
      <c r="K43" s="130" t="s">
        <v>63</v>
      </c>
      <c r="L43" s="189"/>
    </row>
    <row r="44" spans="1:19" ht="17.45" customHeight="1">
      <c r="A44" s="781" t="s">
        <v>16</v>
      </c>
      <c r="B44" s="782"/>
      <c r="C44" s="164">
        <f>SUMIF($G$7:$G$31,"PLN",$F$7:$F$31)</f>
        <v>0</v>
      </c>
      <c r="D44" s="118">
        <f>+C44+'18'!D44</f>
        <v>0</v>
      </c>
      <c r="E44" s="143">
        <f t="shared" si="0"/>
        <v>0</v>
      </c>
      <c r="F44" s="321"/>
      <c r="G44" s="322"/>
      <c r="H44" s="188" t="s">
        <v>74</v>
      </c>
      <c r="I44" s="118">
        <f>I43/I38</f>
        <v>1.4412361943440146</v>
      </c>
      <c r="J44" s="134">
        <f>J43/J38</f>
        <v>4.5870759570942701</v>
      </c>
      <c r="K44" s="130" t="s">
        <v>63</v>
      </c>
    </row>
    <row r="45" spans="1:19" ht="17.45" customHeight="1">
      <c r="A45" s="781" t="s">
        <v>17</v>
      </c>
      <c r="B45" s="782"/>
      <c r="C45" s="164">
        <f>SUMIF($G$7:$G$31,"Boiler",$F$7:$F$31)</f>
        <v>0</v>
      </c>
      <c r="D45" s="118">
        <f>+C45+'18'!D45</f>
        <v>0</v>
      </c>
      <c r="E45" s="143">
        <f t="shared" si="0"/>
        <v>0</v>
      </c>
      <c r="F45" s="321"/>
      <c r="G45" s="324"/>
      <c r="H45" s="188" t="s">
        <v>75</v>
      </c>
      <c r="I45" s="118">
        <f>I43/I40</f>
        <v>1.1440028305224672</v>
      </c>
      <c r="J45" s="134">
        <f>J43/J40</f>
        <v>4.8797684429271193</v>
      </c>
      <c r="K45" s="130" t="s">
        <v>63</v>
      </c>
    </row>
    <row r="46" spans="1:19" ht="17.45" customHeight="1">
      <c r="A46" s="781" t="s">
        <v>76</v>
      </c>
      <c r="B46" s="782"/>
      <c r="C46" s="164">
        <f>SUMIF($G$7:$G$31,"Gas",$F$7:$F$31)</f>
        <v>0</v>
      </c>
      <c r="D46" s="118">
        <f>+C46+'18'!D46</f>
        <v>0</v>
      </c>
      <c r="E46" s="143">
        <f t="shared" si="0"/>
        <v>0</v>
      </c>
      <c r="F46" s="321"/>
      <c r="G46" s="322"/>
      <c r="H46" s="188" t="s">
        <v>77</v>
      </c>
      <c r="I46" s="140">
        <f>+SUMIF(Listrik!P26,"&gt;0")</f>
        <v>28376.000000000728</v>
      </c>
      <c r="J46" s="135">
        <f>+I46+'18'!J46</f>
        <v>213510.58000000037</v>
      </c>
      <c r="K46" s="130" t="s">
        <v>78</v>
      </c>
    </row>
    <row r="47" spans="1:19" ht="17.45" customHeight="1">
      <c r="A47" s="781" t="s">
        <v>79</v>
      </c>
      <c r="B47" s="782"/>
      <c r="C47" s="164">
        <f>SUMIF($G$7:$G$31,"Gas",$F$7:$F$31)</f>
        <v>0</v>
      </c>
      <c r="D47" s="118">
        <f>+C47+'18'!D47</f>
        <v>0</v>
      </c>
      <c r="E47" s="143">
        <f t="shared" si="0"/>
        <v>0</v>
      </c>
      <c r="F47" s="321"/>
      <c r="G47" s="322"/>
      <c r="H47" s="188" t="s">
        <v>80</v>
      </c>
      <c r="I47" s="118">
        <f>I46/I38</f>
        <v>1405.3786340449074</v>
      </c>
      <c r="J47" s="135">
        <f>J46/J38</f>
        <v>1861.9567454434496</v>
      </c>
      <c r="K47" s="130" t="s">
        <v>23</v>
      </c>
    </row>
    <row r="48" spans="1:19" ht="17.45" customHeight="1">
      <c r="A48" s="781" t="s">
        <v>13</v>
      </c>
      <c r="B48" s="782"/>
      <c r="C48" s="164">
        <f>SUMIF($G$7:$G$31,"Start Up",$F$7:$F$31)</f>
        <v>0</v>
      </c>
      <c r="D48" s="118">
        <f>+C48+'18'!D48</f>
        <v>0</v>
      </c>
      <c r="E48" s="143">
        <f t="shared" si="0"/>
        <v>0</v>
      </c>
      <c r="F48" s="321"/>
      <c r="G48" s="322"/>
      <c r="H48" s="188" t="s">
        <v>81</v>
      </c>
      <c r="I48" s="118">
        <f>I46/I40</f>
        <v>1115.5403546015932</v>
      </c>
      <c r="J48" s="135">
        <f>J46/J40</f>
        <v>1980.7646207510797</v>
      </c>
      <c r="K48" s="130" t="s">
        <v>23</v>
      </c>
    </row>
    <row r="49" spans="1:11" ht="17.45" customHeight="1">
      <c r="A49" s="781" t="s">
        <v>19</v>
      </c>
      <c r="B49" s="782"/>
      <c r="C49" s="164">
        <f>SUMIF($G$7:$G$31,"Others",$F$7:$F$31)</f>
        <v>653</v>
      </c>
      <c r="D49" s="118">
        <f>+C49+'18'!D49</f>
        <v>21993</v>
      </c>
      <c r="E49" s="143">
        <f t="shared" si="0"/>
        <v>366.55</v>
      </c>
      <c r="F49" s="185"/>
      <c r="H49" s="188" t="s">
        <v>267</v>
      </c>
      <c r="I49" s="118">
        <f>+Report1!T27</f>
        <v>2548.0121333490397</v>
      </c>
      <c r="J49" s="135">
        <f>+I49+'18'!J49</f>
        <v>14145.39778220193</v>
      </c>
      <c r="K49" s="130" t="s">
        <v>82</v>
      </c>
    </row>
    <row r="50" spans="1:11" ht="17.45" customHeight="1">
      <c r="A50" s="781" t="s">
        <v>18</v>
      </c>
      <c r="B50" s="782"/>
      <c r="C50" s="164">
        <f>SUMIF($G$7:$G$31,"Steam",$F$7:$F$31)</f>
        <v>0</v>
      </c>
      <c r="D50" s="118">
        <f>+C50+'18'!D50</f>
        <v>0</v>
      </c>
      <c r="E50" s="143">
        <f t="shared" si="0"/>
        <v>0</v>
      </c>
      <c r="F50" s="185"/>
      <c r="H50" s="188" t="s">
        <v>83</v>
      </c>
      <c r="I50" s="140">
        <f>I49/I38</f>
        <v>126.19544021341386</v>
      </c>
      <c r="J50" s="133">
        <f>J49/J38</f>
        <v>123.35744119823781</v>
      </c>
      <c r="K50" s="130" t="s">
        <v>82</v>
      </c>
    </row>
    <row r="51" spans="1:11" ht="17.45" customHeight="1" thickBot="1">
      <c r="A51" s="783" t="s">
        <v>84</v>
      </c>
      <c r="B51" s="784"/>
      <c r="C51" s="164">
        <f>SUMIF($G$7:$G$31,"Planned shut",$F$7:$F$31)</f>
        <v>0</v>
      </c>
      <c r="D51" s="118">
        <f>+C51+'18'!D51</f>
        <v>0</v>
      </c>
      <c r="E51" s="143">
        <f t="shared" si="0"/>
        <v>0</v>
      </c>
      <c r="F51" s="185"/>
      <c r="H51" s="190" t="s">
        <v>85</v>
      </c>
      <c r="I51" s="141">
        <f>I49/I40</f>
        <v>100.16952208786569</v>
      </c>
      <c r="J51" s="136">
        <f>J49/J40</f>
        <v>131.22864203467725</v>
      </c>
      <c r="K51" s="137" t="s">
        <v>82</v>
      </c>
    </row>
    <row r="52" spans="1:11" ht="13.5" thickBot="1">
      <c r="A52" s="779" t="s">
        <v>27</v>
      </c>
      <c r="B52" s="780"/>
      <c r="C52" s="144">
        <f>SUM(C38:C51)</f>
        <v>682</v>
      </c>
      <c r="D52" s="144">
        <f>SUM(D38:D51)</f>
        <v>22202</v>
      </c>
      <c r="E52" s="145">
        <f>SUM(E38:E51)</f>
        <v>370.03333333333336</v>
      </c>
      <c r="F52" s="185"/>
      <c r="H52" s="191"/>
      <c r="I52" s="192"/>
      <c r="J52" s="138"/>
      <c r="K52" s="139"/>
    </row>
    <row r="53" spans="1:11" ht="13.5" thickBot="1">
      <c r="A53" s="785"/>
      <c r="B53" s="786"/>
      <c r="C53" s="146">
        <f>C52/(24*60)</f>
        <v>0.47361111111111109</v>
      </c>
      <c r="D53" s="146">
        <f>D52/(24*60*G4)</f>
        <v>0.81147660818713452</v>
      </c>
      <c r="E53" s="147">
        <f>E52/(G4*24)</f>
        <v>0.81147660818713452</v>
      </c>
      <c r="F53" s="185"/>
    </row>
    <row r="54" spans="1:11">
      <c r="E54" s="193"/>
      <c r="F54" s="185"/>
    </row>
    <row r="55" spans="1:11">
      <c r="E55" s="193"/>
    </row>
    <row r="56" spans="1:11">
      <c r="A56" s="194" t="s">
        <v>86</v>
      </c>
      <c r="B56" s="195"/>
      <c r="C56" s="196"/>
      <c r="D56" s="196"/>
      <c r="E56" s="196"/>
      <c r="F56" s="197"/>
      <c r="G56" s="196"/>
      <c r="H56" s="198"/>
      <c r="I56" s="199" t="s">
        <v>87</v>
      </c>
      <c r="J56" s="200">
        <f>+D34+'18'!J56</f>
        <v>2912</v>
      </c>
      <c r="K56" s="201">
        <f>J56/(J40+J56/1000)/1000</f>
        <v>2.6304379245555717E-2</v>
      </c>
    </row>
    <row r="57" spans="1:11">
      <c r="A57" s="176"/>
      <c r="I57" s="199" t="s">
        <v>88</v>
      </c>
      <c r="J57" s="200">
        <f>+E34+'18'!J57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1"/>
  <sheetViews>
    <sheetView topLeftCell="A13" zoomScale="80" zoomScaleNormal="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2.28515625" style="149"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140625" style="149" customWidth="1"/>
    <col min="14" max="16384" width="9.140625" style="149"/>
  </cols>
  <sheetData>
    <row r="1" spans="1:33" ht="15.75">
      <c r="A1" s="148"/>
    </row>
    <row r="2" spans="1:33" ht="15.75">
      <c r="A2" s="148" t="s">
        <v>182</v>
      </c>
    </row>
    <row r="3" spans="1:33" ht="15">
      <c r="A3" s="150"/>
    </row>
    <row r="4" spans="1:33" ht="20.25">
      <c r="A4" s="151" t="s">
        <v>3</v>
      </c>
      <c r="B4" s="152"/>
      <c r="F4" s="153" t="s">
        <v>28</v>
      </c>
      <c r="G4" s="154">
        <v>18</v>
      </c>
      <c r="H4" s="154" t="str">
        <f>+'1'!H4</f>
        <v>.11.25</v>
      </c>
    </row>
    <row r="5" spans="1:33" ht="13.5" thickBot="1">
      <c r="C5" s="155"/>
      <c r="D5" s="155"/>
    </row>
    <row r="6" spans="1:3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386</v>
      </c>
      <c r="O6" s="149">
        <v>1180</v>
      </c>
      <c r="P6" s="149">
        <f>+O6-O6*0.23</f>
        <v>908.59999999999991</v>
      </c>
      <c r="Q6" s="149">
        <v>49</v>
      </c>
      <c r="R6" s="149">
        <f>+O6*Q6</f>
        <v>57820</v>
      </c>
      <c r="S6" s="149">
        <f>+P6*Q6</f>
        <v>44521.399999999994</v>
      </c>
      <c r="U6" s="149" t="s">
        <v>386</v>
      </c>
      <c r="V6" s="149">
        <v>1180</v>
      </c>
      <c r="W6" s="149">
        <f>+V6-V6*0.23</f>
        <v>908.59999999999991</v>
      </c>
      <c r="X6" s="149">
        <v>49</v>
      </c>
      <c r="Y6" s="149">
        <f>+V6*X6</f>
        <v>57820</v>
      </c>
      <c r="Z6" s="149">
        <f>+W6*X6</f>
        <v>44521.399999999994</v>
      </c>
      <c r="AB6" s="149" t="s">
        <v>491</v>
      </c>
      <c r="AC6" s="149">
        <v>1160</v>
      </c>
      <c r="AD6" s="149">
        <v>893.2</v>
      </c>
      <c r="AE6" s="149">
        <v>15</v>
      </c>
      <c r="AF6" s="149">
        <v>17400</v>
      </c>
      <c r="AG6" s="149">
        <f>+AD6*AE6</f>
        <v>13398</v>
      </c>
    </row>
    <row r="7" spans="1:33" ht="13.5" customHeight="1" thickBot="1">
      <c r="A7" s="767" t="s">
        <v>389</v>
      </c>
      <c r="B7" s="215" t="s">
        <v>387</v>
      </c>
      <c r="C7" s="216">
        <v>11743</v>
      </c>
      <c r="D7" s="217"/>
      <c r="E7" s="218"/>
      <c r="F7" s="227">
        <v>6</v>
      </c>
      <c r="G7" s="228" t="s">
        <v>11</v>
      </c>
      <c r="H7" s="229" t="s">
        <v>460</v>
      </c>
      <c r="I7" s="770" t="s">
        <v>497</v>
      </c>
      <c r="J7" s="214" t="str">
        <f>+'17'!J7</f>
        <v>F 12 VP OW</v>
      </c>
      <c r="K7" s="237">
        <f>+C34</f>
        <v>34367</v>
      </c>
      <c r="L7" s="241"/>
      <c r="M7" s="117">
        <f>+K7+'17'!M7+L7</f>
        <v>82355</v>
      </c>
      <c r="O7" s="149">
        <v>1190</v>
      </c>
      <c r="P7" s="149">
        <f t="shared" ref="P7:P12" si="0">+O7-O7*0.23</f>
        <v>916.3</v>
      </c>
      <c r="Q7" s="149">
        <f>60-49+25</f>
        <v>36</v>
      </c>
      <c r="R7" s="149">
        <f t="shared" ref="R7:R11" si="1">+O7*Q7</f>
        <v>42840</v>
      </c>
      <c r="S7" s="149">
        <f t="shared" ref="S7:S11" si="2">+P7*Q7</f>
        <v>32986.799999999996</v>
      </c>
      <c r="V7" s="149">
        <v>1190</v>
      </c>
      <c r="W7" s="149">
        <f t="shared" ref="W7:W12" si="3">+V7-V7*0.23</f>
        <v>916.3</v>
      </c>
      <c r="X7" s="149">
        <f>60-49+25</f>
        <v>36</v>
      </c>
      <c r="Y7" s="149">
        <f t="shared" ref="Y7:Y11" si="4">+V7*X7</f>
        <v>42840</v>
      </c>
      <c r="Z7" s="149">
        <f t="shared" ref="Z7:Z11" si="5">+W7*X7</f>
        <v>32986.799999999996</v>
      </c>
      <c r="AB7" s="149" t="s">
        <v>491</v>
      </c>
      <c r="AC7" s="149">
        <v>1160</v>
      </c>
      <c r="AD7" s="149">
        <v>893.2</v>
      </c>
      <c r="AE7" s="149">
        <v>16</v>
      </c>
      <c r="AF7" s="149">
        <f t="shared" ref="AF7:AF8" si="6">+AC7*AE7</f>
        <v>18560</v>
      </c>
      <c r="AG7" s="149">
        <f t="shared" ref="AG7:AG8" si="7">+AD7*AE7</f>
        <v>14291.2</v>
      </c>
    </row>
    <row r="8" spans="1:33" ht="13.5" thickBot="1">
      <c r="A8" s="768"/>
      <c r="B8" s="215"/>
      <c r="C8" s="216"/>
      <c r="D8" s="217"/>
      <c r="E8" s="219"/>
      <c r="F8" s="230">
        <v>2</v>
      </c>
      <c r="G8" s="231" t="s">
        <v>11</v>
      </c>
      <c r="H8" s="229" t="s">
        <v>455</v>
      </c>
      <c r="I8" s="771"/>
      <c r="J8" s="214">
        <f>+'17'!J8</f>
        <v>0</v>
      </c>
      <c r="K8" s="238"/>
      <c r="L8" s="238"/>
      <c r="M8" s="117">
        <f>+K8+'17'!M8+L8</f>
        <v>0</v>
      </c>
      <c r="O8" s="149">
        <v>1200</v>
      </c>
      <c r="P8" s="149">
        <f t="shared" si="0"/>
        <v>924</v>
      </c>
      <c r="Q8" s="149">
        <f>53-25</f>
        <v>28</v>
      </c>
      <c r="R8" s="149">
        <f t="shared" si="1"/>
        <v>33600</v>
      </c>
      <c r="S8" s="149">
        <f t="shared" si="2"/>
        <v>25872</v>
      </c>
      <c r="V8" s="149">
        <v>1200</v>
      </c>
      <c r="W8" s="149">
        <f t="shared" si="3"/>
        <v>924</v>
      </c>
      <c r="X8" s="149">
        <f>53-25</f>
        <v>28</v>
      </c>
      <c r="Y8" s="149">
        <f t="shared" si="4"/>
        <v>33600</v>
      </c>
      <c r="Z8" s="149">
        <f t="shared" si="5"/>
        <v>25872</v>
      </c>
      <c r="AC8" s="149">
        <v>1230</v>
      </c>
      <c r="AD8" s="149">
        <v>947.09999999999991</v>
      </c>
      <c r="AE8" s="149">
        <v>5</v>
      </c>
      <c r="AF8" s="149">
        <f t="shared" si="6"/>
        <v>6150</v>
      </c>
      <c r="AG8" s="149">
        <f t="shared" si="7"/>
        <v>4735.5</v>
      </c>
    </row>
    <row r="9" spans="1:33" ht="13.5" thickBot="1">
      <c r="A9" s="768"/>
      <c r="B9" s="215"/>
      <c r="C9" s="216"/>
      <c r="D9" s="217"/>
      <c r="E9" s="220"/>
      <c r="F9" s="227">
        <f>16-8</f>
        <v>8</v>
      </c>
      <c r="G9" s="231" t="s">
        <v>11</v>
      </c>
      <c r="H9" s="232" t="s">
        <v>459</v>
      </c>
      <c r="I9" s="771"/>
      <c r="J9" s="214">
        <f>+'17'!J9</f>
        <v>0</v>
      </c>
      <c r="K9" s="238"/>
      <c r="L9" s="238"/>
      <c r="M9" s="117">
        <f>+K9+'17'!M9+L9</f>
        <v>0</v>
      </c>
      <c r="O9" s="149">
        <v>1210</v>
      </c>
      <c r="P9" s="149">
        <f t="shared" si="0"/>
        <v>931.7</v>
      </c>
      <c r="Q9" s="149">
        <f>60-53+60+14</f>
        <v>81</v>
      </c>
      <c r="R9" s="149">
        <f t="shared" si="1"/>
        <v>98010</v>
      </c>
      <c r="S9" s="149">
        <f t="shared" si="2"/>
        <v>75467.7</v>
      </c>
      <c r="V9" s="149">
        <v>1210</v>
      </c>
      <c r="W9" s="149">
        <f t="shared" si="3"/>
        <v>931.7</v>
      </c>
      <c r="X9" s="149">
        <f>60-53+60+14</f>
        <v>81</v>
      </c>
      <c r="Y9" s="149">
        <f t="shared" si="4"/>
        <v>98010</v>
      </c>
      <c r="Z9" s="149">
        <f t="shared" si="5"/>
        <v>75467.7</v>
      </c>
    </row>
    <row r="10" spans="1:33" ht="13.5" thickBot="1">
      <c r="A10" s="768"/>
      <c r="B10" s="215"/>
      <c r="C10" s="216"/>
      <c r="D10" s="217"/>
      <c r="E10" s="219"/>
      <c r="F10" s="227"/>
      <c r="G10" s="236" t="s">
        <v>12</v>
      </c>
      <c r="H10" s="232" t="s">
        <v>489</v>
      </c>
      <c r="I10" s="771"/>
      <c r="J10" s="214">
        <f>+'17'!J10</f>
        <v>0</v>
      </c>
      <c r="K10" s="238"/>
      <c r="L10" s="238"/>
      <c r="M10" s="117">
        <f>+K10+'17'!M10+L10</f>
        <v>0</v>
      </c>
      <c r="O10" s="149">
        <v>1220</v>
      </c>
      <c r="P10" s="149">
        <f t="shared" si="0"/>
        <v>939.4</v>
      </c>
      <c r="Q10" s="149">
        <f>54-14</f>
        <v>40</v>
      </c>
      <c r="R10" s="149">
        <f t="shared" si="1"/>
        <v>48800</v>
      </c>
      <c r="S10" s="149">
        <f t="shared" si="2"/>
        <v>37576</v>
      </c>
      <c r="V10" s="149">
        <v>1220</v>
      </c>
      <c r="W10" s="149">
        <f t="shared" si="3"/>
        <v>939.4</v>
      </c>
      <c r="X10" s="149">
        <f>54-14</f>
        <v>40</v>
      </c>
      <c r="Y10" s="149">
        <f t="shared" si="4"/>
        <v>48800</v>
      </c>
      <c r="Z10" s="149">
        <f t="shared" si="5"/>
        <v>37576</v>
      </c>
    </row>
    <row r="11" spans="1:33" ht="189" customHeight="1" thickBot="1">
      <c r="A11" s="768"/>
      <c r="B11" s="215"/>
      <c r="C11" s="216"/>
      <c r="D11" s="217"/>
      <c r="E11" s="219"/>
      <c r="F11" s="227">
        <v>70</v>
      </c>
      <c r="G11" s="231" t="s">
        <v>19</v>
      </c>
      <c r="H11" s="232" t="s">
        <v>490</v>
      </c>
      <c r="I11" s="771"/>
      <c r="J11" s="214">
        <f>+'17'!J11</f>
        <v>0</v>
      </c>
      <c r="K11" s="238"/>
      <c r="L11" s="238"/>
      <c r="M11" s="117">
        <f>+K11+'17'!M11+L11</f>
        <v>0</v>
      </c>
      <c r="O11" s="149">
        <v>1230</v>
      </c>
      <c r="P11" s="149">
        <f t="shared" si="0"/>
        <v>947.09999999999991</v>
      </c>
      <c r="Q11" s="149">
        <f>60-54+27</f>
        <v>33</v>
      </c>
      <c r="R11" s="149">
        <f t="shared" si="1"/>
        <v>40590</v>
      </c>
      <c r="S11" s="149">
        <f t="shared" si="2"/>
        <v>31254.299999999996</v>
      </c>
      <c r="V11" s="149">
        <v>1230</v>
      </c>
      <c r="W11" s="149">
        <f t="shared" si="3"/>
        <v>947.09999999999991</v>
      </c>
      <c r="X11" s="149">
        <f>60-54+27</f>
        <v>33</v>
      </c>
      <c r="Y11" s="149">
        <f t="shared" si="4"/>
        <v>40590</v>
      </c>
      <c r="Z11" s="149">
        <f t="shared" si="5"/>
        <v>31254.299999999996</v>
      </c>
    </row>
    <row r="12" spans="1:33" ht="13.5" thickBot="1">
      <c r="A12" s="768"/>
      <c r="B12" s="215"/>
      <c r="C12" s="216"/>
      <c r="D12" s="217"/>
      <c r="E12" s="219"/>
      <c r="F12" s="227"/>
      <c r="G12" s="231"/>
      <c r="H12" s="232"/>
      <c r="I12" s="771"/>
      <c r="J12" s="214">
        <f>+'17'!J12</f>
        <v>0</v>
      </c>
      <c r="K12" s="238"/>
      <c r="L12" s="238"/>
      <c r="M12" s="117">
        <f>+K12+'17'!M12+L12</f>
        <v>0</v>
      </c>
      <c r="O12" s="149">
        <v>1050</v>
      </c>
      <c r="P12" s="149">
        <f t="shared" si="0"/>
        <v>808.5</v>
      </c>
      <c r="Q12" s="149">
        <f>48-27</f>
        <v>21</v>
      </c>
      <c r="V12" s="149">
        <v>1050</v>
      </c>
      <c r="W12" s="149">
        <f t="shared" si="3"/>
        <v>808.5</v>
      </c>
      <c r="X12" s="149">
        <f>48-27</f>
        <v>21</v>
      </c>
    </row>
    <row r="13" spans="1:33" ht="13.5" thickBot="1">
      <c r="A13" s="768"/>
      <c r="B13" s="215"/>
      <c r="C13" s="216"/>
      <c r="D13" s="216"/>
      <c r="E13" s="219"/>
      <c r="F13" s="227"/>
      <c r="G13" s="231"/>
      <c r="H13" s="232"/>
      <c r="I13" s="772"/>
      <c r="J13" s="214">
        <f>+'17'!J13</f>
        <v>0</v>
      </c>
      <c r="K13" s="238"/>
      <c r="L13" s="238"/>
      <c r="M13" s="117">
        <f>+K13+'17'!M13+L13</f>
        <v>0</v>
      </c>
      <c r="O13" s="149">
        <v>1100</v>
      </c>
      <c r="P13" s="149">
        <f>+O13-O13*0.23</f>
        <v>847</v>
      </c>
      <c r="Q13" s="149">
        <f>55-48</f>
        <v>7</v>
      </c>
      <c r="R13" s="149">
        <f>+O13*Q13</f>
        <v>7700</v>
      </c>
      <c r="S13" s="149">
        <f>+P13*Q13</f>
        <v>5929</v>
      </c>
      <c r="V13" s="149">
        <v>1100</v>
      </c>
      <c r="W13" s="149">
        <f>+V13-V13*0.23</f>
        <v>847</v>
      </c>
      <c r="X13" s="149">
        <f>55-48</f>
        <v>7</v>
      </c>
      <c r="Y13" s="149">
        <f>+V13*X13</f>
        <v>7700</v>
      </c>
      <c r="Z13" s="149">
        <f>+W13*X13</f>
        <v>5929</v>
      </c>
    </row>
    <row r="14" spans="1:33" ht="13.5" thickBot="1">
      <c r="A14" s="769"/>
      <c r="B14" s="165" t="s">
        <v>2</v>
      </c>
      <c r="C14" s="99">
        <f>SUM(C7:C13)</f>
        <v>11743</v>
      </c>
      <c r="D14" s="111">
        <f>SUM(D7:D13)</f>
        <v>0</v>
      </c>
      <c r="E14" s="112">
        <f>SUM(E5:E13)</f>
        <v>0</v>
      </c>
      <c r="F14" s="116">
        <f>SUM(F7:F13)</f>
        <v>86</v>
      </c>
      <c r="G14" s="159"/>
      <c r="H14" s="166"/>
      <c r="I14" s="167"/>
      <c r="J14" s="214">
        <f>+'17'!J14</f>
        <v>0</v>
      </c>
      <c r="K14" s="238"/>
      <c r="L14" s="238"/>
      <c r="M14" s="117">
        <f>+K14+'17'!M14+L14</f>
        <v>0</v>
      </c>
      <c r="O14" s="149">
        <v>1180</v>
      </c>
      <c r="P14" s="149">
        <f>+O14-O14*0.23</f>
        <v>908.59999999999991</v>
      </c>
      <c r="Q14" s="149">
        <f>60-55+2</f>
        <v>7</v>
      </c>
      <c r="R14" s="149">
        <f>+O14*Q14</f>
        <v>8260</v>
      </c>
      <c r="S14" s="149">
        <f>+P14*Q14</f>
        <v>6360.1999999999989</v>
      </c>
      <c r="V14" s="149">
        <v>1180</v>
      </c>
      <c r="W14" s="149">
        <f>+V14-V14*0.23</f>
        <v>908.59999999999991</v>
      </c>
      <c r="X14" s="149">
        <f>60-55+2</f>
        <v>7</v>
      </c>
      <c r="Y14" s="149">
        <f>+V14*X14</f>
        <v>8260</v>
      </c>
      <c r="Z14" s="149">
        <f>+W14*X14</f>
        <v>6360.1999999999989</v>
      </c>
    </row>
    <row r="15" spans="1:33" ht="13.5" customHeight="1" thickBot="1">
      <c r="A15" s="767" t="s">
        <v>407</v>
      </c>
      <c r="B15" s="165"/>
      <c r="C15" s="113">
        <f>C14/($C$23+$D$23+$E$23)</f>
        <v>1.1798452727820758</v>
      </c>
      <c r="D15" s="114">
        <f>D14/($C$23+$D$23+$E$23)</f>
        <v>0</v>
      </c>
      <c r="E15" s="115">
        <f>E14/($C$23+$D$23+$E$23)</f>
        <v>0</v>
      </c>
      <c r="F15" s="227">
        <v>9</v>
      </c>
      <c r="G15" s="228" t="s">
        <v>11</v>
      </c>
      <c r="H15" s="229" t="s">
        <v>460</v>
      </c>
      <c r="I15" s="770" t="s">
        <v>496</v>
      </c>
      <c r="J15" s="214">
        <f>+'17'!J15</f>
        <v>0</v>
      </c>
      <c r="K15" s="238"/>
      <c r="L15" s="238"/>
      <c r="M15" s="117">
        <f>+K15+'17'!M15+L15</f>
        <v>0</v>
      </c>
      <c r="O15" s="149">
        <v>1220</v>
      </c>
      <c r="P15" s="149">
        <f>+O15-O15*0.23</f>
        <v>939.4</v>
      </c>
      <c r="Q15" s="149">
        <f>9-2</f>
        <v>7</v>
      </c>
      <c r="R15" s="149">
        <f>+O15*Q15</f>
        <v>8540</v>
      </c>
      <c r="S15" s="149">
        <f>+P15*Q15</f>
        <v>6575.8</v>
      </c>
      <c r="V15" s="149">
        <v>1220</v>
      </c>
      <c r="W15" s="149">
        <f>+V15-V15*0.23</f>
        <v>939.4</v>
      </c>
      <c r="X15" s="149">
        <f>9-2</f>
        <v>7</v>
      </c>
      <c r="Y15" s="149">
        <f>+V15*X15</f>
        <v>8540</v>
      </c>
      <c r="Z15" s="149">
        <f>+W15*X15</f>
        <v>6575.8</v>
      </c>
    </row>
    <row r="16" spans="1:33" ht="13.5" thickBot="1">
      <c r="A16" s="773"/>
      <c r="B16" s="215" t="s">
        <v>387</v>
      </c>
      <c r="C16" s="221">
        <v>9953</v>
      </c>
      <c r="D16" s="222"/>
      <c r="E16" s="223"/>
      <c r="F16" s="230"/>
      <c r="G16" s="231" t="s">
        <v>11</v>
      </c>
      <c r="H16" s="229" t="s">
        <v>282</v>
      </c>
      <c r="I16" s="771"/>
      <c r="J16" s="214">
        <f>+'17'!J16</f>
        <v>0</v>
      </c>
      <c r="K16" s="228"/>
      <c r="L16" s="228"/>
      <c r="M16" s="117">
        <f>+K16+'17'!M16+L16</f>
        <v>0</v>
      </c>
      <c r="O16" s="149">
        <v>1230</v>
      </c>
      <c r="P16" s="149">
        <f>+O16-O16*0.23</f>
        <v>947.09999999999991</v>
      </c>
      <c r="Q16" s="149">
        <f>60-9+35</f>
        <v>86</v>
      </c>
      <c r="R16" s="149">
        <f>+O16*Q16</f>
        <v>105780</v>
      </c>
      <c r="S16" s="149">
        <f>+P16*Q16</f>
        <v>81450.599999999991</v>
      </c>
      <c r="V16" s="149">
        <v>1230</v>
      </c>
      <c r="W16" s="149">
        <f>+V16-V16*0.23</f>
        <v>947.09999999999991</v>
      </c>
      <c r="X16" s="149">
        <f>60-9+35</f>
        <v>86</v>
      </c>
      <c r="Y16" s="149">
        <f>+V16*X16</f>
        <v>105780</v>
      </c>
      <c r="Z16" s="149">
        <f>+W16*X16</f>
        <v>81450.599999999991</v>
      </c>
    </row>
    <row r="17" spans="1:33" ht="13.5" thickBot="1">
      <c r="A17" s="773"/>
      <c r="B17" s="215"/>
      <c r="C17" s="216"/>
      <c r="D17" s="217"/>
      <c r="E17" s="224"/>
      <c r="F17" s="227">
        <f>22-9</f>
        <v>13</v>
      </c>
      <c r="G17" s="231" t="s">
        <v>11</v>
      </c>
      <c r="H17" s="232" t="s">
        <v>493</v>
      </c>
      <c r="I17" s="771"/>
      <c r="J17" s="214">
        <f>+'17'!J17</f>
        <v>0</v>
      </c>
      <c r="K17" s="228"/>
      <c r="L17" s="228"/>
      <c r="M17" s="117">
        <f>+K17+'17'!M17+L17</f>
        <v>0</v>
      </c>
      <c r="N17" s="149" t="s">
        <v>491</v>
      </c>
      <c r="O17" s="149">
        <v>1160</v>
      </c>
      <c r="P17" s="149">
        <f>+O17-O17*0.23</f>
        <v>893.2</v>
      </c>
      <c r="Q17" s="149">
        <f>60-45</f>
        <v>15</v>
      </c>
      <c r="R17" s="149">
        <f>+O17*Q17</f>
        <v>17400</v>
      </c>
      <c r="S17" s="149">
        <f>+P17*Q17</f>
        <v>13398</v>
      </c>
      <c r="U17" s="149" t="s">
        <v>386</v>
      </c>
      <c r="V17" s="149">
        <v>1230</v>
      </c>
      <c r="W17" s="149">
        <v>947.09999999999991</v>
      </c>
      <c r="X17" s="149">
        <v>306</v>
      </c>
      <c r="Y17" s="149">
        <f>+V17*X17</f>
        <v>376380</v>
      </c>
      <c r="Z17" s="149">
        <f>+W17*X17</f>
        <v>289812.59999999998</v>
      </c>
    </row>
    <row r="18" spans="1:33" ht="51.75" thickBot="1">
      <c r="A18" s="773"/>
      <c r="B18" s="215"/>
      <c r="C18" s="216"/>
      <c r="D18" s="217"/>
      <c r="E18" s="224"/>
      <c r="F18" s="227"/>
      <c r="G18" s="236" t="s">
        <v>12</v>
      </c>
      <c r="H18" s="232" t="s">
        <v>487</v>
      </c>
      <c r="I18" s="771"/>
      <c r="J18" s="214">
        <f>+'17'!J18</f>
        <v>0</v>
      </c>
      <c r="K18" s="238"/>
      <c r="L18" s="238"/>
      <c r="M18" s="117">
        <f>+K18+'17'!M18+L18</f>
        <v>0</v>
      </c>
      <c r="V18" s="149">
        <v>1220</v>
      </c>
      <c r="W18" s="149">
        <v>939.4</v>
      </c>
      <c r="X18" s="149">
        <v>153</v>
      </c>
      <c r="Y18" s="149">
        <f t="shared" ref="Y18:Y19" si="8">+V18*X18</f>
        <v>186660</v>
      </c>
      <c r="Z18" s="149">
        <f t="shared" ref="Z18:Z19" si="9">+W18*X18</f>
        <v>143728.19999999998</v>
      </c>
    </row>
    <row r="19" spans="1:33" ht="140.25" customHeight="1" thickBot="1">
      <c r="A19" s="773"/>
      <c r="B19" s="215"/>
      <c r="C19" s="216"/>
      <c r="D19" s="217"/>
      <c r="E19" s="224"/>
      <c r="F19" s="234"/>
      <c r="G19" s="231"/>
      <c r="H19" s="232" t="s">
        <v>488</v>
      </c>
      <c r="I19" s="771"/>
      <c r="J19" s="214">
        <f>+'17'!J19</f>
        <v>0</v>
      </c>
      <c r="K19" s="238"/>
      <c r="L19" s="238"/>
      <c r="M19" s="117">
        <f>+K19+'17'!M19+L19</f>
        <v>0</v>
      </c>
      <c r="Q19" s="149">
        <f>SUM(Q6:Q17)</f>
        <v>410</v>
      </c>
      <c r="R19" s="149">
        <f>SUM(R6:R17)</f>
        <v>469340</v>
      </c>
      <c r="S19" s="149">
        <f>SUM(S6:S17)</f>
        <v>361391.79999999993</v>
      </c>
      <c r="U19" s="149" t="s">
        <v>386</v>
      </c>
      <c r="V19" s="149">
        <v>1200</v>
      </c>
      <c r="W19" s="149">
        <v>912</v>
      </c>
      <c r="X19" s="149">
        <v>480</v>
      </c>
      <c r="Y19" s="149">
        <f t="shared" si="8"/>
        <v>576000</v>
      </c>
      <c r="Z19" s="149">
        <f t="shared" si="9"/>
        <v>437760</v>
      </c>
      <c r="AE19" s="149">
        <f>SUM(AE6:AE17)</f>
        <v>36</v>
      </c>
      <c r="AF19" s="149">
        <f>SUM(AF6:AF17)</f>
        <v>42110</v>
      </c>
      <c r="AG19" s="149">
        <f>SUM(AG6:AG17)</f>
        <v>32424.7</v>
      </c>
    </row>
    <row r="20" spans="1:33" ht="13.5" thickBot="1">
      <c r="A20" s="773"/>
      <c r="B20" s="215"/>
      <c r="C20" s="216"/>
      <c r="D20" s="217"/>
      <c r="E20" s="224"/>
      <c r="F20" s="227"/>
      <c r="G20" s="231"/>
      <c r="H20" s="232"/>
      <c r="I20" s="771"/>
      <c r="J20" s="214">
        <f>+'17'!J20</f>
        <v>0</v>
      </c>
      <c r="K20" s="239"/>
      <c r="L20" s="239"/>
      <c r="M20" s="117">
        <f>+K20+'17'!M20+L20</f>
        <v>0</v>
      </c>
      <c r="P20" s="149">
        <f>60-35+45</f>
        <v>70</v>
      </c>
      <c r="Q20" s="149">
        <f>480-Q19</f>
        <v>70</v>
      </c>
      <c r="R20" s="149">
        <f>+R19/Q19</f>
        <v>1144.7317073170732</v>
      </c>
      <c r="S20" s="149">
        <f>+S19/Q19</f>
        <v>881.44341463414617</v>
      </c>
      <c r="W20" s="149">
        <f>60-35+45</f>
        <v>70</v>
      </c>
      <c r="AE20" s="149">
        <f>480-AE19</f>
        <v>444</v>
      </c>
      <c r="AF20" s="149">
        <f>+AF19/AE19</f>
        <v>1169.7222222222222</v>
      </c>
      <c r="AG20" s="149">
        <f>+AG19/AE19</f>
        <v>900.68611111111113</v>
      </c>
    </row>
    <row r="21" spans="1:33" ht="13.5" thickBot="1">
      <c r="A21" s="773"/>
      <c r="B21" s="215"/>
      <c r="C21" s="216"/>
      <c r="D21" s="217"/>
      <c r="E21" s="224"/>
      <c r="F21" s="230"/>
      <c r="G21" s="231"/>
      <c r="H21" s="232"/>
      <c r="I21" s="771"/>
      <c r="J21" s="214">
        <f>+'17'!J21</f>
        <v>0</v>
      </c>
      <c r="K21" s="238"/>
      <c r="L21" s="238"/>
      <c r="M21" s="117">
        <f>+K21+'17'!M21+L21</f>
        <v>0</v>
      </c>
    </row>
    <row r="22" spans="1:33" ht="13.5" thickBot="1">
      <c r="A22" s="773"/>
      <c r="B22" s="215"/>
      <c r="C22" s="216"/>
      <c r="D22" s="217"/>
      <c r="E22" s="224"/>
      <c r="F22" s="235"/>
      <c r="G22" s="231"/>
      <c r="H22" s="232"/>
      <c r="I22" s="772"/>
      <c r="J22" s="214">
        <f>+'17'!J22</f>
        <v>0</v>
      </c>
      <c r="K22" s="238"/>
      <c r="L22" s="238"/>
      <c r="M22" s="117">
        <f>+K22+'17'!M22+L22</f>
        <v>0</v>
      </c>
      <c r="N22" s="149" t="s">
        <v>491</v>
      </c>
      <c r="O22" s="149">
        <v>1160</v>
      </c>
      <c r="P22" s="149">
        <f>+O22-O22*0.23</f>
        <v>893.2</v>
      </c>
      <c r="Q22" s="149">
        <v>16</v>
      </c>
      <c r="R22" s="149">
        <f>+O22*Q22</f>
        <v>18560</v>
      </c>
      <c r="S22" s="149">
        <f>+P22*Q22</f>
        <v>14291.2</v>
      </c>
    </row>
    <row r="23" spans="1:33" ht="13.5" thickBot="1">
      <c r="A23" s="774"/>
      <c r="B23" s="168" t="s">
        <v>2</v>
      </c>
      <c r="C23" s="100">
        <f>SUM(C16:C22)</f>
        <v>9953</v>
      </c>
      <c r="D23" s="111">
        <f>SUM(D16:D22)</f>
        <v>0</v>
      </c>
      <c r="E23" s="112">
        <f>SUM(E18:E22)</f>
        <v>0</v>
      </c>
      <c r="F23" s="116">
        <f>SUM(F15:F22)</f>
        <v>22</v>
      </c>
      <c r="G23" s="159"/>
      <c r="H23" s="166"/>
      <c r="I23" s="169"/>
      <c r="J23" s="214">
        <f>+'17'!J23</f>
        <v>0</v>
      </c>
      <c r="K23" s="238"/>
      <c r="L23" s="238"/>
      <c r="M23" s="117">
        <f>+K23+'17'!M23+L23</f>
        <v>0</v>
      </c>
      <c r="O23" s="149">
        <v>1230</v>
      </c>
      <c r="P23" s="149">
        <f t="shared" ref="P23:P25" si="10">+O23-O23*0.23</f>
        <v>947.09999999999991</v>
      </c>
      <c r="Q23" s="149">
        <f>21-16</f>
        <v>5</v>
      </c>
      <c r="R23" s="149">
        <f t="shared" ref="R23:R25" si="11">+O23*Q23</f>
        <v>6150</v>
      </c>
      <c r="S23" s="149">
        <f t="shared" ref="S23:S25" si="12">+P23*Q23</f>
        <v>4735.5</v>
      </c>
      <c r="X23" s="149">
        <f>SUM(X6:X19)</f>
        <v>1334</v>
      </c>
      <c r="Y23" s="149">
        <f>SUM(Y6:Y19)</f>
        <v>1590980</v>
      </c>
      <c r="Z23" s="149">
        <f>SUM(Z6:Z19)</f>
        <v>1219294.5999999999</v>
      </c>
    </row>
    <row r="24" spans="1:33" ht="13.5" customHeight="1" thickBot="1">
      <c r="A24" s="767" t="s">
        <v>388</v>
      </c>
      <c r="B24" s="170"/>
      <c r="C24" s="113">
        <f>C23/($C$23+$D$23+$E$23)</f>
        <v>1</v>
      </c>
      <c r="D24" s="114">
        <f>D23/($C$23+$D$23+$E$23)</f>
        <v>0</v>
      </c>
      <c r="E24" s="115">
        <f>E23/($C$23+$D$23+$E$23)</f>
        <v>0</v>
      </c>
      <c r="F24" s="227">
        <v>9</v>
      </c>
      <c r="G24" s="228" t="s">
        <v>11</v>
      </c>
      <c r="H24" s="229" t="s">
        <v>460</v>
      </c>
      <c r="I24" s="770" t="s">
        <v>495</v>
      </c>
      <c r="J24" s="214">
        <f>+'17'!J24</f>
        <v>0</v>
      </c>
      <c r="K24" s="238"/>
      <c r="L24" s="238"/>
      <c r="M24" s="117">
        <f>+K24+'17'!M24+L24</f>
        <v>0</v>
      </c>
      <c r="N24" s="149" t="s">
        <v>386</v>
      </c>
      <c r="O24" s="149">
        <v>1230</v>
      </c>
      <c r="P24" s="149">
        <f t="shared" si="10"/>
        <v>947.09999999999991</v>
      </c>
      <c r="Q24" s="149">
        <f>60-21+240+27</f>
        <v>306</v>
      </c>
      <c r="R24" s="149">
        <f t="shared" si="11"/>
        <v>376380</v>
      </c>
      <c r="S24" s="149">
        <f t="shared" si="12"/>
        <v>289812.59999999998</v>
      </c>
      <c r="X24" s="149">
        <f>480-X23</f>
        <v>-854</v>
      </c>
      <c r="Y24" s="149">
        <f>+Y23/X23</f>
        <v>1192.6386806596702</v>
      </c>
      <c r="Z24" s="149">
        <f>+Z23/X23</f>
        <v>914.01394302848564</v>
      </c>
    </row>
    <row r="25" spans="1:33" ht="13.5" thickBot="1">
      <c r="A25" s="773"/>
      <c r="B25" s="215" t="s">
        <v>387</v>
      </c>
      <c r="C25" s="225">
        <v>12671</v>
      </c>
      <c r="D25" s="217"/>
      <c r="E25" s="224"/>
      <c r="F25" s="230"/>
      <c r="G25" s="231" t="s">
        <v>11</v>
      </c>
      <c r="H25" s="229" t="s">
        <v>282</v>
      </c>
      <c r="I25" s="771"/>
      <c r="J25" s="214">
        <f>+'17'!J25</f>
        <v>0</v>
      </c>
      <c r="K25" s="238"/>
      <c r="L25" s="238"/>
      <c r="M25" s="117">
        <f>+K25+'17'!M25+L25</f>
        <v>0</v>
      </c>
      <c r="O25" s="149">
        <v>1220</v>
      </c>
      <c r="P25" s="149">
        <f t="shared" si="10"/>
        <v>939.4</v>
      </c>
      <c r="Q25" s="149">
        <f>60-27+120</f>
        <v>153</v>
      </c>
      <c r="R25" s="149">
        <f t="shared" si="11"/>
        <v>186660</v>
      </c>
      <c r="S25" s="149">
        <f t="shared" si="12"/>
        <v>143728.19999999998</v>
      </c>
    </row>
    <row r="26" spans="1:33" ht="13.5" thickBot="1">
      <c r="A26" s="773"/>
      <c r="B26" s="215"/>
      <c r="C26" s="225"/>
      <c r="D26" s="217"/>
      <c r="E26" s="226"/>
      <c r="F26" s="227">
        <v>9</v>
      </c>
      <c r="G26" s="231" t="s">
        <v>11</v>
      </c>
      <c r="H26" s="232" t="s">
        <v>494</v>
      </c>
      <c r="I26" s="771"/>
      <c r="J26" s="214">
        <f>+'17'!J26</f>
        <v>0</v>
      </c>
      <c r="K26" s="238"/>
      <c r="L26" s="238"/>
      <c r="M26" s="117">
        <f>+K26+'17'!M26+L26</f>
        <v>0</v>
      </c>
    </row>
    <row r="27" spans="1:33" ht="26.25" thickBot="1">
      <c r="A27" s="773"/>
      <c r="B27" s="215"/>
      <c r="C27" s="216"/>
      <c r="D27" s="217"/>
      <c r="E27" s="224"/>
      <c r="F27" s="227"/>
      <c r="G27" s="236" t="s">
        <v>12</v>
      </c>
      <c r="H27" s="232" t="s">
        <v>485</v>
      </c>
      <c r="I27" s="771"/>
      <c r="J27" s="214">
        <f>+'17'!J27</f>
        <v>0</v>
      </c>
      <c r="K27" s="238"/>
      <c r="L27" s="238"/>
      <c r="M27" s="117">
        <f>+K27+'17'!M27+L27</f>
        <v>0</v>
      </c>
    </row>
    <row r="28" spans="1:33" ht="13.5" thickBot="1">
      <c r="A28" s="773"/>
      <c r="B28" s="215"/>
      <c r="C28" s="216"/>
      <c r="D28" s="217"/>
      <c r="E28" s="224"/>
      <c r="F28" s="230"/>
      <c r="G28" s="231"/>
      <c r="H28" s="232" t="s">
        <v>486</v>
      </c>
      <c r="I28" s="771"/>
      <c r="J28" s="214">
        <f>+'17'!J28</f>
        <v>0</v>
      </c>
      <c r="K28" s="238"/>
      <c r="L28" s="238"/>
      <c r="M28" s="117">
        <f>+K28+'17'!M28+L28</f>
        <v>0</v>
      </c>
    </row>
    <row r="29" spans="1:33" ht="13.5" thickBot="1">
      <c r="A29" s="773"/>
      <c r="B29" s="215"/>
      <c r="C29" s="216"/>
      <c r="D29" s="217"/>
      <c r="E29" s="224"/>
      <c r="F29" s="235"/>
      <c r="G29" s="231"/>
      <c r="H29" s="232"/>
      <c r="I29" s="771"/>
      <c r="J29" s="214">
        <f>+'17'!J29</f>
        <v>0</v>
      </c>
      <c r="K29" s="238"/>
      <c r="L29" s="238"/>
      <c r="M29" s="117">
        <f>+K29+'17'!M29+L29</f>
        <v>0</v>
      </c>
    </row>
    <row r="30" spans="1:33" ht="13.5" thickBot="1">
      <c r="A30" s="773"/>
      <c r="B30" s="215"/>
      <c r="C30" s="225"/>
      <c r="D30" s="217"/>
      <c r="E30" s="224"/>
      <c r="F30" s="235"/>
      <c r="G30" s="231"/>
      <c r="H30" s="232"/>
      <c r="I30" s="771"/>
      <c r="J30" s="214">
        <f>+'17'!J30</f>
        <v>0</v>
      </c>
      <c r="K30" s="238"/>
      <c r="L30" s="238"/>
      <c r="M30" s="117">
        <f>+K30+'17'!M30+L30</f>
        <v>0</v>
      </c>
    </row>
    <row r="31" spans="1:33" ht="13.5" thickBot="1">
      <c r="A31" s="773"/>
      <c r="B31" s="215"/>
      <c r="C31" s="225"/>
      <c r="D31" s="217"/>
      <c r="E31" s="224"/>
      <c r="F31" s="235"/>
      <c r="G31" s="236"/>
      <c r="H31" s="444"/>
      <c r="I31" s="772"/>
      <c r="J31" s="214">
        <f>+'17'!J31</f>
        <v>0</v>
      </c>
      <c r="K31" s="238"/>
      <c r="L31" s="238"/>
      <c r="M31" s="117">
        <f>+K31+'17'!M31+L31</f>
        <v>0</v>
      </c>
    </row>
    <row r="32" spans="1:33" ht="13.5" thickBot="1">
      <c r="A32" s="774"/>
      <c r="B32" s="165" t="s">
        <v>2</v>
      </c>
      <c r="C32" s="99">
        <f>SUM(C25:C31)</f>
        <v>12671</v>
      </c>
      <c r="D32" s="100">
        <f>SUM(D25:D31)</f>
        <v>0</v>
      </c>
      <c r="E32" s="101">
        <f>SUM(E25:E31)</f>
        <v>0</v>
      </c>
      <c r="F32" s="102">
        <f>SUM(F24:F31)</f>
        <v>18</v>
      </c>
      <c r="G32" s="171"/>
      <c r="H32" s="172"/>
      <c r="I32" s="169"/>
      <c r="J32" s="214">
        <f>+'17'!J32</f>
        <v>0</v>
      </c>
      <c r="K32" s="240"/>
      <c r="L32" s="242"/>
      <c r="M32" s="117">
        <f>+K32+'17'!M32+L32</f>
        <v>0</v>
      </c>
    </row>
    <row r="33" spans="1:19" ht="13.5" thickBot="1">
      <c r="A33" s="173"/>
      <c r="B33" s="174"/>
      <c r="C33" s="103">
        <f>C32/($C$32+$D$32+$E$32)</f>
        <v>1</v>
      </c>
      <c r="D33" s="104">
        <f>D32/($C$32+$D$32+$E$32)</f>
        <v>0</v>
      </c>
      <c r="E33" s="105">
        <f>E32/($C$32+$D$32+$E$32)</f>
        <v>0</v>
      </c>
      <c r="F33" s="106"/>
      <c r="G33" s="175"/>
      <c r="H33" s="176"/>
      <c r="I33" s="177"/>
      <c r="J33" s="121"/>
      <c r="K33" s="122"/>
      <c r="L33" s="213"/>
      <c r="M33" s="119"/>
    </row>
    <row r="34" spans="1:19" ht="13.5" thickBot="1">
      <c r="A34" s="775" t="s">
        <v>57</v>
      </c>
      <c r="B34" s="776"/>
      <c r="C34" s="107">
        <f>C14+C23+C32</f>
        <v>34367</v>
      </c>
      <c r="D34" s="107">
        <f>D14+D23+D32</f>
        <v>0</v>
      </c>
      <c r="E34" s="107">
        <f>E14+E23+E32</f>
        <v>0</v>
      </c>
      <c r="F34" s="108">
        <f>F14+F23+F32</f>
        <v>126</v>
      </c>
      <c r="H34" s="178"/>
      <c r="I34" s="178"/>
      <c r="J34" s="123" t="s">
        <v>27</v>
      </c>
      <c r="K34" s="124">
        <f>SUM(K7:K32)</f>
        <v>34367</v>
      </c>
      <c r="L34" s="212">
        <f>SUM(L7:L32)</f>
        <v>0</v>
      </c>
      <c r="M34" s="120">
        <f>SUM(M7:M32)</f>
        <v>82355</v>
      </c>
    </row>
    <row r="35" spans="1:19" ht="13.5" thickBot="1">
      <c r="A35" s="179"/>
      <c r="B35" s="180"/>
      <c r="C35" s="104">
        <f>C34/($C$34+$D$34+$E$34)</f>
        <v>1</v>
      </c>
      <c r="D35" s="104">
        <f>D34/($C$34+$D$34+$E$34)</f>
        <v>0</v>
      </c>
      <c r="E35" s="109">
        <f>E34/($C$34+$D$34+$E$34)</f>
        <v>0</v>
      </c>
      <c r="K35" s="155"/>
      <c r="Q35" s="149">
        <f>SUM(Q22:Q33)</f>
        <v>480</v>
      </c>
      <c r="R35" s="149">
        <f>SUM(R22:R33)</f>
        <v>587750</v>
      </c>
      <c r="S35" s="149">
        <f>SUM(S22:S33)</f>
        <v>452567.5</v>
      </c>
    </row>
    <row r="36" spans="1:19" ht="13.5" thickBot="1">
      <c r="A36" s="178"/>
      <c r="B36" s="178"/>
      <c r="C36" s="155"/>
      <c r="D36" s="155"/>
      <c r="E36" s="155"/>
      <c r="G36" s="155"/>
      <c r="H36" s="181"/>
      <c r="I36" s="162" t="s">
        <v>36</v>
      </c>
      <c r="J36" s="162" t="s">
        <v>37</v>
      </c>
      <c r="K36" s="182"/>
      <c r="Q36" s="149">
        <f>480-Q35</f>
        <v>0</v>
      </c>
      <c r="R36" s="149">
        <f>+R35/Q35</f>
        <v>1224.4791666666667</v>
      </c>
      <c r="S36" s="149">
        <f>+S35/Q35</f>
        <v>942.84895833333337</v>
      </c>
    </row>
    <row r="37" spans="1:19" ht="17.45" customHeight="1" thickBot="1">
      <c r="A37" s="777" t="s">
        <v>58</v>
      </c>
      <c r="B37" s="778"/>
      <c r="C37" s="162" t="s">
        <v>59</v>
      </c>
      <c r="D37" s="183" t="s">
        <v>60</v>
      </c>
      <c r="E37" s="184" t="s">
        <v>61</v>
      </c>
      <c r="F37" s="321"/>
      <c r="G37" s="323"/>
      <c r="H37" s="186" t="s">
        <v>62</v>
      </c>
      <c r="I37" s="243">
        <f>(12*1334+36*10.3)/1370*G42*2.74*1370/1000000</f>
        <v>41.003320141679993</v>
      </c>
      <c r="J37" s="125">
        <f>+I37+'17'!J37</f>
        <v>107.57544298968</v>
      </c>
      <c r="K37" s="126" t="s">
        <v>63</v>
      </c>
      <c r="N37" s="149" t="s">
        <v>386</v>
      </c>
      <c r="O37" s="149">
        <v>1200</v>
      </c>
      <c r="P37" s="149">
        <f>+O37-O37*0.24</f>
        <v>912</v>
      </c>
      <c r="Q37" s="149">
        <v>480</v>
      </c>
      <c r="R37" s="149">
        <f>+O37*Q37</f>
        <v>576000</v>
      </c>
      <c r="S37" s="149">
        <f>+P37*Q37</f>
        <v>437760</v>
      </c>
    </row>
    <row r="38" spans="1:19" ht="17.45" customHeight="1">
      <c r="A38" s="779" t="s">
        <v>11</v>
      </c>
      <c r="B38" s="780"/>
      <c r="C38" s="164">
        <f>SUMIF($G$7:$G$31,"Process",$F$7:$F$31)</f>
        <v>56</v>
      </c>
      <c r="D38" s="118">
        <f>+C38+'17'!D38</f>
        <v>180</v>
      </c>
      <c r="E38" s="143">
        <f t="shared" ref="E38:E51" si="13">D38/60</f>
        <v>3</v>
      </c>
      <c r="F38" s="321">
        <v>1144.7317073170732</v>
      </c>
      <c r="G38" s="321">
        <v>881.44341463414617</v>
      </c>
      <c r="H38" s="187" t="s">
        <v>64</v>
      </c>
      <c r="I38" s="244">
        <f>10.726+12.695+12.245</f>
        <v>35.665999999999997</v>
      </c>
      <c r="J38" s="127">
        <f>+I38+'17'!J38</f>
        <v>94.478999999999999</v>
      </c>
      <c r="K38" s="128" t="s">
        <v>63</v>
      </c>
    </row>
    <row r="39" spans="1:19" ht="17.45" customHeight="1">
      <c r="A39" s="781" t="s">
        <v>12</v>
      </c>
      <c r="B39" s="782"/>
      <c r="C39" s="164">
        <f>SUMIF($G$7:$G$31,"Cleaning",$F$7:$F$31)</f>
        <v>0</v>
      </c>
      <c r="D39" s="118">
        <f>+C39+'17'!D39</f>
        <v>0</v>
      </c>
      <c r="E39" s="143">
        <f t="shared" si="13"/>
        <v>0</v>
      </c>
      <c r="F39" s="321">
        <v>1224.4791666666667</v>
      </c>
      <c r="G39" s="321">
        <v>942.84895833333337</v>
      </c>
      <c r="H39" s="187" t="s">
        <v>65</v>
      </c>
      <c r="I39" s="142"/>
      <c r="J39" s="129">
        <f>J37/G4</f>
        <v>5.9764134994266662</v>
      </c>
      <c r="K39" s="130" t="s">
        <v>63</v>
      </c>
    </row>
    <row r="40" spans="1:19" ht="17.45" customHeight="1">
      <c r="A40" s="781" t="s">
        <v>66</v>
      </c>
      <c r="B40" s="782"/>
      <c r="C40" s="164">
        <f>SUMIF($G$7:$G$31,"Mechanical",$F$7:$F$31)</f>
        <v>0</v>
      </c>
      <c r="D40" s="118">
        <f>+C40+'17'!D40</f>
        <v>0</v>
      </c>
      <c r="E40" s="143">
        <f t="shared" si="13"/>
        <v>0</v>
      </c>
      <c r="F40" s="321">
        <v>1200</v>
      </c>
      <c r="G40" s="321">
        <v>912</v>
      </c>
      <c r="H40" s="187" t="s">
        <v>67</v>
      </c>
      <c r="I40" s="118">
        <f>(K34+L34)/1000</f>
        <v>34.366999999999997</v>
      </c>
      <c r="J40" s="131">
        <f>+I40+'17'!J40</f>
        <v>82.35499999999999</v>
      </c>
      <c r="K40" s="130" t="s">
        <v>63</v>
      </c>
    </row>
    <row r="41" spans="1:19" ht="17.45" customHeight="1">
      <c r="A41" s="781" t="s">
        <v>68</v>
      </c>
      <c r="B41" s="782"/>
      <c r="C41" s="164">
        <f>SUMIF($G$7:$G$31,"Electrical",$F$7:$F$31)</f>
        <v>0</v>
      </c>
      <c r="D41" s="118">
        <f>+C41+'17'!D41</f>
        <v>0</v>
      </c>
      <c r="E41" s="143">
        <f t="shared" si="13"/>
        <v>0</v>
      </c>
      <c r="F41" s="321"/>
      <c r="G41" s="321"/>
      <c r="H41" s="187" t="s">
        <v>69</v>
      </c>
      <c r="I41" s="142"/>
      <c r="J41" s="129">
        <f>J40/G4</f>
        <v>4.5752777777777771</v>
      </c>
      <c r="K41" s="130" t="s">
        <v>63</v>
      </c>
    </row>
    <row r="42" spans="1:19" ht="17.45" customHeight="1">
      <c r="A42" s="781" t="s">
        <v>15</v>
      </c>
      <c r="B42" s="782"/>
      <c r="C42" s="164">
        <f>SUMIF($G$7:$G$31,"Instrument",$F$7:$F$31)</f>
        <v>0</v>
      </c>
      <c r="D42" s="118">
        <f>+C42+'17'!D42</f>
        <v>0</v>
      </c>
      <c r="E42" s="143">
        <f t="shared" si="13"/>
        <v>0</v>
      </c>
      <c r="F42" s="321">
        <f>+(410*F38+480*F39+480*F40)/1370</f>
        <v>1192.036496350365</v>
      </c>
      <c r="G42" s="321">
        <f>+(410*G38+480*G39+480*G40)/1370</f>
        <v>913.66372262773712</v>
      </c>
      <c r="H42" s="187" t="s">
        <v>70</v>
      </c>
      <c r="I42" s="245" t="s">
        <v>492</v>
      </c>
      <c r="J42" s="132"/>
      <c r="K42" s="130" t="s">
        <v>71</v>
      </c>
    </row>
    <row r="43" spans="1:19" ht="17.45" customHeight="1">
      <c r="A43" s="781" t="s">
        <v>219</v>
      </c>
      <c r="B43" s="782"/>
      <c r="C43" s="164">
        <f>SUMIF($G$7:$G$31,"Change Grade",$F$7:$F$31)</f>
        <v>0</v>
      </c>
      <c r="D43" s="118">
        <f>+C43+'17'!D43</f>
        <v>0</v>
      </c>
      <c r="E43" s="143">
        <f t="shared" si="13"/>
        <v>0</v>
      </c>
      <c r="F43" s="321"/>
      <c r="G43" s="322"/>
      <c r="H43" s="188" t="s">
        <v>73</v>
      </c>
      <c r="I43" s="118">
        <f>+Report1!Z26</f>
        <v>55.8</v>
      </c>
      <c r="J43" s="133">
        <f>+I43+'17'!J43</f>
        <v>496.90000000000003</v>
      </c>
      <c r="K43" s="130" t="s">
        <v>63</v>
      </c>
      <c r="L43" s="189"/>
    </row>
    <row r="44" spans="1:19" ht="17.45" customHeight="1">
      <c r="A44" s="781" t="s">
        <v>16</v>
      </c>
      <c r="B44" s="782"/>
      <c r="C44" s="164">
        <f>SUMIF($G$7:$G$31,"PLN",$F$7:$F$31)</f>
        <v>0</v>
      </c>
      <c r="D44" s="118">
        <f>+C44+'17'!D44</f>
        <v>0</v>
      </c>
      <c r="E44" s="143">
        <f t="shared" si="13"/>
        <v>0</v>
      </c>
      <c r="F44" s="321"/>
      <c r="G44" s="322"/>
      <c r="H44" s="188" t="s">
        <v>74</v>
      </c>
      <c r="I44" s="118">
        <f>I43/I38</f>
        <v>1.5645152245836371</v>
      </c>
      <c r="J44" s="134">
        <f>J43/J38</f>
        <v>5.2593698070470687</v>
      </c>
      <c r="K44" s="130" t="s">
        <v>63</v>
      </c>
    </row>
    <row r="45" spans="1:19" ht="17.45" customHeight="1">
      <c r="A45" s="781" t="s">
        <v>17</v>
      </c>
      <c r="B45" s="782"/>
      <c r="C45" s="164">
        <f>SUMIF($G$7:$G$31,"Boiler",$F$7:$F$31)</f>
        <v>0</v>
      </c>
      <c r="D45" s="118">
        <f>+C45+'17'!D45</f>
        <v>0</v>
      </c>
      <c r="E45" s="143">
        <f t="shared" si="13"/>
        <v>0</v>
      </c>
      <c r="F45" s="321"/>
      <c r="G45" s="324"/>
      <c r="H45" s="188" t="s">
        <v>75</v>
      </c>
      <c r="I45" s="118">
        <f>I43/I40</f>
        <v>1.6236505950475748</v>
      </c>
      <c r="J45" s="134">
        <f>J43/J40</f>
        <v>6.0336348734138801</v>
      </c>
      <c r="K45" s="130" t="s">
        <v>63</v>
      </c>
    </row>
    <row r="46" spans="1:19" ht="17.45" customHeight="1">
      <c r="A46" s="781" t="s">
        <v>76</v>
      </c>
      <c r="B46" s="782"/>
      <c r="C46" s="164">
        <f>SUMIF($G$7:$G$31,"Gas",$F$7:$F$31)</f>
        <v>0</v>
      </c>
      <c r="D46" s="118">
        <f>+C46+'17'!D46</f>
        <v>0</v>
      </c>
      <c r="E46" s="143">
        <f t="shared" si="13"/>
        <v>0</v>
      </c>
      <c r="F46" s="321"/>
      <c r="G46" s="322"/>
      <c r="H46" s="188" t="s">
        <v>77</v>
      </c>
      <c r="I46" s="140">
        <f>+SUMIF(Listrik!P25,"&gt;0")</f>
        <v>37593.879999998906</v>
      </c>
      <c r="J46" s="135">
        <f>+I46+'17'!J46</f>
        <v>185134.57999999964</v>
      </c>
      <c r="K46" s="130" t="s">
        <v>78</v>
      </c>
    </row>
    <row r="47" spans="1:19" ht="17.45" customHeight="1">
      <c r="A47" s="781" t="s">
        <v>79</v>
      </c>
      <c r="B47" s="782"/>
      <c r="C47" s="164">
        <f>SUMIF($G$7:$G$31,"Gas",$F$7:$F$31)</f>
        <v>0</v>
      </c>
      <c r="D47" s="118">
        <f>+C47+'17'!D47</f>
        <v>0</v>
      </c>
      <c r="E47" s="143">
        <f t="shared" si="13"/>
        <v>0</v>
      </c>
      <c r="F47" s="321"/>
      <c r="G47" s="322"/>
      <c r="H47" s="188" t="s">
        <v>80</v>
      </c>
      <c r="I47" s="118">
        <f>I46/I38</f>
        <v>1054.0537206302615</v>
      </c>
      <c r="J47" s="135">
        <f>J46/J38</f>
        <v>1959.5315361085495</v>
      </c>
      <c r="K47" s="130" t="s">
        <v>23</v>
      </c>
    </row>
    <row r="48" spans="1:19" ht="17.45" customHeight="1">
      <c r="A48" s="781" t="s">
        <v>13</v>
      </c>
      <c r="B48" s="782"/>
      <c r="C48" s="164">
        <f>SUMIF($G$7:$G$31,"Start Up",$F$7:$F$31)</f>
        <v>0</v>
      </c>
      <c r="D48" s="118">
        <f>+C48+'17'!D48</f>
        <v>0</v>
      </c>
      <c r="E48" s="143">
        <f t="shared" si="13"/>
        <v>0</v>
      </c>
      <c r="F48" s="321"/>
      <c r="G48" s="322"/>
      <c r="H48" s="188" t="s">
        <v>81</v>
      </c>
      <c r="I48" s="118">
        <f>I46/I40</f>
        <v>1093.8947245904185</v>
      </c>
      <c r="J48" s="135">
        <f>J46/J40</f>
        <v>2248.0065569789285</v>
      </c>
      <c r="K48" s="130" t="s">
        <v>23</v>
      </c>
    </row>
    <row r="49" spans="1:19" ht="17.45" customHeight="1">
      <c r="A49" s="781" t="s">
        <v>19</v>
      </c>
      <c r="B49" s="782"/>
      <c r="C49" s="164">
        <f>SUMIF($G$7:$G$31,"Others",$F$7:$F$31)</f>
        <v>70</v>
      </c>
      <c r="D49" s="118">
        <f>+C49+'17'!D49</f>
        <v>21340</v>
      </c>
      <c r="E49" s="143">
        <f t="shared" si="13"/>
        <v>355.66666666666669</v>
      </c>
      <c r="F49" s="185"/>
      <c r="H49" s="188" t="s">
        <v>267</v>
      </c>
      <c r="I49" s="118">
        <f>+Report1!T26</f>
        <v>4457.9810233270273</v>
      </c>
      <c r="J49" s="135">
        <f>+I49+'17'!J49</f>
        <v>11597.385648852889</v>
      </c>
      <c r="K49" s="130" t="s">
        <v>82</v>
      </c>
    </row>
    <row r="50" spans="1:19" ht="17.45" customHeight="1">
      <c r="A50" s="781" t="s">
        <v>18</v>
      </c>
      <c r="B50" s="782"/>
      <c r="C50" s="164">
        <f>SUMIF($G$7:$G$31,"Steam",$F$7:$F$31)</f>
        <v>0</v>
      </c>
      <c r="D50" s="118">
        <f>+C50+'17'!D50</f>
        <v>0</v>
      </c>
      <c r="E50" s="143">
        <f t="shared" si="13"/>
        <v>0</v>
      </c>
      <c r="F50" s="185"/>
      <c r="H50" s="188" t="s">
        <v>83</v>
      </c>
      <c r="I50" s="140">
        <f>I49/I38</f>
        <v>124.99245845699063</v>
      </c>
      <c r="J50" s="133">
        <f>J49/J38</f>
        <v>122.75093564551794</v>
      </c>
      <c r="K50" s="130" t="s">
        <v>82</v>
      </c>
      <c r="Q50" s="149">
        <f>SUM(Q37:Q48)</f>
        <v>480</v>
      </c>
      <c r="R50" s="149">
        <f>SUM(R37:R48)</f>
        <v>576000</v>
      </c>
      <c r="S50" s="149">
        <f>SUM(S37:S48)</f>
        <v>437760</v>
      </c>
    </row>
    <row r="51" spans="1:19" ht="17.45" customHeight="1" thickBot="1">
      <c r="A51" s="783" t="s">
        <v>84</v>
      </c>
      <c r="B51" s="784"/>
      <c r="C51" s="164">
        <f>SUMIF($G$7:$G$31,"Planned shut",$F$7:$F$31)</f>
        <v>0</v>
      </c>
      <c r="D51" s="118">
        <f>+C51+'17'!D51</f>
        <v>0</v>
      </c>
      <c r="E51" s="143">
        <f t="shared" si="13"/>
        <v>0</v>
      </c>
      <c r="F51" s="185"/>
      <c r="H51" s="190" t="s">
        <v>85</v>
      </c>
      <c r="I51" s="141">
        <f>I49/I40</f>
        <v>129.71690934114201</v>
      </c>
      <c r="J51" s="136">
        <f>J49/J40</f>
        <v>140.82187661772679</v>
      </c>
      <c r="K51" s="137" t="s">
        <v>82</v>
      </c>
      <c r="Q51" s="149">
        <f>480-Q50</f>
        <v>0</v>
      </c>
      <c r="R51" s="149">
        <f>+R50/Q50</f>
        <v>1200</v>
      </c>
      <c r="S51" s="149">
        <f>+S50/Q50</f>
        <v>912</v>
      </c>
    </row>
    <row r="52" spans="1:19" ht="13.5" thickBot="1">
      <c r="A52" s="779" t="s">
        <v>27</v>
      </c>
      <c r="B52" s="780"/>
      <c r="C52" s="144">
        <f>SUM(C38:C51)</f>
        <v>126</v>
      </c>
      <c r="D52" s="144">
        <f>SUM(D38:D51)</f>
        <v>21520</v>
      </c>
      <c r="E52" s="145">
        <f>SUM(E38:E51)</f>
        <v>358.66666666666669</v>
      </c>
      <c r="F52" s="185"/>
      <c r="H52" s="191"/>
      <c r="I52" s="192"/>
      <c r="J52" s="138"/>
      <c r="K52" s="139"/>
      <c r="M52" s="149" t="s">
        <v>386</v>
      </c>
      <c r="N52" s="149">
        <v>1192.6386806596702</v>
      </c>
      <c r="O52" s="149">
        <v>914.01394302848564</v>
      </c>
      <c r="P52" s="149">
        <v>1334</v>
      </c>
    </row>
    <row r="53" spans="1:19" ht="13.5" thickBot="1">
      <c r="A53" s="785"/>
      <c r="B53" s="786"/>
      <c r="C53" s="146">
        <f>C52/(24*60)</f>
        <v>8.7499999999999994E-2</v>
      </c>
      <c r="D53" s="146">
        <f>D52/(24*60*G4)</f>
        <v>0.83024691358024694</v>
      </c>
      <c r="E53" s="147">
        <f>E52/(G4*24)</f>
        <v>0.83024691358024694</v>
      </c>
      <c r="F53" s="185"/>
      <c r="M53" s="149" t="s">
        <v>491</v>
      </c>
      <c r="N53" s="149">
        <v>1169.7222222222222</v>
      </c>
      <c r="O53" s="149">
        <v>900.68611111111113</v>
      </c>
      <c r="P53" s="149">
        <v>36</v>
      </c>
    </row>
    <row r="54" spans="1:19">
      <c r="E54" s="193"/>
      <c r="F54" s="185"/>
      <c r="P54" s="149">
        <f>+P52+P53</f>
        <v>1370</v>
      </c>
    </row>
    <row r="55" spans="1:19">
      <c r="E55" s="193"/>
    </row>
    <row r="56" spans="1:19">
      <c r="A56" s="194" t="s">
        <v>86</v>
      </c>
      <c r="B56" s="195"/>
      <c r="C56" s="196"/>
      <c r="D56" s="196"/>
      <c r="E56" s="196"/>
      <c r="F56" s="197"/>
      <c r="G56" s="196"/>
      <c r="H56" s="198"/>
      <c r="I56" s="199" t="s">
        <v>87</v>
      </c>
      <c r="J56" s="200">
        <f>+D34+'17'!J56</f>
        <v>2912</v>
      </c>
      <c r="K56" s="201">
        <f>J56/(J40+J56/1000)/1000</f>
        <v>3.4151547491995733E-2</v>
      </c>
    </row>
    <row r="57" spans="1:19">
      <c r="A57" s="176"/>
      <c r="I57" s="199" t="s">
        <v>88</v>
      </c>
      <c r="J57" s="200">
        <f>+E34+'17'!J57</f>
        <v>0</v>
      </c>
      <c r="K57" s="201">
        <f>J57/(J40+J57/1000)/1000</f>
        <v>0</v>
      </c>
      <c r="M57" s="149">
        <v>410</v>
      </c>
    </row>
    <row r="58" spans="1:19">
      <c r="A58" s="202"/>
      <c r="B58" s="203"/>
      <c r="F58" s="185"/>
      <c r="H58" s="204"/>
      <c r="M58" s="149">
        <v>480</v>
      </c>
    </row>
    <row r="59" spans="1:19">
      <c r="A59" s="205"/>
      <c r="B59" s="176"/>
      <c r="C59" s="176"/>
      <c r="D59" s="176"/>
      <c r="E59" s="176"/>
      <c r="F59" s="189"/>
      <c r="G59" s="176"/>
      <c r="H59" s="204"/>
      <c r="M59" s="149">
        <v>480</v>
      </c>
    </row>
    <row r="60" spans="1:19">
      <c r="H60" s="204"/>
      <c r="M60" s="149">
        <f>+M57+M58+M59</f>
        <v>1370</v>
      </c>
    </row>
    <row r="61" spans="1:19">
      <c r="A61" s="206"/>
      <c r="B61" s="207"/>
      <c r="C61" s="207"/>
      <c r="D61" s="207"/>
      <c r="E61" s="207"/>
      <c r="F61" s="208"/>
      <c r="G61" s="207"/>
      <c r="H61" s="209"/>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24:A32"/>
    <mergeCell ref="I24:I31"/>
    <mergeCell ref="A34:B34"/>
    <mergeCell ref="A37:B37"/>
    <mergeCell ref="A7:A14"/>
    <mergeCell ref="I7:I13"/>
    <mergeCell ref="A15:A23"/>
    <mergeCell ref="I15:I22"/>
    <mergeCell ref="A38:B38"/>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topLeftCell="A28" zoomScale="80" zoomScaleNormal="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182</v>
      </c>
    </row>
    <row r="3" spans="1:19" ht="15">
      <c r="A3" s="150"/>
    </row>
    <row r="4" spans="1:19" ht="20.25">
      <c r="A4" s="151" t="s">
        <v>3</v>
      </c>
      <c r="B4" s="152"/>
      <c r="F4" s="153" t="s">
        <v>28</v>
      </c>
      <c r="G4" s="154">
        <v>17</v>
      </c>
      <c r="H4" s="154" t="str">
        <f>+'1'!H4</f>
        <v>.11.25</v>
      </c>
    </row>
    <row r="5" spans="1:19" ht="13.5" thickBot="1">
      <c r="C5" s="155"/>
      <c r="D5" s="155"/>
    </row>
    <row r="6" spans="1:19"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386</v>
      </c>
      <c r="O6" s="149">
        <v>900</v>
      </c>
      <c r="P6" s="149">
        <f>+O6-O6*0.23</f>
        <v>693</v>
      </c>
      <c r="Q6" s="149">
        <v>420</v>
      </c>
      <c r="R6" s="149">
        <f>+O6*Q6</f>
        <v>378000</v>
      </c>
      <c r="S6" s="149">
        <f>+P6*Q6</f>
        <v>291060</v>
      </c>
    </row>
    <row r="7" spans="1:19" ht="13.5" customHeight="1" thickBot="1">
      <c r="A7" s="767" t="s">
        <v>389</v>
      </c>
      <c r="B7" s="215" t="s">
        <v>387</v>
      </c>
      <c r="C7" s="216">
        <v>6763</v>
      </c>
      <c r="D7" s="217">
        <v>1500</v>
      </c>
      <c r="E7" s="218"/>
      <c r="F7" s="227"/>
      <c r="G7" s="228" t="s">
        <v>11</v>
      </c>
      <c r="H7" s="229" t="s">
        <v>384</v>
      </c>
      <c r="I7" s="770" t="s">
        <v>475</v>
      </c>
      <c r="J7" s="214" t="str">
        <f>+'16'!J7</f>
        <v>F 12 VP OW</v>
      </c>
      <c r="K7" s="237">
        <f>+C34</f>
        <v>25547</v>
      </c>
      <c r="L7" s="241"/>
      <c r="M7" s="117">
        <f>+K7+'16'!M7+L7</f>
        <v>47988</v>
      </c>
      <c r="O7" s="149">
        <v>1030</v>
      </c>
      <c r="P7" s="149">
        <f>+O7-O7*0.23</f>
        <v>793.1</v>
      </c>
      <c r="Q7" s="149">
        <v>60</v>
      </c>
      <c r="R7" s="149">
        <f>+O7*Q7</f>
        <v>61800</v>
      </c>
      <c r="S7" s="149">
        <f>+P7*Q7</f>
        <v>47586</v>
      </c>
    </row>
    <row r="8" spans="1:19" ht="13.5" thickBot="1">
      <c r="A8" s="768"/>
      <c r="B8" s="215"/>
      <c r="C8" s="216"/>
      <c r="D8" s="217"/>
      <c r="E8" s="219"/>
      <c r="F8" s="230">
        <v>10</v>
      </c>
      <c r="G8" s="231" t="s">
        <v>11</v>
      </c>
      <c r="H8" s="229" t="s">
        <v>478</v>
      </c>
      <c r="I8" s="771"/>
      <c r="J8" s="214">
        <f>+'16'!J8</f>
        <v>0</v>
      </c>
      <c r="K8" s="238"/>
      <c r="L8" s="238"/>
      <c r="M8" s="117">
        <f>+K8+'16'!M8+L8</f>
        <v>0</v>
      </c>
      <c r="P8" s="149">
        <f>+O8-O8*0.23</f>
        <v>0</v>
      </c>
      <c r="R8" s="149">
        <f>+O8*Q8</f>
        <v>0</v>
      </c>
      <c r="S8" s="149">
        <f>+P8*Q8</f>
        <v>0</v>
      </c>
    </row>
    <row r="9" spans="1:19" ht="13.5" thickBot="1">
      <c r="A9" s="768"/>
      <c r="B9" s="215"/>
      <c r="C9" s="216"/>
      <c r="D9" s="217"/>
      <c r="E9" s="220"/>
      <c r="F9" s="227">
        <v>10</v>
      </c>
      <c r="G9" s="231" t="s">
        <v>11</v>
      </c>
      <c r="H9" s="232" t="s">
        <v>477</v>
      </c>
      <c r="I9" s="771"/>
      <c r="J9" s="214">
        <f>+'16'!J9</f>
        <v>0</v>
      </c>
      <c r="K9" s="238"/>
      <c r="L9" s="238"/>
      <c r="M9" s="117">
        <f>+K9+'16'!M9+L9</f>
        <v>0</v>
      </c>
    </row>
    <row r="10" spans="1:19" ht="39" thickBot="1">
      <c r="A10" s="768"/>
      <c r="B10" s="215"/>
      <c r="C10" s="216"/>
      <c r="D10" s="217"/>
      <c r="E10" s="219"/>
      <c r="F10" s="227"/>
      <c r="G10" s="236" t="s">
        <v>12</v>
      </c>
      <c r="H10" s="232" t="s">
        <v>471</v>
      </c>
      <c r="I10" s="771"/>
      <c r="J10" s="214">
        <f>+'16'!J10</f>
        <v>0</v>
      </c>
      <c r="K10" s="238"/>
      <c r="L10" s="238"/>
      <c r="M10" s="117">
        <f>+K10+'16'!M10+L10</f>
        <v>0</v>
      </c>
    </row>
    <row r="11" spans="1:19" ht="77.25" thickBot="1">
      <c r="A11" s="768"/>
      <c r="B11" s="215"/>
      <c r="C11" s="216"/>
      <c r="D11" s="217"/>
      <c r="E11" s="219"/>
      <c r="F11" s="227"/>
      <c r="G11" s="231"/>
      <c r="H11" s="232" t="s">
        <v>472</v>
      </c>
      <c r="I11" s="771"/>
      <c r="J11" s="214">
        <f>+'16'!J11</f>
        <v>0</v>
      </c>
      <c r="K11" s="238"/>
      <c r="L11" s="238"/>
      <c r="M11" s="117">
        <f>+K11+'16'!M11+L11</f>
        <v>0</v>
      </c>
    </row>
    <row r="12" spans="1:19" ht="13.5" thickBot="1">
      <c r="A12" s="768"/>
      <c r="B12" s="215"/>
      <c r="C12" s="216"/>
      <c r="D12" s="217"/>
      <c r="E12" s="219"/>
      <c r="F12" s="227"/>
      <c r="G12" s="231"/>
      <c r="H12" s="232"/>
      <c r="I12" s="771"/>
      <c r="J12" s="214">
        <f>+'16'!J12</f>
        <v>0</v>
      </c>
      <c r="K12" s="238"/>
      <c r="L12" s="238"/>
      <c r="M12" s="117">
        <f>+K12+'16'!M12+L12</f>
        <v>0</v>
      </c>
    </row>
    <row r="13" spans="1:19" ht="13.5" thickBot="1">
      <c r="A13" s="768"/>
      <c r="B13" s="215"/>
      <c r="C13" s="216"/>
      <c r="D13" s="216"/>
      <c r="E13" s="219"/>
      <c r="F13" s="227"/>
      <c r="G13" s="231"/>
      <c r="H13" s="232"/>
      <c r="I13" s="772"/>
      <c r="J13" s="214">
        <f>+'16'!J13</f>
        <v>0</v>
      </c>
      <c r="K13" s="238"/>
      <c r="L13" s="238"/>
      <c r="M13" s="117">
        <f>+K13+'16'!M13+L13</f>
        <v>0</v>
      </c>
    </row>
    <row r="14" spans="1:19" ht="13.5" thickBot="1">
      <c r="A14" s="769"/>
      <c r="B14" s="165" t="s">
        <v>2</v>
      </c>
      <c r="C14" s="99">
        <f>SUM(C7:C13)</f>
        <v>6763</v>
      </c>
      <c r="D14" s="111">
        <f>SUM(D7:D13)</f>
        <v>1500</v>
      </c>
      <c r="E14" s="112">
        <f>SUM(E5:E13)</f>
        <v>0</v>
      </c>
      <c r="F14" s="116">
        <f>SUM(F7:F13)</f>
        <v>20</v>
      </c>
      <c r="G14" s="159"/>
      <c r="H14" s="166"/>
      <c r="I14" s="167"/>
      <c r="J14" s="214">
        <f>+'16'!J14</f>
        <v>0</v>
      </c>
      <c r="K14" s="238"/>
      <c r="L14" s="238"/>
      <c r="M14" s="117">
        <f>+K14+'16'!M14+L14</f>
        <v>0</v>
      </c>
    </row>
    <row r="15" spans="1:19" ht="13.5" customHeight="1" thickBot="1">
      <c r="A15" s="767" t="s">
        <v>407</v>
      </c>
      <c r="B15" s="165"/>
      <c r="C15" s="113">
        <f>C14/($C$23+$D$23+$E$23)</f>
        <v>0.7700979275791392</v>
      </c>
      <c r="D15" s="114">
        <f>D14/($C$23+$D$23+$E$23)</f>
        <v>0.17080391710316556</v>
      </c>
      <c r="E15" s="115">
        <f>E14/($C$23+$D$23+$E$23)</f>
        <v>0</v>
      </c>
      <c r="F15" s="227">
        <v>15</v>
      </c>
      <c r="G15" s="228" t="s">
        <v>11</v>
      </c>
      <c r="H15" s="229" t="s">
        <v>480</v>
      </c>
      <c r="I15" s="770" t="s">
        <v>474</v>
      </c>
      <c r="J15" s="214">
        <f>+'16'!J15</f>
        <v>0</v>
      </c>
      <c r="K15" s="238"/>
      <c r="L15" s="238"/>
      <c r="M15" s="117">
        <f>+K15+'16'!M15+L15</f>
        <v>0</v>
      </c>
    </row>
    <row r="16" spans="1:19" ht="13.5" thickBot="1">
      <c r="A16" s="773"/>
      <c r="B16" s="215" t="s">
        <v>387</v>
      </c>
      <c r="C16" s="221">
        <v>8782</v>
      </c>
      <c r="D16" s="222"/>
      <c r="E16" s="223"/>
      <c r="F16" s="230"/>
      <c r="G16" s="231" t="s">
        <v>11</v>
      </c>
      <c r="H16" s="229" t="s">
        <v>282</v>
      </c>
      <c r="I16" s="771"/>
      <c r="J16" s="214">
        <f>+'16'!J16</f>
        <v>0</v>
      </c>
      <c r="K16" s="228"/>
      <c r="L16" s="228"/>
      <c r="M16" s="117">
        <f>+K16+'16'!M16+L16</f>
        <v>0</v>
      </c>
      <c r="Q16" s="149">
        <f>SUM(Q6:Q14)</f>
        <v>480</v>
      </c>
      <c r="R16" s="149">
        <f>SUM(R6:R14)</f>
        <v>439800</v>
      </c>
      <c r="S16" s="149">
        <f>SUM(S6:S14)</f>
        <v>338646</v>
      </c>
    </row>
    <row r="17" spans="1:19" ht="13.5" thickBot="1">
      <c r="A17" s="773"/>
      <c r="B17" s="215"/>
      <c r="C17" s="216"/>
      <c r="D17" s="217"/>
      <c r="E17" s="224"/>
      <c r="F17" s="227">
        <v>13</v>
      </c>
      <c r="G17" s="231" t="s">
        <v>11</v>
      </c>
      <c r="H17" s="232" t="s">
        <v>479</v>
      </c>
      <c r="I17" s="771"/>
      <c r="J17" s="214">
        <f>+'16'!J17</f>
        <v>0</v>
      </c>
      <c r="K17" s="228"/>
      <c r="L17" s="228"/>
      <c r="M17" s="117">
        <f>+K17+'16'!M17+L17</f>
        <v>0</v>
      </c>
      <c r="Q17" s="149">
        <f>480-Q16</f>
        <v>0</v>
      </c>
      <c r="R17" s="149">
        <f>+R16/Q16</f>
        <v>916.25</v>
      </c>
      <c r="S17" s="149">
        <f>+S16/Q16</f>
        <v>705.51250000000005</v>
      </c>
    </row>
    <row r="18" spans="1:19" ht="51.75" thickBot="1">
      <c r="A18" s="773"/>
      <c r="B18" s="215"/>
      <c r="C18" s="216"/>
      <c r="D18" s="217"/>
      <c r="E18" s="224"/>
      <c r="F18" s="227"/>
      <c r="G18" s="236" t="s">
        <v>12</v>
      </c>
      <c r="H18" s="232" t="s">
        <v>469</v>
      </c>
      <c r="I18" s="771"/>
      <c r="J18" s="214">
        <f>+'16'!J18</f>
        <v>0</v>
      </c>
      <c r="K18" s="238"/>
      <c r="L18" s="238"/>
      <c r="M18" s="117">
        <f>+K18+'16'!M18+L18</f>
        <v>0</v>
      </c>
      <c r="N18" s="149" t="s">
        <v>386</v>
      </c>
      <c r="O18" s="149">
        <v>1030</v>
      </c>
      <c r="P18" s="149">
        <f>+O18-O18*0.23</f>
        <v>793.1</v>
      </c>
      <c r="Q18" s="149">
        <f>60*2+26</f>
        <v>146</v>
      </c>
      <c r="R18" s="149">
        <f>+O18*Q18</f>
        <v>150380</v>
      </c>
      <c r="S18" s="149">
        <f>+P18*Q18</f>
        <v>115792.6</v>
      </c>
    </row>
    <row r="19" spans="1:19" ht="189.75" customHeight="1" thickBot="1">
      <c r="A19" s="773"/>
      <c r="B19" s="215"/>
      <c r="C19" s="216"/>
      <c r="D19" s="217"/>
      <c r="E19" s="224"/>
      <c r="F19" s="234"/>
      <c r="G19" s="231"/>
      <c r="H19" s="232" t="s">
        <v>470</v>
      </c>
      <c r="I19" s="771"/>
      <c r="J19" s="214">
        <f>+'16'!J19</f>
        <v>0</v>
      </c>
      <c r="K19" s="238"/>
      <c r="L19" s="238"/>
      <c r="M19" s="117">
        <f>+K19+'16'!M19+L19</f>
        <v>0</v>
      </c>
      <c r="O19" s="149">
        <v>1090</v>
      </c>
      <c r="P19" s="149">
        <f t="shared" ref="P19:P22" si="0">+O19-O19*0.23</f>
        <v>839.3</v>
      </c>
      <c r="Q19" s="149">
        <f>28-26</f>
        <v>2</v>
      </c>
      <c r="R19" s="149">
        <f>+O19*Q19</f>
        <v>2180</v>
      </c>
      <c r="S19" s="149">
        <f>+P19*Q19</f>
        <v>1678.6</v>
      </c>
    </row>
    <row r="20" spans="1:19" ht="13.5" thickBot="1">
      <c r="A20" s="773"/>
      <c r="B20" s="215"/>
      <c r="C20" s="216"/>
      <c r="D20" s="217"/>
      <c r="E20" s="224"/>
      <c r="F20" s="227"/>
      <c r="G20" s="231"/>
      <c r="H20" s="232"/>
      <c r="I20" s="771"/>
      <c r="J20" s="214">
        <f>+'16'!J20</f>
        <v>0</v>
      </c>
      <c r="K20" s="239"/>
      <c r="L20" s="239"/>
      <c r="M20" s="117">
        <f>+K20+'16'!M20+L20</f>
        <v>0</v>
      </c>
      <c r="O20" s="149">
        <v>1060</v>
      </c>
      <c r="P20" s="149">
        <f t="shared" si="0"/>
        <v>816.2</v>
      </c>
      <c r="Q20" s="149">
        <f>60-28+60+5</f>
        <v>97</v>
      </c>
      <c r="R20" s="149">
        <f>+O20*Q20</f>
        <v>102820</v>
      </c>
      <c r="S20" s="149">
        <f>+P20*Q20</f>
        <v>79171.400000000009</v>
      </c>
    </row>
    <row r="21" spans="1:19" ht="13.5" thickBot="1">
      <c r="A21" s="773"/>
      <c r="B21" s="215"/>
      <c r="C21" s="216"/>
      <c r="D21" s="217"/>
      <c r="E21" s="224"/>
      <c r="F21" s="230"/>
      <c r="G21" s="231"/>
      <c r="H21" s="232"/>
      <c r="I21" s="771"/>
      <c r="J21" s="214">
        <f>+'16'!J21</f>
        <v>0</v>
      </c>
      <c r="K21" s="238"/>
      <c r="L21" s="238"/>
      <c r="M21" s="117">
        <f>+K21+'16'!M21+L21</f>
        <v>0</v>
      </c>
      <c r="O21" s="149">
        <v>1100</v>
      </c>
      <c r="P21" s="149">
        <f t="shared" si="0"/>
        <v>847</v>
      </c>
      <c r="Q21" s="149">
        <f>60-5+30</f>
        <v>85</v>
      </c>
      <c r="R21" s="149">
        <f>+O21*Q21</f>
        <v>93500</v>
      </c>
      <c r="S21" s="149">
        <f>+P21*Q21</f>
        <v>71995</v>
      </c>
    </row>
    <row r="22" spans="1:19" ht="13.5" thickBot="1">
      <c r="A22" s="773"/>
      <c r="B22" s="215"/>
      <c r="C22" s="216"/>
      <c r="D22" s="217"/>
      <c r="E22" s="224"/>
      <c r="F22" s="235"/>
      <c r="G22" s="231"/>
      <c r="H22" s="232"/>
      <c r="I22" s="772"/>
      <c r="J22" s="214">
        <f>+'16'!J22</f>
        <v>0</v>
      </c>
      <c r="K22" s="238"/>
      <c r="L22" s="238"/>
      <c r="M22" s="117">
        <f>+K22+'16'!M22+L22</f>
        <v>0</v>
      </c>
      <c r="O22" s="149">
        <v>1150</v>
      </c>
      <c r="P22" s="149">
        <f t="shared" si="0"/>
        <v>885.5</v>
      </c>
      <c r="Q22" s="149">
        <f>60-30+120</f>
        <v>150</v>
      </c>
      <c r="R22" s="149">
        <f>+O22*Q22</f>
        <v>172500</v>
      </c>
      <c r="S22" s="149">
        <f>+P22*Q22</f>
        <v>132825</v>
      </c>
    </row>
    <row r="23" spans="1:19" ht="13.5" thickBot="1">
      <c r="A23" s="774"/>
      <c r="B23" s="168" t="s">
        <v>2</v>
      </c>
      <c r="C23" s="100">
        <f>SUM(C16:C22)</f>
        <v>8782</v>
      </c>
      <c r="D23" s="111">
        <f>SUM(D16:D22)</f>
        <v>0</v>
      </c>
      <c r="E23" s="112">
        <f>SUM(E18:E22)</f>
        <v>0</v>
      </c>
      <c r="F23" s="116">
        <f>SUM(F15:F22)</f>
        <v>28</v>
      </c>
      <c r="G23" s="159"/>
      <c r="H23" s="166"/>
      <c r="I23" s="169"/>
      <c r="J23" s="214">
        <f>+'16'!J23</f>
        <v>0</v>
      </c>
      <c r="K23" s="238"/>
      <c r="L23" s="238"/>
      <c r="M23" s="117">
        <f>+K23+'16'!M23+L23</f>
        <v>0</v>
      </c>
    </row>
    <row r="24" spans="1:19" ht="13.5" customHeight="1" thickBot="1">
      <c r="A24" s="767" t="s">
        <v>388</v>
      </c>
      <c r="B24" s="170"/>
      <c r="C24" s="113">
        <f>C23/($C$23+$D$23+$E$23)</f>
        <v>1</v>
      </c>
      <c r="D24" s="114">
        <f>D23/($C$23+$D$23+$E$23)</f>
        <v>0</v>
      </c>
      <c r="E24" s="115">
        <f>E23/($C$23+$D$23+$E$23)</f>
        <v>0</v>
      </c>
      <c r="F24" s="227">
        <v>9</v>
      </c>
      <c r="G24" s="228" t="s">
        <v>11</v>
      </c>
      <c r="H24" s="229" t="s">
        <v>460</v>
      </c>
      <c r="I24" s="770" t="s">
        <v>473</v>
      </c>
      <c r="J24" s="214">
        <f>+'16'!J24</f>
        <v>0</v>
      </c>
      <c r="K24" s="238"/>
      <c r="L24" s="238"/>
      <c r="M24" s="117">
        <f>+K24+'16'!M24+L24</f>
        <v>0</v>
      </c>
    </row>
    <row r="25" spans="1:19" ht="13.5" thickBot="1">
      <c r="A25" s="773"/>
      <c r="B25" s="215" t="s">
        <v>387</v>
      </c>
      <c r="C25" s="225">
        <v>10002</v>
      </c>
      <c r="D25" s="217">
        <v>1412</v>
      </c>
      <c r="E25" s="224"/>
      <c r="F25" s="230"/>
      <c r="G25" s="231" t="s">
        <v>11</v>
      </c>
      <c r="H25" s="229" t="s">
        <v>282</v>
      </c>
      <c r="I25" s="771"/>
      <c r="J25" s="214">
        <f>+'16'!J25</f>
        <v>0</v>
      </c>
      <c r="K25" s="238"/>
      <c r="L25" s="238"/>
      <c r="M25" s="117">
        <f>+K25+'16'!M25+L25</f>
        <v>0</v>
      </c>
    </row>
    <row r="26" spans="1:19" ht="13.5" thickBot="1">
      <c r="A26" s="773"/>
      <c r="B26" s="215"/>
      <c r="C26" s="225"/>
      <c r="D26" s="217"/>
      <c r="E26" s="226"/>
      <c r="F26" s="227">
        <v>11</v>
      </c>
      <c r="G26" s="231" t="s">
        <v>11</v>
      </c>
      <c r="H26" s="232" t="s">
        <v>477</v>
      </c>
      <c r="I26" s="771"/>
      <c r="J26" s="214">
        <f>+'16'!J26</f>
        <v>0</v>
      </c>
      <c r="K26" s="238"/>
      <c r="L26" s="238"/>
      <c r="M26" s="117">
        <f>+K26+'16'!M26+L26</f>
        <v>0</v>
      </c>
    </row>
    <row r="27" spans="1:19" ht="26.25" thickBot="1">
      <c r="A27" s="773"/>
      <c r="B27" s="215"/>
      <c r="C27" s="216"/>
      <c r="D27" s="217"/>
      <c r="E27" s="224"/>
      <c r="F27" s="227"/>
      <c r="G27" s="236" t="s">
        <v>12</v>
      </c>
      <c r="H27" s="232" t="s">
        <v>467</v>
      </c>
      <c r="I27" s="771"/>
      <c r="J27" s="214">
        <f>+'16'!J27</f>
        <v>0</v>
      </c>
      <c r="K27" s="238"/>
      <c r="L27" s="238"/>
      <c r="M27" s="117">
        <f>+K27+'16'!M27+L27</f>
        <v>0</v>
      </c>
    </row>
    <row r="28" spans="1:19" ht="51.75" thickBot="1">
      <c r="A28" s="773"/>
      <c r="B28" s="215"/>
      <c r="C28" s="216"/>
      <c r="D28" s="217"/>
      <c r="E28" s="224"/>
      <c r="F28" s="230"/>
      <c r="G28" s="231"/>
      <c r="H28" s="232" t="s">
        <v>468</v>
      </c>
      <c r="I28" s="771"/>
      <c r="J28" s="214">
        <f>+'16'!J28</f>
        <v>0</v>
      </c>
      <c r="K28" s="238"/>
      <c r="L28" s="238"/>
      <c r="M28" s="117">
        <f>+K28+'16'!M28+L28</f>
        <v>0</v>
      </c>
      <c r="Q28" s="149">
        <f>SUM(Q18:Q26)</f>
        <v>480</v>
      </c>
      <c r="R28" s="149">
        <f>SUM(R18:R26)</f>
        <v>521380</v>
      </c>
      <c r="S28" s="149">
        <f>SUM(S18:S26)</f>
        <v>401462.60000000003</v>
      </c>
    </row>
    <row r="29" spans="1:19" ht="13.5" thickBot="1">
      <c r="A29" s="773"/>
      <c r="B29" s="215"/>
      <c r="C29" s="216"/>
      <c r="D29" s="217"/>
      <c r="E29" s="224"/>
      <c r="F29" s="235"/>
      <c r="G29" s="231"/>
      <c r="H29" s="232"/>
      <c r="I29" s="771"/>
      <c r="J29" s="214">
        <f>+'16'!J29</f>
        <v>0</v>
      </c>
      <c r="K29" s="238"/>
      <c r="L29" s="238"/>
      <c r="M29" s="117">
        <f>+K29+'16'!M29+L29</f>
        <v>0</v>
      </c>
      <c r="Q29" s="149">
        <f>480-Q28</f>
        <v>0</v>
      </c>
      <c r="R29" s="149">
        <f>+R28/Q28</f>
        <v>1086.2083333333333</v>
      </c>
      <c r="S29" s="149">
        <f>+S28/Q28</f>
        <v>836.38041666666675</v>
      </c>
    </row>
    <row r="30" spans="1:19" ht="13.5" thickBot="1">
      <c r="A30" s="773"/>
      <c r="B30" s="215"/>
      <c r="C30" s="225"/>
      <c r="D30" s="217"/>
      <c r="E30" s="224"/>
      <c r="F30" s="235"/>
      <c r="G30" s="231"/>
      <c r="H30" s="232"/>
      <c r="I30" s="771"/>
      <c r="J30" s="214">
        <f>+'16'!J30</f>
        <v>0</v>
      </c>
      <c r="K30" s="238"/>
      <c r="L30" s="238"/>
      <c r="M30" s="117">
        <f>+K30+'16'!M30+L30</f>
        <v>0</v>
      </c>
    </row>
    <row r="31" spans="1:19" ht="13.5" thickBot="1">
      <c r="A31" s="773"/>
      <c r="B31" s="215"/>
      <c r="C31" s="225"/>
      <c r="D31" s="217"/>
      <c r="E31" s="224"/>
      <c r="F31" s="235"/>
      <c r="G31" s="236"/>
      <c r="H31" s="444"/>
      <c r="I31" s="772"/>
      <c r="J31" s="214">
        <f>+'16'!J31</f>
        <v>0</v>
      </c>
      <c r="K31" s="238"/>
      <c r="L31" s="238"/>
      <c r="M31" s="117">
        <f>+K31+'16'!M31+L31</f>
        <v>0</v>
      </c>
      <c r="N31" s="149" t="s">
        <v>386</v>
      </c>
      <c r="O31" s="149">
        <v>1150</v>
      </c>
      <c r="P31" s="149">
        <f>+O31-O31*0.23</f>
        <v>885.5</v>
      </c>
      <c r="Q31" s="149">
        <f>60*2+30</f>
        <v>150</v>
      </c>
      <c r="R31" s="149">
        <f>+O31*Q31</f>
        <v>172500</v>
      </c>
      <c r="S31" s="149">
        <f>+P31*Q31</f>
        <v>132825</v>
      </c>
    </row>
    <row r="32" spans="1:19" ht="13.5" thickBot="1">
      <c r="A32" s="774"/>
      <c r="B32" s="165" t="s">
        <v>2</v>
      </c>
      <c r="C32" s="99">
        <f>SUM(C25:C31)</f>
        <v>10002</v>
      </c>
      <c r="D32" s="100">
        <f>SUM(D25:D31)</f>
        <v>1412</v>
      </c>
      <c r="E32" s="101">
        <f>SUM(E25:E31)</f>
        <v>0</v>
      </c>
      <c r="F32" s="102">
        <f>SUM(F24:F31)</f>
        <v>20</v>
      </c>
      <c r="G32" s="171"/>
      <c r="H32" s="172"/>
      <c r="I32" s="169"/>
      <c r="J32" s="214">
        <f>+'16'!J32</f>
        <v>0</v>
      </c>
      <c r="K32" s="240"/>
      <c r="L32" s="242"/>
      <c r="M32" s="117">
        <f>+K32+'16'!M32+L32</f>
        <v>0</v>
      </c>
      <c r="O32" s="149">
        <v>1180</v>
      </c>
      <c r="P32" s="149">
        <f>+O32-O32*0.23</f>
        <v>908.59999999999991</v>
      </c>
      <c r="Q32" s="149">
        <f>480-Q31</f>
        <v>330</v>
      </c>
      <c r="R32" s="149">
        <f>+O32*Q32</f>
        <v>389400</v>
      </c>
      <c r="S32" s="149">
        <f>+P32*Q32</f>
        <v>299837.99999999994</v>
      </c>
    </row>
    <row r="33" spans="1:19" ht="13.5" thickBot="1">
      <c r="A33" s="173"/>
      <c r="B33" s="174"/>
      <c r="C33" s="103">
        <f>C32/($C$32+$D$32+$E$32)</f>
        <v>0.87629227264762577</v>
      </c>
      <c r="D33" s="104">
        <f>D32/($C$32+$D$32+$E$32)</f>
        <v>0.12370772735237427</v>
      </c>
      <c r="E33" s="105">
        <f>E32/($C$32+$D$32+$E$32)</f>
        <v>0</v>
      </c>
      <c r="F33" s="106"/>
      <c r="G33" s="175"/>
      <c r="H33" s="176"/>
      <c r="I33" s="177"/>
      <c r="J33" s="121"/>
      <c r="K33" s="122"/>
      <c r="L33" s="213"/>
      <c r="M33" s="119"/>
      <c r="P33" s="149">
        <f>+O33-O33*0.23</f>
        <v>0</v>
      </c>
      <c r="R33" s="149">
        <f>+O33*Q33</f>
        <v>0</v>
      </c>
      <c r="S33" s="149">
        <f>+P33*Q33</f>
        <v>0</v>
      </c>
    </row>
    <row r="34" spans="1:19" ht="13.5" thickBot="1">
      <c r="A34" s="775" t="s">
        <v>57</v>
      </c>
      <c r="B34" s="776"/>
      <c r="C34" s="107">
        <f>C14+C23+C32</f>
        <v>25547</v>
      </c>
      <c r="D34" s="107">
        <f>D14+D23+D32</f>
        <v>2912</v>
      </c>
      <c r="E34" s="107">
        <f>E14+E23+E32</f>
        <v>0</v>
      </c>
      <c r="F34" s="108">
        <f>F14+F23+F32</f>
        <v>68</v>
      </c>
      <c r="H34" s="178"/>
      <c r="I34" s="178"/>
      <c r="J34" s="123" t="s">
        <v>27</v>
      </c>
      <c r="K34" s="124">
        <f>SUM(K7:K32)</f>
        <v>25547</v>
      </c>
      <c r="L34" s="212">
        <f>SUM(L7:L32)</f>
        <v>0</v>
      </c>
      <c r="M34" s="120">
        <f>SUM(M7:M32)</f>
        <v>47988</v>
      </c>
    </row>
    <row r="35" spans="1:19" ht="13.5" thickBot="1">
      <c r="A35" s="179"/>
      <c r="B35" s="180"/>
      <c r="C35" s="104">
        <f>C34/($C$34+$D$34+$E$34)</f>
        <v>0.8976773604132261</v>
      </c>
      <c r="D35" s="104">
        <f>D34/($C$34+$D$34+$E$34)</f>
        <v>0.10232263958677396</v>
      </c>
      <c r="E35" s="109">
        <f>E34/($C$34+$D$34+$E$34)</f>
        <v>0</v>
      </c>
      <c r="K35" s="155"/>
    </row>
    <row r="36" spans="1:19" ht="13.5" thickBot="1">
      <c r="A36" s="178"/>
      <c r="B36" s="178"/>
      <c r="C36" s="155"/>
      <c r="D36" s="155"/>
      <c r="E36" s="155"/>
      <c r="G36" s="155"/>
      <c r="H36" s="181"/>
      <c r="I36" s="162" t="s">
        <v>36</v>
      </c>
      <c r="J36" s="162" t="s">
        <v>37</v>
      </c>
      <c r="K36" s="182"/>
    </row>
    <row r="37" spans="1:19" ht="17.45" customHeight="1" thickBot="1">
      <c r="A37" s="777" t="s">
        <v>58</v>
      </c>
      <c r="B37" s="778"/>
      <c r="C37" s="162" t="s">
        <v>59</v>
      </c>
      <c r="D37" s="183" t="s">
        <v>60</v>
      </c>
      <c r="E37" s="184" t="s">
        <v>61</v>
      </c>
      <c r="F37" s="321"/>
      <c r="G37" s="323"/>
      <c r="H37" s="186" t="s">
        <v>62</v>
      </c>
      <c r="I37" s="243">
        <f>(12*1440)/1440*G42*2.74*1440/1000000</f>
        <v>38.56073020800001</v>
      </c>
      <c r="J37" s="125">
        <f>+I37+'16'!J37</f>
        <v>66.572122848000006</v>
      </c>
      <c r="K37" s="126" t="s">
        <v>63</v>
      </c>
    </row>
    <row r="38" spans="1:19" ht="17.45" customHeight="1">
      <c r="A38" s="779" t="s">
        <v>11</v>
      </c>
      <c r="B38" s="780"/>
      <c r="C38" s="164">
        <f>SUMIF($G$7:$G$31,"Process",$F$7:$F$31)</f>
        <v>68</v>
      </c>
      <c r="D38" s="118">
        <f>+C38+'16'!D38</f>
        <v>124</v>
      </c>
      <c r="E38" s="143">
        <f t="shared" ref="E38:E51" si="1">D38/60</f>
        <v>2.0666666666666669</v>
      </c>
      <c r="F38" s="321">
        <v>916.25</v>
      </c>
      <c r="G38" s="321">
        <v>705.51250000000005</v>
      </c>
      <c r="H38" s="187" t="s">
        <v>64</v>
      </c>
      <c r="I38" s="244">
        <f>10.96+11.822+11.214</f>
        <v>33.996000000000002</v>
      </c>
      <c r="J38" s="127">
        <f>+I38+'16'!J38</f>
        <v>58.813000000000002</v>
      </c>
      <c r="K38" s="128" t="s">
        <v>63</v>
      </c>
    </row>
    <row r="39" spans="1:19" ht="17.45" customHeight="1">
      <c r="A39" s="781" t="s">
        <v>12</v>
      </c>
      <c r="B39" s="782"/>
      <c r="C39" s="164">
        <f>SUMIF($G$7:$G$31,"Cleaning",$F$7:$F$31)</f>
        <v>0</v>
      </c>
      <c r="D39" s="118">
        <f>+C39+'16'!D39</f>
        <v>0</v>
      </c>
      <c r="E39" s="143">
        <f t="shared" si="1"/>
        <v>0</v>
      </c>
      <c r="F39" s="321">
        <v>1086.2083333333333</v>
      </c>
      <c r="G39" s="321">
        <v>836.38041666666675</v>
      </c>
      <c r="H39" s="187" t="s">
        <v>65</v>
      </c>
      <c r="I39" s="142"/>
      <c r="J39" s="129">
        <f>J37/G4</f>
        <v>3.9160072263529417</v>
      </c>
      <c r="K39" s="130" t="s">
        <v>63</v>
      </c>
    </row>
    <row r="40" spans="1:19" ht="17.45" customHeight="1">
      <c r="A40" s="781" t="s">
        <v>66</v>
      </c>
      <c r="B40" s="782"/>
      <c r="C40" s="164">
        <f>SUMIF($G$7:$G$31,"Mechanical",$F$7:$F$31)</f>
        <v>0</v>
      </c>
      <c r="D40" s="118">
        <f>+C40+'16'!D40</f>
        <v>0</v>
      </c>
      <c r="E40" s="143">
        <f t="shared" si="1"/>
        <v>0</v>
      </c>
      <c r="F40" s="321">
        <v>1170.625</v>
      </c>
      <c r="G40" s="321">
        <v>901.38124999999991</v>
      </c>
      <c r="H40" s="187" t="s">
        <v>67</v>
      </c>
      <c r="I40" s="118">
        <f>(K34+L34)/1000</f>
        <v>25.547000000000001</v>
      </c>
      <c r="J40" s="131">
        <f>+I40+'16'!J40</f>
        <v>47.988</v>
      </c>
      <c r="K40" s="130" t="s">
        <v>63</v>
      </c>
    </row>
    <row r="41" spans="1:19" ht="17.45" customHeight="1">
      <c r="A41" s="781" t="s">
        <v>68</v>
      </c>
      <c r="B41" s="782"/>
      <c r="C41" s="164">
        <f>SUMIF($G$7:$G$31,"Electrical",$F$7:$F$31)</f>
        <v>0</v>
      </c>
      <c r="D41" s="118">
        <f>+C41+'16'!D41</f>
        <v>0</v>
      </c>
      <c r="E41" s="143">
        <f t="shared" si="1"/>
        <v>0</v>
      </c>
      <c r="F41" s="321"/>
      <c r="G41" s="321"/>
      <c r="H41" s="187" t="s">
        <v>69</v>
      </c>
      <c r="I41" s="142"/>
      <c r="J41" s="129">
        <f>J40/G4</f>
        <v>2.8228235294117647</v>
      </c>
      <c r="K41" s="130" t="s">
        <v>63</v>
      </c>
      <c r="Q41" s="149">
        <f>SUM(Q31:Q39)</f>
        <v>480</v>
      </c>
      <c r="R41" s="149">
        <f>SUM(R31:R39)</f>
        <v>561900</v>
      </c>
      <c r="S41" s="149">
        <f>SUM(S31:S39)</f>
        <v>432662.99999999994</v>
      </c>
    </row>
    <row r="42" spans="1:19" ht="17.45" customHeight="1">
      <c r="A42" s="781" t="s">
        <v>15</v>
      </c>
      <c r="B42" s="782"/>
      <c r="C42" s="164">
        <f>SUMIF($G$7:$G$31,"Instrument",$F$7:$F$31)</f>
        <v>0</v>
      </c>
      <c r="D42" s="118">
        <f>+C42+'16'!D42</f>
        <v>0</v>
      </c>
      <c r="E42" s="143">
        <f t="shared" si="1"/>
        <v>0</v>
      </c>
      <c r="F42" s="321">
        <f>+(F38*480+F39*480+F40*480)/1440</f>
        <v>1057.6944444444443</v>
      </c>
      <c r="G42" s="321">
        <f>+(G38*480+G39*480+G40*480)/1440</f>
        <v>814.42472222222227</v>
      </c>
      <c r="H42" s="187" t="s">
        <v>70</v>
      </c>
      <c r="I42" s="245" t="s">
        <v>476</v>
      </c>
      <c r="J42" s="132"/>
      <c r="K42" s="130" t="s">
        <v>71</v>
      </c>
      <c r="Q42" s="149">
        <f>480-Q41</f>
        <v>0</v>
      </c>
      <c r="R42" s="149">
        <f>+R41/Q41</f>
        <v>1170.625</v>
      </c>
      <c r="S42" s="149">
        <f>+S41/Q41</f>
        <v>901.38124999999991</v>
      </c>
    </row>
    <row r="43" spans="1:19" ht="17.45" customHeight="1">
      <c r="A43" s="781" t="s">
        <v>72</v>
      </c>
      <c r="B43" s="782"/>
      <c r="C43" s="164">
        <f>SUMIF($G$7:$G$31,"Water",$F$7:$F$31)</f>
        <v>0</v>
      </c>
      <c r="D43" s="118">
        <f>+C43+'16'!D43</f>
        <v>0</v>
      </c>
      <c r="E43" s="143">
        <f t="shared" si="1"/>
        <v>0</v>
      </c>
      <c r="F43" s="321"/>
      <c r="G43" s="322"/>
      <c r="H43" s="188" t="s">
        <v>73</v>
      </c>
      <c r="I43" s="118">
        <f>+Report1!Z25</f>
        <v>61.1</v>
      </c>
      <c r="J43" s="133">
        <f>+I43+'16'!J43</f>
        <v>441.1</v>
      </c>
      <c r="K43" s="130" t="s">
        <v>63</v>
      </c>
      <c r="L43" s="189"/>
    </row>
    <row r="44" spans="1:19" ht="17.45" customHeight="1">
      <c r="A44" s="781" t="s">
        <v>16</v>
      </c>
      <c r="B44" s="782"/>
      <c r="C44" s="164">
        <f>SUMIF($G$7:$G$31,"PLN",$F$7:$F$31)</f>
        <v>0</v>
      </c>
      <c r="D44" s="118">
        <f>+C44+'16'!D44</f>
        <v>0</v>
      </c>
      <c r="E44" s="143">
        <f t="shared" si="1"/>
        <v>0</v>
      </c>
      <c r="F44" s="321"/>
      <c r="G44" s="322"/>
      <c r="H44" s="188" t="s">
        <v>74</v>
      </c>
      <c r="I44" s="118">
        <f>I43/I38</f>
        <v>1.7972702670902458</v>
      </c>
      <c r="J44" s="134">
        <f>J43/J38</f>
        <v>7.5000425076088622</v>
      </c>
      <c r="K44" s="130" t="s">
        <v>63</v>
      </c>
    </row>
    <row r="45" spans="1:19" ht="17.45" customHeight="1">
      <c r="A45" s="781" t="s">
        <v>17</v>
      </c>
      <c r="B45" s="782"/>
      <c r="C45" s="164">
        <f>SUMIF($G$7:$G$31,"Boiler",$F$7:$F$31)</f>
        <v>0</v>
      </c>
      <c r="D45" s="118">
        <f>+C45+'16'!D45</f>
        <v>0</v>
      </c>
      <c r="E45" s="143">
        <f t="shared" si="1"/>
        <v>0</v>
      </c>
      <c r="F45" s="321"/>
      <c r="G45" s="324"/>
      <c r="H45" s="188" t="s">
        <v>75</v>
      </c>
      <c r="I45" s="118">
        <f>I43/I40</f>
        <v>2.3916702548244411</v>
      </c>
      <c r="J45" s="134">
        <f>J43/J40</f>
        <v>9.1918813036592493</v>
      </c>
      <c r="K45" s="130" t="s">
        <v>63</v>
      </c>
    </row>
    <row r="46" spans="1:19" ht="17.45" customHeight="1">
      <c r="A46" s="781" t="s">
        <v>76</v>
      </c>
      <c r="B46" s="782"/>
      <c r="C46" s="164">
        <f>SUMIF($G$7:$G$31,"Gas",$F$7:$F$31)</f>
        <v>0</v>
      </c>
      <c r="D46" s="118">
        <f>+C46+'16'!D46</f>
        <v>0</v>
      </c>
      <c r="E46" s="143">
        <f t="shared" si="1"/>
        <v>0</v>
      </c>
      <c r="F46" s="321"/>
      <c r="G46" s="322"/>
      <c r="H46" s="188" t="s">
        <v>77</v>
      </c>
      <c r="I46" s="140">
        <f>+SUMIF(Listrik!P24,"&gt;0")</f>
        <v>36139.060000000725</v>
      </c>
      <c r="J46" s="135">
        <f>+I46+'16'!J46</f>
        <v>147540.70000000074</v>
      </c>
      <c r="K46" s="130" t="s">
        <v>78</v>
      </c>
    </row>
    <row r="47" spans="1:19" ht="17.45" customHeight="1">
      <c r="A47" s="781" t="s">
        <v>79</v>
      </c>
      <c r="B47" s="782"/>
      <c r="C47" s="164">
        <f>SUMIF($G$7:$G$31,"Gas",$F$7:$F$31)</f>
        <v>0</v>
      </c>
      <c r="D47" s="118">
        <f>+C47+'16'!D47</f>
        <v>0</v>
      </c>
      <c r="E47" s="143">
        <f t="shared" si="1"/>
        <v>0</v>
      </c>
      <c r="F47" s="321"/>
      <c r="G47" s="322"/>
      <c r="H47" s="188" t="s">
        <v>80</v>
      </c>
      <c r="I47" s="118">
        <f>I46/I38</f>
        <v>1063.038592775642</v>
      </c>
      <c r="J47" s="135">
        <f>J46/J38</f>
        <v>2508.640946729477</v>
      </c>
      <c r="K47" s="130" t="s">
        <v>23</v>
      </c>
    </row>
    <row r="48" spans="1:19" ht="17.45" customHeight="1">
      <c r="A48" s="781" t="s">
        <v>13</v>
      </c>
      <c r="B48" s="782"/>
      <c r="C48" s="164">
        <f>SUMIF($G$7:$G$31,"Start Up",$F$7:$F$31)</f>
        <v>0</v>
      </c>
      <c r="D48" s="118">
        <f>+C48+'16'!D48</f>
        <v>0</v>
      </c>
      <c r="E48" s="143">
        <f t="shared" si="1"/>
        <v>0</v>
      </c>
      <c r="F48" s="321"/>
      <c r="G48" s="322"/>
      <c r="H48" s="188" t="s">
        <v>81</v>
      </c>
      <c r="I48" s="118">
        <f>I46/I40</f>
        <v>1414.6107175011048</v>
      </c>
      <c r="J48" s="135">
        <f>J46/J40</f>
        <v>3074.5332166375083</v>
      </c>
      <c r="K48" s="130" t="s">
        <v>23</v>
      </c>
    </row>
    <row r="49" spans="1:11" ht="17.45" customHeight="1">
      <c r="A49" s="781" t="s">
        <v>19</v>
      </c>
      <c r="B49" s="782"/>
      <c r="C49" s="164">
        <f>SUMIF($G$7:$G$31,"Others",$F$7:$F$31)</f>
        <v>0</v>
      </c>
      <c r="D49" s="118">
        <f>+C49+'16'!D49</f>
        <v>21270</v>
      </c>
      <c r="E49" s="143">
        <f t="shared" si="1"/>
        <v>354.5</v>
      </c>
      <c r="F49" s="185"/>
      <c r="H49" s="188" t="s">
        <v>267</v>
      </c>
      <c r="I49" s="118">
        <f>+Report1!T25</f>
        <v>4002.721706451181</v>
      </c>
      <c r="J49" s="135">
        <f>+I49+'16'!J49</f>
        <v>7139.4046255258618</v>
      </c>
      <c r="K49" s="130" t="s">
        <v>82</v>
      </c>
    </row>
    <row r="50" spans="1:11" ht="17.45" customHeight="1">
      <c r="A50" s="781" t="s">
        <v>18</v>
      </c>
      <c r="B50" s="782"/>
      <c r="C50" s="164">
        <f>SUMIF($G$7:$G$31,"Steam",$F$7:$F$31)</f>
        <v>0</v>
      </c>
      <c r="D50" s="118">
        <f>+C50+'16'!D50</f>
        <v>0</v>
      </c>
      <c r="E50" s="143">
        <f t="shared" si="1"/>
        <v>0</v>
      </c>
      <c r="F50" s="185"/>
      <c r="H50" s="188" t="s">
        <v>83</v>
      </c>
      <c r="I50" s="140">
        <f>I49/I38</f>
        <v>117.74096089102191</v>
      </c>
      <c r="J50" s="133">
        <f>J49/J38</f>
        <v>121.39160773172362</v>
      </c>
      <c r="K50" s="130" t="s">
        <v>82</v>
      </c>
    </row>
    <row r="51" spans="1:11" ht="17.45" customHeight="1" thickBot="1">
      <c r="A51" s="783" t="s">
        <v>84</v>
      </c>
      <c r="B51" s="784"/>
      <c r="C51" s="164">
        <f>SUMIF($G$7:$G$31,"Planned shut",$F$7:$F$31)</f>
        <v>0</v>
      </c>
      <c r="D51" s="118">
        <f>+C51+'16'!D51</f>
        <v>0</v>
      </c>
      <c r="E51" s="143">
        <f t="shared" si="1"/>
        <v>0</v>
      </c>
      <c r="F51" s="185"/>
      <c r="H51" s="190" t="s">
        <v>85</v>
      </c>
      <c r="I51" s="141">
        <f>I49/I40</f>
        <v>156.68069465891028</v>
      </c>
      <c r="J51" s="136">
        <f>J49/J40</f>
        <v>148.77479006263778</v>
      </c>
      <c r="K51" s="137" t="s">
        <v>82</v>
      </c>
    </row>
    <row r="52" spans="1:11" ht="13.5" thickBot="1">
      <c r="A52" s="779" t="s">
        <v>27</v>
      </c>
      <c r="B52" s="780"/>
      <c r="C52" s="144">
        <f>SUM(C38:C51)</f>
        <v>68</v>
      </c>
      <c r="D52" s="144">
        <f>SUM(D38:D51)</f>
        <v>21394</v>
      </c>
      <c r="E52" s="145">
        <f>SUM(E38:E51)</f>
        <v>356.56666666666666</v>
      </c>
      <c r="F52" s="185"/>
      <c r="H52" s="191"/>
      <c r="I52" s="192"/>
      <c r="J52" s="138"/>
      <c r="K52" s="139"/>
    </row>
    <row r="53" spans="1:11" ht="13.5" thickBot="1">
      <c r="A53" s="785"/>
      <c r="B53" s="786"/>
      <c r="C53" s="146">
        <f>C52/(24*60)</f>
        <v>4.7222222222222221E-2</v>
      </c>
      <c r="D53" s="146">
        <f>D52/(24*60*G4)</f>
        <v>0.87393790849673203</v>
      </c>
      <c r="E53" s="147">
        <f>E52/(G4*24)</f>
        <v>0.87393790849673203</v>
      </c>
      <c r="F53" s="185"/>
    </row>
    <row r="54" spans="1:11">
      <c r="E54" s="193"/>
      <c r="F54" s="185"/>
    </row>
    <row r="55" spans="1:11">
      <c r="E55" s="193"/>
    </row>
    <row r="56" spans="1:11">
      <c r="A56" s="194" t="s">
        <v>86</v>
      </c>
      <c r="B56" s="195"/>
      <c r="C56" s="196"/>
      <c r="D56" s="196"/>
      <c r="E56" s="196"/>
      <c r="F56" s="197"/>
      <c r="G56" s="196"/>
      <c r="H56" s="198"/>
      <c r="I56" s="199" t="s">
        <v>87</v>
      </c>
      <c r="J56" s="200">
        <f>+D34+'16'!J56</f>
        <v>2912</v>
      </c>
      <c r="K56" s="201">
        <f>J56/(J40+J56/1000)/1000</f>
        <v>5.7210216110019654E-2</v>
      </c>
    </row>
    <row r="57" spans="1:11">
      <c r="A57" s="176"/>
      <c r="I57" s="199" t="s">
        <v>88</v>
      </c>
      <c r="J57" s="200">
        <f>+E34+'16'!J57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45:B45"/>
    <mergeCell ref="A46:B46"/>
    <mergeCell ref="A51:B51"/>
    <mergeCell ref="A52:B52"/>
    <mergeCell ref="A53:B53"/>
    <mergeCell ref="A47:B47"/>
    <mergeCell ref="A48:B48"/>
    <mergeCell ref="A49:B49"/>
    <mergeCell ref="A50:B50"/>
    <mergeCell ref="A40:B40"/>
    <mergeCell ref="A41:B41"/>
    <mergeCell ref="A42:B42"/>
    <mergeCell ref="A43:B43"/>
    <mergeCell ref="A44:B44"/>
    <mergeCell ref="A37:B37"/>
    <mergeCell ref="A38:B38"/>
    <mergeCell ref="I24:I31"/>
    <mergeCell ref="A24:A32"/>
    <mergeCell ref="A39:B39"/>
    <mergeCell ref="A7:A14"/>
    <mergeCell ref="I7:I13"/>
    <mergeCell ref="A15:A23"/>
    <mergeCell ref="I15:I22"/>
    <mergeCell ref="A34:B34"/>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topLeftCell="F1" zoomScale="80" zoomScaleNormal="80" workbookViewId="0">
      <selection activeCell="J26" sqref="J2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182</v>
      </c>
    </row>
    <row r="3" spans="1:19" ht="15">
      <c r="A3" s="150"/>
    </row>
    <row r="4" spans="1:19" ht="20.25">
      <c r="A4" s="151" t="s">
        <v>3</v>
      </c>
      <c r="B4" s="152"/>
      <c r="F4" s="153" t="s">
        <v>28</v>
      </c>
      <c r="G4" s="154">
        <v>16</v>
      </c>
      <c r="H4" s="154" t="str">
        <f>+'1'!H4</f>
        <v>.11.25</v>
      </c>
    </row>
    <row r="5" spans="1:19" ht="13.5" thickBot="1">
      <c r="C5" s="155"/>
      <c r="D5" s="155"/>
    </row>
    <row r="6" spans="1:19"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49" t="s">
        <v>386</v>
      </c>
      <c r="O6" s="149">
        <v>800</v>
      </c>
      <c r="P6" s="149">
        <f>+O6-O6*0.23</f>
        <v>616</v>
      </c>
      <c r="Q6" s="149">
        <f>480-147</f>
        <v>333</v>
      </c>
      <c r="R6" s="149">
        <f>+O6*Q6</f>
        <v>266400</v>
      </c>
      <c r="S6" s="149">
        <f>+P6*Q6</f>
        <v>205128</v>
      </c>
    </row>
    <row r="7" spans="1:19" ht="13.5" customHeight="1" thickBot="1">
      <c r="A7" s="767" t="s">
        <v>389</v>
      </c>
      <c r="B7" s="215" t="s">
        <v>387</v>
      </c>
      <c r="C7" s="216">
        <v>1829</v>
      </c>
      <c r="D7" s="217"/>
      <c r="E7" s="218"/>
      <c r="F7" s="227"/>
      <c r="G7" s="228" t="s">
        <v>11</v>
      </c>
      <c r="H7" s="229" t="s">
        <v>384</v>
      </c>
      <c r="I7" s="770" t="s">
        <v>453</v>
      </c>
      <c r="J7" s="214" t="str">
        <f>+'15'!J7</f>
        <v>F 12 VP OW</v>
      </c>
      <c r="K7" s="237">
        <f>+C34</f>
        <v>22441</v>
      </c>
      <c r="L7" s="241"/>
      <c r="M7" s="117">
        <f>+K7+'15'!M7+L7</f>
        <v>22441</v>
      </c>
      <c r="P7" s="149">
        <f>+O7-O7*0.23</f>
        <v>0</v>
      </c>
      <c r="R7" s="149">
        <f>+O7*Q7</f>
        <v>0</v>
      </c>
      <c r="S7" s="149">
        <f>+P7*Q7</f>
        <v>0</v>
      </c>
    </row>
    <row r="8" spans="1:19" ht="13.5" thickBot="1">
      <c r="A8" s="768"/>
      <c r="B8" s="215"/>
      <c r="C8" s="216"/>
      <c r="D8" s="217"/>
      <c r="E8" s="219"/>
      <c r="F8" s="230">
        <v>2</v>
      </c>
      <c r="G8" s="231" t="s">
        <v>11</v>
      </c>
      <c r="H8" s="229" t="s">
        <v>455</v>
      </c>
      <c r="I8" s="771"/>
      <c r="J8" s="214">
        <f>+'15'!J8</f>
        <v>0</v>
      </c>
      <c r="K8" s="238"/>
      <c r="L8" s="238"/>
      <c r="M8" s="117">
        <f>+K8+'15'!M8+L8</f>
        <v>0</v>
      </c>
      <c r="P8" s="149">
        <f>+O8-O8*0.23</f>
        <v>0</v>
      </c>
      <c r="R8" s="149">
        <f>+O8*Q8</f>
        <v>0</v>
      </c>
      <c r="S8" s="149">
        <f>+P8*Q8</f>
        <v>0</v>
      </c>
    </row>
    <row r="9" spans="1:19" ht="13.5" thickBot="1">
      <c r="A9" s="768"/>
      <c r="B9" s="215"/>
      <c r="C9" s="216"/>
      <c r="D9" s="217"/>
      <c r="E9" s="220"/>
      <c r="F9" s="227">
        <v>5</v>
      </c>
      <c r="G9" s="231" t="s">
        <v>11</v>
      </c>
      <c r="H9" s="232" t="s">
        <v>456</v>
      </c>
      <c r="I9" s="771"/>
      <c r="J9" s="214">
        <f>+'15'!J9</f>
        <v>0</v>
      </c>
      <c r="K9" s="238"/>
      <c r="L9" s="238"/>
      <c r="M9" s="117">
        <f>+K9+'15'!M9+L9</f>
        <v>0</v>
      </c>
    </row>
    <row r="10" spans="1:19" ht="51.75" thickBot="1">
      <c r="A10" s="768"/>
      <c r="B10" s="215"/>
      <c r="C10" s="216"/>
      <c r="D10" s="217"/>
      <c r="E10" s="219"/>
      <c r="F10" s="227">
        <v>150</v>
      </c>
      <c r="G10" s="231" t="s">
        <v>19</v>
      </c>
      <c r="H10" s="232" t="s">
        <v>446</v>
      </c>
      <c r="I10" s="771"/>
      <c r="J10" s="214">
        <f>+'15'!J10</f>
        <v>0</v>
      </c>
      <c r="K10" s="238"/>
      <c r="L10" s="238"/>
      <c r="M10" s="117">
        <f>+K10+'15'!M10+L10</f>
        <v>0</v>
      </c>
    </row>
    <row r="11" spans="1:19" ht="26.25" thickBot="1">
      <c r="A11" s="768"/>
      <c r="B11" s="215"/>
      <c r="C11" s="216"/>
      <c r="D11" s="217"/>
      <c r="E11" s="219"/>
      <c r="F11" s="227"/>
      <c r="G11" s="231"/>
      <c r="H11" s="232" t="s">
        <v>447</v>
      </c>
      <c r="I11" s="771"/>
      <c r="J11" s="214">
        <f>+'15'!J11</f>
        <v>0</v>
      </c>
      <c r="K11" s="238"/>
      <c r="L11" s="238"/>
      <c r="M11" s="117">
        <f>+K11+'15'!M11+L11</f>
        <v>0</v>
      </c>
    </row>
    <row r="12" spans="1:19" ht="13.5" thickBot="1">
      <c r="A12" s="768"/>
      <c r="B12" s="215"/>
      <c r="C12" s="216"/>
      <c r="D12" s="217"/>
      <c r="E12" s="219"/>
      <c r="F12" s="227"/>
      <c r="G12" s="231"/>
      <c r="H12" s="232"/>
      <c r="I12" s="771"/>
      <c r="J12" s="214">
        <f>+'15'!J12</f>
        <v>0</v>
      </c>
      <c r="K12" s="238"/>
      <c r="L12" s="238"/>
      <c r="M12" s="117">
        <f>+K12+'15'!M12+L12</f>
        <v>0</v>
      </c>
    </row>
    <row r="13" spans="1:19" ht="13.5" thickBot="1">
      <c r="A13" s="768"/>
      <c r="B13" s="215"/>
      <c r="C13" s="216"/>
      <c r="D13" s="216"/>
      <c r="E13" s="219"/>
      <c r="F13" s="227"/>
      <c r="G13" s="231"/>
      <c r="H13" s="232"/>
      <c r="I13" s="772"/>
      <c r="J13" s="214">
        <f>+'15'!J13</f>
        <v>0</v>
      </c>
      <c r="K13" s="238"/>
      <c r="L13" s="238"/>
      <c r="M13" s="117">
        <f>+K13+'15'!M13+L13</f>
        <v>0</v>
      </c>
    </row>
    <row r="14" spans="1:19" ht="13.5" thickBot="1">
      <c r="A14" s="769"/>
      <c r="B14" s="165" t="s">
        <v>2</v>
      </c>
      <c r="C14" s="99">
        <f>SUM(C7:C13)</f>
        <v>1829</v>
      </c>
      <c r="D14" s="111">
        <f>SUM(D7:D13)</f>
        <v>0</v>
      </c>
      <c r="E14" s="112">
        <f>SUM(E5:E13)</f>
        <v>0</v>
      </c>
      <c r="F14" s="116">
        <f>SUM(F7:F13)</f>
        <v>157</v>
      </c>
      <c r="G14" s="159"/>
      <c r="H14" s="166"/>
      <c r="I14" s="167"/>
      <c r="J14" s="214">
        <f>+'15'!J14</f>
        <v>0</v>
      </c>
      <c r="K14" s="238"/>
      <c r="L14" s="238"/>
      <c r="M14" s="117">
        <f>+K14+'15'!M14+L14</f>
        <v>0</v>
      </c>
    </row>
    <row r="15" spans="1:19" ht="13.5" customHeight="1" thickBot="1">
      <c r="A15" s="767" t="s">
        <v>410</v>
      </c>
      <c r="B15" s="165"/>
      <c r="C15" s="113">
        <f>C14/($C$23+$D$23+$E$23)</f>
        <v>0.18275379696243005</v>
      </c>
      <c r="D15" s="114">
        <f>D14/($C$23+$D$23+$E$23)</f>
        <v>0</v>
      </c>
      <c r="E15" s="115">
        <f>E14/($C$23+$D$23+$E$23)</f>
        <v>0</v>
      </c>
      <c r="F15" s="227"/>
      <c r="G15" s="228" t="s">
        <v>11</v>
      </c>
      <c r="H15" s="229" t="s">
        <v>384</v>
      </c>
      <c r="I15" s="770" t="s">
        <v>452</v>
      </c>
      <c r="J15" s="214">
        <f>+'15'!J15</f>
        <v>0</v>
      </c>
      <c r="K15" s="238"/>
      <c r="L15" s="238"/>
      <c r="M15" s="117">
        <f>+K15+'15'!M15+L15</f>
        <v>0</v>
      </c>
    </row>
    <row r="16" spans="1:19" ht="13.5" thickBot="1">
      <c r="A16" s="773"/>
      <c r="B16" s="215" t="s">
        <v>387</v>
      </c>
      <c r="C16" s="221">
        <v>10008</v>
      </c>
      <c r="D16" s="222"/>
      <c r="E16" s="223"/>
      <c r="F16" s="230">
        <v>10</v>
      </c>
      <c r="G16" s="231" t="s">
        <v>11</v>
      </c>
      <c r="H16" s="229" t="s">
        <v>457</v>
      </c>
      <c r="I16" s="771"/>
      <c r="J16" s="214">
        <f>+'15'!J16</f>
        <v>0</v>
      </c>
      <c r="K16" s="228"/>
      <c r="L16" s="228"/>
      <c r="M16" s="117">
        <f>+K16+'15'!M16+L16</f>
        <v>0</v>
      </c>
      <c r="Q16" s="149">
        <f>SUM(Q6:Q14)</f>
        <v>333</v>
      </c>
      <c r="R16" s="149">
        <f>SUM(R6:R14)</f>
        <v>266400</v>
      </c>
      <c r="S16" s="149">
        <f>SUM(S6:S14)</f>
        <v>205128</v>
      </c>
    </row>
    <row r="17" spans="1:19" ht="13.5" thickBot="1">
      <c r="A17" s="773"/>
      <c r="B17" s="215"/>
      <c r="C17" s="216"/>
      <c r="D17" s="217"/>
      <c r="E17" s="224"/>
      <c r="F17" s="227">
        <v>12</v>
      </c>
      <c r="G17" s="231" t="s">
        <v>11</v>
      </c>
      <c r="H17" s="232" t="s">
        <v>458</v>
      </c>
      <c r="I17" s="771"/>
      <c r="J17" s="214">
        <f>+'15'!J17</f>
        <v>0</v>
      </c>
      <c r="K17" s="228"/>
      <c r="L17" s="228"/>
      <c r="M17" s="117">
        <f>+K17+'15'!M17+L17</f>
        <v>0</v>
      </c>
      <c r="Q17" s="149">
        <f>480-Q16</f>
        <v>147</v>
      </c>
      <c r="R17" s="149">
        <f>+R16/Q16</f>
        <v>800</v>
      </c>
      <c r="S17" s="149">
        <f>+S16/Q16</f>
        <v>616</v>
      </c>
    </row>
    <row r="18" spans="1:19" ht="39" thickBot="1">
      <c r="A18" s="773"/>
      <c r="B18" s="215"/>
      <c r="C18" s="216"/>
      <c r="D18" s="217"/>
      <c r="E18" s="224"/>
      <c r="F18" s="227"/>
      <c r="G18" s="236" t="s">
        <v>12</v>
      </c>
      <c r="H18" s="232" t="s">
        <v>444</v>
      </c>
      <c r="I18" s="771"/>
      <c r="J18" s="214">
        <f>+'15'!J18</f>
        <v>0</v>
      </c>
      <c r="K18" s="238"/>
      <c r="L18" s="238"/>
      <c r="M18" s="117">
        <f>+K18+'15'!M18+L18</f>
        <v>0</v>
      </c>
      <c r="N18" s="149" t="s">
        <v>386</v>
      </c>
      <c r="O18" s="149">
        <v>850</v>
      </c>
      <c r="P18" s="149">
        <f>+O18-O18*0.23</f>
        <v>654.5</v>
      </c>
      <c r="Q18" s="149">
        <v>480</v>
      </c>
      <c r="R18" s="149">
        <f>+O18*Q18</f>
        <v>408000</v>
      </c>
      <c r="S18" s="149">
        <f>+P18*Q18</f>
        <v>314160</v>
      </c>
    </row>
    <row r="19" spans="1:19" ht="77.25" thickBot="1">
      <c r="A19" s="773"/>
      <c r="B19" s="215"/>
      <c r="C19" s="216"/>
      <c r="D19" s="217"/>
      <c r="E19" s="224"/>
      <c r="F19" s="234"/>
      <c r="G19" s="231"/>
      <c r="H19" s="232" t="s">
        <v>445</v>
      </c>
      <c r="I19" s="771"/>
      <c r="J19" s="214">
        <f>+'15'!J19</f>
        <v>0</v>
      </c>
      <c r="K19" s="238"/>
      <c r="L19" s="238"/>
      <c r="M19" s="117">
        <f>+K19+'15'!M19+L19</f>
        <v>0</v>
      </c>
      <c r="P19" s="149">
        <f>+O19-O19*0.23</f>
        <v>0</v>
      </c>
      <c r="R19" s="149">
        <f>+O19*Q19</f>
        <v>0</v>
      </c>
      <c r="S19" s="149">
        <f>+P19*Q19</f>
        <v>0</v>
      </c>
    </row>
    <row r="20" spans="1:19" ht="13.5" thickBot="1">
      <c r="A20" s="773"/>
      <c r="B20" s="215"/>
      <c r="C20" s="216"/>
      <c r="D20" s="217"/>
      <c r="E20" s="224"/>
      <c r="F20" s="227"/>
      <c r="G20" s="231"/>
      <c r="H20" s="232"/>
      <c r="I20" s="771"/>
      <c r="J20" s="214">
        <f>+'15'!J20</f>
        <v>0</v>
      </c>
      <c r="K20" s="239"/>
      <c r="L20" s="239"/>
      <c r="M20" s="117">
        <f>+K20+'15'!M20+L20</f>
        <v>0</v>
      </c>
      <c r="P20" s="149">
        <f>+O20-O20*0.23</f>
        <v>0</v>
      </c>
      <c r="R20" s="149">
        <f>+O20*Q20</f>
        <v>0</v>
      </c>
      <c r="S20" s="149">
        <f>+P20*Q20</f>
        <v>0</v>
      </c>
    </row>
    <row r="21" spans="1:19" ht="13.5" thickBot="1">
      <c r="A21" s="773"/>
      <c r="B21" s="215"/>
      <c r="C21" s="216"/>
      <c r="D21" s="217"/>
      <c r="E21" s="224"/>
      <c r="F21" s="230"/>
      <c r="G21" s="231"/>
      <c r="H21" s="232"/>
      <c r="I21" s="771"/>
      <c r="J21" s="214">
        <f>+'15'!J21</f>
        <v>0</v>
      </c>
      <c r="K21" s="238"/>
      <c r="L21" s="238"/>
      <c r="M21" s="117">
        <f>+K21+'15'!M21+L21</f>
        <v>0</v>
      </c>
    </row>
    <row r="22" spans="1:19" ht="13.5" thickBot="1">
      <c r="A22" s="773"/>
      <c r="B22" s="215"/>
      <c r="C22" s="216"/>
      <c r="D22" s="217"/>
      <c r="E22" s="224"/>
      <c r="F22" s="235"/>
      <c r="G22" s="231"/>
      <c r="H22" s="232"/>
      <c r="I22" s="772"/>
      <c r="J22" s="214">
        <f>+'15'!J22</f>
        <v>0</v>
      </c>
      <c r="K22" s="238"/>
      <c r="L22" s="238"/>
      <c r="M22" s="117">
        <f>+K22+'15'!M22+L22</f>
        <v>0</v>
      </c>
    </row>
    <row r="23" spans="1:19" ht="13.5" thickBot="1">
      <c r="A23" s="774"/>
      <c r="B23" s="168" t="s">
        <v>2</v>
      </c>
      <c r="C23" s="100">
        <f>SUM(C16:C22)</f>
        <v>10008</v>
      </c>
      <c r="D23" s="111">
        <f>SUM(D16:D22)</f>
        <v>0</v>
      </c>
      <c r="E23" s="112">
        <f>SUM(E18:E22)</f>
        <v>0</v>
      </c>
      <c r="F23" s="116">
        <f>SUM(F15:F22)</f>
        <v>22</v>
      </c>
      <c r="G23" s="159"/>
      <c r="H23" s="166"/>
      <c r="I23" s="169"/>
      <c r="J23" s="214">
        <f>+'15'!J23</f>
        <v>0</v>
      </c>
      <c r="K23" s="238"/>
      <c r="L23" s="238"/>
      <c r="M23" s="117">
        <f>+K23+'15'!M23+L23</f>
        <v>0</v>
      </c>
    </row>
    <row r="24" spans="1:19" ht="13.5" customHeight="1" thickBot="1">
      <c r="A24" s="767" t="s">
        <v>388</v>
      </c>
      <c r="B24" s="170"/>
      <c r="C24" s="113">
        <f>C23/($C$23+$D$23+$E$23)</f>
        <v>1</v>
      </c>
      <c r="D24" s="114">
        <f>D23/($C$23+$D$23+$E$23)</f>
        <v>0</v>
      </c>
      <c r="E24" s="115">
        <f>E23/($C$23+$D$23+$E$23)</f>
        <v>0</v>
      </c>
      <c r="F24" s="227">
        <v>9</v>
      </c>
      <c r="G24" s="228" t="s">
        <v>11</v>
      </c>
      <c r="H24" s="229" t="s">
        <v>460</v>
      </c>
      <c r="I24" s="770" t="s">
        <v>451</v>
      </c>
      <c r="J24" s="214">
        <f>+'15'!J24</f>
        <v>0</v>
      </c>
      <c r="K24" s="238"/>
      <c r="L24" s="238"/>
      <c r="M24" s="117">
        <f>+K24+'15'!M24+L24</f>
        <v>0</v>
      </c>
    </row>
    <row r="25" spans="1:19" ht="13.5" thickBot="1">
      <c r="A25" s="773"/>
      <c r="B25" s="215" t="s">
        <v>387</v>
      </c>
      <c r="C25" s="225">
        <v>10604</v>
      </c>
      <c r="D25" s="217"/>
      <c r="E25" s="224"/>
      <c r="F25" s="230"/>
      <c r="G25" s="231" t="s">
        <v>11</v>
      </c>
      <c r="H25" s="229" t="s">
        <v>282</v>
      </c>
      <c r="I25" s="771"/>
      <c r="J25" s="214">
        <f>+'15'!J25</f>
        <v>0</v>
      </c>
      <c r="K25" s="238"/>
      <c r="L25" s="238"/>
      <c r="M25" s="117">
        <f>+K25+'15'!M25+L25</f>
        <v>0</v>
      </c>
    </row>
    <row r="26" spans="1:19" ht="13.5" thickBot="1">
      <c r="A26" s="773"/>
      <c r="B26" s="215"/>
      <c r="C26" s="225"/>
      <c r="D26" s="217"/>
      <c r="E26" s="226"/>
      <c r="F26" s="227">
        <f>27-9</f>
        <v>18</v>
      </c>
      <c r="G26" s="231" t="s">
        <v>11</v>
      </c>
      <c r="H26" s="232" t="s">
        <v>459</v>
      </c>
      <c r="I26" s="771"/>
      <c r="J26" s="214">
        <f>+'15'!J26</f>
        <v>0</v>
      </c>
      <c r="K26" s="238"/>
      <c r="L26" s="238"/>
      <c r="M26" s="117">
        <f>+K26+'15'!M26+L26</f>
        <v>0</v>
      </c>
    </row>
    <row r="27" spans="1:19" ht="26.25" thickBot="1">
      <c r="A27" s="773"/>
      <c r="B27" s="215"/>
      <c r="C27" s="216"/>
      <c r="D27" s="217"/>
      <c r="E27" s="224"/>
      <c r="F27" s="227"/>
      <c r="G27" s="236" t="s">
        <v>12</v>
      </c>
      <c r="H27" s="232" t="s">
        <v>442</v>
      </c>
      <c r="I27" s="771"/>
      <c r="J27" s="214">
        <f>+'15'!J27</f>
        <v>0</v>
      </c>
      <c r="K27" s="238"/>
      <c r="L27" s="238"/>
      <c r="M27" s="117">
        <f>+K27+'15'!M27+L27</f>
        <v>0</v>
      </c>
    </row>
    <row r="28" spans="1:19" ht="51.75" thickBot="1">
      <c r="A28" s="773"/>
      <c r="B28" s="215"/>
      <c r="C28" s="216"/>
      <c r="D28" s="217"/>
      <c r="E28" s="224"/>
      <c r="F28" s="230"/>
      <c r="G28" s="231"/>
      <c r="H28" s="232" t="s">
        <v>443</v>
      </c>
      <c r="I28" s="771"/>
      <c r="J28" s="214">
        <f>+'15'!J28</f>
        <v>0</v>
      </c>
      <c r="K28" s="238"/>
      <c r="L28" s="238"/>
      <c r="M28" s="117">
        <f>+K28+'15'!M28+L28</f>
        <v>0</v>
      </c>
      <c r="Q28" s="149">
        <f>SUM(Q18:Q26)</f>
        <v>480</v>
      </c>
      <c r="R28" s="149">
        <f>SUM(R18:R26)</f>
        <v>408000</v>
      </c>
      <c r="S28" s="149">
        <f>SUM(S18:S26)</f>
        <v>314160</v>
      </c>
    </row>
    <row r="29" spans="1:19" ht="13.5" thickBot="1">
      <c r="A29" s="773"/>
      <c r="B29" s="215"/>
      <c r="C29" s="216"/>
      <c r="D29" s="217"/>
      <c r="E29" s="224"/>
      <c r="F29" s="235"/>
      <c r="G29" s="231"/>
      <c r="H29" s="232"/>
      <c r="I29" s="771"/>
      <c r="J29" s="214">
        <f>+'15'!J29</f>
        <v>0</v>
      </c>
      <c r="K29" s="238"/>
      <c r="L29" s="238"/>
      <c r="M29" s="117">
        <f>+K29+'15'!M29+L29</f>
        <v>0</v>
      </c>
      <c r="Q29" s="149">
        <f>480-Q28</f>
        <v>0</v>
      </c>
      <c r="R29" s="149">
        <f>+R28/Q28</f>
        <v>850</v>
      </c>
      <c r="S29" s="149">
        <f>+S28/Q28</f>
        <v>654.5</v>
      </c>
    </row>
    <row r="30" spans="1:19" ht="13.5" thickBot="1">
      <c r="A30" s="773"/>
      <c r="B30" s="215"/>
      <c r="C30" s="225"/>
      <c r="D30" s="217"/>
      <c r="E30" s="224"/>
      <c r="F30" s="235"/>
      <c r="G30" s="231"/>
      <c r="H30" s="232"/>
      <c r="I30" s="771"/>
      <c r="J30" s="214">
        <f>+'15'!J30</f>
        <v>0</v>
      </c>
      <c r="K30" s="238"/>
      <c r="L30" s="238"/>
      <c r="M30" s="117">
        <f>+K30+'15'!M30+L30</f>
        <v>0</v>
      </c>
    </row>
    <row r="31" spans="1:19" ht="13.5" thickBot="1">
      <c r="A31" s="773"/>
      <c r="B31" s="215"/>
      <c r="C31" s="225"/>
      <c r="D31" s="217"/>
      <c r="E31" s="224"/>
      <c r="F31" s="235"/>
      <c r="G31" s="236"/>
      <c r="H31" s="444"/>
      <c r="I31" s="772"/>
      <c r="J31" s="214">
        <f>+'15'!J31</f>
        <v>0</v>
      </c>
      <c r="K31" s="238"/>
      <c r="L31" s="238"/>
      <c r="M31" s="117">
        <f>+K31+'15'!M31+L31</f>
        <v>0</v>
      </c>
      <c r="N31" s="149" t="s">
        <v>386</v>
      </c>
      <c r="O31" s="149">
        <v>900</v>
      </c>
      <c r="P31" s="149">
        <f>+O31-O31*0.23</f>
        <v>693</v>
      </c>
      <c r="Q31" s="149">
        <v>480</v>
      </c>
      <c r="R31" s="149">
        <f>+O31*Q31</f>
        <v>432000</v>
      </c>
      <c r="S31" s="149">
        <f>+P31*Q31</f>
        <v>332640</v>
      </c>
    </row>
    <row r="32" spans="1:19" ht="13.5" thickBot="1">
      <c r="A32" s="774"/>
      <c r="B32" s="165" t="s">
        <v>2</v>
      </c>
      <c r="C32" s="99">
        <f>SUM(C25:C31)</f>
        <v>10604</v>
      </c>
      <c r="D32" s="100">
        <f>SUM(D25:D31)</f>
        <v>0</v>
      </c>
      <c r="E32" s="101">
        <f>SUM(E25:E31)</f>
        <v>0</v>
      </c>
      <c r="F32" s="102">
        <f>SUM(F24:F31)</f>
        <v>27</v>
      </c>
      <c r="G32" s="171"/>
      <c r="H32" s="172"/>
      <c r="I32" s="169"/>
      <c r="J32" s="214">
        <f>+'15'!J32</f>
        <v>0</v>
      </c>
      <c r="K32" s="240"/>
      <c r="L32" s="242"/>
      <c r="M32" s="117">
        <f>+K32+'15'!M32+L32</f>
        <v>0</v>
      </c>
      <c r="P32" s="149">
        <f>+O32-O32*0.23</f>
        <v>0</v>
      </c>
      <c r="R32" s="149">
        <f>+O32*Q32</f>
        <v>0</v>
      </c>
      <c r="S32" s="149">
        <f>+P32*Q32</f>
        <v>0</v>
      </c>
    </row>
    <row r="33" spans="1:19" ht="13.5" thickBot="1">
      <c r="A33" s="173"/>
      <c r="B33" s="174"/>
      <c r="C33" s="103">
        <f>C32/($C$32+$D$32+$E$32)</f>
        <v>1</v>
      </c>
      <c r="D33" s="104">
        <f>D32/($C$32+$D$32+$E$32)</f>
        <v>0</v>
      </c>
      <c r="E33" s="105">
        <f>E32/($C$32+$D$32+$E$32)</f>
        <v>0</v>
      </c>
      <c r="F33" s="106"/>
      <c r="G33" s="175"/>
      <c r="H33" s="176"/>
      <c r="I33" s="177"/>
      <c r="J33" s="121"/>
      <c r="K33" s="122"/>
      <c r="L33" s="213"/>
      <c r="M33" s="119"/>
      <c r="P33" s="149">
        <f>+O33-O33*0.23</f>
        <v>0</v>
      </c>
      <c r="R33" s="149">
        <f>+O33*Q33</f>
        <v>0</v>
      </c>
      <c r="S33" s="149">
        <f>+P33*Q33</f>
        <v>0</v>
      </c>
    </row>
    <row r="34" spans="1:19" ht="13.5" thickBot="1">
      <c r="A34" s="775" t="s">
        <v>57</v>
      </c>
      <c r="B34" s="776"/>
      <c r="C34" s="107">
        <f>C14+C23+C32</f>
        <v>22441</v>
      </c>
      <c r="D34" s="107">
        <f>D14+D23+D32</f>
        <v>0</v>
      </c>
      <c r="E34" s="107">
        <f>E14+E23+E32</f>
        <v>0</v>
      </c>
      <c r="F34" s="108">
        <f>F14+F23+F32</f>
        <v>206</v>
      </c>
      <c r="H34" s="178"/>
      <c r="I34" s="178"/>
      <c r="J34" s="123" t="s">
        <v>27</v>
      </c>
      <c r="K34" s="124">
        <f>SUM(K7:K32)</f>
        <v>22441</v>
      </c>
      <c r="L34" s="212">
        <f>SUM(L7:L32)</f>
        <v>0</v>
      </c>
      <c r="M34" s="120">
        <f>SUM(M7:M32)</f>
        <v>22441</v>
      </c>
    </row>
    <row r="35" spans="1:19" ht="13.5" thickBot="1">
      <c r="A35" s="179"/>
      <c r="B35" s="180"/>
      <c r="C35" s="104">
        <f>C34/($C$34+$D$34+$E$34)</f>
        <v>1</v>
      </c>
      <c r="D35" s="104">
        <f>D34/($C$34+$D$34+$E$34)</f>
        <v>0</v>
      </c>
      <c r="E35" s="109">
        <f>E34/($C$34+$D$34+$E$34)</f>
        <v>0</v>
      </c>
      <c r="K35" s="155"/>
    </row>
    <row r="36" spans="1:19" ht="13.5" thickBot="1">
      <c r="A36" s="178"/>
      <c r="B36" s="178"/>
      <c r="C36" s="155"/>
      <c r="D36" s="155"/>
      <c r="E36" s="155"/>
      <c r="G36" s="155"/>
      <c r="H36" s="181"/>
      <c r="I36" s="162" t="s">
        <v>36</v>
      </c>
      <c r="J36" s="162" t="s">
        <v>37</v>
      </c>
      <c r="K36" s="182"/>
    </row>
    <row r="37" spans="1:19" ht="17.45" customHeight="1" thickBot="1">
      <c r="A37" s="777" t="s">
        <v>58</v>
      </c>
      <c r="B37" s="778"/>
      <c r="C37" s="162" t="s">
        <v>59</v>
      </c>
      <c r="D37" s="183" t="s">
        <v>60</v>
      </c>
      <c r="E37" s="184" t="s">
        <v>61</v>
      </c>
      <c r="F37" s="321"/>
      <c r="G37" s="323"/>
      <c r="H37" s="186" t="s">
        <v>62</v>
      </c>
      <c r="I37" s="243">
        <f>(12*1293)/1293*G42*2.74*1293/1000000</f>
        <v>28.01139264</v>
      </c>
      <c r="J37" s="125">
        <f>+I37+'15'!J37</f>
        <v>28.01139264</v>
      </c>
      <c r="K37" s="126" t="s">
        <v>63</v>
      </c>
    </row>
    <row r="38" spans="1:19" ht="17.45" customHeight="1">
      <c r="A38" s="779" t="s">
        <v>11</v>
      </c>
      <c r="B38" s="780"/>
      <c r="C38" s="164">
        <f>SUMIF($G$7:$G$31,"Process",$F$7:$F$31)</f>
        <v>56</v>
      </c>
      <c r="D38" s="118">
        <f>+C38+'15'!D38</f>
        <v>56</v>
      </c>
      <c r="E38" s="143">
        <f t="shared" ref="E38:E51" si="0">D38/60</f>
        <v>0.93333333333333335</v>
      </c>
      <c r="F38" s="321">
        <v>800</v>
      </c>
      <c r="G38" s="321">
        <v>616</v>
      </c>
      <c r="H38" s="187" t="s">
        <v>64</v>
      </c>
      <c r="I38" s="244">
        <f>5.474+9.097+10.246</f>
        <v>24.817</v>
      </c>
      <c r="J38" s="127">
        <f>+I38+'15'!J38</f>
        <v>24.817</v>
      </c>
      <c r="K38" s="128" t="s">
        <v>63</v>
      </c>
    </row>
    <row r="39" spans="1:19" ht="17.45" customHeight="1">
      <c r="A39" s="781" t="s">
        <v>12</v>
      </c>
      <c r="B39" s="782"/>
      <c r="C39" s="164">
        <f>SUMIF($G$7:$G$31,"Cleaning",$F$7:$F$31)</f>
        <v>0</v>
      </c>
      <c r="D39" s="118">
        <f>+C39+'15'!D39</f>
        <v>0</v>
      </c>
      <c r="E39" s="143">
        <f t="shared" si="0"/>
        <v>0</v>
      </c>
      <c r="F39" s="321">
        <v>850</v>
      </c>
      <c r="G39" s="321">
        <v>654.5</v>
      </c>
      <c r="H39" s="187" t="s">
        <v>65</v>
      </c>
      <c r="I39" s="142"/>
      <c r="J39" s="129">
        <f>J37/G4</f>
        <v>1.75071204</v>
      </c>
      <c r="K39" s="130" t="s">
        <v>63</v>
      </c>
    </row>
    <row r="40" spans="1:19" ht="17.45" customHeight="1">
      <c r="A40" s="781" t="s">
        <v>66</v>
      </c>
      <c r="B40" s="782"/>
      <c r="C40" s="164">
        <f>SUMIF($G$7:$G$31,"Mechanical",$F$7:$F$31)</f>
        <v>0</v>
      </c>
      <c r="D40" s="118">
        <f>+C40+'15'!D40</f>
        <v>0</v>
      </c>
      <c r="E40" s="143">
        <f t="shared" si="0"/>
        <v>0</v>
      </c>
      <c r="F40" s="321">
        <v>900</v>
      </c>
      <c r="G40" s="321">
        <v>693</v>
      </c>
      <c r="H40" s="187" t="s">
        <v>67</v>
      </c>
      <c r="I40" s="118">
        <f>(K34+L34)/1000</f>
        <v>22.440999999999999</v>
      </c>
      <c r="J40" s="131">
        <f>+I40+'15'!J40</f>
        <v>22.440999999999999</v>
      </c>
      <c r="K40" s="130" t="s">
        <v>63</v>
      </c>
    </row>
    <row r="41" spans="1:19" ht="17.45" customHeight="1">
      <c r="A41" s="781" t="s">
        <v>68</v>
      </c>
      <c r="B41" s="782"/>
      <c r="C41" s="164">
        <f>SUMIF($G$7:$G$31,"Electrical",$F$7:$F$31)</f>
        <v>0</v>
      </c>
      <c r="D41" s="118">
        <f>+C41+'15'!D41</f>
        <v>0</v>
      </c>
      <c r="E41" s="143">
        <f t="shared" si="0"/>
        <v>0</v>
      </c>
      <c r="F41" s="321"/>
      <c r="G41" s="321"/>
      <c r="H41" s="187" t="s">
        <v>69</v>
      </c>
      <c r="I41" s="142"/>
      <c r="J41" s="129">
        <f>J40/G4</f>
        <v>1.4025624999999999</v>
      </c>
      <c r="K41" s="130" t="s">
        <v>63</v>
      </c>
      <c r="N41" s="149">
        <v>333</v>
      </c>
      <c r="Q41" s="149">
        <f>SUM(Q31:Q39)</f>
        <v>480</v>
      </c>
      <c r="R41" s="149">
        <f>SUM(R31:R39)</f>
        <v>432000</v>
      </c>
      <c r="S41" s="149">
        <f>SUM(S31:S39)</f>
        <v>332640</v>
      </c>
    </row>
    <row r="42" spans="1:19" ht="17.45" customHeight="1">
      <c r="A42" s="781" t="s">
        <v>15</v>
      </c>
      <c r="B42" s="782"/>
      <c r="C42" s="164">
        <f>SUMIF($G$7:$G$31,"Instrument",$F$7:$F$31)</f>
        <v>0</v>
      </c>
      <c r="D42" s="118">
        <f>+C42+'15'!D42</f>
        <v>0</v>
      </c>
      <c r="E42" s="143">
        <f t="shared" si="0"/>
        <v>0</v>
      </c>
      <c r="F42" s="321">
        <f>+(333*F38+480*F39+480*F40)/1293</f>
        <v>855.68445475638055</v>
      </c>
      <c r="G42" s="321">
        <f>+(333*G38+480*G39+480*G40)/1293</f>
        <v>658.87703016241301</v>
      </c>
      <c r="H42" s="187" t="s">
        <v>70</v>
      </c>
      <c r="I42" s="245" t="s">
        <v>454</v>
      </c>
      <c r="J42" s="132"/>
      <c r="K42" s="130" t="s">
        <v>71</v>
      </c>
      <c r="N42" s="149">
        <v>480</v>
      </c>
      <c r="Q42" s="149">
        <f>480-Q41</f>
        <v>0</v>
      </c>
      <c r="R42" s="149">
        <f>+R41/Q41</f>
        <v>900</v>
      </c>
      <c r="S42" s="149">
        <f>+S41/Q41</f>
        <v>693</v>
      </c>
    </row>
    <row r="43" spans="1:19" ht="17.45" customHeight="1">
      <c r="A43" s="781" t="s">
        <v>219</v>
      </c>
      <c r="B43" s="782"/>
      <c r="C43" s="164">
        <f>SUMIF($G$7:$G$31,"Change Grade",$F$7:$F$31)</f>
        <v>0</v>
      </c>
      <c r="D43" s="118">
        <f>+C43+'15'!D43</f>
        <v>0</v>
      </c>
      <c r="E43" s="143">
        <f t="shared" si="0"/>
        <v>0</v>
      </c>
      <c r="F43" s="321"/>
      <c r="G43" s="322"/>
      <c r="H43" s="188" t="s">
        <v>73</v>
      </c>
      <c r="I43" s="118">
        <f>+Report1!Z24</f>
        <v>54.8</v>
      </c>
      <c r="J43" s="133">
        <f>+I43+'15'!J43</f>
        <v>380</v>
      </c>
      <c r="K43" s="130" t="s">
        <v>63</v>
      </c>
      <c r="L43" s="189"/>
      <c r="N43" s="149">
        <v>480</v>
      </c>
    </row>
    <row r="44" spans="1:19" ht="17.45" customHeight="1">
      <c r="A44" s="781" t="s">
        <v>16</v>
      </c>
      <c r="B44" s="782"/>
      <c r="C44" s="164">
        <f>SUMIF($G$7:$G$31,"PLN",$F$7:$F$31)</f>
        <v>0</v>
      </c>
      <c r="D44" s="118">
        <f>+C44+'15'!D44</f>
        <v>0</v>
      </c>
      <c r="E44" s="143">
        <f t="shared" si="0"/>
        <v>0</v>
      </c>
      <c r="F44" s="321"/>
      <c r="G44" s="322"/>
      <c r="H44" s="188" t="s">
        <v>74</v>
      </c>
      <c r="I44" s="118">
        <f>I43/I38</f>
        <v>2.2081637587137846</v>
      </c>
      <c r="J44" s="134">
        <f>J43/J38</f>
        <v>15.312084458234274</v>
      </c>
      <c r="K44" s="130" t="s">
        <v>63</v>
      </c>
      <c r="N44" s="149">
        <f>+N41+N42+N43</f>
        <v>1293</v>
      </c>
    </row>
    <row r="45" spans="1:19" ht="17.45" customHeight="1">
      <c r="A45" s="781" t="s">
        <v>17</v>
      </c>
      <c r="B45" s="782"/>
      <c r="C45" s="164">
        <f>SUMIF($G$7:$G$31,"Boiler",$F$7:$F$31)</f>
        <v>0</v>
      </c>
      <c r="D45" s="118">
        <f>+C45+'15'!D45</f>
        <v>0</v>
      </c>
      <c r="E45" s="143">
        <f t="shared" si="0"/>
        <v>0</v>
      </c>
      <c r="F45" s="321"/>
      <c r="G45" s="324"/>
      <c r="H45" s="188" t="s">
        <v>75</v>
      </c>
      <c r="I45" s="118">
        <f>I43/I40</f>
        <v>2.4419589144868765</v>
      </c>
      <c r="J45" s="134">
        <f>J43/J40</f>
        <v>16.93329174279221</v>
      </c>
      <c r="K45" s="130" t="s">
        <v>63</v>
      </c>
    </row>
    <row r="46" spans="1:19" ht="17.45" customHeight="1">
      <c r="A46" s="781" t="s">
        <v>76</v>
      </c>
      <c r="B46" s="782"/>
      <c r="C46" s="164">
        <f>SUMIF($G$7:$G$31,"Gas",$F$7:$F$31)</f>
        <v>0</v>
      </c>
      <c r="D46" s="118">
        <f>+C46+'15'!D46</f>
        <v>0</v>
      </c>
      <c r="E46" s="143">
        <f t="shared" si="0"/>
        <v>0</v>
      </c>
      <c r="F46" s="321"/>
      <c r="G46" s="322"/>
      <c r="H46" s="188" t="s">
        <v>77</v>
      </c>
      <c r="I46" s="140">
        <f>+SUMIF(Listrik!P23,"&gt;0")</f>
        <v>29484.820000000727</v>
      </c>
      <c r="J46" s="135">
        <f>+I46+'15'!J46</f>
        <v>111401.64000000001</v>
      </c>
      <c r="K46" s="130" t="s">
        <v>78</v>
      </c>
    </row>
    <row r="47" spans="1:19" ht="17.45" customHeight="1">
      <c r="A47" s="781" t="s">
        <v>79</v>
      </c>
      <c r="B47" s="782"/>
      <c r="C47" s="164">
        <f>SUMIF($G$7:$G$31,"Gas",$F$7:$F$31)</f>
        <v>0</v>
      </c>
      <c r="D47" s="118">
        <f>+C47+'15'!D47</f>
        <v>0</v>
      </c>
      <c r="E47" s="143">
        <f t="shared" si="0"/>
        <v>0</v>
      </c>
      <c r="F47" s="321"/>
      <c r="G47" s="322"/>
      <c r="H47" s="188" t="s">
        <v>80</v>
      </c>
      <c r="I47" s="118">
        <f>I46/I38</f>
        <v>1188.089615989069</v>
      </c>
      <c r="J47" s="135">
        <f>J46/J38</f>
        <v>4488.9245275416051</v>
      </c>
      <c r="K47" s="130" t="s">
        <v>23</v>
      </c>
    </row>
    <row r="48" spans="1:19" ht="17.45" customHeight="1">
      <c r="A48" s="781" t="s">
        <v>13</v>
      </c>
      <c r="B48" s="782"/>
      <c r="C48" s="164">
        <f>SUMIF($G$7:$G$31,"Start Up",$F$7:$F$31)</f>
        <v>0</v>
      </c>
      <c r="D48" s="118">
        <f>+C48+'15'!D48</f>
        <v>0</v>
      </c>
      <c r="E48" s="143">
        <f t="shared" si="0"/>
        <v>0</v>
      </c>
      <c r="F48" s="321"/>
      <c r="G48" s="322"/>
      <c r="H48" s="188" t="s">
        <v>81</v>
      </c>
      <c r="I48" s="118">
        <f>I46/I40</f>
        <v>1313.8817343255973</v>
      </c>
      <c r="J48" s="135">
        <f>J46/J40</f>
        <v>4964.2012388039757</v>
      </c>
      <c r="K48" s="130" t="s">
        <v>23</v>
      </c>
    </row>
    <row r="49" spans="1:11" ht="17.45" customHeight="1">
      <c r="A49" s="781" t="s">
        <v>19</v>
      </c>
      <c r="B49" s="782"/>
      <c r="C49" s="164">
        <f>SUMIF($G$7:$G$31,"Others",$F$7:$F$31)</f>
        <v>150</v>
      </c>
      <c r="D49" s="118">
        <f>+C49+'15'!D49</f>
        <v>21270</v>
      </c>
      <c r="E49" s="143">
        <f t="shared" si="0"/>
        <v>354.5</v>
      </c>
      <c r="F49" s="185"/>
      <c r="H49" s="188" t="s">
        <v>267</v>
      </c>
      <c r="I49" s="118">
        <f>+Report1!T24</f>
        <v>2914.2417192598778</v>
      </c>
      <c r="J49" s="135">
        <f>+I49+'15'!J49</f>
        <v>3136.6829190746803</v>
      </c>
      <c r="K49" s="130" t="s">
        <v>82</v>
      </c>
    </row>
    <row r="50" spans="1:11" ht="17.45" customHeight="1">
      <c r="A50" s="781" t="s">
        <v>18</v>
      </c>
      <c r="B50" s="782"/>
      <c r="C50" s="164">
        <f>SUMIF($G$7:$G$31,"Steam",$F$7:$F$31)</f>
        <v>0</v>
      </c>
      <c r="D50" s="118">
        <f>+C50+'15'!D50</f>
        <v>0</v>
      </c>
      <c r="E50" s="143">
        <f t="shared" si="0"/>
        <v>0</v>
      </c>
      <c r="F50" s="185"/>
      <c r="H50" s="188" t="s">
        <v>83</v>
      </c>
      <c r="I50" s="140">
        <f>I49/I38</f>
        <v>117.42925088688712</v>
      </c>
      <c r="J50" s="133">
        <f>J49/J38</f>
        <v>126.39250993571666</v>
      </c>
      <c r="K50" s="130" t="s">
        <v>82</v>
      </c>
    </row>
    <row r="51" spans="1:11" ht="17.45" customHeight="1" thickBot="1">
      <c r="A51" s="783" t="s">
        <v>84</v>
      </c>
      <c r="B51" s="784"/>
      <c r="C51" s="164">
        <f>SUMIF($G$7:$G$31,"Planned shut",$F$7:$F$31)</f>
        <v>0</v>
      </c>
      <c r="D51" s="118">
        <f>+C51+'15'!D51</f>
        <v>0</v>
      </c>
      <c r="E51" s="143">
        <f t="shared" si="0"/>
        <v>0</v>
      </c>
      <c r="F51" s="185"/>
      <c r="H51" s="190" t="s">
        <v>85</v>
      </c>
      <c r="I51" s="141">
        <f>I49/I40</f>
        <v>129.86238221379963</v>
      </c>
      <c r="J51" s="136">
        <f>J49/J40</f>
        <v>139.77464992980171</v>
      </c>
      <c r="K51" s="137" t="s">
        <v>82</v>
      </c>
    </row>
    <row r="52" spans="1:11" ht="13.5" thickBot="1">
      <c r="A52" s="779" t="s">
        <v>27</v>
      </c>
      <c r="B52" s="780"/>
      <c r="C52" s="144">
        <f>SUM(C38:C51)</f>
        <v>206</v>
      </c>
      <c r="D52" s="144">
        <f>SUM(D38:D51)</f>
        <v>21326</v>
      </c>
      <c r="E52" s="145">
        <f>SUM(E38:E51)</f>
        <v>355.43333333333334</v>
      </c>
      <c r="F52" s="185"/>
      <c r="H52" s="191"/>
      <c r="I52" s="192"/>
      <c r="J52" s="138"/>
      <c r="K52" s="139"/>
    </row>
    <row r="53" spans="1:11" ht="13.5" thickBot="1">
      <c r="A53" s="785"/>
      <c r="B53" s="786"/>
      <c r="C53" s="146">
        <f>C52/(24*60)</f>
        <v>0.14305555555555555</v>
      </c>
      <c r="D53" s="146">
        <f>D52/(24*60*G4)</f>
        <v>0.92560763888888886</v>
      </c>
      <c r="E53" s="147">
        <f>E52/(G4*24)</f>
        <v>0.92560763888888886</v>
      </c>
      <c r="F53" s="185"/>
    </row>
    <row r="54" spans="1:11">
      <c r="E54" s="193"/>
      <c r="F54" s="185"/>
    </row>
    <row r="55" spans="1:11">
      <c r="E55" s="193"/>
    </row>
    <row r="56" spans="1:11">
      <c r="A56" s="194" t="s">
        <v>86</v>
      </c>
      <c r="B56" s="195"/>
      <c r="C56" s="196"/>
      <c r="D56" s="196"/>
      <c r="E56" s="196"/>
      <c r="F56" s="197"/>
      <c r="G56" s="196"/>
      <c r="H56" s="198"/>
      <c r="I56" s="199" t="s">
        <v>87</v>
      </c>
      <c r="J56" s="200">
        <f>+D34+'15'!J56</f>
        <v>0</v>
      </c>
      <c r="K56" s="201">
        <f>J56/(J40+J56/1000)/1000</f>
        <v>0</v>
      </c>
    </row>
    <row r="57" spans="1:11">
      <c r="A57" s="176"/>
      <c r="I57" s="199" t="s">
        <v>88</v>
      </c>
      <c r="J57" s="200">
        <f>+E34+'15'!J57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42:B42"/>
    <mergeCell ref="A39:B39"/>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3:B43"/>
    <mergeCell ref="A24:A32"/>
    <mergeCell ref="A34:B34"/>
    <mergeCell ref="A37:B37"/>
    <mergeCell ref="A38:B38"/>
    <mergeCell ref="A41:B41"/>
  </mergeCells>
  <phoneticPr fontId="32" type="noConversion"/>
  <printOptions horizontalCentered="1"/>
  <pageMargins left="0.39027777777777778" right="0.39027777777777778" top="0.39027777777777778" bottom="0.39027777777777778" header="0" footer="0"/>
  <pageSetup paperSize="9" scale="62" firstPageNumber="4294963191"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view="pageBreakPreview" zoomScale="80" zoomScaleNormal="75" zoomScaleSheetLayoutView="80" workbookViewId="0">
      <selection activeCell="B7" sqref="B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15</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+'14'!J7</f>
        <v>F 12 VP OW</v>
      </c>
      <c r="K7" s="237"/>
      <c r="L7" s="241"/>
      <c r="M7" s="117">
        <f>+K7+'14'!M7+L7</f>
        <v>0</v>
      </c>
    </row>
    <row r="8" spans="1:13" ht="13.5" thickBot="1">
      <c r="A8" s="768"/>
      <c r="B8" s="215"/>
      <c r="C8" s="216"/>
      <c r="D8" s="217"/>
      <c r="E8" s="219"/>
      <c r="F8" s="230"/>
      <c r="G8" s="231" t="s">
        <v>11</v>
      </c>
      <c r="H8" s="229" t="s">
        <v>282</v>
      </c>
      <c r="I8" s="771"/>
      <c r="J8" s="214">
        <f>+'14'!J8</f>
        <v>0</v>
      </c>
      <c r="K8" s="238"/>
      <c r="L8" s="238"/>
      <c r="M8" s="117">
        <f>+K8+'14'!M8+L8</f>
        <v>0</v>
      </c>
    </row>
    <row r="9" spans="1:13" ht="13.5" thickBot="1">
      <c r="A9" s="768"/>
      <c r="B9" s="215"/>
      <c r="C9" s="216"/>
      <c r="D9" s="217"/>
      <c r="E9" s="220"/>
      <c r="F9" s="227"/>
      <c r="G9" s="231" t="s">
        <v>11</v>
      </c>
      <c r="H9" s="232" t="s">
        <v>408</v>
      </c>
      <c r="I9" s="771"/>
      <c r="J9" s="214">
        <f>+'14'!J9</f>
        <v>0</v>
      </c>
      <c r="K9" s="238"/>
      <c r="L9" s="238"/>
      <c r="M9" s="117">
        <f>+K9+'14'!M9+L9</f>
        <v>0</v>
      </c>
    </row>
    <row r="10" spans="1:13" ht="128.25" thickBot="1">
      <c r="A10" s="768"/>
      <c r="B10" s="215"/>
      <c r="C10" s="216"/>
      <c r="D10" s="217"/>
      <c r="E10" s="219"/>
      <c r="F10" s="227"/>
      <c r="G10" s="236" t="s">
        <v>12</v>
      </c>
      <c r="H10" s="232" t="s">
        <v>450</v>
      </c>
      <c r="I10" s="771"/>
      <c r="J10" s="214">
        <f>+'14'!J10</f>
        <v>0</v>
      </c>
      <c r="K10" s="238"/>
      <c r="L10" s="238"/>
      <c r="M10" s="117">
        <f>+K10+'14'!M10+L10</f>
        <v>0</v>
      </c>
    </row>
    <row r="11" spans="1:13" ht="13.5" thickBot="1">
      <c r="A11" s="768"/>
      <c r="B11" s="215"/>
      <c r="C11" s="216"/>
      <c r="D11" s="217"/>
      <c r="E11" s="219"/>
      <c r="F11" s="230">
        <v>480</v>
      </c>
      <c r="G11" s="231" t="s">
        <v>19</v>
      </c>
      <c r="H11" s="232"/>
      <c r="I11" s="771"/>
      <c r="J11" s="214">
        <f>+'14'!J11</f>
        <v>0</v>
      </c>
      <c r="K11" s="238"/>
      <c r="L11" s="238"/>
      <c r="M11" s="117">
        <f>+K11+'14'!M11+L11</f>
        <v>0</v>
      </c>
    </row>
    <row r="12" spans="1:13" ht="13.5" thickBot="1">
      <c r="A12" s="768"/>
      <c r="B12" s="215"/>
      <c r="C12" s="216"/>
      <c r="D12" s="217"/>
      <c r="E12" s="219"/>
      <c r="F12" s="227"/>
      <c r="G12" s="231"/>
      <c r="H12" s="232"/>
      <c r="I12" s="771"/>
      <c r="J12" s="214">
        <f>+'14'!J12</f>
        <v>0</v>
      </c>
      <c r="K12" s="238"/>
      <c r="L12" s="238"/>
      <c r="M12" s="117">
        <f>+K12+'14'!M12+L12</f>
        <v>0</v>
      </c>
    </row>
    <row r="13" spans="1:13" ht="13.5" thickBot="1">
      <c r="A13" s="768"/>
      <c r="B13" s="215"/>
      <c r="C13" s="216"/>
      <c r="D13" s="216"/>
      <c r="E13" s="219"/>
      <c r="F13" s="227"/>
      <c r="G13" s="231"/>
      <c r="H13" s="232"/>
      <c r="I13" s="772"/>
      <c r="J13" s="214">
        <f>+'14'!J13</f>
        <v>0</v>
      </c>
      <c r="K13" s="238"/>
      <c r="L13" s="238"/>
      <c r="M13" s="117">
        <f>+K13+'14'!M13+L13</f>
        <v>0</v>
      </c>
    </row>
    <row r="14" spans="1:13" ht="13.5" thickBot="1">
      <c r="A14" s="769"/>
      <c r="B14" s="165" t="s">
        <v>2</v>
      </c>
      <c r="C14" s="99">
        <f>SUM(C7:C13)</f>
        <v>0</v>
      </c>
      <c r="D14" s="111">
        <f>SUM(D7:D13)</f>
        <v>0</v>
      </c>
      <c r="E14" s="112">
        <f>SUM(E5:E13)</f>
        <v>0</v>
      </c>
      <c r="F14" s="116">
        <f>SUM(F7:F13)</f>
        <v>480</v>
      </c>
      <c r="G14" s="159"/>
      <c r="H14" s="166"/>
      <c r="I14" s="167"/>
      <c r="J14" s="214">
        <f>+'14'!J14</f>
        <v>0</v>
      </c>
      <c r="K14" s="238"/>
      <c r="L14" s="238"/>
      <c r="M14" s="117">
        <f>+K14+'14'!M14+L14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+'14'!J15</f>
        <v>0</v>
      </c>
      <c r="K15" s="238"/>
      <c r="L15" s="238"/>
      <c r="M15" s="117">
        <f>+K15+'14'!M15+L15</f>
        <v>0</v>
      </c>
    </row>
    <row r="16" spans="1:13" ht="13.5" thickBot="1">
      <c r="A16" s="773"/>
      <c r="B16" s="215"/>
      <c r="C16" s="221"/>
      <c r="D16" s="222"/>
      <c r="E16" s="223"/>
      <c r="F16" s="230"/>
      <c r="G16" s="231" t="s">
        <v>11</v>
      </c>
      <c r="H16" s="229" t="s">
        <v>282</v>
      </c>
      <c r="I16" s="771"/>
      <c r="J16" s="214">
        <f>+'14'!J16</f>
        <v>0</v>
      </c>
      <c r="K16" s="228"/>
      <c r="L16" s="228"/>
      <c r="M16" s="117">
        <f>+K16+'14'!M16+L16</f>
        <v>0</v>
      </c>
    </row>
    <row r="17" spans="1:13" ht="13.5" thickBot="1">
      <c r="A17" s="773"/>
      <c r="B17" s="215"/>
      <c r="C17" s="216"/>
      <c r="D17" s="217"/>
      <c r="E17" s="224"/>
      <c r="F17" s="227"/>
      <c r="G17" s="231" t="s">
        <v>11</v>
      </c>
      <c r="H17" s="232" t="s">
        <v>408</v>
      </c>
      <c r="I17" s="771"/>
      <c r="J17" s="214">
        <f>+'14'!J17</f>
        <v>0</v>
      </c>
      <c r="K17" s="228"/>
      <c r="L17" s="228"/>
      <c r="M17" s="117">
        <f>+K17+'14'!M17+L17</f>
        <v>0</v>
      </c>
    </row>
    <row r="18" spans="1:13" ht="13.5" thickBot="1">
      <c r="A18" s="773"/>
      <c r="B18" s="215"/>
      <c r="C18" s="216"/>
      <c r="D18" s="217"/>
      <c r="E18" s="224"/>
      <c r="F18" s="227"/>
      <c r="G18" s="236" t="s">
        <v>12</v>
      </c>
      <c r="H18" s="232" t="s">
        <v>414</v>
      </c>
      <c r="I18" s="771"/>
      <c r="J18" s="214">
        <f>+'14'!J18</f>
        <v>0</v>
      </c>
      <c r="K18" s="238"/>
      <c r="L18" s="238"/>
      <c r="M18" s="117">
        <f>+K18+'14'!M18+L18</f>
        <v>0</v>
      </c>
    </row>
    <row r="19" spans="1:13" ht="39" thickBot="1">
      <c r="A19" s="773"/>
      <c r="B19" s="215"/>
      <c r="C19" s="216"/>
      <c r="D19" s="217"/>
      <c r="E19" s="224"/>
      <c r="F19" s="230">
        <v>480</v>
      </c>
      <c r="G19" s="231" t="s">
        <v>19</v>
      </c>
      <c r="H19" s="232" t="s">
        <v>449</v>
      </c>
      <c r="I19" s="771"/>
      <c r="J19" s="214">
        <f>+'14'!J19</f>
        <v>0</v>
      </c>
      <c r="K19" s="238"/>
      <c r="L19" s="238"/>
      <c r="M19" s="117">
        <f>+K19+'14'!M19+L19</f>
        <v>0</v>
      </c>
    </row>
    <row r="20" spans="1:13" ht="13.5" thickBot="1">
      <c r="A20" s="773"/>
      <c r="B20" s="215"/>
      <c r="C20" s="216"/>
      <c r="D20" s="217"/>
      <c r="E20" s="224"/>
      <c r="F20" s="227"/>
      <c r="G20" s="231"/>
      <c r="H20" s="232"/>
      <c r="I20" s="771"/>
      <c r="J20" s="214">
        <f>+'14'!J20</f>
        <v>0</v>
      </c>
      <c r="K20" s="239"/>
      <c r="L20" s="239"/>
      <c r="M20" s="117">
        <f>+K20+'14'!M20+L20</f>
        <v>0</v>
      </c>
    </row>
    <row r="21" spans="1:13" ht="13.5" thickBot="1">
      <c r="A21" s="773"/>
      <c r="B21" s="215"/>
      <c r="C21" s="216"/>
      <c r="D21" s="217"/>
      <c r="E21" s="224"/>
      <c r="F21" s="230"/>
      <c r="G21" s="231"/>
      <c r="H21" s="232"/>
      <c r="I21" s="771"/>
      <c r="J21" s="214">
        <f>+'14'!J21</f>
        <v>0</v>
      </c>
      <c r="K21" s="238"/>
      <c r="L21" s="238"/>
      <c r="M21" s="117">
        <f>+K21+'14'!M21+L21</f>
        <v>0</v>
      </c>
    </row>
    <row r="22" spans="1:13" ht="13.5" thickBot="1">
      <c r="A22" s="773"/>
      <c r="B22" s="215"/>
      <c r="C22" s="216"/>
      <c r="D22" s="217"/>
      <c r="E22" s="224"/>
      <c r="F22" s="235"/>
      <c r="G22" s="231"/>
      <c r="H22" s="232"/>
      <c r="I22" s="772"/>
      <c r="J22" s="214">
        <f>+'14'!J22</f>
        <v>0</v>
      </c>
      <c r="K22" s="238"/>
      <c r="L22" s="238"/>
      <c r="M22" s="117">
        <f>+K22+'14'!M22+L22</f>
        <v>0</v>
      </c>
    </row>
    <row r="23" spans="1:13" ht="13.5" thickBot="1">
      <c r="A23" s="774"/>
      <c r="B23" s="168" t="s">
        <v>2</v>
      </c>
      <c r="C23" s="100">
        <f>SUM(C16:C22)</f>
        <v>0</v>
      </c>
      <c r="D23" s="111">
        <f>SUM(D16:D22)</f>
        <v>0</v>
      </c>
      <c r="E23" s="112">
        <f>SUM(E18:E22)</f>
        <v>0</v>
      </c>
      <c r="F23" s="116">
        <f>SUM(F15:F22)</f>
        <v>480</v>
      </c>
      <c r="G23" s="159"/>
      <c r="H23" s="166"/>
      <c r="I23" s="169"/>
      <c r="J23" s="214">
        <f>+'14'!J23</f>
        <v>0</v>
      </c>
      <c r="K23" s="238"/>
      <c r="L23" s="238"/>
      <c r="M23" s="117">
        <f>+K23+'14'!M23+L23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+'14'!J24</f>
        <v>0</v>
      </c>
      <c r="K24" s="238"/>
      <c r="L24" s="238"/>
      <c r="M24" s="117">
        <f>+K24+'14'!M24+L24</f>
        <v>0</v>
      </c>
    </row>
    <row r="25" spans="1:13" ht="13.5" thickBot="1">
      <c r="A25" s="773"/>
      <c r="B25" s="215"/>
      <c r="C25" s="225"/>
      <c r="D25" s="217"/>
      <c r="E25" s="224"/>
      <c r="F25" s="230"/>
      <c r="G25" s="231" t="s">
        <v>11</v>
      </c>
      <c r="H25" s="229" t="s">
        <v>282</v>
      </c>
      <c r="I25" s="771"/>
      <c r="J25" s="214">
        <f>+'14'!J25</f>
        <v>0</v>
      </c>
      <c r="K25" s="238"/>
      <c r="L25" s="238"/>
      <c r="M25" s="117">
        <f>+K25+'14'!M25+L25</f>
        <v>0</v>
      </c>
    </row>
    <row r="26" spans="1:13" ht="13.5" thickBot="1">
      <c r="A26" s="773"/>
      <c r="B26" s="215"/>
      <c r="C26" s="225"/>
      <c r="D26" s="217"/>
      <c r="E26" s="226"/>
      <c r="F26" s="227"/>
      <c r="G26" s="231" t="s">
        <v>11</v>
      </c>
      <c r="H26" s="232" t="s">
        <v>408</v>
      </c>
      <c r="I26" s="771"/>
      <c r="J26" s="214">
        <f>+'14'!J26</f>
        <v>0</v>
      </c>
      <c r="K26" s="238"/>
      <c r="L26" s="238"/>
      <c r="M26" s="117">
        <f>+K26+'14'!M26+L26</f>
        <v>0</v>
      </c>
    </row>
    <row r="27" spans="1:13" ht="102.75" thickBot="1">
      <c r="A27" s="773"/>
      <c r="B27" s="215"/>
      <c r="C27" s="216"/>
      <c r="D27" s="217"/>
      <c r="E27" s="224"/>
      <c r="F27" s="227"/>
      <c r="G27" s="236" t="s">
        <v>12</v>
      </c>
      <c r="H27" s="232" t="s">
        <v>448</v>
      </c>
      <c r="I27" s="771"/>
      <c r="J27" s="214">
        <f>+'14'!J27</f>
        <v>0</v>
      </c>
      <c r="K27" s="238"/>
      <c r="L27" s="238"/>
      <c r="M27" s="117">
        <f>+K27+'14'!M27+L27</f>
        <v>0</v>
      </c>
    </row>
    <row r="28" spans="1:13" ht="13.5" thickBot="1">
      <c r="A28" s="773"/>
      <c r="B28" s="215"/>
      <c r="C28" s="216"/>
      <c r="D28" s="217"/>
      <c r="E28" s="224"/>
      <c r="F28" s="230">
        <v>480</v>
      </c>
      <c r="G28" s="231" t="s">
        <v>19</v>
      </c>
      <c r="H28" s="232"/>
      <c r="I28" s="771"/>
      <c r="J28" s="214">
        <f>+'14'!J28</f>
        <v>0</v>
      </c>
      <c r="K28" s="238"/>
      <c r="L28" s="238"/>
      <c r="M28" s="117">
        <f>+K28+'14'!M28+L28</f>
        <v>0</v>
      </c>
    </row>
    <row r="29" spans="1:13" ht="13.5" thickBot="1">
      <c r="A29" s="773"/>
      <c r="B29" s="215"/>
      <c r="C29" s="216"/>
      <c r="D29" s="217"/>
      <c r="E29" s="224"/>
      <c r="F29" s="235"/>
      <c r="G29" s="231"/>
      <c r="H29" s="232"/>
      <c r="I29" s="771"/>
      <c r="J29" s="214">
        <f>+'14'!J29</f>
        <v>0</v>
      </c>
      <c r="K29" s="238"/>
      <c r="L29" s="238"/>
      <c r="M29" s="117">
        <f>+K29+'14'!M29+L29</f>
        <v>0</v>
      </c>
    </row>
    <row r="30" spans="1:13" ht="13.5" thickBot="1">
      <c r="A30" s="773"/>
      <c r="B30" s="215"/>
      <c r="C30" s="225"/>
      <c r="D30" s="217"/>
      <c r="E30" s="224"/>
      <c r="F30" s="235"/>
      <c r="G30" s="231"/>
      <c r="H30" s="232"/>
      <c r="I30" s="771"/>
      <c r="J30" s="214">
        <f>+'14'!J30</f>
        <v>0</v>
      </c>
      <c r="K30" s="238"/>
      <c r="L30" s="238"/>
      <c r="M30" s="117">
        <f>+K30+'14'!M30+L30</f>
        <v>0</v>
      </c>
    </row>
    <row r="31" spans="1:13" ht="13.5" thickBot="1">
      <c r="A31" s="773"/>
      <c r="B31" s="215"/>
      <c r="C31" s="225"/>
      <c r="D31" s="217"/>
      <c r="E31" s="224"/>
      <c r="F31" s="235"/>
      <c r="G31" s="236"/>
      <c r="H31" s="444"/>
      <c r="I31" s="772"/>
      <c r="J31" s="214">
        <f>+'14'!J31</f>
        <v>0</v>
      </c>
      <c r="K31" s="238"/>
      <c r="L31" s="238"/>
      <c r="M31" s="117">
        <f>+K31+'14'!M31+L31</f>
        <v>0</v>
      </c>
    </row>
    <row r="32" spans="1:13" ht="13.5" thickBot="1">
      <c r="A32" s="774"/>
      <c r="B32" s="165" t="s">
        <v>2</v>
      </c>
      <c r="C32" s="99">
        <f>SUM(C25:C31)</f>
        <v>0</v>
      </c>
      <c r="D32" s="100">
        <f>SUM(D25:D31)</f>
        <v>0</v>
      </c>
      <c r="E32" s="101">
        <f>SUM(E25:E31)</f>
        <v>0</v>
      </c>
      <c r="F32" s="102">
        <f>SUM(F24:F31)</f>
        <v>480</v>
      </c>
      <c r="G32" s="171"/>
      <c r="H32" s="172"/>
      <c r="I32" s="169"/>
      <c r="J32" s="214">
        <f>+'14'!J32</f>
        <v>0</v>
      </c>
      <c r="K32" s="240"/>
      <c r="L32" s="242"/>
      <c r="M32" s="117">
        <f>+K32+'14'!M32+L32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(12*1121+319*10.3)/1440*G42*2.74*1440/1000000</f>
        <v>0</v>
      </c>
      <c r="J37" s="125">
        <f>+I37+'14'!J37</f>
        <v>0</v>
      </c>
      <c r="K37" s="126" t="s">
        <v>63</v>
      </c>
    </row>
    <row r="38" spans="1:13" ht="17.45" customHeight="1">
      <c r="A38" s="779" t="s">
        <v>11</v>
      </c>
      <c r="B38" s="780"/>
      <c r="C38" s="164">
        <f>SUMIF($G$7:$G$31,"Process",$F$7:$F$31)</f>
        <v>0</v>
      </c>
      <c r="D38" s="118">
        <f>+C38+'14'!D38</f>
        <v>0</v>
      </c>
      <c r="E38" s="143">
        <f t="shared" ref="E38:E51" si="0">D38/60</f>
        <v>0</v>
      </c>
      <c r="F38" s="321"/>
      <c r="G38" s="321"/>
      <c r="H38" s="187" t="s">
        <v>64</v>
      </c>
      <c r="I38" s="244"/>
      <c r="J38" s="127">
        <f>+I38+'14'!J38</f>
        <v>0</v>
      </c>
      <c r="K38" s="128" t="s">
        <v>63</v>
      </c>
    </row>
    <row r="39" spans="1:13" ht="17.45" customHeight="1">
      <c r="A39" s="781" t="s">
        <v>12</v>
      </c>
      <c r="B39" s="782"/>
      <c r="C39" s="164">
        <f>SUMIF($G$7:$G$31,"Cleaning",$F$7:$F$31)</f>
        <v>0</v>
      </c>
      <c r="D39" s="118">
        <f>+C39+'14'!D39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+C40+'14'!D40</f>
        <v>0</v>
      </c>
      <c r="E40" s="143">
        <f t="shared" si="0"/>
        <v>0</v>
      </c>
      <c r="F40" s="321"/>
      <c r="G40" s="321"/>
      <c r="H40" s="187" t="s">
        <v>67</v>
      </c>
      <c r="I40" s="118">
        <f>(K34+L34)/1000</f>
        <v>0</v>
      </c>
      <c r="J40" s="131">
        <f>+I40+'14'!J40</f>
        <v>0</v>
      </c>
      <c r="K40" s="130" t="s">
        <v>63</v>
      </c>
    </row>
    <row r="41" spans="1:13" ht="17.45" customHeight="1">
      <c r="A41" s="781" t="s">
        <v>68</v>
      </c>
      <c r="B41" s="782"/>
      <c r="C41" s="164">
        <f>SUMIF($G$7:$G$31,"Electrical",$F$7:$F$31)</f>
        <v>0</v>
      </c>
      <c r="D41" s="118">
        <f>+C41+'14'!D41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+C42+'14'!D42</f>
        <v>0</v>
      </c>
      <c r="E42" s="143">
        <f t="shared" si="0"/>
        <v>0</v>
      </c>
      <c r="F42" s="321">
        <f>+(F38*480+F39*480+F40*480)/1440</f>
        <v>0</v>
      </c>
      <c r="G42" s="321">
        <f>+(G38*480+G39*480+G40*480)/1440</f>
        <v>0</v>
      </c>
      <c r="H42" s="187" t="s">
        <v>70</v>
      </c>
      <c r="I42" s="245"/>
      <c r="J42" s="132"/>
      <c r="K42" s="130" t="s">
        <v>71</v>
      </c>
    </row>
    <row r="43" spans="1:13" ht="17.45" customHeight="1">
      <c r="A43" s="781" t="s">
        <v>219</v>
      </c>
      <c r="B43" s="782"/>
      <c r="C43" s="164">
        <f>SUMIF($G$7:$G$31,"Change Grade",$F$7:$F$31)</f>
        <v>0</v>
      </c>
      <c r="D43" s="118">
        <f>+C43+'14'!D43</f>
        <v>0</v>
      </c>
      <c r="E43" s="143">
        <f t="shared" si="0"/>
        <v>0</v>
      </c>
      <c r="F43" s="321"/>
      <c r="G43" s="322"/>
      <c r="H43" s="188" t="s">
        <v>73</v>
      </c>
      <c r="I43" s="118">
        <f>+Report1!Z23</f>
        <v>19</v>
      </c>
      <c r="J43" s="133">
        <f>+I43+'14'!J43</f>
        <v>325.2</v>
      </c>
      <c r="K43" s="130" t="s">
        <v>63</v>
      </c>
      <c r="L43" s="189"/>
    </row>
    <row r="44" spans="1:13" ht="17.45" customHeight="1">
      <c r="A44" s="781" t="s">
        <v>16</v>
      </c>
      <c r="B44" s="782"/>
      <c r="C44" s="164">
        <f>SUMIF($G$7:$G$31,"PLN",$F$7:$F$31)</f>
        <v>0</v>
      </c>
      <c r="D44" s="118">
        <f>+C44+'14'!D44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+C45+'14'!D45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+C46+'14'!D46</f>
        <v>0</v>
      </c>
      <c r="E46" s="143">
        <f t="shared" si="0"/>
        <v>0</v>
      </c>
      <c r="F46" s="321"/>
      <c r="G46" s="322"/>
      <c r="H46" s="188" t="s">
        <v>77</v>
      </c>
      <c r="I46" s="140">
        <f>+SUMIF(Listrik!P22,"&gt;0")</f>
        <v>8729.52</v>
      </c>
      <c r="J46" s="135">
        <f>+I46+'14'!J46</f>
        <v>81916.819999999279</v>
      </c>
      <c r="K46" s="130" t="s">
        <v>78</v>
      </c>
    </row>
    <row r="47" spans="1:13" ht="17.45" customHeight="1">
      <c r="A47" s="781" t="s">
        <v>79</v>
      </c>
      <c r="B47" s="782"/>
      <c r="C47" s="164">
        <f>SUMIF($G$7:$G$31,"Gas",$F$7:$F$31)</f>
        <v>0</v>
      </c>
      <c r="D47" s="118">
        <f>+C47+'14'!D47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+C48+'14'!D48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+C49+'14'!D49</f>
        <v>21120</v>
      </c>
      <c r="E49" s="143">
        <f t="shared" si="0"/>
        <v>352</v>
      </c>
      <c r="F49" s="185"/>
      <c r="H49" s="188" t="s">
        <v>267</v>
      </c>
      <c r="I49" s="118">
        <f>+Report1!T23</f>
        <v>222.44119981480253</v>
      </c>
      <c r="J49" s="135">
        <f>+I49+'14'!J49</f>
        <v>222.44119981480253</v>
      </c>
      <c r="K49" s="130" t="s">
        <v>82</v>
      </c>
    </row>
    <row r="50" spans="1:11" ht="17.45" customHeight="1">
      <c r="A50" s="781" t="s">
        <v>18</v>
      </c>
      <c r="B50" s="782"/>
      <c r="C50" s="164">
        <f>SUMIF($G$7:$G$31,"Steam",$F$7:$F$31)</f>
        <v>0</v>
      </c>
      <c r="D50" s="118">
        <f>+C50+'14'!D50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+C51+'14'!D51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21120</v>
      </c>
      <c r="E52" s="145">
        <f>SUM(E38:E51)</f>
        <v>352</v>
      </c>
      <c r="F52" s="185"/>
      <c r="H52" s="191"/>
      <c r="I52" s="192"/>
      <c r="J52" s="138"/>
      <c r="K52" s="139"/>
    </row>
    <row r="53" spans="1:11" ht="13.5" thickBot="1">
      <c r="A53" s="785"/>
      <c r="B53" s="786"/>
      <c r="C53" s="146">
        <f>C52/(24*60)</f>
        <v>1</v>
      </c>
      <c r="D53" s="146">
        <f>D52/(24*60*G4)</f>
        <v>0.97777777777777775</v>
      </c>
      <c r="E53" s="147">
        <f>E52/(G4*24)</f>
        <v>0.97777777777777775</v>
      </c>
      <c r="F53" s="185"/>
    </row>
    <row r="54" spans="1:11">
      <c r="E54" s="193"/>
      <c r="F54" s="185"/>
    </row>
    <row r="55" spans="1:11">
      <c r="E55" s="193"/>
    </row>
    <row r="56" spans="1:11">
      <c r="A56" s="194" t="s">
        <v>86</v>
      </c>
      <c r="B56" s="195"/>
      <c r="C56" s="196"/>
      <c r="D56" s="196"/>
      <c r="E56" s="196"/>
      <c r="F56" s="197"/>
      <c r="G56" s="196"/>
      <c r="H56" s="198"/>
      <c r="I56" s="199" t="s">
        <v>87</v>
      </c>
      <c r="J56" s="200">
        <f>+D34+'14'!J56</f>
        <v>0</v>
      </c>
      <c r="K56" s="201" t="e">
        <f>J56/(J40+J56/1000)/1000</f>
        <v>#DIV/0!</v>
      </c>
    </row>
    <row r="57" spans="1:11">
      <c r="A57" s="176"/>
      <c r="I57" s="199" t="s">
        <v>88</v>
      </c>
      <c r="J57" s="200">
        <f>+E34+'14'!J57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8"/>
  <sheetViews>
    <sheetView view="pageBreakPreview" zoomScale="80" zoomScaleNormal="75" zoomScaleSheetLayoutView="80" workbookViewId="0">
      <selection activeCell="H19" sqref="H19"/>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14</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+'13'!J7</f>
        <v>F 12 VP OW</v>
      </c>
      <c r="K7" s="237"/>
      <c r="L7" s="241"/>
      <c r="M7" s="117">
        <f>+K7+'13'!M7+L7</f>
        <v>0</v>
      </c>
    </row>
    <row r="8" spans="1:13" ht="13.5" thickBot="1">
      <c r="A8" s="768"/>
      <c r="B8" s="215"/>
      <c r="C8" s="216"/>
      <c r="D8" s="217"/>
      <c r="E8" s="219"/>
      <c r="F8" s="230"/>
      <c r="G8" s="231" t="s">
        <v>11</v>
      </c>
      <c r="H8" s="229" t="s">
        <v>282</v>
      </c>
      <c r="I8" s="771"/>
      <c r="J8" s="214">
        <f>+'13'!J8</f>
        <v>0</v>
      </c>
      <c r="K8" s="238"/>
      <c r="L8" s="238"/>
      <c r="M8" s="117">
        <f>+K8+'13'!M8+L8</f>
        <v>0</v>
      </c>
    </row>
    <row r="9" spans="1:13" ht="13.5" thickBot="1">
      <c r="A9" s="768"/>
      <c r="B9" s="215"/>
      <c r="C9" s="216"/>
      <c r="D9" s="217"/>
      <c r="E9" s="220"/>
      <c r="F9" s="227"/>
      <c r="G9" s="231" t="s">
        <v>11</v>
      </c>
      <c r="H9" s="232" t="s">
        <v>408</v>
      </c>
      <c r="I9" s="771"/>
      <c r="J9" s="214">
        <f>+'13'!J9</f>
        <v>0</v>
      </c>
      <c r="K9" s="238"/>
      <c r="L9" s="238"/>
      <c r="M9" s="117">
        <f>+K9+'13'!M9+L9</f>
        <v>0</v>
      </c>
    </row>
    <row r="10" spans="1:13" ht="13.5" thickBot="1">
      <c r="A10" s="768"/>
      <c r="B10" s="215"/>
      <c r="C10" s="216"/>
      <c r="D10" s="217"/>
      <c r="E10" s="219"/>
      <c r="F10" s="227"/>
      <c r="G10" s="236" t="s">
        <v>12</v>
      </c>
      <c r="H10" s="232" t="s">
        <v>414</v>
      </c>
      <c r="I10" s="771"/>
      <c r="J10" s="214">
        <f>+'13'!J10</f>
        <v>0</v>
      </c>
      <c r="K10" s="238"/>
      <c r="L10" s="238"/>
      <c r="M10" s="117">
        <f>+K10+'13'!M10+L10</f>
        <v>0</v>
      </c>
    </row>
    <row r="11" spans="1:13" ht="51.75" thickBot="1">
      <c r="A11" s="768"/>
      <c r="B11" s="215"/>
      <c r="C11" s="216"/>
      <c r="D11" s="217"/>
      <c r="E11" s="219"/>
      <c r="F11" s="230">
        <v>480</v>
      </c>
      <c r="G11" s="231" t="s">
        <v>19</v>
      </c>
      <c r="H11" s="232" t="s">
        <v>441</v>
      </c>
      <c r="I11" s="771"/>
      <c r="J11" s="214">
        <f>+'13'!J11</f>
        <v>0</v>
      </c>
      <c r="K11" s="238"/>
      <c r="L11" s="238"/>
      <c r="M11" s="117">
        <f>+K11+'13'!M11+L11</f>
        <v>0</v>
      </c>
    </row>
    <row r="12" spans="1:13" ht="13.5" thickBot="1">
      <c r="A12" s="768"/>
      <c r="B12" s="215"/>
      <c r="C12" s="216"/>
      <c r="D12" s="217"/>
      <c r="E12" s="219"/>
      <c r="F12" s="227"/>
      <c r="G12" s="231"/>
      <c r="H12" s="232"/>
      <c r="I12" s="771"/>
      <c r="J12" s="214">
        <f>+'13'!J12</f>
        <v>0</v>
      </c>
      <c r="K12" s="238"/>
      <c r="L12" s="238"/>
      <c r="M12" s="117">
        <f>+K12+'13'!M12+L12</f>
        <v>0</v>
      </c>
    </row>
    <row r="13" spans="1:13" ht="13.5" thickBot="1">
      <c r="A13" s="768"/>
      <c r="B13" s="215"/>
      <c r="C13" s="216"/>
      <c r="D13" s="216"/>
      <c r="E13" s="219"/>
      <c r="F13" s="227"/>
      <c r="G13" s="231"/>
      <c r="H13" s="232"/>
      <c r="I13" s="772"/>
      <c r="J13" s="214">
        <f>+'13'!J13</f>
        <v>0</v>
      </c>
      <c r="K13" s="238"/>
      <c r="L13" s="238"/>
      <c r="M13" s="117">
        <f>+K13+'13'!M13+L13</f>
        <v>0</v>
      </c>
    </row>
    <row r="14" spans="1:13" ht="13.5" thickBot="1">
      <c r="A14" s="769"/>
      <c r="B14" s="165" t="s">
        <v>2</v>
      </c>
      <c r="C14" s="99">
        <f>SUM(C7:C13)</f>
        <v>0</v>
      </c>
      <c r="D14" s="111">
        <f>SUM(D7:D13)</f>
        <v>0</v>
      </c>
      <c r="E14" s="112">
        <f>SUM(E5:E13)</f>
        <v>0</v>
      </c>
      <c r="F14" s="116">
        <f>SUM(F7:F13)</f>
        <v>480</v>
      </c>
      <c r="G14" s="159"/>
      <c r="H14" s="166"/>
      <c r="I14" s="167"/>
      <c r="J14" s="214">
        <f>+'13'!J14</f>
        <v>0</v>
      </c>
      <c r="K14" s="238"/>
      <c r="L14" s="238"/>
      <c r="M14" s="117">
        <f>+K14+'13'!M14+L14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+'13'!J15</f>
        <v>0</v>
      </c>
      <c r="K15" s="238"/>
      <c r="L15" s="238"/>
      <c r="M15" s="117">
        <f>+K15+'13'!M15+L15</f>
        <v>0</v>
      </c>
    </row>
    <row r="16" spans="1:13" ht="13.5" thickBot="1">
      <c r="A16" s="773"/>
      <c r="B16" s="215"/>
      <c r="C16" s="221"/>
      <c r="D16" s="222"/>
      <c r="E16" s="223"/>
      <c r="F16" s="230"/>
      <c r="G16" s="231" t="s">
        <v>11</v>
      </c>
      <c r="H16" s="229" t="s">
        <v>282</v>
      </c>
      <c r="I16" s="771"/>
      <c r="J16" s="214">
        <f>+'13'!J16</f>
        <v>0</v>
      </c>
      <c r="K16" s="228"/>
      <c r="L16" s="228"/>
      <c r="M16" s="117">
        <f>+K16+'13'!M16+L16</f>
        <v>0</v>
      </c>
    </row>
    <row r="17" spans="1:13" ht="13.5" thickBot="1">
      <c r="A17" s="773"/>
      <c r="B17" s="215"/>
      <c r="C17" s="216"/>
      <c r="D17" s="217"/>
      <c r="E17" s="224"/>
      <c r="F17" s="227"/>
      <c r="G17" s="231" t="s">
        <v>11</v>
      </c>
      <c r="H17" s="232" t="s">
        <v>408</v>
      </c>
      <c r="I17" s="771"/>
      <c r="J17" s="214">
        <f>+'13'!J17</f>
        <v>0</v>
      </c>
      <c r="K17" s="228"/>
      <c r="L17" s="228"/>
      <c r="M17" s="117">
        <f>+K17+'13'!M17+L17</f>
        <v>0</v>
      </c>
    </row>
    <row r="18" spans="1:13" ht="13.5" thickBot="1">
      <c r="A18" s="773"/>
      <c r="B18" s="215"/>
      <c r="C18" s="216"/>
      <c r="D18" s="217"/>
      <c r="E18" s="224"/>
      <c r="F18" s="227"/>
      <c r="G18" s="236" t="s">
        <v>12</v>
      </c>
      <c r="H18" s="232" t="s">
        <v>414</v>
      </c>
      <c r="I18" s="771"/>
      <c r="J18" s="214">
        <f>+'13'!J18</f>
        <v>0</v>
      </c>
      <c r="K18" s="238"/>
      <c r="L18" s="238"/>
      <c r="M18" s="117">
        <f>+K18+'13'!M18+L18</f>
        <v>0</v>
      </c>
    </row>
    <row r="19" spans="1:13" ht="128.25" thickBot="1">
      <c r="A19" s="773"/>
      <c r="B19" s="215"/>
      <c r="C19" s="216"/>
      <c r="D19" s="217"/>
      <c r="E19" s="224"/>
      <c r="F19" s="230">
        <v>480</v>
      </c>
      <c r="G19" s="231" t="s">
        <v>19</v>
      </c>
      <c r="H19" s="232" t="s">
        <v>440</v>
      </c>
      <c r="I19" s="771"/>
      <c r="J19" s="214">
        <f>+'13'!J19</f>
        <v>0</v>
      </c>
      <c r="K19" s="238"/>
      <c r="L19" s="238"/>
      <c r="M19" s="117">
        <f>+K19+'13'!M19+L19</f>
        <v>0</v>
      </c>
    </row>
    <row r="20" spans="1:13" ht="13.5" thickBot="1">
      <c r="A20" s="773"/>
      <c r="B20" s="215"/>
      <c r="C20" s="216"/>
      <c r="D20" s="217"/>
      <c r="E20" s="224"/>
      <c r="F20" s="227"/>
      <c r="G20" s="231"/>
      <c r="H20" s="232"/>
      <c r="I20" s="771"/>
      <c r="J20" s="214">
        <f>+'13'!J20</f>
        <v>0</v>
      </c>
      <c r="K20" s="239"/>
      <c r="L20" s="239"/>
      <c r="M20" s="117">
        <f>+K20+'13'!M20+L20</f>
        <v>0</v>
      </c>
    </row>
    <row r="21" spans="1:13" ht="13.5" thickBot="1">
      <c r="A21" s="773"/>
      <c r="B21" s="215"/>
      <c r="C21" s="216"/>
      <c r="D21" s="217"/>
      <c r="E21" s="224"/>
      <c r="F21" s="230"/>
      <c r="G21" s="231"/>
      <c r="H21" s="232"/>
      <c r="I21" s="771"/>
      <c r="J21" s="214">
        <f>+'13'!J21</f>
        <v>0</v>
      </c>
      <c r="K21" s="238"/>
      <c r="L21" s="238"/>
      <c r="M21" s="117">
        <f>+K21+'13'!M21+L21</f>
        <v>0</v>
      </c>
    </row>
    <row r="22" spans="1:13" ht="13.5" thickBot="1">
      <c r="A22" s="773"/>
      <c r="B22" s="215"/>
      <c r="C22" s="216"/>
      <c r="D22" s="217"/>
      <c r="E22" s="224"/>
      <c r="F22" s="235"/>
      <c r="G22" s="231"/>
      <c r="H22" s="232"/>
      <c r="I22" s="772"/>
      <c r="J22" s="214">
        <f>+'13'!J22</f>
        <v>0</v>
      </c>
      <c r="K22" s="238"/>
      <c r="L22" s="238"/>
      <c r="M22" s="117">
        <f>+K22+'13'!M22+L22</f>
        <v>0</v>
      </c>
    </row>
    <row r="23" spans="1:13" ht="13.5" thickBot="1">
      <c r="A23" s="774"/>
      <c r="B23" s="168" t="s">
        <v>2</v>
      </c>
      <c r="C23" s="100">
        <f>SUM(C16:C22)</f>
        <v>0</v>
      </c>
      <c r="D23" s="111">
        <f>SUM(D16:D22)</f>
        <v>0</v>
      </c>
      <c r="E23" s="112">
        <f>SUM(E18:E22)</f>
        <v>0</v>
      </c>
      <c r="F23" s="116">
        <f>SUM(F15:F22)</f>
        <v>480</v>
      </c>
      <c r="G23" s="159"/>
      <c r="H23" s="166"/>
      <c r="I23" s="169"/>
      <c r="J23" s="214">
        <f>+'13'!J23</f>
        <v>0</v>
      </c>
      <c r="K23" s="238"/>
      <c r="L23" s="238"/>
      <c r="M23" s="117">
        <f>+K23+'13'!M23+L23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+'13'!J24</f>
        <v>0</v>
      </c>
      <c r="K24" s="238"/>
      <c r="L24" s="238"/>
      <c r="M24" s="117">
        <f>+K24+'13'!M24+L24</f>
        <v>0</v>
      </c>
    </row>
    <row r="25" spans="1:13" ht="13.5" thickBot="1">
      <c r="A25" s="773"/>
      <c r="B25" s="215"/>
      <c r="C25" s="225"/>
      <c r="D25" s="217"/>
      <c r="E25" s="224"/>
      <c r="F25" s="230"/>
      <c r="G25" s="231" t="s">
        <v>11</v>
      </c>
      <c r="H25" s="229" t="s">
        <v>282</v>
      </c>
      <c r="I25" s="771"/>
      <c r="J25" s="214">
        <f>+'13'!J25</f>
        <v>0</v>
      </c>
      <c r="K25" s="238"/>
      <c r="L25" s="238"/>
      <c r="M25" s="117">
        <f>+K25+'13'!M25+L25</f>
        <v>0</v>
      </c>
    </row>
    <row r="26" spans="1:13" ht="13.5" thickBot="1">
      <c r="A26" s="773"/>
      <c r="B26" s="215"/>
      <c r="C26" s="225"/>
      <c r="D26" s="217"/>
      <c r="E26" s="226"/>
      <c r="F26" s="227"/>
      <c r="G26" s="231" t="s">
        <v>11</v>
      </c>
      <c r="H26" s="232" t="s">
        <v>408</v>
      </c>
      <c r="I26" s="771"/>
      <c r="J26" s="214">
        <f>+'13'!J26</f>
        <v>0</v>
      </c>
      <c r="K26" s="238"/>
      <c r="L26" s="238"/>
      <c r="M26" s="117">
        <f>+K26+'13'!M26+L26</f>
        <v>0</v>
      </c>
    </row>
    <row r="27" spans="1:13" ht="13.5" thickBot="1">
      <c r="A27" s="773"/>
      <c r="B27" s="215"/>
      <c r="C27" s="216"/>
      <c r="D27" s="217"/>
      <c r="E27" s="224"/>
      <c r="F27" s="227"/>
      <c r="G27" s="236" t="s">
        <v>12</v>
      </c>
      <c r="H27" s="232" t="s">
        <v>414</v>
      </c>
      <c r="I27" s="771"/>
      <c r="J27" s="214">
        <f>+'13'!J27</f>
        <v>0</v>
      </c>
      <c r="K27" s="238"/>
      <c r="L27" s="238"/>
      <c r="M27" s="117">
        <f>+K27+'13'!M27+L27</f>
        <v>0</v>
      </c>
    </row>
    <row r="28" spans="1:13" ht="153.75" thickBot="1">
      <c r="A28" s="773"/>
      <c r="B28" s="215"/>
      <c r="C28" s="216"/>
      <c r="D28" s="217"/>
      <c r="E28" s="224"/>
      <c r="F28" s="230">
        <v>480</v>
      </c>
      <c r="G28" s="231" t="s">
        <v>19</v>
      </c>
      <c r="H28" s="232" t="s">
        <v>439</v>
      </c>
      <c r="I28" s="771"/>
      <c r="J28" s="214">
        <f>+'13'!J28</f>
        <v>0</v>
      </c>
      <c r="K28" s="238"/>
      <c r="L28" s="238"/>
      <c r="M28" s="117">
        <f>+K28+'13'!M28+L28</f>
        <v>0</v>
      </c>
    </row>
    <row r="29" spans="1:13" ht="13.5" thickBot="1">
      <c r="A29" s="773"/>
      <c r="B29" s="215"/>
      <c r="C29" s="216"/>
      <c r="D29" s="217"/>
      <c r="E29" s="224"/>
      <c r="F29" s="235"/>
      <c r="G29" s="231"/>
      <c r="H29" s="232"/>
      <c r="I29" s="771"/>
      <c r="J29" s="214">
        <f>+'13'!J29</f>
        <v>0</v>
      </c>
      <c r="K29" s="238"/>
      <c r="L29" s="238"/>
      <c r="M29" s="117">
        <f>+K29+'13'!M29+L29</f>
        <v>0</v>
      </c>
    </row>
    <row r="30" spans="1:13" ht="13.5" thickBot="1">
      <c r="A30" s="773"/>
      <c r="B30" s="215"/>
      <c r="C30" s="225"/>
      <c r="D30" s="217"/>
      <c r="E30" s="224"/>
      <c r="F30" s="235"/>
      <c r="G30" s="231"/>
      <c r="H30" s="232"/>
      <c r="I30" s="771"/>
      <c r="J30" s="214">
        <f>+'13'!J30</f>
        <v>0</v>
      </c>
      <c r="K30" s="238"/>
      <c r="L30" s="238"/>
      <c r="M30" s="117">
        <f>+K30+'13'!M30+L30</f>
        <v>0</v>
      </c>
    </row>
    <row r="31" spans="1:13" ht="13.5" thickBot="1">
      <c r="A31" s="773"/>
      <c r="B31" s="215"/>
      <c r="C31" s="225"/>
      <c r="D31" s="217"/>
      <c r="E31" s="224"/>
      <c r="F31" s="235"/>
      <c r="G31" s="236"/>
      <c r="H31" s="444"/>
      <c r="I31" s="772"/>
      <c r="J31" s="214">
        <f>+'13'!J31</f>
        <v>0</v>
      </c>
      <c r="K31" s="238"/>
      <c r="L31" s="238"/>
      <c r="M31" s="117">
        <f>+K31+'13'!M31+L31</f>
        <v>0</v>
      </c>
    </row>
    <row r="32" spans="1:13" ht="13.5" thickBot="1">
      <c r="A32" s="774"/>
      <c r="B32" s="165" t="s">
        <v>2</v>
      </c>
      <c r="C32" s="99">
        <f>SUM(C25:C31)</f>
        <v>0</v>
      </c>
      <c r="D32" s="100">
        <f>SUM(D25:D31)</f>
        <v>0</v>
      </c>
      <c r="E32" s="101">
        <f>SUM(E25:E31)</f>
        <v>0</v>
      </c>
      <c r="F32" s="102">
        <f>SUM(F24:F31)</f>
        <v>480</v>
      </c>
      <c r="G32" s="171"/>
      <c r="H32" s="172"/>
      <c r="I32" s="169"/>
      <c r="J32" s="214">
        <f>+'13'!J32</f>
        <v>0</v>
      </c>
      <c r="K32" s="240"/>
      <c r="L32" s="242"/>
      <c r="M32" s="117">
        <f>+K32+'13'!M32+L32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(13.5*352+1088*12)/1440*G42*2.74*1440/1000000</f>
        <v>0</v>
      </c>
      <c r="J37" s="125">
        <f>+I37+'13'!J37</f>
        <v>0</v>
      </c>
      <c r="K37" s="126" t="s">
        <v>63</v>
      </c>
    </row>
    <row r="38" spans="1:13" ht="17.45" customHeight="1">
      <c r="A38" s="779" t="s">
        <v>11</v>
      </c>
      <c r="B38" s="780"/>
      <c r="C38" s="164">
        <f>SUMIF($G$7:$G$31,"Process",$F$7:$F$31)</f>
        <v>0</v>
      </c>
      <c r="D38" s="118">
        <f>+C38+'13'!D38</f>
        <v>0</v>
      </c>
      <c r="E38" s="143">
        <f t="shared" ref="E38:E51" si="0">D38/60</f>
        <v>0</v>
      </c>
      <c r="F38" s="321"/>
      <c r="G38" s="321"/>
      <c r="H38" s="187" t="s">
        <v>64</v>
      </c>
      <c r="I38" s="244"/>
      <c r="J38" s="127">
        <f>+I38+'13'!J38</f>
        <v>0</v>
      </c>
      <c r="K38" s="128" t="s">
        <v>63</v>
      </c>
    </row>
    <row r="39" spans="1:13" ht="17.45" customHeight="1">
      <c r="A39" s="781" t="s">
        <v>12</v>
      </c>
      <c r="B39" s="782"/>
      <c r="C39" s="164">
        <f>SUMIF($G$7:$G$31,"Cleaning",$F$7:$F$31)</f>
        <v>0</v>
      </c>
      <c r="D39" s="118">
        <f>+C39+'13'!D39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+C40+'13'!D40</f>
        <v>0</v>
      </c>
      <c r="E40" s="143">
        <f t="shared" si="0"/>
        <v>0</v>
      </c>
      <c r="F40" s="321"/>
      <c r="G40" s="321"/>
      <c r="H40" s="187" t="s">
        <v>67</v>
      </c>
      <c r="I40" s="118">
        <f>(K34+L34)/1000</f>
        <v>0</v>
      </c>
      <c r="J40" s="131">
        <f>+I40+'13'!J40</f>
        <v>0</v>
      </c>
      <c r="K40" s="130" t="s">
        <v>63</v>
      </c>
    </row>
    <row r="41" spans="1:13" ht="17.45" customHeight="1">
      <c r="A41" s="781" t="s">
        <v>68</v>
      </c>
      <c r="B41" s="782"/>
      <c r="C41" s="164">
        <f>SUMIF($G$7:$G$31,"Electrical",$F$7:$F$31)</f>
        <v>0</v>
      </c>
      <c r="D41" s="118">
        <f>+C41+'13'!D41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+C42+'13'!D42</f>
        <v>0</v>
      </c>
      <c r="E42" s="143">
        <f t="shared" si="0"/>
        <v>0</v>
      </c>
      <c r="F42" s="321"/>
      <c r="G42" s="321"/>
      <c r="H42" s="187" t="s">
        <v>70</v>
      </c>
      <c r="I42" s="245"/>
      <c r="J42" s="132"/>
      <c r="K42" s="130" t="s">
        <v>71</v>
      </c>
    </row>
    <row r="43" spans="1:13" ht="17.45" customHeight="1">
      <c r="A43" s="781" t="s">
        <v>72</v>
      </c>
      <c r="B43" s="782"/>
      <c r="C43" s="164">
        <f>SUMIF($G$7:$G$31,"Water",$F$7:$F$31)</f>
        <v>0</v>
      </c>
      <c r="D43" s="118">
        <f>+C43+'13'!D43</f>
        <v>0</v>
      </c>
      <c r="E43" s="143">
        <f t="shared" si="0"/>
        <v>0</v>
      </c>
      <c r="F43" s="321"/>
      <c r="G43" s="322"/>
      <c r="H43" s="188" t="s">
        <v>73</v>
      </c>
      <c r="I43" s="118">
        <f>+Report1!Z22</f>
        <v>21.4</v>
      </c>
      <c r="J43" s="133">
        <f>+I43+'13'!J43</f>
        <v>306.2</v>
      </c>
      <c r="K43" s="130" t="s">
        <v>63</v>
      </c>
      <c r="L43" s="189"/>
    </row>
    <row r="44" spans="1:13" ht="17.45" customHeight="1">
      <c r="A44" s="781" t="s">
        <v>16</v>
      </c>
      <c r="B44" s="782"/>
      <c r="C44" s="164">
        <f>SUMIF($G$7:$G$31,"PLN",$F$7:$F$31)</f>
        <v>0</v>
      </c>
      <c r="D44" s="118">
        <f>+C44+'13'!D44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+C45+'13'!D45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+C46+'13'!D46</f>
        <v>0</v>
      </c>
      <c r="E46" s="143">
        <f t="shared" si="0"/>
        <v>0</v>
      </c>
      <c r="F46" s="321"/>
      <c r="G46" s="322"/>
      <c r="H46" s="188" t="s">
        <v>77</v>
      </c>
      <c r="I46" s="140">
        <f>+SUMIF(Listrik!P21,"&gt;0")</f>
        <v>5869.3799999996372</v>
      </c>
      <c r="J46" s="135">
        <f>+I46+'13'!J46</f>
        <v>73187.299999999275</v>
      </c>
      <c r="K46" s="130" t="s">
        <v>78</v>
      </c>
    </row>
    <row r="47" spans="1:13" ht="17.45" customHeight="1">
      <c r="A47" s="781" t="s">
        <v>79</v>
      </c>
      <c r="B47" s="782"/>
      <c r="C47" s="164">
        <f>SUMIF($G$7:$G$31,"Gas",$F$7:$F$31)</f>
        <v>0</v>
      </c>
      <c r="D47" s="118">
        <f>+C47+'13'!D47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+C48+'13'!D48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+C49+'13'!D49</f>
        <v>19680</v>
      </c>
      <c r="E49" s="143">
        <f t="shared" si="0"/>
        <v>328</v>
      </c>
      <c r="F49" s="185"/>
      <c r="H49" s="188" t="s">
        <v>267</v>
      </c>
      <c r="I49" s="118">
        <f>+Report1!T22</f>
        <v>0</v>
      </c>
      <c r="J49" s="135">
        <f>+I49+'13'!J49</f>
        <v>0</v>
      </c>
      <c r="K49" s="130" t="s">
        <v>82</v>
      </c>
    </row>
    <row r="50" spans="1:11" ht="17.45" customHeight="1">
      <c r="A50" s="781" t="s">
        <v>18</v>
      </c>
      <c r="B50" s="782"/>
      <c r="C50" s="164">
        <f>SUMIF($G$7:$G$31,"Steam",$F$7:$F$31)</f>
        <v>0</v>
      </c>
      <c r="D50" s="118">
        <f>+C50+'13'!D50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+C51+'13'!D51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19680</v>
      </c>
      <c r="E52" s="145">
        <f>SUM(E38:E51)</f>
        <v>328</v>
      </c>
      <c r="F52" s="185"/>
      <c r="H52" s="191"/>
      <c r="I52" s="192"/>
      <c r="J52" s="138"/>
      <c r="K52" s="139"/>
    </row>
    <row r="53" spans="1:11" ht="13.5" thickBot="1">
      <c r="A53" s="785"/>
      <c r="B53" s="786"/>
      <c r="C53" s="146">
        <f>C52/(24*60)</f>
        <v>1</v>
      </c>
      <c r="D53" s="146">
        <f>D52/(24*60*G4)</f>
        <v>0.97619047619047616</v>
      </c>
      <c r="E53" s="147">
        <f>E52/(G4*24)</f>
        <v>0.97619047619047616</v>
      </c>
      <c r="F53" s="185"/>
    </row>
    <row r="54" spans="1:11">
      <c r="E54" s="193"/>
      <c r="F54" s="185"/>
    </row>
    <row r="55" spans="1:11">
      <c r="E55" s="193"/>
    </row>
    <row r="56" spans="1:11">
      <c r="A56" s="194" t="s">
        <v>86</v>
      </c>
      <c r="B56" s="195"/>
      <c r="C56" s="196"/>
      <c r="D56" s="196"/>
      <c r="E56" s="196"/>
      <c r="F56" s="197"/>
      <c r="G56" s="196"/>
      <c r="H56" s="198"/>
      <c r="I56" s="199" t="s">
        <v>87</v>
      </c>
      <c r="J56" s="200">
        <f>+D34+'13'!J56</f>
        <v>0</v>
      </c>
      <c r="K56" s="201" t="e">
        <f>J56/(J40+J56/1000)/1000</f>
        <v>#DIV/0!</v>
      </c>
    </row>
    <row r="57" spans="1:11">
      <c r="A57" s="176"/>
      <c r="I57" s="199" t="s">
        <v>88</v>
      </c>
      <c r="J57" s="200">
        <f>+E34+'13'!J57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row r="78" spans="23:23">
      <c r="W78" s="149">
        <f>+'14'!K8/1000</f>
        <v>0</v>
      </c>
    </row>
  </sheetData>
  <mergeCells count="24">
    <mergeCell ref="A45:B45"/>
    <mergeCell ref="A42:B42"/>
    <mergeCell ref="A43:B43"/>
    <mergeCell ref="A7:A14"/>
    <mergeCell ref="I7:I13"/>
    <mergeCell ref="A15:A23"/>
    <mergeCell ref="I15:I22"/>
    <mergeCell ref="A34:B34"/>
    <mergeCell ref="A37:B37"/>
    <mergeCell ref="I24:I31"/>
    <mergeCell ref="A24:A32"/>
    <mergeCell ref="A38:B38"/>
    <mergeCell ref="A39:B39"/>
    <mergeCell ref="A40:B40"/>
    <mergeCell ref="A41:B41"/>
    <mergeCell ref="A44:B44"/>
    <mergeCell ref="A46:B46"/>
    <mergeCell ref="A47:B47"/>
    <mergeCell ref="A52:B52"/>
    <mergeCell ref="A53:B53"/>
    <mergeCell ref="A48:B48"/>
    <mergeCell ref="A49:B49"/>
    <mergeCell ref="A50:B50"/>
    <mergeCell ref="A51:B51"/>
  </mergeCells>
  <phoneticPr fontId="32"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view="pageBreakPreview" topLeftCell="D37" zoomScale="85" zoomScaleNormal="70" zoomScaleSheetLayoutView="85" workbookViewId="0">
      <selection activeCell="J60" sqref="J60"/>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13</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+'12'!J7</f>
        <v>F 12 VP OW</v>
      </c>
      <c r="K7" s="237"/>
      <c r="L7" s="241"/>
      <c r="M7" s="117">
        <f>+K7+'12'!M7+L7</f>
        <v>0</v>
      </c>
    </row>
    <row r="8" spans="1:13" ht="13.5" thickBot="1">
      <c r="A8" s="768"/>
      <c r="B8" s="215"/>
      <c r="C8" s="216"/>
      <c r="D8" s="217"/>
      <c r="E8" s="219"/>
      <c r="F8" s="230"/>
      <c r="G8" s="231" t="s">
        <v>11</v>
      </c>
      <c r="H8" s="229" t="s">
        <v>282</v>
      </c>
      <c r="I8" s="771"/>
      <c r="J8" s="214">
        <f>+'12'!J8</f>
        <v>0</v>
      </c>
      <c r="K8" s="238"/>
      <c r="L8" s="238"/>
      <c r="M8" s="117">
        <f>+K8+'12'!M8+L8</f>
        <v>0</v>
      </c>
    </row>
    <row r="9" spans="1:13" ht="13.5" thickBot="1">
      <c r="A9" s="768"/>
      <c r="B9" s="215"/>
      <c r="C9" s="216"/>
      <c r="D9" s="217"/>
      <c r="E9" s="220"/>
      <c r="F9" s="227"/>
      <c r="G9" s="231" t="s">
        <v>11</v>
      </c>
      <c r="H9" s="232" t="s">
        <v>408</v>
      </c>
      <c r="I9" s="771"/>
      <c r="J9" s="214">
        <f>+'12'!J9</f>
        <v>0</v>
      </c>
      <c r="K9" s="238"/>
      <c r="L9" s="238"/>
      <c r="M9" s="117">
        <f>+K9+'12'!M9+L9</f>
        <v>0</v>
      </c>
    </row>
    <row r="10" spans="1:13" ht="13.5" thickBot="1">
      <c r="A10" s="768"/>
      <c r="B10" s="215"/>
      <c r="C10" s="216"/>
      <c r="D10" s="217"/>
      <c r="E10" s="219"/>
      <c r="F10" s="227"/>
      <c r="G10" s="236" t="s">
        <v>12</v>
      </c>
      <c r="H10" s="232" t="s">
        <v>414</v>
      </c>
      <c r="I10" s="771"/>
      <c r="J10" s="214">
        <f>+'12'!J10</f>
        <v>0</v>
      </c>
      <c r="K10" s="238"/>
      <c r="L10" s="238"/>
      <c r="M10" s="117">
        <f>+K10+'12'!M10+L10</f>
        <v>0</v>
      </c>
    </row>
    <row r="11" spans="1:13" ht="64.5" thickBot="1">
      <c r="A11" s="768"/>
      <c r="B11" s="215"/>
      <c r="C11" s="216"/>
      <c r="D11" s="217"/>
      <c r="E11" s="219"/>
      <c r="F11" s="230">
        <v>480</v>
      </c>
      <c r="G11" s="231" t="s">
        <v>19</v>
      </c>
      <c r="H11" s="232" t="s">
        <v>438</v>
      </c>
      <c r="I11" s="771"/>
      <c r="J11" s="214">
        <f>+'12'!J11</f>
        <v>0</v>
      </c>
      <c r="K11" s="238"/>
      <c r="L11" s="238"/>
      <c r="M11" s="117">
        <f>+K11+'12'!M11+L11</f>
        <v>0</v>
      </c>
    </row>
    <row r="12" spans="1:13" ht="13.5" thickBot="1">
      <c r="A12" s="768"/>
      <c r="B12" s="215"/>
      <c r="C12" s="216"/>
      <c r="D12" s="217"/>
      <c r="E12" s="219"/>
      <c r="F12" s="227"/>
      <c r="G12" s="231"/>
      <c r="H12" s="232"/>
      <c r="I12" s="771"/>
      <c r="J12" s="214">
        <f>+'12'!J12</f>
        <v>0</v>
      </c>
      <c r="K12" s="238"/>
      <c r="L12" s="238"/>
      <c r="M12" s="117">
        <f>+K12+'12'!M12+L12</f>
        <v>0</v>
      </c>
    </row>
    <row r="13" spans="1:13" ht="13.5" thickBot="1">
      <c r="A13" s="768"/>
      <c r="B13" s="215"/>
      <c r="C13" s="216"/>
      <c r="D13" s="216"/>
      <c r="E13" s="219"/>
      <c r="F13" s="227"/>
      <c r="G13" s="231"/>
      <c r="H13" s="232"/>
      <c r="I13" s="772"/>
      <c r="J13" s="214">
        <f>+'12'!J13</f>
        <v>0</v>
      </c>
      <c r="K13" s="238"/>
      <c r="L13" s="238"/>
      <c r="M13" s="117">
        <f>+K13+'12'!M13+L13</f>
        <v>0</v>
      </c>
    </row>
    <row r="14" spans="1:13" ht="13.5" thickBot="1">
      <c r="A14" s="769"/>
      <c r="B14" s="165" t="s">
        <v>2</v>
      </c>
      <c r="C14" s="99">
        <f>SUM(C7:C13)</f>
        <v>0</v>
      </c>
      <c r="D14" s="111">
        <f>SUM(D7:D13)</f>
        <v>0</v>
      </c>
      <c r="E14" s="112">
        <f>SUM(E5:E13)</f>
        <v>0</v>
      </c>
      <c r="F14" s="116">
        <f>SUM(F7:F13)</f>
        <v>480</v>
      </c>
      <c r="G14" s="159"/>
      <c r="H14" s="166"/>
      <c r="I14" s="167"/>
      <c r="J14" s="214">
        <f>+'12'!J14</f>
        <v>0</v>
      </c>
      <c r="K14" s="238"/>
      <c r="L14" s="238"/>
      <c r="M14" s="117">
        <f>+K14+'12'!M14+L14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+'12'!J15</f>
        <v>0</v>
      </c>
      <c r="K15" s="238"/>
      <c r="L15" s="238"/>
      <c r="M15" s="117">
        <f>+K15+'12'!M15+L15</f>
        <v>0</v>
      </c>
    </row>
    <row r="16" spans="1:13" ht="13.5" thickBot="1">
      <c r="A16" s="773"/>
      <c r="B16" s="215"/>
      <c r="C16" s="221"/>
      <c r="D16" s="222"/>
      <c r="E16" s="223"/>
      <c r="F16" s="230"/>
      <c r="G16" s="231" t="s">
        <v>11</v>
      </c>
      <c r="H16" s="229" t="s">
        <v>282</v>
      </c>
      <c r="I16" s="771"/>
      <c r="J16" s="214">
        <f>+'12'!J16</f>
        <v>0</v>
      </c>
      <c r="K16" s="228"/>
      <c r="L16" s="228"/>
      <c r="M16" s="117">
        <f>+K16+'12'!M16+L16</f>
        <v>0</v>
      </c>
    </row>
    <row r="17" spans="1:13" ht="13.5" thickBot="1">
      <c r="A17" s="773"/>
      <c r="B17" s="215"/>
      <c r="C17" s="216"/>
      <c r="D17" s="217"/>
      <c r="E17" s="224"/>
      <c r="F17" s="227"/>
      <c r="G17" s="231" t="s">
        <v>11</v>
      </c>
      <c r="H17" s="232" t="s">
        <v>408</v>
      </c>
      <c r="I17" s="771"/>
      <c r="J17" s="214">
        <f>+'12'!J17</f>
        <v>0</v>
      </c>
      <c r="K17" s="228"/>
      <c r="L17" s="228"/>
      <c r="M17" s="117">
        <f>+K17+'12'!M17+L17</f>
        <v>0</v>
      </c>
    </row>
    <row r="18" spans="1:13" ht="13.5" thickBot="1">
      <c r="A18" s="773"/>
      <c r="B18" s="215"/>
      <c r="C18" s="216"/>
      <c r="D18" s="217"/>
      <c r="E18" s="224"/>
      <c r="F18" s="227"/>
      <c r="G18" s="236" t="s">
        <v>12</v>
      </c>
      <c r="H18" s="232" t="s">
        <v>414</v>
      </c>
      <c r="I18" s="771"/>
      <c r="J18" s="214">
        <f>+'12'!J18</f>
        <v>0</v>
      </c>
      <c r="K18" s="238"/>
      <c r="L18" s="238"/>
      <c r="M18" s="117">
        <f>+K18+'12'!M18+L18</f>
        <v>0</v>
      </c>
    </row>
    <row r="19" spans="1:13" ht="64.5" thickBot="1">
      <c r="A19" s="773"/>
      <c r="B19" s="215"/>
      <c r="C19" s="216"/>
      <c r="D19" s="217"/>
      <c r="E19" s="224"/>
      <c r="F19" s="230">
        <v>480</v>
      </c>
      <c r="G19" s="231" t="s">
        <v>19</v>
      </c>
      <c r="H19" s="232" t="s">
        <v>437</v>
      </c>
      <c r="I19" s="771"/>
      <c r="J19" s="214">
        <f>+'12'!J19</f>
        <v>0</v>
      </c>
      <c r="K19" s="238"/>
      <c r="L19" s="238"/>
      <c r="M19" s="117">
        <f>+K19+'12'!M19+L19</f>
        <v>0</v>
      </c>
    </row>
    <row r="20" spans="1:13" ht="13.5" thickBot="1">
      <c r="A20" s="773"/>
      <c r="B20" s="215"/>
      <c r="C20" s="216"/>
      <c r="D20" s="217"/>
      <c r="E20" s="224"/>
      <c r="F20" s="227"/>
      <c r="G20" s="231"/>
      <c r="H20" s="232"/>
      <c r="I20" s="771"/>
      <c r="J20" s="214">
        <f>+'12'!J20</f>
        <v>0</v>
      </c>
      <c r="K20" s="239"/>
      <c r="L20" s="239"/>
      <c r="M20" s="117">
        <f>+K20+'12'!M20+L20</f>
        <v>0</v>
      </c>
    </row>
    <row r="21" spans="1:13" ht="13.5" thickBot="1">
      <c r="A21" s="773"/>
      <c r="B21" s="215"/>
      <c r="C21" s="216"/>
      <c r="D21" s="217"/>
      <c r="E21" s="224"/>
      <c r="F21" s="230"/>
      <c r="G21" s="231"/>
      <c r="H21" s="232"/>
      <c r="I21" s="771"/>
      <c r="J21" s="214">
        <f>+'12'!J21</f>
        <v>0</v>
      </c>
      <c r="K21" s="238"/>
      <c r="L21" s="238"/>
      <c r="M21" s="117">
        <f>+K21+'12'!M21+L21</f>
        <v>0</v>
      </c>
    </row>
    <row r="22" spans="1:13" ht="13.5" thickBot="1">
      <c r="A22" s="773"/>
      <c r="B22" s="215"/>
      <c r="C22" s="216"/>
      <c r="D22" s="217"/>
      <c r="E22" s="224"/>
      <c r="F22" s="235"/>
      <c r="G22" s="231"/>
      <c r="H22" s="232"/>
      <c r="I22" s="772"/>
      <c r="J22" s="214">
        <f>+'12'!J22</f>
        <v>0</v>
      </c>
      <c r="K22" s="238"/>
      <c r="L22" s="238"/>
      <c r="M22" s="117">
        <f>+K22+'12'!M22+L22</f>
        <v>0</v>
      </c>
    </row>
    <row r="23" spans="1:13" ht="13.5" thickBot="1">
      <c r="A23" s="774"/>
      <c r="B23" s="168" t="s">
        <v>2</v>
      </c>
      <c r="C23" s="100">
        <f>SUM(C16:C22)</f>
        <v>0</v>
      </c>
      <c r="D23" s="111">
        <f>SUM(D16:D22)</f>
        <v>0</v>
      </c>
      <c r="E23" s="112">
        <f>SUM(E18:E22)</f>
        <v>0</v>
      </c>
      <c r="F23" s="116">
        <f>SUM(F15:F22)</f>
        <v>480</v>
      </c>
      <c r="G23" s="159"/>
      <c r="H23" s="166"/>
      <c r="I23" s="169"/>
      <c r="J23" s="214">
        <f>+'12'!J23</f>
        <v>0</v>
      </c>
      <c r="K23" s="238"/>
      <c r="L23" s="238"/>
      <c r="M23" s="117">
        <f>+K23+'12'!M23+L23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+'12'!J24</f>
        <v>0</v>
      </c>
      <c r="K24" s="238"/>
      <c r="L24" s="238"/>
      <c r="M24" s="117">
        <f>+K24+'12'!M24+L24</f>
        <v>0</v>
      </c>
    </row>
    <row r="25" spans="1:13" ht="13.5" thickBot="1">
      <c r="A25" s="773"/>
      <c r="B25" s="215"/>
      <c r="C25" s="225"/>
      <c r="D25" s="217"/>
      <c r="E25" s="224"/>
      <c r="F25" s="230"/>
      <c r="G25" s="231" t="s">
        <v>11</v>
      </c>
      <c r="H25" s="229" t="s">
        <v>282</v>
      </c>
      <c r="I25" s="771"/>
      <c r="J25" s="214">
        <f>+'12'!J25</f>
        <v>0</v>
      </c>
      <c r="K25" s="238"/>
      <c r="L25" s="238"/>
      <c r="M25" s="117">
        <f>+K25+'12'!M25+L25</f>
        <v>0</v>
      </c>
    </row>
    <row r="26" spans="1:13" ht="13.5" thickBot="1">
      <c r="A26" s="773"/>
      <c r="B26" s="215"/>
      <c r="C26" s="225"/>
      <c r="D26" s="217"/>
      <c r="E26" s="226"/>
      <c r="F26" s="227"/>
      <c r="G26" s="231" t="s">
        <v>11</v>
      </c>
      <c r="H26" s="232" t="s">
        <v>408</v>
      </c>
      <c r="I26" s="771"/>
      <c r="J26" s="214">
        <f>+'12'!J26</f>
        <v>0</v>
      </c>
      <c r="K26" s="238"/>
      <c r="L26" s="238"/>
      <c r="M26" s="117">
        <f>+K26+'12'!M26+L26</f>
        <v>0</v>
      </c>
    </row>
    <row r="27" spans="1:13" ht="13.5" thickBot="1">
      <c r="A27" s="773"/>
      <c r="B27" s="215"/>
      <c r="C27" s="216"/>
      <c r="D27" s="217"/>
      <c r="E27" s="224"/>
      <c r="F27" s="227"/>
      <c r="G27" s="236" t="s">
        <v>12</v>
      </c>
      <c r="H27" s="232" t="s">
        <v>414</v>
      </c>
      <c r="I27" s="771"/>
      <c r="J27" s="214">
        <f>+'12'!J27</f>
        <v>0</v>
      </c>
      <c r="K27" s="238"/>
      <c r="L27" s="238"/>
      <c r="M27" s="117">
        <f>+K27+'12'!M27+L27</f>
        <v>0</v>
      </c>
    </row>
    <row r="28" spans="1:13" ht="51.75" thickBot="1">
      <c r="A28" s="773"/>
      <c r="B28" s="215"/>
      <c r="C28" s="216"/>
      <c r="D28" s="217"/>
      <c r="E28" s="224"/>
      <c r="F28" s="230">
        <v>480</v>
      </c>
      <c r="G28" s="231" t="s">
        <v>19</v>
      </c>
      <c r="H28" s="232" t="s">
        <v>436</v>
      </c>
      <c r="I28" s="771"/>
      <c r="J28" s="214">
        <f>+'12'!J28</f>
        <v>0</v>
      </c>
      <c r="K28" s="238"/>
      <c r="L28" s="238"/>
      <c r="M28" s="117">
        <f>+K28+'12'!M28+L28</f>
        <v>0</v>
      </c>
    </row>
    <row r="29" spans="1:13" ht="13.5" thickBot="1">
      <c r="A29" s="773"/>
      <c r="B29" s="215"/>
      <c r="C29" s="216"/>
      <c r="D29" s="217"/>
      <c r="E29" s="224"/>
      <c r="F29" s="235"/>
      <c r="G29" s="231"/>
      <c r="H29" s="232"/>
      <c r="I29" s="771"/>
      <c r="J29" s="214">
        <f>+'12'!J29</f>
        <v>0</v>
      </c>
      <c r="K29" s="238"/>
      <c r="L29" s="238"/>
      <c r="M29" s="117">
        <f>+K29+'12'!M29+L29</f>
        <v>0</v>
      </c>
    </row>
    <row r="30" spans="1:13" ht="13.5" thickBot="1">
      <c r="A30" s="773"/>
      <c r="B30" s="215"/>
      <c r="C30" s="225"/>
      <c r="D30" s="217"/>
      <c r="E30" s="224"/>
      <c r="F30" s="235"/>
      <c r="G30" s="231"/>
      <c r="H30" s="232"/>
      <c r="I30" s="771"/>
      <c r="J30" s="214">
        <f>+'12'!J30</f>
        <v>0</v>
      </c>
      <c r="K30" s="238"/>
      <c r="L30" s="238"/>
      <c r="M30" s="117">
        <f>+K30+'12'!M30+L30</f>
        <v>0</v>
      </c>
    </row>
    <row r="31" spans="1:13" ht="13.5" thickBot="1">
      <c r="A31" s="773"/>
      <c r="B31" s="215"/>
      <c r="C31" s="225"/>
      <c r="D31" s="217"/>
      <c r="E31" s="224"/>
      <c r="F31" s="235"/>
      <c r="G31" s="236"/>
      <c r="H31" s="444"/>
      <c r="I31" s="772"/>
      <c r="J31" s="214">
        <f>+'12'!J31</f>
        <v>0</v>
      </c>
      <c r="K31" s="238"/>
      <c r="L31" s="238"/>
      <c r="M31" s="117">
        <f>+K31+'12'!M31+L31</f>
        <v>0</v>
      </c>
    </row>
    <row r="32" spans="1:13" ht="13.5" thickBot="1">
      <c r="A32" s="774"/>
      <c r="B32" s="165" t="s">
        <v>2</v>
      </c>
      <c r="C32" s="99">
        <f>SUM(C25:C31)</f>
        <v>0</v>
      </c>
      <c r="D32" s="100">
        <f>SUM(D25:D31)</f>
        <v>0</v>
      </c>
      <c r="E32" s="101">
        <f>SUM(E25:E31)</f>
        <v>0</v>
      </c>
      <c r="F32" s="102">
        <f>SUM(F24:F31)</f>
        <v>480</v>
      </c>
      <c r="G32" s="171"/>
      <c r="H32" s="172"/>
      <c r="I32" s="169"/>
      <c r="J32" s="214">
        <f>+'12'!J32</f>
        <v>0</v>
      </c>
      <c r="K32" s="240"/>
      <c r="L32" s="242"/>
      <c r="M32" s="117">
        <f>+K32+'12'!M32+L32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(12*95+14*925+13.5*420)/1440*G42*2.74*1440/1000000</f>
        <v>0</v>
      </c>
      <c r="J37" s="125">
        <f>+I37+'12'!J37</f>
        <v>0</v>
      </c>
      <c r="K37" s="126" t="s">
        <v>63</v>
      </c>
    </row>
    <row r="38" spans="1:13" ht="17.45" customHeight="1">
      <c r="A38" s="779" t="s">
        <v>11</v>
      </c>
      <c r="B38" s="780"/>
      <c r="C38" s="164">
        <f>SUMIF($G$7:$G$31,"Process",$F$7:$F$31)</f>
        <v>0</v>
      </c>
      <c r="D38" s="118">
        <f>+C38+'12'!D38</f>
        <v>0</v>
      </c>
      <c r="E38" s="143">
        <f t="shared" ref="E38:E51" si="0">D38/60</f>
        <v>0</v>
      </c>
      <c r="F38" s="321"/>
      <c r="G38" s="321"/>
      <c r="H38" s="187" t="s">
        <v>64</v>
      </c>
      <c r="I38" s="244"/>
      <c r="J38" s="127">
        <f>+I38+'12'!J38</f>
        <v>0</v>
      </c>
      <c r="K38" s="128" t="s">
        <v>63</v>
      </c>
    </row>
    <row r="39" spans="1:13" ht="17.45" customHeight="1">
      <c r="A39" s="781" t="s">
        <v>12</v>
      </c>
      <c r="B39" s="782"/>
      <c r="C39" s="164">
        <f>SUMIF($G$7:$G$31,"Cleaning",$F$7:$F$31)</f>
        <v>0</v>
      </c>
      <c r="D39" s="118">
        <f>+C39+'12'!D39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+C40+'12'!D40</f>
        <v>0</v>
      </c>
      <c r="E40" s="143">
        <f t="shared" si="0"/>
        <v>0</v>
      </c>
      <c r="F40" s="321"/>
      <c r="G40" s="321"/>
      <c r="H40" s="187" t="s">
        <v>67</v>
      </c>
      <c r="I40" s="118">
        <f>(K34+L34)/1000</f>
        <v>0</v>
      </c>
      <c r="J40" s="131">
        <f>+I40+'12'!J40</f>
        <v>0</v>
      </c>
      <c r="K40" s="130" t="s">
        <v>63</v>
      </c>
    </row>
    <row r="41" spans="1:13" ht="17.45" customHeight="1">
      <c r="A41" s="781" t="s">
        <v>68</v>
      </c>
      <c r="B41" s="782"/>
      <c r="C41" s="164">
        <f>SUMIF($G$7:$G$31,"Electrical",$F$7:$F$31)</f>
        <v>0</v>
      </c>
      <c r="D41" s="118">
        <f>+C41+'12'!D41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+C42+'12'!D42</f>
        <v>0</v>
      </c>
      <c r="E42" s="143">
        <f t="shared" si="0"/>
        <v>0</v>
      </c>
      <c r="F42" s="321"/>
      <c r="G42" s="321"/>
      <c r="H42" s="187" t="s">
        <v>70</v>
      </c>
      <c r="I42" s="245"/>
      <c r="J42" s="132"/>
      <c r="K42" s="130" t="s">
        <v>71</v>
      </c>
    </row>
    <row r="43" spans="1:13" ht="17.45" customHeight="1">
      <c r="A43" s="781" t="s">
        <v>72</v>
      </c>
      <c r="B43" s="782"/>
      <c r="C43" s="164">
        <f>SUMIF($G$7:$G$31,"Water",$F$7:$F$31)</f>
        <v>0</v>
      </c>
      <c r="D43" s="118">
        <f>+C43+'12'!D43</f>
        <v>0</v>
      </c>
      <c r="E43" s="143">
        <f t="shared" si="0"/>
        <v>0</v>
      </c>
      <c r="F43" s="321"/>
      <c r="G43" s="322"/>
      <c r="H43" s="188" t="s">
        <v>73</v>
      </c>
      <c r="I43" s="118">
        <f>+Report1!Z21</f>
        <v>13.5</v>
      </c>
      <c r="J43" s="133">
        <f>+I43+'12'!J43</f>
        <v>284.8</v>
      </c>
      <c r="K43" s="130" t="s">
        <v>63</v>
      </c>
      <c r="L43" s="189"/>
    </row>
    <row r="44" spans="1:13" ht="17.45" customHeight="1">
      <c r="A44" s="781" t="s">
        <v>16</v>
      </c>
      <c r="B44" s="782"/>
      <c r="C44" s="164">
        <f>SUMIF($G$7:$G$31,"PLN",$F$7:$F$31)</f>
        <v>0</v>
      </c>
      <c r="D44" s="118">
        <f>+C44+'12'!D44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+C45+'12'!D45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+C46+'12'!D46</f>
        <v>0</v>
      </c>
      <c r="E46" s="143">
        <f t="shared" si="0"/>
        <v>0</v>
      </c>
      <c r="F46" s="321"/>
      <c r="G46" s="322"/>
      <c r="H46" s="188" t="s">
        <v>77</v>
      </c>
      <c r="I46" s="140">
        <f>+SUMIF(Listrik!P20,"&gt;0")</f>
        <v>5379.2999999996364</v>
      </c>
      <c r="J46" s="135">
        <f>+I46+'12'!J46</f>
        <v>67317.919999999634</v>
      </c>
      <c r="K46" s="130" t="s">
        <v>78</v>
      </c>
    </row>
    <row r="47" spans="1:13" ht="17.45" customHeight="1">
      <c r="A47" s="781" t="s">
        <v>79</v>
      </c>
      <c r="B47" s="782"/>
      <c r="C47" s="164">
        <f>SUMIF($G$7:$G$31,"Gas",$F$7:$F$31)</f>
        <v>0</v>
      </c>
      <c r="D47" s="118">
        <f>+C47+'12'!D47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+C48+'12'!D48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+C49+'12'!D49</f>
        <v>18240</v>
      </c>
      <c r="E49" s="143">
        <f t="shared" si="0"/>
        <v>304</v>
      </c>
      <c r="F49" s="185"/>
      <c r="H49" s="188" t="s">
        <v>267</v>
      </c>
      <c r="I49" s="118">
        <f>+Report1!T21</f>
        <v>0</v>
      </c>
      <c r="J49" s="135">
        <f>+I49+'12'!J49</f>
        <v>0</v>
      </c>
      <c r="K49" s="130" t="s">
        <v>82</v>
      </c>
    </row>
    <row r="50" spans="1:11" ht="17.45" customHeight="1">
      <c r="A50" s="781" t="s">
        <v>18</v>
      </c>
      <c r="B50" s="782"/>
      <c r="C50" s="164">
        <f>SUMIF($G$7:$G$31,"Steam",$F$7:$F$31)</f>
        <v>0</v>
      </c>
      <c r="D50" s="118">
        <f>+C50+'12'!D50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+C51+'12'!D51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18240</v>
      </c>
      <c r="E52" s="145">
        <f>SUM(E38:E51)</f>
        <v>304</v>
      </c>
      <c r="F52" s="185"/>
      <c r="H52" s="191"/>
      <c r="I52" s="192"/>
      <c r="J52" s="138"/>
      <c r="K52" s="139"/>
    </row>
    <row r="53" spans="1:11" ht="13.5" thickBot="1">
      <c r="A53" s="785"/>
      <c r="B53" s="786"/>
      <c r="C53" s="146">
        <f>C52/(24*60)</f>
        <v>1</v>
      </c>
      <c r="D53" s="146">
        <f>D52/(24*60*G4)</f>
        <v>0.97435897435897434</v>
      </c>
      <c r="E53" s="147">
        <f>E52/(G4*24)</f>
        <v>0.97435897435897434</v>
      </c>
      <c r="F53" s="185"/>
    </row>
    <row r="54" spans="1:11">
      <c r="E54" s="193"/>
      <c r="F54" s="185"/>
    </row>
    <row r="55" spans="1:11">
      <c r="E55" s="193"/>
    </row>
    <row r="56" spans="1:11">
      <c r="A56" s="194" t="s">
        <v>86</v>
      </c>
      <c r="B56" s="195"/>
      <c r="C56" s="196"/>
      <c r="D56" s="196"/>
      <c r="E56" s="196"/>
      <c r="F56" s="197"/>
      <c r="G56" s="196"/>
      <c r="H56" s="198"/>
      <c r="I56" s="199" t="s">
        <v>87</v>
      </c>
      <c r="J56" s="200">
        <f>+D34+'12'!J56</f>
        <v>0</v>
      </c>
      <c r="K56" s="201" t="e">
        <f>J56/(J40+J56/1000)/1000</f>
        <v>#DIV/0!</v>
      </c>
    </row>
    <row r="57" spans="1:11">
      <c r="A57" s="176"/>
      <c r="I57" s="199" t="s">
        <v>88</v>
      </c>
      <c r="J57" s="200">
        <f>+E34+'12'!J57</f>
        <v>0</v>
      </c>
      <c r="K57" s="201" t="e">
        <f>J57/(J40+J57/1000)/1000</f>
        <v>#DIV/0!</v>
      </c>
    </row>
    <row r="58" spans="1:11">
      <c r="A58" s="202"/>
      <c r="B58" s="203"/>
      <c r="F58" s="185"/>
      <c r="H58" s="204"/>
    </row>
    <row r="59" spans="1:11">
      <c r="A59" s="205"/>
      <c r="B59" s="176"/>
      <c r="C59" s="176"/>
      <c r="D59" s="176"/>
      <c r="E59" s="176"/>
      <c r="F59" s="189"/>
      <c r="G59" s="176"/>
      <c r="H59" s="204"/>
      <c r="J59" s="149">
        <v>520</v>
      </c>
    </row>
    <row r="60" spans="1:11">
      <c r="H60" s="204"/>
    </row>
    <row r="61" spans="1:11">
      <c r="A61" s="206"/>
      <c r="B61" s="207"/>
      <c r="C61" s="207"/>
      <c r="D61" s="207"/>
      <c r="E61" s="207"/>
      <c r="F61" s="208"/>
      <c r="G61" s="207"/>
      <c r="H61" s="209"/>
    </row>
  </sheetData>
  <mergeCells count="24">
    <mergeCell ref="A42:B42"/>
    <mergeCell ref="A39:B39"/>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3:B43"/>
    <mergeCell ref="A24:A32"/>
    <mergeCell ref="A34:B34"/>
    <mergeCell ref="A37:B37"/>
    <mergeCell ref="A38:B38"/>
    <mergeCell ref="A41:B41"/>
  </mergeCells>
  <phoneticPr fontId="32"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zoomScale="80" zoomScaleNormal="80" workbookViewId="0">
      <selection activeCell="F24" sqref="F24:H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 style="149" bestFit="1"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12</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+'11'!J7</f>
        <v>F 12 VP OW</v>
      </c>
      <c r="K7" s="237"/>
      <c r="L7" s="241"/>
      <c r="M7" s="117">
        <f>+K7+'11'!M7+L7</f>
        <v>0</v>
      </c>
    </row>
    <row r="8" spans="1:13" ht="13.5" thickBot="1">
      <c r="A8" s="768"/>
      <c r="B8" s="215"/>
      <c r="C8" s="216"/>
      <c r="D8" s="217"/>
      <c r="E8" s="219"/>
      <c r="F8" s="230"/>
      <c r="G8" s="231" t="s">
        <v>11</v>
      </c>
      <c r="H8" s="229" t="s">
        <v>282</v>
      </c>
      <c r="I8" s="771"/>
      <c r="J8" s="214">
        <f>+'11'!J8</f>
        <v>0</v>
      </c>
      <c r="K8" s="238"/>
      <c r="L8" s="238"/>
      <c r="M8" s="117">
        <f>+K8+'11'!M8+L8</f>
        <v>0</v>
      </c>
    </row>
    <row r="9" spans="1:13" ht="13.5" thickBot="1">
      <c r="A9" s="768"/>
      <c r="B9" s="215"/>
      <c r="C9" s="216"/>
      <c r="D9" s="217"/>
      <c r="E9" s="220"/>
      <c r="F9" s="227"/>
      <c r="G9" s="231" t="s">
        <v>11</v>
      </c>
      <c r="H9" s="232" t="s">
        <v>408</v>
      </c>
      <c r="I9" s="771"/>
      <c r="J9" s="214">
        <f>+'11'!J9</f>
        <v>0</v>
      </c>
      <c r="K9" s="238"/>
      <c r="L9" s="238"/>
      <c r="M9" s="117">
        <f>+K9+'11'!M9+L9</f>
        <v>0</v>
      </c>
    </row>
    <row r="10" spans="1:13" ht="13.5" thickBot="1">
      <c r="A10" s="768"/>
      <c r="B10" s="215"/>
      <c r="C10" s="216"/>
      <c r="D10" s="217"/>
      <c r="E10" s="219"/>
      <c r="F10" s="227"/>
      <c r="G10" s="236" t="s">
        <v>12</v>
      </c>
      <c r="H10" s="232" t="s">
        <v>414</v>
      </c>
      <c r="I10" s="771"/>
      <c r="J10" s="214">
        <f>+'11'!J10</f>
        <v>0</v>
      </c>
      <c r="K10" s="238"/>
      <c r="L10" s="238"/>
      <c r="M10" s="117">
        <f>+K10+'11'!M10+L10</f>
        <v>0</v>
      </c>
    </row>
    <row r="11" spans="1:13" ht="64.5" thickBot="1">
      <c r="A11" s="768"/>
      <c r="B11" s="215"/>
      <c r="C11" s="216"/>
      <c r="D11" s="217"/>
      <c r="E11" s="219"/>
      <c r="F11" s="230">
        <v>480</v>
      </c>
      <c r="G11" s="231" t="s">
        <v>19</v>
      </c>
      <c r="H11" s="232" t="s">
        <v>435</v>
      </c>
      <c r="I11" s="771"/>
      <c r="J11" s="214">
        <f>+'11'!J11</f>
        <v>0</v>
      </c>
      <c r="K11" s="238"/>
      <c r="L11" s="238"/>
      <c r="M11" s="117">
        <f>+K11+'11'!M11+L11</f>
        <v>0</v>
      </c>
    </row>
    <row r="12" spans="1:13" ht="13.5" thickBot="1">
      <c r="A12" s="768"/>
      <c r="B12" s="215"/>
      <c r="C12" s="216"/>
      <c r="D12" s="217"/>
      <c r="E12" s="219"/>
      <c r="F12" s="227"/>
      <c r="G12" s="231"/>
      <c r="H12" s="232"/>
      <c r="I12" s="771"/>
      <c r="J12" s="214">
        <f>+'11'!J12</f>
        <v>0</v>
      </c>
      <c r="K12" s="238"/>
      <c r="L12" s="238"/>
      <c r="M12" s="117">
        <f>+K12+'11'!M12+L12</f>
        <v>0</v>
      </c>
    </row>
    <row r="13" spans="1:13" ht="13.5" thickBot="1">
      <c r="A13" s="768"/>
      <c r="B13" s="215"/>
      <c r="C13" s="216"/>
      <c r="D13" s="216"/>
      <c r="E13" s="219"/>
      <c r="F13" s="227"/>
      <c r="G13" s="231"/>
      <c r="H13" s="232"/>
      <c r="I13" s="772"/>
      <c r="J13" s="214">
        <f>+'11'!J13</f>
        <v>0</v>
      </c>
      <c r="K13" s="238"/>
      <c r="L13" s="238"/>
      <c r="M13" s="117">
        <f>+K13+'11'!M13+L13</f>
        <v>0</v>
      </c>
    </row>
    <row r="14" spans="1:13" ht="13.5" thickBot="1">
      <c r="A14" s="769"/>
      <c r="B14" s="165" t="s">
        <v>2</v>
      </c>
      <c r="C14" s="99">
        <f>SUM(C7:C13)</f>
        <v>0</v>
      </c>
      <c r="D14" s="111">
        <f>SUM(D7:D13)</f>
        <v>0</v>
      </c>
      <c r="E14" s="112">
        <f>SUM(E5:E13)</f>
        <v>0</v>
      </c>
      <c r="F14" s="116">
        <f>SUM(F7:F13)</f>
        <v>480</v>
      </c>
      <c r="G14" s="159"/>
      <c r="H14" s="166"/>
      <c r="I14" s="167"/>
      <c r="J14" s="214">
        <f>+'11'!J14</f>
        <v>0</v>
      </c>
      <c r="K14" s="238"/>
      <c r="L14" s="238"/>
      <c r="M14" s="117">
        <f>+K14+'11'!M14+L14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+'11'!J15</f>
        <v>0</v>
      </c>
      <c r="K15" s="238"/>
      <c r="L15" s="238"/>
      <c r="M15" s="117">
        <f>+K15+'11'!M15+L15</f>
        <v>0</v>
      </c>
    </row>
    <row r="16" spans="1:13" ht="13.5" thickBot="1">
      <c r="A16" s="773"/>
      <c r="B16" s="215"/>
      <c r="C16" s="221"/>
      <c r="D16" s="222"/>
      <c r="E16" s="223"/>
      <c r="F16" s="230"/>
      <c r="G16" s="231" t="s">
        <v>11</v>
      </c>
      <c r="H16" s="229" t="s">
        <v>282</v>
      </c>
      <c r="I16" s="771"/>
      <c r="J16" s="214">
        <f>+'11'!J16</f>
        <v>0</v>
      </c>
      <c r="K16" s="228"/>
      <c r="L16" s="228"/>
      <c r="M16" s="117">
        <f>+K16+'11'!M16+L16</f>
        <v>0</v>
      </c>
    </row>
    <row r="17" spans="1:13" ht="13.5" thickBot="1">
      <c r="A17" s="773"/>
      <c r="B17" s="215"/>
      <c r="C17" s="216"/>
      <c r="D17" s="217"/>
      <c r="E17" s="224"/>
      <c r="F17" s="227"/>
      <c r="G17" s="231" t="s">
        <v>11</v>
      </c>
      <c r="H17" s="232" t="s">
        <v>408</v>
      </c>
      <c r="I17" s="771"/>
      <c r="J17" s="214">
        <f>+'11'!J17</f>
        <v>0</v>
      </c>
      <c r="K17" s="228"/>
      <c r="L17" s="228"/>
      <c r="M17" s="117">
        <f>+K17+'11'!M17+L17</f>
        <v>0</v>
      </c>
    </row>
    <row r="18" spans="1:13" ht="13.5" thickBot="1">
      <c r="A18" s="773"/>
      <c r="B18" s="215"/>
      <c r="C18" s="216"/>
      <c r="D18" s="217"/>
      <c r="E18" s="224"/>
      <c r="F18" s="227"/>
      <c r="G18" s="236" t="s">
        <v>12</v>
      </c>
      <c r="H18" s="232" t="s">
        <v>414</v>
      </c>
      <c r="I18" s="771"/>
      <c r="J18" s="214">
        <f>+'11'!J18</f>
        <v>0</v>
      </c>
      <c r="K18" s="238"/>
      <c r="L18" s="238"/>
      <c r="M18" s="117">
        <f>+K18+'11'!M18+L18</f>
        <v>0</v>
      </c>
    </row>
    <row r="19" spans="1:13" ht="64.5" thickBot="1">
      <c r="A19" s="773"/>
      <c r="B19" s="215"/>
      <c r="C19" s="216"/>
      <c r="D19" s="217"/>
      <c r="E19" s="224"/>
      <c r="F19" s="230">
        <v>480</v>
      </c>
      <c r="G19" s="231" t="s">
        <v>19</v>
      </c>
      <c r="H19" s="232" t="s">
        <v>434</v>
      </c>
      <c r="I19" s="771"/>
      <c r="J19" s="214">
        <f>+'11'!J19</f>
        <v>0</v>
      </c>
      <c r="K19" s="238"/>
      <c r="L19" s="238"/>
      <c r="M19" s="117">
        <f>+K19+'11'!M19+L19</f>
        <v>0</v>
      </c>
    </row>
    <row r="20" spans="1:13" ht="13.5" thickBot="1">
      <c r="A20" s="773"/>
      <c r="B20" s="215"/>
      <c r="C20" s="216"/>
      <c r="D20" s="217"/>
      <c r="E20" s="224"/>
      <c r="F20" s="227"/>
      <c r="G20" s="231"/>
      <c r="H20" s="232"/>
      <c r="I20" s="771"/>
      <c r="J20" s="214">
        <f>+'11'!J20</f>
        <v>0</v>
      </c>
      <c r="K20" s="239"/>
      <c r="L20" s="239"/>
      <c r="M20" s="117">
        <f>+K20+'11'!M20+L20</f>
        <v>0</v>
      </c>
    </row>
    <row r="21" spans="1:13" ht="13.5" thickBot="1">
      <c r="A21" s="773"/>
      <c r="B21" s="215"/>
      <c r="C21" s="216"/>
      <c r="D21" s="217"/>
      <c r="E21" s="224"/>
      <c r="F21" s="230"/>
      <c r="G21" s="231"/>
      <c r="H21" s="232"/>
      <c r="I21" s="771"/>
      <c r="J21" s="214">
        <f>+'11'!J21</f>
        <v>0</v>
      </c>
      <c r="K21" s="238"/>
      <c r="L21" s="238"/>
      <c r="M21" s="117">
        <f>+K21+'11'!M21+L21</f>
        <v>0</v>
      </c>
    </row>
    <row r="22" spans="1:13" ht="13.5" thickBot="1">
      <c r="A22" s="773"/>
      <c r="B22" s="215"/>
      <c r="C22" s="216"/>
      <c r="D22" s="217"/>
      <c r="E22" s="224"/>
      <c r="F22" s="235"/>
      <c r="G22" s="231"/>
      <c r="H22" s="232"/>
      <c r="I22" s="772"/>
      <c r="J22" s="214">
        <f>+'11'!J22</f>
        <v>0</v>
      </c>
      <c r="K22" s="238"/>
      <c r="L22" s="238"/>
      <c r="M22" s="117">
        <f>+K22+'11'!M22+L22</f>
        <v>0</v>
      </c>
    </row>
    <row r="23" spans="1:13" ht="13.5" thickBot="1">
      <c r="A23" s="774"/>
      <c r="B23" s="168" t="s">
        <v>2</v>
      </c>
      <c r="C23" s="100">
        <f>SUM(C16:C22)</f>
        <v>0</v>
      </c>
      <c r="D23" s="111">
        <f>SUM(D16:D22)</f>
        <v>0</v>
      </c>
      <c r="E23" s="112">
        <f>SUM(E18:E22)</f>
        <v>0</v>
      </c>
      <c r="F23" s="116">
        <f>SUM(F15:F22)</f>
        <v>480</v>
      </c>
      <c r="G23" s="159"/>
      <c r="H23" s="166"/>
      <c r="I23" s="169"/>
      <c r="J23" s="214">
        <f>+'11'!J23</f>
        <v>0</v>
      </c>
      <c r="K23" s="238"/>
      <c r="L23" s="238"/>
      <c r="M23" s="117">
        <f>+K23+'11'!M23+L23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+'11'!J24</f>
        <v>0</v>
      </c>
      <c r="K24" s="238"/>
      <c r="L24" s="238"/>
      <c r="M24" s="117">
        <f>+K24+'11'!M24+L24</f>
        <v>0</v>
      </c>
    </row>
    <row r="25" spans="1:13" ht="13.5" customHeight="1" thickBot="1">
      <c r="A25" s="773"/>
      <c r="B25" s="215"/>
      <c r="C25" s="225"/>
      <c r="D25" s="217"/>
      <c r="E25" s="224"/>
      <c r="F25" s="230"/>
      <c r="G25" s="231" t="s">
        <v>11</v>
      </c>
      <c r="H25" s="229" t="s">
        <v>282</v>
      </c>
      <c r="I25" s="771"/>
      <c r="J25" s="214">
        <f>+'11'!J25</f>
        <v>0</v>
      </c>
      <c r="K25" s="238"/>
      <c r="L25" s="238"/>
      <c r="M25" s="117">
        <f>+K25+'11'!M25+L25</f>
        <v>0</v>
      </c>
    </row>
    <row r="26" spans="1:13" ht="13.5" customHeight="1" thickBot="1">
      <c r="A26" s="773"/>
      <c r="B26" s="215"/>
      <c r="C26" s="225"/>
      <c r="D26" s="217"/>
      <c r="E26" s="226"/>
      <c r="F26" s="227"/>
      <c r="G26" s="231" t="s">
        <v>11</v>
      </c>
      <c r="H26" s="232" t="s">
        <v>408</v>
      </c>
      <c r="I26" s="771"/>
      <c r="J26" s="214">
        <f>+'11'!J26</f>
        <v>0</v>
      </c>
      <c r="K26" s="238"/>
      <c r="L26" s="238"/>
      <c r="M26" s="117">
        <f>+K26+'11'!M26+L26</f>
        <v>0</v>
      </c>
    </row>
    <row r="27" spans="1:13" ht="13.5" customHeight="1" thickBot="1">
      <c r="A27" s="773"/>
      <c r="B27" s="215"/>
      <c r="C27" s="216"/>
      <c r="D27" s="217"/>
      <c r="E27" s="224"/>
      <c r="F27" s="227"/>
      <c r="G27" s="236" t="s">
        <v>12</v>
      </c>
      <c r="H27" s="232" t="s">
        <v>414</v>
      </c>
      <c r="I27" s="771"/>
      <c r="J27" s="214">
        <f>+'11'!J27</f>
        <v>0</v>
      </c>
      <c r="K27" s="238"/>
      <c r="L27" s="238"/>
      <c r="M27" s="117">
        <f>+K27+'11'!M27+L27</f>
        <v>0</v>
      </c>
    </row>
    <row r="28" spans="1:13" ht="64.5" thickBot="1">
      <c r="A28" s="773"/>
      <c r="B28" s="215"/>
      <c r="C28" s="216"/>
      <c r="D28" s="217"/>
      <c r="E28" s="224"/>
      <c r="F28" s="230">
        <v>480</v>
      </c>
      <c r="G28" s="231" t="s">
        <v>19</v>
      </c>
      <c r="H28" s="232" t="s">
        <v>433</v>
      </c>
      <c r="I28" s="771"/>
      <c r="J28" s="214">
        <f>+'11'!J28</f>
        <v>0</v>
      </c>
      <c r="K28" s="238"/>
      <c r="L28" s="238"/>
      <c r="M28" s="117">
        <f>+K28+'11'!M28+L28</f>
        <v>0</v>
      </c>
    </row>
    <row r="29" spans="1:13" ht="13.5" customHeight="1" thickBot="1">
      <c r="A29" s="773"/>
      <c r="B29" s="215"/>
      <c r="C29" s="216"/>
      <c r="D29" s="217"/>
      <c r="E29" s="224"/>
      <c r="F29" s="235"/>
      <c r="G29" s="231"/>
      <c r="H29" s="232"/>
      <c r="I29" s="771"/>
      <c r="J29" s="214">
        <f>+'11'!J29</f>
        <v>0</v>
      </c>
      <c r="K29" s="238"/>
      <c r="L29" s="238"/>
      <c r="M29" s="117">
        <f>+K29+'11'!M29+L29</f>
        <v>0</v>
      </c>
    </row>
    <row r="30" spans="1:13" ht="13.5" customHeight="1" thickBot="1">
      <c r="A30" s="773"/>
      <c r="B30" s="215"/>
      <c r="C30" s="225"/>
      <c r="D30" s="217"/>
      <c r="E30" s="224"/>
      <c r="F30" s="235"/>
      <c r="G30" s="231"/>
      <c r="H30" s="232"/>
      <c r="I30" s="771"/>
      <c r="J30" s="214">
        <f>+'11'!J30</f>
        <v>0</v>
      </c>
      <c r="K30" s="238"/>
      <c r="L30" s="238"/>
      <c r="M30" s="117">
        <f>+K30+'11'!M30+L30</f>
        <v>0</v>
      </c>
    </row>
    <row r="31" spans="1:13" ht="13.5" customHeight="1" thickBot="1">
      <c r="A31" s="773"/>
      <c r="B31" s="215"/>
      <c r="C31" s="225"/>
      <c r="D31" s="217"/>
      <c r="E31" s="224"/>
      <c r="F31" s="235"/>
      <c r="G31" s="236"/>
      <c r="H31" s="444"/>
      <c r="I31" s="772"/>
      <c r="J31" s="214">
        <f>+'11'!J31</f>
        <v>0</v>
      </c>
      <c r="K31" s="238"/>
      <c r="L31" s="238"/>
      <c r="M31" s="117">
        <f>+K31+'11'!M31+L31</f>
        <v>0</v>
      </c>
    </row>
    <row r="32" spans="1:13" ht="13.5" customHeight="1" thickBot="1">
      <c r="A32" s="774"/>
      <c r="B32" s="165" t="s">
        <v>2</v>
      </c>
      <c r="C32" s="99">
        <f>SUM(C25:C31)</f>
        <v>0</v>
      </c>
      <c r="D32" s="100">
        <f>SUM(D25:D31)</f>
        <v>0</v>
      </c>
      <c r="E32" s="101">
        <f>SUM(E25:E31)</f>
        <v>0</v>
      </c>
      <c r="F32" s="102">
        <f>SUM(F24:F31)</f>
        <v>480</v>
      </c>
      <c r="G32" s="171"/>
      <c r="H32" s="172"/>
      <c r="I32" s="169"/>
      <c r="J32" s="214">
        <f>+'1'!J32</f>
        <v>0</v>
      </c>
      <c r="K32" s="240"/>
      <c r="L32" s="242"/>
      <c r="M32" s="117">
        <f>+K32+'11'!M32+L32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(12*430)/430*G42*2.74*430/1000000</f>
        <v>0</v>
      </c>
      <c r="J37" s="125">
        <f>+I37+'11'!J37</f>
        <v>0</v>
      </c>
      <c r="K37" s="126" t="s">
        <v>63</v>
      </c>
    </row>
    <row r="38" spans="1:13" ht="17.45" customHeight="1">
      <c r="A38" s="779" t="s">
        <v>11</v>
      </c>
      <c r="B38" s="780"/>
      <c r="C38" s="164">
        <f>SUMIF($G$7:$G$31,"Process",$F$7:$F$31)</f>
        <v>0</v>
      </c>
      <c r="D38" s="118">
        <f>+C38+'11'!D38</f>
        <v>0</v>
      </c>
      <c r="E38" s="143">
        <f t="shared" ref="E38:E51" si="0">D38/60</f>
        <v>0</v>
      </c>
      <c r="F38" s="321"/>
      <c r="G38" s="321"/>
      <c r="H38" s="187" t="s">
        <v>64</v>
      </c>
      <c r="I38" s="244"/>
      <c r="J38" s="127">
        <f>+I38+'11'!J38</f>
        <v>0</v>
      </c>
      <c r="K38" s="128" t="s">
        <v>63</v>
      </c>
    </row>
    <row r="39" spans="1:13" ht="17.45" customHeight="1">
      <c r="A39" s="781" t="s">
        <v>12</v>
      </c>
      <c r="B39" s="782"/>
      <c r="C39" s="164">
        <f>SUMIF($G$7:$G$31,"Cleaning",$F$7:$F$31)</f>
        <v>0</v>
      </c>
      <c r="D39" s="118">
        <f>+C39+'11'!D39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+C40+'11'!D40</f>
        <v>0</v>
      </c>
      <c r="E40" s="143">
        <f t="shared" si="0"/>
        <v>0</v>
      </c>
      <c r="F40" s="321"/>
      <c r="G40" s="321"/>
      <c r="H40" s="187" t="s">
        <v>67</v>
      </c>
      <c r="I40" s="118">
        <f>(K34+L34)/1000</f>
        <v>0</v>
      </c>
      <c r="J40" s="131">
        <f>+I40+'11'!J40</f>
        <v>0</v>
      </c>
      <c r="K40" s="130" t="s">
        <v>63</v>
      </c>
    </row>
    <row r="41" spans="1:13" ht="17.45" customHeight="1">
      <c r="A41" s="781" t="s">
        <v>68</v>
      </c>
      <c r="B41" s="782"/>
      <c r="C41" s="164">
        <f>SUMIF($G$7:$G$31,"Electrical",$F$7:$F$31)</f>
        <v>0</v>
      </c>
      <c r="D41" s="118">
        <f>+C41+'11'!D41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+C42+'11'!D42</f>
        <v>0</v>
      </c>
      <c r="E42" s="143">
        <f t="shared" si="0"/>
        <v>0</v>
      </c>
      <c r="F42" s="321"/>
      <c r="G42" s="321"/>
      <c r="H42" s="187" t="s">
        <v>70</v>
      </c>
      <c r="I42" s="245"/>
      <c r="J42" s="132"/>
      <c r="K42" s="130" t="s">
        <v>71</v>
      </c>
    </row>
    <row r="43" spans="1:13" ht="17.45" customHeight="1">
      <c r="A43" s="781" t="s">
        <v>72</v>
      </c>
      <c r="B43" s="782"/>
      <c r="C43" s="164">
        <f>SUMIF($G$7:$G$31,"Water",$F$7:$F$31)</f>
        <v>0</v>
      </c>
      <c r="D43" s="118">
        <f>+C43+'11'!D43</f>
        <v>0</v>
      </c>
      <c r="E43" s="143">
        <f t="shared" si="0"/>
        <v>0</v>
      </c>
      <c r="F43" s="321"/>
      <c r="G43" s="322"/>
      <c r="H43" s="188" t="s">
        <v>73</v>
      </c>
      <c r="I43" s="118">
        <f>+Report1!Z20</f>
        <v>24.5</v>
      </c>
      <c r="J43" s="133">
        <f>+I43+'11'!J43</f>
        <v>271.3</v>
      </c>
      <c r="K43" s="130" t="s">
        <v>63</v>
      </c>
      <c r="L43" s="189"/>
    </row>
    <row r="44" spans="1:13" ht="17.45" customHeight="1">
      <c r="A44" s="781" t="s">
        <v>16</v>
      </c>
      <c r="B44" s="782"/>
      <c r="C44" s="164">
        <f>SUMIF($G$7:$G$31,"PLN",$F$7:$F$31)</f>
        <v>0</v>
      </c>
      <c r="D44" s="118">
        <f>+C44+'11'!D44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+C45+'11'!D45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+C46+'11'!D46</f>
        <v>0</v>
      </c>
      <c r="E46" s="143">
        <f t="shared" si="0"/>
        <v>0</v>
      </c>
      <c r="F46" s="321"/>
      <c r="G46" s="322"/>
      <c r="H46" s="188" t="s">
        <v>77</v>
      </c>
      <c r="I46" s="140">
        <f>+SUMIF(Listrik!P19,"&gt;0")</f>
        <v>5973.8600000000006</v>
      </c>
      <c r="J46" s="135">
        <f>+I46+'11'!J46</f>
        <v>61938.619999999995</v>
      </c>
      <c r="K46" s="130" t="s">
        <v>78</v>
      </c>
    </row>
    <row r="47" spans="1:13" ht="17.45" customHeight="1">
      <c r="A47" s="781" t="s">
        <v>79</v>
      </c>
      <c r="B47" s="782"/>
      <c r="C47" s="164">
        <f>SUMIF($G$7:$G$31,"Gas",$F$7:$F$31)</f>
        <v>0</v>
      </c>
      <c r="D47" s="118">
        <f>+C47+'11'!D47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+C48+'11'!D48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+C49+'11'!D49</f>
        <v>16800</v>
      </c>
      <c r="E49" s="143">
        <f t="shared" si="0"/>
        <v>280</v>
      </c>
      <c r="F49" s="185"/>
      <c r="H49" s="188" t="s">
        <v>267</v>
      </c>
      <c r="I49" s="118">
        <f>+Report1!T20</f>
        <v>0</v>
      </c>
      <c r="J49" s="135">
        <f>+I49+'11'!J49</f>
        <v>0</v>
      </c>
      <c r="K49" s="130" t="s">
        <v>82</v>
      </c>
    </row>
    <row r="50" spans="1:11" ht="17.45" customHeight="1">
      <c r="A50" s="781" t="s">
        <v>18</v>
      </c>
      <c r="B50" s="782"/>
      <c r="C50" s="164">
        <f>SUMIF($G$7:$G$31,"Steam",$F$7:$F$31)</f>
        <v>0</v>
      </c>
      <c r="D50" s="118">
        <f>+C50+'11'!D50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+C51+'11'!D51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16800</v>
      </c>
      <c r="E52" s="145">
        <f>SUM(E38:E51)</f>
        <v>280</v>
      </c>
      <c r="F52" s="185"/>
      <c r="H52" s="191"/>
      <c r="I52" s="192"/>
      <c r="J52" s="138"/>
      <c r="K52" s="139"/>
    </row>
    <row r="53" spans="1:11" ht="13.5" thickBot="1">
      <c r="A53" s="785"/>
      <c r="B53" s="786"/>
      <c r="C53" s="146">
        <f>C52/(24*60)</f>
        <v>1</v>
      </c>
      <c r="D53" s="146">
        <f>D52/(24*60*G4)</f>
        <v>0.97222222222222221</v>
      </c>
      <c r="E53" s="147">
        <f>E52/(G4*24)</f>
        <v>0.97222222222222221</v>
      </c>
      <c r="F53" s="185"/>
    </row>
    <row r="54" spans="1:11">
      <c r="E54" s="193"/>
      <c r="F54" s="185"/>
    </row>
    <row r="55" spans="1:11">
      <c r="E55" s="193"/>
    </row>
    <row r="56" spans="1:11">
      <c r="A56" s="194" t="s">
        <v>86</v>
      </c>
      <c r="B56" s="195"/>
      <c r="C56" s="196"/>
      <c r="D56" s="196"/>
      <c r="E56" s="196"/>
      <c r="F56" s="197"/>
      <c r="G56" s="196"/>
      <c r="H56" s="198"/>
      <c r="I56" s="199" t="s">
        <v>87</v>
      </c>
      <c r="J56" s="200">
        <f>+D34+'11'!J56</f>
        <v>0</v>
      </c>
      <c r="K56" s="201" t="e">
        <f>J56/(J40+J56/1000)/1000</f>
        <v>#DIV/0!</v>
      </c>
    </row>
    <row r="57" spans="1:11">
      <c r="A57" s="176"/>
      <c r="I57" s="199" t="s">
        <v>88</v>
      </c>
      <c r="J57" s="200">
        <f>+E34+'11'!J57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2:B52"/>
    <mergeCell ref="A53:B53"/>
    <mergeCell ref="A48:B48"/>
    <mergeCell ref="A49:B49"/>
    <mergeCell ref="A50:B50"/>
    <mergeCell ref="A51:B51"/>
    <mergeCell ref="A46:B46"/>
    <mergeCell ref="A47:B47"/>
    <mergeCell ref="A39:B39"/>
    <mergeCell ref="I24:I31"/>
    <mergeCell ref="A37:B37"/>
    <mergeCell ref="A38:B38"/>
    <mergeCell ref="A45:B45"/>
    <mergeCell ref="A40:B40"/>
    <mergeCell ref="A41:B41"/>
    <mergeCell ref="A34:B34"/>
    <mergeCell ref="A42:B42"/>
    <mergeCell ref="A43:B43"/>
    <mergeCell ref="A44:B44"/>
    <mergeCell ref="A7:A14"/>
    <mergeCell ref="I7:I13"/>
    <mergeCell ref="A15:A23"/>
    <mergeCell ref="I15:I22"/>
    <mergeCell ref="A24:A32"/>
  </mergeCells>
  <phoneticPr fontId="32"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view="pageBreakPreview" zoomScale="80" zoomScaleNormal="70" zoomScaleSheetLayoutView="80" workbookViewId="0">
      <selection activeCell="F24" sqref="F24:H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5703125" style="149" bestFit="1"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11</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+'10'!J7</f>
        <v>F 12 VP OW</v>
      </c>
      <c r="K7" s="237"/>
      <c r="L7" s="241"/>
      <c r="M7" s="117">
        <f>+K7+'10'!M7+L7</f>
        <v>0</v>
      </c>
    </row>
    <row r="8" spans="1:13" ht="13.5" thickBot="1">
      <c r="A8" s="768"/>
      <c r="B8" s="215"/>
      <c r="C8" s="216"/>
      <c r="D8" s="217"/>
      <c r="E8" s="219"/>
      <c r="F8" s="230"/>
      <c r="G8" s="231" t="s">
        <v>11</v>
      </c>
      <c r="H8" s="229" t="s">
        <v>282</v>
      </c>
      <c r="I8" s="771"/>
      <c r="J8" s="214">
        <f>+'10'!J8</f>
        <v>0</v>
      </c>
      <c r="K8" s="238"/>
      <c r="L8" s="238"/>
      <c r="M8" s="117">
        <f>+K8+'10'!M8+L8</f>
        <v>0</v>
      </c>
    </row>
    <row r="9" spans="1:13" ht="13.5" thickBot="1">
      <c r="A9" s="768"/>
      <c r="B9" s="215"/>
      <c r="C9" s="216"/>
      <c r="D9" s="217"/>
      <c r="E9" s="220"/>
      <c r="F9" s="227"/>
      <c r="G9" s="231" t="s">
        <v>11</v>
      </c>
      <c r="H9" s="232" t="s">
        <v>408</v>
      </c>
      <c r="I9" s="771"/>
      <c r="J9" s="214">
        <f>+'10'!J9</f>
        <v>0</v>
      </c>
      <c r="K9" s="238"/>
      <c r="L9" s="238"/>
      <c r="M9" s="117">
        <f>+K9+'10'!M9+L9</f>
        <v>0</v>
      </c>
    </row>
    <row r="10" spans="1:13" ht="13.5" thickBot="1">
      <c r="A10" s="768"/>
      <c r="B10" s="215"/>
      <c r="C10" s="216"/>
      <c r="D10" s="217"/>
      <c r="E10" s="219"/>
      <c r="F10" s="227"/>
      <c r="G10" s="236" t="s">
        <v>12</v>
      </c>
      <c r="H10" s="232" t="s">
        <v>414</v>
      </c>
      <c r="I10" s="771"/>
      <c r="J10" s="214">
        <f>+'10'!J10</f>
        <v>0</v>
      </c>
      <c r="K10" s="238"/>
      <c r="L10" s="238"/>
      <c r="M10" s="117">
        <f>+K10+'10'!M10+L10</f>
        <v>0</v>
      </c>
    </row>
    <row r="11" spans="1:13" ht="51.75" thickBot="1">
      <c r="A11" s="768"/>
      <c r="B11" s="215"/>
      <c r="C11" s="216"/>
      <c r="D11" s="217"/>
      <c r="E11" s="219"/>
      <c r="F11" s="230">
        <v>480</v>
      </c>
      <c r="G11" s="231" t="s">
        <v>19</v>
      </c>
      <c r="H11" s="232" t="s">
        <v>429</v>
      </c>
      <c r="I11" s="771"/>
      <c r="J11" s="214">
        <f>+'10'!J11</f>
        <v>0</v>
      </c>
      <c r="K11" s="238"/>
      <c r="L11" s="238"/>
      <c r="M11" s="117">
        <f>+K11+'10'!M11+L11</f>
        <v>0</v>
      </c>
    </row>
    <row r="12" spans="1:13" ht="13.5" thickBot="1">
      <c r="A12" s="768"/>
      <c r="B12" s="215"/>
      <c r="C12" s="216"/>
      <c r="D12" s="217"/>
      <c r="E12" s="219"/>
      <c r="F12" s="227"/>
      <c r="G12" s="231"/>
      <c r="H12" s="232"/>
      <c r="I12" s="771"/>
      <c r="J12" s="214">
        <f>+'10'!J12</f>
        <v>0</v>
      </c>
      <c r="K12" s="238"/>
      <c r="L12" s="238"/>
      <c r="M12" s="117">
        <f>+K12+'10'!M12+L12</f>
        <v>0</v>
      </c>
    </row>
    <row r="13" spans="1:13" ht="13.5" thickBot="1">
      <c r="A13" s="768"/>
      <c r="B13" s="215"/>
      <c r="C13" s="216"/>
      <c r="D13" s="216"/>
      <c r="E13" s="219"/>
      <c r="F13" s="227"/>
      <c r="G13" s="231"/>
      <c r="H13" s="232"/>
      <c r="I13" s="772"/>
      <c r="J13" s="214">
        <f>+'10'!J13</f>
        <v>0</v>
      </c>
      <c r="K13" s="238"/>
      <c r="L13" s="238"/>
      <c r="M13" s="117">
        <f>+K13+'10'!M13+L13</f>
        <v>0</v>
      </c>
    </row>
    <row r="14" spans="1:13" ht="13.5" thickBot="1">
      <c r="A14" s="769"/>
      <c r="B14" s="165" t="s">
        <v>2</v>
      </c>
      <c r="C14" s="99">
        <f>SUM(C7:C13)</f>
        <v>0</v>
      </c>
      <c r="D14" s="111">
        <f>SUM(D7:D13)</f>
        <v>0</v>
      </c>
      <c r="E14" s="112">
        <f>SUM(E5:E13)</f>
        <v>0</v>
      </c>
      <c r="F14" s="116">
        <f>SUM(F7:F13)</f>
        <v>480</v>
      </c>
      <c r="G14" s="159"/>
      <c r="H14" s="166"/>
      <c r="I14" s="167"/>
      <c r="J14" s="214">
        <f>+'10'!J14</f>
        <v>0</v>
      </c>
      <c r="K14" s="238"/>
      <c r="L14" s="238"/>
      <c r="M14" s="117">
        <f>+K14+'10'!M14+L14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+'10'!J15</f>
        <v>0</v>
      </c>
      <c r="K15" s="238"/>
      <c r="L15" s="238"/>
      <c r="M15" s="117">
        <f>+K15+'10'!M15+L15</f>
        <v>0</v>
      </c>
    </row>
    <row r="16" spans="1:13" ht="13.5" thickBot="1">
      <c r="A16" s="773"/>
      <c r="B16" s="215"/>
      <c r="C16" s="221"/>
      <c r="D16" s="222"/>
      <c r="E16" s="223"/>
      <c r="F16" s="230"/>
      <c r="G16" s="231" t="s">
        <v>11</v>
      </c>
      <c r="H16" s="229" t="s">
        <v>282</v>
      </c>
      <c r="I16" s="771"/>
      <c r="J16" s="214">
        <f>+'10'!J16</f>
        <v>0</v>
      </c>
      <c r="K16" s="228"/>
      <c r="L16" s="228"/>
      <c r="M16" s="117">
        <f>+K16+'10'!M16+L16</f>
        <v>0</v>
      </c>
    </row>
    <row r="17" spans="1:13" ht="13.5" thickBot="1">
      <c r="A17" s="773"/>
      <c r="B17" s="215"/>
      <c r="C17" s="216"/>
      <c r="D17" s="217"/>
      <c r="E17" s="224"/>
      <c r="F17" s="227"/>
      <c r="G17" s="231" t="s">
        <v>11</v>
      </c>
      <c r="H17" s="232" t="s">
        <v>408</v>
      </c>
      <c r="I17" s="771"/>
      <c r="J17" s="214">
        <f>+'10'!J17</f>
        <v>0</v>
      </c>
      <c r="K17" s="228"/>
      <c r="L17" s="228"/>
      <c r="M17" s="117">
        <f>+K17+'10'!M17+L17</f>
        <v>0</v>
      </c>
    </row>
    <row r="18" spans="1:13" ht="13.5" thickBot="1">
      <c r="A18" s="773"/>
      <c r="B18" s="215"/>
      <c r="C18" s="216"/>
      <c r="D18" s="217"/>
      <c r="E18" s="224"/>
      <c r="F18" s="227"/>
      <c r="G18" s="236" t="s">
        <v>12</v>
      </c>
      <c r="H18" s="232" t="s">
        <v>414</v>
      </c>
      <c r="I18" s="771"/>
      <c r="J18" s="214">
        <f>+'10'!J18</f>
        <v>0</v>
      </c>
      <c r="K18" s="238"/>
      <c r="L18" s="238"/>
      <c r="M18" s="117">
        <f>+K18+'10'!M18+L18</f>
        <v>0</v>
      </c>
    </row>
    <row r="19" spans="1:13" ht="39" thickBot="1">
      <c r="A19" s="773"/>
      <c r="B19" s="215"/>
      <c r="C19" s="216"/>
      <c r="D19" s="217"/>
      <c r="E19" s="224"/>
      <c r="F19" s="230">
        <v>480</v>
      </c>
      <c r="G19" s="231" t="s">
        <v>19</v>
      </c>
      <c r="H19" s="232" t="s">
        <v>432</v>
      </c>
      <c r="I19" s="771"/>
      <c r="J19" s="214">
        <f>+'10'!J19</f>
        <v>0</v>
      </c>
      <c r="K19" s="238"/>
      <c r="L19" s="238"/>
      <c r="M19" s="117">
        <f>+K19+'10'!M19+L19</f>
        <v>0</v>
      </c>
    </row>
    <row r="20" spans="1:13" ht="13.5" thickBot="1">
      <c r="A20" s="773"/>
      <c r="B20" s="215"/>
      <c r="C20" s="216"/>
      <c r="D20" s="217"/>
      <c r="E20" s="224"/>
      <c r="F20" s="227"/>
      <c r="G20" s="231"/>
      <c r="H20" s="232"/>
      <c r="I20" s="771"/>
      <c r="J20" s="214">
        <f>+'10'!J20</f>
        <v>0</v>
      </c>
      <c r="K20" s="239"/>
      <c r="L20" s="239"/>
      <c r="M20" s="117">
        <f>+K20+'10'!M20+L20</f>
        <v>0</v>
      </c>
    </row>
    <row r="21" spans="1:13" ht="13.5" thickBot="1">
      <c r="A21" s="773"/>
      <c r="B21" s="215"/>
      <c r="C21" s="216"/>
      <c r="D21" s="217"/>
      <c r="E21" s="224"/>
      <c r="F21" s="230"/>
      <c r="G21" s="231"/>
      <c r="H21" s="232"/>
      <c r="I21" s="771"/>
      <c r="J21" s="214">
        <f>+'10'!J21</f>
        <v>0</v>
      </c>
      <c r="K21" s="238"/>
      <c r="L21" s="238"/>
      <c r="M21" s="117">
        <f>+K21+'10'!M21+L21</f>
        <v>0</v>
      </c>
    </row>
    <row r="22" spans="1:13" ht="13.5" thickBot="1">
      <c r="A22" s="773"/>
      <c r="B22" s="215"/>
      <c r="C22" s="216"/>
      <c r="D22" s="217"/>
      <c r="E22" s="224"/>
      <c r="F22" s="235"/>
      <c r="G22" s="231"/>
      <c r="H22" s="232"/>
      <c r="I22" s="772"/>
      <c r="J22" s="214">
        <f>+'10'!J22</f>
        <v>0</v>
      </c>
      <c r="K22" s="238"/>
      <c r="L22" s="238"/>
      <c r="M22" s="117">
        <f>+K22+'10'!M22+L22</f>
        <v>0</v>
      </c>
    </row>
    <row r="23" spans="1:13" ht="13.5" thickBot="1">
      <c r="A23" s="774"/>
      <c r="B23" s="168" t="s">
        <v>2</v>
      </c>
      <c r="C23" s="100">
        <f>SUM(C16:C22)</f>
        <v>0</v>
      </c>
      <c r="D23" s="111">
        <f>SUM(D16:D22)</f>
        <v>0</v>
      </c>
      <c r="E23" s="112">
        <f>SUM(E18:E22)</f>
        <v>0</v>
      </c>
      <c r="F23" s="116">
        <f>SUM(F15:F22)</f>
        <v>480</v>
      </c>
      <c r="G23" s="159"/>
      <c r="H23" s="166"/>
      <c r="I23" s="169"/>
      <c r="J23" s="214">
        <f>+'10'!J23</f>
        <v>0</v>
      </c>
      <c r="K23" s="238"/>
      <c r="L23" s="238"/>
      <c r="M23" s="117">
        <f>+K23+'10'!M23+L23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+'10'!J24</f>
        <v>0</v>
      </c>
      <c r="K24" s="238"/>
      <c r="L24" s="238"/>
      <c r="M24" s="117">
        <f>+K24+'10'!M24+L24</f>
        <v>0</v>
      </c>
    </row>
    <row r="25" spans="1:13" ht="13.5" thickBot="1">
      <c r="A25" s="773"/>
      <c r="B25" s="215"/>
      <c r="C25" s="225"/>
      <c r="D25" s="217"/>
      <c r="E25" s="224"/>
      <c r="F25" s="230"/>
      <c r="G25" s="231" t="s">
        <v>11</v>
      </c>
      <c r="H25" s="229" t="s">
        <v>282</v>
      </c>
      <c r="I25" s="771"/>
      <c r="J25" s="214">
        <f>+'10'!J25</f>
        <v>0</v>
      </c>
      <c r="K25" s="238"/>
      <c r="L25" s="238"/>
      <c r="M25" s="117">
        <f>+K25+'10'!M25+L25</f>
        <v>0</v>
      </c>
    </row>
    <row r="26" spans="1:13" ht="13.5" thickBot="1">
      <c r="A26" s="773"/>
      <c r="B26" s="215"/>
      <c r="C26" s="225"/>
      <c r="D26" s="217"/>
      <c r="E26" s="226"/>
      <c r="F26" s="227"/>
      <c r="G26" s="231" t="s">
        <v>11</v>
      </c>
      <c r="H26" s="232" t="s">
        <v>408</v>
      </c>
      <c r="I26" s="771"/>
      <c r="J26" s="214">
        <f>+'10'!J26</f>
        <v>0</v>
      </c>
      <c r="K26" s="228"/>
      <c r="L26" s="228"/>
      <c r="M26" s="117">
        <f>+K26+'10'!M26+L26</f>
        <v>0</v>
      </c>
    </row>
    <row r="27" spans="1:13" ht="13.5" thickBot="1">
      <c r="A27" s="773"/>
      <c r="B27" s="215"/>
      <c r="C27" s="216"/>
      <c r="D27" s="217"/>
      <c r="E27" s="224"/>
      <c r="F27" s="227"/>
      <c r="G27" s="236" t="s">
        <v>12</v>
      </c>
      <c r="H27" s="232" t="s">
        <v>414</v>
      </c>
      <c r="I27" s="771"/>
      <c r="J27" s="214">
        <f>+'10'!J27</f>
        <v>0</v>
      </c>
      <c r="K27" s="228"/>
      <c r="L27" s="228"/>
      <c r="M27" s="117">
        <f>+K27+'10'!M27+L27</f>
        <v>0</v>
      </c>
    </row>
    <row r="28" spans="1:13" ht="39" thickBot="1">
      <c r="A28" s="773"/>
      <c r="B28" s="215"/>
      <c r="C28" s="216"/>
      <c r="D28" s="217"/>
      <c r="E28" s="224"/>
      <c r="F28" s="230">
        <v>480</v>
      </c>
      <c r="G28" s="231" t="s">
        <v>19</v>
      </c>
      <c r="H28" s="232" t="s">
        <v>431</v>
      </c>
      <c r="I28" s="771"/>
      <c r="J28" s="214">
        <f>+'10'!J28</f>
        <v>0</v>
      </c>
      <c r="K28" s="238"/>
      <c r="L28" s="238"/>
      <c r="M28" s="117">
        <f>+K28+'10'!M28+L28</f>
        <v>0</v>
      </c>
    </row>
    <row r="29" spans="1:13" ht="13.5" thickBot="1">
      <c r="A29" s="773"/>
      <c r="B29" s="215"/>
      <c r="C29" s="216"/>
      <c r="D29" s="217"/>
      <c r="E29" s="224"/>
      <c r="F29" s="235"/>
      <c r="G29" s="231"/>
      <c r="H29" s="232"/>
      <c r="I29" s="771"/>
      <c r="J29" s="214">
        <f>+'10'!J29</f>
        <v>0</v>
      </c>
      <c r="K29" s="238"/>
      <c r="L29" s="238"/>
      <c r="M29" s="117">
        <f>+K29+'10'!M29+L29</f>
        <v>0</v>
      </c>
    </row>
    <row r="30" spans="1:13" ht="13.5" thickBot="1">
      <c r="A30" s="773"/>
      <c r="B30" s="215"/>
      <c r="C30" s="225"/>
      <c r="D30" s="217"/>
      <c r="E30" s="224"/>
      <c r="F30" s="235"/>
      <c r="G30" s="231"/>
      <c r="H30" s="232"/>
      <c r="I30" s="771"/>
      <c r="J30" s="214">
        <f>+'10'!J30</f>
        <v>0</v>
      </c>
      <c r="K30" s="239"/>
      <c r="L30" s="239"/>
      <c r="M30" s="117">
        <f>+K30+'10'!M30+L30</f>
        <v>0</v>
      </c>
    </row>
    <row r="31" spans="1:13" ht="13.5" thickBot="1">
      <c r="A31" s="773"/>
      <c r="B31" s="215"/>
      <c r="C31" s="225"/>
      <c r="D31" s="217"/>
      <c r="E31" s="224"/>
      <c r="F31" s="235"/>
      <c r="G31" s="236"/>
      <c r="H31" s="444"/>
      <c r="I31" s="772"/>
      <c r="J31" s="214">
        <f>+'10'!J31</f>
        <v>0</v>
      </c>
      <c r="K31" s="238"/>
      <c r="L31" s="238"/>
      <c r="M31" s="117">
        <f>+K31+'10'!M31+L31</f>
        <v>0</v>
      </c>
    </row>
    <row r="32" spans="1:13" ht="13.5" thickBot="1">
      <c r="A32" s="774"/>
      <c r="B32" s="165" t="s">
        <v>2</v>
      </c>
      <c r="C32" s="99">
        <f>SUM(C25:C31)</f>
        <v>0</v>
      </c>
      <c r="D32" s="100">
        <f>SUM(D25:D31)</f>
        <v>0</v>
      </c>
      <c r="E32" s="101">
        <f>SUM(E25:E31)</f>
        <v>0</v>
      </c>
      <c r="F32" s="102">
        <f>SUM(F24:F31)</f>
        <v>480</v>
      </c>
      <c r="G32" s="171"/>
      <c r="H32" s="172"/>
      <c r="I32" s="169"/>
      <c r="J32" s="214">
        <f>+'10'!J32</f>
        <v>0</v>
      </c>
      <c r="K32" s="238"/>
      <c r="L32" s="238"/>
      <c r="M32" s="117">
        <f>+K32+'10'!M32+L32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(14*1429)/1429*G42*2.74*1429/1000000</f>
        <v>0</v>
      </c>
      <c r="J37" s="125">
        <f>+I37+'10'!J37</f>
        <v>0</v>
      </c>
      <c r="K37" s="126" t="s">
        <v>63</v>
      </c>
    </row>
    <row r="38" spans="1:13" ht="17.45" customHeight="1">
      <c r="A38" s="779" t="s">
        <v>11</v>
      </c>
      <c r="B38" s="780"/>
      <c r="C38" s="164">
        <f>SUMIF($G$7:$G$31,"Process",$F$7:$F$31)</f>
        <v>0</v>
      </c>
      <c r="D38" s="118">
        <f>+C38+'10'!D38</f>
        <v>0</v>
      </c>
      <c r="E38" s="143">
        <f t="shared" ref="E38:E51" si="0">D38/60</f>
        <v>0</v>
      </c>
      <c r="F38" s="321"/>
      <c r="G38" s="321"/>
      <c r="H38" s="187" t="s">
        <v>64</v>
      </c>
      <c r="I38" s="244"/>
      <c r="J38" s="127">
        <f>+I38+'10'!J38</f>
        <v>0</v>
      </c>
      <c r="K38" s="128" t="s">
        <v>63</v>
      </c>
    </row>
    <row r="39" spans="1:13" ht="17.45" customHeight="1">
      <c r="A39" s="781" t="s">
        <v>12</v>
      </c>
      <c r="B39" s="782"/>
      <c r="C39" s="164">
        <f>SUMIF($G$7:$G$31,"Cleaning",$F$7:$F$31)</f>
        <v>0</v>
      </c>
      <c r="D39" s="118">
        <f>+C39+'10'!D39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+C40+'10'!D40</f>
        <v>0</v>
      </c>
      <c r="E40" s="143">
        <f t="shared" si="0"/>
        <v>0</v>
      </c>
      <c r="F40" s="321"/>
      <c r="G40" s="321"/>
      <c r="H40" s="187" t="s">
        <v>67</v>
      </c>
      <c r="I40" s="118">
        <f>(K34+L34)/1000</f>
        <v>0</v>
      </c>
      <c r="J40" s="131">
        <f>+I40+'10'!J40</f>
        <v>0</v>
      </c>
      <c r="K40" s="130" t="s">
        <v>63</v>
      </c>
    </row>
    <row r="41" spans="1:13" ht="17.45" customHeight="1">
      <c r="A41" s="781" t="s">
        <v>68</v>
      </c>
      <c r="B41" s="782"/>
      <c r="C41" s="164">
        <f>SUMIF($G$7:$G$31,"Electrical",$F$7:$F$31)</f>
        <v>0</v>
      </c>
      <c r="D41" s="118">
        <f>+C41+'10'!D41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+C42+'10'!D42</f>
        <v>0</v>
      </c>
      <c r="E42" s="143">
        <f t="shared" si="0"/>
        <v>0</v>
      </c>
      <c r="F42" s="321"/>
      <c r="G42" s="321"/>
      <c r="H42" s="187" t="s">
        <v>70</v>
      </c>
      <c r="I42" s="245"/>
      <c r="J42" s="132"/>
      <c r="K42" s="130" t="s">
        <v>71</v>
      </c>
    </row>
    <row r="43" spans="1:13" ht="17.45" customHeight="1">
      <c r="A43" s="781" t="s">
        <v>72</v>
      </c>
      <c r="B43" s="782"/>
      <c r="C43" s="164">
        <f>SUMIF($G$7:$G$31,"Water",$F$7:$F$31)</f>
        <v>0</v>
      </c>
      <c r="D43" s="118">
        <f>+C43+'10'!D43</f>
        <v>0</v>
      </c>
      <c r="E43" s="143">
        <f t="shared" si="0"/>
        <v>0</v>
      </c>
      <c r="F43" s="321"/>
      <c r="G43" s="322"/>
      <c r="H43" s="188" t="s">
        <v>73</v>
      </c>
      <c r="I43" s="118">
        <f>+Report1!Z19</f>
        <v>34</v>
      </c>
      <c r="J43" s="133">
        <f>+I43+'10'!J43</f>
        <v>246.8</v>
      </c>
      <c r="K43" s="130" t="s">
        <v>63</v>
      </c>
      <c r="L43" s="189"/>
    </row>
    <row r="44" spans="1:13" ht="17.45" customHeight="1">
      <c r="A44" s="781" t="s">
        <v>16</v>
      </c>
      <c r="B44" s="782"/>
      <c r="C44" s="164">
        <f>SUMIF($G$7:$G$31,"PLN",$F$7:$F$31)</f>
        <v>0</v>
      </c>
      <c r="D44" s="118">
        <f>+C44+'10'!D44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+C45+'10'!D45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+C46+'10'!D46</f>
        <v>0</v>
      </c>
      <c r="E46" s="143">
        <f t="shared" si="0"/>
        <v>0</v>
      </c>
      <c r="F46" s="321"/>
      <c r="G46" s="322"/>
      <c r="H46" s="188" t="s">
        <v>77</v>
      </c>
      <c r="I46" s="140">
        <f>+SUMIF(Listrik!P18,"&gt;0")</f>
        <v>5965.7400000007274</v>
      </c>
      <c r="J46" s="135">
        <f>+I46+'10'!J46</f>
        <v>55964.759999999995</v>
      </c>
      <c r="K46" s="130" t="s">
        <v>78</v>
      </c>
    </row>
    <row r="47" spans="1:13" ht="17.45" customHeight="1">
      <c r="A47" s="781" t="s">
        <v>79</v>
      </c>
      <c r="B47" s="782"/>
      <c r="C47" s="164">
        <f>SUMIF($G$7:$G$31,"Gas",$F$7:$F$31)</f>
        <v>0</v>
      </c>
      <c r="D47" s="118">
        <f>+C47+'10'!D47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+C48+'10'!D48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+C49+'10'!D49</f>
        <v>15360</v>
      </c>
      <c r="E49" s="143">
        <f t="shared" si="0"/>
        <v>256</v>
      </c>
      <c r="F49" s="185"/>
      <c r="H49" s="188" t="s">
        <v>266</v>
      </c>
      <c r="I49" s="118">
        <f>+Report1!T19</f>
        <v>0</v>
      </c>
      <c r="J49" s="135">
        <f>+I49+'10'!J49</f>
        <v>0</v>
      </c>
      <c r="K49" s="130" t="s">
        <v>82</v>
      </c>
    </row>
    <row r="50" spans="1:11" ht="17.45" customHeight="1">
      <c r="A50" s="781" t="s">
        <v>18</v>
      </c>
      <c r="B50" s="782"/>
      <c r="C50" s="164">
        <f>SUMIF($G$7:$G$31,"Steam",$F$7:$F$31)</f>
        <v>0</v>
      </c>
      <c r="D50" s="118">
        <f>+C50+'10'!D50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+C51+'10'!D51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15360</v>
      </c>
      <c r="E52" s="145">
        <f>SUM(E38:E51)</f>
        <v>256</v>
      </c>
      <c r="F52" s="185"/>
      <c r="H52" s="191"/>
      <c r="I52" s="192"/>
      <c r="J52" s="138"/>
      <c r="K52" s="139"/>
    </row>
    <row r="53" spans="1:11" ht="13.5" thickBot="1">
      <c r="A53" s="785"/>
      <c r="B53" s="786"/>
      <c r="C53" s="146">
        <f>C52/(24*60)</f>
        <v>1</v>
      </c>
      <c r="D53" s="146">
        <f>D52/(24*60*G4)</f>
        <v>0.96969696969696972</v>
      </c>
      <c r="E53" s="147">
        <f>E52/(G4*24)</f>
        <v>0.96969696969696972</v>
      </c>
      <c r="F53" s="185"/>
    </row>
    <row r="54" spans="1:11">
      <c r="E54" s="193"/>
      <c r="F54" s="185"/>
    </row>
    <row r="55" spans="1:11">
      <c r="E55" s="193"/>
    </row>
    <row r="56" spans="1:11">
      <c r="A56" s="194" t="s">
        <v>86</v>
      </c>
      <c r="B56" s="195"/>
      <c r="C56" s="196"/>
      <c r="D56" s="196"/>
      <c r="E56" s="196"/>
      <c r="F56" s="197"/>
      <c r="G56" s="196"/>
      <c r="H56" s="198"/>
      <c r="I56" s="199" t="s">
        <v>87</v>
      </c>
      <c r="J56" s="200">
        <f>+D34+'10'!J56</f>
        <v>0</v>
      </c>
      <c r="K56" s="201" t="e">
        <f>J56/(J40+J56/1000)/1000</f>
        <v>#DIV/0!</v>
      </c>
    </row>
    <row r="57" spans="1:11">
      <c r="A57" s="176"/>
      <c r="I57" s="199" t="s">
        <v>88</v>
      </c>
      <c r="J57" s="200">
        <f>+E34+'10'!J57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2" type="noConversion"/>
  <pageMargins left="0.17" right="0.16" top="0.17" bottom="0.16" header="0" footer="0"/>
  <pageSetup paperSize="9" scale="53"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view="pageBreakPreview" zoomScale="80" zoomScaleNormal="75" zoomScaleSheetLayoutView="80" workbookViewId="0">
      <selection activeCell="F24" sqref="F24:H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10</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+'9'!J7</f>
        <v>F 12 VP OW</v>
      </c>
      <c r="K7" s="237"/>
      <c r="L7" s="241"/>
      <c r="M7" s="117">
        <f>+K7+'9'!M7+L7</f>
        <v>0</v>
      </c>
    </row>
    <row r="8" spans="1:13" ht="13.5" thickBot="1">
      <c r="A8" s="768"/>
      <c r="B8" s="215"/>
      <c r="C8" s="216"/>
      <c r="D8" s="217"/>
      <c r="E8" s="219"/>
      <c r="F8" s="230"/>
      <c r="G8" s="231" t="s">
        <v>11</v>
      </c>
      <c r="H8" s="229" t="s">
        <v>282</v>
      </c>
      <c r="I8" s="771"/>
      <c r="J8" s="214">
        <f>+'9'!J8</f>
        <v>0</v>
      </c>
      <c r="K8" s="238"/>
      <c r="L8" s="238"/>
      <c r="M8" s="117">
        <f>+K8+'9'!M8+L8</f>
        <v>0</v>
      </c>
    </row>
    <row r="9" spans="1:13" ht="13.5" thickBot="1">
      <c r="A9" s="768"/>
      <c r="B9" s="215"/>
      <c r="C9" s="216"/>
      <c r="D9" s="217"/>
      <c r="E9" s="220"/>
      <c r="F9" s="227"/>
      <c r="G9" s="231" t="s">
        <v>11</v>
      </c>
      <c r="H9" s="232" t="s">
        <v>408</v>
      </c>
      <c r="I9" s="771"/>
      <c r="J9" s="214">
        <f>+'9'!J9</f>
        <v>0</v>
      </c>
      <c r="K9" s="238"/>
      <c r="L9" s="238"/>
      <c r="M9" s="117">
        <f>+K9+'9'!M9+L9</f>
        <v>0</v>
      </c>
    </row>
    <row r="10" spans="1:13" ht="13.5" thickBot="1">
      <c r="A10" s="768"/>
      <c r="B10" s="215"/>
      <c r="C10" s="216"/>
      <c r="D10" s="217"/>
      <c r="E10" s="219"/>
      <c r="F10" s="227"/>
      <c r="G10" s="236" t="s">
        <v>12</v>
      </c>
      <c r="H10" s="232" t="s">
        <v>414</v>
      </c>
      <c r="I10" s="771"/>
      <c r="J10" s="214">
        <f>+'9'!J10</f>
        <v>0</v>
      </c>
      <c r="K10" s="238"/>
      <c r="L10" s="238"/>
      <c r="M10" s="117">
        <f>+K10+'9'!M10+L10</f>
        <v>0</v>
      </c>
    </row>
    <row r="11" spans="1:13" ht="90" thickBot="1">
      <c r="A11" s="768"/>
      <c r="B11" s="215"/>
      <c r="C11" s="216"/>
      <c r="D11" s="217"/>
      <c r="E11" s="219"/>
      <c r="F11" s="230">
        <v>480</v>
      </c>
      <c r="G11" s="231" t="s">
        <v>19</v>
      </c>
      <c r="H11" s="232" t="s">
        <v>426</v>
      </c>
      <c r="I11" s="771"/>
      <c r="J11" s="214">
        <f>+'9'!J11</f>
        <v>0</v>
      </c>
      <c r="K11" s="238"/>
      <c r="L11" s="238"/>
      <c r="M11" s="117">
        <f>+K11+'9'!M11+L11</f>
        <v>0</v>
      </c>
    </row>
    <row r="12" spans="1:13" ht="13.5" thickBot="1">
      <c r="A12" s="768"/>
      <c r="B12" s="215"/>
      <c r="C12" s="216"/>
      <c r="D12" s="217"/>
      <c r="E12" s="219"/>
      <c r="F12" s="227"/>
      <c r="G12" s="231"/>
      <c r="H12" s="232"/>
      <c r="I12" s="771"/>
      <c r="J12" s="214">
        <f>+'9'!J12</f>
        <v>0</v>
      </c>
      <c r="K12" s="238"/>
      <c r="L12" s="238"/>
      <c r="M12" s="117">
        <f>+K12+'9'!M12+L12</f>
        <v>0</v>
      </c>
    </row>
    <row r="13" spans="1:13" ht="13.5" thickBot="1">
      <c r="A13" s="768"/>
      <c r="B13" s="215"/>
      <c r="C13" s="216"/>
      <c r="D13" s="216"/>
      <c r="E13" s="219"/>
      <c r="F13" s="227"/>
      <c r="G13" s="231"/>
      <c r="H13" s="232"/>
      <c r="I13" s="772"/>
      <c r="J13" s="214">
        <f>+'9'!J13</f>
        <v>0</v>
      </c>
      <c r="K13" s="238"/>
      <c r="L13" s="238"/>
      <c r="M13" s="117">
        <f>+K13+'9'!M13+L13</f>
        <v>0</v>
      </c>
    </row>
    <row r="14" spans="1:13" ht="13.5" thickBot="1">
      <c r="A14" s="769"/>
      <c r="B14" s="165" t="s">
        <v>2</v>
      </c>
      <c r="C14" s="99">
        <f>SUM(C7:C13)</f>
        <v>0</v>
      </c>
      <c r="D14" s="111">
        <f>SUM(D7:D13)</f>
        <v>0</v>
      </c>
      <c r="E14" s="112">
        <f>SUM(E5:E13)</f>
        <v>0</v>
      </c>
      <c r="F14" s="116">
        <f>SUM(F7:F13)</f>
        <v>480</v>
      </c>
      <c r="G14" s="159"/>
      <c r="H14" s="166"/>
      <c r="I14" s="167"/>
      <c r="J14" s="214">
        <f>+'9'!J14</f>
        <v>0</v>
      </c>
      <c r="K14" s="238"/>
      <c r="L14" s="238"/>
      <c r="M14" s="117">
        <f>+K14+'9'!M14+L14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+'9'!J15</f>
        <v>0</v>
      </c>
      <c r="K15" s="238"/>
      <c r="L15" s="238"/>
      <c r="M15" s="117">
        <f>+K15+'9'!M15+L15</f>
        <v>0</v>
      </c>
    </row>
    <row r="16" spans="1:13" ht="13.5" thickBot="1">
      <c r="A16" s="773"/>
      <c r="B16" s="215"/>
      <c r="C16" s="221"/>
      <c r="D16" s="222"/>
      <c r="E16" s="223"/>
      <c r="F16" s="230"/>
      <c r="G16" s="231" t="s">
        <v>11</v>
      </c>
      <c r="H16" s="229" t="s">
        <v>282</v>
      </c>
      <c r="I16" s="771"/>
      <c r="J16" s="214">
        <f>+'9'!J16</f>
        <v>0</v>
      </c>
      <c r="K16" s="228"/>
      <c r="L16" s="228"/>
      <c r="M16" s="117">
        <f>+K16+'9'!M16+L16</f>
        <v>0</v>
      </c>
    </row>
    <row r="17" spans="1:13" ht="13.5" thickBot="1">
      <c r="A17" s="773"/>
      <c r="B17" s="215"/>
      <c r="C17" s="216"/>
      <c r="D17" s="217"/>
      <c r="E17" s="224"/>
      <c r="F17" s="227"/>
      <c r="G17" s="231" t="s">
        <v>11</v>
      </c>
      <c r="H17" s="232" t="s">
        <v>408</v>
      </c>
      <c r="I17" s="771"/>
      <c r="J17" s="214">
        <f>+'9'!J17</f>
        <v>0</v>
      </c>
      <c r="K17" s="228"/>
      <c r="L17" s="228"/>
      <c r="M17" s="117">
        <f>+K17+'9'!M17+L17</f>
        <v>0</v>
      </c>
    </row>
    <row r="18" spans="1:13" ht="13.5" thickBot="1">
      <c r="A18" s="773"/>
      <c r="B18" s="215"/>
      <c r="C18" s="216"/>
      <c r="D18" s="217"/>
      <c r="E18" s="224"/>
      <c r="F18" s="227"/>
      <c r="G18" s="236" t="s">
        <v>12</v>
      </c>
      <c r="H18" s="232" t="s">
        <v>414</v>
      </c>
      <c r="I18" s="771"/>
      <c r="J18" s="214">
        <f>+'9'!J18</f>
        <v>0</v>
      </c>
      <c r="K18" s="238"/>
      <c r="L18" s="238"/>
      <c r="M18" s="117">
        <f>+K18+'9'!M18+L18</f>
        <v>0</v>
      </c>
    </row>
    <row r="19" spans="1:13" ht="51.75" thickBot="1">
      <c r="A19" s="773"/>
      <c r="B19" s="215"/>
      <c r="C19" s="216"/>
      <c r="D19" s="217"/>
      <c r="E19" s="224"/>
      <c r="F19" s="230">
        <v>480</v>
      </c>
      <c r="G19" s="231" t="s">
        <v>19</v>
      </c>
      <c r="H19" s="232" t="s">
        <v>430</v>
      </c>
      <c r="I19" s="771"/>
      <c r="J19" s="214">
        <f>+'9'!J19</f>
        <v>0</v>
      </c>
      <c r="K19" s="238"/>
      <c r="L19" s="238"/>
      <c r="M19" s="117">
        <f>+K19+'9'!M19+L19</f>
        <v>0</v>
      </c>
    </row>
    <row r="20" spans="1:13" ht="13.5" thickBot="1">
      <c r="A20" s="773"/>
      <c r="B20" s="215"/>
      <c r="C20" s="216"/>
      <c r="D20" s="217"/>
      <c r="E20" s="224"/>
      <c r="F20" s="227"/>
      <c r="G20" s="231"/>
      <c r="H20" s="232"/>
      <c r="I20" s="771"/>
      <c r="J20" s="214">
        <f>+'9'!J20</f>
        <v>0</v>
      </c>
      <c r="K20" s="239"/>
      <c r="L20" s="239"/>
      <c r="M20" s="117">
        <f>+K20+'9'!M20+L20</f>
        <v>0</v>
      </c>
    </row>
    <row r="21" spans="1:13" ht="13.5" thickBot="1">
      <c r="A21" s="773"/>
      <c r="B21" s="215"/>
      <c r="C21" s="216"/>
      <c r="D21" s="217"/>
      <c r="E21" s="224"/>
      <c r="F21" s="227"/>
      <c r="G21" s="231"/>
      <c r="H21" s="232"/>
      <c r="I21" s="771"/>
      <c r="J21" s="214">
        <f>+'9'!J21</f>
        <v>0</v>
      </c>
      <c r="K21" s="238"/>
      <c r="L21" s="238"/>
      <c r="M21" s="117">
        <f>+K21+'9'!M21+L21</f>
        <v>0</v>
      </c>
    </row>
    <row r="22" spans="1:13" ht="13.5" thickBot="1">
      <c r="A22" s="773"/>
      <c r="B22" s="215"/>
      <c r="C22" s="216"/>
      <c r="D22" s="217"/>
      <c r="E22" s="224"/>
      <c r="F22" s="235"/>
      <c r="G22" s="231"/>
      <c r="H22" s="232"/>
      <c r="I22" s="772"/>
      <c r="J22" s="214">
        <f>+'9'!J22</f>
        <v>0</v>
      </c>
      <c r="K22" s="238"/>
      <c r="L22" s="238"/>
      <c r="M22" s="117">
        <f>+K22+'9'!M22+L22</f>
        <v>0</v>
      </c>
    </row>
    <row r="23" spans="1:13" ht="13.5" thickBot="1">
      <c r="A23" s="774"/>
      <c r="B23" s="168" t="s">
        <v>2</v>
      </c>
      <c r="C23" s="100">
        <f>SUM(C16:C22)</f>
        <v>0</v>
      </c>
      <c r="D23" s="111">
        <f>SUM(D16:D22)</f>
        <v>0</v>
      </c>
      <c r="E23" s="112">
        <f>SUM(E18:E22)</f>
        <v>0</v>
      </c>
      <c r="F23" s="116">
        <f>SUM(F15:F22)</f>
        <v>480</v>
      </c>
      <c r="G23" s="159"/>
      <c r="H23" s="166"/>
      <c r="I23" s="169"/>
      <c r="J23" s="214">
        <f>+'9'!J23</f>
        <v>0</v>
      </c>
      <c r="K23" s="238"/>
      <c r="L23" s="238"/>
      <c r="M23" s="117">
        <f>+K23+'9'!M23+L23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+'8'!J24</f>
        <v>0</v>
      </c>
      <c r="K24" s="238"/>
      <c r="L24" s="238"/>
      <c r="M24" s="117">
        <f>+K24+'9'!M24+L24</f>
        <v>0</v>
      </c>
    </row>
    <row r="25" spans="1:13" ht="13.5" customHeight="1" thickBot="1">
      <c r="A25" s="773"/>
      <c r="B25" s="215"/>
      <c r="C25" s="225"/>
      <c r="D25" s="217"/>
      <c r="E25" s="224"/>
      <c r="F25" s="230"/>
      <c r="G25" s="231" t="s">
        <v>11</v>
      </c>
      <c r="H25" s="229" t="s">
        <v>282</v>
      </c>
      <c r="I25" s="771"/>
      <c r="J25" s="214">
        <f>+'8'!J25</f>
        <v>0</v>
      </c>
      <c r="K25" s="238"/>
      <c r="L25" s="238"/>
      <c r="M25" s="117">
        <f>+K25+'9'!M25+L25</f>
        <v>0</v>
      </c>
    </row>
    <row r="26" spans="1:13" ht="13.5" customHeight="1" thickBot="1">
      <c r="A26" s="773"/>
      <c r="B26" s="215"/>
      <c r="C26" s="225"/>
      <c r="D26" s="217"/>
      <c r="E26" s="226"/>
      <c r="F26" s="227"/>
      <c r="G26" s="231" t="s">
        <v>11</v>
      </c>
      <c r="H26" s="232" t="s">
        <v>408</v>
      </c>
      <c r="I26" s="771"/>
      <c r="J26" s="214">
        <f>+'8'!J26</f>
        <v>0</v>
      </c>
      <c r="K26" s="238"/>
      <c r="L26" s="238"/>
      <c r="M26" s="117">
        <f>+K26+'9'!M26+L26</f>
        <v>0</v>
      </c>
    </row>
    <row r="27" spans="1:13" ht="13.5" customHeight="1" thickBot="1">
      <c r="A27" s="773"/>
      <c r="B27" s="215"/>
      <c r="C27" s="216"/>
      <c r="D27" s="217"/>
      <c r="E27" s="224"/>
      <c r="F27" s="227"/>
      <c r="G27" s="236" t="s">
        <v>12</v>
      </c>
      <c r="H27" s="232" t="s">
        <v>414</v>
      </c>
      <c r="I27" s="771"/>
      <c r="J27" s="214">
        <f>+'8'!J27</f>
        <v>0</v>
      </c>
      <c r="K27" s="238"/>
      <c r="L27" s="238"/>
      <c r="M27" s="117">
        <f>+K27+'9'!M27+L27</f>
        <v>0</v>
      </c>
    </row>
    <row r="28" spans="1:13" ht="13.5" customHeight="1" thickBot="1">
      <c r="A28" s="773"/>
      <c r="B28" s="215"/>
      <c r="C28" s="216"/>
      <c r="D28" s="217"/>
      <c r="E28" s="224"/>
      <c r="F28" s="230">
        <v>480</v>
      </c>
      <c r="G28" s="231" t="s">
        <v>19</v>
      </c>
      <c r="H28" s="232" t="s">
        <v>429</v>
      </c>
      <c r="I28" s="771"/>
      <c r="J28" s="214">
        <f>+'8'!J28</f>
        <v>0</v>
      </c>
      <c r="K28" s="238"/>
      <c r="L28" s="238"/>
      <c r="M28" s="117">
        <f>+K28+'9'!M28+L28</f>
        <v>0</v>
      </c>
    </row>
    <row r="29" spans="1:13" ht="13.5" customHeight="1" thickBot="1">
      <c r="A29" s="773"/>
      <c r="B29" s="215"/>
      <c r="C29" s="216"/>
      <c r="D29" s="217"/>
      <c r="E29" s="224"/>
      <c r="F29" s="227"/>
      <c r="G29" s="231"/>
      <c r="H29" s="232"/>
      <c r="I29" s="771"/>
      <c r="J29" s="214">
        <f>+'8'!J29</f>
        <v>0</v>
      </c>
      <c r="K29" s="238"/>
      <c r="L29" s="238"/>
      <c r="M29" s="117">
        <f>+K29+'9'!M29+L29</f>
        <v>0</v>
      </c>
    </row>
    <row r="30" spans="1:13" ht="13.5" customHeight="1" thickBot="1">
      <c r="A30" s="773"/>
      <c r="B30" s="215"/>
      <c r="C30" s="225"/>
      <c r="D30" s="217"/>
      <c r="E30" s="224"/>
      <c r="F30" s="227"/>
      <c r="G30" s="231"/>
      <c r="H30" s="232"/>
      <c r="I30" s="771"/>
      <c r="J30" s="214">
        <f>+'8'!J30</f>
        <v>0</v>
      </c>
      <c r="K30" s="238"/>
      <c r="L30" s="238"/>
      <c r="M30" s="117">
        <f>+K30+'9'!M30+L30</f>
        <v>0</v>
      </c>
    </row>
    <row r="31" spans="1:13" ht="13.5" customHeight="1" thickBot="1">
      <c r="A31" s="773"/>
      <c r="B31" s="215"/>
      <c r="C31" s="225"/>
      <c r="D31" s="217"/>
      <c r="E31" s="224"/>
      <c r="F31" s="235"/>
      <c r="G31" s="236"/>
      <c r="H31" s="444"/>
      <c r="I31" s="772"/>
      <c r="J31" s="214">
        <f>+'8'!J31</f>
        <v>0</v>
      </c>
      <c r="K31" s="238"/>
      <c r="L31" s="238"/>
      <c r="M31" s="117">
        <f>+K31+'9'!M31+L31</f>
        <v>0</v>
      </c>
    </row>
    <row r="32" spans="1:13" ht="13.5" customHeight="1" thickBot="1">
      <c r="A32" s="774"/>
      <c r="B32" s="165" t="s">
        <v>2</v>
      </c>
      <c r="C32" s="99">
        <f>SUM(C25:C31)</f>
        <v>0</v>
      </c>
      <c r="D32" s="100">
        <f>SUM(D25:D31)</f>
        <v>0</v>
      </c>
      <c r="E32" s="101">
        <f>SUM(E25:E31)</f>
        <v>0</v>
      </c>
      <c r="F32" s="102">
        <f>SUM(F24:F31)</f>
        <v>480</v>
      </c>
      <c r="G32" s="171"/>
      <c r="H32" s="172"/>
      <c r="I32" s="169"/>
      <c r="J32" s="214">
        <f>+'8'!J32</f>
        <v>0</v>
      </c>
      <c r="K32" s="240"/>
      <c r="L32" s="242"/>
      <c r="M32" s="117">
        <f>+K32+'9'!M32+L32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(14*1440)/1440*G42*2.74*1440/1000000</f>
        <v>0</v>
      </c>
      <c r="J37" s="334">
        <f>+I37+'9'!J37</f>
        <v>0</v>
      </c>
      <c r="K37" s="126" t="s">
        <v>63</v>
      </c>
    </row>
    <row r="38" spans="1:13" ht="17.45" customHeight="1">
      <c r="A38" s="779" t="s">
        <v>11</v>
      </c>
      <c r="B38" s="780"/>
      <c r="C38" s="164">
        <f>SUMIF($G$7:$G$31,"Process",$F$7:$F$31)</f>
        <v>0</v>
      </c>
      <c r="D38" s="118">
        <f>+C38+'9'!D38</f>
        <v>0</v>
      </c>
      <c r="E38" s="143">
        <f t="shared" ref="E38:E51" si="0">D38/60</f>
        <v>0</v>
      </c>
      <c r="F38" s="321"/>
      <c r="G38" s="321"/>
      <c r="H38" s="187" t="s">
        <v>64</v>
      </c>
      <c r="I38" s="244"/>
      <c r="J38" s="335">
        <f>+I38+'9'!J38</f>
        <v>0</v>
      </c>
      <c r="K38" s="128" t="s">
        <v>63</v>
      </c>
    </row>
    <row r="39" spans="1:13" ht="17.45" customHeight="1">
      <c r="A39" s="781" t="s">
        <v>12</v>
      </c>
      <c r="B39" s="782"/>
      <c r="C39" s="164">
        <f>SUMIF($G$7:$G$31,"Cleaning",$F$7:$F$31)</f>
        <v>0</v>
      </c>
      <c r="D39" s="118">
        <f>+C39+'9'!D39</f>
        <v>0</v>
      </c>
      <c r="E39" s="143">
        <f t="shared" si="0"/>
        <v>0</v>
      </c>
      <c r="F39" s="321"/>
      <c r="G39" s="321"/>
      <c r="H39" s="187" t="s">
        <v>65</v>
      </c>
      <c r="I39" s="142"/>
      <c r="J39" s="336">
        <f>J37/G4</f>
        <v>0</v>
      </c>
      <c r="K39" s="130" t="s">
        <v>63</v>
      </c>
    </row>
    <row r="40" spans="1:13" ht="17.45" customHeight="1">
      <c r="A40" s="781" t="s">
        <v>66</v>
      </c>
      <c r="B40" s="782"/>
      <c r="C40" s="164">
        <f>SUMIF($G$7:$G$31,"Mechanical",$F$7:$F$31)</f>
        <v>0</v>
      </c>
      <c r="D40" s="118">
        <f>+C40+'9'!D40</f>
        <v>0</v>
      </c>
      <c r="E40" s="143">
        <f t="shared" si="0"/>
        <v>0</v>
      </c>
      <c r="F40" s="321"/>
      <c r="G40" s="321"/>
      <c r="H40" s="187" t="s">
        <v>67</v>
      </c>
      <c r="I40" s="118">
        <f>+(K34+L34)/1000</f>
        <v>0</v>
      </c>
      <c r="J40" s="337">
        <f>+I40+'9'!J40</f>
        <v>0</v>
      </c>
      <c r="K40" s="130" t="s">
        <v>63</v>
      </c>
    </row>
    <row r="41" spans="1:13" ht="17.45" customHeight="1">
      <c r="A41" s="781" t="s">
        <v>68</v>
      </c>
      <c r="B41" s="782"/>
      <c r="C41" s="164">
        <f>SUMIF($G$7:$G$23,"Electrical",$F$7:$F$23)</f>
        <v>0</v>
      </c>
      <c r="D41" s="118">
        <f>+C41+'9'!D41</f>
        <v>0</v>
      </c>
      <c r="E41" s="143">
        <f t="shared" si="0"/>
        <v>0</v>
      </c>
      <c r="F41" s="321"/>
      <c r="G41" s="321"/>
      <c r="H41" s="187" t="s">
        <v>69</v>
      </c>
      <c r="I41" s="142"/>
      <c r="J41" s="336">
        <f>J40/G4</f>
        <v>0</v>
      </c>
      <c r="K41" s="130" t="s">
        <v>63</v>
      </c>
    </row>
    <row r="42" spans="1:13" ht="17.45" customHeight="1">
      <c r="A42" s="781" t="s">
        <v>15</v>
      </c>
      <c r="B42" s="782"/>
      <c r="C42" s="164">
        <f>SUMIF($G$7:$G$23,"Instrument",$F$7:$F$23)</f>
        <v>0</v>
      </c>
      <c r="D42" s="118">
        <f>+C42+'9'!D42</f>
        <v>0</v>
      </c>
      <c r="E42" s="143">
        <f t="shared" si="0"/>
        <v>0</v>
      </c>
      <c r="F42" s="321"/>
      <c r="G42" s="321"/>
      <c r="H42" s="187" t="s">
        <v>70</v>
      </c>
      <c r="I42" s="245"/>
      <c r="J42" s="338"/>
      <c r="K42" s="130" t="s">
        <v>71</v>
      </c>
    </row>
    <row r="43" spans="1:13" ht="17.45" customHeight="1">
      <c r="A43" s="781" t="s">
        <v>72</v>
      </c>
      <c r="B43" s="782"/>
      <c r="C43" s="164">
        <f>SUMIF($G$7:$G$23,"Water",$F$7:$F$23)</f>
        <v>0</v>
      </c>
      <c r="D43" s="118">
        <f>+C43+'9'!D43</f>
        <v>0</v>
      </c>
      <c r="E43" s="143">
        <f t="shared" si="0"/>
        <v>0</v>
      </c>
      <c r="F43" s="321"/>
      <c r="G43" s="322"/>
      <c r="H43" s="188" t="s">
        <v>73</v>
      </c>
      <c r="I43" s="118">
        <f>+Report1!Z18</f>
        <v>33.799999999999997</v>
      </c>
      <c r="J43" s="339">
        <f>+I43+'9'!J43</f>
        <v>212.8</v>
      </c>
      <c r="K43" s="130" t="s">
        <v>63</v>
      </c>
      <c r="L43" s="189"/>
    </row>
    <row r="44" spans="1:13" ht="17.45" customHeight="1">
      <c r="A44" s="781" t="s">
        <v>16</v>
      </c>
      <c r="B44" s="782"/>
      <c r="C44" s="164">
        <f>SUMIF($G$7:$G$23,"PLN",$F$7:$F$23)</f>
        <v>0</v>
      </c>
      <c r="D44" s="118">
        <f>+C44+'9'!D44</f>
        <v>0</v>
      </c>
      <c r="E44" s="143">
        <f t="shared" si="0"/>
        <v>0</v>
      </c>
      <c r="F44" s="321"/>
      <c r="G44" s="322"/>
      <c r="H44" s="188" t="s">
        <v>74</v>
      </c>
      <c r="I44" s="118" t="e">
        <f>I43/I38</f>
        <v>#DIV/0!</v>
      </c>
      <c r="J44" s="339" t="e">
        <f>J43/J38</f>
        <v>#DIV/0!</v>
      </c>
      <c r="K44" s="130" t="s">
        <v>63</v>
      </c>
    </row>
    <row r="45" spans="1:13" ht="17.45" customHeight="1">
      <c r="A45" s="781" t="s">
        <v>17</v>
      </c>
      <c r="B45" s="782"/>
      <c r="C45" s="164">
        <f>SUMIF($G$7:$G$23,"Boiler",$F$7:$F$23)</f>
        <v>0</v>
      </c>
      <c r="D45" s="118">
        <f>+C45+'9'!D45</f>
        <v>0</v>
      </c>
      <c r="E45" s="143">
        <f t="shared" si="0"/>
        <v>0</v>
      </c>
      <c r="F45" s="321"/>
      <c r="G45" s="324"/>
      <c r="H45" s="188" t="s">
        <v>75</v>
      </c>
      <c r="I45" s="118" t="e">
        <f>I43/I40</f>
        <v>#DIV/0!</v>
      </c>
      <c r="J45" s="339" t="e">
        <f>J43/J40</f>
        <v>#DIV/0!</v>
      </c>
      <c r="K45" s="130" t="s">
        <v>63</v>
      </c>
    </row>
    <row r="46" spans="1:13" ht="17.45" customHeight="1">
      <c r="A46" s="781" t="s">
        <v>76</v>
      </c>
      <c r="B46" s="782"/>
      <c r="C46" s="164">
        <f>SUMIF($G$7:$G$23,"Gas",$F$7:$F$23)</f>
        <v>0</v>
      </c>
      <c r="D46" s="118">
        <f>+C46+'9'!D46</f>
        <v>0</v>
      </c>
      <c r="E46" s="143">
        <f t="shared" si="0"/>
        <v>0</v>
      </c>
      <c r="F46" s="321"/>
      <c r="G46" s="322"/>
      <c r="H46" s="188" t="s">
        <v>77</v>
      </c>
      <c r="I46" s="140">
        <f>+SUMIF(Listrik!P17,"&gt;0")</f>
        <v>4702.2399999989084</v>
      </c>
      <c r="J46" s="339">
        <f>+I46+'9'!J46</f>
        <v>49999.019999999269</v>
      </c>
      <c r="K46" s="130" t="s">
        <v>78</v>
      </c>
    </row>
    <row r="47" spans="1:13" ht="17.45" customHeight="1">
      <c r="A47" s="781" t="s">
        <v>79</v>
      </c>
      <c r="B47" s="782"/>
      <c r="C47" s="164">
        <f>SUMIF($G$7:$G$23,"Gas",$F$7:$F$23)</f>
        <v>0</v>
      </c>
      <c r="D47" s="118">
        <f>+C47+'9'!D47</f>
        <v>0</v>
      </c>
      <c r="E47" s="143">
        <f t="shared" si="0"/>
        <v>0</v>
      </c>
      <c r="F47" s="321"/>
      <c r="G47" s="322"/>
      <c r="H47" s="188" t="s">
        <v>80</v>
      </c>
      <c r="I47" s="118" t="e">
        <f>I46/I38</f>
        <v>#DIV/0!</v>
      </c>
      <c r="J47" s="339" t="e">
        <f>J46/J38</f>
        <v>#DIV/0!</v>
      </c>
      <c r="K47" s="130" t="s">
        <v>23</v>
      </c>
    </row>
    <row r="48" spans="1:13" ht="17.45" customHeight="1">
      <c r="A48" s="781" t="s">
        <v>13</v>
      </c>
      <c r="B48" s="782"/>
      <c r="C48" s="164">
        <f>SUMIF($G$7:$G$23,"Start Up",$F$7:$F$23)</f>
        <v>0</v>
      </c>
      <c r="D48" s="118">
        <f>+C48+'9'!D48</f>
        <v>0</v>
      </c>
      <c r="E48" s="143">
        <f t="shared" si="0"/>
        <v>0</v>
      </c>
      <c r="F48" s="321"/>
      <c r="G48" s="322"/>
      <c r="H48" s="188" t="s">
        <v>81</v>
      </c>
      <c r="I48" s="118" t="e">
        <f>I46/I40</f>
        <v>#DIV/0!</v>
      </c>
      <c r="J48" s="339" t="e">
        <f>J46/J40</f>
        <v>#DIV/0!</v>
      </c>
      <c r="K48" s="130" t="s">
        <v>23</v>
      </c>
    </row>
    <row r="49" spans="1:11" ht="17.45" customHeight="1">
      <c r="A49" s="781" t="s">
        <v>19</v>
      </c>
      <c r="B49" s="782"/>
      <c r="C49" s="164">
        <f>SUMIF($G$7:$G$23,"Others",$F$7:$F$23)</f>
        <v>960</v>
      </c>
      <c r="D49" s="118">
        <f>+C49+'9'!D49</f>
        <v>13920</v>
      </c>
      <c r="E49" s="143">
        <f t="shared" si="0"/>
        <v>232</v>
      </c>
      <c r="F49" s="185"/>
      <c r="H49" s="188" t="s">
        <v>266</v>
      </c>
      <c r="I49" s="118">
        <f>+Report1!T18</f>
        <v>0</v>
      </c>
      <c r="J49" s="339">
        <f>+I49+'9'!J49</f>
        <v>0</v>
      </c>
      <c r="K49" s="130" t="s">
        <v>82</v>
      </c>
    </row>
    <row r="50" spans="1:11" ht="17.45" customHeight="1">
      <c r="A50" s="781" t="s">
        <v>18</v>
      </c>
      <c r="B50" s="782"/>
      <c r="C50" s="164">
        <f>SUMIF($G$7:$G$23,"Steam",$F$7:$F$23)</f>
        <v>0</v>
      </c>
      <c r="D50" s="118">
        <f>+C50+'9'!D50</f>
        <v>0</v>
      </c>
      <c r="E50" s="143">
        <f t="shared" si="0"/>
        <v>0</v>
      </c>
      <c r="F50" s="185"/>
      <c r="H50" s="188" t="s">
        <v>83</v>
      </c>
      <c r="I50" s="140" t="e">
        <f>I49/I38</f>
        <v>#DIV/0!</v>
      </c>
      <c r="J50" s="339" t="e">
        <f>J49/J38</f>
        <v>#DIV/0!</v>
      </c>
      <c r="K50" s="130" t="s">
        <v>82</v>
      </c>
    </row>
    <row r="51" spans="1:11" ht="17.45" customHeight="1" thickBot="1">
      <c r="A51" s="783" t="s">
        <v>84</v>
      </c>
      <c r="B51" s="784"/>
      <c r="C51" s="164">
        <f>SUMIF($G$7:$G$23,"Planned shut",$F$7:$F$23)</f>
        <v>0</v>
      </c>
      <c r="D51" s="118">
        <f>+C51+'9'!D51</f>
        <v>0</v>
      </c>
      <c r="E51" s="143">
        <f t="shared" si="0"/>
        <v>0</v>
      </c>
      <c r="F51" s="185"/>
      <c r="H51" s="190" t="s">
        <v>85</v>
      </c>
      <c r="I51" s="141" t="e">
        <f>I49/I40</f>
        <v>#DIV/0!</v>
      </c>
      <c r="J51" s="340" t="e">
        <f>J49/J40</f>
        <v>#DIV/0!</v>
      </c>
      <c r="K51" s="137" t="s">
        <v>82</v>
      </c>
    </row>
    <row r="52" spans="1:11" ht="13.5" thickBot="1">
      <c r="A52" s="779" t="s">
        <v>27</v>
      </c>
      <c r="B52" s="780"/>
      <c r="C52" s="144">
        <f>SUM(C38:C51)</f>
        <v>960</v>
      </c>
      <c r="D52" s="144">
        <f>SUM(D38:D51)</f>
        <v>13920</v>
      </c>
      <c r="E52" s="145">
        <f>SUM(E38:E51)</f>
        <v>232</v>
      </c>
      <c r="F52" s="185"/>
      <c r="H52" s="191"/>
      <c r="I52" s="192"/>
      <c r="J52" s="341"/>
      <c r="K52" s="139"/>
    </row>
    <row r="53" spans="1:11" ht="13.5" thickBot="1">
      <c r="A53" s="785"/>
      <c r="B53" s="786"/>
      <c r="C53" s="146">
        <f>C52/(24*60)</f>
        <v>0.66666666666666663</v>
      </c>
      <c r="D53" s="146">
        <f>D52/(24*60*G4)</f>
        <v>0.96666666666666667</v>
      </c>
      <c r="E53" s="147">
        <f>E52/(G4*24)</f>
        <v>0.96666666666666667</v>
      </c>
      <c r="F53" s="185"/>
    </row>
    <row r="54" spans="1:11">
      <c r="E54" s="193"/>
      <c r="F54" s="185"/>
    </row>
    <row r="55" spans="1:11">
      <c r="E55" s="193"/>
    </row>
    <row r="56" spans="1:11">
      <c r="A56" s="194" t="s">
        <v>86</v>
      </c>
      <c r="B56" s="195"/>
      <c r="C56" s="196"/>
      <c r="D56" s="196"/>
      <c r="E56" s="196"/>
      <c r="F56" s="197"/>
      <c r="G56" s="196"/>
      <c r="H56" s="198"/>
      <c r="I56" s="199" t="s">
        <v>87</v>
      </c>
      <c r="J56" s="200">
        <f>+D34+'9'!J56</f>
        <v>0</v>
      </c>
      <c r="K56" s="201" t="e">
        <f>J56/(J40+J56/1000)/1000</f>
        <v>#DIV/0!</v>
      </c>
    </row>
    <row r="57" spans="1:11">
      <c r="A57" s="176"/>
      <c r="I57" s="199" t="s">
        <v>88</v>
      </c>
      <c r="J57" s="200"/>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41:B41"/>
    <mergeCell ref="A40:B40"/>
    <mergeCell ref="A7:A14"/>
    <mergeCell ref="I7:I13"/>
    <mergeCell ref="A15:A23"/>
    <mergeCell ref="I15:I22"/>
    <mergeCell ref="A24:A32"/>
    <mergeCell ref="I24:I31"/>
    <mergeCell ref="A37:B37"/>
    <mergeCell ref="A34:B34"/>
    <mergeCell ref="A38:B38"/>
    <mergeCell ref="A39:B39"/>
    <mergeCell ref="A53:B53"/>
    <mergeCell ref="A49:B49"/>
    <mergeCell ref="A47:B47"/>
    <mergeCell ref="A48:B48"/>
    <mergeCell ref="A50:B50"/>
    <mergeCell ref="A52:B52"/>
    <mergeCell ref="A51:B51"/>
    <mergeCell ref="A46:B46"/>
    <mergeCell ref="A42:B42"/>
    <mergeCell ref="A43:B43"/>
    <mergeCell ref="A44:B44"/>
    <mergeCell ref="A45:B45"/>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F24" sqref="F24:H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10.5703125" style="149" bestFit="1" customWidth="1"/>
    <col min="13" max="13" width="12.140625" style="149" customWidth="1"/>
    <col min="14" max="16384" width="9.140625" style="149"/>
  </cols>
  <sheetData>
    <row r="1" spans="1:18" ht="15.75">
      <c r="A1" s="148"/>
    </row>
    <row r="2" spans="1:18" ht="15.75">
      <c r="A2" s="148" t="s">
        <v>182</v>
      </c>
    </row>
    <row r="3" spans="1:18" ht="15">
      <c r="A3" s="150"/>
    </row>
    <row r="4" spans="1:18" ht="20.25">
      <c r="A4" s="151" t="s">
        <v>3</v>
      </c>
      <c r="B4" s="152"/>
      <c r="F4" s="153" t="s">
        <v>28</v>
      </c>
      <c r="G4" s="154">
        <v>9</v>
      </c>
      <c r="H4" s="154" t="str">
        <f>+'1'!H4</f>
        <v>.11.25</v>
      </c>
    </row>
    <row r="5" spans="1:18" ht="13.5" thickBot="1">
      <c r="C5" s="155"/>
      <c r="D5" s="155"/>
    </row>
    <row r="6" spans="1:18"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8" ht="13.5" customHeight="1" thickBot="1">
      <c r="A7" s="767"/>
      <c r="B7" s="215"/>
      <c r="C7" s="216"/>
      <c r="D7" s="217"/>
      <c r="E7" s="218"/>
      <c r="F7" s="227"/>
      <c r="G7" s="228" t="s">
        <v>11</v>
      </c>
      <c r="H7" s="229" t="s">
        <v>384</v>
      </c>
      <c r="I7" s="770"/>
      <c r="J7" s="214" t="str">
        <f>+'8'!J7</f>
        <v>F 12 VP OW</v>
      </c>
      <c r="K7" s="237"/>
      <c r="L7" s="241"/>
      <c r="M7" s="117">
        <f>+K7+'8'!M7+L7</f>
        <v>0</v>
      </c>
    </row>
    <row r="8" spans="1:18" ht="13.5" thickBot="1">
      <c r="A8" s="768"/>
      <c r="B8" s="215"/>
      <c r="C8" s="216"/>
      <c r="D8" s="217"/>
      <c r="E8" s="219"/>
      <c r="F8" s="230"/>
      <c r="G8" s="231" t="s">
        <v>11</v>
      </c>
      <c r="H8" s="229" t="s">
        <v>282</v>
      </c>
      <c r="I8" s="771"/>
      <c r="J8" s="214">
        <f>+'8'!J8</f>
        <v>0</v>
      </c>
      <c r="K8" s="238"/>
      <c r="L8" s="238"/>
      <c r="M8" s="117">
        <f>+K8+'8'!M8+L8</f>
        <v>0</v>
      </c>
    </row>
    <row r="9" spans="1:18" ht="13.5" thickBot="1">
      <c r="A9" s="768"/>
      <c r="B9" s="215"/>
      <c r="C9" s="216"/>
      <c r="D9" s="217"/>
      <c r="E9" s="220"/>
      <c r="F9" s="227"/>
      <c r="G9" s="231" t="s">
        <v>11</v>
      </c>
      <c r="H9" s="232" t="s">
        <v>408</v>
      </c>
      <c r="I9" s="771"/>
      <c r="J9" s="214">
        <f>+'8'!J9</f>
        <v>0</v>
      </c>
      <c r="K9" s="238"/>
      <c r="L9" s="238"/>
      <c r="M9" s="117">
        <f>+K9+'8'!M9+L9</f>
        <v>0</v>
      </c>
    </row>
    <row r="10" spans="1:18" ht="13.5" thickBot="1">
      <c r="A10" s="768"/>
      <c r="B10" s="215"/>
      <c r="C10" s="216"/>
      <c r="D10" s="217"/>
      <c r="E10" s="219"/>
      <c r="F10" s="227"/>
      <c r="G10" s="236" t="s">
        <v>12</v>
      </c>
      <c r="H10" s="232" t="s">
        <v>414</v>
      </c>
      <c r="I10" s="771"/>
      <c r="J10" s="214">
        <f>+'8'!J10</f>
        <v>0</v>
      </c>
      <c r="K10" s="238"/>
      <c r="L10" s="238"/>
      <c r="M10" s="117">
        <f>+K10+'8'!M10+L10</f>
        <v>0</v>
      </c>
    </row>
    <row r="11" spans="1:18" ht="39" thickBot="1">
      <c r="A11" s="768"/>
      <c r="B11" s="215"/>
      <c r="C11" s="216"/>
      <c r="D11" s="217"/>
      <c r="E11" s="219"/>
      <c r="F11" s="230">
        <v>480</v>
      </c>
      <c r="G11" s="231" t="s">
        <v>19</v>
      </c>
      <c r="H11" s="232" t="s">
        <v>428</v>
      </c>
      <c r="I11" s="771"/>
      <c r="J11" s="214">
        <f>+'8'!J11</f>
        <v>0</v>
      </c>
      <c r="K11" s="238"/>
      <c r="L11" s="238"/>
      <c r="M11" s="117">
        <f>+K11+'8'!M11+L11</f>
        <v>0</v>
      </c>
      <c r="P11" s="176"/>
      <c r="Q11" s="176"/>
      <c r="R11" s="176"/>
    </row>
    <row r="12" spans="1:18" ht="13.5" thickBot="1">
      <c r="A12" s="768"/>
      <c r="B12" s="215"/>
      <c r="C12" s="216"/>
      <c r="D12" s="217"/>
      <c r="E12" s="219"/>
      <c r="F12" s="227"/>
      <c r="G12" s="231"/>
      <c r="H12" s="232"/>
      <c r="I12" s="771"/>
      <c r="J12" s="214">
        <f>+'8'!J12</f>
        <v>0</v>
      </c>
      <c r="K12" s="238"/>
      <c r="L12" s="238"/>
      <c r="M12" s="117">
        <f>+K12+'8'!M12+L12</f>
        <v>0</v>
      </c>
      <c r="Q12" s="176"/>
      <c r="R12" s="176"/>
    </row>
    <row r="13" spans="1:18" ht="13.5" thickBot="1">
      <c r="A13" s="768"/>
      <c r="B13" s="215"/>
      <c r="C13" s="216"/>
      <c r="D13" s="216"/>
      <c r="E13" s="219"/>
      <c r="F13" s="227"/>
      <c r="G13" s="231"/>
      <c r="H13" s="232"/>
      <c r="I13" s="772"/>
      <c r="J13" s="214">
        <f>+'8'!J13</f>
        <v>0</v>
      </c>
      <c r="K13" s="238"/>
      <c r="L13" s="238"/>
      <c r="M13" s="117">
        <f>+K13+'8'!M13+L13</f>
        <v>0</v>
      </c>
    </row>
    <row r="14" spans="1:18" ht="13.5" thickBot="1">
      <c r="A14" s="769"/>
      <c r="B14" s="165" t="s">
        <v>2</v>
      </c>
      <c r="C14" s="99">
        <f>SUM(C7:C13)</f>
        <v>0</v>
      </c>
      <c r="D14" s="111">
        <f>SUM(D7:D13)</f>
        <v>0</v>
      </c>
      <c r="E14" s="112">
        <f>SUM(E5:E13)</f>
        <v>0</v>
      </c>
      <c r="F14" s="116">
        <f>SUM(F7:F13)</f>
        <v>480</v>
      </c>
      <c r="G14" s="159"/>
      <c r="H14" s="166"/>
      <c r="I14" s="167"/>
      <c r="J14" s="214">
        <f>+'8'!J14</f>
        <v>0</v>
      </c>
      <c r="K14" s="238"/>
      <c r="L14" s="238"/>
      <c r="M14" s="117">
        <f>+K14+'8'!M14+L14</f>
        <v>0</v>
      </c>
    </row>
    <row r="15" spans="1:18" ht="13.5" customHeight="1" thickBot="1">
      <c r="A15" s="767"/>
      <c r="B15" s="165"/>
      <c r="C15" s="113" t="e">
        <f>C14/($C$23+$D$23+$E$23)</f>
        <v>#DIV/0!</v>
      </c>
      <c r="D15" s="114" t="e">
        <f>D14/($C$23+$D$23+$E$23)</f>
        <v>#DIV/0!</v>
      </c>
      <c r="E15" s="115" t="e">
        <f>E14/($C$23+$D$23+$E$23)</f>
        <v>#DIV/0!</v>
      </c>
      <c r="F15" s="227"/>
      <c r="G15" s="228" t="s">
        <v>11</v>
      </c>
      <c r="H15" s="229" t="s">
        <v>384</v>
      </c>
      <c r="I15" s="770"/>
      <c r="J15" s="214">
        <f>+'8'!J15</f>
        <v>0</v>
      </c>
      <c r="K15" s="238"/>
      <c r="L15" s="238"/>
      <c r="M15" s="117">
        <f>+K15+'8'!M15+L15</f>
        <v>0</v>
      </c>
    </row>
    <row r="16" spans="1:18" ht="13.5" thickBot="1">
      <c r="A16" s="773"/>
      <c r="B16" s="215"/>
      <c r="C16" s="221"/>
      <c r="D16" s="222"/>
      <c r="E16" s="223"/>
      <c r="F16" s="230"/>
      <c r="G16" s="231" t="s">
        <v>11</v>
      </c>
      <c r="H16" s="229" t="s">
        <v>282</v>
      </c>
      <c r="I16" s="771"/>
      <c r="J16" s="214">
        <f>+'8'!J16</f>
        <v>0</v>
      </c>
      <c r="K16" s="238"/>
      <c r="L16" s="228"/>
      <c r="M16" s="117">
        <f>+K16+'8'!M16+L16</f>
        <v>0</v>
      </c>
    </row>
    <row r="17" spans="1:13" ht="13.5" thickBot="1">
      <c r="A17" s="773"/>
      <c r="B17" s="215"/>
      <c r="C17" s="216"/>
      <c r="D17" s="217"/>
      <c r="E17" s="224"/>
      <c r="F17" s="227"/>
      <c r="G17" s="231" t="s">
        <v>11</v>
      </c>
      <c r="H17" s="232" t="s">
        <v>408</v>
      </c>
      <c r="I17" s="771"/>
      <c r="J17" s="214">
        <f>+'8'!J17</f>
        <v>0</v>
      </c>
      <c r="K17" s="228"/>
      <c r="L17" s="228"/>
      <c r="M17" s="117">
        <f>+K17+'8'!M17+L17</f>
        <v>0</v>
      </c>
    </row>
    <row r="18" spans="1:13" ht="13.5" thickBot="1">
      <c r="A18" s="773"/>
      <c r="B18" s="215"/>
      <c r="C18" s="216"/>
      <c r="D18" s="217"/>
      <c r="E18" s="224"/>
      <c r="F18" s="227"/>
      <c r="G18" s="236" t="s">
        <v>12</v>
      </c>
      <c r="H18" s="232" t="s">
        <v>414</v>
      </c>
      <c r="I18" s="771"/>
      <c r="J18" s="214">
        <f>+'8'!J18</f>
        <v>0</v>
      </c>
      <c r="K18" s="238"/>
      <c r="L18" s="238"/>
      <c r="M18" s="117">
        <f>+K18+'8'!M18+L18</f>
        <v>0</v>
      </c>
    </row>
    <row r="19" spans="1:13" ht="51.75" thickBot="1">
      <c r="A19" s="773"/>
      <c r="B19" s="215"/>
      <c r="C19" s="216"/>
      <c r="D19" s="217"/>
      <c r="E19" s="224"/>
      <c r="F19" s="230">
        <v>480</v>
      </c>
      <c r="G19" s="231" t="s">
        <v>19</v>
      </c>
      <c r="H19" s="232" t="s">
        <v>427</v>
      </c>
      <c r="I19" s="771"/>
      <c r="J19" s="214">
        <f>+'8'!J19</f>
        <v>0</v>
      </c>
      <c r="K19" s="238"/>
      <c r="L19" s="238"/>
      <c r="M19" s="117">
        <f>+K19+'8'!M19+L19</f>
        <v>0</v>
      </c>
    </row>
    <row r="20" spans="1:13" ht="13.5" thickBot="1">
      <c r="A20" s="773"/>
      <c r="B20" s="215"/>
      <c r="C20" s="216"/>
      <c r="D20" s="217"/>
      <c r="E20" s="224"/>
      <c r="F20" s="227"/>
      <c r="G20" s="231"/>
      <c r="H20" s="232"/>
      <c r="I20" s="771"/>
      <c r="J20" s="214">
        <f>+'8'!J20</f>
        <v>0</v>
      </c>
      <c r="K20" s="239"/>
      <c r="L20" s="239"/>
      <c r="M20" s="117">
        <f>+K20+'8'!M20+L20</f>
        <v>0</v>
      </c>
    </row>
    <row r="21" spans="1:13" ht="13.5" thickBot="1">
      <c r="A21" s="773"/>
      <c r="B21" s="215"/>
      <c r="C21" s="216"/>
      <c r="D21" s="217"/>
      <c r="E21" s="224"/>
      <c r="F21" s="230"/>
      <c r="G21" s="231"/>
      <c r="H21" s="232"/>
      <c r="I21" s="771"/>
      <c r="J21" s="214">
        <f>+'8'!J21</f>
        <v>0</v>
      </c>
      <c r="K21" s="238"/>
      <c r="L21" s="238"/>
      <c r="M21" s="117">
        <f>+K21+'8'!M21+L21</f>
        <v>0</v>
      </c>
    </row>
    <row r="22" spans="1:13" ht="13.5" thickBot="1">
      <c r="A22" s="773"/>
      <c r="B22" s="215"/>
      <c r="C22" s="216"/>
      <c r="D22" s="217"/>
      <c r="E22" s="224"/>
      <c r="F22" s="235"/>
      <c r="G22" s="231"/>
      <c r="H22" s="232"/>
      <c r="I22" s="772"/>
      <c r="J22" s="214">
        <f>+'8'!J22</f>
        <v>0</v>
      </c>
      <c r="K22" s="238"/>
      <c r="L22" s="238"/>
      <c r="M22" s="117">
        <f>+K22+'8'!M22+L22</f>
        <v>0</v>
      </c>
    </row>
    <row r="23" spans="1:13" ht="13.5" thickBot="1">
      <c r="A23" s="774"/>
      <c r="B23" s="168" t="s">
        <v>2</v>
      </c>
      <c r="C23" s="100">
        <f>SUM(C16:C22)</f>
        <v>0</v>
      </c>
      <c r="D23" s="111">
        <f>SUM(D16:D22)</f>
        <v>0</v>
      </c>
      <c r="E23" s="112">
        <f>SUM(E18:E22)</f>
        <v>0</v>
      </c>
      <c r="F23" s="116">
        <f>SUM(F15:F22)</f>
        <v>480</v>
      </c>
      <c r="G23" s="159"/>
      <c r="H23" s="166"/>
      <c r="I23" s="169"/>
      <c r="J23" s="214">
        <f>+'8'!J23</f>
        <v>0</v>
      </c>
      <c r="K23" s="238"/>
      <c r="L23" s="238"/>
      <c r="M23" s="117">
        <f>+K23+'8'!M23+L23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+'8'!J24</f>
        <v>0</v>
      </c>
      <c r="K24" s="238"/>
      <c r="L24" s="238"/>
      <c r="M24" s="117">
        <f>+K24+'8'!M24+L24</f>
        <v>0</v>
      </c>
    </row>
    <row r="25" spans="1:13" ht="13.5" thickBot="1">
      <c r="A25" s="773"/>
      <c r="B25" s="215"/>
      <c r="C25" s="225"/>
      <c r="D25" s="217"/>
      <c r="E25" s="224"/>
      <c r="F25" s="230"/>
      <c r="G25" s="231" t="s">
        <v>11</v>
      </c>
      <c r="H25" s="229" t="s">
        <v>282</v>
      </c>
      <c r="I25" s="771"/>
      <c r="J25" s="214">
        <f>+'8'!J25</f>
        <v>0</v>
      </c>
      <c r="K25" s="238"/>
      <c r="L25" s="238"/>
      <c r="M25" s="117">
        <f>+K25+'8'!M25+L25</f>
        <v>0</v>
      </c>
    </row>
    <row r="26" spans="1:13" ht="13.5" thickBot="1">
      <c r="A26" s="773"/>
      <c r="B26" s="215"/>
      <c r="C26" s="225"/>
      <c r="D26" s="217"/>
      <c r="E26" s="226"/>
      <c r="F26" s="227"/>
      <c r="G26" s="231" t="s">
        <v>11</v>
      </c>
      <c r="H26" s="232" t="s">
        <v>408</v>
      </c>
      <c r="I26" s="771"/>
      <c r="J26" s="214">
        <f>+'8'!J26</f>
        <v>0</v>
      </c>
      <c r="K26" s="238"/>
      <c r="L26" s="238"/>
      <c r="M26" s="117">
        <f>+K26+'8'!M26+L26</f>
        <v>0</v>
      </c>
    </row>
    <row r="27" spans="1:13" ht="13.5" thickBot="1">
      <c r="A27" s="773"/>
      <c r="B27" s="215"/>
      <c r="C27" s="216"/>
      <c r="D27" s="217"/>
      <c r="E27" s="224"/>
      <c r="F27" s="227"/>
      <c r="G27" s="236" t="s">
        <v>12</v>
      </c>
      <c r="H27" s="232" t="s">
        <v>414</v>
      </c>
      <c r="I27" s="771"/>
      <c r="J27" s="214">
        <f>+'8'!J27</f>
        <v>0</v>
      </c>
      <c r="K27" s="238"/>
      <c r="L27" s="238"/>
      <c r="M27" s="117">
        <f>+K27+'8'!M27+L27</f>
        <v>0</v>
      </c>
    </row>
    <row r="28" spans="1:13" ht="90" thickBot="1">
      <c r="A28" s="773"/>
      <c r="B28" s="215"/>
      <c r="C28" s="216"/>
      <c r="D28" s="217"/>
      <c r="E28" s="224"/>
      <c r="F28" s="230">
        <v>480</v>
      </c>
      <c r="G28" s="231" t="s">
        <v>19</v>
      </c>
      <c r="H28" s="232" t="s">
        <v>426</v>
      </c>
      <c r="I28" s="771"/>
      <c r="J28" s="214">
        <f>+'8'!J28</f>
        <v>0</v>
      </c>
      <c r="K28" s="238"/>
      <c r="L28" s="238"/>
      <c r="M28" s="117">
        <f>+K28+'8'!M28+L28</f>
        <v>0</v>
      </c>
    </row>
    <row r="29" spans="1:13" ht="13.5" thickBot="1">
      <c r="A29" s="773"/>
      <c r="B29" s="215"/>
      <c r="C29" s="216"/>
      <c r="D29" s="217"/>
      <c r="E29" s="224"/>
      <c r="F29" s="235"/>
      <c r="G29" s="231"/>
      <c r="H29" s="232"/>
      <c r="I29" s="771"/>
      <c r="J29" s="214">
        <f>+'8'!J29</f>
        <v>0</v>
      </c>
      <c r="K29" s="238"/>
      <c r="L29" s="238"/>
      <c r="M29" s="117">
        <f>+K29+'8'!M29+L29</f>
        <v>0</v>
      </c>
    </row>
    <row r="30" spans="1:13" ht="13.5" thickBot="1">
      <c r="A30" s="773"/>
      <c r="B30" s="215"/>
      <c r="C30" s="225"/>
      <c r="D30" s="217"/>
      <c r="E30" s="224"/>
      <c r="F30" s="235"/>
      <c r="G30" s="231"/>
      <c r="H30" s="232"/>
      <c r="I30" s="771"/>
      <c r="J30" s="214">
        <f>+'8'!J30</f>
        <v>0</v>
      </c>
      <c r="K30" s="238"/>
      <c r="L30" s="238"/>
      <c r="M30" s="117">
        <f>+K30+'8'!M30+L30</f>
        <v>0</v>
      </c>
    </row>
    <row r="31" spans="1:13" ht="13.5" thickBot="1">
      <c r="A31" s="773"/>
      <c r="B31" s="215"/>
      <c r="C31" s="225"/>
      <c r="D31" s="217"/>
      <c r="E31" s="224"/>
      <c r="F31" s="235"/>
      <c r="G31" s="236"/>
      <c r="H31" s="444"/>
      <c r="I31" s="772"/>
      <c r="J31" s="214">
        <f>+'8'!J31</f>
        <v>0</v>
      </c>
      <c r="K31" s="238"/>
      <c r="L31" s="238"/>
      <c r="M31" s="117">
        <f>+K31+'8'!M31+L31</f>
        <v>0</v>
      </c>
    </row>
    <row r="32" spans="1:13" ht="13.5" thickBot="1">
      <c r="A32" s="774"/>
      <c r="B32" s="165" t="s">
        <v>2</v>
      </c>
      <c r="C32" s="99">
        <f>SUM(C25:C31)</f>
        <v>0</v>
      </c>
      <c r="D32" s="100">
        <f>SUM(D25:D31)</f>
        <v>0</v>
      </c>
      <c r="E32" s="101">
        <f>SUM(E25:E31)</f>
        <v>0</v>
      </c>
      <c r="F32" s="102">
        <f>SUM(F24:F31)</f>
        <v>480</v>
      </c>
      <c r="G32" s="171"/>
      <c r="H32" s="172"/>
      <c r="I32" s="169"/>
      <c r="J32" s="214">
        <f>+'8'!J32</f>
        <v>0</v>
      </c>
      <c r="K32" s="240"/>
      <c r="L32" s="242"/>
      <c r="M32" s="117">
        <f>+K32+'8'!M32+L32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(14*1440)/1440*G42*2.74*1440/1000000</f>
        <v>0</v>
      </c>
      <c r="J37" s="125">
        <f>+I37+'8'!J37</f>
        <v>0</v>
      </c>
      <c r="K37" s="126" t="s">
        <v>63</v>
      </c>
    </row>
    <row r="38" spans="1:13" ht="17.45" customHeight="1">
      <c r="A38" s="779" t="s">
        <v>11</v>
      </c>
      <c r="B38" s="780"/>
      <c r="C38" s="164">
        <f>SUMIF($G$7:$G$31,"Process",$F$7:$F$31)</f>
        <v>0</v>
      </c>
      <c r="D38" s="118">
        <f>+C38+'8'!D38</f>
        <v>0</v>
      </c>
      <c r="E38" s="143">
        <f t="shared" ref="E38:E51" si="0">D38/60</f>
        <v>0</v>
      </c>
      <c r="F38" s="321"/>
      <c r="G38" s="321"/>
      <c r="H38" s="187" t="s">
        <v>64</v>
      </c>
      <c r="I38" s="244"/>
      <c r="J38" s="127">
        <f>+I38+'8'!J38</f>
        <v>0</v>
      </c>
      <c r="K38" s="128" t="s">
        <v>63</v>
      </c>
    </row>
    <row r="39" spans="1:13" ht="17.45" customHeight="1">
      <c r="A39" s="781" t="s">
        <v>12</v>
      </c>
      <c r="B39" s="782"/>
      <c r="C39" s="164">
        <f>SUMIF($G$7:$G$31,"Cleaning",$F$7:$F$31)</f>
        <v>0</v>
      </c>
      <c r="D39" s="118">
        <f>+C39+'8'!D39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+C40+'8'!D40</f>
        <v>0</v>
      </c>
      <c r="E40" s="143">
        <f t="shared" si="0"/>
        <v>0</v>
      </c>
      <c r="F40" s="321"/>
      <c r="G40" s="321"/>
      <c r="H40" s="187" t="s">
        <v>67</v>
      </c>
      <c r="I40" s="118">
        <f>(K34+L34)/1000</f>
        <v>0</v>
      </c>
      <c r="J40" s="131">
        <f>+I40+'8'!J40</f>
        <v>0</v>
      </c>
      <c r="K40" s="130" t="s">
        <v>63</v>
      </c>
    </row>
    <row r="41" spans="1:13" ht="17.45" customHeight="1">
      <c r="A41" s="781" t="s">
        <v>68</v>
      </c>
      <c r="B41" s="782"/>
      <c r="C41" s="164">
        <f>SUMIF($G$7:$G$31,"Electrical",$F$7:$F$31)</f>
        <v>0</v>
      </c>
      <c r="D41" s="118">
        <f>+C41+'8'!D41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+C42+'8'!D42</f>
        <v>0</v>
      </c>
      <c r="E42" s="143">
        <f t="shared" si="0"/>
        <v>0</v>
      </c>
      <c r="F42" s="321">
        <f>+(F38*480+F40*960)/1440</f>
        <v>0</v>
      </c>
      <c r="G42" s="321">
        <f>+(G38*480+G40*960)/1440</f>
        <v>0</v>
      </c>
      <c r="H42" s="187" t="s">
        <v>70</v>
      </c>
      <c r="I42" s="245"/>
      <c r="J42" s="132"/>
      <c r="K42" s="130" t="s">
        <v>71</v>
      </c>
    </row>
    <row r="43" spans="1:13" ht="17.45" customHeight="1">
      <c r="A43" s="781" t="s">
        <v>72</v>
      </c>
      <c r="B43" s="782"/>
      <c r="C43" s="164">
        <f>SUMIF($G$7:$G$31,"Water",$F$7:$F$31)</f>
        <v>0</v>
      </c>
      <c r="D43" s="118">
        <f>+C43+'8'!D43</f>
        <v>0</v>
      </c>
      <c r="E43" s="143">
        <f t="shared" si="0"/>
        <v>0</v>
      </c>
      <c r="F43" s="321"/>
      <c r="G43" s="322"/>
      <c r="H43" s="188" t="s">
        <v>73</v>
      </c>
      <c r="I43" s="118">
        <f>+Report1!Z17</f>
        <v>34.799999999999997</v>
      </c>
      <c r="J43" s="133">
        <f>+I43+'8'!J43</f>
        <v>179</v>
      </c>
      <c r="K43" s="130" t="s">
        <v>63</v>
      </c>
      <c r="L43" s="189"/>
    </row>
    <row r="44" spans="1:13" ht="17.45" customHeight="1">
      <c r="A44" s="781" t="s">
        <v>16</v>
      </c>
      <c r="B44" s="782"/>
      <c r="C44" s="164">
        <f>SUMIF($G$7:$G$31,"PLN",$F$7:$F$31)</f>
        <v>0</v>
      </c>
      <c r="D44" s="118">
        <f>+C44+'8'!D44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+C45+'8'!D45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+C46+'8'!D46</f>
        <v>0</v>
      </c>
      <c r="E46" s="143">
        <f t="shared" si="0"/>
        <v>0</v>
      </c>
      <c r="F46" s="321"/>
      <c r="G46" s="322"/>
      <c r="H46" s="188" t="s">
        <v>77</v>
      </c>
      <c r="I46" s="140">
        <f>+SUMIF(Listrik!P16,"&gt;0")</f>
        <v>5877.9400000007281</v>
      </c>
      <c r="J46" s="135">
        <f>+I46+'8'!J46</f>
        <v>45296.780000000363</v>
      </c>
      <c r="K46" s="130" t="s">
        <v>78</v>
      </c>
    </row>
    <row r="47" spans="1:13" ht="17.45" customHeight="1">
      <c r="A47" s="781" t="s">
        <v>79</v>
      </c>
      <c r="B47" s="782"/>
      <c r="C47" s="164">
        <f>SUMIF($G$7:$G$31,"Gas",$F$7:$F$31)</f>
        <v>0</v>
      </c>
      <c r="D47" s="118">
        <f>+C47+'8'!D47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+C48+'8'!D48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+C49+'8'!D49</f>
        <v>12960</v>
      </c>
      <c r="E49" s="143">
        <f t="shared" si="0"/>
        <v>216</v>
      </c>
      <c r="F49" s="185"/>
      <c r="H49" s="188" t="s">
        <v>266</v>
      </c>
      <c r="I49" s="118">
        <f>+Report1!T17</f>
        <v>0</v>
      </c>
      <c r="J49" s="135">
        <f>+I49+'8'!J49</f>
        <v>0</v>
      </c>
      <c r="K49" s="130" t="s">
        <v>82</v>
      </c>
    </row>
    <row r="50" spans="1:11" ht="17.45" customHeight="1">
      <c r="A50" s="781" t="s">
        <v>18</v>
      </c>
      <c r="B50" s="782"/>
      <c r="C50" s="164">
        <f>SUMIF($G$7:$G$31,"Steam",$F$7:$F$31)</f>
        <v>0</v>
      </c>
      <c r="D50" s="118">
        <f>+C50+'8'!D50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+C51+'8'!D51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12960</v>
      </c>
      <c r="E52" s="145">
        <f>SUM(E38:E51)</f>
        <v>216</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+D34+'8'!J56</f>
        <v>0</v>
      </c>
      <c r="K56" s="201" t="e">
        <f>J56/(J40+J56/1000)/1000</f>
        <v>#DIV/0!</v>
      </c>
    </row>
    <row r="57" spans="1:11">
      <c r="A57" s="176"/>
      <c r="I57" s="199" t="s">
        <v>88</v>
      </c>
      <c r="J57" s="200">
        <f>+E34+'8'!J57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2"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F24" sqref="F24:H28"/>
    </sheetView>
  </sheetViews>
  <sheetFormatPr defaultColWidth="9.140625" defaultRowHeight="12.75"/>
  <cols>
    <col min="1" max="1" width="8" style="149" customWidth="1"/>
    <col min="2" max="2" width="7" style="149" bestFit="1" customWidth="1"/>
    <col min="3" max="3" width="14.85546875" style="149" bestFit="1" customWidth="1"/>
    <col min="4" max="4" width="1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13.7109375" style="149" bestFit="1" customWidth="1"/>
    <col min="13" max="13" width="15" style="149" bestFit="1"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8</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+'7'!J7</f>
        <v>F 12 VP OW</v>
      </c>
      <c r="K7" s="237"/>
      <c r="L7" s="241"/>
      <c r="M7" s="117">
        <f>+K7+'7'!M7+L7</f>
        <v>0</v>
      </c>
    </row>
    <row r="8" spans="1:13" ht="13.5" thickBot="1">
      <c r="A8" s="768"/>
      <c r="B8" s="215"/>
      <c r="C8" s="216"/>
      <c r="D8" s="217"/>
      <c r="E8" s="219"/>
      <c r="F8" s="230"/>
      <c r="G8" s="231" t="s">
        <v>11</v>
      </c>
      <c r="H8" s="229" t="s">
        <v>282</v>
      </c>
      <c r="I8" s="771"/>
      <c r="J8" s="214">
        <f>+'7'!J8</f>
        <v>0</v>
      </c>
      <c r="K8" s="238"/>
      <c r="L8" s="238"/>
      <c r="M8" s="117">
        <f>+K8+'7'!M8+L8</f>
        <v>0</v>
      </c>
    </row>
    <row r="9" spans="1:13" ht="13.5" thickBot="1">
      <c r="A9" s="768"/>
      <c r="B9" s="215"/>
      <c r="C9" s="216"/>
      <c r="D9" s="217"/>
      <c r="E9" s="220"/>
      <c r="F9" s="227"/>
      <c r="G9" s="231" t="s">
        <v>11</v>
      </c>
      <c r="H9" s="232" t="s">
        <v>408</v>
      </c>
      <c r="I9" s="771"/>
      <c r="J9" s="214">
        <f>+'7'!J9</f>
        <v>0</v>
      </c>
      <c r="K9" s="238"/>
      <c r="L9" s="238"/>
      <c r="M9" s="117">
        <f>+K9+'7'!M9+L9</f>
        <v>0</v>
      </c>
    </row>
    <row r="10" spans="1:13" ht="13.5" thickBot="1">
      <c r="A10" s="768"/>
      <c r="B10" s="215"/>
      <c r="C10" s="216"/>
      <c r="D10" s="217"/>
      <c r="E10" s="219"/>
      <c r="F10" s="227"/>
      <c r="G10" s="236" t="s">
        <v>12</v>
      </c>
      <c r="H10" s="232" t="s">
        <v>414</v>
      </c>
      <c r="I10" s="771"/>
      <c r="J10" s="214">
        <f>+'7'!J10</f>
        <v>0</v>
      </c>
      <c r="K10" s="238"/>
      <c r="L10" s="238"/>
      <c r="M10" s="117">
        <f>+K10+'7'!M10+L10</f>
        <v>0</v>
      </c>
    </row>
    <row r="11" spans="1:13" ht="84.75" customHeight="1" thickBot="1">
      <c r="A11" s="768"/>
      <c r="B11" s="215"/>
      <c r="C11" s="216"/>
      <c r="D11" s="217"/>
      <c r="E11" s="219"/>
      <c r="F11" s="230">
        <v>480</v>
      </c>
      <c r="G11" s="231" t="s">
        <v>19</v>
      </c>
      <c r="H11" s="232" t="s">
        <v>423</v>
      </c>
      <c r="I11" s="771"/>
      <c r="J11" s="214">
        <f>+'7'!J11</f>
        <v>0</v>
      </c>
      <c r="K11" s="238"/>
      <c r="L11" s="238"/>
      <c r="M11" s="117">
        <f>+K11+'7'!M11+L11</f>
        <v>0</v>
      </c>
    </row>
    <row r="12" spans="1:13" ht="13.5" thickBot="1">
      <c r="A12" s="768"/>
      <c r="B12" s="215"/>
      <c r="C12" s="216"/>
      <c r="D12" s="217"/>
      <c r="E12" s="219"/>
      <c r="F12" s="227"/>
      <c r="G12" s="231"/>
      <c r="H12" s="232"/>
      <c r="I12" s="771"/>
      <c r="J12" s="214">
        <f>+'7'!J12</f>
        <v>0</v>
      </c>
      <c r="K12" s="238"/>
      <c r="L12" s="238"/>
      <c r="M12" s="117">
        <f>+K12+'7'!M12+L12</f>
        <v>0</v>
      </c>
    </row>
    <row r="13" spans="1:13" ht="13.5" thickBot="1">
      <c r="A13" s="768"/>
      <c r="B13" s="215"/>
      <c r="C13" s="216"/>
      <c r="D13" s="216"/>
      <c r="E13" s="219"/>
      <c r="F13" s="227"/>
      <c r="G13" s="231"/>
      <c r="H13" s="232"/>
      <c r="I13" s="772"/>
      <c r="J13" s="214">
        <f>+'7'!J13</f>
        <v>0</v>
      </c>
      <c r="K13" s="238"/>
      <c r="L13" s="238"/>
      <c r="M13" s="117">
        <f>+K13+'7'!M13+L13</f>
        <v>0</v>
      </c>
    </row>
    <row r="14" spans="1:13" ht="13.5" thickBot="1">
      <c r="A14" s="769"/>
      <c r="B14" s="165" t="s">
        <v>2</v>
      </c>
      <c r="C14" s="99">
        <f>SUM(C7:C13)</f>
        <v>0</v>
      </c>
      <c r="D14" s="111">
        <f>SUM(D7:D13)</f>
        <v>0</v>
      </c>
      <c r="E14" s="112">
        <f>SUM(E5:E13)</f>
        <v>0</v>
      </c>
      <c r="F14" s="116">
        <f>SUM(F7:F13)</f>
        <v>480</v>
      </c>
      <c r="G14" s="159"/>
      <c r="H14" s="166"/>
      <c r="I14" s="167"/>
      <c r="J14" s="214">
        <f>+'7'!J14</f>
        <v>0</v>
      </c>
      <c r="K14" s="238"/>
      <c r="L14" s="238"/>
      <c r="M14" s="117">
        <f>+K14+'7'!M14+L14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+'7'!J15</f>
        <v>0</v>
      </c>
      <c r="K15" s="238"/>
      <c r="L15" s="238"/>
      <c r="M15" s="117">
        <f>+K15+'7'!M15+L15</f>
        <v>0</v>
      </c>
    </row>
    <row r="16" spans="1:13" ht="13.5" thickBot="1">
      <c r="A16" s="773"/>
      <c r="B16" s="215"/>
      <c r="C16" s="221"/>
      <c r="D16" s="222"/>
      <c r="E16" s="223"/>
      <c r="F16" s="230"/>
      <c r="G16" s="231" t="s">
        <v>11</v>
      </c>
      <c r="H16" s="229" t="s">
        <v>282</v>
      </c>
      <c r="I16" s="771"/>
      <c r="J16" s="214">
        <f>+'7'!J16</f>
        <v>0</v>
      </c>
      <c r="K16" s="228"/>
      <c r="L16" s="228"/>
      <c r="M16" s="117">
        <f>+K16+'7'!M16+L16</f>
        <v>0</v>
      </c>
    </row>
    <row r="17" spans="1:18" ht="13.5" thickBot="1">
      <c r="A17" s="773"/>
      <c r="B17" s="215"/>
      <c r="C17" s="216"/>
      <c r="D17" s="217"/>
      <c r="E17" s="224"/>
      <c r="F17" s="227"/>
      <c r="G17" s="231" t="s">
        <v>11</v>
      </c>
      <c r="H17" s="232" t="s">
        <v>408</v>
      </c>
      <c r="I17" s="771"/>
      <c r="J17" s="214">
        <f>+'7'!J17</f>
        <v>0</v>
      </c>
      <c r="K17" s="228"/>
      <c r="L17" s="228"/>
      <c r="M17" s="117">
        <f>+K17+'7'!M17+L17</f>
        <v>0</v>
      </c>
    </row>
    <row r="18" spans="1:18" ht="13.5" thickBot="1">
      <c r="A18" s="773"/>
      <c r="B18" s="215"/>
      <c r="C18" s="216"/>
      <c r="D18" s="217"/>
      <c r="E18" s="224"/>
      <c r="F18" s="227"/>
      <c r="G18" s="236" t="s">
        <v>12</v>
      </c>
      <c r="H18" s="232" t="s">
        <v>414</v>
      </c>
      <c r="I18" s="771"/>
      <c r="J18" s="214">
        <f>+'7'!J18</f>
        <v>0</v>
      </c>
      <c r="K18" s="238"/>
      <c r="L18" s="238"/>
      <c r="M18" s="117">
        <f>+K18+'7'!M18+L18</f>
        <v>0</v>
      </c>
      <c r="P18" s="176"/>
      <c r="Q18" s="176"/>
      <c r="R18" s="176"/>
    </row>
    <row r="19" spans="1:18" ht="51.75" thickBot="1">
      <c r="A19" s="773"/>
      <c r="B19" s="215"/>
      <c r="C19" s="216"/>
      <c r="D19" s="217"/>
      <c r="E19" s="224"/>
      <c r="F19" s="230">
        <v>480</v>
      </c>
      <c r="G19" s="231" t="s">
        <v>19</v>
      </c>
      <c r="H19" s="232" t="s">
        <v>423</v>
      </c>
      <c r="I19" s="771"/>
      <c r="J19" s="214">
        <f>+'7'!J19</f>
        <v>0</v>
      </c>
      <c r="K19" s="238"/>
      <c r="L19" s="238"/>
      <c r="M19" s="117">
        <f>+K19+'7'!M19+L19</f>
        <v>0</v>
      </c>
      <c r="Q19" s="176"/>
      <c r="R19" s="176"/>
    </row>
    <row r="20" spans="1:18" ht="13.5" thickBot="1">
      <c r="A20" s="773"/>
      <c r="B20" s="215"/>
      <c r="C20" s="216"/>
      <c r="D20" s="217"/>
      <c r="E20" s="224"/>
      <c r="F20" s="227"/>
      <c r="G20" s="231"/>
      <c r="H20" s="232"/>
      <c r="I20" s="771"/>
      <c r="J20" s="214">
        <f>+'7'!J20</f>
        <v>0</v>
      </c>
      <c r="K20" s="239"/>
      <c r="L20" s="239"/>
      <c r="M20" s="117">
        <f>+K20+'7'!M20+L20</f>
        <v>0</v>
      </c>
    </row>
    <row r="21" spans="1:18" ht="13.5" thickBot="1">
      <c r="A21" s="773"/>
      <c r="B21" s="215"/>
      <c r="C21" s="216"/>
      <c r="D21" s="217"/>
      <c r="E21" s="224"/>
      <c r="F21" s="230"/>
      <c r="G21" s="231"/>
      <c r="H21" s="232"/>
      <c r="I21" s="771"/>
      <c r="J21" s="214">
        <f>+'7'!J21</f>
        <v>0</v>
      </c>
      <c r="K21" s="238"/>
      <c r="L21" s="238"/>
      <c r="M21" s="117">
        <f>+K21+'7'!M21+L21</f>
        <v>0</v>
      </c>
    </row>
    <row r="22" spans="1:18" ht="13.5" thickBot="1">
      <c r="A22" s="773"/>
      <c r="B22" s="215"/>
      <c r="C22" s="216"/>
      <c r="D22" s="217"/>
      <c r="E22" s="224"/>
      <c r="F22" s="235"/>
      <c r="G22" s="231"/>
      <c r="H22" s="232"/>
      <c r="I22" s="772"/>
      <c r="J22" s="214">
        <f>+'7'!J22</f>
        <v>0</v>
      </c>
      <c r="K22" s="238"/>
      <c r="L22" s="238"/>
      <c r="M22" s="117">
        <f>+K22+'7'!M22+L22</f>
        <v>0</v>
      </c>
    </row>
    <row r="23" spans="1:18" ht="13.5" thickBot="1">
      <c r="A23" s="774"/>
      <c r="B23" s="168" t="s">
        <v>2</v>
      </c>
      <c r="C23" s="100">
        <f>SUM(C16:C22)</f>
        <v>0</v>
      </c>
      <c r="D23" s="111">
        <f>SUM(D16:D22)</f>
        <v>0</v>
      </c>
      <c r="E23" s="112">
        <f>SUM(E18:E22)</f>
        <v>0</v>
      </c>
      <c r="F23" s="116">
        <f>SUM(F15:F22)</f>
        <v>480</v>
      </c>
      <c r="G23" s="159"/>
      <c r="H23" s="166"/>
      <c r="I23" s="169"/>
      <c r="J23" s="214">
        <f>+'7'!J23</f>
        <v>0</v>
      </c>
      <c r="K23" s="238"/>
      <c r="L23" s="238"/>
      <c r="M23" s="117">
        <f>+K23+'7'!M23+L23</f>
        <v>0</v>
      </c>
    </row>
    <row r="24" spans="1:18" ht="13.5" customHeight="1" thickBot="1">
      <c r="A24" s="767"/>
      <c r="B24" s="170"/>
      <c r="C24" s="113" t="e">
        <f>C23/($C$23+$D$23+$E$23)</f>
        <v>#DIV/0!</v>
      </c>
      <c r="D24" s="114" t="e">
        <f>D23/($C$23+$D$23+$E$23)</f>
        <v>#DIV/0!</v>
      </c>
      <c r="E24" s="115" t="e">
        <f>E23/($C$23+$D$23+$E$23)</f>
        <v>#DIV/0!</v>
      </c>
      <c r="F24" s="227"/>
      <c r="G24" s="228" t="s">
        <v>11</v>
      </c>
      <c r="H24" s="229" t="s">
        <v>384</v>
      </c>
      <c r="I24" s="770"/>
      <c r="J24" s="214">
        <f>+'7'!J24</f>
        <v>0</v>
      </c>
      <c r="K24" s="238"/>
      <c r="L24" s="238"/>
      <c r="M24" s="117">
        <f>+K24+'7'!M24+L24</f>
        <v>0</v>
      </c>
    </row>
    <row r="25" spans="1:18" ht="13.5" thickBot="1">
      <c r="A25" s="773"/>
      <c r="B25" s="215"/>
      <c r="C25" s="225"/>
      <c r="D25" s="217"/>
      <c r="E25" s="224"/>
      <c r="F25" s="230"/>
      <c r="G25" s="231" t="s">
        <v>11</v>
      </c>
      <c r="H25" s="229" t="s">
        <v>282</v>
      </c>
      <c r="I25" s="771"/>
      <c r="J25" s="214">
        <f>+'7'!J25</f>
        <v>0</v>
      </c>
      <c r="K25" s="238"/>
      <c r="L25" s="238"/>
      <c r="M25" s="117">
        <f>+K25+'7'!M25+L25</f>
        <v>0</v>
      </c>
    </row>
    <row r="26" spans="1:18" ht="13.5" thickBot="1">
      <c r="A26" s="773"/>
      <c r="B26" s="215"/>
      <c r="C26" s="225"/>
      <c r="D26" s="217"/>
      <c r="E26" s="226"/>
      <c r="F26" s="227"/>
      <c r="G26" s="231" t="s">
        <v>11</v>
      </c>
      <c r="H26" s="232" t="s">
        <v>408</v>
      </c>
      <c r="I26" s="771"/>
      <c r="J26" s="214">
        <f>+'7'!J26</f>
        <v>0</v>
      </c>
      <c r="K26" s="238"/>
      <c r="L26" s="238"/>
      <c r="M26" s="117">
        <f>+K26+'7'!M26+L26</f>
        <v>0</v>
      </c>
    </row>
    <row r="27" spans="1:18" ht="13.5" thickBot="1">
      <c r="A27" s="773"/>
      <c r="B27" s="215"/>
      <c r="C27" s="216"/>
      <c r="D27" s="217"/>
      <c r="E27" s="224"/>
      <c r="F27" s="227"/>
      <c r="G27" s="236" t="s">
        <v>12</v>
      </c>
      <c r="H27" s="232" t="s">
        <v>414</v>
      </c>
      <c r="I27" s="771"/>
      <c r="J27" s="214">
        <f>+'7'!J27</f>
        <v>0</v>
      </c>
      <c r="K27" s="238"/>
      <c r="L27" s="238"/>
      <c r="M27" s="117">
        <f>+K27+'7'!M27+L27</f>
        <v>0</v>
      </c>
    </row>
    <row r="28" spans="1:18" ht="51.75" thickBot="1">
      <c r="A28" s="773"/>
      <c r="B28" s="215"/>
      <c r="C28" s="216"/>
      <c r="D28" s="217"/>
      <c r="E28" s="224"/>
      <c r="F28" s="230">
        <v>480</v>
      </c>
      <c r="G28" s="231" t="s">
        <v>19</v>
      </c>
      <c r="H28" s="232" t="s">
        <v>423</v>
      </c>
      <c r="I28" s="771"/>
      <c r="J28" s="214">
        <f>+'7'!J28</f>
        <v>0</v>
      </c>
      <c r="K28" s="238"/>
      <c r="L28" s="238"/>
      <c r="M28" s="117">
        <f>+K28+'7'!M28+L28</f>
        <v>0</v>
      </c>
      <c r="P28" s="176"/>
      <c r="Q28" s="176"/>
      <c r="R28" s="176"/>
    </row>
    <row r="29" spans="1:18" ht="13.5" thickBot="1">
      <c r="A29" s="773"/>
      <c r="B29" s="215"/>
      <c r="C29" s="216"/>
      <c r="D29" s="217"/>
      <c r="E29" s="224"/>
      <c r="F29" s="235"/>
      <c r="G29" s="231"/>
      <c r="H29" s="232"/>
      <c r="I29" s="771"/>
      <c r="J29" s="214">
        <f>+'7'!J29</f>
        <v>0</v>
      </c>
      <c r="K29" s="238"/>
      <c r="L29" s="238"/>
      <c r="M29" s="117">
        <f>+K29+'7'!M29+L29</f>
        <v>0</v>
      </c>
      <c r="Q29" s="176"/>
      <c r="R29" s="176"/>
    </row>
    <row r="30" spans="1:18" ht="13.5" thickBot="1">
      <c r="A30" s="773"/>
      <c r="B30" s="215"/>
      <c r="C30" s="225"/>
      <c r="D30" s="217"/>
      <c r="E30" s="224"/>
      <c r="F30" s="235"/>
      <c r="G30" s="231"/>
      <c r="H30" s="232"/>
      <c r="I30" s="771"/>
      <c r="J30" s="214">
        <f>+'7'!J30</f>
        <v>0</v>
      </c>
      <c r="K30" s="238"/>
      <c r="L30" s="238"/>
      <c r="M30" s="117">
        <f>+K30+'7'!M30+L30</f>
        <v>0</v>
      </c>
    </row>
    <row r="31" spans="1:18" ht="13.5" thickBot="1">
      <c r="A31" s="773"/>
      <c r="B31" s="215"/>
      <c r="C31" s="225"/>
      <c r="D31" s="217"/>
      <c r="E31" s="224"/>
      <c r="F31" s="235"/>
      <c r="G31" s="236"/>
      <c r="H31" s="444"/>
      <c r="I31" s="772"/>
      <c r="J31" s="214">
        <f>+'7'!J31</f>
        <v>0</v>
      </c>
      <c r="K31" s="238"/>
      <c r="L31" s="238"/>
      <c r="M31" s="117">
        <f>+K31+'7'!M31+L31</f>
        <v>0</v>
      </c>
    </row>
    <row r="32" spans="1:18" ht="13.5" thickBot="1">
      <c r="A32" s="774"/>
      <c r="B32" s="165" t="s">
        <v>2</v>
      </c>
      <c r="C32" s="99">
        <f>SUM(C25:C31)</f>
        <v>0</v>
      </c>
      <c r="D32" s="100">
        <f>SUM(D25:D31)</f>
        <v>0</v>
      </c>
      <c r="E32" s="101">
        <f>SUM(E25:E31)</f>
        <v>0</v>
      </c>
      <c r="F32" s="102">
        <f>SUM(F24:F31)</f>
        <v>480</v>
      </c>
      <c r="G32" s="171"/>
      <c r="H32" s="172"/>
      <c r="I32" s="169"/>
      <c r="J32" s="214">
        <f>+'7'!J32</f>
        <v>0</v>
      </c>
      <c r="K32" s="240"/>
      <c r="L32" s="242"/>
      <c r="M32" s="117">
        <f>+K32+'7'!M32+L32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(12*140+1300*14)/1440*G42*2.74*1440/1000000</f>
        <v>0</v>
      </c>
      <c r="J37" s="125">
        <f>+I37+'7'!J37</f>
        <v>0</v>
      </c>
      <c r="K37" s="126" t="s">
        <v>63</v>
      </c>
    </row>
    <row r="38" spans="1:13" ht="17.45" customHeight="1">
      <c r="A38" s="779" t="s">
        <v>11</v>
      </c>
      <c r="B38" s="780"/>
      <c r="C38" s="164">
        <f>SUMIF($G$7:$G$31,"Process",$F$7:$F$31)</f>
        <v>0</v>
      </c>
      <c r="D38" s="118">
        <f>+C38+'7'!D38</f>
        <v>0</v>
      </c>
      <c r="E38" s="143">
        <f t="shared" ref="E38:E51" si="0">D38/60</f>
        <v>0</v>
      </c>
      <c r="F38" s="321"/>
      <c r="G38" s="321"/>
      <c r="H38" s="187" t="s">
        <v>64</v>
      </c>
      <c r="I38" s="244"/>
      <c r="J38" s="127">
        <f>+I38+'7'!J38</f>
        <v>0</v>
      </c>
      <c r="K38" s="128" t="s">
        <v>63</v>
      </c>
    </row>
    <row r="39" spans="1:13" ht="17.45" customHeight="1">
      <c r="A39" s="781" t="s">
        <v>12</v>
      </c>
      <c r="B39" s="782"/>
      <c r="C39" s="164">
        <f>SUMIF($G$7:$G$31,"Cleaning",$F$7:$F$31)</f>
        <v>0</v>
      </c>
      <c r="D39" s="118">
        <f>+C39+'7'!D39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+C40+'7'!D40</f>
        <v>0</v>
      </c>
      <c r="E40" s="143">
        <f t="shared" si="0"/>
        <v>0</v>
      </c>
      <c r="F40" s="321"/>
      <c r="G40" s="321"/>
      <c r="H40" s="187" t="s">
        <v>67</v>
      </c>
      <c r="I40" s="118">
        <f>(K34+L34)/1000</f>
        <v>0</v>
      </c>
      <c r="J40" s="131">
        <f>+I40+'7'!J40</f>
        <v>0</v>
      </c>
      <c r="K40" s="130" t="s">
        <v>63</v>
      </c>
    </row>
    <row r="41" spans="1:13" ht="17.45" customHeight="1">
      <c r="A41" s="781" t="s">
        <v>68</v>
      </c>
      <c r="B41" s="782"/>
      <c r="C41" s="164">
        <f>SUMIF($G$7:$G$31,"Electrical",$F$7:$F$31)</f>
        <v>0</v>
      </c>
      <c r="D41" s="118">
        <f>+C41+'7'!D41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+C42+'7'!D42</f>
        <v>0</v>
      </c>
      <c r="E42" s="143">
        <f t="shared" si="0"/>
        <v>0</v>
      </c>
      <c r="F42" s="321">
        <f>+(480*F38+480*F39+480*F40)/1440</f>
        <v>0</v>
      </c>
      <c r="G42" s="321">
        <f>+(480*G38+480*G39+480*G40)/1440</f>
        <v>0</v>
      </c>
      <c r="H42" s="187" t="s">
        <v>70</v>
      </c>
      <c r="I42" s="245"/>
      <c r="J42" s="132"/>
      <c r="K42" s="130" t="s">
        <v>71</v>
      </c>
    </row>
    <row r="43" spans="1:13" ht="17.45" customHeight="1">
      <c r="A43" s="781" t="s">
        <v>219</v>
      </c>
      <c r="B43" s="782"/>
      <c r="C43" s="164">
        <f>SUMIF($G$7:$G$31,"Change Grade",$F$7:$F$31)</f>
        <v>0</v>
      </c>
      <c r="D43" s="118">
        <f>+C43+'7'!D43</f>
        <v>0</v>
      </c>
      <c r="E43" s="143">
        <f t="shared" si="0"/>
        <v>0</v>
      </c>
      <c r="F43" s="321"/>
      <c r="G43" s="322"/>
      <c r="H43" s="188" t="s">
        <v>73</v>
      </c>
      <c r="I43" s="118">
        <f>+Report1!Z16</f>
        <v>29.6</v>
      </c>
      <c r="J43" s="133">
        <f>+I43+'7'!J43</f>
        <v>144.19999999999999</v>
      </c>
      <c r="K43" s="130" t="s">
        <v>63</v>
      </c>
      <c r="L43" s="189"/>
    </row>
    <row r="44" spans="1:13" ht="17.45" customHeight="1">
      <c r="A44" s="781" t="s">
        <v>16</v>
      </c>
      <c r="B44" s="782"/>
      <c r="C44" s="164">
        <f>SUMIF($G$7:$G$31,"PLN",$F$7:$F$31)</f>
        <v>0</v>
      </c>
      <c r="D44" s="118">
        <f>+C44+'7'!D44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+C45+'7'!D45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+C46+'7'!D46</f>
        <v>0</v>
      </c>
      <c r="E46" s="143">
        <f t="shared" si="0"/>
        <v>0</v>
      </c>
      <c r="F46" s="321"/>
      <c r="G46" s="322"/>
      <c r="H46" s="188" t="s">
        <v>77</v>
      </c>
      <c r="I46" s="140">
        <f>+SUMIF(Listrik!P15,"&gt;0")</f>
        <v>7428.4999999992724</v>
      </c>
      <c r="J46" s="135">
        <f>+I46+'7'!J46</f>
        <v>39418.839999999633</v>
      </c>
      <c r="K46" s="130" t="s">
        <v>78</v>
      </c>
    </row>
    <row r="47" spans="1:13" ht="17.45" customHeight="1">
      <c r="A47" s="781" t="s">
        <v>79</v>
      </c>
      <c r="B47" s="782"/>
      <c r="C47" s="164">
        <f>SUMIF($G$7:$G$31,"Gas",$F$7:$F$31)</f>
        <v>0</v>
      </c>
      <c r="D47" s="118">
        <f>+C47+'7'!D47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+C48+'7'!D48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+C49+'7'!D49</f>
        <v>11520</v>
      </c>
      <c r="E49" s="143">
        <f t="shared" si="0"/>
        <v>192</v>
      </c>
      <c r="F49" s="185"/>
      <c r="H49" s="188" t="s">
        <v>266</v>
      </c>
      <c r="I49" s="118">
        <f>+Report1!T16</f>
        <v>0</v>
      </c>
      <c r="J49" s="135">
        <f>+I49+'7'!J49</f>
        <v>0</v>
      </c>
      <c r="K49" s="130" t="s">
        <v>82</v>
      </c>
    </row>
    <row r="50" spans="1:11" ht="17.45" customHeight="1">
      <c r="A50" s="781" t="s">
        <v>18</v>
      </c>
      <c r="B50" s="782"/>
      <c r="C50" s="164">
        <f>SUMIF($G$7:$G$31,"Steam",$F$7:$F$31)</f>
        <v>0</v>
      </c>
      <c r="D50" s="118">
        <f>+C50+'7'!D50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+C51+'7'!D51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11520</v>
      </c>
      <c r="E52" s="145">
        <f>SUM(E38:E51)</f>
        <v>192</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+D34+'7'!J56</f>
        <v>0</v>
      </c>
      <c r="K56" s="201" t="e">
        <f>J56/(J40+J56/1000)/1000</f>
        <v>#DIV/0!</v>
      </c>
    </row>
    <row r="57" spans="1:11">
      <c r="A57" s="176"/>
      <c r="I57" s="199" t="s">
        <v>88</v>
      </c>
      <c r="J57" s="200">
        <f>+E34+'7'!J57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34:B34"/>
    <mergeCell ref="A38:B38"/>
    <mergeCell ref="A39:B39"/>
    <mergeCell ref="A7:A14"/>
    <mergeCell ref="I7:I13"/>
    <mergeCell ref="A15:A23"/>
    <mergeCell ref="I15:I22"/>
    <mergeCell ref="A24:A32"/>
    <mergeCell ref="I24:I31"/>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s>
  <phoneticPr fontId="32"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view="pageBreakPreview" zoomScale="80" zoomScaleNormal="75" zoomScaleSheetLayoutView="80" workbookViewId="0">
      <selection activeCell="F24" sqref="F24:H28"/>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28515625" style="149" bestFit="1" customWidth="1"/>
    <col min="12" max="12" width="12" style="149" bestFit="1" customWidth="1"/>
    <col min="13" max="13" width="15.5703125" style="149" bestFit="1"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7</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+'6'!J7</f>
        <v>F 12 VP OW</v>
      </c>
      <c r="K7" s="237"/>
      <c r="L7" s="241"/>
      <c r="M7" s="117">
        <f>+K7+'6'!M7+L7</f>
        <v>0</v>
      </c>
    </row>
    <row r="8" spans="1:13" ht="13.5" thickBot="1">
      <c r="A8" s="768"/>
      <c r="B8" s="215"/>
      <c r="C8" s="216"/>
      <c r="D8" s="217"/>
      <c r="E8" s="219"/>
      <c r="F8" s="230"/>
      <c r="G8" s="231" t="s">
        <v>11</v>
      </c>
      <c r="H8" s="229" t="s">
        <v>282</v>
      </c>
      <c r="I8" s="771"/>
      <c r="J8" s="214">
        <f>+'6'!J8</f>
        <v>0</v>
      </c>
      <c r="K8" s="238"/>
      <c r="L8" s="238"/>
      <c r="M8" s="117">
        <f>+K8+'6'!M8+L8</f>
        <v>0</v>
      </c>
    </row>
    <row r="9" spans="1:13" ht="13.5" thickBot="1">
      <c r="A9" s="768"/>
      <c r="B9" s="215"/>
      <c r="C9" s="216"/>
      <c r="D9" s="217"/>
      <c r="E9" s="220"/>
      <c r="F9" s="227"/>
      <c r="G9" s="231" t="s">
        <v>11</v>
      </c>
      <c r="H9" s="232" t="s">
        <v>408</v>
      </c>
      <c r="I9" s="771"/>
      <c r="J9" s="214">
        <f>+'6'!J9</f>
        <v>0</v>
      </c>
      <c r="K9" s="238"/>
      <c r="L9" s="238"/>
      <c r="M9" s="117">
        <f>+K9+'6'!M9+L9</f>
        <v>0</v>
      </c>
    </row>
    <row r="10" spans="1:13" ht="13.5" thickBot="1">
      <c r="A10" s="768"/>
      <c r="B10" s="215"/>
      <c r="C10" s="216"/>
      <c r="D10" s="217"/>
      <c r="E10" s="219"/>
      <c r="F10" s="227"/>
      <c r="G10" s="236" t="s">
        <v>12</v>
      </c>
      <c r="H10" s="232" t="s">
        <v>414</v>
      </c>
      <c r="I10" s="771"/>
      <c r="J10" s="214">
        <f>+'6'!J10</f>
        <v>0</v>
      </c>
      <c r="K10" s="238"/>
      <c r="L10" s="238"/>
      <c r="M10" s="117">
        <f>+K10+'6'!M10+L10</f>
        <v>0</v>
      </c>
    </row>
    <row r="11" spans="1:13" ht="102.75" thickBot="1">
      <c r="A11" s="768"/>
      <c r="B11" s="215"/>
      <c r="C11" s="216"/>
      <c r="D11" s="217"/>
      <c r="E11" s="219"/>
      <c r="F11" s="230">
        <v>480</v>
      </c>
      <c r="G11" s="231" t="s">
        <v>19</v>
      </c>
      <c r="H11" s="232" t="s">
        <v>425</v>
      </c>
      <c r="I11" s="771"/>
      <c r="J11" s="214">
        <f>+'6'!J11</f>
        <v>0</v>
      </c>
      <c r="K11" s="238"/>
      <c r="L11" s="238"/>
      <c r="M11" s="117">
        <f>+K11+'6'!M11+L11</f>
        <v>0</v>
      </c>
    </row>
    <row r="12" spans="1:13" ht="13.5" thickBot="1">
      <c r="A12" s="768"/>
      <c r="B12" s="215"/>
      <c r="C12" s="216"/>
      <c r="D12" s="217"/>
      <c r="E12" s="219"/>
      <c r="F12" s="227"/>
      <c r="G12" s="231"/>
      <c r="H12" s="232"/>
      <c r="I12" s="771"/>
      <c r="J12" s="214">
        <f>+'6'!J12</f>
        <v>0</v>
      </c>
      <c r="K12" s="238"/>
      <c r="L12" s="238"/>
      <c r="M12" s="117">
        <f>+K12+'6'!M12+L12</f>
        <v>0</v>
      </c>
    </row>
    <row r="13" spans="1:13" ht="13.5" thickBot="1">
      <c r="A13" s="768"/>
      <c r="B13" s="215"/>
      <c r="C13" s="216"/>
      <c r="D13" s="216"/>
      <c r="E13" s="219"/>
      <c r="F13" s="227"/>
      <c r="G13" s="231"/>
      <c r="H13" s="232"/>
      <c r="I13" s="772"/>
      <c r="J13" s="214">
        <f>+'6'!J13</f>
        <v>0</v>
      </c>
      <c r="K13" s="238"/>
      <c r="L13" s="238"/>
      <c r="M13" s="117">
        <f>+K13+'6'!M13+L13</f>
        <v>0</v>
      </c>
    </row>
    <row r="14" spans="1:13" ht="13.5" thickBot="1">
      <c r="A14" s="769"/>
      <c r="B14" s="165" t="s">
        <v>2</v>
      </c>
      <c r="C14" s="99">
        <f>SUM(C7:C13)</f>
        <v>0</v>
      </c>
      <c r="D14" s="111">
        <f>SUM(D7:D13)</f>
        <v>0</v>
      </c>
      <c r="E14" s="112">
        <f>SUM(E5:E13)</f>
        <v>0</v>
      </c>
      <c r="F14" s="116">
        <f>SUM(F7:F13)</f>
        <v>480</v>
      </c>
      <c r="G14" s="159"/>
      <c r="H14" s="166"/>
      <c r="I14" s="167"/>
      <c r="J14" s="214">
        <f>+'6'!J14</f>
        <v>0</v>
      </c>
      <c r="K14" s="238"/>
      <c r="L14" s="238"/>
      <c r="M14" s="117">
        <f>+K14+'6'!M14+L14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+'6'!J15</f>
        <v>0</v>
      </c>
      <c r="K15" s="238"/>
      <c r="L15" s="238"/>
      <c r="M15" s="117">
        <f>+K15+'6'!M15+L15</f>
        <v>0</v>
      </c>
    </row>
    <row r="16" spans="1:13" ht="13.5" thickBot="1">
      <c r="A16" s="773"/>
      <c r="B16" s="215"/>
      <c r="C16" s="221"/>
      <c r="D16" s="222"/>
      <c r="E16" s="223"/>
      <c r="F16" s="230"/>
      <c r="G16" s="231" t="s">
        <v>11</v>
      </c>
      <c r="H16" s="229" t="s">
        <v>282</v>
      </c>
      <c r="I16" s="771"/>
      <c r="J16" s="214">
        <f>+'6'!J16</f>
        <v>0</v>
      </c>
      <c r="K16" s="228"/>
      <c r="L16" s="228"/>
      <c r="M16" s="117">
        <f>+K16+'6'!M16+L16</f>
        <v>0</v>
      </c>
    </row>
    <row r="17" spans="1:13" ht="13.5" thickBot="1">
      <c r="A17" s="773"/>
      <c r="B17" s="215"/>
      <c r="C17" s="216"/>
      <c r="D17" s="217"/>
      <c r="E17" s="224"/>
      <c r="F17" s="227"/>
      <c r="G17" s="231" t="s">
        <v>11</v>
      </c>
      <c r="H17" s="232" t="s">
        <v>408</v>
      </c>
      <c r="I17" s="771"/>
      <c r="J17" s="214">
        <f>+'6'!J17</f>
        <v>0</v>
      </c>
      <c r="K17" s="228"/>
      <c r="L17" s="228"/>
      <c r="M17" s="117">
        <f>+K17+'6'!M17+L17</f>
        <v>0</v>
      </c>
    </row>
    <row r="18" spans="1:13" ht="13.5" thickBot="1">
      <c r="A18" s="773"/>
      <c r="B18" s="215"/>
      <c r="C18" s="216"/>
      <c r="D18" s="217"/>
      <c r="E18" s="224"/>
      <c r="F18" s="227"/>
      <c r="G18" s="236" t="s">
        <v>12</v>
      </c>
      <c r="H18" s="232" t="s">
        <v>414</v>
      </c>
      <c r="I18" s="771"/>
      <c r="J18" s="214">
        <f>+'6'!J18</f>
        <v>0</v>
      </c>
      <c r="K18" s="238"/>
      <c r="L18" s="238"/>
      <c r="M18" s="117">
        <f>+K18+'6'!M18+L18</f>
        <v>0</v>
      </c>
    </row>
    <row r="19" spans="1:13" ht="77.25" thickBot="1">
      <c r="A19" s="773"/>
      <c r="B19" s="215"/>
      <c r="C19" s="216"/>
      <c r="D19" s="217"/>
      <c r="E19" s="224"/>
      <c r="F19" s="230">
        <v>480</v>
      </c>
      <c r="G19" s="231" t="s">
        <v>19</v>
      </c>
      <c r="H19" s="232" t="s">
        <v>424</v>
      </c>
      <c r="I19" s="771"/>
      <c r="J19" s="214">
        <f>+'6'!J19</f>
        <v>0</v>
      </c>
      <c r="K19" s="238"/>
      <c r="L19" s="238"/>
      <c r="M19" s="117">
        <f>+K19+'6'!M19+L19</f>
        <v>0</v>
      </c>
    </row>
    <row r="20" spans="1:13" ht="13.5" thickBot="1">
      <c r="A20" s="773"/>
      <c r="B20" s="215"/>
      <c r="C20" s="216"/>
      <c r="D20" s="217"/>
      <c r="E20" s="224"/>
      <c r="F20" s="227"/>
      <c r="G20" s="231"/>
      <c r="H20" s="232"/>
      <c r="I20" s="771"/>
      <c r="J20" s="214">
        <f>+'6'!J20</f>
        <v>0</v>
      </c>
      <c r="K20" s="239"/>
      <c r="L20" s="239"/>
      <c r="M20" s="117">
        <f>+K20+'6'!M20+L20</f>
        <v>0</v>
      </c>
    </row>
    <row r="21" spans="1:13" ht="13.5" thickBot="1">
      <c r="A21" s="773"/>
      <c r="B21" s="215"/>
      <c r="C21" s="216"/>
      <c r="D21" s="217"/>
      <c r="E21" s="224"/>
      <c r="F21" s="230"/>
      <c r="G21" s="231"/>
      <c r="H21" s="232"/>
      <c r="I21" s="771"/>
      <c r="J21" s="214">
        <f>+'6'!J21</f>
        <v>0</v>
      </c>
      <c r="K21" s="238"/>
      <c r="L21" s="238"/>
      <c r="M21" s="117">
        <f>+K21+'6'!M21+L21</f>
        <v>0</v>
      </c>
    </row>
    <row r="22" spans="1:13" ht="13.5" thickBot="1">
      <c r="A22" s="773"/>
      <c r="B22" s="215"/>
      <c r="C22" s="216"/>
      <c r="D22" s="217"/>
      <c r="E22" s="224"/>
      <c r="F22" s="235"/>
      <c r="G22" s="231"/>
      <c r="H22" s="232"/>
      <c r="I22" s="772"/>
      <c r="J22" s="214">
        <f>+'6'!J22</f>
        <v>0</v>
      </c>
      <c r="K22" s="238"/>
      <c r="L22" s="238"/>
      <c r="M22" s="117">
        <f>+K22+'6'!M22+L22</f>
        <v>0</v>
      </c>
    </row>
    <row r="23" spans="1:13" ht="13.5" thickBot="1">
      <c r="A23" s="774"/>
      <c r="B23" s="168" t="s">
        <v>2</v>
      </c>
      <c r="C23" s="100">
        <f>SUM(C16:C22)</f>
        <v>0</v>
      </c>
      <c r="D23" s="111">
        <f>SUM(D16:D22)</f>
        <v>0</v>
      </c>
      <c r="E23" s="112">
        <f>SUM(E18:E22)</f>
        <v>0</v>
      </c>
      <c r="F23" s="116">
        <f>SUM(F15:F22)</f>
        <v>480</v>
      </c>
      <c r="G23" s="159"/>
      <c r="H23" s="166"/>
      <c r="I23" s="169"/>
      <c r="J23" s="214">
        <f>+'6'!J23</f>
        <v>0</v>
      </c>
      <c r="K23" s="238"/>
      <c r="L23" s="238"/>
      <c r="M23" s="117">
        <f>+K23+'6'!M23+L23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+'6'!J24</f>
        <v>0</v>
      </c>
      <c r="K24" s="238"/>
      <c r="L24" s="238"/>
      <c r="M24" s="117">
        <f>+K24+'6'!M24+L24</f>
        <v>0</v>
      </c>
    </row>
    <row r="25" spans="1:13" ht="13.5" thickBot="1">
      <c r="A25" s="773"/>
      <c r="B25" s="215"/>
      <c r="C25" s="225"/>
      <c r="D25" s="217"/>
      <c r="E25" s="224"/>
      <c r="F25" s="230"/>
      <c r="G25" s="231" t="s">
        <v>11</v>
      </c>
      <c r="H25" s="229" t="s">
        <v>282</v>
      </c>
      <c r="I25" s="771"/>
      <c r="J25" s="214">
        <f>+'6'!J25</f>
        <v>0</v>
      </c>
      <c r="K25" s="238"/>
      <c r="L25" s="238"/>
      <c r="M25" s="117">
        <f>+K25+'6'!M25+L25</f>
        <v>0</v>
      </c>
    </row>
    <row r="26" spans="1:13" ht="13.5" thickBot="1">
      <c r="A26" s="773"/>
      <c r="B26" s="215"/>
      <c r="C26" s="225"/>
      <c r="D26" s="217"/>
      <c r="E26" s="226"/>
      <c r="F26" s="227"/>
      <c r="G26" s="231" t="s">
        <v>11</v>
      </c>
      <c r="H26" s="232" t="s">
        <v>408</v>
      </c>
      <c r="I26" s="771"/>
      <c r="J26" s="214">
        <f>+'6'!J26</f>
        <v>0</v>
      </c>
      <c r="K26" s="238"/>
      <c r="L26" s="238"/>
      <c r="M26" s="117">
        <f>+K26+'6'!M26+L26</f>
        <v>0</v>
      </c>
    </row>
    <row r="27" spans="1:13" ht="13.5" thickBot="1">
      <c r="A27" s="773"/>
      <c r="B27" s="215"/>
      <c r="C27" s="216"/>
      <c r="D27" s="217"/>
      <c r="E27" s="224"/>
      <c r="F27" s="227"/>
      <c r="G27" s="236" t="s">
        <v>12</v>
      </c>
      <c r="H27" s="232" t="s">
        <v>414</v>
      </c>
      <c r="I27" s="771"/>
      <c r="J27" s="214">
        <f>+'6'!J27</f>
        <v>0</v>
      </c>
      <c r="K27" s="238"/>
      <c r="L27" s="238"/>
      <c r="M27" s="117">
        <f>+K27+'6'!M27+L27</f>
        <v>0</v>
      </c>
    </row>
    <row r="28" spans="1:13" ht="51.75" thickBot="1">
      <c r="A28" s="773"/>
      <c r="B28" s="215"/>
      <c r="C28" s="216"/>
      <c r="D28" s="217"/>
      <c r="E28" s="224"/>
      <c r="F28" s="230">
        <v>480</v>
      </c>
      <c r="G28" s="231" t="s">
        <v>19</v>
      </c>
      <c r="H28" s="232" t="s">
        <v>423</v>
      </c>
      <c r="I28" s="771"/>
      <c r="J28" s="214">
        <f>+'6'!J28</f>
        <v>0</v>
      </c>
      <c r="K28" s="238"/>
      <c r="L28" s="238"/>
      <c r="M28" s="117">
        <f>+K28+'6'!M28+L28</f>
        <v>0</v>
      </c>
    </row>
    <row r="29" spans="1:13" ht="13.5" thickBot="1">
      <c r="A29" s="773"/>
      <c r="B29" s="215"/>
      <c r="C29" s="216"/>
      <c r="D29" s="217"/>
      <c r="E29" s="224"/>
      <c r="F29" s="235"/>
      <c r="G29" s="231"/>
      <c r="H29" s="232"/>
      <c r="I29" s="771"/>
      <c r="J29" s="214">
        <f>+'6'!J29</f>
        <v>0</v>
      </c>
      <c r="K29" s="238"/>
      <c r="L29" s="238"/>
      <c r="M29" s="117">
        <f>+K29+'6'!M29+L29</f>
        <v>0</v>
      </c>
    </row>
    <row r="30" spans="1:13" ht="13.5" thickBot="1">
      <c r="A30" s="773"/>
      <c r="B30" s="215"/>
      <c r="C30" s="225"/>
      <c r="D30" s="217"/>
      <c r="E30" s="224"/>
      <c r="F30" s="235"/>
      <c r="G30" s="231"/>
      <c r="H30" s="232"/>
      <c r="I30" s="771"/>
      <c r="J30" s="214">
        <f>+'6'!J30</f>
        <v>0</v>
      </c>
      <c r="K30" s="238"/>
      <c r="L30" s="238"/>
      <c r="M30" s="117">
        <f>+K30+'6'!M30+L30</f>
        <v>0</v>
      </c>
    </row>
    <row r="31" spans="1:13" ht="13.5" thickBot="1">
      <c r="A31" s="773"/>
      <c r="B31" s="215"/>
      <c r="C31" s="225"/>
      <c r="D31" s="217"/>
      <c r="E31" s="224"/>
      <c r="F31" s="235"/>
      <c r="G31" s="236"/>
      <c r="H31" s="444"/>
      <c r="I31" s="772"/>
      <c r="J31" s="214">
        <f>+'6'!J31</f>
        <v>0</v>
      </c>
      <c r="K31" s="238"/>
      <c r="L31" s="238"/>
      <c r="M31" s="117">
        <f>+K31+'6'!M31+L31</f>
        <v>0</v>
      </c>
    </row>
    <row r="32" spans="1:13" ht="13.5" thickBot="1">
      <c r="A32" s="774"/>
      <c r="B32" s="165" t="s">
        <v>2</v>
      </c>
      <c r="C32" s="99">
        <f>SUM(C25:C31)</f>
        <v>0</v>
      </c>
      <c r="D32" s="100">
        <f>SUM(D25:D31)</f>
        <v>0</v>
      </c>
      <c r="E32" s="101">
        <f>SUM(E25:E31)</f>
        <v>0</v>
      </c>
      <c r="F32" s="102">
        <f>SUM(F24:F31)</f>
        <v>480</v>
      </c>
      <c r="G32" s="171"/>
      <c r="H32" s="172"/>
      <c r="I32" s="169"/>
      <c r="J32" s="214">
        <f>+'6'!J32</f>
        <v>0</v>
      </c>
      <c r="K32" s="240"/>
      <c r="L32" s="242"/>
      <c r="M32" s="117">
        <f>+K32+'6'!M32+L32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(12*1440)/1440*G42*2.74*1440/1000000</f>
        <v>0</v>
      </c>
      <c r="J37" s="125">
        <f>+I37+'6'!J37</f>
        <v>0</v>
      </c>
      <c r="K37" s="126" t="s">
        <v>63</v>
      </c>
    </row>
    <row r="38" spans="1:13" ht="17.45" customHeight="1">
      <c r="A38" s="779" t="s">
        <v>11</v>
      </c>
      <c r="B38" s="780"/>
      <c r="C38" s="164">
        <f>SUMIF($G$7:$G$31,"Process",$F$7:$F$31)</f>
        <v>0</v>
      </c>
      <c r="D38" s="118">
        <f>+C38+'6'!D38</f>
        <v>0</v>
      </c>
      <c r="E38" s="143">
        <f t="shared" ref="E38:E51" si="0">D38/60</f>
        <v>0</v>
      </c>
      <c r="F38" s="321"/>
      <c r="G38" s="321"/>
      <c r="H38" s="187" t="s">
        <v>64</v>
      </c>
      <c r="I38" s="244"/>
      <c r="J38" s="127">
        <f>+I38+'6'!J38</f>
        <v>0</v>
      </c>
      <c r="K38" s="128" t="s">
        <v>63</v>
      </c>
    </row>
    <row r="39" spans="1:13" ht="17.45" customHeight="1">
      <c r="A39" s="781" t="s">
        <v>12</v>
      </c>
      <c r="B39" s="782"/>
      <c r="C39" s="164">
        <f>SUMIF($G$7:$G$31,"Cleaning",$F$7:$F$31)</f>
        <v>0</v>
      </c>
      <c r="D39" s="118">
        <f>+C39+'6'!D39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+C40+'6'!D40</f>
        <v>0</v>
      </c>
      <c r="E40" s="143">
        <f t="shared" si="0"/>
        <v>0</v>
      </c>
      <c r="F40" s="321"/>
      <c r="G40" s="321"/>
      <c r="H40" s="187" t="s">
        <v>67</v>
      </c>
      <c r="I40" s="118">
        <f>(K34+L34)/1000</f>
        <v>0</v>
      </c>
      <c r="J40" s="131">
        <f>+I40+'6'!J40</f>
        <v>0</v>
      </c>
      <c r="K40" s="130" t="s">
        <v>63</v>
      </c>
    </row>
    <row r="41" spans="1:13" ht="17.45" customHeight="1">
      <c r="A41" s="781" t="s">
        <v>68</v>
      </c>
      <c r="B41" s="782"/>
      <c r="C41" s="164">
        <f>SUMIF($G$7:$G$31,"Electrical",$F$7:$F$31)</f>
        <v>0</v>
      </c>
      <c r="D41" s="118">
        <f>+C41+'6'!D41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+C42+'6'!D42</f>
        <v>0</v>
      </c>
      <c r="E42" s="143">
        <f t="shared" si="0"/>
        <v>0</v>
      </c>
      <c r="F42" s="321"/>
      <c r="G42" s="321"/>
      <c r="H42" s="187" t="s">
        <v>70</v>
      </c>
      <c r="I42" s="245"/>
      <c r="J42" s="132"/>
      <c r="K42" s="130" t="s">
        <v>71</v>
      </c>
    </row>
    <row r="43" spans="1:13" ht="17.45" customHeight="1">
      <c r="A43" s="781" t="s">
        <v>72</v>
      </c>
      <c r="B43" s="782"/>
      <c r="C43" s="164">
        <f>SUMIF($G$7:$G$31,"Water",$F$7:$F$31)</f>
        <v>0</v>
      </c>
      <c r="D43" s="118">
        <f>+C43+'6'!D43</f>
        <v>0</v>
      </c>
      <c r="E43" s="143">
        <f t="shared" si="0"/>
        <v>0</v>
      </c>
      <c r="F43" s="321"/>
      <c r="G43" s="322"/>
      <c r="H43" s="188" t="s">
        <v>73</v>
      </c>
      <c r="I43" s="118">
        <f>+Report1!Z15</f>
        <v>27.7</v>
      </c>
      <c r="J43" s="133">
        <f>+I43+'6'!J43</f>
        <v>114.59999999999998</v>
      </c>
      <c r="K43" s="130" t="s">
        <v>63</v>
      </c>
      <c r="L43" s="189"/>
    </row>
    <row r="44" spans="1:13" ht="17.45" customHeight="1">
      <c r="A44" s="781" t="s">
        <v>16</v>
      </c>
      <c r="B44" s="782"/>
      <c r="C44" s="164">
        <f>SUMIF($G$7:$G$31,"PLN",$F$7:$F$31)</f>
        <v>0</v>
      </c>
      <c r="D44" s="118">
        <f>+C44+'6'!D44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+C45+'6'!D45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+C46+'6'!D46</f>
        <v>0</v>
      </c>
      <c r="E46" s="143">
        <f t="shared" si="0"/>
        <v>0</v>
      </c>
      <c r="F46" s="321"/>
      <c r="G46" s="322"/>
      <c r="H46" s="188" t="s">
        <v>77</v>
      </c>
      <c r="I46" s="140">
        <f>+SUMIF(Listrik!P14,"&gt;0")</f>
        <v>3326.100000000728</v>
      </c>
      <c r="J46" s="135">
        <f>+I46+'6'!J46</f>
        <v>31990.34000000036</v>
      </c>
      <c r="K46" s="130" t="s">
        <v>78</v>
      </c>
    </row>
    <row r="47" spans="1:13" ht="17.45" customHeight="1">
      <c r="A47" s="781" t="s">
        <v>79</v>
      </c>
      <c r="B47" s="782"/>
      <c r="C47" s="164">
        <f>SUMIF($G$7:$G$31,"Gas",$F$7:$F$31)</f>
        <v>0</v>
      </c>
      <c r="D47" s="118">
        <f>+C47+'6'!D47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+C48+'6'!D48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+C49+'6'!D49</f>
        <v>10080</v>
      </c>
      <c r="E49" s="143">
        <f t="shared" si="0"/>
        <v>168</v>
      </c>
      <c r="F49" s="185"/>
      <c r="H49" s="188" t="s">
        <v>266</v>
      </c>
      <c r="I49" s="118">
        <f>+Report1!T15</f>
        <v>0</v>
      </c>
      <c r="J49" s="135">
        <f>+I49+'6'!J49</f>
        <v>0</v>
      </c>
      <c r="K49" s="130" t="s">
        <v>82</v>
      </c>
    </row>
    <row r="50" spans="1:11" ht="17.45" customHeight="1">
      <c r="A50" s="781" t="s">
        <v>18</v>
      </c>
      <c r="B50" s="782"/>
      <c r="C50" s="164">
        <f>SUMIF($G$7:$G$31,"Steam",$F$7:$F$31)</f>
        <v>0</v>
      </c>
      <c r="D50" s="118">
        <f>+C50+'6'!D50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+C51+'6'!D51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10080</v>
      </c>
      <c r="E52" s="145">
        <f>SUM(E38:E51)</f>
        <v>168</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+D34+'6'!J56</f>
        <v>0</v>
      </c>
      <c r="K56" s="201" t="e">
        <f>J56/(J40+J56/1000)/1000</f>
        <v>#DIV/0!</v>
      </c>
    </row>
    <row r="57" spans="1:11">
      <c r="A57" s="176"/>
      <c r="I57" s="199" t="s">
        <v>88</v>
      </c>
      <c r="J57" s="200">
        <f>+E34+'6'!J57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view="pageBreakPreview" zoomScale="80" zoomScaleNormal="75" zoomScaleSheetLayoutView="80" workbookViewId="0">
      <selection activeCell="D25" sqref="D25"/>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85546875" style="149" bestFit="1" customWidth="1"/>
    <col min="12" max="12" width="8.28515625" style="149" customWidth="1"/>
    <col min="13" max="13" width="14.5703125" style="149" bestFit="1" customWidth="1"/>
    <col min="14" max="16384" width="9.140625" style="149"/>
  </cols>
  <sheetData>
    <row r="1" spans="1:13" ht="15.75">
      <c r="A1" s="148"/>
    </row>
    <row r="2" spans="1:13" ht="15.75">
      <c r="A2" s="148" t="s">
        <v>182</v>
      </c>
    </row>
    <row r="3" spans="1:13" ht="15">
      <c r="A3" s="150"/>
    </row>
    <row r="4" spans="1:13" ht="20.25">
      <c r="A4" s="151" t="s">
        <v>3</v>
      </c>
      <c r="B4" s="152"/>
      <c r="F4" s="153" t="s">
        <v>28</v>
      </c>
      <c r="G4" s="154">
        <v>6</v>
      </c>
      <c r="H4" s="154" t="str">
        <f>+'1'!H4</f>
        <v>.11.25</v>
      </c>
    </row>
    <row r="5" spans="1:13" ht="13.5" thickBot="1">
      <c r="C5" s="155"/>
      <c r="D5" s="155"/>
    </row>
    <row r="6" spans="1:1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3" ht="13.5" customHeight="1" thickBot="1">
      <c r="A7" s="767"/>
      <c r="B7" s="215"/>
      <c r="C7" s="216"/>
      <c r="D7" s="217"/>
      <c r="E7" s="218"/>
      <c r="F7" s="227"/>
      <c r="G7" s="228" t="s">
        <v>11</v>
      </c>
      <c r="H7" s="229" t="s">
        <v>384</v>
      </c>
      <c r="I7" s="770"/>
      <c r="J7" s="214" t="str">
        <f>+'5'!J7</f>
        <v>F 12 VP OW</v>
      </c>
      <c r="K7" s="237"/>
      <c r="L7" s="241"/>
      <c r="M7" s="117">
        <f>+K7+'5'!M7+L7</f>
        <v>0</v>
      </c>
    </row>
    <row r="8" spans="1:13" ht="13.5" thickBot="1">
      <c r="A8" s="768"/>
      <c r="B8" s="215"/>
      <c r="C8" s="216"/>
      <c r="D8" s="217"/>
      <c r="E8" s="219"/>
      <c r="F8" s="230"/>
      <c r="G8" s="231" t="s">
        <v>11</v>
      </c>
      <c r="H8" s="229" t="s">
        <v>282</v>
      </c>
      <c r="I8" s="771"/>
      <c r="J8" s="214">
        <f>+'5'!J8</f>
        <v>0</v>
      </c>
      <c r="K8" s="238">
        <f>+C34</f>
        <v>0</v>
      </c>
      <c r="L8" s="238"/>
      <c r="M8" s="117">
        <f>+K8+'5'!M8+L8</f>
        <v>0</v>
      </c>
    </row>
    <row r="9" spans="1:13" ht="13.5" thickBot="1">
      <c r="A9" s="768"/>
      <c r="B9" s="215"/>
      <c r="C9" s="216"/>
      <c r="D9" s="217"/>
      <c r="E9" s="220"/>
      <c r="F9" s="227"/>
      <c r="G9" s="231" t="s">
        <v>11</v>
      </c>
      <c r="H9" s="232" t="s">
        <v>408</v>
      </c>
      <c r="I9" s="771"/>
      <c r="J9" s="214">
        <f>+'5'!J9</f>
        <v>0</v>
      </c>
      <c r="K9" s="238"/>
      <c r="L9" s="238"/>
      <c r="M9" s="117">
        <f>+K9+'5'!M9+L9</f>
        <v>0</v>
      </c>
    </row>
    <row r="10" spans="1:13" ht="13.5" thickBot="1">
      <c r="A10" s="768"/>
      <c r="B10" s="215"/>
      <c r="C10" s="216"/>
      <c r="D10" s="217"/>
      <c r="E10" s="219"/>
      <c r="F10" s="227"/>
      <c r="G10" s="236" t="s">
        <v>12</v>
      </c>
      <c r="H10" s="232" t="s">
        <v>414</v>
      </c>
      <c r="I10" s="771"/>
      <c r="J10" s="214">
        <f>+'5'!J10</f>
        <v>0</v>
      </c>
      <c r="K10" s="238"/>
      <c r="L10" s="238"/>
      <c r="M10" s="117">
        <f>+K10+'5'!M10+L10</f>
        <v>0</v>
      </c>
    </row>
    <row r="11" spans="1:13" ht="90" thickBot="1">
      <c r="A11" s="768"/>
      <c r="B11" s="215"/>
      <c r="C11" s="216"/>
      <c r="D11" s="217"/>
      <c r="E11" s="219"/>
      <c r="F11" s="230">
        <v>480</v>
      </c>
      <c r="G11" s="231" t="s">
        <v>19</v>
      </c>
      <c r="H11" s="232" t="s">
        <v>422</v>
      </c>
      <c r="I11" s="771"/>
      <c r="J11" s="214">
        <f>+'5'!J11</f>
        <v>0</v>
      </c>
      <c r="K11" s="238"/>
      <c r="L11" s="238"/>
      <c r="M11" s="117">
        <f>+K11+'5'!M11+L11</f>
        <v>0</v>
      </c>
    </row>
    <row r="12" spans="1:13" ht="13.5" thickBot="1">
      <c r="A12" s="768"/>
      <c r="B12" s="215"/>
      <c r="C12" s="216"/>
      <c r="D12" s="217"/>
      <c r="E12" s="219"/>
      <c r="F12" s="227"/>
      <c r="G12" s="231"/>
      <c r="H12" s="232"/>
      <c r="I12" s="771"/>
      <c r="J12" s="214">
        <f>+'5'!J12</f>
        <v>0</v>
      </c>
      <c r="K12" s="238"/>
      <c r="L12" s="238"/>
      <c r="M12" s="117">
        <f>+K12+'5'!M12+L12</f>
        <v>0</v>
      </c>
    </row>
    <row r="13" spans="1:13" ht="13.5" thickBot="1">
      <c r="A13" s="768"/>
      <c r="B13" s="215"/>
      <c r="C13" s="216"/>
      <c r="D13" s="216"/>
      <c r="E13" s="219"/>
      <c r="F13" s="227"/>
      <c r="G13" s="231"/>
      <c r="H13" s="232"/>
      <c r="I13" s="772"/>
      <c r="J13" s="214">
        <f>+'5'!J13</f>
        <v>0</v>
      </c>
      <c r="K13" s="238"/>
      <c r="L13" s="238"/>
      <c r="M13" s="117">
        <f>+K13+'5'!M13+L13</f>
        <v>0</v>
      </c>
    </row>
    <row r="14" spans="1:13" ht="13.5" thickBot="1">
      <c r="A14" s="769"/>
      <c r="B14" s="165" t="s">
        <v>2</v>
      </c>
      <c r="C14" s="99">
        <f>SUM(C7:C13)</f>
        <v>0</v>
      </c>
      <c r="D14" s="111">
        <f>SUM(D7:D13)</f>
        <v>0</v>
      </c>
      <c r="E14" s="112">
        <f>SUM(E5:E13)</f>
        <v>0</v>
      </c>
      <c r="F14" s="116">
        <f>SUM(F7:F13)</f>
        <v>480</v>
      </c>
      <c r="G14" s="159"/>
      <c r="H14" s="166"/>
      <c r="I14" s="167"/>
      <c r="J14" s="214">
        <f>+'5'!J14</f>
        <v>0</v>
      </c>
      <c r="K14" s="238"/>
      <c r="L14" s="238"/>
      <c r="M14" s="117">
        <f>+K14+'5'!M14+L14</f>
        <v>0</v>
      </c>
    </row>
    <row r="15" spans="1:13" ht="13.5" customHeight="1" thickBot="1">
      <c r="A15" s="767"/>
      <c r="B15" s="165"/>
      <c r="C15" s="113" t="e">
        <f>C14/($C$23+$D$23+$E$23)</f>
        <v>#DIV/0!</v>
      </c>
      <c r="D15" s="114" t="e">
        <f>D14/($C$23+$D$23+$E$23)</f>
        <v>#DIV/0!</v>
      </c>
      <c r="E15" s="115" t="e">
        <f>E14/($C$23+$D$23+$E$23)</f>
        <v>#DIV/0!</v>
      </c>
      <c r="F15" s="227"/>
      <c r="G15" s="228" t="s">
        <v>11</v>
      </c>
      <c r="H15" s="229" t="s">
        <v>384</v>
      </c>
      <c r="I15" s="770"/>
      <c r="J15" s="214">
        <f>+'5'!J15</f>
        <v>0</v>
      </c>
      <c r="K15" s="238"/>
      <c r="L15" s="238"/>
      <c r="M15" s="117">
        <f>+K15+'5'!M15+L15</f>
        <v>0</v>
      </c>
    </row>
    <row r="16" spans="1:13" ht="13.5" thickBot="1">
      <c r="A16" s="773"/>
      <c r="B16" s="215"/>
      <c r="C16" s="221"/>
      <c r="D16" s="222"/>
      <c r="E16" s="223"/>
      <c r="F16" s="230"/>
      <c r="G16" s="231" t="s">
        <v>11</v>
      </c>
      <c r="H16" s="229" t="s">
        <v>282</v>
      </c>
      <c r="I16" s="771"/>
      <c r="J16" s="214">
        <f>+'5'!J16</f>
        <v>0</v>
      </c>
      <c r="K16" s="228"/>
      <c r="L16" s="228"/>
      <c r="M16" s="117">
        <f>+K16+'5'!M16+L16</f>
        <v>0</v>
      </c>
    </row>
    <row r="17" spans="1:13" ht="13.5" thickBot="1">
      <c r="A17" s="773"/>
      <c r="B17" s="215"/>
      <c r="C17" s="216"/>
      <c r="D17" s="217"/>
      <c r="E17" s="224"/>
      <c r="F17" s="227"/>
      <c r="G17" s="231" t="s">
        <v>11</v>
      </c>
      <c r="H17" s="232" t="s">
        <v>408</v>
      </c>
      <c r="I17" s="771"/>
      <c r="J17" s="214">
        <f>+'5'!J17</f>
        <v>0</v>
      </c>
      <c r="K17" s="228"/>
      <c r="L17" s="228"/>
      <c r="M17" s="117">
        <f>+K17+'5'!M17+L17</f>
        <v>0</v>
      </c>
    </row>
    <row r="18" spans="1:13" ht="13.5" thickBot="1">
      <c r="A18" s="773"/>
      <c r="B18" s="215"/>
      <c r="C18" s="216"/>
      <c r="D18" s="217"/>
      <c r="E18" s="224"/>
      <c r="F18" s="227"/>
      <c r="G18" s="236" t="s">
        <v>12</v>
      </c>
      <c r="H18" s="232" t="s">
        <v>414</v>
      </c>
      <c r="I18" s="771"/>
      <c r="J18" s="214">
        <f>+'5'!J18</f>
        <v>0</v>
      </c>
      <c r="K18" s="238"/>
      <c r="L18" s="238"/>
      <c r="M18" s="117">
        <f>+K18+'5'!M18+L18</f>
        <v>0</v>
      </c>
    </row>
    <row r="19" spans="1:13" ht="77.25" thickBot="1">
      <c r="A19" s="773"/>
      <c r="B19" s="215"/>
      <c r="C19" s="216"/>
      <c r="D19" s="217"/>
      <c r="E19" s="224"/>
      <c r="F19" s="230">
        <v>480</v>
      </c>
      <c r="G19" s="231" t="s">
        <v>19</v>
      </c>
      <c r="H19" s="232" t="s">
        <v>421</v>
      </c>
      <c r="I19" s="771"/>
      <c r="J19" s="214">
        <f>+'5'!J19</f>
        <v>0</v>
      </c>
      <c r="K19" s="238"/>
      <c r="L19" s="238"/>
      <c r="M19" s="117">
        <f>+K19+'5'!M19+L19</f>
        <v>0</v>
      </c>
    </row>
    <row r="20" spans="1:13" ht="13.5" thickBot="1">
      <c r="A20" s="773"/>
      <c r="B20" s="215"/>
      <c r="C20" s="216"/>
      <c r="D20" s="217"/>
      <c r="E20" s="224"/>
      <c r="F20" s="227"/>
      <c r="G20" s="231"/>
      <c r="H20" s="232"/>
      <c r="I20" s="771"/>
      <c r="J20" s="214">
        <f>+'5'!J20</f>
        <v>0</v>
      </c>
      <c r="K20" s="239"/>
      <c r="L20" s="239"/>
      <c r="M20" s="117">
        <f>+K20+'5'!M20+L20</f>
        <v>0</v>
      </c>
    </row>
    <row r="21" spans="1:13" ht="13.5" thickBot="1">
      <c r="A21" s="773"/>
      <c r="B21" s="215"/>
      <c r="C21" s="216"/>
      <c r="D21" s="217"/>
      <c r="E21" s="224"/>
      <c r="F21" s="230"/>
      <c r="G21" s="231"/>
      <c r="H21" s="232"/>
      <c r="I21" s="771"/>
      <c r="J21" s="214">
        <f>+'5'!J21</f>
        <v>0</v>
      </c>
      <c r="K21" s="238"/>
      <c r="L21" s="238"/>
      <c r="M21" s="117">
        <f>+K21+'5'!M21+L21</f>
        <v>0</v>
      </c>
    </row>
    <row r="22" spans="1:13" ht="13.5" thickBot="1">
      <c r="A22" s="773"/>
      <c r="B22" s="215"/>
      <c r="C22" s="216"/>
      <c r="D22" s="217"/>
      <c r="E22" s="224"/>
      <c r="F22" s="235"/>
      <c r="G22" s="231"/>
      <c r="H22" s="232"/>
      <c r="I22" s="772"/>
      <c r="J22" s="214">
        <f>+'5'!J22</f>
        <v>0</v>
      </c>
      <c r="K22" s="238"/>
      <c r="L22" s="238"/>
      <c r="M22" s="117">
        <f>+K22+'5'!M22+L22</f>
        <v>0</v>
      </c>
    </row>
    <row r="23" spans="1:13" ht="13.5" thickBot="1">
      <c r="A23" s="774"/>
      <c r="B23" s="168" t="s">
        <v>2</v>
      </c>
      <c r="C23" s="100">
        <f>SUM(C16:C22)</f>
        <v>0</v>
      </c>
      <c r="D23" s="111">
        <f>SUM(D16:D22)</f>
        <v>0</v>
      </c>
      <c r="E23" s="112">
        <f>SUM(E18:E22)</f>
        <v>0</v>
      </c>
      <c r="F23" s="116">
        <f>SUM(F15:F22)</f>
        <v>480</v>
      </c>
      <c r="G23" s="159"/>
      <c r="H23" s="166"/>
      <c r="I23" s="169"/>
      <c r="J23" s="214">
        <f>+'5'!J23</f>
        <v>0</v>
      </c>
      <c r="K23" s="238"/>
      <c r="L23" s="238"/>
      <c r="M23" s="117">
        <f>+K23+'5'!M23+L23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+'5'!J24</f>
        <v>0</v>
      </c>
      <c r="K24" s="238"/>
      <c r="L24" s="238"/>
      <c r="M24" s="117">
        <f>+K24+'5'!M24+L24</f>
        <v>0</v>
      </c>
    </row>
    <row r="25" spans="1:13" ht="13.5" thickBot="1">
      <c r="A25" s="773"/>
      <c r="B25" s="215"/>
      <c r="C25" s="225"/>
      <c r="D25" s="217"/>
      <c r="E25" s="224"/>
      <c r="F25" s="230"/>
      <c r="G25" s="231" t="s">
        <v>11</v>
      </c>
      <c r="H25" s="229" t="s">
        <v>282</v>
      </c>
      <c r="I25" s="771"/>
      <c r="J25" s="214">
        <f>+'5'!J25</f>
        <v>0</v>
      </c>
      <c r="K25" s="238"/>
      <c r="L25" s="238"/>
      <c r="M25" s="117">
        <f>+K25+'5'!M25+L25</f>
        <v>0</v>
      </c>
    </row>
    <row r="26" spans="1:13" ht="13.5" thickBot="1">
      <c r="A26" s="773"/>
      <c r="B26" s="215"/>
      <c r="C26" s="225"/>
      <c r="D26" s="217"/>
      <c r="E26" s="226"/>
      <c r="F26" s="227"/>
      <c r="G26" s="231" t="s">
        <v>11</v>
      </c>
      <c r="H26" s="232" t="s">
        <v>408</v>
      </c>
      <c r="I26" s="771"/>
      <c r="J26" s="214">
        <f>+'5'!J26</f>
        <v>0</v>
      </c>
      <c r="K26" s="238"/>
      <c r="L26" s="238"/>
      <c r="M26" s="117">
        <f>+K26+'5'!M26+L26</f>
        <v>0</v>
      </c>
    </row>
    <row r="27" spans="1:13" ht="13.5" thickBot="1">
      <c r="A27" s="773"/>
      <c r="B27" s="215"/>
      <c r="C27" s="216"/>
      <c r="D27" s="217"/>
      <c r="E27" s="224"/>
      <c r="F27" s="227"/>
      <c r="G27" s="236" t="s">
        <v>12</v>
      </c>
      <c r="H27" s="232" t="s">
        <v>414</v>
      </c>
      <c r="I27" s="771"/>
      <c r="J27" s="214">
        <f>+'5'!J27</f>
        <v>0</v>
      </c>
      <c r="K27" s="238"/>
      <c r="L27" s="238"/>
      <c r="M27" s="117">
        <f>+K27+'5'!M27+L27</f>
        <v>0</v>
      </c>
    </row>
    <row r="28" spans="1:13" ht="51.75" thickBot="1">
      <c r="A28" s="773"/>
      <c r="B28" s="215"/>
      <c r="C28" s="216"/>
      <c r="D28" s="217"/>
      <c r="E28" s="224"/>
      <c r="F28" s="230">
        <v>480</v>
      </c>
      <c r="G28" s="231" t="s">
        <v>19</v>
      </c>
      <c r="H28" s="232" t="s">
        <v>420</v>
      </c>
      <c r="I28" s="771"/>
      <c r="J28" s="214">
        <f>+'5'!J28</f>
        <v>0</v>
      </c>
      <c r="K28" s="238"/>
      <c r="L28" s="238"/>
      <c r="M28" s="117">
        <f>+K28+'5'!M28+L28</f>
        <v>0</v>
      </c>
    </row>
    <row r="29" spans="1:13" ht="13.5" thickBot="1">
      <c r="A29" s="773"/>
      <c r="B29" s="215"/>
      <c r="C29" s="216"/>
      <c r="D29" s="217"/>
      <c r="E29" s="224"/>
      <c r="F29" s="235"/>
      <c r="G29" s="231"/>
      <c r="H29" s="232"/>
      <c r="I29" s="771"/>
      <c r="J29" s="214">
        <f>+'5'!J29</f>
        <v>0</v>
      </c>
      <c r="K29" s="238"/>
      <c r="L29" s="238"/>
      <c r="M29" s="117">
        <f>+K29+'5'!M29+L29</f>
        <v>0</v>
      </c>
    </row>
    <row r="30" spans="1:13" ht="13.5" thickBot="1">
      <c r="A30" s="773"/>
      <c r="B30" s="215"/>
      <c r="C30" s="225"/>
      <c r="D30" s="217"/>
      <c r="E30" s="224"/>
      <c r="F30" s="235"/>
      <c r="G30" s="231"/>
      <c r="H30" s="232"/>
      <c r="I30" s="771"/>
      <c r="J30" s="214">
        <f>+'5'!J30</f>
        <v>0</v>
      </c>
      <c r="K30" s="238"/>
      <c r="L30" s="238"/>
      <c r="M30" s="117">
        <f>+K30+'5'!M30+L30</f>
        <v>0</v>
      </c>
    </row>
    <row r="31" spans="1:13" ht="13.5" thickBot="1">
      <c r="A31" s="773"/>
      <c r="B31" s="215"/>
      <c r="C31" s="225"/>
      <c r="D31" s="217"/>
      <c r="E31" s="224"/>
      <c r="F31" s="235"/>
      <c r="G31" s="236"/>
      <c r="H31" s="444"/>
      <c r="I31" s="772"/>
      <c r="J31" s="214">
        <f>+'5'!J31</f>
        <v>0</v>
      </c>
      <c r="K31" s="238"/>
      <c r="L31" s="238"/>
      <c r="M31" s="117">
        <f>+K31+'5'!M31+L31</f>
        <v>0</v>
      </c>
    </row>
    <row r="32" spans="1:13" ht="13.5" thickBot="1">
      <c r="A32" s="774"/>
      <c r="B32" s="165" t="s">
        <v>2</v>
      </c>
      <c r="C32" s="99">
        <f>SUM(C25:C31)</f>
        <v>0</v>
      </c>
      <c r="D32" s="100">
        <f>SUM(D25:D31)</f>
        <v>0</v>
      </c>
      <c r="E32" s="101">
        <f>SUM(E25:E31)</f>
        <v>0</v>
      </c>
      <c r="F32" s="102">
        <f>SUM(F24:F31)</f>
        <v>480</v>
      </c>
      <c r="G32" s="171"/>
      <c r="H32" s="172"/>
      <c r="I32" s="169"/>
      <c r="J32" s="214">
        <f>+'5'!J32</f>
        <v>0</v>
      </c>
      <c r="K32" s="240"/>
      <c r="L32" s="242"/>
      <c r="M32" s="117">
        <f>+K32+'5'!M32+L32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(12*1440)/1440*G42*2.74*1440/1000000</f>
        <v>0</v>
      </c>
      <c r="J37" s="125">
        <f>+I37+'5'!J37</f>
        <v>0</v>
      </c>
      <c r="K37" s="126" t="s">
        <v>63</v>
      </c>
    </row>
    <row r="38" spans="1:13" ht="17.45" customHeight="1">
      <c r="A38" s="779" t="s">
        <v>11</v>
      </c>
      <c r="B38" s="780"/>
      <c r="C38" s="164">
        <f>SUMIF($G$7:$G$31,"Process",$F$7:$F$31)</f>
        <v>0</v>
      </c>
      <c r="D38" s="118">
        <f>+C38+'5'!D38</f>
        <v>0</v>
      </c>
      <c r="E38" s="143">
        <f t="shared" ref="E38:E51" si="0">D38/60</f>
        <v>0</v>
      </c>
      <c r="F38" s="321"/>
      <c r="G38" s="321"/>
      <c r="H38" s="187" t="s">
        <v>64</v>
      </c>
      <c r="I38" s="244"/>
      <c r="J38" s="127">
        <f>+I38+'5'!J38</f>
        <v>0</v>
      </c>
      <c r="K38" s="128" t="s">
        <v>63</v>
      </c>
    </row>
    <row r="39" spans="1:13" ht="17.45" customHeight="1">
      <c r="A39" s="781" t="s">
        <v>12</v>
      </c>
      <c r="B39" s="782"/>
      <c r="C39" s="164">
        <f>SUMIF($G$7:$G$31,"Cleaning",$F$7:$F$31)</f>
        <v>0</v>
      </c>
      <c r="D39" s="118">
        <f>+C39+'5'!D39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+C40+'5'!D40</f>
        <v>0</v>
      </c>
      <c r="E40" s="143">
        <f t="shared" si="0"/>
        <v>0</v>
      </c>
      <c r="F40" s="321"/>
      <c r="G40" s="321"/>
      <c r="H40" s="187" t="s">
        <v>67</v>
      </c>
      <c r="I40" s="118">
        <f>(K34+L34)/1000</f>
        <v>0</v>
      </c>
      <c r="J40" s="131">
        <f>+I40+'5'!J40</f>
        <v>0</v>
      </c>
      <c r="K40" s="130" t="s">
        <v>63</v>
      </c>
    </row>
    <row r="41" spans="1:13" ht="17.45" customHeight="1">
      <c r="A41" s="781" t="s">
        <v>68</v>
      </c>
      <c r="B41" s="782"/>
      <c r="C41" s="164">
        <f>SUMIF($G$7:$G$31,"Electrical",$F$7:$F$31)</f>
        <v>0</v>
      </c>
      <c r="D41" s="118">
        <f>+C41+'5'!D41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+C42+'5'!D42</f>
        <v>0</v>
      </c>
      <c r="E42" s="143">
        <f t="shared" si="0"/>
        <v>0</v>
      </c>
      <c r="F42" s="321">
        <f>+(F38*480+F39*480+F40*480)/1440</f>
        <v>0</v>
      </c>
      <c r="G42" s="321">
        <f>+(G38*480+G39*480+G40*480)/1440</f>
        <v>0</v>
      </c>
      <c r="H42" s="187" t="s">
        <v>70</v>
      </c>
      <c r="I42" s="245"/>
      <c r="J42" s="132"/>
      <c r="K42" s="130" t="s">
        <v>71</v>
      </c>
    </row>
    <row r="43" spans="1:13" ht="17.45" customHeight="1">
      <c r="A43" s="781" t="s">
        <v>219</v>
      </c>
      <c r="B43" s="782"/>
      <c r="C43" s="164">
        <f>SUMIF($G$7:$G$31,"Change Grade",$F$7:$F$31)</f>
        <v>0</v>
      </c>
      <c r="D43" s="118">
        <f>+C43+'5'!D43</f>
        <v>0</v>
      </c>
      <c r="E43" s="143">
        <f t="shared" si="0"/>
        <v>0</v>
      </c>
      <c r="F43" s="321"/>
      <c r="G43" s="322"/>
      <c r="H43" s="188" t="s">
        <v>73</v>
      </c>
      <c r="I43" s="118">
        <f>+Report1!Z14</f>
        <v>4.3</v>
      </c>
      <c r="J43" s="133">
        <f>+I43+'5'!J43</f>
        <v>86.899999999999977</v>
      </c>
      <c r="K43" s="130" t="s">
        <v>63</v>
      </c>
      <c r="L43" s="189"/>
    </row>
    <row r="44" spans="1:13" ht="17.45" customHeight="1">
      <c r="A44" s="781" t="s">
        <v>16</v>
      </c>
      <c r="B44" s="782"/>
      <c r="C44" s="164">
        <f>SUMIF($G$7:$G$31,"PLN",$F$7:$F$31)</f>
        <v>0</v>
      </c>
      <c r="D44" s="118">
        <f>+C44+'5'!D44</f>
        <v>0</v>
      </c>
      <c r="E44" s="143">
        <f t="shared" si="0"/>
        <v>0</v>
      </c>
      <c r="F44" s="321"/>
      <c r="G44" s="322"/>
      <c r="H44" s="188" t="s">
        <v>74</v>
      </c>
      <c r="I44" s="118" t="e">
        <f>I43/I38</f>
        <v>#DIV/0!</v>
      </c>
      <c r="J44" s="134" t="e">
        <f>J43/J38</f>
        <v>#DIV/0!</v>
      </c>
      <c r="K44" s="130" t="s">
        <v>63</v>
      </c>
    </row>
    <row r="45" spans="1:13" ht="17.45" customHeight="1">
      <c r="A45" s="781" t="s">
        <v>17</v>
      </c>
      <c r="B45" s="782"/>
      <c r="C45" s="164">
        <f>SUMIF($G$7:$G$31,"Boiler",$F$7:$F$31)</f>
        <v>0</v>
      </c>
      <c r="D45" s="118">
        <f>+C45+'5'!D45</f>
        <v>0</v>
      </c>
      <c r="E45" s="143">
        <f t="shared" si="0"/>
        <v>0</v>
      </c>
      <c r="F45" s="321"/>
      <c r="G45" s="324"/>
      <c r="H45" s="188" t="s">
        <v>75</v>
      </c>
      <c r="I45" s="118" t="e">
        <f>I43/I40</f>
        <v>#DIV/0!</v>
      </c>
      <c r="J45" s="134" t="e">
        <f>J43/J40</f>
        <v>#DIV/0!</v>
      </c>
      <c r="K45" s="130" t="s">
        <v>63</v>
      </c>
    </row>
    <row r="46" spans="1:13" ht="17.45" customHeight="1">
      <c r="A46" s="781" t="s">
        <v>76</v>
      </c>
      <c r="B46" s="782"/>
      <c r="C46" s="164">
        <f>SUMIF($G$7:$G$31,"Gas",$F$7:$F$31)</f>
        <v>0</v>
      </c>
      <c r="D46" s="118">
        <f>+C46+'5'!D46</f>
        <v>0</v>
      </c>
      <c r="E46" s="143">
        <f t="shared" si="0"/>
        <v>0</v>
      </c>
      <c r="F46" s="321"/>
      <c r="G46" s="322"/>
      <c r="H46" s="188" t="s">
        <v>77</v>
      </c>
      <c r="I46" s="140">
        <f>+SUMIF(Listrik!P13,"&gt;0")</f>
        <v>7849.7799999992731</v>
      </c>
      <c r="J46" s="135">
        <f>+I46+'5'!J46</f>
        <v>28664.239999999634</v>
      </c>
      <c r="K46" s="130" t="s">
        <v>78</v>
      </c>
    </row>
    <row r="47" spans="1:13" ht="17.45" customHeight="1">
      <c r="A47" s="781" t="s">
        <v>79</v>
      </c>
      <c r="B47" s="782"/>
      <c r="C47" s="164">
        <f>SUMIF($G$7:$G$31,"Gas",$F$7:$F$31)</f>
        <v>0</v>
      </c>
      <c r="D47" s="118">
        <f>+C47+'5'!D47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+C48+'5'!D48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+C49+'5'!D49</f>
        <v>8640</v>
      </c>
      <c r="E49" s="143">
        <f t="shared" si="0"/>
        <v>144</v>
      </c>
      <c r="F49" s="185"/>
      <c r="H49" s="188" t="s">
        <v>266</v>
      </c>
      <c r="I49" s="118">
        <f>+Report1!T14</f>
        <v>0</v>
      </c>
      <c r="J49" s="135">
        <f>+I49+'5'!J49</f>
        <v>0</v>
      </c>
      <c r="K49" s="130" t="s">
        <v>82</v>
      </c>
    </row>
    <row r="50" spans="1:11" ht="17.45" customHeight="1">
      <c r="A50" s="781" t="s">
        <v>18</v>
      </c>
      <c r="B50" s="782"/>
      <c r="C50" s="164">
        <f>SUMIF($G$7:$G$31,"Steam",$F$7:$F$31)</f>
        <v>0</v>
      </c>
      <c r="D50" s="118">
        <f>+C50+'5'!D50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+C51+'5'!D51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8640</v>
      </c>
      <c r="E52" s="145">
        <f>SUM(E38:E51)</f>
        <v>144</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+D34+'5'!J56</f>
        <v>0</v>
      </c>
      <c r="K56" s="201" t="e">
        <f>J56/(J40+J56/1000)/1000</f>
        <v>#DIV/0!</v>
      </c>
    </row>
    <row r="57" spans="1:11">
      <c r="A57" s="176"/>
      <c r="I57" s="199" t="s">
        <v>88</v>
      </c>
      <c r="J57" s="200">
        <f>+E34+'5'!J57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19513888888888889" right="0.19513888888888889" top="0.17" bottom="0.16" header="0" footer="0"/>
  <pageSetup paperSize="9" scale="60"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zoomScale="80" zoomScaleNormal="75" zoomScaleSheetLayoutView="80" workbookViewId="0">
      <selection activeCell="D25" sqref="D25"/>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customWidth="1"/>
    <col min="12" max="12" width="8.28515625" style="149" customWidth="1"/>
    <col min="13" max="13" width="15.5703125" style="149" bestFit="1" customWidth="1"/>
    <col min="14" max="16384" width="9.140625" style="149"/>
  </cols>
  <sheetData>
    <row r="1" spans="1:18" ht="15.75">
      <c r="A1" s="148"/>
    </row>
    <row r="2" spans="1:18" ht="15.75">
      <c r="A2" s="148" t="s">
        <v>182</v>
      </c>
    </row>
    <row r="3" spans="1:18" ht="15">
      <c r="A3" s="150"/>
    </row>
    <row r="4" spans="1:18" ht="20.25">
      <c r="A4" s="151" t="s">
        <v>3</v>
      </c>
      <c r="B4" s="152"/>
      <c r="F4" s="153" t="s">
        <v>28</v>
      </c>
      <c r="G4" s="154">
        <v>5</v>
      </c>
      <c r="H4" s="154" t="str">
        <f>+'1'!H4</f>
        <v>.11.25</v>
      </c>
    </row>
    <row r="5" spans="1:18" ht="13.5" thickBot="1">
      <c r="C5" s="155"/>
      <c r="D5" s="155"/>
    </row>
    <row r="6" spans="1:18"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8" ht="13.5" customHeight="1" thickBot="1">
      <c r="A7" s="767"/>
      <c r="B7" s="215"/>
      <c r="C7" s="216"/>
      <c r="D7" s="217"/>
      <c r="E7" s="218"/>
      <c r="F7" s="227"/>
      <c r="G7" s="228" t="s">
        <v>11</v>
      </c>
      <c r="H7" s="229" t="s">
        <v>384</v>
      </c>
      <c r="I7" s="770"/>
      <c r="J7" s="214" t="str">
        <f>+'4'!J7</f>
        <v>F 12 VP OW</v>
      </c>
      <c r="K7" s="237"/>
      <c r="L7" s="241"/>
      <c r="M7" s="117">
        <f>+K7+'4'!M7+L7</f>
        <v>0</v>
      </c>
      <c r="N7" s="149">
        <v>1200</v>
      </c>
      <c r="O7" s="149">
        <f>+N7-(N7*0.25)</f>
        <v>900</v>
      </c>
      <c r="P7" s="149">
        <v>240</v>
      </c>
      <c r="Q7" s="149">
        <f t="shared" ref="Q7:Q12" si="0">+N7*P7</f>
        <v>288000</v>
      </c>
      <c r="R7" s="149">
        <f t="shared" ref="R7:R12" si="1">+O7*P7</f>
        <v>216000</v>
      </c>
    </row>
    <row r="8" spans="1:18" ht="13.5" thickBot="1">
      <c r="A8" s="768"/>
      <c r="B8" s="215"/>
      <c r="C8" s="216"/>
      <c r="D8" s="217"/>
      <c r="E8" s="219"/>
      <c r="F8" s="230"/>
      <c r="G8" s="231" t="s">
        <v>11</v>
      </c>
      <c r="H8" s="229" t="s">
        <v>282</v>
      </c>
      <c r="I8" s="771"/>
      <c r="J8" s="214">
        <f>+'4'!J8</f>
        <v>0</v>
      </c>
      <c r="K8" s="238">
        <f>+C25</f>
        <v>0</v>
      </c>
      <c r="L8" s="238"/>
      <c r="M8" s="117">
        <f>+K8+'4'!M8+L8</f>
        <v>0</v>
      </c>
      <c r="N8" s="149">
        <v>1230</v>
      </c>
      <c r="O8" s="149">
        <f>+N8-(N8*0.25)</f>
        <v>922.5</v>
      </c>
      <c r="P8" s="149">
        <v>240</v>
      </c>
      <c r="Q8" s="149">
        <f t="shared" si="0"/>
        <v>295200</v>
      </c>
      <c r="R8" s="149">
        <f t="shared" si="1"/>
        <v>221400</v>
      </c>
    </row>
    <row r="9" spans="1:18" ht="13.5" thickBot="1">
      <c r="A9" s="768"/>
      <c r="B9" s="215"/>
      <c r="C9" s="216"/>
      <c r="D9" s="217"/>
      <c r="E9" s="220"/>
      <c r="F9" s="227"/>
      <c r="G9" s="231" t="s">
        <v>11</v>
      </c>
      <c r="H9" s="232" t="s">
        <v>408</v>
      </c>
      <c r="I9" s="771"/>
      <c r="J9" s="214">
        <f>+'4'!J9</f>
        <v>0</v>
      </c>
      <c r="K9" s="238">
        <f>+C16+C7</f>
        <v>0</v>
      </c>
      <c r="L9" s="238"/>
      <c r="M9" s="117">
        <f>+K9+'4'!M9+L9</f>
        <v>0</v>
      </c>
      <c r="O9" s="149">
        <f>+N9-(N9*0.2)</f>
        <v>0</v>
      </c>
      <c r="Q9" s="149">
        <f t="shared" si="0"/>
        <v>0</v>
      </c>
      <c r="R9" s="149">
        <f t="shared" si="1"/>
        <v>0</v>
      </c>
    </row>
    <row r="10" spans="1:18" ht="13.5" thickBot="1">
      <c r="A10" s="768"/>
      <c r="B10" s="215"/>
      <c r="C10" s="216"/>
      <c r="D10" s="217"/>
      <c r="E10" s="219"/>
      <c r="F10" s="227"/>
      <c r="G10" s="236" t="s">
        <v>12</v>
      </c>
      <c r="H10" s="232" t="s">
        <v>414</v>
      </c>
      <c r="I10" s="771"/>
      <c r="J10" s="214">
        <f>+'4'!J10</f>
        <v>0</v>
      </c>
      <c r="K10" s="238"/>
      <c r="L10" s="238"/>
      <c r="M10" s="117">
        <f>+K10+'4'!M10+L10</f>
        <v>0</v>
      </c>
      <c r="O10" s="149">
        <f>+N10-(N10*0.2)</f>
        <v>0</v>
      </c>
      <c r="Q10" s="149">
        <f t="shared" si="0"/>
        <v>0</v>
      </c>
      <c r="R10" s="149">
        <f t="shared" si="1"/>
        <v>0</v>
      </c>
    </row>
    <row r="11" spans="1:18" ht="64.5" thickBot="1">
      <c r="A11" s="768"/>
      <c r="B11" s="215"/>
      <c r="C11" s="216"/>
      <c r="D11" s="217"/>
      <c r="E11" s="219"/>
      <c r="F11" s="230">
        <v>480</v>
      </c>
      <c r="G11" s="231" t="s">
        <v>19</v>
      </c>
      <c r="H11" s="232" t="s">
        <v>419</v>
      </c>
      <c r="I11" s="771"/>
      <c r="J11" s="214">
        <f>+'4'!J11</f>
        <v>0</v>
      </c>
      <c r="K11" s="238"/>
      <c r="L11" s="238"/>
      <c r="M11" s="117">
        <f>+K11+'4'!M11+L11</f>
        <v>0</v>
      </c>
      <c r="O11" s="149">
        <f>+N11-(N11*0.23)</f>
        <v>0</v>
      </c>
      <c r="Q11" s="149">
        <f t="shared" si="0"/>
        <v>0</v>
      </c>
      <c r="R11" s="149">
        <f t="shared" si="1"/>
        <v>0</v>
      </c>
    </row>
    <row r="12" spans="1:18" ht="13.5" thickBot="1">
      <c r="A12" s="768"/>
      <c r="B12" s="215"/>
      <c r="C12" s="216"/>
      <c r="D12" s="217"/>
      <c r="E12" s="219"/>
      <c r="F12" s="227"/>
      <c r="G12" s="231"/>
      <c r="H12" s="232"/>
      <c r="I12" s="771"/>
      <c r="J12" s="214">
        <f>+'4'!J12</f>
        <v>0</v>
      </c>
      <c r="K12" s="238"/>
      <c r="L12" s="238"/>
      <c r="M12" s="117">
        <f>+K12+'4'!M12+L12</f>
        <v>0</v>
      </c>
      <c r="O12" s="149">
        <f>+N12-(N12*0.23)</f>
        <v>0</v>
      </c>
      <c r="Q12" s="149">
        <f t="shared" si="0"/>
        <v>0</v>
      </c>
      <c r="R12" s="149">
        <f t="shared" si="1"/>
        <v>0</v>
      </c>
    </row>
    <row r="13" spans="1:18" ht="13.5" thickBot="1">
      <c r="A13" s="768"/>
      <c r="B13" s="215"/>
      <c r="C13" s="216"/>
      <c r="D13" s="216"/>
      <c r="E13" s="219"/>
      <c r="F13" s="227"/>
      <c r="G13" s="231"/>
      <c r="H13" s="232"/>
      <c r="I13" s="772"/>
      <c r="J13" s="214">
        <f>+'4'!J13</f>
        <v>0</v>
      </c>
      <c r="K13" s="238"/>
      <c r="L13" s="238"/>
      <c r="M13" s="117">
        <f>+K13+'4'!M13+L13</f>
        <v>0</v>
      </c>
    </row>
    <row r="14" spans="1:18" ht="13.5" thickBot="1">
      <c r="A14" s="769"/>
      <c r="B14" s="165" t="s">
        <v>2</v>
      </c>
      <c r="C14" s="99">
        <f>SUM(C7:C13)</f>
        <v>0</v>
      </c>
      <c r="D14" s="111">
        <f>SUM(D7:D13)</f>
        <v>0</v>
      </c>
      <c r="E14" s="112">
        <f>SUM(E5:E13)</f>
        <v>0</v>
      </c>
      <c r="F14" s="116">
        <f>SUM(F7:F13)</f>
        <v>480</v>
      </c>
      <c r="G14" s="159"/>
      <c r="H14" s="166"/>
      <c r="I14" s="167"/>
      <c r="J14" s="214">
        <f>+'4'!J14</f>
        <v>0</v>
      </c>
      <c r="K14" s="238"/>
      <c r="L14" s="238"/>
      <c r="M14" s="117">
        <f>+K14+'4'!M14+L14</f>
        <v>0</v>
      </c>
    </row>
    <row r="15" spans="1:18" ht="13.5" customHeight="1" thickBot="1">
      <c r="A15" s="767"/>
      <c r="B15" s="165"/>
      <c r="C15" s="113" t="e">
        <f>C14/($C$23+$D$23+$E$23)</f>
        <v>#DIV/0!</v>
      </c>
      <c r="D15" s="114" t="e">
        <f>D14/($C$23+$D$23+$E$23)</f>
        <v>#DIV/0!</v>
      </c>
      <c r="E15" s="115" t="e">
        <f>E14/($C$23+$D$23+$E$23)</f>
        <v>#DIV/0!</v>
      </c>
      <c r="F15" s="227"/>
      <c r="G15" s="228" t="s">
        <v>11</v>
      </c>
      <c r="H15" s="229" t="s">
        <v>384</v>
      </c>
      <c r="I15" s="770"/>
      <c r="J15" s="214">
        <f>+'4'!J15</f>
        <v>0</v>
      </c>
      <c r="K15" s="238"/>
      <c r="L15" s="238"/>
      <c r="M15" s="117">
        <f>+K15+'4'!M15+L15</f>
        <v>0</v>
      </c>
      <c r="P15" s="176">
        <f>SUM(P7:P12)</f>
        <v>480</v>
      </c>
      <c r="Q15" s="176">
        <f>SUM(Q7:Q12)</f>
        <v>583200</v>
      </c>
      <c r="R15" s="176">
        <f>SUM(R7:R12)</f>
        <v>437400</v>
      </c>
    </row>
    <row r="16" spans="1:18" ht="13.5" thickBot="1">
      <c r="A16" s="773"/>
      <c r="B16" s="215"/>
      <c r="C16" s="221"/>
      <c r="D16" s="222"/>
      <c r="E16" s="223"/>
      <c r="F16" s="230"/>
      <c r="G16" s="231" t="s">
        <v>11</v>
      </c>
      <c r="H16" s="229" t="s">
        <v>282</v>
      </c>
      <c r="I16" s="771"/>
      <c r="J16" s="214">
        <f>+'4'!J16</f>
        <v>0</v>
      </c>
      <c r="K16" s="228"/>
      <c r="L16" s="228"/>
      <c r="M16" s="117">
        <f>+K16+'4'!M16+L16</f>
        <v>0</v>
      </c>
      <c r="Q16" s="176">
        <f>+Q15/P15</f>
        <v>1215</v>
      </c>
      <c r="R16" s="176">
        <f>+R15/P15</f>
        <v>911.25</v>
      </c>
    </row>
    <row r="17" spans="1:13" ht="13.5" thickBot="1">
      <c r="A17" s="773"/>
      <c r="B17" s="215"/>
      <c r="C17" s="216"/>
      <c r="D17" s="217"/>
      <c r="E17" s="224"/>
      <c r="F17" s="227"/>
      <c r="G17" s="231" t="s">
        <v>11</v>
      </c>
      <c r="H17" s="232" t="s">
        <v>408</v>
      </c>
      <c r="I17" s="771"/>
      <c r="J17" s="214">
        <f>+'4'!J17</f>
        <v>0</v>
      </c>
      <c r="K17" s="228"/>
      <c r="L17" s="228"/>
      <c r="M17" s="117">
        <f>+K17+'4'!M17+L17</f>
        <v>0</v>
      </c>
    </row>
    <row r="18" spans="1:13" ht="13.5" thickBot="1">
      <c r="A18" s="773"/>
      <c r="B18" s="215"/>
      <c r="C18" s="216"/>
      <c r="D18" s="217"/>
      <c r="E18" s="224"/>
      <c r="F18" s="227"/>
      <c r="G18" s="236" t="s">
        <v>12</v>
      </c>
      <c r="H18" s="232" t="s">
        <v>414</v>
      </c>
      <c r="I18" s="771"/>
      <c r="J18" s="214">
        <f>+'4'!J18</f>
        <v>0</v>
      </c>
      <c r="K18" s="238"/>
      <c r="L18" s="238"/>
      <c r="M18" s="117">
        <f>+K18+'4'!M18+L18</f>
        <v>0</v>
      </c>
    </row>
    <row r="19" spans="1:13" ht="51.75" thickBot="1">
      <c r="A19" s="773"/>
      <c r="B19" s="215"/>
      <c r="C19" s="216"/>
      <c r="D19" s="217"/>
      <c r="E19" s="224"/>
      <c r="F19" s="230">
        <v>480</v>
      </c>
      <c r="G19" s="231" t="s">
        <v>19</v>
      </c>
      <c r="H19" s="232" t="s">
        <v>416</v>
      </c>
      <c r="I19" s="771"/>
      <c r="J19" s="214">
        <f>+'4'!J19</f>
        <v>0</v>
      </c>
      <c r="K19" s="238"/>
      <c r="L19" s="238"/>
      <c r="M19" s="117">
        <f>+K19+'4'!M19+L19</f>
        <v>0</v>
      </c>
    </row>
    <row r="20" spans="1:13" ht="13.5" thickBot="1">
      <c r="A20" s="773"/>
      <c r="B20" s="215"/>
      <c r="C20" s="216"/>
      <c r="D20" s="217"/>
      <c r="E20" s="224"/>
      <c r="F20" s="227"/>
      <c r="G20" s="231"/>
      <c r="H20" s="232"/>
      <c r="I20" s="771"/>
      <c r="J20" s="214">
        <f>+'4'!J20</f>
        <v>0</v>
      </c>
      <c r="K20" s="239"/>
      <c r="L20" s="239"/>
      <c r="M20" s="117">
        <f>+K20+'4'!M20+L20</f>
        <v>0</v>
      </c>
    </row>
    <row r="21" spans="1:13" ht="13.5" thickBot="1">
      <c r="A21" s="773"/>
      <c r="B21" s="215"/>
      <c r="C21" s="216"/>
      <c r="D21" s="217"/>
      <c r="E21" s="224"/>
      <c r="F21" s="230"/>
      <c r="G21" s="231"/>
      <c r="H21" s="232"/>
      <c r="I21" s="771"/>
      <c r="J21" s="214">
        <f>+'4'!J21</f>
        <v>0</v>
      </c>
      <c r="K21" s="238"/>
      <c r="L21" s="238"/>
      <c r="M21" s="117">
        <f>+K21+'4'!M21+L21</f>
        <v>0</v>
      </c>
    </row>
    <row r="22" spans="1:13" ht="13.5" thickBot="1">
      <c r="A22" s="773"/>
      <c r="B22" s="215"/>
      <c r="C22" s="216"/>
      <c r="D22" s="217"/>
      <c r="E22" s="224"/>
      <c r="F22" s="235"/>
      <c r="G22" s="231"/>
      <c r="H22" s="232"/>
      <c r="I22" s="772"/>
      <c r="J22" s="214">
        <f>+'4'!J22</f>
        <v>0</v>
      </c>
      <c r="K22" s="238"/>
      <c r="L22" s="238"/>
      <c r="M22" s="117">
        <f>+K22+'4'!M22+L22</f>
        <v>0</v>
      </c>
    </row>
    <row r="23" spans="1:13" ht="13.5" thickBot="1">
      <c r="A23" s="774"/>
      <c r="B23" s="168" t="s">
        <v>2</v>
      </c>
      <c r="C23" s="100">
        <f>SUM(C16:C22)</f>
        <v>0</v>
      </c>
      <c r="D23" s="111">
        <f>SUM(D16:D22)</f>
        <v>0</v>
      </c>
      <c r="E23" s="112">
        <f>SUM(E18:E22)</f>
        <v>0</v>
      </c>
      <c r="F23" s="116">
        <f>SUM(F15:F22)</f>
        <v>480</v>
      </c>
      <c r="G23" s="159"/>
      <c r="H23" s="166"/>
      <c r="I23" s="169"/>
      <c r="J23" s="214">
        <f>+'4'!J23</f>
        <v>0</v>
      </c>
      <c r="K23" s="238"/>
      <c r="L23" s="238"/>
      <c r="M23" s="117">
        <f>+K23+'4'!M23+L23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+'4'!J24</f>
        <v>0</v>
      </c>
      <c r="K24" s="238"/>
      <c r="L24" s="238"/>
      <c r="M24" s="117">
        <f>+K24+'4'!M24+L24</f>
        <v>0</v>
      </c>
    </row>
    <row r="25" spans="1:13" ht="13.5" thickBot="1">
      <c r="A25" s="773"/>
      <c r="B25" s="215"/>
      <c r="C25" s="225"/>
      <c r="D25" s="217"/>
      <c r="E25" s="224"/>
      <c r="F25" s="230"/>
      <c r="G25" s="231" t="s">
        <v>11</v>
      </c>
      <c r="H25" s="229" t="s">
        <v>282</v>
      </c>
      <c r="I25" s="771"/>
      <c r="J25" s="214">
        <f>+'4'!J25</f>
        <v>0</v>
      </c>
      <c r="K25" s="238"/>
      <c r="L25" s="238"/>
      <c r="M25" s="117">
        <f>+K25+'4'!M25+L25</f>
        <v>0</v>
      </c>
    </row>
    <row r="26" spans="1:13" ht="13.5" thickBot="1">
      <c r="A26" s="773"/>
      <c r="B26" s="215"/>
      <c r="C26" s="225"/>
      <c r="D26" s="217"/>
      <c r="E26" s="226"/>
      <c r="F26" s="227"/>
      <c r="G26" s="231" t="s">
        <v>11</v>
      </c>
      <c r="H26" s="232" t="s">
        <v>408</v>
      </c>
      <c r="I26" s="771"/>
      <c r="J26" s="214">
        <f>+'4'!J26</f>
        <v>0</v>
      </c>
      <c r="K26" s="238"/>
      <c r="L26" s="238"/>
      <c r="M26" s="117">
        <f>+K26+'4'!M26+L26</f>
        <v>0</v>
      </c>
    </row>
    <row r="27" spans="1:13" ht="13.5" thickBot="1">
      <c r="A27" s="773"/>
      <c r="B27" s="215"/>
      <c r="C27" s="216"/>
      <c r="D27" s="217"/>
      <c r="E27" s="224"/>
      <c r="F27" s="227"/>
      <c r="G27" s="236" t="s">
        <v>12</v>
      </c>
      <c r="H27" s="232" t="s">
        <v>414</v>
      </c>
      <c r="I27" s="771"/>
      <c r="J27" s="214">
        <f>+'4'!J27</f>
        <v>0</v>
      </c>
      <c r="K27" s="238"/>
      <c r="L27" s="238"/>
      <c r="M27" s="117">
        <f>+K27+'4'!M27+L27</f>
        <v>0</v>
      </c>
    </row>
    <row r="28" spans="1:13" ht="51.75" thickBot="1">
      <c r="A28" s="773"/>
      <c r="B28" s="215"/>
      <c r="C28" s="216"/>
      <c r="D28" s="217"/>
      <c r="E28" s="224"/>
      <c r="F28" s="230">
        <v>480</v>
      </c>
      <c r="G28" s="231" t="s">
        <v>19</v>
      </c>
      <c r="H28" s="232" t="s">
        <v>418</v>
      </c>
      <c r="I28" s="771"/>
      <c r="J28" s="214">
        <f>+'4'!J28</f>
        <v>0</v>
      </c>
      <c r="K28" s="238"/>
      <c r="L28" s="238"/>
      <c r="M28" s="117">
        <f>+K28+'4'!M28+L28</f>
        <v>0</v>
      </c>
    </row>
    <row r="29" spans="1:13" ht="13.5" thickBot="1">
      <c r="A29" s="773"/>
      <c r="B29" s="215"/>
      <c r="C29" s="216"/>
      <c r="D29" s="217"/>
      <c r="E29" s="224"/>
      <c r="F29" s="235"/>
      <c r="G29" s="231"/>
      <c r="H29" s="232"/>
      <c r="I29" s="771"/>
      <c r="J29" s="214">
        <f>+'4'!J29</f>
        <v>0</v>
      </c>
      <c r="K29" s="238"/>
      <c r="L29" s="238"/>
      <c r="M29" s="117">
        <f>+K29+'4'!M29+L29</f>
        <v>0</v>
      </c>
    </row>
    <row r="30" spans="1:13" ht="13.5" thickBot="1">
      <c r="A30" s="773"/>
      <c r="B30" s="215"/>
      <c r="C30" s="225"/>
      <c r="D30" s="217"/>
      <c r="E30" s="224"/>
      <c r="F30" s="235"/>
      <c r="G30" s="231"/>
      <c r="H30" s="232"/>
      <c r="I30" s="771"/>
      <c r="J30" s="214">
        <f>+'4'!J30</f>
        <v>0</v>
      </c>
      <c r="K30" s="238"/>
      <c r="L30" s="238"/>
      <c r="M30" s="117">
        <f>+K30+'4'!M30+L30</f>
        <v>0</v>
      </c>
    </row>
    <row r="31" spans="1:13" ht="13.5" thickBot="1">
      <c r="A31" s="773"/>
      <c r="B31" s="215"/>
      <c r="C31" s="225"/>
      <c r="D31" s="217"/>
      <c r="E31" s="224"/>
      <c r="F31" s="235"/>
      <c r="G31" s="236"/>
      <c r="H31" s="444"/>
      <c r="I31" s="772"/>
      <c r="J31" s="214">
        <f>+'4'!J31</f>
        <v>0</v>
      </c>
      <c r="K31" s="238"/>
      <c r="L31" s="238"/>
      <c r="M31" s="117">
        <f>+K31+'4'!M31+L31</f>
        <v>0</v>
      </c>
    </row>
    <row r="32" spans="1:13" ht="13.5" thickBot="1">
      <c r="A32" s="774"/>
      <c r="B32" s="165" t="s">
        <v>2</v>
      </c>
      <c r="C32" s="99">
        <f>SUM(C25:C31)</f>
        <v>0</v>
      </c>
      <c r="D32" s="100">
        <f>SUM(D25:D31)</f>
        <v>0</v>
      </c>
      <c r="E32" s="101">
        <f>SUM(E25:E31)</f>
        <v>0</v>
      </c>
      <c r="F32" s="102">
        <f>SUM(F24:F31)</f>
        <v>480</v>
      </c>
      <c r="G32" s="171"/>
      <c r="H32" s="172"/>
      <c r="I32" s="169"/>
      <c r="J32" s="214">
        <f>+'4'!J32</f>
        <v>0</v>
      </c>
      <c r="K32" s="240"/>
      <c r="L32" s="242"/>
      <c r="M32" s="117">
        <f>+K32+'4'!M32+L32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(10.3*941+12*499)/1440*G42*2.74*1440/1000000</f>
        <v>0</v>
      </c>
      <c r="J37" s="125">
        <f>+I37+'4'!J37</f>
        <v>0</v>
      </c>
      <c r="K37" s="126" t="s">
        <v>63</v>
      </c>
    </row>
    <row r="38" spans="1:13" ht="17.45" customHeight="1">
      <c r="A38" s="779" t="s">
        <v>11</v>
      </c>
      <c r="B38" s="780"/>
      <c r="C38" s="164">
        <f>SUMIF($G$7:$G$31,"Process",$F$7:$F$31)</f>
        <v>0</v>
      </c>
      <c r="D38" s="118">
        <f>+C38+'4'!D38</f>
        <v>0</v>
      </c>
      <c r="E38" s="143">
        <f t="shared" ref="E38:E51" si="2">D38/60</f>
        <v>0</v>
      </c>
      <c r="F38" s="321"/>
      <c r="G38" s="321"/>
      <c r="H38" s="187" t="s">
        <v>64</v>
      </c>
      <c r="I38" s="244"/>
      <c r="J38" s="127">
        <f>+I38+'4'!J38</f>
        <v>0</v>
      </c>
      <c r="K38" s="128" t="s">
        <v>63</v>
      </c>
    </row>
    <row r="39" spans="1:13" ht="17.45" customHeight="1">
      <c r="A39" s="781" t="s">
        <v>12</v>
      </c>
      <c r="B39" s="782"/>
      <c r="C39" s="164">
        <f>SUMIF($G$7:$G$31,"Cleaning",$F$7:$F$31)</f>
        <v>0</v>
      </c>
      <c r="D39" s="118">
        <f>+C39+'4'!D39</f>
        <v>0</v>
      </c>
      <c r="E39" s="143">
        <f t="shared" si="2"/>
        <v>0</v>
      </c>
      <c r="F39" s="321"/>
      <c r="G39" s="321"/>
      <c r="H39" s="187" t="s">
        <v>65</v>
      </c>
      <c r="I39" s="142"/>
      <c r="J39" s="129">
        <f>J37/G4</f>
        <v>0</v>
      </c>
      <c r="K39" s="130" t="s">
        <v>63</v>
      </c>
    </row>
    <row r="40" spans="1:13" ht="17.45" customHeight="1">
      <c r="A40" s="781" t="s">
        <v>66</v>
      </c>
      <c r="B40" s="782"/>
      <c r="C40" s="164">
        <f>SUMIF($G$7:$G$31,"Mechanical",$F$7:$F$31)</f>
        <v>0</v>
      </c>
      <c r="D40" s="118">
        <f>+C40+'4'!D40</f>
        <v>0</v>
      </c>
      <c r="E40" s="143">
        <f t="shared" si="2"/>
        <v>0</v>
      </c>
      <c r="F40" s="321"/>
      <c r="G40" s="321"/>
      <c r="H40" s="187" t="s">
        <v>67</v>
      </c>
      <c r="I40" s="118">
        <f>(K34+L34)/1000</f>
        <v>0</v>
      </c>
      <c r="J40" s="131">
        <f>+I40+'4'!J40</f>
        <v>0</v>
      </c>
      <c r="K40" s="130" t="s">
        <v>63</v>
      </c>
    </row>
    <row r="41" spans="1:13" ht="17.45" customHeight="1">
      <c r="A41" s="781" t="s">
        <v>68</v>
      </c>
      <c r="B41" s="782"/>
      <c r="C41" s="164">
        <f>SUMIF($G$7:$G$31,"Electrical",$F$7:$F$31)</f>
        <v>0</v>
      </c>
      <c r="D41" s="118">
        <f>+C41+'4'!D41</f>
        <v>0</v>
      </c>
      <c r="E41" s="143">
        <f t="shared" si="2"/>
        <v>0</v>
      </c>
      <c r="F41" s="321"/>
      <c r="G41" s="321"/>
      <c r="H41" s="187" t="s">
        <v>69</v>
      </c>
      <c r="I41" s="142"/>
      <c r="J41" s="129">
        <f>J40/G4</f>
        <v>0</v>
      </c>
      <c r="K41" s="130" t="s">
        <v>63</v>
      </c>
    </row>
    <row r="42" spans="1:13" ht="17.45" customHeight="1">
      <c r="A42" s="781" t="s">
        <v>15</v>
      </c>
      <c r="B42" s="782"/>
      <c r="C42" s="164">
        <f>SUMIF($G$7:$G$31,"Instrument",$F$7:$F$31)</f>
        <v>0</v>
      </c>
      <c r="D42" s="118">
        <f>+C42+'4'!D42</f>
        <v>0</v>
      </c>
      <c r="E42" s="143">
        <f t="shared" si="2"/>
        <v>0</v>
      </c>
      <c r="F42" s="321">
        <f>+(480*F38+480*F39+480*F40)/1440</f>
        <v>0</v>
      </c>
      <c r="G42" s="321">
        <f>+(480*G38+480*G39+480*G40)/1440</f>
        <v>0</v>
      </c>
      <c r="H42" s="187" t="s">
        <v>70</v>
      </c>
      <c r="I42" s="245"/>
      <c r="J42" s="132"/>
      <c r="K42" s="130" t="s">
        <v>71</v>
      </c>
    </row>
    <row r="43" spans="1:13" ht="17.45" customHeight="1">
      <c r="A43" s="781" t="s">
        <v>219</v>
      </c>
      <c r="B43" s="782"/>
      <c r="C43" s="164">
        <f>SUMIF($G$7:$G$31,"Change Grade",$F$7:$F$31)</f>
        <v>0</v>
      </c>
      <c r="D43" s="118">
        <f>+C43+'4'!D43</f>
        <v>0</v>
      </c>
      <c r="E43" s="143">
        <f t="shared" si="2"/>
        <v>0</v>
      </c>
      <c r="F43" s="321"/>
      <c r="G43" s="322"/>
      <c r="H43" s="188" t="s">
        <v>73</v>
      </c>
      <c r="I43" s="118">
        <f>+Report1!Z13</f>
        <v>3.3</v>
      </c>
      <c r="J43" s="133">
        <f>+I43+'4'!J43</f>
        <v>82.59999999999998</v>
      </c>
      <c r="K43" s="130" t="s">
        <v>63</v>
      </c>
      <c r="L43" s="189"/>
    </row>
    <row r="44" spans="1:13" ht="17.45" customHeight="1">
      <c r="A44" s="781" t="s">
        <v>16</v>
      </c>
      <c r="B44" s="782"/>
      <c r="C44" s="164">
        <f>SUMIF($G$7:$G$31,"PLN",$F$7:$F$31)</f>
        <v>0</v>
      </c>
      <c r="D44" s="118">
        <f>+C44+'4'!D44</f>
        <v>0</v>
      </c>
      <c r="E44" s="143">
        <f t="shared" si="2"/>
        <v>0</v>
      </c>
      <c r="F44" s="321"/>
      <c r="G44" s="322"/>
      <c r="H44" s="188" t="s">
        <v>74</v>
      </c>
      <c r="I44" s="118" t="e">
        <f>I43/I38</f>
        <v>#DIV/0!</v>
      </c>
      <c r="J44" s="134" t="e">
        <f>J43/J38</f>
        <v>#DIV/0!</v>
      </c>
      <c r="K44" s="130" t="s">
        <v>63</v>
      </c>
    </row>
    <row r="45" spans="1:13" ht="17.45" customHeight="1">
      <c r="A45" s="781" t="s">
        <v>17</v>
      </c>
      <c r="B45" s="782"/>
      <c r="C45" s="164">
        <f>SUMIF($G$7:$G$31,"Boiler",$F$7:$F$31)</f>
        <v>0</v>
      </c>
      <c r="D45" s="118">
        <f>+C45+'4'!D45</f>
        <v>0</v>
      </c>
      <c r="E45" s="143">
        <f t="shared" si="2"/>
        <v>0</v>
      </c>
      <c r="F45" s="321"/>
      <c r="G45" s="324"/>
      <c r="H45" s="188" t="s">
        <v>75</v>
      </c>
      <c r="I45" s="118" t="e">
        <f>I43/I40</f>
        <v>#DIV/0!</v>
      </c>
      <c r="J45" s="134" t="e">
        <f>J43/J40</f>
        <v>#DIV/0!</v>
      </c>
      <c r="K45" s="130" t="s">
        <v>63</v>
      </c>
    </row>
    <row r="46" spans="1:13" ht="17.45" customHeight="1">
      <c r="A46" s="781" t="s">
        <v>76</v>
      </c>
      <c r="B46" s="782"/>
      <c r="C46" s="164">
        <f>SUMIF($G$7:$G$31,"Gas",$F$7:$F$31)</f>
        <v>0</v>
      </c>
      <c r="D46" s="118">
        <f>+C46+'4'!D46</f>
        <v>0</v>
      </c>
      <c r="E46" s="143">
        <f t="shared" si="2"/>
        <v>0</v>
      </c>
      <c r="F46" s="321"/>
      <c r="G46" s="322"/>
      <c r="H46" s="188" t="s">
        <v>77</v>
      </c>
      <c r="I46" s="140">
        <f>+SUMIF(Listrik!P12,"&gt;0")</f>
        <v>4724.5600000003633</v>
      </c>
      <c r="J46" s="135">
        <f>+I46+'4'!J46</f>
        <v>20814.460000000363</v>
      </c>
      <c r="K46" s="130" t="s">
        <v>78</v>
      </c>
    </row>
    <row r="47" spans="1:13" ht="17.45" customHeight="1">
      <c r="A47" s="781" t="s">
        <v>79</v>
      </c>
      <c r="B47" s="782"/>
      <c r="C47" s="164">
        <f>SUMIF($G$7:$G$31,"Gas",$F$7:$F$31)</f>
        <v>0</v>
      </c>
      <c r="D47" s="118">
        <f>+C47+'4'!D47</f>
        <v>0</v>
      </c>
      <c r="E47" s="143">
        <f t="shared" si="2"/>
        <v>0</v>
      </c>
      <c r="F47" s="321"/>
      <c r="G47" s="322"/>
      <c r="H47" s="188" t="s">
        <v>80</v>
      </c>
      <c r="I47" s="118" t="e">
        <f>I46/I38</f>
        <v>#DIV/0!</v>
      </c>
      <c r="J47" s="135" t="e">
        <f>J46/J38</f>
        <v>#DIV/0!</v>
      </c>
      <c r="K47" s="130" t="s">
        <v>23</v>
      </c>
    </row>
    <row r="48" spans="1:13" ht="17.45" customHeight="1">
      <c r="A48" s="781" t="s">
        <v>13</v>
      </c>
      <c r="B48" s="782"/>
      <c r="C48" s="164">
        <f>SUMIF($G$7:$G$31,"Start Up",$F$7:$F$31)</f>
        <v>0</v>
      </c>
      <c r="D48" s="118">
        <f>+C48+'4'!D48</f>
        <v>0</v>
      </c>
      <c r="E48" s="143">
        <f t="shared" si="2"/>
        <v>0</v>
      </c>
      <c r="F48" s="321"/>
      <c r="G48" s="322"/>
      <c r="H48" s="188" t="s">
        <v>81</v>
      </c>
      <c r="I48" s="118" t="e">
        <f>I46/I40</f>
        <v>#DIV/0!</v>
      </c>
      <c r="J48" s="135" t="e">
        <f>J46/J40</f>
        <v>#DIV/0!</v>
      </c>
      <c r="K48" s="130" t="s">
        <v>23</v>
      </c>
    </row>
    <row r="49" spans="1:11" ht="17.45" customHeight="1">
      <c r="A49" s="781" t="s">
        <v>19</v>
      </c>
      <c r="B49" s="782"/>
      <c r="C49" s="164">
        <f>SUMIF($G$7:$G$31,"Others",$F$7:$F$31)</f>
        <v>1440</v>
      </c>
      <c r="D49" s="118">
        <f>+C49+'4'!D49</f>
        <v>7200</v>
      </c>
      <c r="E49" s="143">
        <f t="shared" si="2"/>
        <v>120</v>
      </c>
      <c r="F49" s="185"/>
      <c r="H49" s="188" t="s">
        <v>266</v>
      </c>
      <c r="I49" s="118">
        <f>+Report1!T13</f>
        <v>0</v>
      </c>
      <c r="J49" s="135">
        <f>+I49+'4'!J49</f>
        <v>0</v>
      </c>
      <c r="K49" s="130" t="s">
        <v>82</v>
      </c>
    </row>
    <row r="50" spans="1:11" ht="17.45" customHeight="1">
      <c r="A50" s="781" t="s">
        <v>18</v>
      </c>
      <c r="B50" s="782"/>
      <c r="C50" s="164">
        <f>SUMIF($G$7:$G$31,"Steam",$F$7:$F$31)</f>
        <v>0</v>
      </c>
      <c r="D50" s="118">
        <f>+C50+'4'!D50</f>
        <v>0</v>
      </c>
      <c r="E50" s="143">
        <f t="shared" si="2"/>
        <v>0</v>
      </c>
      <c r="F50" s="185"/>
      <c r="H50" s="188" t="s">
        <v>83</v>
      </c>
      <c r="I50" s="140" t="e">
        <f>I49/I38</f>
        <v>#DIV/0!</v>
      </c>
      <c r="J50" s="133" t="e">
        <f>J49/J38</f>
        <v>#DIV/0!</v>
      </c>
      <c r="K50" s="130" t="s">
        <v>82</v>
      </c>
    </row>
    <row r="51" spans="1:11" ht="17.45" customHeight="1" thickBot="1">
      <c r="A51" s="783" t="s">
        <v>84</v>
      </c>
      <c r="B51" s="784"/>
      <c r="C51" s="164">
        <f>SUMIF($G$7:$G$31,"Planned shut",$F$7:$F$31)</f>
        <v>0</v>
      </c>
      <c r="D51" s="118">
        <f>+C51+'4'!D51</f>
        <v>0</v>
      </c>
      <c r="E51" s="143">
        <f t="shared" si="2"/>
        <v>0</v>
      </c>
      <c r="F51" s="185"/>
      <c r="H51" s="190" t="s">
        <v>85</v>
      </c>
      <c r="I51" s="141" t="e">
        <f>I49/I40</f>
        <v>#DIV/0!</v>
      </c>
      <c r="J51" s="136" t="e">
        <f>J49/J40</f>
        <v>#DIV/0!</v>
      </c>
      <c r="K51" s="137" t="s">
        <v>82</v>
      </c>
    </row>
    <row r="52" spans="1:11" ht="13.5" thickBot="1">
      <c r="A52" s="779" t="s">
        <v>27</v>
      </c>
      <c r="B52" s="780"/>
      <c r="C52" s="144">
        <f>SUM(C38:C51)</f>
        <v>1440</v>
      </c>
      <c r="D52" s="144">
        <f>SUM(D38:D51)</f>
        <v>7200</v>
      </c>
      <c r="E52" s="145">
        <f>SUM(E38:E51)</f>
        <v>120</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+D34+'4'!J56</f>
        <v>0</v>
      </c>
      <c r="K56" s="201" t="e">
        <f>J56/(J40+J56/1000)/1000</f>
        <v>#DIV/0!</v>
      </c>
    </row>
    <row r="57" spans="1:11">
      <c r="A57" s="176"/>
      <c r="I57" s="199" t="s">
        <v>88</v>
      </c>
      <c r="J57" s="200">
        <f>+E34+'4'!J57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17" right="0.16" top="0.17" bottom="0.14027777777777778" header="0" footer="0"/>
  <pageSetup paperSize="9" scale="55"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4" zoomScale="80" zoomScaleNormal="75" zoomScaleSheetLayoutView="80" workbookViewId="0">
      <selection activeCell="H26" sqref="H2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5703125" style="149" bestFit="1" customWidth="1"/>
    <col min="14" max="16384" width="9.140625" style="149"/>
  </cols>
  <sheetData>
    <row r="1" spans="1:18" ht="15.75">
      <c r="A1" s="148"/>
    </row>
    <row r="2" spans="1:18" ht="15.75">
      <c r="A2" s="148" t="s">
        <v>182</v>
      </c>
    </row>
    <row r="3" spans="1:18" ht="15">
      <c r="A3" s="150"/>
    </row>
    <row r="4" spans="1:18" ht="20.25">
      <c r="A4" s="151" t="s">
        <v>3</v>
      </c>
      <c r="B4" s="152"/>
      <c r="F4" s="153" t="s">
        <v>28</v>
      </c>
      <c r="G4" s="154">
        <v>4</v>
      </c>
      <c r="H4" s="154" t="str">
        <f>+'1'!H4</f>
        <v>.11.25</v>
      </c>
    </row>
    <row r="5" spans="1:18" ht="13.5" thickBot="1">
      <c r="C5" s="155"/>
      <c r="D5" s="155"/>
    </row>
    <row r="6" spans="1:18"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8" ht="13.5" customHeight="1" thickBot="1">
      <c r="A7" s="767"/>
      <c r="B7" s="215"/>
      <c r="C7" s="216"/>
      <c r="D7" s="217"/>
      <c r="E7" s="218"/>
      <c r="F7" s="227"/>
      <c r="G7" s="228" t="s">
        <v>11</v>
      </c>
      <c r="H7" s="229" t="s">
        <v>384</v>
      </c>
      <c r="I7" s="770"/>
      <c r="J7" s="214" t="str">
        <f>+'3'!J7</f>
        <v>F 12 VP OW</v>
      </c>
      <c r="K7" s="237"/>
      <c r="L7" s="241"/>
      <c r="M7" s="117">
        <f>+K7+'3'!M7+L7</f>
        <v>0</v>
      </c>
    </row>
    <row r="8" spans="1:18" ht="13.5" thickBot="1">
      <c r="A8" s="768"/>
      <c r="B8" s="215"/>
      <c r="C8" s="216"/>
      <c r="D8" s="217"/>
      <c r="E8" s="219"/>
      <c r="F8" s="230"/>
      <c r="G8" s="231" t="s">
        <v>11</v>
      </c>
      <c r="H8" s="229" t="s">
        <v>282</v>
      </c>
      <c r="I8" s="771"/>
      <c r="J8" s="214">
        <f>+'3'!J8</f>
        <v>0</v>
      </c>
      <c r="K8" s="238"/>
      <c r="L8" s="238"/>
      <c r="M8" s="117">
        <f>+K8+'3'!M8+L8</f>
        <v>0</v>
      </c>
    </row>
    <row r="9" spans="1:18" ht="13.5" thickBot="1">
      <c r="A9" s="768"/>
      <c r="B9" s="215"/>
      <c r="C9" s="216"/>
      <c r="D9" s="217"/>
      <c r="E9" s="220"/>
      <c r="F9" s="227"/>
      <c r="G9" s="231" t="s">
        <v>11</v>
      </c>
      <c r="H9" s="232" t="s">
        <v>408</v>
      </c>
      <c r="I9" s="771"/>
      <c r="J9" s="214">
        <f>+'3'!J9</f>
        <v>0</v>
      </c>
      <c r="K9" s="238">
        <f>+C34</f>
        <v>0</v>
      </c>
      <c r="L9" s="238"/>
      <c r="M9" s="117">
        <f>+K9+'3'!M9+L9</f>
        <v>0</v>
      </c>
    </row>
    <row r="10" spans="1:18" ht="13.5" thickBot="1">
      <c r="A10" s="768"/>
      <c r="B10" s="215"/>
      <c r="C10" s="216"/>
      <c r="D10" s="217"/>
      <c r="E10" s="219"/>
      <c r="F10" s="227"/>
      <c r="G10" s="236" t="s">
        <v>12</v>
      </c>
      <c r="H10" s="232" t="s">
        <v>414</v>
      </c>
      <c r="I10" s="771"/>
      <c r="J10" s="214">
        <f>+'3'!J10</f>
        <v>0</v>
      </c>
      <c r="K10" s="238"/>
      <c r="L10" s="238"/>
      <c r="M10" s="117">
        <f>+K10+'3'!M10+L10</f>
        <v>0</v>
      </c>
    </row>
    <row r="11" spans="1:18" ht="90" thickBot="1">
      <c r="A11" s="768"/>
      <c r="B11" s="215"/>
      <c r="C11" s="216"/>
      <c r="D11" s="217"/>
      <c r="E11" s="219"/>
      <c r="F11" s="230">
        <v>480</v>
      </c>
      <c r="G11" s="231" t="s">
        <v>19</v>
      </c>
      <c r="H11" s="232" t="s">
        <v>417</v>
      </c>
      <c r="I11" s="771"/>
      <c r="J11" s="214">
        <f>+'3'!J11</f>
        <v>0</v>
      </c>
      <c r="K11" s="238"/>
      <c r="L11" s="238"/>
      <c r="M11" s="117">
        <f>+K11+'3'!M11+L11</f>
        <v>0</v>
      </c>
    </row>
    <row r="12" spans="1:18" ht="13.5" thickBot="1">
      <c r="A12" s="768"/>
      <c r="B12" s="215"/>
      <c r="C12" s="216"/>
      <c r="D12" s="217"/>
      <c r="E12" s="219"/>
      <c r="F12" s="227"/>
      <c r="G12" s="231"/>
      <c r="H12" s="232"/>
      <c r="I12" s="771"/>
      <c r="J12" s="214">
        <f>+'3'!J12</f>
        <v>0</v>
      </c>
      <c r="K12" s="238"/>
      <c r="L12" s="238"/>
      <c r="M12" s="117">
        <f>+K12+'3'!M12+L12</f>
        <v>0</v>
      </c>
    </row>
    <row r="13" spans="1:18" ht="13.5" thickBot="1">
      <c r="A13" s="768"/>
      <c r="B13" s="215"/>
      <c r="C13" s="216"/>
      <c r="D13" s="216"/>
      <c r="E13" s="219"/>
      <c r="F13" s="227"/>
      <c r="G13" s="231"/>
      <c r="H13" s="232"/>
      <c r="I13" s="772"/>
      <c r="J13" s="214">
        <f>+'3'!J13</f>
        <v>0</v>
      </c>
      <c r="K13" s="238"/>
      <c r="L13" s="238"/>
      <c r="M13" s="117">
        <f>+K13+'3'!M13+L13</f>
        <v>0</v>
      </c>
    </row>
    <row r="14" spans="1:18" ht="13.5" thickBot="1">
      <c r="A14" s="769"/>
      <c r="B14" s="165" t="s">
        <v>2</v>
      </c>
      <c r="C14" s="99">
        <f>SUM(C7:C13)</f>
        <v>0</v>
      </c>
      <c r="D14" s="111">
        <f>SUM(D7:D13)</f>
        <v>0</v>
      </c>
      <c r="E14" s="112">
        <f>SUM(E5:E13)</f>
        <v>0</v>
      </c>
      <c r="F14" s="116">
        <f>SUM(F7:F13)</f>
        <v>480</v>
      </c>
      <c r="G14" s="159"/>
      <c r="H14" s="166"/>
      <c r="I14" s="167"/>
      <c r="J14" s="214">
        <f>+'3'!J14</f>
        <v>0</v>
      </c>
      <c r="K14" s="238"/>
      <c r="L14" s="238"/>
      <c r="M14" s="117">
        <f>+K14+'3'!M14+L14</f>
        <v>0</v>
      </c>
    </row>
    <row r="15" spans="1:18" ht="13.5" customHeight="1" thickBot="1">
      <c r="A15" s="767"/>
      <c r="B15" s="165"/>
      <c r="C15" s="113" t="e">
        <f>C14/($C$23+$D$23+$E$23)</f>
        <v>#DIV/0!</v>
      </c>
      <c r="D15" s="114" t="e">
        <f>D14/($C$23+$D$23+$E$23)</f>
        <v>#DIV/0!</v>
      </c>
      <c r="E15" s="115" t="e">
        <f>E14/($C$23+$D$23+$E$23)</f>
        <v>#DIV/0!</v>
      </c>
      <c r="F15" s="227"/>
      <c r="G15" s="228" t="s">
        <v>11</v>
      </c>
      <c r="H15" s="229" t="s">
        <v>384</v>
      </c>
      <c r="I15" s="770"/>
      <c r="J15" s="214">
        <f>+'3'!J15</f>
        <v>0</v>
      </c>
      <c r="K15" s="238"/>
      <c r="L15" s="238"/>
      <c r="M15" s="117">
        <f>+K15+'3'!M15+L15</f>
        <v>0</v>
      </c>
      <c r="P15" s="176"/>
      <c r="Q15" s="176"/>
      <c r="R15" s="176"/>
    </row>
    <row r="16" spans="1:18" ht="13.5" thickBot="1">
      <c r="A16" s="773"/>
      <c r="B16" s="215"/>
      <c r="C16" s="221"/>
      <c r="D16" s="222"/>
      <c r="E16" s="223"/>
      <c r="F16" s="230"/>
      <c r="G16" s="231" t="s">
        <v>11</v>
      </c>
      <c r="H16" s="229" t="s">
        <v>282</v>
      </c>
      <c r="I16" s="771"/>
      <c r="J16" s="214">
        <f>+'3'!J16</f>
        <v>0</v>
      </c>
      <c r="K16" s="228"/>
      <c r="L16" s="228"/>
      <c r="M16" s="117">
        <f>+K16+'3'!M16+L16</f>
        <v>0</v>
      </c>
      <c r="Q16" s="176"/>
      <c r="R16" s="176"/>
    </row>
    <row r="17" spans="1:13" ht="13.5" thickBot="1">
      <c r="A17" s="773"/>
      <c r="B17" s="215"/>
      <c r="C17" s="216"/>
      <c r="D17" s="217"/>
      <c r="E17" s="224"/>
      <c r="F17" s="227"/>
      <c r="G17" s="231" t="s">
        <v>11</v>
      </c>
      <c r="H17" s="232" t="s">
        <v>408</v>
      </c>
      <c r="I17" s="771"/>
      <c r="J17" s="214">
        <f>+'3'!J17</f>
        <v>0</v>
      </c>
      <c r="K17" s="228"/>
      <c r="L17" s="228"/>
      <c r="M17" s="117">
        <f>+K17+'3'!M17+L17</f>
        <v>0</v>
      </c>
    </row>
    <row r="18" spans="1:13" ht="13.5" thickBot="1">
      <c r="A18" s="773"/>
      <c r="B18" s="215"/>
      <c r="C18" s="216"/>
      <c r="D18" s="217"/>
      <c r="E18" s="224"/>
      <c r="F18" s="227"/>
      <c r="G18" s="236" t="s">
        <v>12</v>
      </c>
      <c r="H18" s="232" t="s">
        <v>414</v>
      </c>
      <c r="I18" s="771"/>
      <c r="J18" s="214">
        <f>+'3'!J18</f>
        <v>0</v>
      </c>
      <c r="K18" s="238"/>
      <c r="L18" s="238"/>
      <c r="M18" s="117">
        <f>+K18+'3'!M18+L18</f>
        <v>0</v>
      </c>
    </row>
    <row r="19" spans="1:13" ht="42" customHeight="1" thickBot="1">
      <c r="A19" s="773"/>
      <c r="B19" s="215"/>
      <c r="C19" s="216"/>
      <c r="D19" s="217"/>
      <c r="E19" s="224"/>
      <c r="F19" s="230">
        <v>480</v>
      </c>
      <c r="G19" s="231" t="s">
        <v>19</v>
      </c>
      <c r="H19" s="232" t="s">
        <v>415</v>
      </c>
      <c r="I19" s="771"/>
      <c r="J19" s="214">
        <f>+'3'!J19</f>
        <v>0</v>
      </c>
      <c r="K19" s="238"/>
      <c r="L19" s="238"/>
      <c r="M19" s="117">
        <f>+K19+'3'!M19+L19</f>
        <v>0</v>
      </c>
    </row>
    <row r="20" spans="1:13" ht="13.5" thickBot="1">
      <c r="A20" s="773"/>
      <c r="B20" s="215"/>
      <c r="C20" s="216"/>
      <c r="D20" s="217"/>
      <c r="E20" s="224"/>
      <c r="F20" s="227"/>
      <c r="G20" s="231"/>
      <c r="H20" s="232"/>
      <c r="I20" s="771"/>
      <c r="J20" s="214">
        <f>+'3'!J20</f>
        <v>0</v>
      </c>
      <c r="K20" s="239"/>
      <c r="L20" s="239"/>
      <c r="M20" s="117">
        <f>+K20+'3'!M20+L20</f>
        <v>0</v>
      </c>
    </row>
    <row r="21" spans="1:13" ht="13.5" thickBot="1">
      <c r="A21" s="773"/>
      <c r="B21" s="215"/>
      <c r="C21" s="216"/>
      <c r="D21" s="217"/>
      <c r="E21" s="224"/>
      <c r="F21" s="230"/>
      <c r="G21" s="231"/>
      <c r="H21" s="232"/>
      <c r="I21" s="771"/>
      <c r="J21" s="214">
        <f>+'3'!J21</f>
        <v>0</v>
      </c>
      <c r="K21" s="238"/>
      <c r="L21" s="238"/>
      <c r="M21" s="117">
        <f>+K21+'3'!M21+L21</f>
        <v>0</v>
      </c>
    </row>
    <row r="22" spans="1:13" ht="13.5" thickBot="1">
      <c r="A22" s="773"/>
      <c r="B22" s="215"/>
      <c r="C22" s="216"/>
      <c r="D22" s="217"/>
      <c r="E22" s="224"/>
      <c r="F22" s="235"/>
      <c r="G22" s="231"/>
      <c r="H22" s="232"/>
      <c r="I22" s="772"/>
      <c r="J22" s="214">
        <f>+'3'!J22</f>
        <v>0</v>
      </c>
      <c r="K22" s="238"/>
      <c r="L22" s="238"/>
      <c r="M22" s="117">
        <f>+K22+'3'!M22+L22</f>
        <v>0</v>
      </c>
    </row>
    <row r="23" spans="1:13" ht="13.5" thickBot="1">
      <c r="A23" s="774"/>
      <c r="B23" s="168" t="s">
        <v>2</v>
      </c>
      <c r="C23" s="100">
        <f>SUM(C16:C22)</f>
        <v>0</v>
      </c>
      <c r="D23" s="111">
        <f>SUM(D16:D22)</f>
        <v>0</v>
      </c>
      <c r="E23" s="112">
        <f>SUM(E18:E22)</f>
        <v>0</v>
      </c>
      <c r="F23" s="116">
        <f>SUM(F15:F22)</f>
        <v>480</v>
      </c>
      <c r="G23" s="159"/>
      <c r="H23" s="166"/>
      <c r="I23" s="169"/>
      <c r="J23" s="214">
        <f>+'3'!J23</f>
        <v>0</v>
      </c>
      <c r="K23" s="238"/>
      <c r="L23" s="238"/>
      <c r="M23" s="117">
        <f>+K23+'3'!M23+L23</f>
        <v>0</v>
      </c>
    </row>
    <row r="24" spans="1:13" ht="13.5" customHeight="1" thickBot="1">
      <c r="A24" s="767"/>
      <c r="B24" s="170"/>
      <c r="C24" s="113" t="e">
        <f>C23/($C$23+$D$23+$E$23)</f>
        <v>#DIV/0!</v>
      </c>
      <c r="D24" s="114" t="e">
        <f>D23/($C$23+$D$23+$E$23)</f>
        <v>#DIV/0!</v>
      </c>
      <c r="E24" s="115" t="e">
        <f>E23/($C$23+$D$23+$E$23)</f>
        <v>#DIV/0!</v>
      </c>
      <c r="F24" s="227"/>
      <c r="G24" s="228" t="s">
        <v>11</v>
      </c>
      <c r="H24" s="229" t="s">
        <v>384</v>
      </c>
      <c r="I24" s="770"/>
      <c r="J24" s="214">
        <f>+'3'!J24</f>
        <v>0</v>
      </c>
      <c r="K24" s="238"/>
      <c r="L24" s="238"/>
      <c r="M24" s="117">
        <f>+K24+'3'!M24+L24</f>
        <v>0</v>
      </c>
    </row>
    <row r="25" spans="1:13" ht="13.5" thickBot="1">
      <c r="A25" s="773"/>
      <c r="B25" s="215"/>
      <c r="C25" s="225"/>
      <c r="D25" s="217"/>
      <c r="E25" s="224"/>
      <c r="F25" s="230"/>
      <c r="G25" s="231" t="s">
        <v>11</v>
      </c>
      <c r="H25" s="229" t="s">
        <v>282</v>
      </c>
      <c r="I25" s="771"/>
      <c r="J25" s="214">
        <f>+'3'!J25</f>
        <v>0</v>
      </c>
      <c r="K25" s="238"/>
      <c r="L25" s="238"/>
      <c r="M25" s="117">
        <f>+K25+'3'!M25+L25</f>
        <v>0</v>
      </c>
    </row>
    <row r="26" spans="1:13" ht="13.5" thickBot="1">
      <c r="A26" s="773"/>
      <c r="B26" s="215"/>
      <c r="C26" s="225"/>
      <c r="D26" s="217"/>
      <c r="E26" s="226"/>
      <c r="F26" s="227"/>
      <c r="G26" s="231" t="s">
        <v>11</v>
      </c>
      <c r="H26" s="232" t="s">
        <v>408</v>
      </c>
      <c r="I26" s="771"/>
      <c r="J26" s="214">
        <f>+'3'!J26</f>
        <v>0</v>
      </c>
      <c r="K26" s="238"/>
      <c r="L26" s="238"/>
      <c r="M26" s="117">
        <f>+K26+'3'!M26+L26</f>
        <v>0</v>
      </c>
    </row>
    <row r="27" spans="1:13" ht="13.5" thickBot="1">
      <c r="A27" s="773"/>
      <c r="B27" s="215"/>
      <c r="C27" s="216"/>
      <c r="D27" s="217"/>
      <c r="E27" s="224"/>
      <c r="F27" s="227"/>
      <c r="G27" s="236" t="s">
        <v>12</v>
      </c>
      <c r="H27" s="232" t="s">
        <v>414</v>
      </c>
      <c r="I27" s="771"/>
      <c r="J27" s="214">
        <f>+'3'!J27</f>
        <v>0</v>
      </c>
      <c r="K27" s="238"/>
      <c r="L27" s="238"/>
      <c r="M27" s="117">
        <f>+K27+'3'!M27+L27</f>
        <v>0</v>
      </c>
    </row>
    <row r="28" spans="1:13" ht="69" customHeight="1" thickBot="1">
      <c r="A28" s="773"/>
      <c r="B28" s="215"/>
      <c r="C28" s="216"/>
      <c r="D28" s="217"/>
      <c r="E28" s="224"/>
      <c r="F28" s="230">
        <v>480</v>
      </c>
      <c r="G28" s="231" t="s">
        <v>19</v>
      </c>
      <c r="H28" s="232" t="s">
        <v>416</v>
      </c>
      <c r="I28" s="771"/>
      <c r="J28" s="214">
        <f>+'3'!J28</f>
        <v>0</v>
      </c>
      <c r="K28" s="238"/>
      <c r="L28" s="238"/>
      <c r="M28" s="117">
        <f>+K28+'3'!M28+L28</f>
        <v>0</v>
      </c>
    </row>
    <row r="29" spans="1:13" ht="13.5" thickBot="1">
      <c r="A29" s="773"/>
      <c r="B29" s="215"/>
      <c r="C29" s="216"/>
      <c r="D29" s="217"/>
      <c r="E29" s="224"/>
      <c r="F29" s="235"/>
      <c r="G29" s="231"/>
      <c r="H29" s="232"/>
      <c r="I29" s="771"/>
      <c r="J29" s="214">
        <f>+'3'!J29</f>
        <v>0</v>
      </c>
      <c r="K29" s="238"/>
      <c r="L29" s="238"/>
      <c r="M29" s="117">
        <f>+K29+'3'!M29+L29</f>
        <v>0</v>
      </c>
    </row>
    <row r="30" spans="1:13" ht="13.5" thickBot="1">
      <c r="A30" s="773"/>
      <c r="B30" s="215"/>
      <c r="C30" s="225"/>
      <c r="D30" s="217"/>
      <c r="E30" s="224"/>
      <c r="F30" s="235"/>
      <c r="G30" s="231"/>
      <c r="H30" s="232"/>
      <c r="I30" s="771"/>
      <c r="J30" s="214">
        <f>+'3'!J30</f>
        <v>0</v>
      </c>
      <c r="K30" s="238"/>
      <c r="L30" s="238"/>
      <c r="M30" s="117">
        <f>+K30+'3'!M30+L30</f>
        <v>0</v>
      </c>
    </row>
    <row r="31" spans="1:13" ht="13.5" thickBot="1">
      <c r="A31" s="773"/>
      <c r="B31" s="215"/>
      <c r="C31" s="225"/>
      <c r="D31" s="217"/>
      <c r="E31" s="224"/>
      <c r="F31" s="235"/>
      <c r="G31" s="236"/>
      <c r="H31" s="444"/>
      <c r="I31" s="772"/>
      <c r="J31" s="214">
        <f>+'3'!J31</f>
        <v>0</v>
      </c>
      <c r="K31" s="238"/>
      <c r="L31" s="238"/>
      <c r="M31" s="117">
        <f>+K31+'3'!M31+L31</f>
        <v>0</v>
      </c>
    </row>
    <row r="32" spans="1:13" ht="13.5" thickBot="1">
      <c r="A32" s="774"/>
      <c r="B32" s="165" t="s">
        <v>2</v>
      </c>
      <c r="C32" s="99">
        <f>SUM(C25:C31)</f>
        <v>0</v>
      </c>
      <c r="D32" s="100">
        <f>SUM(D25:D31)</f>
        <v>0</v>
      </c>
      <c r="E32" s="101">
        <f>SUM(E25:E31)</f>
        <v>0</v>
      </c>
      <c r="F32" s="102">
        <f>SUM(F24:F31)</f>
        <v>480</v>
      </c>
      <c r="G32" s="171"/>
      <c r="H32" s="172"/>
      <c r="I32" s="169"/>
      <c r="J32" s="214">
        <f>+'3'!J32</f>
        <v>0</v>
      </c>
      <c r="K32" s="240"/>
      <c r="L32" s="242"/>
      <c r="M32" s="117">
        <f>+K32+'3'!M32+L32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321"/>
      <c r="G37" s="323"/>
      <c r="H37" s="186" t="s">
        <v>62</v>
      </c>
      <c r="I37" s="243">
        <f>(10.3*1440)/1440*G42*2.74*1440/1000000</f>
        <v>0</v>
      </c>
      <c r="J37" s="125">
        <f>+I37+'3'!J37</f>
        <v>0</v>
      </c>
      <c r="K37" s="126" t="s">
        <v>63</v>
      </c>
    </row>
    <row r="38" spans="1:13" ht="17.45" customHeight="1">
      <c r="A38" s="779" t="s">
        <v>11</v>
      </c>
      <c r="B38" s="780"/>
      <c r="C38" s="164">
        <f>SUMIF($G$7:$G$31,"Process",$F$7:$F$31)</f>
        <v>0</v>
      </c>
      <c r="D38" s="118">
        <f>+C38+'3'!D38</f>
        <v>0</v>
      </c>
      <c r="E38" s="143">
        <f t="shared" ref="E38:E51" si="0">D38/60</f>
        <v>0</v>
      </c>
      <c r="F38" s="321"/>
      <c r="G38" s="321"/>
      <c r="H38" s="187" t="s">
        <v>64</v>
      </c>
      <c r="I38" s="244"/>
      <c r="J38" s="127">
        <f>+I38+'3'!J38</f>
        <v>0</v>
      </c>
      <c r="K38" s="128" t="s">
        <v>63</v>
      </c>
    </row>
    <row r="39" spans="1:13" ht="17.45" customHeight="1">
      <c r="A39" s="781" t="s">
        <v>12</v>
      </c>
      <c r="B39" s="782"/>
      <c r="C39" s="164">
        <f>SUMIF($G$7:$G$31,"Cleaning",$F$7:$F$31)</f>
        <v>0</v>
      </c>
      <c r="D39" s="118">
        <f>+C39+'3'!D39</f>
        <v>0</v>
      </c>
      <c r="E39" s="143">
        <f t="shared" si="0"/>
        <v>0</v>
      </c>
      <c r="F39" s="321"/>
      <c r="G39" s="321"/>
      <c r="H39" s="187" t="s">
        <v>65</v>
      </c>
      <c r="I39" s="142"/>
      <c r="J39" s="129">
        <f>J37/G4</f>
        <v>0</v>
      </c>
      <c r="K39" s="130" t="s">
        <v>63</v>
      </c>
    </row>
    <row r="40" spans="1:13" ht="17.45" customHeight="1">
      <c r="A40" s="781" t="s">
        <v>66</v>
      </c>
      <c r="B40" s="782"/>
      <c r="C40" s="164">
        <f>SUMIF($G$7:$G$31,"Mechanical",$F$7:$F$31)</f>
        <v>0</v>
      </c>
      <c r="D40" s="118">
        <f>+C40+'3'!D40</f>
        <v>0</v>
      </c>
      <c r="E40" s="143">
        <f t="shared" si="0"/>
        <v>0</v>
      </c>
      <c r="F40" s="321"/>
      <c r="G40" s="321"/>
      <c r="H40" s="187" t="s">
        <v>67</v>
      </c>
      <c r="I40" s="118">
        <f>(K34+L34)/1000</f>
        <v>0</v>
      </c>
      <c r="J40" s="131">
        <f>+I40+'3'!J40</f>
        <v>0</v>
      </c>
      <c r="K40" s="130" t="s">
        <v>63</v>
      </c>
    </row>
    <row r="41" spans="1:13" ht="17.45" customHeight="1">
      <c r="A41" s="781" t="s">
        <v>68</v>
      </c>
      <c r="B41" s="782"/>
      <c r="C41" s="164">
        <f>SUMIF($G$7:$G$31,"Electrical",$F$7:$F$31)</f>
        <v>0</v>
      </c>
      <c r="D41" s="118">
        <f>+C41+'3'!D41</f>
        <v>0</v>
      </c>
      <c r="E41" s="143">
        <f t="shared" si="0"/>
        <v>0</v>
      </c>
      <c r="F41" s="321"/>
      <c r="G41" s="321"/>
      <c r="H41" s="187" t="s">
        <v>69</v>
      </c>
      <c r="I41" s="142"/>
      <c r="J41" s="129">
        <f>J40/G4</f>
        <v>0</v>
      </c>
      <c r="K41" s="130" t="s">
        <v>63</v>
      </c>
    </row>
    <row r="42" spans="1:13" ht="17.45" customHeight="1">
      <c r="A42" s="781" t="s">
        <v>15</v>
      </c>
      <c r="B42" s="782"/>
      <c r="C42" s="164">
        <f>SUMIF($G$7:$G$31,"Instrument",$F$7:$F$31)</f>
        <v>0</v>
      </c>
      <c r="D42" s="118">
        <f>+C42+'3'!D42</f>
        <v>0</v>
      </c>
      <c r="E42" s="143">
        <f t="shared" si="0"/>
        <v>0</v>
      </c>
      <c r="F42" s="321">
        <f>+(480*F38+480*F39+480*F40)/1440</f>
        <v>0</v>
      </c>
      <c r="G42" s="321">
        <f>+(480*G38+480*G39+480*G40)/1440</f>
        <v>0</v>
      </c>
      <c r="H42" s="187" t="s">
        <v>70</v>
      </c>
      <c r="I42" s="245"/>
      <c r="J42" s="132"/>
      <c r="K42" s="130" t="s">
        <v>71</v>
      </c>
    </row>
    <row r="43" spans="1:13" ht="17.45" customHeight="1">
      <c r="A43" s="781" t="s">
        <v>219</v>
      </c>
      <c r="B43" s="782"/>
      <c r="C43" s="164">
        <f>SUMIF($G$7:$G$31,"Change Grade",$F$7:$F$31)</f>
        <v>0</v>
      </c>
      <c r="D43" s="118">
        <f>+C43+'3'!D43</f>
        <v>0</v>
      </c>
      <c r="E43" s="143">
        <f t="shared" si="0"/>
        <v>0</v>
      </c>
      <c r="F43" s="321"/>
      <c r="G43" s="322"/>
      <c r="H43" s="188" t="s">
        <v>73</v>
      </c>
      <c r="I43" s="118">
        <f>+Report1!Z12</f>
        <v>7.1</v>
      </c>
      <c r="J43" s="133">
        <f>+I43+'3'!J43</f>
        <v>79.299999999999983</v>
      </c>
      <c r="K43" s="130" t="s">
        <v>63</v>
      </c>
      <c r="L43" s="189"/>
    </row>
    <row r="44" spans="1:13" ht="17.45" customHeight="1">
      <c r="A44" s="781" t="s">
        <v>16</v>
      </c>
      <c r="B44" s="782"/>
      <c r="C44" s="164">
        <f>SUMIF($G$7:$G$31,"PLN",$F$7:$F$31)</f>
        <v>0</v>
      </c>
      <c r="D44" s="118">
        <f>+C44+'3'!D44</f>
        <v>0</v>
      </c>
      <c r="E44" s="143">
        <f t="shared" si="0"/>
        <v>0</v>
      </c>
      <c r="F44" s="321"/>
      <c r="G44" s="322"/>
      <c r="H44" s="188" t="s">
        <v>74</v>
      </c>
      <c r="I44" s="118">
        <f>+Report1!Z12</f>
        <v>7.1</v>
      </c>
      <c r="J44" s="134" t="e">
        <f>J43/J38</f>
        <v>#DIV/0!</v>
      </c>
      <c r="K44" s="130" t="s">
        <v>63</v>
      </c>
    </row>
    <row r="45" spans="1:13" ht="17.45" customHeight="1">
      <c r="A45" s="781" t="s">
        <v>17</v>
      </c>
      <c r="B45" s="782"/>
      <c r="C45" s="164">
        <f>SUMIF($G$7:$G$31,"Boiler",$F$7:$F$31)</f>
        <v>0</v>
      </c>
      <c r="D45" s="118">
        <f>+C45+'3'!D45</f>
        <v>0</v>
      </c>
      <c r="E45" s="143">
        <f t="shared" si="0"/>
        <v>0</v>
      </c>
      <c r="F45" s="321"/>
      <c r="G45" s="324"/>
      <c r="H45" s="188" t="s">
        <v>75</v>
      </c>
      <c r="I45" s="118" t="e">
        <f>I43/I40</f>
        <v>#DIV/0!</v>
      </c>
      <c r="J45" s="134" t="e">
        <f>J43/J40</f>
        <v>#DIV/0!</v>
      </c>
      <c r="K45" s="130" t="s">
        <v>63</v>
      </c>
    </row>
    <row r="46" spans="1:13" ht="17.45" customHeight="1">
      <c r="A46" s="781" t="s">
        <v>283</v>
      </c>
      <c r="B46" s="782"/>
      <c r="C46" s="164">
        <f>SUMIF($G$7:$G$31,"Sinergy",$F$7:$F$31)</f>
        <v>0</v>
      </c>
      <c r="D46" s="118">
        <f>+C46+'3'!D46</f>
        <v>0</v>
      </c>
      <c r="E46" s="143">
        <f t="shared" si="0"/>
        <v>0</v>
      </c>
      <c r="F46" s="321"/>
      <c r="G46" s="322"/>
      <c r="H46" s="188" t="s">
        <v>77</v>
      </c>
      <c r="I46" s="140">
        <f>+SUMIF(Listrik!P11,"&gt;0")</f>
        <v>3341.7399999992722</v>
      </c>
      <c r="J46" s="135">
        <f>+I46+'3'!J46</f>
        <v>16089.900000000001</v>
      </c>
      <c r="K46" s="130" t="s">
        <v>78</v>
      </c>
    </row>
    <row r="47" spans="1:13" ht="17.45" customHeight="1">
      <c r="A47" s="781" t="s">
        <v>79</v>
      </c>
      <c r="B47" s="782"/>
      <c r="C47" s="164">
        <f>SUMIF($G$7:$G$31,"Gas",$F$7:$F$31)</f>
        <v>0</v>
      </c>
      <c r="D47" s="118">
        <f>+C47+'3'!D47</f>
        <v>0</v>
      </c>
      <c r="E47" s="143">
        <f t="shared" si="0"/>
        <v>0</v>
      </c>
      <c r="F47" s="321"/>
      <c r="G47" s="322"/>
      <c r="H47" s="188" t="s">
        <v>80</v>
      </c>
      <c r="I47" s="118" t="e">
        <f>I46/I38</f>
        <v>#DIV/0!</v>
      </c>
      <c r="J47" s="135" t="e">
        <f>J46/J38</f>
        <v>#DIV/0!</v>
      </c>
      <c r="K47" s="130" t="s">
        <v>23</v>
      </c>
    </row>
    <row r="48" spans="1:13" ht="17.45" customHeight="1">
      <c r="A48" s="781" t="s">
        <v>13</v>
      </c>
      <c r="B48" s="782"/>
      <c r="C48" s="164">
        <f>SUMIF($G$7:$G$31,"Start Up",$F$7:$F$31)</f>
        <v>0</v>
      </c>
      <c r="D48" s="118">
        <f>+C48+'3'!D48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+C49+'3'!D49</f>
        <v>5760</v>
      </c>
      <c r="E49" s="143">
        <f t="shared" si="0"/>
        <v>96</v>
      </c>
      <c r="F49" s="185"/>
      <c r="H49" s="188" t="s">
        <v>266</v>
      </c>
      <c r="I49" s="118">
        <f>+Report1!T12</f>
        <v>0</v>
      </c>
      <c r="J49" s="135">
        <f>+I49+'3'!J49</f>
        <v>0</v>
      </c>
      <c r="K49" s="130" t="s">
        <v>82</v>
      </c>
    </row>
    <row r="50" spans="1:11" ht="17.45" customHeight="1">
      <c r="A50" s="781" t="s">
        <v>18</v>
      </c>
      <c r="B50" s="782"/>
      <c r="C50" s="164">
        <f>SUMIF($G$7:$G$31,"Steam",$F$7:$F$31)</f>
        <v>0</v>
      </c>
      <c r="D50" s="118">
        <f>+C50+'3'!D50</f>
        <v>0</v>
      </c>
      <c r="E50" s="143">
        <f t="shared" si="0"/>
        <v>0</v>
      </c>
      <c r="F50" s="185"/>
      <c r="H50" s="188" t="s">
        <v>83</v>
      </c>
      <c r="I50" s="140" t="e">
        <f>I49/I38</f>
        <v>#DIV/0!</v>
      </c>
      <c r="J50" s="133" t="e">
        <f>J49/J38</f>
        <v>#DIV/0!</v>
      </c>
      <c r="K50" s="130" t="s">
        <v>82</v>
      </c>
    </row>
    <row r="51" spans="1:11" ht="17.45" customHeight="1" thickBot="1">
      <c r="A51" s="783" t="s">
        <v>84</v>
      </c>
      <c r="B51" s="784"/>
      <c r="C51" s="164">
        <f>SUMIF($G$7:$G$31,"Planned shut",$F$7:$F$31)</f>
        <v>0</v>
      </c>
      <c r="D51" s="118">
        <f>+C51+'3'!D51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5760</v>
      </c>
      <c r="E52" s="145">
        <f>SUM(E38:E51)</f>
        <v>96</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+D34+'3'!J56</f>
        <v>0</v>
      </c>
      <c r="K56" s="201" t="e">
        <f>J56/(J40+J56/1000)/1000</f>
        <v>#DIV/0!</v>
      </c>
    </row>
    <row r="57" spans="1:11">
      <c r="A57" s="176"/>
      <c r="I57" s="199" t="s">
        <v>88</v>
      </c>
      <c r="J57" s="200">
        <f>+E34+'3'!J57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17" right="0.16" top="0.17" bottom="0.16" header="0" footer="0"/>
  <pageSetup paperSize="9" scale="60"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R61"/>
  <sheetViews>
    <sheetView view="pageBreakPreview" zoomScale="80" zoomScaleNormal="75" zoomScaleSheetLayoutView="80" workbookViewId="0">
      <selection activeCell="D25" sqref="D25"/>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7109375" style="149" bestFit="1" customWidth="1"/>
    <col min="12" max="12" width="8.28515625" style="149" customWidth="1"/>
    <col min="13" max="13" width="14.5703125" style="149" bestFit="1" customWidth="1"/>
    <col min="14" max="16384" width="9.140625" style="149"/>
  </cols>
  <sheetData>
    <row r="1" spans="1:18" ht="15.75">
      <c r="A1" s="148"/>
    </row>
    <row r="2" spans="1:18" ht="15.75">
      <c r="A2" s="148" t="s">
        <v>182</v>
      </c>
    </row>
    <row r="3" spans="1:18" ht="15">
      <c r="A3" s="150"/>
    </row>
    <row r="4" spans="1:18" ht="20.25">
      <c r="A4" s="151" t="s">
        <v>3</v>
      </c>
      <c r="B4" s="152"/>
      <c r="F4" s="153" t="s">
        <v>28</v>
      </c>
      <c r="G4" s="154">
        <v>3</v>
      </c>
      <c r="H4" s="154" t="str">
        <f>+'1'!H4</f>
        <v>.11.25</v>
      </c>
    </row>
    <row r="5" spans="1:18" ht="13.5" thickBot="1">
      <c r="C5" s="155"/>
      <c r="D5" s="155"/>
    </row>
    <row r="6" spans="1:18"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8" ht="13.5" customHeight="1" thickBot="1">
      <c r="A7" s="767" t="s">
        <v>407</v>
      </c>
      <c r="B7" s="215"/>
      <c r="C7" s="216"/>
      <c r="D7" s="217"/>
      <c r="E7" s="218"/>
      <c r="F7" s="227"/>
      <c r="G7" s="228" t="s">
        <v>11</v>
      </c>
      <c r="H7" s="229" t="s">
        <v>384</v>
      </c>
      <c r="I7" s="770" t="s">
        <v>406</v>
      </c>
      <c r="J7" s="214" t="str">
        <f>+'2'!J7</f>
        <v>F 12 VP OW</v>
      </c>
      <c r="K7" s="237">
        <f>+C7+C16</f>
        <v>0</v>
      </c>
      <c r="L7" s="241"/>
      <c r="M7" s="117">
        <f>+K7+'2'!M7+L7</f>
        <v>0</v>
      </c>
      <c r="N7" s="149">
        <v>1072</v>
      </c>
      <c r="O7" s="149">
        <v>858</v>
      </c>
      <c r="P7" s="149">
        <v>99</v>
      </c>
      <c r="Q7" s="149">
        <f t="shared" ref="Q7:Q12" si="0">+N7*P7</f>
        <v>106128</v>
      </c>
      <c r="R7" s="149">
        <f t="shared" ref="R7:R12" si="1">+O7*P7</f>
        <v>84942</v>
      </c>
    </row>
    <row r="8" spans="1:18" ht="13.5" thickBot="1">
      <c r="A8" s="768"/>
      <c r="B8" s="215"/>
      <c r="C8" s="216"/>
      <c r="D8" s="217"/>
      <c r="E8" s="219"/>
      <c r="F8" s="230"/>
      <c r="G8" s="231" t="s">
        <v>11</v>
      </c>
      <c r="H8" s="229" t="s">
        <v>282</v>
      </c>
      <c r="I8" s="771"/>
      <c r="J8" s="214">
        <f>+'2'!J8</f>
        <v>0</v>
      </c>
      <c r="K8" s="238">
        <f>+C17+C26</f>
        <v>0</v>
      </c>
      <c r="L8" s="238"/>
      <c r="M8" s="117">
        <f>+K8+'2'!M8+L8</f>
        <v>0</v>
      </c>
      <c r="N8" s="149">
        <v>1109</v>
      </c>
      <c r="O8" s="149">
        <v>848</v>
      </c>
      <c r="P8" s="149">
        <v>351</v>
      </c>
      <c r="Q8" s="149">
        <f t="shared" si="0"/>
        <v>389259</v>
      </c>
      <c r="R8" s="149">
        <f t="shared" si="1"/>
        <v>297648</v>
      </c>
    </row>
    <row r="9" spans="1:18" ht="13.5" thickBot="1">
      <c r="A9" s="768"/>
      <c r="B9" s="215"/>
      <c r="C9" s="216"/>
      <c r="D9" s="217"/>
      <c r="E9" s="220"/>
      <c r="F9" s="227"/>
      <c r="G9" s="231" t="s">
        <v>11</v>
      </c>
      <c r="H9" s="232" t="s">
        <v>408</v>
      </c>
      <c r="I9" s="771"/>
      <c r="J9" s="214">
        <f>+'2'!J9</f>
        <v>0</v>
      </c>
      <c r="K9" s="238">
        <f>+C25</f>
        <v>0</v>
      </c>
      <c r="L9" s="238"/>
      <c r="M9" s="117">
        <f>+K9+'2'!M9+L9</f>
        <v>0</v>
      </c>
      <c r="N9" s="149">
        <v>1150</v>
      </c>
      <c r="O9" s="149">
        <v>920</v>
      </c>
      <c r="P9" s="149">
        <v>30</v>
      </c>
      <c r="Q9" s="149">
        <f t="shared" si="0"/>
        <v>34500</v>
      </c>
      <c r="R9" s="149">
        <f t="shared" si="1"/>
        <v>27600</v>
      </c>
    </row>
    <row r="10" spans="1:18" ht="13.5" thickBot="1">
      <c r="A10" s="768"/>
      <c r="B10" s="215"/>
      <c r="C10" s="216"/>
      <c r="D10" s="217"/>
      <c r="E10" s="219"/>
      <c r="F10" s="227"/>
      <c r="G10" s="236" t="s">
        <v>12</v>
      </c>
      <c r="H10" s="232" t="s">
        <v>414</v>
      </c>
      <c r="I10" s="771"/>
      <c r="J10" s="214">
        <f>+'2'!J10</f>
        <v>0</v>
      </c>
      <c r="K10" s="238"/>
      <c r="L10" s="238"/>
      <c r="M10" s="117">
        <f>+K10+'2'!M10+L10</f>
        <v>0</v>
      </c>
      <c r="Q10" s="149">
        <f t="shared" si="0"/>
        <v>0</v>
      </c>
      <c r="R10" s="149">
        <f t="shared" si="1"/>
        <v>0</v>
      </c>
    </row>
    <row r="11" spans="1:18" ht="64.5" thickBot="1">
      <c r="A11" s="768"/>
      <c r="B11" s="215"/>
      <c r="C11" s="216"/>
      <c r="D11" s="217"/>
      <c r="E11" s="219"/>
      <c r="F11" s="230">
        <v>480</v>
      </c>
      <c r="G11" s="231" t="s">
        <v>19</v>
      </c>
      <c r="H11" s="232" t="s">
        <v>413</v>
      </c>
      <c r="I11" s="771"/>
      <c r="J11" s="214">
        <f>+'2'!J11</f>
        <v>0</v>
      </c>
      <c r="K11" s="238"/>
      <c r="L11" s="238"/>
      <c r="M11" s="117">
        <f>+K11+'2'!M11+L11</f>
        <v>0</v>
      </c>
      <c r="O11" s="149">
        <f>+N11-(N11*0.23)</f>
        <v>0</v>
      </c>
      <c r="Q11" s="149">
        <f t="shared" si="0"/>
        <v>0</v>
      </c>
      <c r="R11" s="149">
        <f t="shared" si="1"/>
        <v>0</v>
      </c>
    </row>
    <row r="12" spans="1:18" ht="13.5" thickBot="1">
      <c r="A12" s="768"/>
      <c r="B12" s="215"/>
      <c r="C12" s="216"/>
      <c r="D12" s="217"/>
      <c r="E12" s="219"/>
      <c r="F12" s="227"/>
      <c r="G12" s="231"/>
      <c r="H12" s="232"/>
      <c r="I12" s="771"/>
      <c r="J12" s="214">
        <f>+'2'!J12</f>
        <v>0</v>
      </c>
      <c r="K12" s="238"/>
      <c r="L12" s="238"/>
      <c r="M12" s="117">
        <f>+K12+'2'!M12+L12</f>
        <v>0</v>
      </c>
      <c r="O12" s="149">
        <f>+N12-(N12*0.23)</f>
        <v>0</v>
      </c>
      <c r="Q12" s="149">
        <f t="shared" si="0"/>
        <v>0</v>
      </c>
      <c r="R12" s="149">
        <f t="shared" si="1"/>
        <v>0</v>
      </c>
    </row>
    <row r="13" spans="1:18" ht="13.5" thickBot="1">
      <c r="A13" s="768"/>
      <c r="B13" s="215"/>
      <c r="C13" s="216"/>
      <c r="D13" s="216"/>
      <c r="E13" s="219"/>
      <c r="F13" s="227"/>
      <c r="G13" s="231"/>
      <c r="H13" s="232"/>
      <c r="I13" s="772"/>
      <c r="J13" s="214">
        <f>+'2'!J13</f>
        <v>0</v>
      </c>
      <c r="K13" s="238"/>
      <c r="L13" s="238"/>
      <c r="M13" s="117">
        <f>+K13+'2'!M13+L13</f>
        <v>0</v>
      </c>
    </row>
    <row r="14" spans="1:18" ht="13.5" thickBot="1">
      <c r="A14" s="769"/>
      <c r="B14" s="165" t="s">
        <v>2</v>
      </c>
      <c r="C14" s="99">
        <f>SUM(C7:C13)</f>
        <v>0</v>
      </c>
      <c r="D14" s="111">
        <f>SUM(D7:D13)</f>
        <v>0</v>
      </c>
      <c r="E14" s="112">
        <f>SUM(E5:E13)</f>
        <v>0</v>
      </c>
      <c r="F14" s="116">
        <f>SUM(F7:F13)</f>
        <v>480</v>
      </c>
      <c r="G14" s="159"/>
      <c r="H14" s="166"/>
      <c r="I14" s="167"/>
      <c r="J14" s="214">
        <f>+'2'!J14</f>
        <v>0</v>
      </c>
      <c r="K14" s="238"/>
      <c r="L14" s="238"/>
      <c r="M14" s="117">
        <f>+K14+'2'!M14+L14</f>
        <v>0</v>
      </c>
    </row>
    <row r="15" spans="1:18" ht="13.5" customHeight="1" thickBot="1">
      <c r="A15" s="767" t="s">
        <v>388</v>
      </c>
      <c r="B15" s="165"/>
      <c r="C15" s="113" t="e">
        <f>C14/($C$23+$D$23+$E$23)</f>
        <v>#DIV/0!</v>
      </c>
      <c r="D15" s="114" t="e">
        <f>D14/($C$23+$D$23+$E$23)</f>
        <v>#DIV/0!</v>
      </c>
      <c r="E15" s="115" t="e">
        <f>E14/($C$23+$D$23+$E$23)</f>
        <v>#DIV/0!</v>
      </c>
      <c r="F15" s="227"/>
      <c r="G15" s="228" t="s">
        <v>11</v>
      </c>
      <c r="H15" s="229" t="s">
        <v>384</v>
      </c>
      <c r="I15" s="770" t="s">
        <v>406</v>
      </c>
      <c r="J15" s="214">
        <f>+'2'!J15</f>
        <v>0</v>
      </c>
      <c r="K15" s="238"/>
      <c r="L15" s="238"/>
      <c r="M15" s="117">
        <f>+K15+'2'!M15+L15</f>
        <v>0</v>
      </c>
      <c r="P15" s="176">
        <f>SUM(P7:P12)</f>
        <v>480</v>
      </c>
      <c r="Q15" s="176">
        <f>SUM(Q7:Q12)</f>
        <v>529887</v>
      </c>
      <c r="R15" s="176">
        <f>SUM(R7:R12)</f>
        <v>410190</v>
      </c>
    </row>
    <row r="16" spans="1:18" ht="13.5" thickBot="1">
      <c r="A16" s="773"/>
      <c r="B16" s="215"/>
      <c r="C16" s="221"/>
      <c r="D16" s="222"/>
      <c r="E16" s="223"/>
      <c r="F16" s="230"/>
      <c r="G16" s="231" t="s">
        <v>11</v>
      </c>
      <c r="H16" s="229" t="s">
        <v>282</v>
      </c>
      <c r="I16" s="771"/>
      <c r="J16" s="214">
        <f>+'2'!J16</f>
        <v>0</v>
      </c>
      <c r="K16" s="228"/>
      <c r="L16" s="228"/>
      <c r="M16" s="117">
        <f>+K16+'2'!M16+L16</f>
        <v>0</v>
      </c>
      <c r="Q16" s="176">
        <f>+Q15/P15</f>
        <v>1103.9312500000001</v>
      </c>
      <c r="R16" s="176">
        <f>+R15/P15</f>
        <v>854.5625</v>
      </c>
    </row>
    <row r="17" spans="1:17" ht="13.5" thickBot="1">
      <c r="A17" s="773"/>
      <c r="B17" s="215"/>
      <c r="C17" s="216"/>
      <c r="D17" s="217"/>
      <c r="E17" s="224"/>
      <c r="F17" s="227"/>
      <c r="G17" s="231" t="s">
        <v>11</v>
      </c>
      <c r="H17" s="232" t="s">
        <v>408</v>
      </c>
      <c r="I17" s="771"/>
      <c r="J17" s="214">
        <f>+'2'!J17</f>
        <v>0</v>
      </c>
      <c r="K17" s="228"/>
      <c r="L17" s="228"/>
      <c r="M17" s="117">
        <f>+K17+'2'!M17+L17</f>
        <v>0</v>
      </c>
    </row>
    <row r="18" spans="1:17" ht="13.5" thickBot="1">
      <c r="A18" s="773"/>
      <c r="B18" s="215"/>
      <c r="C18" s="216"/>
      <c r="D18" s="217"/>
      <c r="E18" s="224"/>
      <c r="F18" s="227"/>
      <c r="G18" s="236" t="s">
        <v>12</v>
      </c>
      <c r="H18" s="232" t="s">
        <v>414</v>
      </c>
      <c r="I18" s="771"/>
      <c r="J18" s="214">
        <f>+'2'!J18</f>
        <v>0</v>
      </c>
      <c r="K18" s="238"/>
      <c r="L18" s="238"/>
      <c r="M18" s="117">
        <f>+K18+'2'!M18+L18</f>
        <v>0</v>
      </c>
    </row>
    <row r="19" spans="1:17" ht="51.75" thickBot="1">
      <c r="A19" s="773"/>
      <c r="B19" s="215"/>
      <c r="C19" s="216"/>
      <c r="D19" s="217"/>
      <c r="E19" s="224"/>
      <c r="F19" s="230">
        <v>480</v>
      </c>
      <c r="G19" s="231" t="s">
        <v>19</v>
      </c>
      <c r="H19" s="232" t="s">
        <v>412</v>
      </c>
      <c r="I19" s="771"/>
      <c r="J19" s="214">
        <f>+'2'!J19</f>
        <v>0</v>
      </c>
      <c r="K19" s="238"/>
      <c r="L19" s="238"/>
      <c r="M19" s="117">
        <f>+K19+'2'!M19+L19</f>
        <v>0</v>
      </c>
      <c r="P19" s="149">
        <f>480-99-30</f>
        <v>351</v>
      </c>
    </row>
    <row r="20" spans="1:17" ht="13.5" thickBot="1">
      <c r="A20" s="773"/>
      <c r="B20" s="215"/>
      <c r="C20" s="216"/>
      <c r="D20" s="217"/>
      <c r="E20" s="224"/>
      <c r="F20" s="227"/>
      <c r="G20" s="231"/>
      <c r="H20" s="232"/>
      <c r="I20" s="771"/>
      <c r="J20" s="214">
        <f>+'2'!J20</f>
        <v>0</v>
      </c>
      <c r="K20" s="239"/>
      <c r="L20" s="239"/>
      <c r="M20" s="117">
        <f>+K20+'2'!M20+L20</f>
        <v>0</v>
      </c>
    </row>
    <row r="21" spans="1:17" ht="13.5" thickBot="1">
      <c r="A21" s="773"/>
      <c r="B21" s="215"/>
      <c r="C21" s="216"/>
      <c r="D21" s="217"/>
      <c r="E21" s="224"/>
      <c r="F21" s="230"/>
      <c r="G21" s="231"/>
      <c r="H21" s="232"/>
      <c r="I21" s="771"/>
      <c r="J21" s="214">
        <f>+'2'!J21</f>
        <v>0</v>
      </c>
      <c r="K21" s="238"/>
      <c r="L21" s="238"/>
      <c r="M21" s="117">
        <f>+K21+'2'!M21+L21</f>
        <v>0</v>
      </c>
    </row>
    <row r="22" spans="1:17" ht="13.5" thickBot="1">
      <c r="A22" s="773"/>
      <c r="B22" s="215"/>
      <c r="C22" s="216"/>
      <c r="D22" s="217"/>
      <c r="E22" s="224"/>
      <c r="F22" s="235"/>
      <c r="G22" s="231"/>
      <c r="H22" s="232"/>
      <c r="I22" s="772"/>
      <c r="J22" s="214">
        <f>+'2'!J22</f>
        <v>0</v>
      </c>
      <c r="K22" s="238"/>
      <c r="L22" s="238"/>
      <c r="M22" s="117">
        <f>+K22+'2'!M22+L22</f>
        <v>0</v>
      </c>
    </row>
    <row r="23" spans="1:17" ht="13.5" thickBot="1">
      <c r="A23" s="774"/>
      <c r="B23" s="168" t="s">
        <v>2</v>
      </c>
      <c r="C23" s="100">
        <f>SUM(C16:C22)</f>
        <v>0</v>
      </c>
      <c r="D23" s="111">
        <f>SUM(D16:D22)</f>
        <v>0</v>
      </c>
      <c r="E23" s="112">
        <f>SUM(E18:E22)</f>
        <v>0</v>
      </c>
      <c r="F23" s="116">
        <f>SUM(F15:F22)</f>
        <v>480</v>
      </c>
      <c r="G23" s="159"/>
      <c r="H23" s="166"/>
      <c r="I23" s="169"/>
      <c r="J23" s="214">
        <f>+'2'!J23</f>
        <v>0</v>
      </c>
      <c r="K23" s="238"/>
      <c r="L23" s="238"/>
      <c r="M23" s="117">
        <f>+K23+'2'!M23+L23</f>
        <v>0</v>
      </c>
    </row>
    <row r="24" spans="1:17" ht="13.5" customHeight="1" thickBot="1">
      <c r="A24" s="767" t="s">
        <v>410</v>
      </c>
      <c r="B24" s="170"/>
      <c r="C24" s="113" t="e">
        <f>C23/($C$23+$D$23+$E$23)</f>
        <v>#DIV/0!</v>
      </c>
      <c r="D24" s="114" t="e">
        <f>D23/($C$23+$D$23+$E$23)</f>
        <v>#DIV/0!</v>
      </c>
      <c r="E24" s="115" t="e">
        <f>E23/($C$23+$D$23+$E$23)</f>
        <v>#DIV/0!</v>
      </c>
      <c r="F24" s="227"/>
      <c r="G24" s="228" t="s">
        <v>11</v>
      </c>
      <c r="H24" s="229" t="s">
        <v>384</v>
      </c>
      <c r="I24" s="770" t="s">
        <v>406</v>
      </c>
      <c r="J24" s="214">
        <f>+'2'!J24</f>
        <v>0</v>
      </c>
      <c r="K24" s="238"/>
      <c r="L24" s="238"/>
      <c r="M24" s="117">
        <f>+K24+'2'!M24+L24</f>
        <v>0</v>
      </c>
    </row>
    <row r="25" spans="1:17" ht="13.5" thickBot="1">
      <c r="A25" s="773"/>
      <c r="B25" s="215"/>
      <c r="C25" s="225"/>
      <c r="D25" s="217"/>
      <c r="E25" s="224"/>
      <c r="F25" s="230"/>
      <c r="G25" s="231" t="s">
        <v>11</v>
      </c>
      <c r="H25" s="229" t="s">
        <v>282</v>
      </c>
      <c r="I25" s="771"/>
      <c r="J25" s="214">
        <f>+'2'!J25</f>
        <v>0</v>
      </c>
      <c r="K25" s="238"/>
      <c r="L25" s="238"/>
      <c r="M25" s="117">
        <f>+K25+'2'!M25+L25</f>
        <v>0</v>
      </c>
    </row>
    <row r="26" spans="1:17" ht="13.5" thickBot="1">
      <c r="A26" s="773"/>
      <c r="B26" s="215"/>
      <c r="C26" s="225"/>
      <c r="D26" s="217"/>
      <c r="E26" s="226"/>
      <c r="F26" s="227"/>
      <c r="G26" s="231" t="s">
        <v>11</v>
      </c>
      <c r="H26" s="232" t="s">
        <v>408</v>
      </c>
      <c r="I26" s="771"/>
      <c r="J26" s="214">
        <f>+'2'!J26</f>
        <v>0</v>
      </c>
      <c r="K26" s="238"/>
      <c r="L26" s="238"/>
      <c r="M26" s="117">
        <f>+K26+'2'!M26+L26</f>
        <v>0</v>
      </c>
    </row>
    <row r="27" spans="1:17" ht="13.5" thickBot="1">
      <c r="A27" s="773"/>
      <c r="B27" s="215"/>
      <c r="C27" s="216"/>
      <c r="D27" s="217"/>
      <c r="E27" s="224"/>
      <c r="F27" s="227"/>
      <c r="G27" s="236" t="s">
        <v>12</v>
      </c>
      <c r="H27" s="232" t="s">
        <v>414</v>
      </c>
      <c r="I27" s="771"/>
      <c r="J27" s="214">
        <f>+'2'!J27</f>
        <v>0</v>
      </c>
      <c r="K27" s="238"/>
      <c r="L27" s="238"/>
      <c r="M27" s="117">
        <f>+K27+'2'!M27+L27</f>
        <v>0</v>
      </c>
    </row>
    <row r="28" spans="1:17" ht="39" thickBot="1">
      <c r="A28" s="773"/>
      <c r="B28" s="215"/>
      <c r="C28" s="216"/>
      <c r="D28" s="217"/>
      <c r="E28" s="224"/>
      <c r="F28" s="230">
        <v>480</v>
      </c>
      <c r="G28" s="231" t="s">
        <v>19</v>
      </c>
      <c r="H28" s="232" t="s">
        <v>411</v>
      </c>
      <c r="I28" s="771"/>
      <c r="J28" s="214">
        <f>+'2'!J28</f>
        <v>0</v>
      </c>
      <c r="K28" s="238"/>
      <c r="L28" s="238"/>
      <c r="M28" s="117">
        <f>+K28+'2'!M28+L28</f>
        <v>0</v>
      </c>
    </row>
    <row r="29" spans="1:17" ht="13.5" thickBot="1">
      <c r="A29" s="773"/>
      <c r="B29" s="215"/>
      <c r="C29" s="216"/>
      <c r="D29" s="217"/>
      <c r="E29" s="224"/>
      <c r="F29" s="235"/>
      <c r="G29" s="231"/>
      <c r="H29" s="232"/>
      <c r="I29" s="771"/>
      <c r="J29" s="214">
        <f>+'2'!J29</f>
        <v>0</v>
      </c>
      <c r="K29" s="238"/>
      <c r="L29" s="238"/>
      <c r="M29" s="117">
        <f>+K29+'2'!M29+L29</f>
        <v>0</v>
      </c>
    </row>
    <row r="30" spans="1:17" ht="13.5" thickBot="1">
      <c r="A30" s="773"/>
      <c r="B30" s="215"/>
      <c r="C30" s="225"/>
      <c r="D30" s="217"/>
      <c r="E30" s="224"/>
      <c r="F30" s="235"/>
      <c r="G30" s="231"/>
      <c r="H30" s="232"/>
      <c r="I30" s="771"/>
      <c r="J30" s="214">
        <f>+'2'!J30</f>
        <v>0</v>
      </c>
      <c r="K30" s="238"/>
      <c r="L30" s="238"/>
      <c r="M30" s="117">
        <f>+K30+'2'!M30+L30</f>
        <v>0</v>
      </c>
    </row>
    <row r="31" spans="1:17" ht="13.5" thickBot="1">
      <c r="A31" s="773"/>
      <c r="B31" s="215"/>
      <c r="C31" s="225"/>
      <c r="D31" s="217"/>
      <c r="E31" s="224"/>
      <c r="F31" s="235"/>
      <c r="G31" s="236"/>
      <c r="H31" s="444"/>
      <c r="I31" s="772"/>
      <c r="J31" s="214">
        <f>+'2'!J31</f>
        <v>0</v>
      </c>
      <c r="K31" s="238"/>
      <c r="L31" s="238"/>
      <c r="M31" s="117">
        <f>+K31+'2'!M31+L31</f>
        <v>0</v>
      </c>
    </row>
    <row r="32" spans="1:17" ht="13.5" thickBot="1">
      <c r="A32" s="774"/>
      <c r="B32" s="165" t="s">
        <v>2</v>
      </c>
      <c r="C32" s="99">
        <f>SUM(C25:C31)</f>
        <v>0</v>
      </c>
      <c r="D32" s="100">
        <f>SUM(D25:D31)</f>
        <v>0</v>
      </c>
      <c r="E32" s="101">
        <f>SUM(E25:E31)</f>
        <v>0</v>
      </c>
      <c r="F32" s="102">
        <f>SUM(F24:F31)</f>
        <v>480</v>
      </c>
      <c r="G32" s="171"/>
      <c r="H32" s="172"/>
      <c r="I32" s="169"/>
      <c r="J32" s="214">
        <f>+'2'!J32</f>
        <v>0</v>
      </c>
      <c r="K32" s="240"/>
      <c r="L32" s="242"/>
      <c r="M32" s="117">
        <f>+K32+'2'!M32+L32</f>
        <v>0</v>
      </c>
      <c r="P32" s="149">
        <v>12</v>
      </c>
      <c r="Q32" s="149">
        <f>480+99+351</f>
        <v>930</v>
      </c>
    </row>
    <row r="33" spans="1:17" ht="13.5" thickBot="1">
      <c r="A33" s="173"/>
      <c r="B33" s="174"/>
      <c r="C33" s="103" t="e">
        <f>C32/($C$32+$D$32+$E$32)</f>
        <v>#DIV/0!</v>
      </c>
      <c r="D33" s="104" t="e">
        <f>D32/($C$32+$D$32+$E$32)</f>
        <v>#DIV/0!</v>
      </c>
      <c r="E33" s="105" t="e">
        <f>E32/($C$32+$D$32+$E$32)</f>
        <v>#DIV/0!</v>
      </c>
      <c r="F33" s="106"/>
      <c r="G33" s="175"/>
      <c r="H33" s="176"/>
      <c r="I33" s="177"/>
      <c r="J33" s="121"/>
      <c r="K33" s="122"/>
      <c r="L33" s="213"/>
      <c r="M33" s="119"/>
      <c r="P33" s="149">
        <v>10.3</v>
      </c>
      <c r="Q33" s="149">
        <f>30+480</f>
        <v>510</v>
      </c>
    </row>
    <row r="34" spans="1:17"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7" ht="13.5" thickBot="1">
      <c r="A35" s="179"/>
      <c r="B35" s="180"/>
      <c r="C35" s="104" t="e">
        <f>C34/($C$34+$D$34+$E$34)</f>
        <v>#DIV/0!</v>
      </c>
      <c r="D35" s="104" t="e">
        <f>D34/($C$34+$D$34+$E$34)</f>
        <v>#DIV/0!</v>
      </c>
      <c r="E35" s="109" t="e">
        <f>E34/($C$34+$D$34+$E$34)</f>
        <v>#DIV/0!</v>
      </c>
      <c r="K35" s="155"/>
    </row>
    <row r="36" spans="1:17" ht="13.5" thickBot="1">
      <c r="A36" s="178"/>
      <c r="B36" s="178"/>
      <c r="C36" s="155"/>
      <c r="D36" s="155"/>
      <c r="E36" s="155"/>
      <c r="G36" s="155"/>
      <c r="H36" s="181"/>
      <c r="I36" s="162" t="s">
        <v>36</v>
      </c>
      <c r="J36" s="162" t="s">
        <v>37</v>
      </c>
      <c r="K36" s="182"/>
    </row>
    <row r="37" spans="1:17" ht="17.45" customHeight="1" thickBot="1">
      <c r="A37" s="777" t="s">
        <v>58</v>
      </c>
      <c r="B37" s="778"/>
      <c r="C37" s="162" t="s">
        <v>59</v>
      </c>
      <c r="D37" s="183" t="s">
        <v>60</v>
      </c>
      <c r="E37" s="184" t="s">
        <v>61</v>
      </c>
      <c r="F37" s="321"/>
      <c r="G37" s="323"/>
      <c r="H37" s="186" t="s">
        <v>62</v>
      </c>
      <c r="I37" s="243">
        <f>(12*930+10.3*510)/1440*G42*2.74*1440/1000000</f>
        <v>0</v>
      </c>
      <c r="J37" s="125">
        <f>+I37+'2'!J37</f>
        <v>0</v>
      </c>
      <c r="K37" s="126" t="s">
        <v>63</v>
      </c>
    </row>
    <row r="38" spans="1:17" ht="17.45" customHeight="1">
      <c r="A38" s="779" t="s">
        <v>11</v>
      </c>
      <c r="B38" s="780"/>
      <c r="C38" s="164">
        <f>SUMIF($G$7:$G$31,"Process",$F$7:$F$31)</f>
        <v>0</v>
      </c>
      <c r="D38" s="118">
        <f>+C38+'2'!D38</f>
        <v>0</v>
      </c>
      <c r="E38" s="143">
        <f t="shared" ref="E38:E51" si="2">D38/60</f>
        <v>0</v>
      </c>
      <c r="F38" s="321"/>
      <c r="G38" s="321"/>
      <c r="H38" s="187" t="s">
        <v>64</v>
      </c>
      <c r="I38" s="244"/>
      <c r="J38" s="127">
        <f>+I38+'2'!J38</f>
        <v>0</v>
      </c>
      <c r="K38" s="128" t="s">
        <v>63</v>
      </c>
    </row>
    <row r="39" spans="1:17" ht="17.45" customHeight="1">
      <c r="A39" s="781" t="s">
        <v>12</v>
      </c>
      <c r="B39" s="782"/>
      <c r="C39" s="164">
        <f>SUMIF($G$7:$G$31,"Cleaning",$F$7:$F$31)</f>
        <v>0</v>
      </c>
      <c r="D39" s="118">
        <f>+C39+'2'!D39</f>
        <v>0</v>
      </c>
      <c r="E39" s="143">
        <f t="shared" si="2"/>
        <v>0</v>
      </c>
      <c r="F39" s="321"/>
      <c r="G39" s="321"/>
      <c r="H39" s="187" t="s">
        <v>65</v>
      </c>
      <c r="I39" s="142"/>
      <c r="J39" s="129">
        <f>J37/G4</f>
        <v>0</v>
      </c>
      <c r="K39" s="130" t="s">
        <v>63</v>
      </c>
    </row>
    <row r="40" spans="1:17" ht="17.45" customHeight="1">
      <c r="A40" s="781" t="s">
        <v>66</v>
      </c>
      <c r="B40" s="782"/>
      <c r="C40" s="164">
        <f>SUMIF($G$7:$G$31,"Mechanical",$F$7:$F$31)</f>
        <v>0</v>
      </c>
      <c r="D40" s="118">
        <f>+C40+'2'!D40</f>
        <v>0</v>
      </c>
      <c r="E40" s="143">
        <f t="shared" si="2"/>
        <v>0</v>
      </c>
      <c r="F40" s="321"/>
      <c r="G40" s="321"/>
      <c r="H40" s="187" t="s">
        <v>67</v>
      </c>
      <c r="I40" s="118">
        <f>(K34+L34)/1000</f>
        <v>0</v>
      </c>
      <c r="J40" s="131">
        <f>+I40+'2'!J40</f>
        <v>0</v>
      </c>
      <c r="K40" s="130" t="s">
        <v>63</v>
      </c>
    </row>
    <row r="41" spans="1:17" ht="17.45" customHeight="1">
      <c r="A41" s="781" t="s">
        <v>68</v>
      </c>
      <c r="B41" s="782"/>
      <c r="C41" s="164">
        <f>SUMIF($G$7:$G$31,"Electrical",$F$7:$F$31)</f>
        <v>0</v>
      </c>
      <c r="D41" s="118">
        <f>+C41+'2'!D41</f>
        <v>0</v>
      </c>
      <c r="E41" s="143">
        <f t="shared" si="2"/>
        <v>0</v>
      </c>
      <c r="F41" s="321"/>
      <c r="G41" s="321"/>
      <c r="H41" s="187" t="s">
        <v>69</v>
      </c>
      <c r="I41" s="142"/>
      <c r="J41" s="129">
        <f>J40/G4</f>
        <v>0</v>
      </c>
      <c r="K41" s="130" t="s">
        <v>63</v>
      </c>
    </row>
    <row r="42" spans="1:17" ht="17.45" customHeight="1">
      <c r="A42" s="781" t="s">
        <v>15</v>
      </c>
      <c r="B42" s="782"/>
      <c r="C42" s="164">
        <f>SUMIF($G$7:$G$31,"Instrument",$F$7:$F$31)</f>
        <v>0</v>
      </c>
      <c r="D42" s="118">
        <f>+C42+'2'!D42</f>
        <v>0</v>
      </c>
      <c r="E42" s="143">
        <f t="shared" si="2"/>
        <v>0</v>
      </c>
      <c r="F42" s="321">
        <f>+(F38*480+F39*480+F40*480)/1440</f>
        <v>0</v>
      </c>
      <c r="G42" s="321">
        <f>+(G38*480+G39*480+G40*480)/1440</f>
        <v>0</v>
      </c>
      <c r="H42" s="187" t="s">
        <v>70</v>
      </c>
      <c r="I42" s="245"/>
      <c r="J42" s="132"/>
      <c r="K42" s="130" t="s">
        <v>71</v>
      </c>
    </row>
    <row r="43" spans="1:17" ht="17.45" customHeight="1">
      <c r="A43" s="781" t="s">
        <v>72</v>
      </c>
      <c r="B43" s="782"/>
      <c r="C43" s="164">
        <f>SUMIF($G$7:$G$31,"Water",$F$7:$F$31)</f>
        <v>0</v>
      </c>
      <c r="D43" s="118">
        <f>+C43+'2'!D43</f>
        <v>0</v>
      </c>
      <c r="E43" s="143">
        <f t="shared" si="2"/>
        <v>0</v>
      </c>
      <c r="F43" s="321"/>
      <c r="G43" s="322"/>
      <c r="H43" s="188" t="s">
        <v>73</v>
      </c>
      <c r="I43" s="118">
        <f>+Report1!Z11</f>
        <v>23.4</v>
      </c>
      <c r="J43" s="133">
        <f>+I43+'2'!J43</f>
        <v>72.199999999999989</v>
      </c>
      <c r="K43" s="130" t="s">
        <v>63</v>
      </c>
      <c r="L43" s="189"/>
    </row>
    <row r="44" spans="1:17" ht="17.45" customHeight="1">
      <c r="A44" s="781" t="s">
        <v>16</v>
      </c>
      <c r="B44" s="782"/>
      <c r="C44" s="164">
        <f>SUMIF($G$7:$G$31,"PLN",$F$7:$F$31)</f>
        <v>0</v>
      </c>
      <c r="D44" s="118">
        <f>+C44+'2'!D44</f>
        <v>0</v>
      </c>
      <c r="E44" s="143">
        <f t="shared" si="2"/>
        <v>0</v>
      </c>
      <c r="F44" s="321"/>
      <c r="G44" s="322"/>
      <c r="H44" s="188" t="s">
        <v>74</v>
      </c>
      <c r="I44" s="118" t="e">
        <f>I43/I38</f>
        <v>#DIV/0!</v>
      </c>
      <c r="J44" s="134" t="e">
        <f>J43/J38</f>
        <v>#DIV/0!</v>
      </c>
      <c r="K44" s="130" t="s">
        <v>63</v>
      </c>
    </row>
    <row r="45" spans="1:17" ht="17.45" customHeight="1">
      <c r="A45" s="781" t="s">
        <v>17</v>
      </c>
      <c r="B45" s="782"/>
      <c r="C45" s="164">
        <f>SUMIF($G$7:$G$31,"Boiler",$F$7:$F$31)</f>
        <v>0</v>
      </c>
      <c r="D45" s="118">
        <f>+C45+'2'!D45</f>
        <v>0</v>
      </c>
      <c r="E45" s="143">
        <f t="shared" si="2"/>
        <v>0</v>
      </c>
      <c r="F45" s="321"/>
      <c r="G45" s="324"/>
      <c r="H45" s="188" t="s">
        <v>75</v>
      </c>
      <c r="I45" s="118" t="e">
        <f>I43/I40</f>
        <v>#DIV/0!</v>
      </c>
      <c r="J45" s="134" t="e">
        <f>J43/J40</f>
        <v>#DIV/0!</v>
      </c>
      <c r="K45" s="130" t="s">
        <v>63</v>
      </c>
    </row>
    <row r="46" spans="1:17" ht="17.45" customHeight="1">
      <c r="A46" s="781" t="s">
        <v>76</v>
      </c>
      <c r="B46" s="782"/>
      <c r="C46" s="164">
        <f>SUMIF($G$7:$G$31,"Gas",$F$7:$F$31)</f>
        <v>0</v>
      </c>
      <c r="D46" s="118">
        <f>+C46+'2'!D46</f>
        <v>0</v>
      </c>
      <c r="E46" s="143">
        <f t="shared" si="2"/>
        <v>0</v>
      </c>
      <c r="F46" s="321"/>
      <c r="G46" s="322"/>
      <c r="H46" s="188" t="s">
        <v>77</v>
      </c>
      <c r="I46" s="140">
        <f>+SUMIF(Listrik!P10,"&gt;0")</f>
        <v>3507.0800000014551</v>
      </c>
      <c r="J46" s="135">
        <f>+I46+'2'!J46</f>
        <v>12748.160000000729</v>
      </c>
      <c r="K46" s="130" t="s">
        <v>78</v>
      </c>
    </row>
    <row r="47" spans="1:17" ht="17.45" customHeight="1">
      <c r="A47" s="781" t="s">
        <v>79</v>
      </c>
      <c r="B47" s="782"/>
      <c r="C47" s="164">
        <f>SUMIF($G$7:$G$31,"Gas",$F$7:$F$31)</f>
        <v>0</v>
      </c>
      <c r="D47" s="118">
        <f>+C47+'2'!D47</f>
        <v>0</v>
      </c>
      <c r="E47" s="143">
        <f t="shared" si="2"/>
        <v>0</v>
      </c>
      <c r="F47" s="321"/>
      <c r="G47" s="322"/>
      <c r="H47" s="188" t="s">
        <v>80</v>
      </c>
      <c r="I47" s="118" t="e">
        <f>I46/I38</f>
        <v>#DIV/0!</v>
      </c>
      <c r="J47" s="135" t="e">
        <f>J46/J38</f>
        <v>#DIV/0!</v>
      </c>
      <c r="K47" s="130" t="s">
        <v>23</v>
      </c>
    </row>
    <row r="48" spans="1:17" ht="17.45" customHeight="1">
      <c r="A48" s="781" t="s">
        <v>13</v>
      </c>
      <c r="B48" s="782"/>
      <c r="C48" s="164">
        <f>SUMIF($G$7:$G$31,"Start Up",$F$7:$F$31)</f>
        <v>0</v>
      </c>
      <c r="D48" s="118">
        <f>+C48+'2'!D48</f>
        <v>0</v>
      </c>
      <c r="E48" s="143">
        <f t="shared" si="2"/>
        <v>0</v>
      </c>
      <c r="F48" s="321"/>
      <c r="G48" s="322"/>
      <c r="H48" s="188" t="s">
        <v>81</v>
      </c>
      <c r="I48" s="118" t="e">
        <f>I46/I40</f>
        <v>#DIV/0!</v>
      </c>
      <c r="J48" s="135" t="e">
        <f>J46/J40</f>
        <v>#DIV/0!</v>
      </c>
      <c r="K48" s="130" t="s">
        <v>23</v>
      </c>
    </row>
    <row r="49" spans="1:11" ht="17.45" customHeight="1">
      <c r="A49" s="781" t="s">
        <v>19</v>
      </c>
      <c r="B49" s="782"/>
      <c r="C49" s="164">
        <f>SUMIF($G$7:$G$31,"Others",$F$7:$F$31)</f>
        <v>1440</v>
      </c>
      <c r="D49" s="118">
        <f>+C49+'2'!D49</f>
        <v>4320</v>
      </c>
      <c r="E49" s="143">
        <f t="shared" si="2"/>
        <v>72</v>
      </c>
      <c r="F49" s="185"/>
      <c r="H49" s="188" t="s">
        <v>266</v>
      </c>
      <c r="I49" s="118">
        <f>+Report1!T11</f>
        <v>0</v>
      </c>
      <c r="J49" s="135">
        <f>+I49+'2'!J49</f>
        <v>0</v>
      </c>
      <c r="K49" s="130" t="s">
        <v>82</v>
      </c>
    </row>
    <row r="50" spans="1:11" ht="17.45" customHeight="1">
      <c r="A50" s="781" t="s">
        <v>18</v>
      </c>
      <c r="B50" s="782"/>
      <c r="C50" s="164">
        <f>SUMIF($G$7:$G$31,"Steam",$F$7:$F$31)</f>
        <v>0</v>
      </c>
      <c r="D50" s="118">
        <f>+C50+'2'!D50</f>
        <v>0</v>
      </c>
      <c r="E50" s="143">
        <f t="shared" si="2"/>
        <v>0</v>
      </c>
      <c r="F50" s="185"/>
      <c r="H50" s="188" t="s">
        <v>83</v>
      </c>
      <c r="I50" s="140" t="e">
        <f>I49/I38</f>
        <v>#DIV/0!</v>
      </c>
      <c r="J50" s="133" t="e">
        <f>J49/J38</f>
        <v>#DIV/0!</v>
      </c>
      <c r="K50" s="130" t="s">
        <v>82</v>
      </c>
    </row>
    <row r="51" spans="1:11" ht="17.45" customHeight="1" thickBot="1">
      <c r="A51" s="783" t="s">
        <v>84</v>
      </c>
      <c r="B51" s="784"/>
      <c r="C51" s="164">
        <f>SUMIF($G$7:$G$31,"Planned shut",$F$7:$F$31)</f>
        <v>0</v>
      </c>
      <c r="D51" s="118">
        <f>+C51+'2'!D51</f>
        <v>0</v>
      </c>
      <c r="E51" s="143">
        <f t="shared" si="2"/>
        <v>0</v>
      </c>
      <c r="F51" s="185"/>
      <c r="H51" s="190" t="s">
        <v>85</v>
      </c>
      <c r="I51" s="141" t="e">
        <f>I49/I40</f>
        <v>#DIV/0!</v>
      </c>
      <c r="J51" s="136" t="e">
        <f>J49/J40</f>
        <v>#DIV/0!</v>
      </c>
      <c r="K51" s="137" t="s">
        <v>82</v>
      </c>
    </row>
    <row r="52" spans="1:11" ht="13.5" thickBot="1">
      <c r="A52" s="779" t="s">
        <v>27</v>
      </c>
      <c r="B52" s="780"/>
      <c r="C52" s="144">
        <f>SUM(C38:C51)</f>
        <v>1440</v>
      </c>
      <c r="D52" s="144">
        <f>SUM(D38:D51)</f>
        <v>4320</v>
      </c>
      <c r="E52" s="145">
        <f>SUM(E38:E51)</f>
        <v>72</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+D34+'2'!J56</f>
        <v>0</v>
      </c>
      <c r="K56" s="201" t="e">
        <f>J56/(J40+J56/1000)/1000</f>
        <v>#DIV/0!</v>
      </c>
    </row>
    <row r="57" spans="1:11">
      <c r="A57" s="176"/>
      <c r="I57" s="199" t="s">
        <v>88</v>
      </c>
      <c r="J57" s="200">
        <f>+E34+'2'!J57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17" right="0.16" top="0.17" bottom="0.16" header="0" footer="0"/>
  <pageSetup paperSize="9" scale="55" firstPageNumber="4294963191" orientation="landscape" r:id="rId1"/>
  <headerFooter alignWithMargins="0"/>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7" zoomScale="80" zoomScaleNormal="75" zoomScaleSheetLayoutView="80" workbookViewId="0">
      <selection activeCell="D25" sqref="D25"/>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1.7109375" style="110" customWidth="1"/>
    <col min="7" max="7" width="12.7109375" style="149"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42578125" style="149" bestFit="1" customWidth="1"/>
    <col min="14" max="16384" width="9.140625" style="149"/>
  </cols>
  <sheetData>
    <row r="1" spans="1:18" ht="15.75">
      <c r="A1" s="148"/>
    </row>
    <row r="2" spans="1:18" ht="15.75">
      <c r="A2" s="148" t="s">
        <v>182</v>
      </c>
    </row>
    <row r="3" spans="1:18" ht="15">
      <c r="A3" s="150"/>
    </row>
    <row r="4" spans="1:18" ht="20.25">
      <c r="A4" s="151" t="s">
        <v>3</v>
      </c>
      <c r="B4" s="152"/>
      <c r="F4" s="153" t="s">
        <v>28</v>
      </c>
      <c r="G4" s="154">
        <v>2</v>
      </c>
      <c r="H4" s="154" t="str">
        <f>+'1'!H4</f>
        <v>.11.25</v>
      </c>
    </row>
    <row r="5" spans="1:18" ht="13.5" thickBot="1">
      <c r="C5" s="155"/>
      <c r="D5" s="155"/>
    </row>
    <row r="6" spans="1:18"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8" ht="13.5" customHeight="1" thickBot="1">
      <c r="A7" s="767" t="s">
        <v>407</v>
      </c>
      <c r="B7" s="215"/>
      <c r="C7" s="216"/>
      <c r="D7" s="217"/>
      <c r="E7" s="218"/>
      <c r="F7" s="227"/>
      <c r="G7" s="228" t="s">
        <v>11</v>
      </c>
      <c r="H7" s="229" t="s">
        <v>384</v>
      </c>
      <c r="I7" s="770" t="s">
        <v>406</v>
      </c>
      <c r="J7" s="214" t="str">
        <f>+'1'!J7</f>
        <v>F 12 VP OW</v>
      </c>
      <c r="K7" s="237">
        <f>+C34</f>
        <v>0</v>
      </c>
      <c r="L7" s="241"/>
      <c r="M7" s="117">
        <f>+K7+'1'!M7+L7</f>
        <v>0</v>
      </c>
    </row>
    <row r="8" spans="1:18" ht="13.5" thickBot="1">
      <c r="A8" s="768"/>
      <c r="B8" s="215"/>
      <c r="C8" s="216"/>
      <c r="D8" s="217"/>
      <c r="E8" s="219"/>
      <c r="F8" s="230"/>
      <c r="G8" s="231" t="s">
        <v>11</v>
      </c>
      <c r="H8" s="229" t="s">
        <v>282</v>
      </c>
      <c r="I8" s="771"/>
      <c r="J8" s="214">
        <f>+'1'!J8</f>
        <v>0</v>
      </c>
      <c r="K8" s="238"/>
      <c r="L8" s="238"/>
      <c r="M8" s="117">
        <f>+K8+'1'!M8+L8</f>
        <v>0</v>
      </c>
    </row>
    <row r="9" spans="1:18" ht="13.5" thickBot="1">
      <c r="A9" s="768"/>
      <c r="B9" s="215"/>
      <c r="C9" s="216"/>
      <c r="D9" s="217"/>
      <c r="E9" s="220"/>
      <c r="F9" s="227"/>
      <c r="G9" s="231" t="s">
        <v>11</v>
      </c>
      <c r="H9" s="232" t="s">
        <v>408</v>
      </c>
      <c r="I9" s="771"/>
      <c r="J9" s="214">
        <f>+'1'!J9</f>
        <v>0</v>
      </c>
      <c r="K9" s="238"/>
      <c r="L9" s="238"/>
      <c r="M9" s="117">
        <f>+K9+'1'!M9+L9</f>
        <v>0</v>
      </c>
    </row>
    <row r="10" spans="1:18" ht="13.5" thickBot="1">
      <c r="A10" s="768"/>
      <c r="B10" s="215"/>
      <c r="C10" s="216"/>
      <c r="D10" s="217"/>
      <c r="E10" s="219"/>
      <c r="F10" s="227"/>
      <c r="G10" s="236" t="s">
        <v>12</v>
      </c>
      <c r="H10" s="232" t="s">
        <v>414</v>
      </c>
      <c r="I10" s="771"/>
      <c r="J10" s="214">
        <f>+'1'!J10</f>
        <v>0</v>
      </c>
      <c r="K10" s="238"/>
      <c r="L10" s="238"/>
      <c r="M10" s="117">
        <f>+K10+'1'!M10+L10</f>
        <v>0</v>
      </c>
    </row>
    <row r="11" spans="1:18" ht="64.5" thickBot="1">
      <c r="A11" s="768"/>
      <c r="B11" s="215"/>
      <c r="C11" s="216"/>
      <c r="D11" s="217"/>
      <c r="E11" s="219"/>
      <c r="F11" s="230">
        <v>480</v>
      </c>
      <c r="G11" s="231" t="s">
        <v>19</v>
      </c>
      <c r="H11" s="232" t="s">
        <v>402</v>
      </c>
      <c r="I11" s="771"/>
      <c r="J11" s="214">
        <f>+'1'!J11</f>
        <v>0</v>
      </c>
      <c r="K11" s="238"/>
      <c r="L11" s="238"/>
      <c r="M11" s="117">
        <f>+K11+'1'!M11+L11</f>
        <v>0</v>
      </c>
      <c r="P11" s="176"/>
      <c r="Q11" s="176"/>
      <c r="R11" s="176"/>
    </row>
    <row r="12" spans="1:18" ht="13.5" thickBot="1">
      <c r="A12" s="768"/>
      <c r="B12" s="215"/>
      <c r="C12" s="216"/>
      <c r="D12" s="217"/>
      <c r="E12" s="219"/>
      <c r="F12" s="227"/>
      <c r="G12" s="231"/>
      <c r="H12" s="232"/>
      <c r="I12" s="771"/>
      <c r="J12" s="214">
        <f>+'1'!J12</f>
        <v>0</v>
      </c>
      <c r="K12" s="238"/>
      <c r="L12" s="238"/>
      <c r="M12" s="117">
        <f>+K12+'1'!M12+L12</f>
        <v>0</v>
      </c>
      <c r="Q12" s="176"/>
      <c r="R12" s="176"/>
    </row>
    <row r="13" spans="1:18" ht="13.5" thickBot="1">
      <c r="A13" s="768"/>
      <c r="B13" s="215"/>
      <c r="C13" s="216"/>
      <c r="D13" s="216"/>
      <c r="E13" s="219"/>
      <c r="F13" s="227"/>
      <c r="G13" s="231"/>
      <c r="H13" s="232"/>
      <c r="I13" s="772"/>
      <c r="J13" s="214">
        <f>+'1'!J13</f>
        <v>0</v>
      </c>
      <c r="K13" s="238"/>
      <c r="L13" s="238"/>
      <c r="M13" s="117">
        <f>+K13+'1'!M13+L13</f>
        <v>0</v>
      </c>
    </row>
    <row r="14" spans="1:18" ht="13.5" thickBot="1">
      <c r="A14" s="769"/>
      <c r="B14" s="165" t="s">
        <v>2</v>
      </c>
      <c r="C14" s="99">
        <f>SUM(C7:C13)</f>
        <v>0</v>
      </c>
      <c r="D14" s="111">
        <f>SUM(D7:D13)</f>
        <v>0</v>
      </c>
      <c r="E14" s="112">
        <f>SUM(E5:E13)</f>
        <v>0</v>
      </c>
      <c r="F14" s="116">
        <f>SUM(F7:F13)</f>
        <v>480</v>
      </c>
      <c r="G14" s="159"/>
      <c r="H14" s="166"/>
      <c r="I14" s="167"/>
      <c r="J14" s="214">
        <f>+'1'!J14</f>
        <v>0</v>
      </c>
      <c r="K14" s="238"/>
      <c r="L14" s="238"/>
      <c r="M14" s="117">
        <f>+K14+'1'!M14+L14</f>
        <v>0</v>
      </c>
    </row>
    <row r="15" spans="1:18" ht="13.5" customHeight="1" thickBot="1">
      <c r="A15" s="767" t="s">
        <v>388</v>
      </c>
      <c r="B15" s="165"/>
      <c r="C15" s="113" t="e">
        <f>C14/($C$23+$D$23+$E$23)</f>
        <v>#DIV/0!</v>
      </c>
      <c r="D15" s="114" t="e">
        <f>D14/($C$23+$D$23+$E$23)</f>
        <v>#DIV/0!</v>
      </c>
      <c r="E15" s="115" t="e">
        <f>E14/($C$23+$D$23+$E$23)</f>
        <v>#DIV/0!</v>
      </c>
      <c r="F15" s="227"/>
      <c r="G15" s="228" t="s">
        <v>11</v>
      </c>
      <c r="H15" s="229" t="s">
        <v>384</v>
      </c>
      <c r="I15" s="770" t="s">
        <v>406</v>
      </c>
      <c r="J15" s="214">
        <f>+'1'!J15</f>
        <v>0</v>
      </c>
      <c r="K15" s="238"/>
      <c r="L15" s="238"/>
      <c r="M15" s="117">
        <f>+K15+'1'!M15+L15</f>
        <v>0</v>
      </c>
    </row>
    <row r="16" spans="1:18" ht="13.5" thickBot="1">
      <c r="A16" s="773"/>
      <c r="B16" s="215"/>
      <c r="C16" s="221"/>
      <c r="D16" s="222"/>
      <c r="E16" s="223"/>
      <c r="F16" s="230"/>
      <c r="G16" s="231" t="s">
        <v>11</v>
      </c>
      <c r="H16" s="229" t="s">
        <v>282</v>
      </c>
      <c r="I16" s="771"/>
      <c r="J16" s="214">
        <f>+'1'!J16</f>
        <v>0</v>
      </c>
      <c r="K16" s="228"/>
      <c r="L16" s="228"/>
      <c r="M16" s="117">
        <f>+K16+'1'!M16+L16</f>
        <v>0</v>
      </c>
    </row>
    <row r="17" spans="1:18" ht="13.5" thickBot="1">
      <c r="A17" s="773"/>
      <c r="B17" s="215"/>
      <c r="C17" s="216"/>
      <c r="D17" s="217"/>
      <c r="E17" s="224"/>
      <c r="F17" s="227"/>
      <c r="G17" s="231" t="s">
        <v>11</v>
      </c>
      <c r="H17" s="232" t="s">
        <v>408</v>
      </c>
      <c r="I17" s="771"/>
      <c r="J17" s="214">
        <f>+'1'!J17</f>
        <v>0</v>
      </c>
      <c r="K17" s="228"/>
      <c r="L17" s="228"/>
      <c r="M17" s="117">
        <f>+K17+'1'!M17+L17</f>
        <v>0</v>
      </c>
    </row>
    <row r="18" spans="1:18" ht="13.5" thickBot="1">
      <c r="A18" s="773"/>
      <c r="B18" s="215"/>
      <c r="C18" s="216"/>
      <c r="D18" s="217"/>
      <c r="E18" s="224"/>
      <c r="F18" s="227"/>
      <c r="G18" s="236" t="s">
        <v>12</v>
      </c>
      <c r="H18" s="232" t="s">
        <v>414</v>
      </c>
      <c r="I18" s="771"/>
      <c r="J18" s="214">
        <f>+'1'!J18</f>
        <v>0</v>
      </c>
      <c r="K18" s="238"/>
      <c r="L18" s="238"/>
      <c r="M18" s="117">
        <f>+K18+'1'!M18+L18</f>
        <v>0</v>
      </c>
    </row>
    <row r="19" spans="1:18" ht="128.25" thickBot="1">
      <c r="A19" s="773"/>
      <c r="B19" s="215"/>
      <c r="C19" s="216"/>
      <c r="D19" s="217"/>
      <c r="E19" s="224"/>
      <c r="F19" s="230">
        <v>480</v>
      </c>
      <c r="G19" s="231" t="s">
        <v>19</v>
      </c>
      <c r="H19" s="232" t="s">
        <v>401</v>
      </c>
      <c r="I19" s="771"/>
      <c r="J19" s="214">
        <f>+'1'!J19</f>
        <v>0</v>
      </c>
      <c r="K19" s="238"/>
      <c r="L19" s="238"/>
      <c r="M19" s="117">
        <f>+K19+'1'!M19+L19</f>
        <v>0</v>
      </c>
    </row>
    <row r="20" spans="1:18" ht="13.5" thickBot="1">
      <c r="A20" s="773"/>
      <c r="B20" s="215"/>
      <c r="C20" s="216"/>
      <c r="D20" s="217"/>
      <c r="E20" s="224"/>
      <c r="F20" s="227"/>
      <c r="G20" s="231"/>
      <c r="H20" s="232"/>
      <c r="I20" s="771"/>
      <c r="J20" s="214">
        <f>+'1'!J20</f>
        <v>0</v>
      </c>
      <c r="K20" s="239"/>
      <c r="L20" s="239"/>
      <c r="M20" s="117">
        <f>+K20+'1'!M20+L20</f>
        <v>0</v>
      </c>
    </row>
    <row r="21" spans="1:18" ht="13.5" thickBot="1">
      <c r="A21" s="773"/>
      <c r="B21" s="215"/>
      <c r="C21" s="216"/>
      <c r="D21" s="217"/>
      <c r="E21" s="224"/>
      <c r="F21" s="230"/>
      <c r="G21" s="231"/>
      <c r="H21" s="232"/>
      <c r="I21" s="771"/>
      <c r="J21" s="214">
        <f>+'1'!J21</f>
        <v>0</v>
      </c>
      <c r="K21" s="238"/>
      <c r="L21" s="238"/>
      <c r="M21" s="117">
        <f>+K21+'1'!M21+L21</f>
        <v>0</v>
      </c>
    </row>
    <row r="22" spans="1:18" ht="13.5" thickBot="1">
      <c r="A22" s="773"/>
      <c r="B22" s="215"/>
      <c r="C22" s="216"/>
      <c r="D22" s="217"/>
      <c r="E22" s="224"/>
      <c r="F22" s="235"/>
      <c r="G22" s="231"/>
      <c r="H22" s="232"/>
      <c r="I22" s="772"/>
      <c r="J22" s="214">
        <f>+'1'!J22</f>
        <v>0</v>
      </c>
      <c r="K22" s="238"/>
      <c r="L22" s="238"/>
      <c r="M22" s="117">
        <f>+K22+'1'!M22+L22</f>
        <v>0</v>
      </c>
    </row>
    <row r="23" spans="1:18" ht="13.5" thickBot="1">
      <c r="A23" s="774"/>
      <c r="B23" s="168" t="s">
        <v>2</v>
      </c>
      <c r="C23" s="100">
        <f>SUM(C16:C22)</f>
        <v>0</v>
      </c>
      <c r="D23" s="111">
        <f>SUM(D16:D22)</f>
        <v>0</v>
      </c>
      <c r="E23" s="112">
        <f>SUM(E18:E22)</f>
        <v>0</v>
      </c>
      <c r="F23" s="116">
        <f>SUM(F15:F22)</f>
        <v>480</v>
      </c>
      <c r="G23" s="159"/>
      <c r="H23" s="166"/>
      <c r="I23" s="169"/>
      <c r="J23" s="214">
        <f>+'1'!J23</f>
        <v>0</v>
      </c>
      <c r="K23" s="238"/>
      <c r="L23" s="238"/>
      <c r="M23" s="117">
        <f>+K23+'1'!M23+L23</f>
        <v>0</v>
      </c>
    </row>
    <row r="24" spans="1:18" ht="13.5" customHeight="1" thickBot="1">
      <c r="A24" s="767" t="s">
        <v>389</v>
      </c>
      <c r="B24" s="170"/>
      <c r="C24" s="113" t="e">
        <f>C23/($C$23+$D$23+$E$23)</f>
        <v>#DIV/0!</v>
      </c>
      <c r="D24" s="114" t="e">
        <f>D23/($C$23+$D$23+$E$23)</f>
        <v>#DIV/0!</v>
      </c>
      <c r="E24" s="115" t="e">
        <f>E23/($C$23+$D$23+$E$23)</f>
        <v>#DIV/0!</v>
      </c>
      <c r="F24" s="227"/>
      <c r="G24" s="228" t="s">
        <v>11</v>
      </c>
      <c r="H24" s="229" t="s">
        <v>384</v>
      </c>
      <c r="I24" s="770" t="s">
        <v>406</v>
      </c>
      <c r="J24" s="214">
        <f>+'1'!J24</f>
        <v>0</v>
      </c>
      <c r="K24" s="238"/>
      <c r="L24" s="238"/>
      <c r="M24" s="117">
        <f>+K24+'1'!M24+L24</f>
        <v>0</v>
      </c>
    </row>
    <row r="25" spans="1:18" ht="13.5" thickBot="1">
      <c r="A25" s="773"/>
      <c r="B25" s="215"/>
      <c r="C25" s="225"/>
      <c r="D25" s="217"/>
      <c r="E25" s="224"/>
      <c r="F25" s="230"/>
      <c r="G25" s="231" t="s">
        <v>11</v>
      </c>
      <c r="H25" s="229" t="s">
        <v>282</v>
      </c>
      <c r="I25" s="771"/>
      <c r="J25" s="214">
        <f>+'1'!J25</f>
        <v>0</v>
      </c>
      <c r="K25" s="238"/>
      <c r="L25" s="238"/>
      <c r="M25" s="117">
        <f>+K25+'1'!M25+L25</f>
        <v>0</v>
      </c>
    </row>
    <row r="26" spans="1:18" ht="13.5" thickBot="1">
      <c r="A26" s="773"/>
      <c r="B26" s="215"/>
      <c r="C26" s="225"/>
      <c r="D26" s="217"/>
      <c r="E26" s="226"/>
      <c r="F26" s="227"/>
      <c r="G26" s="231" t="s">
        <v>11</v>
      </c>
      <c r="H26" s="232" t="s">
        <v>408</v>
      </c>
      <c r="I26" s="771"/>
      <c r="J26" s="214">
        <f>+'1'!J26</f>
        <v>0</v>
      </c>
      <c r="K26" s="238"/>
      <c r="L26" s="238"/>
      <c r="M26" s="117">
        <f>+K26+'1'!M26+L26</f>
        <v>0</v>
      </c>
    </row>
    <row r="27" spans="1:18" ht="13.5" thickBot="1">
      <c r="A27" s="773"/>
      <c r="B27" s="215"/>
      <c r="C27" s="216"/>
      <c r="D27" s="217"/>
      <c r="E27" s="224"/>
      <c r="F27" s="227"/>
      <c r="G27" s="236" t="s">
        <v>12</v>
      </c>
      <c r="H27" s="232" t="s">
        <v>414</v>
      </c>
      <c r="I27" s="771"/>
      <c r="J27" s="214">
        <f>+'1'!J27</f>
        <v>0</v>
      </c>
      <c r="K27" s="238"/>
      <c r="L27" s="238"/>
      <c r="M27" s="117">
        <f>+K27+'1'!M27+L27</f>
        <v>0</v>
      </c>
    </row>
    <row r="28" spans="1:18" ht="77.25" thickBot="1">
      <c r="A28" s="773"/>
      <c r="B28" s="215"/>
      <c r="C28" s="216"/>
      <c r="D28" s="217"/>
      <c r="E28" s="224"/>
      <c r="F28" s="230">
        <v>480</v>
      </c>
      <c r="G28" s="231" t="s">
        <v>19</v>
      </c>
      <c r="H28" s="232" t="s">
        <v>400</v>
      </c>
      <c r="I28" s="771"/>
      <c r="J28" s="214">
        <f>+'1'!J28</f>
        <v>0</v>
      </c>
      <c r="K28" s="238"/>
      <c r="L28" s="238"/>
      <c r="M28" s="117">
        <f>+K28+'1'!M28+L28</f>
        <v>0</v>
      </c>
    </row>
    <row r="29" spans="1:18" ht="13.5" thickBot="1">
      <c r="A29" s="773"/>
      <c r="B29" s="215"/>
      <c r="C29" s="216"/>
      <c r="D29" s="217"/>
      <c r="E29" s="224"/>
      <c r="F29" s="235"/>
      <c r="G29" s="231"/>
      <c r="H29" s="232"/>
      <c r="I29" s="771"/>
      <c r="J29" s="214">
        <f>+'1'!J29</f>
        <v>0</v>
      </c>
      <c r="K29" s="238"/>
      <c r="L29" s="238"/>
      <c r="M29" s="117">
        <f>+K29+'1'!M29+L29</f>
        <v>0</v>
      </c>
    </row>
    <row r="30" spans="1:18" ht="13.5" thickBot="1">
      <c r="A30" s="773"/>
      <c r="B30" s="215"/>
      <c r="C30" s="225"/>
      <c r="D30" s="217"/>
      <c r="E30" s="224"/>
      <c r="F30" s="235"/>
      <c r="G30" s="231"/>
      <c r="H30" s="232"/>
      <c r="I30" s="771"/>
      <c r="J30" s="214">
        <f>+'1'!J30</f>
        <v>0</v>
      </c>
      <c r="K30" s="238"/>
      <c r="L30" s="238"/>
      <c r="M30" s="117">
        <f>+K30+'1'!M30+L30</f>
        <v>0</v>
      </c>
    </row>
    <row r="31" spans="1:18" ht="13.5" thickBot="1">
      <c r="A31" s="773"/>
      <c r="B31" s="215"/>
      <c r="C31" s="225"/>
      <c r="D31" s="217"/>
      <c r="E31" s="224"/>
      <c r="F31" s="235"/>
      <c r="G31" s="236"/>
      <c r="H31" s="444"/>
      <c r="I31" s="772"/>
      <c r="J31" s="214">
        <f>+'1'!J31</f>
        <v>0</v>
      </c>
      <c r="K31" s="238"/>
      <c r="L31" s="238"/>
      <c r="M31" s="117">
        <f>+K31+'1'!M31+L31</f>
        <v>0</v>
      </c>
    </row>
    <row r="32" spans="1:18" ht="13.5" thickBot="1">
      <c r="A32" s="774"/>
      <c r="B32" s="165" t="s">
        <v>2</v>
      </c>
      <c r="C32" s="99">
        <f>SUM(C25:C31)</f>
        <v>0</v>
      </c>
      <c r="D32" s="100">
        <f>SUM(D25:D31)</f>
        <v>0</v>
      </c>
      <c r="E32" s="101">
        <f>SUM(E25:E31)</f>
        <v>0</v>
      </c>
      <c r="F32" s="102">
        <f>SUM(F24:F31)</f>
        <v>480</v>
      </c>
      <c r="G32" s="171"/>
      <c r="H32" s="172"/>
      <c r="I32" s="169"/>
      <c r="J32" s="214">
        <f>+'1'!J32</f>
        <v>0</v>
      </c>
      <c r="K32" s="240"/>
      <c r="L32" s="242"/>
      <c r="M32" s="117">
        <f>+K32+'1'!M32+L32</f>
        <v>0</v>
      </c>
      <c r="P32" s="176"/>
      <c r="Q32" s="176"/>
      <c r="R32" s="176"/>
    </row>
    <row r="33" spans="1:18" ht="13.5" thickBot="1">
      <c r="A33" s="173"/>
      <c r="B33" s="174"/>
      <c r="C33" s="103" t="e">
        <f>C32/($C$32+$D$32+$E$32)</f>
        <v>#DIV/0!</v>
      </c>
      <c r="D33" s="104" t="e">
        <f>D32/($C$32+$D$32+$E$32)</f>
        <v>#DIV/0!</v>
      </c>
      <c r="E33" s="105" t="e">
        <f>E32/($C$32+$D$32+$E$32)</f>
        <v>#DIV/0!</v>
      </c>
      <c r="F33" s="106"/>
      <c r="G33" s="175"/>
      <c r="H33" s="176"/>
      <c r="I33" s="177"/>
      <c r="J33" s="121"/>
      <c r="K33" s="122"/>
      <c r="L33" s="213"/>
      <c r="M33" s="119"/>
      <c r="Q33" s="176"/>
      <c r="R33" s="176"/>
    </row>
    <row r="34" spans="1:18"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8" ht="13.5" thickBot="1">
      <c r="A35" s="179"/>
      <c r="B35" s="180"/>
      <c r="C35" s="104" t="e">
        <f>C34/($C$34+$D$34+$E$34)</f>
        <v>#DIV/0!</v>
      </c>
      <c r="D35" s="104" t="e">
        <f>D34/($C$34+$D$34+$E$34)</f>
        <v>#DIV/0!</v>
      </c>
      <c r="E35" s="109" t="e">
        <f>E34/($C$34+$D$34+$E$34)</f>
        <v>#DIV/0!</v>
      </c>
      <c r="K35" s="155"/>
    </row>
    <row r="36" spans="1:18" ht="13.5" thickBot="1">
      <c r="A36" s="178"/>
      <c r="B36" s="178"/>
      <c r="C36" s="155"/>
      <c r="D36" s="155"/>
      <c r="E36" s="155"/>
      <c r="G36" s="155"/>
      <c r="H36" s="181"/>
      <c r="I36" s="162" t="s">
        <v>36</v>
      </c>
      <c r="J36" s="162" t="s">
        <v>37</v>
      </c>
      <c r="K36" s="182"/>
    </row>
    <row r="37" spans="1:18" ht="17.45" customHeight="1" thickBot="1">
      <c r="A37" s="777" t="s">
        <v>58</v>
      </c>
      <c r="B37" s="778"/>
      <c r="C37" s="162" t="s">
        <v>59</v>
      </c>
      <c r="D37" s="183" t="s">
        <v>60</v>
      </c>
      <c r="E37" s="184" t="s">
        <v>61</v>
      </c>
      <c r="F37" s="321"/>
      <c r="G37" s="323"/>
      <c r="H37" s="186" t="s">
        <v>62</v>
      </c>
      <c r="I37" s="243">
        <f>(12*672)/672*G42*2.74*672/1000000</f>
        <v>0</v>
      </c>
      <c r="J37" s="125">
        <f>+I37+'1'!J37</f>
        <v>0</v>
      </c>
      <c r="K37" s="126" t="s">
        <v>63</v>
      </c>
    </row>
    <row r="38" spans="1:18" ht="17.45" customHeight="1">
      <c r="A38" s="779" t="s">
        <v>11</v>
      </c>
      <c r="B38" s="780"/>
      <c r="C38" s="164">
        <f>SUMIF($G$7:$G$31,"Process",$F$7:$F$31)</f>
        <v>0</v>
      </c>
      <c r="D38" s="118">
        <f>+C38+'1'!D38</f>
        <v>0</v>
      </c>
      <c r="E38" s="143">
        <f t="shared" ref="E38:E51" si="0">D38/60</f>
        <v>0</v>
      </c>
      <c r="F38" s="321"/>
      <c r="G38" s="321"/>
      <c r="H38" s="187" t="s">
        <v>64</v>
      </c>
      <c r="I38" s="244"/>
      <c r="J38" s="127">
        <f>+I38+'1'!J38</f>
        <v>0</v>
      </c>
      <c r="K38" s="128" t="s">
        <v>63</v>
      </c>
    </row>
    <row r="39" spans="1:18" ht="17.45" customHeight="1">
      <c r="A39" s="781" t="s">
        <v>12</v>
      </c>
      <c r="B39" s="782"/>
      <c r="C39" s="164">
        <f>SUMIF($G$7:$G$31,"Cleaning",$F$7:$F$31)</f>
        <v>0</v>
      </c>
      <c r="D39" s="118">
        <f>+C39+'1'!D39</f>
        <v>0</v>
      </c>
      <c r="E39" s="143">
        <f t="shared" si="0"/>
        <v>0</v>
      </c>
      <c r="F39" s="321"/>
      <c r="G39" s="321"/>
      <c r="H39" s="187" t="s">
        <v>65</v>
      </c>
      <c r="I39" s="142"/>
      <c r="J39" s="129">
        <f>J37/G4</f>
        <v>0</v>
      </c>
      <c r="K39" s="130" t="s">
        <v>63</v>
      </c>
    </row>
    <row r="40" spans="1:18" ht="17.45" customHeight="1">
      <c r="A40" s="781" t="s">
        <v>66</v>
      </c>
      <c r="B40" s="782"/>
      <c r="C40" s="164">
        <f>SUMIF($G$7:$G$31,"Mechanical",$F$7:$F$31)</f>
        <v>0</v>
      </c>
      <c r="D40" s="118">
        <f>+C40+'1'!D40</f>
        <v>0</v>
      </c>
      <c r="E40" s="143">
        <f t="shared" si="0"/>
        <v>0</v>
      </c>
      <c r="F40" s="321"/>
      <c r="G40" s="321"/>
      <c r="H40" s="187" t="s">
        <v>67</v>
      </c>
      <c r="I40" s="118">
        <f>(K34+L34)/1000</f>
        <v>0</v>
      </c>
      <c r="J40" s="131">
        <f>+I40+'1'!J40</f>
        <v>0</v>
      </c>
      <c r="K40" s="130" t="s">
        <v>63</v>
      </c>
    </row>
    <row r="41" spans="1:18" ht="17.45" customHeight="1">
      <c r="A41" s="781" t="s">
        <v>68</v>
      </c>
      <c r="B41" s="782"/>
      <c r="C41" s="164">
        <f>SUMIF($G$7:$G$31,"Electrical",$F$7:$F$31)</f>
        <v>0</v>
      </c>
      <c r="D41" s="118">
        <f>+C41+'1'!D41</f>
        <v>0</v>
      </c>
      <c r="E41" s="143">
        <f t="shared" si="0"/>
        <v>0</v>
      </c>
      <c r="F41" s="321"/>
      <c r="G41" s="321"/>
      <c r="H41" s="187" t="s">
        <v>69</v>
      </c>
      <c r="I41" s="142"/>
      <c r="J41" s="129">
        <f>J40/G4</f>
        <v>0</v>
      </c>
      <c r="K41" s="130" t="s">
        <v>63</v>
      </c>
    </row>
    <row r="42" spans="1:18" ht="17.45" customHeight="1">
      <c r="A42" s="781" t="s">
        <v>15</v>
      </c>
      <c r="B42" s="782"/>
      <c r="C42" s="164">
        <f>SUMIF($G$7:$G$31,"Instrument",$F$7:$F$31)</f>
        <v>0</v>
      </c>
      <c r="D42" s="118">
        <f>+C42+'1'!D42</f>
        <v>0</v>
      </c>
      <c r="E42" s="143">
        <f t="shared" si="0"/>
        <v>0</v>
      </c>
      <c r="F42" s="321">
        <f>+(480*F38+192*F39+480*F40)/672</f>
        <v>0</v>
      </c>
      <c r="G42" s="321">
        <f>+(480*G38+192*G39+480*G40)/672</f>
        <v>0</v>
      </c>
      <c r="H42" s="187" t="s">
        <v>70</v>
      </c>
      <c r="I42" s="245"/>
      <c r="J42" s="132"/>
      <c r="K42" s="130" t="s">
        <v>71</v>
      </c>
    </row>
    <row r="43" spans="1:18" ht="17.45" customHeight="1">
      <c r="A43" s="781" t="s">
        <v>72</v>
      </c>
      <c r="B43" s="782"/>
      <c r="C43" s="164">
        <f>SUMIF($G$7:$G$31,"Water",$F$7:$F$31)</f>
        <v>0</v>
      </c>
      <c r="D43" s="118">
        <f>+C43+'1'!D43</f>
        <v>0</v>
      </c>
      <c r="E43" s="143">
        <f t="shared" si="0"/>
        <v>0</v>
      </c>
      <c r="F43" s="321"/>
      <c r="G43" s="322"/>
      <c r="H43" s="188" t="s">
        <v>73</v>
      </c>
      <c r="I43" s="118">
        <f>+Report1!Z10</f>
        <v>23.5</v>
      </c>
      <c r="J43" s="133">
        <f>+I43+'1'!J43</f>
        <v>48.8</v>
      </c>
      <c r="K43" s="130" t="s">
        <v>63</v>
      </c>
      <c r="L43" s="189"/>
    </row>
    <row r="44" spans="1:18" ht="17.45" customHeight="1">
      <c r="A44" s="781" t="s">
        <v>16</v>
      </c>
      <c r="B44" s="782"/>
      <c r="C44" s="164">
        <f>SUMIF($G$7:$G$31,"PLN",$F$7:$F$31)</f>
        <v>0</v>
      </c>
      <c r="D44" s="118">
        <f>+C44+'1'!D44</f>
        <v>0</v>
      </c>
      <c r="E44" s="143">
        <f t="shared" si="0"/>
        <v>0</v>
      </c>
      <c r="F44" s="321"/>
      <c r="G44" s="322"/>
      <c r="H44" s="188" t="s">
        <v>74</v>
      </c>
      <c r="I44" s="118" t="e">
        <f>I43/I38</f>
        <v>#DIV/0!</v>
      </c>
      <c r="J44" s="134" t="e">
        <f>J43/J38</f>
        <v>#DIV/0!</v>
      </c>
      <c r="K44" s="130" t="s">
        <v>63</v>
      </c>
    </row>
    <row r="45" spans="1:18" ht="17.45" customHeight="1">
      <c r="A45" s="781" t="s">
        <v>17</v>
      </c>
      <c r="B45" s="782"/>
      <c r="C45" s="164">
        <f>SUMIF($G$7:$G$31,"Boiler",$F$7:$F$31)</f>
        <v>0</v>
      </c>
      <c r="D45" s="118">
        <f>+C45+'1'!D45</f>
        <v>0</v>
      </c>
      <c r="E45" s="143">
        <f t="shared" si="0"/>
        <v>0</v>
      </c>
      <c r="F45" s="321"/>
      <c r="G45" s="324"/>
      <c r="H45" s="188" t="s">
        <v>75</v>
      </c>
      <c r="I45" s="118" t="e">
        <f>I43/I40</f>
        <v>#DIV/0!</v>
      </c>
      <c r="J45" s="134" t="e">
        <f>J43/J40</f>
        <v>#DIV/0!</v>
      </c>
      <c r="K45" s="130" t="s">
        <v>63</v>
      </c>
    </row>
    <row r="46" spans="1:18" ht="17.45" customHeight="1">
      <c r="A46" s="781" t="s">
        <v>76</v>
      </c>
      <c r="B46" s="782"/>
      <c r="C46" s="164">
        <f>SUMIF($G$7:$G$31,"Gas",$F$7:$F$31)</f>
        <v>0</v>
      </c>
      <c r="D46" s="118">
        <f>+C46+'1'!D46</f>
        <v>0</v>
      </c>
      <c r="E46" s="143">
        <f t="shared" si="0"/>
        <v>0</v>
      </c>
      <c r="F46" s="321"/>
      <c r="G46" s="322"/>
      <c r="H46" s="188" t="s">
        <v>77</v>
      </c>
      <c r="I46" s="140">
        <f>+SUMIF(Listrik!P9,"&gt;0")</f>
        <v>7319.7799999978179</v>
      </c>
      <c r="J46" s="135">
        <f>+I46+'1'!J46</f>
        <v>9241.0799999992742</v>
      </c>
      <c r="K46" s="130" t="s">
        <v>78</v>
      </c>
    </row>
    <row r="47" spans="1:18" ht="17.45" customHeight="1">
      <c r="A47" s="781" t="s">
        <v>79</v>
      </c>
      <c r="B47" s="782"/>
      <c r="C47" s="164">
        <f>SUMIF($G$7:$G$31,"Gas",$F$7:$F$31)</f>
        <v>0</v>
      </c>
      <c r="D47" s="118">
        <f>+C47+'1'!D47</f>
        <v>0</v>
      </c>
      <c r="E47" s="143">
        <f t="shared" si="0"/>
        <v>0</v>
      </c>
      <c r="F47" s="321"/>
      <c r="G47" s="322"/>
      <c r="H47" s="188" t="s">
        <v>80</v>
      </c>
      <c r="I47" s="118" t="e">
        <f>I46/I38</f>
        <v>#DIV/0!</v>
      </c>
      <c r="J47" s="135" t="e">
        <f>J46/J38</f>
        <v>#DIV/0!</v>
      </c>
      <c r="K47" s="130" t="s">
        <v>23</v>
      </c>
    </row>
    <row r="48" spans="1:18" ht="17.45" customHeight="1">
      <c r="A48" s="781" t="s">
        <v>13</v>
      </c>
      <c r="B48" s="782"/>
      <c r="C48" s="164">
        <f>SUMIF($G$7:$G$31,"Start Up",$F$7:$F$31)</f>
        <v>0</v>
      </c>
      <c r="D48" s="118">
        <f>+C48+'1'!D48</f>
        <v>0</v>
      </c>
      <c r="E48" s="143">
        <f t="shared" si="0"/>
        <v>0</v>
      </c>
      <c r="F48" s="321"/>
      <c r="G48" s="322"/>
      <c r="H48" s="188" t="s">
        <v>81</v>
      </c>
      <c r="I48" s="118" t="e">
        <f>I46/I40</f>
        <v>#DIV/0!</v>
      </c>
      <c r="J48" s="135" t="e">
        <f>J46/J40</f>
        <v>#DIV/0!</v>
      </c>
      <c r="K48" s="130" t="s">
        <v>23</v>
      </c>
    </row>
    <row r="49" spans="1:11" ht="17.45" customHeight="1">
      <c r="A49" s="781" t="s">
        <v>19</v>
      </c>
      <c r="B49" s="782"/>
      <c r="C49" s="164">
        <f>SUMIF($G$7:$G$31,"Others",$F$7:$F$31)</f>
        <v>1440</v>
      </c>
      <c r="D49" s="118">
        <f>+C49+'1'!D49</f>
        <v>2880</v>
      </c>
      <c r="E49" s="143">
        <f t="shared" si="0"/>
        <v>48</v>
      </c>
      <c r="F49" s="185"/>
      <c r="H49" s="188" t="s">
        <v>266</v>
      </c>
      <c r="I49" s="118">
        <f>+Report1!T10</f>
        <v>0</v>
      </c>
      <c r="J49" s="135">
        <f>+I49+'1'!J49</f>
        <v>0</v>
      </c>
      <c r="K49" s="130" t="s">
        <v>82</v>
      </c>
    </row>
    <row r="50" spans="1:11" ht="17.45" customHeight="1">
      <c r="A50" s="781" t="s">
        <v>18</v>
      </c>
      <c r="B50" s="782"/>
      <c r="C50" s="164">
        <f>SUMIF($G$7:$G$31,"Steam",$F$7:$F$31)</f>
        <v>0</v>
      </c>
      <c r="D50" s="118">
        <f>+C50+'1'!D50</f>
        <v>0</v>
      </c>
      <c r="E50" s="143">
        <f t="shared" si="0"/>
        <v>0</v>
      </c>
      <c r="F50" s="185"/>
      <c r="H50" s="188" t="s">
        <v>83</v>
      </c>
      <c r="I50" s="140">
        <v>0</v>
      </c>
      <c r="J50" s="133" t="e">
        <f>J49/J38</f>
        <v>#DIV/0!</v>
      </c>
      <c r="K50" s="130" t="s">
        <v>82</v>
      </c>
    </row>
    <row r="51" spans="1:11" ht="17.45" customHeight="1" thickBot="1">
      <c r="A51" s="783" t="s">
        <v>84</v>
      </c>
      <c r="B51" s="784"/>
      <c r="C51" s="164">
        <f>SUMIF($G$7:$G$31,"Planned shut",$F$7:$F$31)</f>
        <v>0</v>
      </c>
      <c r="D51" s="118">
        <f>+C51+'1'!D51</f>
        <v>0</v>
      </c>
      <c r="E51" s="143">
        <f t="shared" si="0"/>
        <v>0</v>
      </c>
      <c r="F51" s="185"/>
      <c r="H51" s="190" t="s">
        <v>85</v>
      </c>
      <c r="I51" s="141" t="e">
        <f>I49/I40</f>
        <v>#DIV/0!</v>
      </c>
      <c r="J51" s="136" t="e">
        <f>J49/J40</f>
        <v>#DIV/0!</v>
      </c>
      <c r="K51" s="137" t="s">
        <v>82</v>
      </c>
    </row>
    <row r="52" spans="1:11" ht="13.5" thickBot="1">
      <c r="A52" s="779" t="s">
        <v>27</v>
      </c>
      <c r="B52" s="780"/>
      <c r="C52" s="144">
        <f>SUM(C38:C51)</f>
        <v>1440</v>
      </c>
      <c r="D52" s="144">
        <f>SUM(D38:D51)</f>
        <v>2880</v>
      </c>
      <c r="E52" s="145">
        <f>SUM(E38:E51)</f>
        <v>48</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+D34+'1'!J56</f>
        <v>0</v>
      </c>
      <c r="K56" s="201" t="e">
        <f>J56/(J40+J56/1000)/1000</f>
        <v>#DIV/0!</v>
      </c>
    </row>
    <row r="57" spans="1:11">
      <c r="A57" s="176"/>
      <c r="I57" s="199" t="s">
        <v>88</v>
      </c>
      <c r="J57" s="200">
        <f>+E34+'1'!J57</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I7:I13"/>
    <mergeCell ref="I15:I22"/>
    <mergeCell ref="A7:A14"/>
    <mergeCell ref="A15:A23"/>
    <mergeCell ref="A24:A32"/>
    <mergeCell ref="I24:I31"/>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K20" sqref="A15:K23"/>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3.5703125" style="149"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42578125" style="149" bestFit="1" customWidth="1"/>
    <col min="14" max="16384" width="9.140625" style="149"/>
  </cols>
  <sheetData>
    <row r="1" spans="1:18" ht="15.75">
      <c r="A1" s="148"/>
    </row>
    <row r="2" spans="1:18" ht="15.75">
      <c r="A2" s="148" t="s">
        <v>182</v>
      </c>
    </row>
    <row r="3" spans="1:18" ht="15">
      <c r="A3" s="150"/>
    </row>
    <row r="4" spans="1:18" ht="20.25">
      <c r="A4" s="151" t="s">
        <v>3</v>
      </c>
      <c r="B4" s="152"/>
      <c r="F4" s="153" t="s">
        <v>28</v>
      </c>
      <c r="G4" s="154">
        <v>1</v>
      </c>
      <c r="H4" s="154" t="s">
        <v>398</v>
      </c>
    </row>
    <row r="5" spans="1:18" ht="13.5" thickBot="1">
      <c r="C5" s="155"/>
      <c r="D5" s="155"/>
    </row>
    <row r="6" spans="1:18"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row>
    <row r="7" spans="1:18" ht="13.5" customHeight="1" thickBot="1">
      <c r="A7" s="767" t="s">
        <v>407</v>
      </c>
      <c r="B7" s="215"/>
      <c r="C7" s="216"/>
      <c r="D7" s="217"/>
      <c r="E7" s="218"/>
      <c r="F7" s="227"/>
      <c r="G7" s="228" t="s">
        <v>11</v>
      </c>
      <c r="H7" s="229" t="s">
        <v>384</v>
      </c>
      <c r="I7" s="770" t="s">
        <v>406</v>
      </c>
      <c r="J7" s="248" t="s">
        <v>387</v>
      </c>
      <c r="K7" s="237">
        <f>+C34</f>
        <v>0</v>
      </c>
      <c r="L7" s="241"/>
      <c r="M7" s="117">
        <f>+K7+L7</f>
        <v>0</v>
      </c>
    </row>
    <row r="8" spans="1:18" ht="13.5" thickBot="1">
      <c r="A8" s="768"/>
      <c r="B8" s="215"/>
      <c r="C8" s="216"/>
      <c r="D8" s="217"/>
      <c r="E8" s="219"/>
      <c r="F8" s="230"/>
      <c r="G8" s="231" t="s">
        <v>11</v>
      </c>
      <c r="H8" s="229" t="s">
        <v>282</v>
      </c>
      <c r="I8" s="771"/>
      <c r="J8" s="249"/>
      <c r="K8" s="510"/>
      <c r="L8" s="238"/>
      <c r="M8" s="117">
        <f t="shared" ref="M8:M32" si="0">+K8+L8</f>
        <v>0</v>
      </c>
    </row>
    <row r="9" spans="1:18" ht="13.5" thickBot="1">
      <c r="A9" s="768"/>
      <c r="B9" s="215"/>
      <c r="C9" s="216"/>
      <c r="D9" s="217"/>
      <c r="E9" s="220"/>
      <c r="F9" s="227"/>
      <c r="G9" s="231" t="s">
        <v>11</v>
      </c>
      <c r="H9" s="232" t="s">
        <v>408</v>
      </c>
      <c r="I9" s="771"/>
      <c r="J9" s="249"/>
      <c r="K9" s="238"/>
      <c r="L9" s="238"/>
      <c r="M9" s="117">
        <f t="shared" si="0"/>
        <v>0</v>
      </c>
    </row>
    <row r="10" spans="1:18" ht="13.5" thickBot="1">
      <c r="A10" s="768"/>
      <c r="B10" s="215"/>
      <c r="C10" s="216"/>
      <c r="D10" s="217"/>
      <c r="E10" s="219"/>
      <c r="F10" s="227"/>
      <c r="G10" s="236" t="s">
        <v>12</v>
      </c>
      <c r="H10" s="232" t="s">
        <v>414</v>
      </c>
      <c r="I10" s="771"/>
      <c r="J10" s="248"/>
      <c r="K10" s="238"/>
      <c r="L10" s="238"/>
      <c r="M10" s="117">
        <f t="shared" si="0"/>
        <v>0</v>
      </c>
    </row>
    <row r="11" spans="1:18" ht="77.25" thickBot="1">
      <c r="A11" s="768"/>
      <c r="B11" s="215"/>
      <c r="C11" s="216"/>
      <c r="D11" s="217"/>
      <c r="E11" s="219"/>
      <c r="F11" s="230">
        <v>480</v>
      </c>
      <c r="G11" s="231" t="s">
        <v>19</v>
      </c>
      <c r="H11" s="232" t="s">
        <v>405</v>
      </c>
      <c r="I11" s="771"/>
      <c r="J11" s="248"/>
      <c r="K11" s="238"/>
      <c r="L11" s="238"/>
      <c r="M11" s="117">
        <f t="shared" si="0"/>
        <v>0</v>
      </c>
    </row>
    <row r="12" spans="1:18" ht="13.5" thickBot="1">
      <c r="A12" s="768"/>
      <c r="B12" s="215"/>
      <c r="C12" s="216"/>
      <c r="D12" s="217"/>
      <c r="E12" s="219"/>
      <c r="F12" s="227"/>
      <c r="G12" s="231"/>
      <c r="H12" s="232"/>
      <c r="I12" s="771"/>
      <c r="J12" s="248"/>
      <c r="K12" s="238"/>
      <c r="L12" s="238"/>
      <c r="M12" s="117">
        <f t="shared" si="0"/>
        <v>0</v>
      </c>
    </row>
    <row r="13" spans="1:18" ht="13.5" thickBot="1">
      <c r="A13" s="768"/>
      <c r="B13" s="215"/>
      <c r="C13" s="216"/>
      <c r="D13" s="216"/>
      <c r="E13" s="219"/>
      <c r="F13" s="227"/>
      <c r="G13" s="231"/>
      <c r="H13" s="232"/>
      <c r="I13" s="772"/>
      <c r="J13" s="248"/>
      <c r="K13" s="238"/>
      <c r="L13" s="238"/>
      <c r="M13" s="117">
        <f t="shared" si="0"/>
        <v>0</v>
      </c>
    </row>
    <row r="14" spans="1:18" ht="13.5" thickBot="1">
      <c r="A14" s="769"/>
      <c r="B14" s="165" t="s">
        <v>2</v>
      </c>
      <c r="C14" s="99">
        <f>SUM(C7:C13)</f>
        <v>0</v>
      </c>
      <c r="D14" s="111">
        <f>SUM(D7:D13)</f>
        <v>0</v>
      </c>
      <c r="E14" s="112">
        <f>SUM(E5:E13)</f>
        <v>0</v>
      </c>
      <c r="F14" s="116">
        <f>SUM(F7:F13)</f>
        <v>480</v>
      </c>
      <c r="G14" s="159"/>
      <c r="H14" s="166"/>
      <c r="I14" s="167"/>
      <c r="J14" s="248"/>
      <c r="K14" s="238"/>
      <c r="L14" s="238"/>
      <c r="M14" s="117">
        <f t="shared" si="0"/>
        <v>0</v>
      </c>
      <c r="P14" s="176"/>
      <c r="Q14" s="176"/>
      <c r="R14" s="176"/>
    </row>
    <row r="15" spans="1:18" ht="13.5" customHeight="1" thickBot="1">
      <c r="A15" s="767" t="s">
        <v>388</v>
      </c>
      <c r="B15" s="165"/>
      <c r="C15" s="113" t="e">
        <f>C14/($C$23+$D$23+$E$23)</f>
        <v>#DIV/0!</v>
      </c>
      <c r="D15" s="114" t="e">
        <f>D14/($C$23+$D$23+$E$23)</f>
        <v>#DIV/0!</v>
      </c>
      <c r="E15" s="115" t="e">
        <f>E14/($C$23+$D$23+$E$23)</f>
        <v>#DIV/0!</v>
      </c>
      <c r="F15" s="227"/>
      <c r="G15" s="228" t="s">
        <v>11</v>
      </c>
      <c r="H15" s="229" t="s">
        <v>384</v>
      </c>
      <c r="I15" s="770" t="s">
        <v>406</v>
      </c>
      <c r="J15" s="248"/>
      <c r="K15" s="238"/>
      <c r="L15" s="238"/>
      <c r="M15" s="117">
        <f t="shared" si="0"/>
        <v>0</v>
      </c>
      <c r="Q15" s="176"/>
      <c r="R15" s="176"/>
    </row>
    <row r="16" spans="1:18" ht="13.5" thickBot="1">
      <c r="A16" s="773"/>
      <c r="B16" s="215"/>
      <c r="C16" s="221"/>
      <c r="D16" s="222"/>
      <c r="E16" s="223"/>
      <c r="F16" s="230"/>
      <c r="G16" s="231" t="s">
        <v>11</v>
      </c>
      <c r="H16" s="229" t="s">
        <v>282</v>
      </c>
      <c r="I16" s="771"/>
      <c r="J16" s="248"/>
      <c r="K16" s="228"/>
      <c r="L16" s="228"/>
      <c r="M16" s="117">
        <f t="shared" si="0"/>
        <v>0</v>
      </c>
    </row>
    <row r="17" spans="1:13" ht="13.5" thickBot="1">
      <c r="A17" s="773"/>
      <c r="B17" s="215"/>
      <c r="C17" s="216"/>
      <c r="D17" s="217"/>
      <c r="E17" s="224"/>
      <c r="F17" s="227"/>
      <c r="G17" s="231" t="s">
        <v>11</v>
      </c>
      <c r="H17" s="232" t="s">
        <v>408</v>
      </c>
      <c r="I17" s="771"/>
      <c r="J17" s="248"/>
      <c r="K17" s="228"/>
      <c r="L17" s="228"/>
      <c r="M17" s="117">
        <f t="shared" si="0"/>
        <v>0</v>
      </c>
    </row>
    <row r="18" spans="1:13" ht="13.5" thickBot="1">
      <c r="A18" s="773"/>
      <c r="B18" s="215"/>
      <c r="C18" s="216"/>
      <c r="D18" s="217"/>
      <c r="E18" s="224"/>
      <c r="F18" s="227"/>
      <c r="G18" s="236" t="s">
        <v>12</v>
      </c>
      <c r="H18" s="232" t="s">
        <v>414</v>
      </c>
      <c r="I18" s="771"/>
      <c r="J18" s="248"/>
      <c r="K18" s="238"/>
      <c r="L18" s="238"/>
      <c r="M18" s="117">
        <f t="shared" si="0"/>
        <v>0</v>
      </c>
    </row>
    <row r="19" spans="1:13" ht="115.5" thickBot="1">
      <c r="A19" s="773"/>
      <c r="B19" s="215"/>
      <c r="C19" s="216"/>
      <c r="D19" s="217"/>
      <c r="E19" s="224"/>
      <c r="F19" s="230">
        <v>480</v>
      </c>
      <c r="G19" s="231" t="s">
        <v>19</v>
      </c>
      <c r="H19" s="232" t="s">
        <v>404</v>
      </c>
      <c r="I19" s="771"/>
      <c r="J19" s="248"/>
      <c r="K19" s="238"/>
      <c r="L19" s="238"/>
      <c r="M19" s="117">
        <f t="shared" si="0"/>
        <v>0</v>
      </c>
    </row>
    <row r="20" spans="1:13" ht="13.5" thickBot="1">
      <c r="A20" s="773"/>
      <c r="B20" s="215"/>
      <c r="C20" s="216"/>
      <c r="D20" s="217"/>
      <c r="E20" s="224"/>
      <c r="F20" s="227"/>
      <c r="G20" s="231"/>
      <c r="H20" s="232"/>
      <c r="I20" s="771"/>
      <c r="J20" s="248"/>
      <c r="K20" s="239"/>
      <c r="L20" s="239"/>
      <c r="M20" s="117">
        <f t="shared" si="0"/>
        <v>0</v>
      </c>
    </row>
    <row r="21" spans="1:13" ht="13.5" thickBot="1">
      <c r="A21" s="773"/>
      <c r="B21" s="215"/>
      <c r="C21" s="216"/>
      <c r="D21" s="217"/>
      <c r="E21" s="224"/>
      <c r="F21" s="230"/>
      <c r="G21" s="231"/>
      <c r="H21" s="232"/>
      <c r="I21" s="771"/>
      <c r="J21" s="248"/>
      <c r="K21" s="238"/>
      <c r="L21" s="238"/>
      <c r="M21" s="117">
        <f t="shared" si="0"/>
        <v>0</v>
      </c>
    </row>
    <row r="22" spans="1:13" ht="13.5" thickBot="1">
      <c r="A22" s="773"/>
      <c r="B22" s="215"/>
      <c r="C22" s="216"/>
      <c r="D22" s="217"/>
      <c r="E22" s="224"/>
      <c r="F22" s="235"/>
      <c r="G22" s="231"/>
      <c r="H22" s="232"/>
      <c r="I22" s="772"/>
      <c r="J22" s="248"/>
      <c r="K22" s="238"/>
      <c r="L22" s="238"/>
      <c r="M22" s="117">
        <f t="shared" si="0"/>
        <v>0</v>
      </c>
    </row>
    <row r="23" spans="1:13" ht="13.5" thickBot="1">
      <c r="A23" s="774"/>
      <c r="B23" s="168" t="s">
        <v>2</v>
      </c>
      <c r="C23" s="100">
        <f>SUM(C16:C22)</f>
        <v>0</v>
      </c>
      <c r="D23" s="111">
        <f>SUM(D16:D22)</f>
        <v>0</v>
      </c>
      <c r="E23" s="112">
        <f>SUM(E18:E22)</f>
        <v>0</v>
      </c>
      <c r="F23" s="116">
        <f>SUM(F15:F22)</f>
        <v>480</v>
      </c>
      <c r="G23" s="159"/>
      <c r="H23" s="166"/>
      <c r="I23" s="169"/>
      <c r="J23" s="248"/>
      <c r="K23" s="238"/>
      <c r="L23" s="238"/>
      <c r="M23" s="117">
        <f t="shared" si="0"/>
        <v>0</v>
      </c>
    </row>
    <row r="24" spans="1:13" ht="13.5" customHeight="1" thickBot="1">
      <c r="A24" s="767" t="s">
        <v>389</v>
      </c>
      <c r="B24" s="170"/>
      <c r="C24" s="113" t="e">
        <f>C23/($C$23+$D$23+$E$23)</f>
        <v>#DIV/0!</v>
      </c>
      <c r="D24" s="114" t="e">
        <f>D23/($C$23+$D$23+$E$23)</f>
        <v>#DIV/0!</v>
      </c>
      <c r="E24" s="115" t="e">
        <f>E23/($C$23+$D$23+$E$23)</f>
        <v>#DIV/0!</v>
      </c>
      <c r="F24" s="227"/>
      <c r="G24" s="228" t="s">
        <v>11</v>
      </c>
      <c r="H24" s="229" t="s">
        <v>384</v>
      </c>
      <c r="I24" s="770" t="s">
        <v>406</v>
      </c>
      <c r="J24" s="248"/>
      <c r="K24" s="238"/>
      <c r="L24" s="238"/>
      <c r="M24" s="117">
        <f t="shared" si="0"/>
        <v>0</v>
      </c>
    </row>
    <row r="25" spans="1:13" ht="13.5" thickBot="1">
      <c r="A25" s="773"/>
      <c r="B25" s="215"/>
      <c r="C25" s="225"/>
      <c r="D25" s="217"/>
      <c r="E25" s="224"/>
      <c r="F25" s="230"/>
      <c r="G25" s="231" t="s">
        <v>11</v>
      </c>
      <c r="H25" s="229" t="s">
        <v>282</v>
      </c>
      <c r="I25" s="771"/>
      <c r="J25" s="248"/>
      <c r="K25" s="238"/>
      <c r="L25" s="238"/>
      <c r="M25" s="117">
        <f t="shared" si="0"/>
        <v>0</v>
      </c>
    </row>
    <row r="26" spans="1:13" ht="13.5" thickBot="1">
      <c r="A26" s="773"/>
      <c r="B26" s="215"/>
      <c r="C26" s="225"/>
      <c r="D26" s="217"/>
      <c r="E26" s="226"/>
      <c r="F26" s="227"/>
      <c r="G26" s="231" t="s">
        <v>11</v>
      </c>
      <c r="H26" s="232" t="s">
        <v>408</v>
      </c>
      <c r="I26" s="771"/>
      <c r="J26" s="248"/>
      <c r="K26" s="238"/>
      <c r="L26" s="238"/>
      <c r="M26" s="117">
        <f t="shared" si="0"/>
        <v>0</v>
      </c>
    </row>
    <row r="27" spans="1:13" ht="13.5" thickBot="1">
      <c r="A27" s="773"/>
      <c r="B27" s="215"/>
      <c r="C27" s="216"/>
      <c r="D27" s="217"/>
      <c r="E27" s="224"/>
      <c r="F27" s="227"/>
      <c r="G27" s="236" t="s">
        <v>12</v>
      </c>
      <c r="H27" s="232" t="s">
        <v>414</v>
      </c>
      <c r="I27" s="771"/>
      <c r="J27" s="248"/>
      <c r="K27" s="238"/>
      <c r="L27" s="238"/>
      <c r="M27" s="117">
        <f t="shared" si="0"/>
        <v>0</v>
      </c>
    </row>
    <row r="28" spans="1:13" ht="64.5" thickBot="1">
      <c r="A28" s="773"/>
      <c r="B28" s="215"/>
      <c r="C28" s="216"/>
      <c r="D28" s="217"/>
      <c r="E28" s="224"/>
      <c r="F28" s="230">
        <v>480</v>
      </c>
      <c r="G28" s="231" t="s">
        <v>19</v>
      </c>
      <c r="H28" s="232" t="s">
        <v>403</v>
      </c>
      <c r="I28" s="771"/>
      <c r="J28" s="248"/>
      <c r="K28" s="238"/>
      <c r="L28" s="238"/>
      <c r="M28" s="117">
        <f t="shared" si="0"/>
        <v>0</v>
      </c>
    </row>
    <row r="29" spans="1:13" ht="13.5" thickBot="1">
      <c r="A29" s="773"/>
      <c r="B29" s="215"/>
      <c r="C29" s="216"/>
      <c r="D29" s="217"/>
      <c r="E29" s="224"/>
      <c r="F29" s="235"/>
      <c r="G29" s="231"/>
      <c r="H29" s="232"/>
      <c r="I29" s="771"/>
      <c r="J29" s="248"/>
      <c r="K29" s="238"/>
      <c r="L29" s="238"/>
      <c r="M29" s="117">
        <f t="shared" si="0"/>
        <v>0</v>
      </c>
    </row>
    <row r="30" spans="1:13" ht="13.5" thickBot="1">
      <c r="A30" s="773"/>
      <c r="B30" s="215"/>
      <c r="C30" s="225"/>
      <c r="D30" s="217"/>
      <c r="E30" s="224"/>
      <c r="F30" s="235"/>
      <c r="G30" s="231"/>
      <c r="H30" s="232"/>
      <c r="I30" s="771"/>
      <c r="J30" s="248"/>
      <c r="K30" s="238"/>
      <c r="L30" s="238"/>
      <c r="M30" s="117">
        <f t="shared" si="0"/>
        <v>0</v>
      </c>
    </row>
    <row r="31" spans="1:13" ht="13.5" thickBot="1">
      <c r="A31" s="773"/>
      <c r="B31" s="215"/>
      <c r="C31" s="225"/>
      <c r="D31" s="217"/>
      <c r="E31" s="224"/>
      <c r="F31" s="235"/>
      <c r="G31" s="236"/>
      <c r="H31" s="444"/>
      <c r="I31" s="772"/>
      <c r="J31" s="248"/>
      <c r="K31" s="238"/>
      <c r="L31" s="238"/>
      <c r="M31" s="117">
        <f t="shared" si="0"/>
        <v>0</v>
      </c>
    </row>
    <row r="32" spans="1:13" ht="13.5" thickBot="1">
      <c r="A32" s="774"/>
      <c r="B32" s="165" t="s">
        <v>2</v>
      </c>
      <c r="C32" s="99">
        <f>SUM(C25:C31)</f>
        <v>0</v>
      </c>
      <c r="D32" s="100">
        <f>SUM(D25:D31)</f>
        <v>0</v>
      </c>
      <c r="E32" s="101">
        <f>SUM(E25:E31)</f>
        <v>0</v>
      </c>
      <c r="F32" s="102">
        <f>SUM(F24:F31)</f>
        <v>480</v>
      </c>
      <c r="G32" s="171"/>
      <c r="H32" s="172"/>
      <c r="I32" s="169"/>
      <c r="J32" s="250"/>
      <c r="K32" s="240"/>
      <c r="L32" s="242"/>
      <c r="M32" s="117">
        <f t="shared" si="0"/>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75" t="s">
        <v>57</v>
      </c>
      <c r="B34" s="776"/>
      <c r="C34" s="107">
        <f>C14+C23+C32</f>
        <v>0</v>
      </c>
      <c r="D34" s="107">
        <f>D14+D23+D32</f>
        <v>0</v>
      </c>
      <c r="E34" s="107">
        <f>E14+E23+E32</f>
        <v>0</v>
      </c>
      <c r="F34" s="108">
        <f>F14+F23+F32</f>
        <v>1440</v>
      </c>
      <c r="H34" s="178"/>
      <c r="I34" s="178"/>
      <c r="J34" s="123" t="s">
        <v>27</v>
      </c>
      <c r="K34" s="124">
        <f>SUM(K7:K32)</f>
        <v>0</v>
      </c>
      <c r="L34" s="212">
        <f>SUM(L7:L32)</f>
        <v>0</v>
      </c>
      <c r="M34" s="120">
        <f>SUM(M7:M32)</f>
        <v>0</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36</v>
      </c>
      <c r="J36" s="162" t="s">
        <v>37</v>
      </c>
      <c r="K36" s="182"/>
    </row>
    <row r="37" spans="1:13" ht="17.45" customHeight="1" thickBot="1">
      <c r="A37" s="777" t="s">
        <v>58</v>
      </c>
      <c r="B37" s="778"/>
      <c r="C37" s="162" t="s">
        <v>59</v>
      </c>
      <c r="D37" s="183" t="s">
        <v>60</v>
      </c>
      <c r="E37" s="184" t="s">
        <v>61</v>
      </c>
      <c r="F37" s="185"/>
      <c r="G37" s="155"/>
      <c r="H37" s="186" t="s">
        <v>62</v>
      </c>
      <c r="I37" s="243">
        <f>(12*1440)/1440*G42*2.74*1440/1000000</f>
        <v>0</v>
      </c>
      <c r="J37" s="125">
        <f>I37</f>
        <v>0</v>
      </c>
      <c r="K37" s="126" t="s">
        <v>63</v>
      </c>
    </row>
    <row r="38" spans="1:13" ht="17.45" customHeight="1">
      <c r="A38" s="779" t="s">
        <v>11</v>
      </c>
      <c r="B38" s="780"/>
      <c r="C38" s="164">
        <f>SUMIF($G$7:$G$31,"Process",$F$7:$F$31)</f>
        <v>0</v>
      </c>
      <c r="D38" s="118">
        <f>C38</f>
        <v>0</v>
      </c>
      <c r="E38" s="143">
        <f t="shared" ref="E38:E51" si="1">D38/60</f>
        <v>0</v>
      </c>
      <c r="F38" s="185"/>
      <c r="G38" s="185"/>
      <c r="H38" s="187" t="s">
        <v>64</v>
      </c>
      <c r="I38" s="244"/>
      <c r="J38" s="127">
        <f>I38</f>
        <v>0</v>
      </c>
      <c r="K38" s="128" t="s">
        <v>63</v>
      </c>
    </row>
    <row r="39" spans="1:13" ht="17.45" customHeight="1">
      <c r="A39" s="781" t="s">
        <v>12</v>
      </c>
      <c r="B39" s="782"/>
      <c r="C39" s="164">
        <f>SUMIF($G$7:$G$31,"Cleaning",$F$7:$F$31)</f>
        <v>0</v>
      </c>
      <c r="D39" s="118">
        <f>C39</f>
        <v>0</v>
      </c>
      <c r="E39" s="143">
        <f t="shared" si="1"/>
        <v>0</v>
      </c>
      <c r="F39" s="185"/>
      <c r="G39" s="185"/>
      <c r="H39" s="187" t="s">
        <v>65</v>
      </c>
      <c r="I39" s="142"/>
      <c r="J39" s="129">
        <f>J37/G4</f>
        <v>0</v>
      </c>
      <c r="K39" s="130" t="s">
        <v>63</v>
      </c>
    </row>
    <row r="40" spans="1:13" ht="17.45" customHeight="1">
      <c r="A40" s="781" t="s">
        <v>66</v>
      </c>
      <c r="B40" s="782"/>
      <c r="C40" s="164">
        <f>SUMIF($G$7:$G$31,"Mechanical",$F$7:$F$31)</f>
        <v>0</v>
      </c>
      <c r="D40" s="118">
        <f t="shared" ref="D40:D51" si="2">C40</f>
        <v>0</v>
      </c>
      <c r="E40" s="143">
        <f t="shared" si="1"/>
        <v>0</v>
      </c>
      <c r="F40" s="185"/>
      <c r="G40" s="185"/>
      <c r="H40" s="187" t="s">
        <v>67</v>
      </c>
      <c r="I40" s="118">
        <f>(K34+L34)/1000</f>
        <v>0</v>
      </c>
      <c r="J40" s="131">
        <f>M34/1000</f>
        <v>0</v>
      </c>
      <c r="K40" s="130" t="s">
        <v>63</v>
      </c>
    </row>
    <row r="41" spans="1:13" ht="17.45" customHeight="1">
      <c r="A41" s="781" t="s">
        <v>68</v>
      </c>
      <c r="B41" s="782"/>
      <c r="C41" s="164">
        <f>SUMIF($G$7:$G$31,"Electrical",$F$7:$F$31)</f>
        <v>0</v>
      </c>
      <c r="D41" s="118">
        <f t="shared" si="2"/>
        <v>0</v>
      </c>
      <c r="E41" s="143">
        <f t="shared" si="1"/>
        <v>0</v>
      </c>
      <c r="F41" s="185"/>
      <c r="G41" s="185"/>
      <c r="H41" s="187" t="s">
        <v>69</v>
      </c>
      <c r="I41" s="142"/>
      <c r="J41" s="129">
        <f>J40/G4</f>
        <v>0</v>
      </c>
      <c r="K41" s="130" t="s">
        <v>63</v>
      </c>
    </row>
    <row r="42" spans="1:13" ht="17.45" customHeight="1">
      <c r="A42" s="781" t="s">
        <v>15</v>
      </c>
      <c r="B42" s="782"/>
      <c r="C42" s="164">
        <f>SUMIF($G$7:$G$31,"Instrument",$F$7:$F$31)</f>
        <v>0</v>
      </c>
      <c r="D42" s="118">
        <f t="shared" si="2"/>
        <v>0</v>
      </c>
      <c r="E42" s="143">
        <f t="shared" si="1"/>
        <v>0</v>
      </c>
      <c r="F42" s="321">
        <f>+(480*F38+480*F39+460*F40)/1420</f>
        <v>0</v>
      </c>
      <c r="G42" s="321">
        <f>+(480*G38+480*G39+460*G40)/1420</f>
        <v>0</v>
      </c>
      <c r="H42" s="187" t="s">
        <v>70</v>
      </c>
      <c r="I42" s="245"/>
      <c r="J42" s="132"/>
      <c r="K42" s="130" t="s">
        <v>71</v>
      </c>
    </row>
    <row r="43" spans="1:13" ht="17.45" customHeight="1">
      <c r="A43" s="781" t="s">
        <v>219</v>
      </c>
      <c r="B43" s="782"/>
      <c r="C43" s="164">
        <f>SUMIF($G$7:$G$31,"Change Grade",$F$7:$F$31)</f>
        <v>0</v>
      </c>
      <c r="D43" s="118">
        <f t="shared" si="2"/>
        <v>0</v>
      </c>
      <c r="E43" s="143">
        <f t="shared" si="1"/>
        <v>0</v>
      </c>
      <c r="F43" s="185"/>
      <c r="H43" s="188" t="s">
        <v>73</v>
      </c>
      <c r="I43" s="118">
        <f>+Report1!Z9</f>
        <v>25.3</v>
      </c>
      <c r="J43" s="133">
        <f>I43</f>
        <v>25.3</v>
      </c>
      <c r="K43" s="130" t="s">
        <v>63</v>
      </c>
      <c r="L43" s="189"/>
    </row>
    <row r="44" spans="1:13" ht="17.45" customHeight="1">
      <c r="A44" s="781" t="s">
        <v>16</v>
      </c>
      <c r="B44" s="782"/>
      <c r="C44" s="164">
        <f>SUMIF($G$7:$G$31,"PLN",$F$7:$F$31)</f>
        <v>0</v>
      </c>
      <c r="D44" s="118">
        <f>C44</f>
        <v>0</v>
      </c>
      <c r="E44" s="143">
        <f t="shared" si="1"/>
        <v>0</v>
      </c>
      <c r="F44" s="185"/>
      <c r="H44" s="188" t="s">
        <v>74</v>
      </c>
      <c r="I44" s="118" t="e">
        <f>I43/I38</f>
        <v>#DIV/0!</v>
      </c>
      <c r="J44" s="134" t="e">
        <f>J43/J38</f>
        <v>#DIV/0!</v>
      </c>
      <c r="K44" s="130" t="s">
        <v>63</v>
      </c>
    </row>
    <row r="45" spans="1:13" ht="17.45" customHeight="1">
      <c r="A45" s="781" t="s">
        <v>17</v>
      </c>
      <c r="B45" s="782"/>
      <c r="C45" s="164">
        <f>SUMIF($G$7:$G$31,"Boiler",$F$7:$F$31)</f>
        <v>0</v>
      </c>
      <c r="D45" s="118">
        <f t="shared" si="2"/>
        <v>0</v>
      </c>
      <c r="E45" s="143">
        <f t="shared" si="1"/>
        <v>0</v>
      </c>
      <c r="F45" s="185"/>
      <c r="G45" s="176"/>
      <c r="H45" s="188" t="s">
        <v>75</v>
      </c>
      <c r="I45" s="118" t="e">
        <f>I43/I40</f>
        <v>#DIV/0!</v>
      </c>
      <c r="J45" s="134" t="e">
        <f>J43/J40</f>
        <v>#DIV/0!</v>
      </c>
      <c r="K45" s="130" t="s">
        <v>63</v>
      </c>
    </row>
    <row r="46" spans="1:13" ht="17.45" customHeight="1">
      <c r="A46" s="781" t="s">
        <v>76</v>
      </c>
      <c r="B46" s="782"/>
      <c r="C46" s="164">
        <f>SUMIF($G$7:$G$31,"Gas",$F$7:$F$31)</f>
        <v>0</v>
      </c>
      <c r="D46" s="118">
        <f t="shared" si="2"/>
        <v>0</v>
      </c>
      <c r="E46" s="143">
        <f t="shared" si="1"/>
        <v>0</v>
      </c>
      <c r="F46" s="185"/>
      <c r="H46" s="188" t="s">
        <v>77</v>
      </c>
      <c r="I46" s="140">
        <f>+SUMIF(Listrik!P8,"&gt;0")</f>
        <v>1921.3000000014554</v>
      </c>
      <c r="J46" s="135">
        <f>I46</f>
        <v>1921.3000000014554</v>
      </c>
      <c r="K46" s="130" t="s">
        <v>78</v>
      </c>
    </row>
    <row r="47" spans="1:13" ht="17.45" customHeight="1">
      <c r="A47" s="781" t="s">
        <v>79</v>
      </c>
      <c r="B47" s="782"/>
      <c r="C47" s="164">
        <f>SUMIF($G$7:$G$31,"Gas",$F$7:$F$31)</f>
        <v>0</v>
      </c>
      <c r="D47" s="118">
        <f t="shared" si="2"/>
        <v>0</v>
      </c>
      <c r="E47" s="143">
        <f t="shared" si="1"/>
        <v>0</v>
      </c>
      <c r="F47" s="185"/>
      <c r="H47" s="188" t="s">
        <v>80</v>
      </c>
      <c r="I47" s="118" t="e">
        <f>I46/I38</f>
        <v>#DIV/0!</v>
      </c>
      <c r="J47" s="135" t="e">
        <f>J46/J38</f>
        <v>#DIV/0!</v>
      </c>
      <c r="K47" s="130" t="s">
        <v>23</v>
      </c>
    </row>
    <row r="48" spans="1:13" ht="17.45" customHeight="1">
      <c r="A48" s="781" t="s">
        <v>13</v>
      </c>
      <c r="B48" s="782"/>
      <c r="C48" s="164">
        <f>SUMIF($G$7:$G$31,"Start Up",$F$7:$F$31)</f>
        <v>0</v>
      </c>
      <c r="D48" s="118">
        <f t="shared" si="2"/>
        <v>0</v>
      </c>
      <c r="E48" s="143">
        <f t="shared" si="1"/>
        <v>0</v>
      </c>
      <c r="F48" s="185"/>
      <c r="H48" s="188" t="s">
        <v>81</v>
      </c>
      <c r="I48" s="118" t="e">
        <f>I46/I40</f>
        <v>#DIV/0!</v>
      </c>
      <c r="J48" s="135" t="e">
        <f>J46/J40</f>
        <v>#DIV/0!</v>
      </c>
      <c r="K48" s="130" t="s">
        <v>23</v>
      </c>
    </row>
    <row r="49" spans="1:11" ht="17.45" customHeight="1">
      <c r="A49" s="781" t="s">
        <v>19</v>
      </c>
      <c r="B49" s="782"/>
      <c r="C49" s="164">
        <f>SUMIF($G$7:$G$31,"Others",$F$7:$F$31)</f>
        <v>1440</v>
      </c>
      <c r="D49" s="118">
        <f t="shared" si="2"/>
        <v>1440</v>
      </c>
      <c r="E49" s="143">
        <f t="shared" si="1"/>
        <v>24</v>
      </c>
      <c r="F49" s="185"/>
      <c r="H49" s="188" t="s">
        <v>266</v>
      </c>
      <c r="I49" s="118">
        <f>+Report1!T9</f>
        <v>0</v>
      </c>
      <c r="J49" s="135">
        <f>I49</f>
        <v>0</v>
      </c>
      <c r="K49" s="130" t="s">
        <v>82</v>
      </c>
    </row>
    <row r="50" spans="1:11" ht="17.45" customHeight="1">
      <c r="A50" s="781" t="s">
        <v>18</v>
      </c>
      <c r="B50" s="782"/>
      <c r="C50" s="164">
        <f>SUMIF($G$7:$G$31,"Steam",$F$7:$F$31)</f>
        <v>0</v>
      </c>
      <c r="D50" s="118">
        <f t="shared" si="2"/>
        <v>0</v>
      </c>
      <c r="E50" s="143">
        <f t="shared" si="1"/>
        <v>0</v>
      </c>
      <c r="F50" s="185"/>
      <c r="H50" s="188" t="s">
        <v>83</v>
      </c>
      <c r="I50" s="140" t="e">
        <f>I49/I38</f>
        <v>#DIV/0!</v>
      </c>
      <c r="J50" s="133" t="e">
        <f>J49/J38</f>
        <v>#DIV/0!</v>
      </c>
      <c r="K50" s="130" t="s">
        <v>82</v>
      </c>
    </row>
    <row r="51" spans="1:11" ht="17.45" customHeight="1" thickBot="1">
      <c r="A51" s="783" t="s">
        <v>84</v>
      </c>
      <c r="B51" s="784"/>
      <c r="C51" s="164">
        <f>SUMIF($G$7:$G$31,"Planned shut",$F$7:$F$31)</f>
        <v>0</v>
      </c>
      <c r="D51" s="118">
        <f t="shared" si="2"/>
        <v>0</v>
      </c>
      <c r="E51" s="143">
        <f t="shared" si="1"/>
        <v>0</v>
      </c>
      <c r="F51" s="185"/>
      <c r="H51" s="190" t="s">
        <v>85</v>
      </c>
      <c r="I51" s="141" t="e">
        <f>I49/I40</f>
        <v>#DIV/0!</v>
      </c>
      <c r="J51" s="136" t="e">
        <f>J49/J40</f>
        <v>#DIV/0!</v>
      </c>
      <c r="K51" s="137" t="s">
        <v>82</v>
      </c>
    </row>
    <row r="52" spans="1:11" ht="13.5" thickBot="1">
      <c r="A52" s="779" t="s">
        <v>27</v>
      </c>
      <c r="B52" s="780"/>
      <c r="C52" s="144">
        <f>SUM(C38:C51)</f>
        <v>1440</v>
      </c>
      <c r="D52" s="144">
        <f>SUM(D38:D51)</f>
        <v>1440</v>
      </c>
      <c r="E52" s="145">
        <f>SUM(E38:E51)</f>
        <v>24</v>
      </c>
      <c r="F52" s="185"/>
      <c r="H52" s="191"/>
      <c r="I52" s="192"/>
      <c r="J52" s="138"/>
      <c r="K52" s="139"/>
    </row>
    <row r="53" spans="1:11" ht="13.5" thickBot="1">
      <c r="A53" s="785"/>
      <c r="B53" s="786"/>
      <c r="C53" s="146">
        <f>C52/(24*60)</f>
        <v>1</v>
      </c>
      <c r="D53" s="146">
        <f>D52/(24*60*G4)</f>
        <v>1</v>
      </c>
      <c r="E53" s="147">
        <f>E52/(G4*24)</f>
        <v>1</v>
      </c>
      <c r="F53" s="185"/>
    </row>
    <row r="54" spans="1:11">
      <c r="E54" s="193"/>
      <c r="F54" s="185"/>
    </row>
    <row r="55" spans="1:11">
      <c r="E55" s="193"/>
    </row>
    <row r="56" spans="1:11">
      <c r="A56" s="194" t="s">
        <v>86</v>
      </c>
      <c r="B56" s="195"/>
      <c r="C56" s="196"/>
      <c r="D56" s="196"/>
      <c r="E56" s="196"/>
      <c r="F56" s="197"/>
      <c r="G56" s="196"/>
      <c r="H56" s="198"/>
      <c r="I56" s="199" t="s">
        <v>87</v>
      </c>
      <c r="J56" s="200">
        <f>D34</f>
        <v>0</v>
      </c>
      <c r="K56" s="201" t="e">
        <f>J56/(J40+J56/1000)/1000</f>
        <v>#DIV/0!</v>
      </c>
    </row>
    <row r="57" spans="1:11">
      <c r="A57" s="176"/>
      <c r="I57" s="199" t="s">
        <v>88</v>
      </c>
      <c r="J57" s="200">
        <f>+E34</f>
        <v>0</v>
      </c>
      <c r="K57" s="201" t="e">
        <f>J57/(J40+J57/1000)/1000</f>
        <v>#DIV/0!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37:B37"/>
    <mergeCell ref="A24:A32"/>
    <mergeCell ref="I24:I31"/>
    <mergeCell ref="A48:B48"/>
    <mergeCell ref="A49:B49"/>
    <mergeCell ref="A40:B40"/>
    <mergeCell ref="A41:B41"/>
    <mergeCell ref="A38:B38"/>
    <mergeCell ref="A39:B39"/>
    <mergeCell ref="A7:A14"/>
    <mergeCell ref="I7:I13"/>
    <mergeCell ref="A15:A23"/>
    <mergeCell ref="I15:I22"/>
    <mergeCell ref="A34:B34"/>
    <mergeCell ref="A52:B52"/>
    <mergeCell ref="A53:B53"/>
    <mergeCell ref="A42:B42"/>
    <mergeCell ref="A43:B43"/>
    <mergeCell ref="A44:B44"/>
    <mergeCell ref="A45:B45"/>
    <mergeCell ref="A46:B46"/>
    <mergeCell ref="A47:B47"/>
    <mergeCell ref="A50:B50"/>
    <mergeCell ref="A51:B51"/>
  </mergeCells>
  <phoneticPr fontId="32" type="noConversion"/>
  <printOptions horizontalCentered="1"/>
  <pageMargins left="0.15625" right="0.15625"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topLeftCell="I1" zoomScale="80" zoomScaleNormal="80" workbookViewId="0">
      <selection activeCell="R12" sqref="R1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customWidth="1"/>
    <col min="14" max="15" width="9.140625" style="149"/>
    <col min="16" max="16" width="10.28515625" style="149" bestFit="1" customWidth="1"/>
    <col min="17" max="17" width="9.28515625" style="149" bestFit="1" customWidth="1"/>
    <col min="18" max="16384" width="9.140625" style="149"/>
  </cols>
  <sheetData>
    <row r="1" spans="1:23" ht="15.75">
      <c r="A1" s="148"/>
    </row>
    <row r="2" spans="1:23" ht="15.75">
      <c r="A2" s="148" t="s">
        <v>182</v>
      </c>
    </row>
    <row r="3" spans="1:23" ht="15">
      <c r="A3" s="150"/>
    </row>
    <row r="4" spans="1:23" ht="20.25">
      <c r="A4" s="151" t="s">
        <v>3</v>
      </c>
      <c r="B4" s="152"/>
      <c r="F4" s="153" t="s">
        <v>28</v>
      </c>
      <c r="G4" s="154">
        <v>31</v>
      </c>
      <c r="H4" s="154" t="str">
        <f>+'1'!H4</f>
        <v>.11.25</v>
      </c>
    </row>
    <row r="5" spans="1:23" ht="13.5" thickBot="1">
      <c r="C5" s="155"/>
      <c r="D5" s="155"/>
    </row>
    <row r="6" spans="1:23" ht="26.25" thickBot="1">
      <c r="A6" s="156" t="s">
        <v>47</v>
      </c>
      <c r="B6" s="157" t="s">
        <v>8</v>
      </c>
      <c r="C6" s="157" t="s">
        <v>48</v>
      </c>
      <c r="D6" s="157" t="s">
        <v>49</v>
      </c>
      <c r="E6" s="158" t="s">
        <v>50</v>
      </c>
      <c r="F6" s="102" t="s">
        <v>51</v>
      </c>
      <c r="G6" s="157" t="s">
        <v>52</v>
      </c>
      <c r="H6" s="159" t="s">
        <v>53</v>
      </c>
      <c r="I6" s="160" t="s">
        <v>54</v>
      </c>
      <c r="J6" s="161" t="s">
        <v>8</v>
      </c>
      <c r="K6" s="162" t="s">
        <v>55</v>
      </c>
      <c r="L6" s="210" t="s">
        <v>141</v>
      </c>
      <c r="M6" s="163" t="s">
        <v>56</v>
      </c>
      <c r="N6" s="181" t="s">
        <v>91</v>
      </c>
      <c r="O6" s="422" t="s">
        <v>189</v>
      </c>
      <c r="P6" s="422" t="s">
        <v>189</v>
      </c>
      <c r="Q6" s="422" t="s">
        <v>190</v>
      </c>
      <c r="R6" s="422" t="s">
        <v>191</v>
      </c>
      <c r="S6" s="422" t="s">
        <v>192</v>
      </c>
      <c r="T6" s="422" t="s">
        <v>187</v>
      </c>
      <c r="U6" s="423" t="s">
        <v>193</v>
      </c>
      <c r="V6" s="422" t="s">
        <v>194</v>
      </c>
      <c r="W6" s="422" t="s">
        <v>188</v>
      </c>
    </row>
    <row r="7" spans="1:23" ht="13.5" customHeight="1" thickBot="1">
      <c r="A7" s="767"/>
      <c r="B7" s="215"/>
      <c r="C7" s="216"/>
      <c r="D7" s="217"/>
      <c r="E7" s="218"/>
      <c r="F7" s="227"/>
      <c r="G7" s="228"/>
      <c r="H7" s="229"/>
      <c r="I7" s="770"/>
      <c r="J7" s="214" t="str">
        <f>+'30'!J7</f>
        <v>F 12 VP OW</v>
      </c>
      <c r="K7" s="237"/>
      <c r="L7" s="241"/>
      <c r="M7" s="117">
        <f>+L7+'30'!M7+K7</f>
        <v>164567</v>
      </c>
      <c r="N7" s="424">
        <v>14.5</v>
      </c>
      <c r="O7" s="199">
        <v>1200</v>
      </c>
      <c r="P7" s="199">
        <v>1120</v>
      </c>
      <c r="Q7" s="199">
        <v>896</v>
      </c>
      <c r="R7" s="425">
        <f>1-(Q7/P7)</f>
        <v>0.19999999999999996</v>
      </c>
      <c r="S7" s="426">
        <v>45</v>
      </c>
      <c r="T7" s="427">
        <v>256.5</v>
      </c>
      <c r="U7" s="428">
        <f>(O7*(1-R7)*N7*T7*S7)/100000000</f>
        <v>1.606716</v>
      </c>
      <c r="V7" s="429">
        <f>+C14/1000</f>
        <v>0</v>
      </c>
      <c r="W7" s="430">
        <f>SUM(V7:V9)/SUM(U7:U9)</f>
        <v>0</v>
      </c>
    </row>
    <row r="8" spans="1:23" ht="13.5" thickBot="1">
      <c r="A8" s="768"/>
      <c r="B8" s="215"/>
      <c r="C8" s="216"/>
      <c r="D8" s="217"/>
      <c r="E8" s="219"/>
      <c r="F8" s="230"/>
      <c r="G8" s="231"/>
      <c r="H8" s="229"/>
      <c r="I8" s="771"/>
      <c r="J8" s="214" t="str">
        <f>+'30'!J8</f>
        <v>F 13 VP OW</v>
      </c>
      <c r="K8" s="238"/>
      <c r="L8" s="238"/>
      <c r="M8" s="117">
        <f>+L8+'30'!M8+K8</f>
        <v>110088</v>
      </c>
      <c r="N8" s="424">
        <v>18</v>
      </c>
      <c r="O8" s="199">
        <v>1200</v>
      </c>
      <c r="P8" s="199">
        <v>930</v>
      </c>
      <c r="Q8" s="199">
        <v>744</v>
      </c>
      <c r="R8" s="425">
        <f>1-(Q8/P8)</f>
        <v>0.19999999999999996</v>
      </c>
      <c r="S8" s="426">
        <f>480-S7</f>
        <v>435</v>
      </c>
      <c r="T8" s="427">
        <v>256.5</v>
      </c>
      <c r="U8" s="428">
        <f>(O8*(1-R8)*N8*T8*S8)/100000000</f>
        <v>19.280591999999999</v>
      </c>
      <c r="V8" s="429"/>
      <c r="W8" s="431"/>
    </row>
    <row r="9" spans="1:23" ht="13.5" thickBot="1">
      <c r="A9" s="768"/>
      <c r="B9" s="215"/>
      <c r="C9" s="216"/>
      <c r="D9" s="217"/>
      <c r="E9" s="220"/>
      <c r="F9" s="227"/>
      <c r="G9" s="228"/>
      <c r="H9" s="232"/>
      <c r="I9" s="771"/>
      <c r="J9" s="214" t="str">
        <f>+'30'!J9</f>
        <v>F 14 VP OW</v>
      </c>
      <c r="K9" s="238"/>
      <c r="L9" s="238"/>
      <c r="M9" s="117">
        <f>+L9+'30'!M9+K9</f>
        <v>69300</v>
      </c>
      <c r="N9" s="432"/>
    </row>
    <row r="10" spans="1:23" ht="13.5" thickBot="1">
      <c r="A10" s="768"/>
      <c r="B10" s="215"/>
      <c r="C10" s="216"/>
      <c r="D10" s="217"/>
      <c r="E10" s="219"/>
      <c r="F10" s="227"/>
      <c r="G10" s="231"/>
      <c r="H10" s="232"/>
      <c r="I10" s="771"/>
      <c r="J10" s="214" t="str">
        <f>+'30'!J10</f>
        <v>F 11 VP OW</v>
      </c>
      <c r="K10" s="238"/>
      <c r="L10" s="238"/>
      <c r="M10" s="117">
        <f>+L10+'30'!M10+K10</f>
        <v>33513</v>
      </c>
      <c r="N10" s="432"/>
    </row>
    <row r="11" spans="1:23" ht="13.5" thickBot="1">
      <c r="A11" s="768"/>
      <c r="B11" s="215"/>
      <c r="C11" s="216"/>
      <c r="D11" s="217"/>
      <c r="E11" s="219"/>
      <c r="F11" s="227"/>
      <c r="G11" s="231"/>
      <c r="H11" s="232"/>
      <c r="I11" s="771"/>
      <c r="J11" s="214" t="str">
        <f>+'30'!J11</f>
        <v>T 14 VP OW</v>
      </c>
      <c r="K11" s="238"/>
      <c r="L11" s="238"/>
      <c r="M11" s="117">
        <f>+L11+'30'!M11+K11</f>
        <v>54160</v>
      </c>
      <c r="N11" s="432"/>
    </row>
    <row r="12" spans="1:23" ht="13.5" thickBot="1">
      <c r="A12" s="768"/>
      <c r="B12" s="215"/>
      <c r="C12" s="216"/>
      <c r="D12" s="217"/>
      <c r="E12" s="219"/>
      <c r="F12" s="227"/>
      <c r="G12" s="231"/>
      <c r="H12" s="232"/>
      <c r="I12" s="771"/>
      <c r="J12" s="214" t="str">
        <f>+'30'!J12</f>
        <v>T 15 VP OW</v>
      </c>
      <c r="K12" s="238"/>
      <c r="L12" s="238"/>
      <c r="M12" s="117">
        <f>+L12+'30'!M12+K12</f>
        <v>68599</v>
      </c>
      <c r="N12" s="432"/>
    </row>
    <row r="13" spans="1:23" ht="13.5" thickBot="1">
      <c r="A13" s="768"/>
      <c r="B13" s="215"/>
      <c r="C13" s="216"/>
      <c r="D13" s="216"/>
      <c r="E13" s="219"/>
      <c r="F13" s="227"/>
      <c r="G13" s="231"/>
      <c r="H13" s="232"/>
      <c r="I13" s="772"/>
      <c r="J13" s="214">
        <f>+'30'!J13</f>
        <v>0</v>
      </c>
      <c r="K13" s="238"/>
      <c r="L13" s="238"/>
      <c r="M13" s="117">
        <f>+L13+'30'!M13+K13</f>
        <v>0</v>
      </c>
      <c r="N13" s="433"/>
      <c r="O13" s="434"/>
      <c r="P13" s="434"/>
      <c r="Q13" s="434"/>
      <c r="R13" s="434"/>
      <c r="S13" s="434"/>
      <c r="T13" s="434"/>
      <c r="U13" s="434"/>
      <c r="V13" s="434"/>
      <c r="W13" s="434"/>
    </row>
    <row r="14" spans="1:23" ht="13.5" thickBot="1">
      <c r="A14" s="769"/>
      <c r="B14" s="165" t="s">
        <v>2</v>
      </c>
      <c r="C14" s="99">
        <f>SUM(C7:C13)</f>
        <v>0</v>
      </c>
      <c r="D14" s="111">
        <f>SUM(D7:D13)</f>
        <v>0</v>
      </c>
      <c r="E14" s="112">
        <f>SUM(E5:E13)</f>
        <v>0</v>
      </c>
      <c r="F14" s="116">
        <f>SUM(F7:F13)</f>
        <v>0</v>
      </c>
      <c r="G14" s="159"/>
      <c r="H14" s="166"/>
      <c r="I14" s="167"/>
      <c r="J14" s="214">
        <f>+'30'!J14</f>
        <v>0</v>
      </c>
      <c r="K14" s="238"/>
      <c r="L14" s="238"/>
      <c r="M14" s="117">
        <f>+L14+'30'!M14+K14</f>
        <v>0</v>
      </c>
    </row>
    <row r="15" spans="1:23" ht="13.5" customHeight="1" thickBot="1">
      <c r="A15" s="767"/>
      <c r="B15" s="165"/>
      <c r="C15" s="113" t="e">
        <f>C14/($C$23+$D$23+$E$23)</f>
        <v>#DIV/0!</v>
      </c>
      <c r="D15" s="114" t="e">
        <f>D14/($C$23+$D$23+$E$23)</f>
        <v>#DIV/0!</v>
      </c>
      <c r="E15" s="115" t="e">
        <f>E14/($C$23+$D$23+$E$23)</f>
        <v>#DIV/0!</v>
      </c>
      <c r="F15" s="227"/>
      <c r="G15" s="228"/>
      <c r="H15" s="229"/>
      <c r="I15" s="770"/>
      <c r="J15" s="214">
        <f>+'30'!J15</f>
        <v>0</v>
      </c>
      <c r="K15" s="238"/>
      <c r="L15" s="238"/>
      <c r="M15" s="117">
        <f>+L15+'30'!M15+K15</f>
        <v>0</v>
      </c>
      <c r="N15" s="424">
        <v>18</v>
      </c>
      <c r="O15" s="199">
        <v>1200</v>
      </c>
      <c r="P15" s="199">
        <v>850</v>
      </c>
      <c r="Q15" s="199">
        <v>680</v>
      </c>
      <c r="R15" s="425">
        <f>1-(Q15/P15)</f>
        <v>0.19999999999999996</v>
      </c>
      <c r="S15" s="426">
        <v>480</v>
      </c>
      <c r="T15" s="427">
        <v>256.5</v>
      </c>
      <c r="U15" s="428">
        <f>(O15*(1-R15)*N15*T15*S15)/100000000</f>
        <v>21.275136</v>
      </c>
      <c r="V15" s="429">
        <f>+C23/1000</f>
        <v>0</v>
      </c>
      <c r="W15" s="430">
        <f>SUM(V15:V17)/SUM(U15:U17)</f>
        <v>0</v>
      </c>
    </row>
    <row r="16" spans="1:23" ht="13.5" thickBot="1">
      <c r="A16" s="773"/>
      <c r="B16" s="215"/>
      <c r="C16" s="221"/>
      <c r="D16" s="222"/>
      <c r="E16" s="223"/>
      <c r="F16" s="227"/>
      <c r="G16" s="231"/>
      <c r="H16" s="229"/>
      <c r="I16" s="771"/>
      <c r="J16" s="214">
        <f>+'30'!J16</f>
        <v>0</v>
      </c>
      <c r="K16" s="228"/>
      <c r="L16" s="228"/>
      <c r="M16" s="117">
        <f>+L16+'30'!M16+K16</f>
        <v>0</v>
      </c>
      <c r="N16" s="435"/>
      <c r="O16" s="199"/>
      <c r="P16" s="199"/>
      <c r="Q16" s="436"/>
      <c r="R16" s="425"/>
      <c r="S16" s="199"/>
      <c r="T16" s="427"/>
      <c r="U16" s="428"/>
      <c r="V16" s="429"/>
      <c r="W16" s="431"/>
    </row>
    <row r="17" spans="1:23" ht="13.5" thickBot="1">
      <c r="A17" s="773"/>
      <c r="B17" s="215"/>
      <c r="C17" s="216"/>
      <c r="D17" s="217"/>
      <c r="E17" s="224"/>
      <c r="F17" s="227"/>
      <c r="G17" s="231"/>
      <c r="H17" s="232"/>
      <c r="I17" s="771"/>
      <c r="J17" s="214">
        <f>+'30'!J17</f>
        <v>0</v>
      </c>
      <c r="K17" s="228"/>
      <c r="L17" s="228"/>
      <c r="M17" s="117">
        <f>+L17+'30'!M17+K17</f>
        <v>0</v>
      </c>
      <c r="N17" s="432"/>
      <c r="O17" s="199"/>
      <c r="R17" s="425"/>
      <c r="T17" s="427"/>
      <c r="U17" s="428"/>
    </row>
    <row r="18" spans="1:23" ht="13.5" thickBot="1">
      <c r="A18" s="773"/>
      <c r="B18" s="215"/>
      <c r="C18" s="216"/>
      <c r="D18" s="217"/>
      <c r="E18" s="224"/>
      <c r="F18" s="227"/>
      <c r="G18" s="231"/>
      <c r="H18" s="232"/>
      <c r="I18" s="771"/>
      <c r="J18" s="214">
        <f>+'30'!J18</f>
        <v>0</v>
      </c>
      <c r="K18" s="238"/>
      <c r="L18" s="238"/>
      <c r="M18" s="117">
        <f>+L18+'30'!M18+K18</f>
        <v>0</v>
      </c>
      <c r="N18" s="432"/>
    </row>
    <row r="19" spans="1:23" ht="13.5" thickBot="1">
      <c r="A19" s="773"/>
      <c r="B19" s="215"/>
      <c r="C19" s="216"/>
      <c r="D19" s="217"/>
      <c r="E19" s="224"/>
      <c r="F19" s="234"/>
      <c r="G19" s="231"/>
      <c r="H19" s="232"/>
      <c r="I19" s="771"/>
      <c r="J19" s="214">
        <f>+'30'!J19</f>
        <v>0</v>
      </c>
      <c r="K19" s="238"/>
      <c r="L19" s="238"/>
      <c r="M19" s="117">
        <f>+L19+'30'!M19+K19</f>
        <v>0</v>
      </c>
      <c r="N19" s="432"/>
    </row>
    <row r="20" spans="1:23" ht="13.5" thickBot="1">
      <c r="A20" s="773"/>
      <c r="B20" s="215"/>
      <c r="C20" s="216"/>
      <c r="D20" s="217"/>
      <c r="E20" s="224"/>
      <c r="F20" s="227"/>
      <c r="G20" s="231"/>
      <c r="H20" s="232"/>
      <c r="I20" s="771"/>
      <c r="J20" s="214">
        <f>+'30'!J20</f>
        <v>0</v>
      </c>
      <c r="K20" s="239"/>
      <c r="L20" s="239"/>
      <c r="M20" s="117">
        <f>+L20+'30'!M20+K20</f>
        <v>0</v>
      </c>
      <c r="N20" s="432"/>
    </row>
    <row r="21" spans="1:23" ht="13.5" thickBot="1">
      <c r="A21" s="773"/>
      <c r="B21" s="215"/>
      <c r="C21" s="216"/>
      <c r="D21" s="217"/>
      <c r="E21" s="224"/>
      <c r="F21" s="230"/>
      <c r="G21" s="231"/>
      <c r="H21" s="232"/>
      <c r="I21" s="771"/>
      <c r="J21" s="214">
        <f>+'30'!J21</f>
        <v>0</v>
      </c>
      <c r="K21" s="238"/>
      <c r="L21" s="238"/>
      <c r="M21" s="117">
        <f>+L21+'30'!M21+K21</f>
        <v>0</v>
      </c>
      <c r="N21" s="433"/>
      <c r="O21" s="434"/>
      <c r="P21" s="434"/>
      <c r="Q21" s="434"/>
      <c r="R21" s="434"/>
      <c r="S21" s="434"/>
      <c r="T21" s="434"/>
      <c r="U21" s="434"/>
      <c r="V21" s="434"/>
      <c r="W21" s="434"/>
    </row>
    <row r="22" spans="1:23" ht="13.5" thickBot="1">
      <c r="A22" s="773"/>
      <c r="B22" s="215"/>
      <c r="C22" s="216"/>
      <c r="D22" s="217"/>
      <c r="E22" s="224"/>
      <c r="F22" s="235"/>
      <c r="G22" s="231"/>
      <c r="H22" s="232"/>
      <c r="I22" s="772"/>
      <c r="J22" s="214">
        <f>+'30'!J22</f>
        <v>0</v>
      </c>
      <c r="K22" s="238"/>
      <c r="L22" s="238"/>
      <c r="M22" s="117">
        <f>+L22+'30'!M22+K22</f>
        <v>0</v>
      </c>
    </row>
    <row r="23" spans="1:23" ht="13.5" thickBot="1">
      <c r="A23" s="774"/>
      <c r="B23" s="168" t="s">
        <v>2</v>
      </c>
      <c r="C23" s="100">
        <f>SUM(C16:C22)</f>
        <v>0</v>
      </c>
      <c r="D23" s="111">
        <f>SUM(D16:D22)</f>
        <v>0</v>
      </c>
      <c r="E23" s="112">
        <f>SUM(E18:E22)</f>
        <v>0</v>
      </c>
      <c r="F23" s="116">
        <f>SUM(F15:F22)</f>
        <v>0</v>
      </c>
      <c r="G23" s="159"/>
      <c r="H23" s="166"/>
      <c r="I23" s="169"/>
      <c r="J23" s="214">
        <f>+'30'!J23</f>
        <v>0</v>
      </c>
      <c r="K23" s="238"/>
      <c r="L23" s="238"/>
      <c r="M23" s="117">
        <f>+L23+'30'!M23+K23</f>
        <v>0</v>
      </c>
      <c r="N23" s="437"/>
      <c r="O23" s="438"/>
      <c r="P23" s="438"/>
      <c r="Q23" s="438"/>
      <c r="R23" s="438"/>
      <c r="S23" s="438"/>
      <c r="T23" s="438"/>
      <c r="U23" s="438"/>
      <c r="V23" s="438"/>
      <c r="W23" s="438"/>
    </row>
    <row r="24" spans="1:23" ht="13.5" customHeight="1" thickBot="1">
      <c r="A24" s="767"/>
      <c r="B24" s="170"/>
      <c r="C24" s="113" t="e">
        <f>C23/($C$23+$D$23+$E$23)</f>
        <v>#DIV/0!</v>
      </c>
      <c r="D24" s="114" t="e">
        <f>D23/($C$23+$D$23+$E$23)</f>
        <v>#DIV/0!</v>
      </c>
      <c r="E24" s="115" t="e">
        <f>E23/($C$23+$D$23+$E$23)</f>
        <v>#DIV/0!</v>
      </c>
      <c r="F24" s="235"/>
      <c r="G24" s="228"/>
      <c r="H24" s="229"/>
      <c r="I24" s="770"/>
      <c r="J24" s="214">
        <f>+'30'!J24</f>
        <v>0</v>
      </c>
      <c r="K24" s="238"/>
      <c r="L24" s="238"/>
      <c r="M24" s="117">
        <f>+L24+'30'!M24+K24</f>
        <v>0</v>
      </c>
      <c r="N24" s="424">
        <v>18</v>
      </c>
      <c r="O24" s="199">
        <v>1200</v>
      </c>
      <c r="P24" s="199">
        <v>770</v>
      </c>
      <c r="Q24" s="199">
        <v>616</v>
      </c>
      <c r="R24" s="425">
        <f>1-(Q24/P24)</f>
        <v>0.19999999999999996</v>
      </c>
      <c r="S24" s="426">
        <v>480</v>
      </c>
      <c r="T24" s="427">
        <v>256.5</v>
      </c>
      <c r="U24" s="428">
        <f>(O24*(1-R24)*N24*T24*S24)/100000000</f>
        <v>21.275136</v>
      </c>
      <c r="V24" s="429">
        <f>+C32/1000</f>
        <v>0</v>
      </c>
      <c r="W24" s="430">
        <f>SUM(V24:V25)/SUM(U24:U25)</f>
        <v>0</v>
      </c>
    </row>
    <row r="25" spans="1:23" ht="13.5" thickBot="1">
      <c r="A25" s="773"/>
      <c r="B25" s="215"/>
      <c r="C25" s="225"/>
      <c r="D25" s="217"/>
      <c r="E25" s="224"/>
      <c r="F25" s="230"/>
      <c r="G25" s="231"/>
      <c r="H25" s="229"/>
      <c r="I25" s="771"/>
      <c r="J25" s="214">
        <f>+'30'!J25</f>
        <v>0</v>
      </c>
      <c r="K25" s="238"/>
      <c r="L25" s="238"/>
      <c r="M25" s="117">
        <f>+L25+'30'!M25+K25</f>
        <v>0</v>
      </c>
      <c r="N25" s="424"/>
      <c r="O25" s="199"/>
      <c r="P25" s="199"/>
      <c r="Q25" s="199"/>
      <c r="R25" s="425"/>
      <c r="S25" s="426"/>
      <c r="T25" s="427"/>
      <c r="U25" s="428"/>
      <c r="V25" s="429"/>
      <c r="W25" s="430"/>
    </row>
    <row r="26" spans="1:23" ht="13.5" thickBot="1">
      <c r="A26" s="773"/>
      <c r="B26" s="215"/>
      <c r="C26" s="225"/>
      <c r="D26" s="217"/>
      <c r="E26" s="226"/>
      <c r="F26" s="230"/>
      <c r="G26" s="228"/>
      <c r="H26" s="232"/>
      <c r="I26" s="771"/>
      <c r="J26" s="214">
        <f>+'30'!J26</f>
        <v>0</v>
      </c>
      <c r="K26" s="238"/>
      <c r="L26" s="238"/>
      <c r="M26" s="117">
        <f>+L26+'30'!M26+K26</f>
        <v>0</v>
      </c>
    </row>
    <row r="27" spans="1:23" ht="13.5" thickBot="1">
      <c r="A27" s="773"/>
      <c r="B27" s="215"/>
      <c r="C27" s="216"/>
      <c r="D27" s="217"/>
      <c r="E27" s="224"/>
      <c r="F27" s="230"/>
      <c r="G27" s="236"/>
      <c r="H27" s="232"/>
      <c r="I27" s="771"/>
      <c r="J27" s="214">
        <f>+'30'!J27</f>
        <v>0</v>
      </c>
      <c r="K27" s="238"/>
      <c r="L27" s="238"/>
      <c r="M27" s="117">
        <f>+L27+'30'!M27+K27</f>
        <v>0</v>
      </c>
    </row>
    <row r="28" spans="1:23" ht="13.5" thickBot="1">
      <c r="A28" s="773"/>
      <c r="B28" s="215"/>
      <c r="C28" s="216"/>
      <c r="D28" s="217"/>
      <c r="E28" s="224"/>
      <c r="F28" s="230"/>
      <c r="G28" s="231"/>
      <c r="H28" s="232"/>
      <c r="I28" s="771"/>
      <c r="J28" s="214">
        <f>+'30'!J28</f>
        <v>0</v>
      </c>
      <c r="K28" s="238"/>
      <c r="L28" s="238"/>
      <c r="M28" s="117">
        <f>+L28+'30'!M28+K28</f>
        <v>0</v>
      </c>
    </row>
    <row r="29" spans="1:23" ht="13.5" thickBot="1">
      <c r="A29" s="773"/>
      <c r="B29" s="215"/>
      <c r="C29" s="216"/>
      <c r="D29" s="217"/>
      <c r="E29" s="224"/>
      <c r="F29" s="235"/>
      <c r="G29" s="231"/>
      <c r="H29" s="232"/>
      <c r="I29" s="771"/>
      <c r="J29" s="214">
        <f>+'30'!J29</f>
        <v>0</v>
      </c>
      <c r="K29" s="238"/>
      <c r="L29" s="238"/>
      <c r="M29" s="117">
        <f>+L29+'30'!M29+K29</f>
        <v>0</v>
      </c>
    </row>
    <row r="30" spans="1:23" ht="13.5" thickBot="1">
      <c r="A30" s="773"/>
      <c r="B30" s="215"/>
      <c r="C30" s="225"/>
      <c r="D30" s="217"/>
      <c r="E30" s="224"/>
      <c r="F30" s="235"/>
      <c r="G30" s="231"/>
      <c r="H30" s="232"/>
      <c r="I30" s="771"/>
      <c r="J30" s="214">
        <f>+'30'!J30</f>
        <v>0</v>
      </c>
      <c r="K30" s="238"/>
      <c r="L30" s="238"/>
      <c r="M30" s="117">
        <f>+L30+'30'!M30+K30</f>
        <v>0</v>
      </c>
      <c r="N30" s="155"/>
    </row>
    <row r="31" spans="1:23" ht="13.5" thickBot="1">
      <c r="A31" s="773"/>
      <c r="B31" s="215"/>
      <c r="C31" s="225"/>
      <c r="D31" s="217"/>
      <c r="E31" s="224"/>
      <c r="F31" s="235"/>
      <c r="G31" s="236"/>
      <c r="H31" s="233"/>
      <c r="I31" s="772"/>
      <c r="J31" s="214">
        <f>+'30'!J31</f>
        <v>0</v>
      </c>
      <c r="K31" s="238"/>
      <c r="L31" s="238"/>
      <c r="M31" s="117">
        <f>+L31+'30'!M31+K31</f>
        <v>0</v>
      </c>
    </row>
    <row r="32" spans="1:23" ht="13.5" thickBot="1">
      <c r="A32" s="774"/>
      <c r="B32" s="165" t="s">
        <v>2</v>
      </c>
      <c r="C32" s="99">
        <f>SUM(C25:C31)</f>
        <v>0</v>
      </c>
      <c r="D32" s="100">
        <f>SUM(D25:D31)</f>
        <v>0</v>
      </c>
      <c r="E32" s="101">
        <f>SUM(E25:E31)</f>
        <v>0</v>
      </c>
      <c r="F32" s="102">
        <f>SUM(F24:F31)</f>
        <v>0</v>
      </c>
      <c r="G32" s="171"/>
      <c r="H32" s="172"/>
      <c r="I32" s="169"/>
      <c r="J32" s="214">
        <f>+'30'!J32</f>
        <v>0</v>
      </c>
      <c r="K32" s="240"/>
      <c r="L32" s="242"/>
      <c r="M32" s="117">
        <f>+L32+'30'!M32+K32</f>
        <v>0</v>
      </c>
    </row>
    <row r="33" spans="1:14" ht="13.5" thickBot="1">
      <c r="A33" s="173"/>
      <c r="B33" s="174"/>
      <c r="C33" s="103" t="e">
        <f>C32/($C$32+$D$32+$E$32)</f>
        <v>#DIV/0!</v>
      </c>
      <c r="D33" s="104" t="e">
        <f>D32/($C$32+$D$32+$E$32)</f>
        <v>#DIV/0!</v>
      </c>
      <c r="E33" s="105" t="e">
        <f>E32/($C$32+$D$32+$E$32)</f>
        <v>#DIV/0!</v>
      </c>
      <c r="F33" s="106"/>
      <c r="G33" s="175"/>
      <c r="H33" s="176"/>
      <c r="I33" s="177"/>
      <c r="J33" s="121"/>
      <c r="K33" s="122"/>
      <c r="L33" s="213"/>
      <c r="M33" s="119"/>
    </row>
    <row r="34" spans="1:14" ht="13.5" thickBot="1">
      <c r="A34" s="775" t="s">
        <v>57</v>
      </c>
      <c r="B34" s="776"/>
      <c r="C34" s="107">
        <f>C14+C23+C32</f>
        <v>0</v>
      </c>
      <c r="D34" s="107">
        <f>D14+D23+D32</f>
        <v>0</v>
      </c>
      <c r="E34" s="107">
        <f>E14+E23+E32</f>
        <v>0</v>
      </c>
      <c r="F34" s="108">
        <f>F14+F23+F32</f>
        <v>0</v>
      </c>
      <c r="H34" s="178"/>
      <c r="I34" s="178"/>
      <c r="J34" s="123" t="s">
        <v>27</v>
      </c>
      <c r="K34" s="124">
        <f>SUM(K7:K32)</f>
        <v>0</v>
      </c>
      <c r="L34" s="212">
        <f>SUM(L7:L32)</f>
        <v>0</v>
      </c>
      <c r="M34" s="120">
        <f>SUM(M7:M32)</f>
        <v>500227</v>
      </c>
      <c r="N34" s="155"/>
    </row>
    <row r="35" spans="1:14" ht="13.5" thickBot="1">
      <c r="A35" s="179"/>
      <c r="B35" s="180"/>
      <c r="C35" s="104" t="e">
        <f>C34/($C$34+$D$34+$E$34)</f>
        <v>#DIV/0!</v>
      </c>
      <c r="D35" s="104" t="e">
        <f>D34/($C$34+$D$34+$E$34)</f>
        <v>#DIV/0!</v>
      </c>
      <c r="E35" s="109" t="e">
        <f>E34/($C$34+$D$34+$E$34)</f>
        <v>#DIV/0!</v>
      </c>
      <c r="K35" s="155"/>
    </row>
    <row r="36" spans="1:14" ht="13.5" thickBot="1">
      <c r="A36" s="178"/>
      <c r="B36" s="178"/>
      <c r="C36" s="155"/>
      <c r="D36" s="155"/>
      <c r="E36" s="155"/>
      <c r="G36" s="155"/>
      <c r="H36" s="181"/>
      <c r="I36" s="162" t="s">
        <v>36</v>
      </c>
      <c r="J36" s="162" t="s">
        <v>37</v>
      </c>
      <c r="K36" s="182"/>
    </row>
    <row r="37" spans="1:14" ht="17.45" customHeight="1" thickBot="1">
      <c r="A37" s="777" t="s">
        <v>58</v>
      </c>
      <c r="B37" s="778"/>
      <c r="C37" s="162" t="s">
        <v>59</v>
      </c>
      <c r="D37" s="183" t="s">
        <v>60</v>
      </c>
      <c r="E37" s="184" t="s">
        <v>61</v>
      </c>
      <c r="F37" s="321"/>
      <c r="G37" s="323"/>
      <c r="H37" s="186" t="s">
        <v>62</v>
      </c>
      <c r="I37" s="243">
        <f>(15*453+18*987)/1440*G42*2.74*1440/1000000</f>
        <v>0</v>
      </c>
      <c r="J37" s="125">
        <f>+I37+'30'!J37</f>
        <v>601.83737940361618</v>
      </c>
      <c r="K37" s="126" t="s">
        <v>63</v>
      </c>
    </row>
    <row r="38" spans="1:14" ht="17.45" customHeight="1">
      <c r="A38" s="779" t="s">
        <v>11</v>
      </c>
      <c r="B38" s="780"/>
      <c r="C38" s="164">
        <f>SUMIF($G$7:$G$31,"Process",$F$7:$F$31)</f>
        <v>0</v>
      </c>
      <c r="D38" s="118">
        <f>+C38+'30'!D38</f>
        <v>1008</v>
      </c>
      <c r="E38" s="143">
        <f t="shared" ref="E38:E51" si="0">D38/60</f>
        <v>16.8</v>
      </c>
      <c r="F38" s="321"/>
      <c r="G38" s="321"/>
      <c r="H38" s="187" t="s">
        <v>64</v>
      </c>
      <c r="I38" s="244"/>
      <c r="J38" s="127">
        <f>+I38+'30'!J38</f>
        <v>532.99699999999996</v>
      </c>
      <c r="K38" s="128" t="s">
        <v>63</v>
      </c>
    </row>
    <row r="39" spans="1:14" ht="17.45" customHeight="1">
      <c r="A39" s="781" t="s">
        <v>12</v>
      </c>
      <c r="B39" s="782"/>
      <c r="C39" s="164">
        <f>SUMIF($G$7:$G$31,"Cleaning",$F$7:$F$31)</f>
        <v>0</v>
      </c>
      <c r="D39" s="118">
        <f>+C39+'30'!D39</f>
        <v>0</v>
      </c>
      <c r="E39" s="143">
        <f t="shared" si="0"/>
        <v>0</v>
      </c>
      <c r="F39" s="321"/>
      <c r="G39" s="321"/>
      <c r="H39" s="187" t="s">
        <v>65</v>
      </c>
      <c r="I39" s="142"/>
      <c r="J39" s="129">
        <f>J37/G4</f>
        <v>19.414109013019878</v>
      </c>
      <c r="K39" s="130" t="s">
        <v>63</v>
      </c>
    </row>
    <row r="40" spans="1:14" ht="17.45" customHeight="1">
      <c r="A40" s="781" t="s">
        <v>66</v>
      </c>
      <c r="B40" s="782"/>
      <c r="C40" s="164">
        <f>SUMIF($G$7:$G$31,"Mechanical",$F$7:$F$31)</f>
        <v>0</v>
      </c>
      <c r="D40" s="118">
        <f>+C40+'30'!D40</f>
        <v>0</v>
      </c>
      <c r="E40" s="143">
        <f t="shared" si="0"/>
        <v>0</v>
      </c>
      <c r="F40" s="321"/>
      <c r="G40" s="321"/>
      <c r="H40" s="187" t="s">
        <v>67</v>
      </c>
      <c r="I40" s="118">
        <f>(K34+L34)/1000</f>
        <v>0</v>
      </c>
      <c r="J40" s="131">
        <f>+I40+'30'!J40</f>
        <v>500.22699999999998</v>
      </c>
      <c r="K40" s="130" t="s">
        <v>63</v>
      </c>
    </row>
    <row r="41" spans="1:14" ht="17.45" customHeight="1">
      <c r="A41" s="781" t="s">
        <v>68</v>
      </c>
      <c r="B41" s="782"/>
      <c r="C41" s="164">
        <f>SUMIF($G$7:$G$31,"Electrical",$F$7:$F$31)</f>
        <v>0</v>
      </c>
      <c r="D41" s="118">
        <f>+C41+'30'!D41</f>
        <v>175</v>
      </c>
      <c r="E41" s="143">
        <f t="shared" si="0"/>
        <v>2.9166666666666665</v>
      </c>
      <c r="F41" s="321"/>
      <c r="G41" s="321"/>
      <c r="H41" s="187" t="s">
        <v>69</v>
      </c>
      <c r="I41" s="142"/>
      <c r="J41" s="129">
        <f>J40/G4</f>
        <v>16.136354838709675</v>
      </c>
      <c r="K41" s="130" t="s">
        <v>63</v>
      </c>
    </row>
    <row r="42" spans="1:14" ht="17.45" customHeight="1">
      <c r="A42" s="781" t="s">
        <v>15</v>
      </c>
      <c r="B42" s="782"/>
      <c r="C42" s="164">
        <f>SUMIF($G$7:$G$31,"Instrument",$F$7:$F$31)</f>
        <v>0</v>
      </c>
      <c r="D42" s="118">
        <f>+C42+'30'!D42</f>
        <v>0</v>
      </c>
      <c r="E42" s="143">
        <f t="shared" si="0"/>
        <v>0</v>
      </c>
      <c r="F42" s="321"/>
      <c r="G42" s="321">
        <f>+(G38*480+G39*480+G40*480)/1440</f>
        <v>0</v>
      </c>
      <c r="H42" s="187" t="s">
        <v>70</v>
      </c>
      <c r="I42" s="245"/>
      <c r="J42" s="132"/>
      <c r="K42" s="130" t="s">
        <v>71</v>
      </c>
    </row>
    <row r="43" spans="1:14" ht="17.45" customHeight="1">
      <c r="A43" s="781" t="s">
        <v>72</v>
      </c>
      <c r="B43" s="782"/>
      <c r="C43" s="164">
        <f>SUMIF($G$7:$G$31,"Water",$F$7:$F$31)</f>
        <v>0</v>
      </c>
      <c r="D43" s="118">
        <f>+C43+'30'!D43</f>
        <v>0</v>
      </c>
      <c r="E43" s="143">
        <f t="shared" si="0"/>
        <v>0</v>
      </c>
      <c r="F43" s="321"/>
      <c r="G43" s="322"/>
      <c r="H43" s="188" t="s">
        <v>73</v>
      </c>
      <c r="I43" s="118">
        <f>+Report1!Z39</f>
        <v>0</v>
      </c>
      <c r="J43" s="133">
        <f>+I43+'30'!J43</f>
        <v>1095.2999999999997</v>
      </c>
      <c r="K43" s="130" t="s">
        <v>63</v>
      </c>
      <c r="L43" s="189"/>
    </row>
    <row r="44" spans="1:14" ht="17.45" customHeight="1">
      <c r="A44" s="781" t="s">
        <v>16</v>
      </c>
      <c r="B44" s="782"/>
      <c r="C44" s="164">
        <f>SUMIF($G$7:$G$31,"PLN",$F$7:$F$31)</f>
        <v>0</v>
      </c>
      <c r="D44" s="118">
        <f>+C44+'30'!D44</f>
        <v>0</v>
      </c>
      <c r="E44" s="143">
        <f t="shared" si="0"/>
        <v>0</v>
      </c>
      <c r="F44" s="321"/>
      <c r="G44" s="322"/>
      <c r="H44" s="188" t="s">
        <v>74</v>
      </c>
      <c r="I44" s="118" t="e">
        <f>I43/I38</f>
        <v>#DIV/0!</v>
      </c>
      <c r="J44" s="134">
        <f>J43/J38</f>
        <v>2.0549834239217102</v>
      </c>
      <c r="K44" s="130" t="s">
        <v>63</v>
      </c>
    </row>
    <row r="45" spans="1:14" ht="17.45" customHeight="1">
      <c r="A45" s="781" t="s">
        <v>17</v>
      </c>
      <c r="B45" s="782"/>
      <c r="C45" s="164">
        <f>SUMIF($G$7:$G$31,"Boiler",$F$7:$F$31)</f>
        <v>0</v>
      </c>
      <c r="D45" s="118">
        <f>+C45+'30'!D45</f>
        <v>0</v>
      </c>
      <c r="E45" s="143">
        <f t="shared" si="0"/>
        <v>0</v>
      </c>
      <c r="F45" s="321"/>
      <c r="G45" s="324"/>
      <c r="H45" s="188" t="s">
        <v>75</v>
      </c>
      <c r="I45" s="118" t="e">
        <f>I43/I40</f>
        <v>#DIV/0!</v>
      </c>
      <c r="J45" s="134">
        <f>J43/J40</f>
        <v>2.1896059189128132</v>
      </c>
      <c r="K45" s="130" t="s">
        <v>63</v>
      </c>
    </row>
    <row r="46" spans="1:14" ht="17.45" customHeight="1">
      <c r="A46" s="781" t="s">
        <v>76</v>
      </c>
      <c r="B46" s="782"/>
      <c r="C46" s="164">
        <f>SUMIF($G$7:$G$31,"Gas",$F$7:$F$31)</f>
        <v>0</v>
      </c>
      <c r="D46" s="118">
        <f>+C46+'30'!D46</f>
        <v>0</v>
      </c>
      <c r="E46" s="143">
        <f t="shared" si="0"/>
        <v>0</v>
      </c>
      <c r="F46" s="321"/>
      <c r="G46" s="322"/>
      <c r="H46" s="188" t="s">
        <v>77</v>
      </c>
      <c r="I46" s="140">
        <f>+SUMIF(Listrik!P38,"&gt;0")</f>
        <v>0</v>
      </c>
      <c r="J46" s="135">
        <f>+I46+'30'!J46</f>
        <v>612858.1399999992</v>
      </c>
      <c r="K46" s="130" t="s">
        <v>78</v>
      </c>
    </row>
    <row r="47" spans="1:14" ht="17.45" customHeight="1">
      <c r="A47" s="781" t="s">
        <v>79</v>
      </c>
      <c r="B47" s="782"/>
      <c r="C47" s="164">
        <f>SUMIF($G$7:$G$31,"Gas",$F$7:$F$31)</f>
        <v>0</v>
      </c>
      <c r="D47" s="118">
        <f>+C47+'30'!D47</f>
        <v>0</v>
      </c>
      <c r="E47" s="143">
        <f t="shared" si="0"/>
        <v>0</v>
      </c>
      <c r="F47" s="321"/>
      <c r="G47" s="322"/>
      <c r="H47" s="188" t="s">
        <v>80</v>
      </c>
      <c r="I47" s="118" t="e">
        <f>I46/I38</f>
        <v>#DIV/0!</v>
      </c>
      <c r="J47" s="135">
        <f>J46/J38</f>
        <v>1149.8341266461148</v>
      </c>
      <c r="K47" s="130" t="s">
        <v>23</v>
      </c>
    </row>
    <row r="48" spans="1:14" ht="17.45" customHeight="1">
      <c r="A48" s="781" t="s">
        <v>13</v>
      </c>
      <c r="B48" s="782"/>
      <c r="C48" s="164">
        <f>SUMIF($G$7:$G$31,"Start Up",$F$7:$F$31)</f>
        <v>0</v>
      </c>
      <c r="D48" s="118">
        <f>+C48+'30'!D48</f>
        <v>0</v>
      </c>
      <c r="E48" s="143">
        <f t="shared" si="0"/>
        <v>0</v>
      </c>
      <c r="F48" s="321"/>
      <c r="G48" s="322"/>
      <c r="H48" s="188" t="s">
        <v>81</v>
      </c>
      <c r="I48" s="118" t="e">
        <f>I46/I40</f>
        <v>#DIV/0!</v>
      </c>
      <c r="J48" s="135">
        <f>J46/J40</f>
        <v>1225.1600573339688</v>
      </c>
      <c r="K48" s="130" t="s">
        <v>23</v>
      </c>
    </row>
    <row r="49" spans="1:23" ht="17.45" customHeight="1">
      <c r="A49" s="781" t="s">
        <v>19</v>
      </c>
      <c r="B49" s="782"/>
      <c r="C49" s="164">
        <f>SUMIF($G$7:$G$31,"Others",$F$7:$F$31)</f>
        <v>0</v>
      </c>
      <c r="D49" s="118">
        <f>+C49+'30'!D49</f>
        <v>22716</v>
      </c>
      <c r="E49" s="143">
        <f t="shared" si="0"/>
        <v>378.6</v>
      </c>
      <c r="F49" s="185"/>
      <c r="H49" s="188" t="s">
        <v>267</v>
      </c>
      <c r="I49" s="118">
        <f>+Report1!T39</f>
        <v>0</v>
      </c>
      <c r="J49" s="135">
        <f>+I49+'30'!J49</f>
        <v>63809.784627154229</v>
      </c>
      <c r="K49" s="130" t="s">
        <v>82</v>
      </c>
    </row>
    <row r="50" spans="1:23" ht="17.45" customHeight="1">
      <c r="A50" s="781" t="s">
        <v>18</v>
      </c>
      <c r="B50" s="782"/>
      <c r="C50" s="164">
        <f>SUMIF($G$7:$G$31,"Steam",$F$7:$F$31)</f>
        <v>0</v>
      </c>
      <c r="D50" s="118">
        <f>+C50+'30'!D50</f>
        <v>0</v>
      </c>
      <c r="E50" s="143">
        <f t="shared" si="0"/>
        <v>0</v>
      </c>
      <c r="F50" s="185"/>
      <c r="H50" s="188" t="s">
        <v>83</v>
      </c>
      <c r="I50" s="140" t="e">
        <f>I49/I38</f>
        <v>#DIV/0!</v>
      </c>
      <c r="J50" s="133">
        <f>J49/J38</f>
        <v>119.71884387183086</v>
      </c>
      <c r="K50" s="130" t="s">
        <v>82</v>
      </c>
    </row>
    <row r="51" spans="1:23" ht="17.45" customHeight="1" thickBot="1">
      <c r="A51" s="783" t="s">
        <v>84</v>
      </c>
      <c r="B51" s="784"/>
      <c r="C51" s="164">
        <f>SUMIF($G$7:$G$31,"Planned shut",$F$7:$F$31)</f>
        <v>0</v>
      </c>
      <c r="D51" s="118">
        <f>+C51+'30'!D51</f>
        <v>0</v>
      </c>
      <c r="E51" s="143">
        <f t="shared" si="0"/>
        <v>0</v>
      </c>
      <c r="F51" s="185"/>
      <c r="H51" s="190" t="s">
        <v>85</v>
      </c>
      <c r="I51" s="141" t="e">
        <f>I49/I40</f>
        <v>#DIV/0!</v>
      </c>
      <c r="J51" s="136">
        <f>J49/J40</f>
        <v>127.56165626236535</v>
      </c>
      <c r="K51" s="137" t="s">
        <v>82</v>
      </c>
    </row>
    <row r="52" spans="1:23" ht="13.5" thickBot="1">
      <c r="A52" s="779" t="s">
        <v>27</v>
      </c>
      <c r="B52" s="780"/>
      <c r="C52" s="144">
        <f>SUM(C38:C51)</f>
        <v>0</v>
      </c>
      <c r="D52" s="144">
        <f>SUM(D38:D51)</f>
        <v>23899</v>
      </c>
      <c r="E52" s="145">
        <f>SUM(E38:E51)</f>
        <v>398.31666666666672</v>
      </c>
      <c r="F52" s="185"/>
      <c r="H52" s="191"/>
      <c r="I52" s="192"/>
      <c r="J52" s="138"/>
      <c r="K52" s="139"/>
    </row>
    <row r="53" spans="1:23" ht="13.5" thickBot="1">
      <c r="A53" s="785"/>
      <c r="B53" s="786"/>
      <c r="C53" s="146">
        <f>C52/(24*60)</f>
        <v>0</v>
      </c>
      <c r="D53" s="146">
        <f>D52/(24*60*G4)</f>
        <v>0.53537186379928314</v>
      </c>
      <c r="E53" s="147">
        <f>E52/(G4*24)</f>
        <v>0.53537186379928325</v>
      </c>
      <c r="F53" s="185"/>
    </row>
    <row r="54" spans="1:23">
      <c r="E54" s="193"/>
      <c r="F54" s="185"/>
    </row>
    <row r="55" spans="1:23">
      <c r="E55" s="193"/>
    </row>
    <row r="56" spans="1:23">
      <c r="A56" s="194" t="s">
        <v>86</v>
      </c>
      <c r="B56" s="195"/>
      <c r="C56" s="196"/>
      <c r="D56" s="196"/>
      <c r="E56" s="196"/>
      <c r="F56" s="197"/>
      <c r="G56" s="196"/>
      <c r="H56" s="198"/>
      <c r="I56" s="199" t="s">
        <v>87</v>
      </c>
      <c r="J56" s="200">
        <f>+D34+'30'!J56</f>
        <v>7954</v>
      </c>
      <c r="K56" s="201">
        <f>J56/(J40+J56/1000)/1000</f>
        <v>1.5651903554048656E-2</v>
      </c>
    </row>
    <row r="57" spans="1:23">
      <c r="A57" s="176"/>
      <c r="I57" s="199" t="s">
        <v>88</v>
      </c>
      <c r="J57" s="200">
        <f>+E34+'30'!J57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51:B51"/>
    <mergeCell ref="A52:B52"/>
    <mergeCell ref="A53:B53"/>
    <mergeCell ref="A46:B46"/>
    <mergeCell ref="A47:B47"/>
    <mergeCell ref="A48:B48"/>
    <mergeCell ref="A49:B49"/>
    <mergeCell ref="A50:B50"/>
    <mergeCell ref="A41:B41"/>
    <mergeCell ref="A42:B42"/>
    <mergeCell ref="A43:B43"/>
    <mergeCell ref="A44:B44"/>
    <mergeCell ref="A45:B45"/>
    <mergeCell ref="A34:B34"/>
    <mergeCell ref="A37:B37"/>
    <mergeCell ref="A38:B38"/>
    <mergeCell ref="A39:B39"/>
    <mergeCell ref="A40:B40"/>
    <mergeCell ref="A7:A14"/>
    <mergeCell ref="I7:I13"/>
    <mergeCell ref="A15:A23"/>
    <mergeCell ref="I15:I22"/>
    <mergeCell ref="A24:A32"/>
    <mergeCell ref="I24:I31"/>
  </mergeCells>
  <phoneticPr fontId="32"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35</vt:i4>
      </vt:variant>
    </vt:vector>
  </HeadingPairs>
  <TitlesOfParts>
    <vt:vector size="77" baseType="lpstr">
      <vt:lpstr>Report1</vt:lpstr>
      <vt:lpstr>GRAFIK</vt:lpstr>
      <vt:lpstr>Listrik</vt:lpstr>
      <vt:lpstr>Trim Rwd</vt:lpstr>
      <vt:lpstr>Efficiency1</vt:lpstr>
      <vt:lpstr>Efficiency2</vt:lpstr>
      <vt:lpstr>Chem</vt:lpstr>
      <vt:lpstr>RBP</vt:lpstr>
      <vt:lpstr>BB</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2025-12-01T07:38:20Z</cp:lastPrinted>
  <dcterms:created xsi:type="dcterms:W3CDTF">2007-07-30T03:52:39Z</dcterms:created>
  <dcterms:modified xsi:type="dcterms:W3CDTF">2025-12-01T08:54:38Z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