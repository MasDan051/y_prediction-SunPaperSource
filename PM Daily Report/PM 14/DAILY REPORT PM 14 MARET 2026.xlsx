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0120-P-PRD-DI\Documents Network Produksi - PM\2026\3. MARET\"/>
    </mc:Choice>
  </mc:AlternateContent>
  <bookViews>
    <workbookView xWindow="-105" yWindow="-105" windowWidth="20730" windowHeight="11760" tabRatio="930" activeTab="6"/>
  </bookViews>
  <sheets>
    <sheet name="Report1" sheetId="48" r:id="rId1"/>
    <sheet name="GRAFIK" sheetId="50" r:id="rId2"/>
    <sheet name="Listrik" sheetId="45" r:id="rId3"/>
    <sheet name="Trim Rwd" sheetId="47" r:id="rId4"/>
    <sheet name="Efficiency1" sheetId="46" r:id="rId5"/>
    <sheet name="Efficiency2" sheetId="57" r:id="rId6"/>
    <sheet name="Chem" sheetId="1" r:id="rId7"/>
    <sheet name="RBP" sheetId="54" r:id="rId8"/>
    <sheet name="BB" sheetId="2" r:id="rId9"/>
    <sheet name="Sheet1" sheetId="56" r:id="rId10"/>
    <sheet name="summary" sheetId="55" r:id="rId11"/>
    <sheet name="31" sheetId="43"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5" sheetId="29" r:id="rId38"/>
    <sheet name="4" sheetId="30" r:id="rId39"/>
    <sheet name="3" sheetId="31" r:id="rId40"/>
    <sheet name="2" sheetId="32" r:id="rId41"/>
    <sheet name="1" sheetId="33" r:id="rId42"/>
  </sheets>
  <externalReferences>
    <externalReference r:id="rId43"/>
    <externalReference r:id="rId44"/>
    <externalReference r:id="rId45"/>
  </externalReferences>
  <definedNames>
    <definedName name="_xlnm._FilterDatabase" localSheetId="9" hidden="1">Sheet1!$B$1:$F$121</definedName>
    <definedName name="_xlnm.Print_Area" localSheetId="41">'1'!$A$2:$M$61</definedName>
    <definedName name="_xlnm.Print_Area" localSheetId="32">'10'!$A$2:$M$61</definedName>
    <definedName name="_xlnm.Print_Area" localSheetId="31">'11'!$A$2:$M$61</definedName>
    <definedName name="_xlnm.Print_Area" localSheetId="30">'12'!$A$2:$M$61</definedName>
    <definedName name="_xlnm.Print_Area" localSheetId="29">'13'!$A$1:$M$62</definedName>
    <definedName name="_xlnm.Print_Area" localSheetId="28">'14'!$A$1:$M$61</definedName>
    <definedName name="_xlnm.Print_Area" localSheetId="27">'15'!$A$1:$M$61</definedName>
    <definedName name="_xlnm.Print_Area" localSheetId="25">'17'!$A$1:$M$61</definedName>
    <definedName name="_xlnm.Print_Area" localSheetId="24">'18'!$A$1:$M$61</definedName>
    <definedName name="_xlnm.Print_Area" localSheetId="23">'19'!$A$1:$M$61</definedName>
    <definedName name="_xlnm.Print_Area" localSheetId="40">'2'!$A$2:$M$61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11">'31'!$A$1:$L$63</definedName>
    <definedName name="_xlnm.Print_Area" localSheetId="38">'4'!$A$1:$M$61</definedName>
    <definedName name="_xlnm.Print_Area" localSheetId="37">'5'!$A$1:$M$61</definedName>
    <definedName name="_xlnm.Print_Area" localSheetId="36">'6'!$A$2:$M$61</definedName>
    <definedName name="_xlnm.Print_Area" localSheetId="35">'7'!$A$2:$M$61</definedName>
    <definedName name="_xlnm.Print_Area" localSheetId="34">'8'!$A$2:$M$61</definedName>
    <definedName name="_xlnm.Print_Area" localSheetId="33">'9'!$A$1:$M$62</definedName>
    <definedName name="_xlnm.Print_Area" localSheetId="6">Chem!$CE$6:$CQ$15</definedName>
    <definedName name="_xlnm.Print_Area" localSheetId="4">Efficiency1!$A$1:$AD$160</definedName>
    <definedName name="_xlnm.Print_Area" localSheetId="5">Efficiency2!$A$1:$AD$160</definedName>
    <definedName name="_xlnm.Print_Area" localSheetId="2">Listrik!$A$2:$AT$40</definedName>
    <definedName name="_xlnm.Print_Area" localSheetId="0">Report1!$A$3:$AK$41</definedName>
  </definedNames>
  <calcPr calcId="15251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V41" i="1" l="1"/>
  <c r="KV10" i="1"/>
  <c r="KV11" i="1"/>
  <c r="KV12" i="1"/>
  <c r="KV13" i="1"/>
  <c r="KV14" i="1"/>
  <c r="KV15" i="1"/>
  <c r="KV16" i="1"/>
  <c r="KV17" i="1"/>
  <c r="KV18" i="1"/>
  <c r="KV19" i="1"/>
  <c r="KV20" i="1"/>
  <c r="KV21" i="1"/>
  <c r="KV22" i="1"/>
  <c r="KV23" i="1"/>
  <c r="KV24" i="1"/>
  <c r="KV25" i="1"/>
  <c r="KV26" i="1"/>
  <c r="KV27" i="1"/>
  <c r="KV28" i="1"/>
  <c r="KV29" i="1"/>
  <c r="KV30" i="1"/>
  <c r="KV31" i="1"/>
  <c r="KV32" i="1"/>
  <c r="KV33" i="1"/>
  <c r="KV34" i="1"/>
  <c r="KV35" i="1"/>
  <c r="KV36" i="1"/>
  <c r="KV37" i="1"/>
  <c r="KV38" i="1"/>
  <c r="KV39" i="1"/>
  <c r="KV9" i="1"/>
  <c r="AC156" i="57" l="1"/>
  <c r="AC148" i="57"/>
  <c r="AC144" i="57"/>
  <c r="AC140" i="57"/>
  <c r="AC131" i="57"/>
  <c r="AC78" i="57"/>
  <c r="AC70" i="57"/>
  <c r="M4" i="54" l="1"/>
  <c r="M3" i="54"/>
  <c r="L4" i="54"/>
  <c r="L3" i="54"/>
  <c r="AE4" i="54"/>
  <c r="AE3" i="54"/>
  <c r="AD4" i="54"/>
  <c r="AD3" i="54"/>
  <c r="AC4" i="54"/>
  <c r="AC3" i="54"/>
  <c r="AA4" i="54"/>
  <c r="AA3" i="54"/>
  <c r="AB4" i="54"/>
  <c r="Z4" i="54"/>
  <c r="Z3" i="54"/>
  <c r="Y4" i="54"/>
  <c r="Y3" i="54"/>
  <c r="AF3" i="54" l="1"/>
  <c r="AG4" i="54"/>
  <c r="AG3" i="54"/>
  <c r="Y155" i="46" s="1"/>
  <c r="Y155" i="57" l="1"/>
  <c r="Z65" i="57"/>
  <c r="Z64" i="57"/>
  <c r="Z26" i="57"/>
  <c r="W17" i="57"/>
  <c r="AQ40" i="2"/>
  <c r="G40" i="2"/>
  <c r="AR158" i="57" l="1"/>
  <c r="BA158" i="57" s="1"/>
  <c r="AM158" i="57"/>
  <c r="AR157" i="57"/>
  <c r="BA157" i="57" s="1"/>
  <c r="AM157" i="57"/>
  <c r="AR156" i="57"/>
  <c r="BA156" i="57" s="1"/>
  <c r="AM156" i="57"/>
  <c r="AR155" i="57"/>
  <c r="BA155" i="57" s="1"/>
  <c r="AM155" i="57"/>
  <c r="N155" i="57"/>
  <c r="H155" i="57" s="1"/>
  <c r="J155" i="57" s="1"/>
  <c r="AD157" i="57" l="1"/>
  <c r="AD155" i="57"/>
  <c r="AD158" i="57"/>
  <c r="AD156" i="57"/>
  <c r="AP10" i="48"/>
  <c r="AP11" i="48"/>
  <c r="AP12" i="48"/>
  <c r="AP13" i="48"/>
  <c r="AP14" i="48"/>
  <c r="AP15" i="48"/>
  <c r="AP16" i="48"/>
  <c r="AP17" i="48"/>
  <c r="AP18" i="48"/>
  <c r="AP19" i="48"/>
  <c r="AP20" i="48"/>
  <c r="AP21" i="48"/>
  <c r="AP22" i="48"/>
  <c r="AP23" i="48"/>
  <c r="AP24" i="48"/>
  <c r="AP25" i="48"/>
  <c r="AP26" i="48"/>
  <c r="AP27" i="48"/>
  <c r="AP28" i="48"/>
  <c r="AP29" i="48"/>
  <c r="AP30" i="48"/>
  <c r="AP31" i="48"/>
  <c r="AP32" i="48"/>
  <c r="AP33" i="48"/>
  <c r="AP34" i="48"/>
  <c r="AP35" i="48"/>
  <c r="AP36" i="48"/>
  <c r="AP37" i="48"/>
  <c r="AP38" i="48"/>
  <c r="AP39" i="48"/>
  <c r="F94" i="47" l="1"/>
  <c r="E94" i="47"/>
  <c r="G94" i="47" s="1"/>
  <c r="H94" i="47" s="1"/>
  <c r="O155" i="57" s="1"/>
  <c r="Z26" i="46"/>
  <c r="T155" i="57" l="1"/>
  <c r="C155" i="57"/>
  <c r="K155" i="57"/>
  <c r="AC155" i="57" s="1"/>
  <c r="U155" i="57"/>
  <c r="V155" i="57"/>
  <c r="P155" i="57"/>
  <c r="O155" i="46"/>
  <c r="AM158" i="46"/>
  <c r="AR158" i="46"/>
  <c r="BA158" i="46" s="1"/>
  <c r="BA39" i="48" l="1"/>
  <c r="AD158" i="46"/>
  <c r="U155" i="46"/>
  <c r="N155" i="46"/>
  <c r="AR157" i="46"/>
  <c r="BA157" i="46" s="1"/>
  <c r="AM157" i="46"/>
  <c r="AR156" i="46"/>
  <c r="BA156" i="46" s="1"/>
  <c r="AM156" i="46"/>
  <c r="AR155" i="46"/>
  <c r="BA155" i="46" s="1"/>
  <c r="AM155" i="46"/>
  <c r="F32" i="43"/>
  <c r="F23" i="43"/>
  <c r="G42" i="43"/>
  <c r="I37" i="43" s="1"/>
  <c r="F42" i="43"/>
  <c r="X37" i="43"/>
  <c r="AA25" i="43"/>
  <c r="AB25" i="43" s="1"/>
  <c r="Z25" i="43"/>
  <c r="AA24" i="43"/>
  <c r="AB24" i="43" s="1"/>
  <c r="Z24" i="43"/>
  <c r="AB7" i="43"/>
  <c r="Z7" i="43"/>
  <c r="AC7" i="43" s="1"/>
  <c r="AA13" i="43"/>
  <c r="AA14" i="43" s="1"/>
  <c r="AB6" i="43"/>
  <c r="Z6" i="43"/>
  <c r="AC6" i="43" s="1"/>
  <c r="I38" i="43"/>
  <c r="I94" i="47" s="1"/>
  <c r="F9" i="43"/>
  <c r="F14" i="43" s="1"/>
  <c r="AA31" i="43" l="1"/>
  <c r="AA32" i="43" s="1"/>
  <c r="AD155" i="46"/>
  <c r="AC24" i="43"/>
  <c r="V155" i="46"/>
  <c r="AD157" i="46"/>
  <c r="AD156" i="46"/>
  <c r="P155" i="46"/>
  <c r="T155" i="46"/>
  <c r="C155" i="46"/>
  <c r="N39" i="48" s="1"/>
  <c r="H155" i="46"/>
  <c r="AC25" i="43"/>
  <c r="AB31" i="43"/>
  <c r="AB32" i="43" s="1"/>
  <c r="AC13" i="43"/>
  <c r="AC14" i="43" s="1"/>
  <c r="AB13" i="43"/>
  <c r="AB14" i="43" s="1"/>
  <c r="AC31" i="43" l="1"/>
  <c r="AC32" i="43" s="1"/>
  <c r="J155" i="46"/>
  <c r="K155" i="46"/>
  <c r="AC155" i="46" l="1"/>
  <c r="L39" i="48"/>
  <c r="AC156" i="46"/>
  <c r="AQ39" i="2" l="1"/>
  <c r="G39" i="2"/>
  <c r="AR153" i="57" l="1"/>
  <c r="BA153" i="57" s="1"/>
  <c r="AM153" i="57"/>
  <c r="AR152" i="57"/>
  <c r="BA152" i="57" s="1"/>
  <c r="AM152" i="57"/>
  <c r="AD152" i="57" s="1"/>
  <c r="N152" i="57"/>
  <c r="AR151" i="57"/>
  <c r="BA151" i="57" s="1"/>
  <c r="AM151" i="57"/>
  <c r="N151" i="57"/>
  <c r="H151" i="57" s="1"/>
  <c r="K13" i="4"/>
  <c r="W152" i="57" s="1"/>
  <c r="C7" i="4"/>
  <c r="K15" i="4" s="1"/>
  <c r="W151" i="57" s="1"/>
  <c r="F92" i="47"/>
  <c r="E92" i="47"/>
  <c r="G92" i="47" s="1"/>
  <c r="H92" i="47" s="1"/>
  <c r="E91" i="47"/>
  <c r="G91" i="47" s="1"/>
  <c r="E90" i="47"/>
  <c r="G90" i="47" s="1"/>
  <c r="AD151" i="57" l="1"/>
  <c r="AD153" i="57"/>
  <c r="O152" i="46"/>
  <c r="O152" i="57"/>
  <c r="U152" i="57" s="1"/>
  <c r="W151" i="46"/>
  <c r="W152" i="46"/>
  <c r="J151" i="57"/>
  <c r="P152" i="57"/>
  <c r="H152" i="57"/>
  <c r="H90" i="47"/>
  <c r="T152" i="57" l="1"/>
  <c r="V152" i="57"/>
  <c r="C152" i="57"/>
  <c r="O151" i="57"/>
  <c r="O151" i="46"/>
  <c r="K152" i="57"/>
  <c r="AC152" i="57" s="1"/>
  <c r="J152" i="57"/>
  <c r="P151" i="57" l="1"/>
  <c r="U151" i="57"/>
  <c r="AA151" i="57" s="1"/>
  <c r="T151" i="57"/>
  <c r="C151" i="57"/>
  <c r="V151" i="57"/>
  <c r="K151" i="57"/>
  <c r="N152" i="46"/>
  <c r="H152" i="46" s="1"/>
  <c r="C152" i="46"/>
  <c r="AR153" i="46"/>
  <c r="BA153" i="46" s="1"/>
  <c r="AM153" i="46"/>
  <c r="AR152" i="46"/>
  <c r="BA152" i="46" s="1"/>
  <c r="AM152" i="46"/>
  <c r="AR151" i="46"/>
  <c r="BA151" i="46" s="1"/>
  <c r="AM151" i="46"/>
  <c r="U151" i="46"/>
  <c r="N151" i="46"/>
  <c r="F26" i="4"/>
  <c r="F32" i="4" s="1"/>
  <c r="F9" i="4"/>
  <c r="I38" i="4"/>
  <c r="I90" i="47" s="1"/>
  <c r="AA38" i="4"/>
  <c r="AH16" i="4"/>
  <c r="AI10" i="4"/>
  <c r="AJ10" i="4"/>
  <c r="AI11" i="4"/>
  <c r="AJ11" i="4"/>
  <c r="AI12" i="4"/>
  <c r="AJ12" i="4"/>
  <c r="X151" i="57" l="1"/>
  <c r="AC151" i="57"/>
  <c r="BA38" i="48"/>
  <c r="AD153" i="46"/>
  <c r="AB151" i="57"/>
  <c r="V151" i="46"/>
  <c r="AD152" i="46"/>
  <c r="J152" i="46"/>
  <c r="K152" i="46"/>
  <c r="T152" i="46"/>
  <c r="V152" i="46"/>
  <c r="P152" i="46"/>
  <c r="U152" i="46"/>
  <c r="AA151" i="46" s="1"/>
  <c r="AD151" i="46"/>
  <c r="P151" i="46"/>
  <c r="T151" i="46"/>
  <c r="C151" i="46"/>
  <c r="N38" i="48" s="1"/>
  <c r="H151" i="46"/>
  <c r="AM126" i="46"/>
  <c r="S122" i="46"/>
  <c r="Q122" i="57"/>
  <c r="S122" i="57"/>
  <c r="AZ126" i="57"/>
  <c r="AR126" i="57"/>
  <c r="AM126" i="57"/>
  <c r="AR126" i="46"/>
  <c r="BA126" i="46" s="1"/>
  <c r="X49" i="10"/>
  <c r="T49" i="10"/>
  <c r="W49" i="10" s="1"/>
  <c r="E81" i="47"/>
  <c r="AR149" i="57"/>
  <c r="BA149" i="57" s="1"/>
  <c r="AM149" i="57"/>
  <c r="AR148" i="57"/>
  <c r="BA148" i="57" s="1"/>
  <c r="AM148" i="57"/>
  <c r="AR147" i="57"/>
  <c r="BA147" i="57" s="1"/>
  <c r="AM147" i="57"/>
  <c r="N147" i="57"/>
  <c r="AJ9" i="4"/>
  <c r="AI9" i="4"/>
  <c r="AI8" i="4"/>
  <c r="AJ8" i="4"/>
  <c r="AI7" i="4"/>
  <c r="AJ7" i="4"/>
  <c r="AI6" i="4"/>
  <c r="AJ6" i="4"/>
  <c r="Z26" i="4"/>
  <c r="AC26" i="4" s="1"/>
  <c r="AC33" i="4" s="1"/>
  <c r="AB26" i="4"/>
  <c r="AB33" i="4" s="1"/>
  <c r="AA18" i="4"/>
  <c r="AA17" i="4"/>
  <c r="Z18" i="4"/>
  <c r="Z17" i="4"/>
  <c r="Z16" i="4"/>
  <c r="AC16" i="4" s="1"/>
  <c r="AC19" i="4"/>
  <c r="AB19" i="4"/>
  <c r="AB16" i="4"/>
  <c r="AA8" i="4"/>
  <c r="AA7" i="4"/>
  <c r="AB7" i="4" s="1"/>
  <c r="AA6" i="4"/>
  <c r="AB6" i="4" s="1"/>
  <c r="AB9" i="4"/>
  <c r="Z9" i="4"/>
  <c r="AC9" i="4" s="1"/>
  <c r="Z8" i="4"/>
  <c r="Z7" i="4"/>
  <c r="Z6" i="4"/>
  <c r="AD148" i="57" l="1"/>
  <c r="AC6" i="4"/>
  <c r="BA126" i="57"/>
  <c r="AD126" i="57" s="1"/>
  <c r="AC7" i="4"/>
  <c r="AC8" i="4"/>
  <c r="AC18" i="4"/>
  <c r="AA13" i="4"/>
  <c r="AA14" i="4" s="1"/>
  <c r="AD149" i="57"/>
  <c r="AB8" i="4"/>
  <c r="AB13" i="4" s="1"/>
  <c r="AD147" i="57"/>
  <c r="AC17" i="4"/>
  <c r="AC152" i="46"/>
  <c r="K151" i="46"/>
  <c r="L38" i="48" s="1"/>
  <c r="J151" i="46"/>
  <c r="AJ16" i="4"/>
  <c r="AI16" i="4"/>
  <c r="AD126" i="46"/>
  <c r="Y49" i="10"/>
  <c r="H147" i="57"/>
  <c r="AH17" i="4"/>
  <c r="AA33" i="4"/>
  <c r="AA34" i="4" s="1"/>
  <c r="AB18" i="4"/>
  <c r="AA23" i="4"/>
  <c r="AA24" i="4" s="1"/>
  <c r="AB17" i="4"/>
  <c r="M36" i="55"/>
  <c r="M35" i="55"/>
  <c r="D35" i="55"/>
  <c r="D36" i="55"/>
  <c r="AC13" i="4" l="1"/>
  <c r="AC14" i="4" s="1"/>
  <c r="AB14" i="4"/>
  <c r="AC23" i="4"/>
  <c r="AC151" i="46"/>
  <c r="AB151" i="46" s="1"/>
  <c r="X151" i="46"/>
  <c r="J147" i="57"/>
  <c r="AJ17" i="4"/>
  <c r="AI17" i="4"/>
  <c r="AB34" i="4"/>
  <c r="AC34" i="4"/>
  <c r="AB23" i="4"/>
  <c r="AB24" i="4" s="1"/>
  <c r="AC24" i="4"/>
  <c r="AR145" i="57" l="1"/>
  <c r="BA145" i="57" s="1"/>
  <c r="AM145" i="57"/>
  <c r="AR144" i="57"/>
  <c r="BA144" i="57" s="1"/>
  <c r="AM144" i="57"/>
  <c r="AD144" i="57" s="1"/>
  <c r="AR143" i="57"/>
  <c r="BA143" i="57" s="1"/>
  <c r="AM143" i="57"/>
  <c r="N143" i="57"/>
  <c r="F88" i="47"/>
  <c r="F87" i="47"/>
  <c r="E87" i="47"/>
  <c r="E88" i="47"/>
  <c r="F85" i="47"/>
  <c r="F84" i="47"/>
  <c r="E85" i="47"/>
  <c r="E84" i="47"/>
  <c r="G88" i="47" l="1"/>
  <c r="H88" i="47" s="1"/>
  <c r="G87" i="47"/>
  <c r="H87" i="47" s="1"/>
  <c r="O147" i="57" s="1"/>
  <c r="V147" i="57" s="1"/>
  <c r="AD145" i="57"/>
  <c r="AD143" i="57"/>
  <c r="P147" i="57"/>
  <c r="T147" i="57"/>
  <c r="C147" i="57"/>
  <c r="H143" i="57"/>
  <c r="G85" i="47"/>
  <c r="H85" i="47" s="1"/>
  <c r="G84" i="47"/>
  <c r="H84" i="47" s="1"/>
  <c r="O143" i="57" s="1"/>
  <c r="U147" i="57" l="1"/>
  <c r="K147" i="57"/>
  <c r="AC147" i="57" s="1"/>
  <c r="U143" i="57"/>
  <c r="V143" i="57"/>
  <c r="P143" i="57"/>
  <c r="C143" i="57"/>
  <c r="T143" i="57"/>
  <c r="K143" i="57"/>
  <c r="AC143" i="57" s="1"/>
  <c r="J143" i="57"/>
  <c r="BA37" i="48" l="1"/>
  <c r="BA36" i="48"/>
  <c r="AQ38" i="2"/>
  <c r="AQ37" i="2"/>
  <c r="G38" i="2"/>
  <c r="G37" i="2"/>
  <c r="N147" i="46" l="1"/>
  <c r="AR149" i="46"/>
  <c r="BA149" i="46" s="1"/>
  <c r="AM149" i="46"/>
  <c r="AD149" i="46" s="1"/>
  <c r="AR148" i="46"/>
  <c r="BA148" i="46" s="1"/>
  <c r="AM148" i="46"/>
  <c r="AC148" i="46"/>
  <c r="AR147" i="46"/>
  <c r="BA147" i="46" s="1"/>
  <c r="AM147" i="46"/>
  <c r="O147" i="46"/>
  <c r="AR145" i="46"/>
  <c r="BA145" i="46" s="1"/>
  <c r="AM145" i="46"/>
  <c r="AR144" i="46"/>
  <c r="BA144" i="46" s="1"/>
  <c r="AM144" i="46"/>
  <c r="AC144" i="46"/>
  <c r="AR143" i="46"/>
  <c r="BA143" i="46" s="1"/>
  <c r="AM143" i="46"/>
  <c r="O143" i="46"/>
  <c r="U143" i="46" s="1"/>
  <c r="N143" i="46"/>
  <c r="F26" i="37"/>
  <c r="I38" i="37"/>
  <c r="I87" i="47" s="1"/>
  <c r="Z26" i="37"/>
  <c r="AC26" i="37" s="1"/>
  <c r="AC33" i="37" s="1"/>
  <c r="AA23" i="37"/>
  <c r="AA24" i="37" s="1"/>
  <c r="AB16" i="37"/>
  <c r="AB23" i="37" s="1"/>
  <c r="Z16" i="37"/>
  <c r="AC16" i="37" s="1"/>
  <c r="AC23" i="37" s="1"/>
  <c r="AA8" i="37"/>
  <c r="AB8" i="37" s="1"/>
  <c r="AA7" i="37"/>
  <c r="AB7" i="37" s="1"/>
  <c r="AA6" i="37"/>
  <c r="AB6" i="37" s="1"/>
  <c r="Z8" i="37"/>
  <c r="Z7" i="37"/>
  <c r="Z6" i="37"/>
  <c r="F26" i="6"/>
  <c r="I38" i="6"/>
  <c r="I84" i="47" s="1"/>
  <c r="AA13" i="6"/>
  <c r="AA14" i="6" s="1"/>
  <c r="AB8" i="6"/>
  <c r="Z8" i="6"/>
  <c r="AC8" i="6" s="1"/>
  <c r="AB7" i="6"/>
  <c r="Z7" i="6"/>
  <c r="AC7" i="6" s="1"/>
  <c r="AB6" i="6"/>
  <c r="Z6" i="6"/>
  <c r="AC6" i="6" s="1"/>
  <c r="AC6" i="37" l="1"/>
  <c r="AD145" i="46"/>
  <c r="AD144" i="46"/>
  <c r="AB13" i="6"/>
  <c r="AB14" i="6" s="1"/>
  <c r="AC7" i="37"/>
  <c r="V147" i="46"/>
  <c r="V143" i="46"/>
  <c r="AD148" i="46"/>
  <c r="AD143" i="46"/>
  <c r="U147" i="46"/>
  <c r="AD147" i="46"/>
  <c r="P147" i="46"/>
  <c r="T147" i="46"/>
  <c r="C147" i="46"/>
  <c r="N37" i="48" s="1"/>
  <c r="H147" i="46"/>
  <c r="P143" i="46"/>
  <c r="T143" i="46"/>
  <c r="C143" i="46"/>
  <c r="N36" i="48" s="1"/>
  <c r="H143" i="46"/>
  <c r="AB26" i="37"/>
  <c r="AB33" i="37" s="1"/>
  <c r="AA33" i="37"/>
  <c r="AA34" i="37" s="1"/>
  <c r="AB24" i="37"/>
  <c r="AC24" i="37"/>
  <c r="AC8" i="37"/>
  <c r="AB13" i="37"/>
  <c r="AA13" i="37"/>
  <c r="AA14" i="37" s="1"/>
  <c r="AC13" i="6"/>
  <c r="AC14" i="6" s="1"/>
  <c r="AC13" i="37" l="1"/>
  <c r="AC14" i="37" s="1"/>
  <c r="K147" i="46"/>
  <c r="L37" i="48" s="1"/>
  <c r="J147" i="46"/>
  <c r="K143" i="46"/>
  <c r="L36" i="48" s="1"/>
  <c r="J143" i="46"/>
  <c r="AC34" i="37"/>
  <c r="AB34" i="37"/>
  <c r="AB14" i="37"/>
  <c r="AC147" i="46" l="1"/>
  <c r="AC143" i="46"/>
  <c r="AQ36" i="2" l="1"/>
  <c r="G36" i="2"/>
  <c r="AR141" i="57" l="1"/>
  <c r="BA141" i="57" s="1"/>
  <c r="AM141" i="57"/>
  <c r="AR140" i="57"/>
  <c r="BA140" i="57" s="1"/>
  <c r="AM140" i="57"/>
  <c r="AD140" i="57" s="1"/>
  <c r="AR139" i="57"/>
  <c r="BA139" i="57" s="1"/>
  <c r="AM139" i="57"/>
  <c r="N139" i="57"/>
  <c r="F82" i="47"/>
  <c r="F80" i="47"/>
  <c r="E82" i="47"/>
  <c r="G81" i="47"/>
  <c r="E80" i="47"/>
  <c r="AD141" i="57" l="1"/>
  <c r="AD139" i="57"/>
  <c r="G82" i="47"/>
  <c r="H82" i="47" s="1"/>
  <c r="H80" i="47"/>
  <c r="O139" i="57" s="1"/>
  <c r="U139" i="57" s="1"/>
  <c r="G80" i="47"/>
  <c r="H139" i="57"/>
  <c r="C139" i="57" l="1"/>
  <c r="P139" i="57"/>
  <c r="T139" i="57"/>
  <c r="O139" i="46"/>
  <c r="V139" i="57"/>
  <c r="K139" i="57"/>
  <c r="AC139" i="57" s="1"/>
  <c r="J139" i="57"/>
  <c r="BA35" i="48" l="1"/>
  <c r="F17" i="7"/>
  <c r="I38" i="7"/>
  <c r="I80" i="47" s="1"/>
  <c r="U139" i="46" l="1"/>
  <c r="N139" i="46"/>
  <c r="AR141" i="46"/>
  <c r="BA141" i="46" s="1"/>
  <c r="AM141" i="46"/>
  <c r="AD141" i="46" s="1"/>
  <c r="AR140" i="46"/>
  <c r="BA140" i="46" s="1"/>
  <c r="AM140" i="46"/>
  <c r="AR139" i="46"/>
  <c r="BA139" i="46" s="1"/>
  <c r="AM139" i="46"/>
  <c r="G42" i="7"/>
  <c r="I37" i="7" s="1"/>
  <c r="F42" i="7"/>
  <c r="P8" i="7"/>
  <c r="S8" i="7" s="1"/>
  <c r="P7" i="7"/>
  <c r="Q13" i="7"/>
  <c r="Q14" i="7" s="1"/>
  <c r="R8" i="7"/>
  <c r="R6" i="7"/>
  <c r="P6" i="7"/>
  <c r="S6" i="7" s="1"/>
  <c r="AD140" i="46" l="1"/>
  <c r="V139" i="46"/>
  <c r="AD139" i="46"/>
  <c r="P139" i="46"/>
  <c r="T139" i="46"/>
  <c r="C139" i="46"/>
  <c r="N35" i="48" s="1"/>
  <c r="H139" i="46"/>
  <c r="S7" i="7"/>
  <c r="S13" i="7" s="1"/>
  <c r="S14" i="7" s="1"/>
  <c r="R7" i="7"/>
  <c r="R13" i="7" s="1"/>
  <c r="R14" i="7" s="1"/>
  <c r="J139" i="46" l="1"/>
  <c r="K139" i="46"/>
  <c r="L35" i="48" s="1"/>
  <c r="AC140" i="46"/>
  <c r="AC139" i="46" l="1"/>
  <c r="J4" i="27" l="1"/>
  <c r="AQ35" i="2" l="1"/>
  <c r="G35" i="2"/>
  <c r="AR137" i="57" l="1"/>
  <c r="BA137" i="57" s="1"/>
  <c r="AM137" i="57"/>
  <c r="AR136" i="57"/>
  <c r="BA136" i="57" s="1"/>
  <c r="AM136" i="57"/>
  <c r="N136" i="57"/>
  <c r="AR135" i="57"/>
  <c r="BA135" i="57" s="1"/>
  <c r="AM135" i="57"/>
  <c r="AD135" i="57" s="1"/>
  <c r="N135" i="57"/>
  <c r="K16" i="8"/>
  <c r="W135" i="57" s="1"/>
  <c r="K15" i="8"/>
  <c r="W136" i="57" s="1"/>
  <c r="F78" i="47"/>
  <c r="E78" i="47"/>
  <c r="E77" i="47"/>
  <c r="G77" i="47" s="1"/>
  <c r="H77" i="47" s="1"/>
  <c r="O135" i="57" s="1"/>
  <c r="AD136" i="57" l="1"/>
  <c r="AD137" i="57"/>
  <c r="W136" i="46"/>
  <c r="W135" i="46"/>
  <c r="G78" i="47"/>
  <c r="H78" i="47" s="1"/>
  <c r="O136" i="57" s="1"/>
  <c r="U136" i="57" s="1"/>
  <c r="P135" i="57"/>
  <c r="C135" i="57"/>
  <c r="O135" i="46"/>
  <c r="V135" i="57"/>
  <c r="T135" i="57"/>
  <c r="U135" i="57"/>
  <c r="H135" i="57"/>
  <c r="H136" i="57"/>
  <c r="T136" i="57" l="1"/>
  <c r="C136" i="57"/>
  <c r="AA135" i="57"/>
  <c r="V136" i="57"/>
  <c r="P136" i="57"/>
  <c r="O136" i="46"/>
  <c r="K136" i="57"/>
  <c r="AC136" i="57" s="1"/>
  <c r="J136" i="57"/>
  <c r="K135" i="57"/>
  <c r="AC135" i="57" s="1"/>
  <c r="J135" i="57"/>
  <c r="X135" i="57" l="1"/>
  <c r="BA34" i="48"/>
  <c r="AB135" i="57"/>
  <c r="F26" i="8"/>
  <c r="F9" i="8"/>
  <c r="I38" i="8"/>
  <c r="I77" i="47" s="1"/>
  <c r="N136" i="46" l="1"/>
  <c r="H136" i="46" s="1"/>
  <c r="J136" i="46" s="1"/>
  <c r="U136" i="46"/>
  <c r="AR137" i="46"/>
  <c r="BA137" i="46" s="1"/>
  <c r="AM137" i="46"/>
  <c r="AR136" i="46"/>
  <c r="BA136" i="46" s="1"/>
  <c r="AM136" i="46"/>
  <c r="AR135" i="46"/>
  <c r="BA135" i="46" s="1"/>
  <c r="AM135" i="46"/>
  <c r="P135" i="46"/>
  <c r="N135" i="46"/>
  <c r="H135" i="46" s="1"/>
  <c r="J135" i="46" s="1"/>
  <c r="X32" i="8"/>
  <c r="X33" i="8" s="1"/>
  <c r="Z27" i="8"/>
  <c r="Y27" i="8"/>
  <c r="Z26" i="8"/>
  <c r="Y25" i="8"/>
  <c r="Z25" i="8"/>
  <c r="G42" i="8"/>
  <c r="I37" i="8" s="1"/>
  <c r="F42" i="8"/>
  <c r="S27" i="8"/>
  <c r="Q27" i="8"/>
  <c r="T27" i="8" s="1"/>
  <c r="R26" i="8"/>
  <c r="T26" i="8" s="1"/>
  <c r="S25" i="8"/>
  <c r="Q25" i="8"/>
  <c r="T25" i="8" s="1"/>
  <c r="Q15" i="8"/>
  <c r="T15" i="8" s="1"/>
  <c r="S17" i="8"/>
  <c r="Q17" i="8"/>
  <c r="T17" i="8" s="1"/>
  <c r="R16" i="8"/>
  <c r="R6" i="8"/>
  <c r="R7" i="8" s="1"/>
  <c r="S7" i="8" s="1"/>
  <c r="Q7" i="8"/>
  <c r="S8" i="8"/>
  <c r="Q8" i="8"/>
  <c r="T8" i="8" s="1"/>
  <c r="Q6" i="8"/>
  <c r="R32" i="8" l="1"/>
  <c r="R33" i="8" s="1"/>
  <c r="Z32" i="8"/>
  <c r="Z33" i="8" s="1"/>
  <c r="T32" i="8"/>
  <c r="T33" i="8" s="1"/>
  <c r="V136" i="46"/>
  <c r="AD136" i="46"/>
  <c r="T135" i="46"/>
  <c r="C135" i="46"/>
  <c r="AD137" i="46"/>
  <c r="C136" i="46"/>
  <c r="T136" i="46"/>
  <c r="P136" i="46"/>
  <c r="K136" i="46"/>
  <c r="AC136" i="46" s="1"/>
  <c r="AD135" i="46"/>
  <c r="V135" i="46"/>
  <c r="K135" i="46"/>
  <c r="U135" i="46"/>
  <c r="AA135" i="46" s="1"/>
  <c r="Y26" i="8"/>
  <c r="Y32" i="8" s="1"/>
  <c r="Y33" i="8" s="1"/>
  <c r="S26" i="8"/>
  <c r="S32" i="8" s="1"/>
  <c r="S33" i="8" s="1"/>
  <c r="S16" i="8"/>
  <c r="T16" i="8"/>
  <c r="T22" i="8" s="1"/>
  <c r="S15" i="8"/>
  <c r="R22" i="8"/>
  <c r="R23" i="8" s="1"/>
  <c r="T7" i="8"/>
  <c r="R13" i="8"/>
  <c r="R14" i="8" s="1"/>
  <c r="T6" i="8"/>
  <c r="S6" i="8"/>
  <c r="S13" i="8"/>
  <c r="AQ34" i="2"/>
  <c r="G34" i="2"/>
  <c r="T13" i="8" l="1"/>
  <c r="T14" i="8" s="1"/>
  <c r="S14" i="8"/>
  <c r="X135" i="46"/>
  <c r="N34" i="48"/>
  <c r="AC135" i="46"/>
  <c r="L34" i="48"/>
  <c r="AB135" i="46"/>
  <c r="T23" i="8"/>
  <c r="S22" i="8"/>
  <c r="S23" i="8" s="1"/>
  <c r="AR133" i="57"/>
  <c r="BA133" i="57" s="1"/>
  <c r="AM133" i="57"/>
  <c r="AR132" i="57"/>
  <c r="BA132" i="57" s="1"/>
  <c r="AM132" i="57"/>
  <c r="AR131" i="57"/>
  <c r="BA131" i="57" s="1"/>
  <c r="AM131" i="57"/>
  <c r="AR130" i="57"/>
  <c r="BA130" i="57" s="1"/>
  <c r="AM130" i="57"/>
  <c r="N130" i="57"/>
  <c r="H130" i="57" s="1"/>
  <c r="F74" i="47"/>
  <c r="E75" i="47"/>
  <c r="G75" i="47" s="1"/>
  <c r="E74" i="47"/>
  <c r="AD131" i="57" l="1"/>
  <c r="AD132" i="57"/>
  <c r="AD133" i="57"/>
  <c r="AD130" i="57"/>
  <c r="G74" i="47"/>
  <c r="J130" i="57"/>
  <c r="H74" i="47"/>
  <c r="O130" i="46" l="1"/>
  <c r="U130" i="46" s="1"/>
  <c r="O130" i="57"/>
  <c r="AR133" i="46"/>
  <c r="BA133" i="46" s="1"/>
  <c r="AM133" i="46"/>
  <c r="N130" i="46"/>
  <c r="H130" i="46" s="1"/>
  <c r="AR132" i="46"/>
  <c r="BA132" i="46" s="1"/>
  <c r="AM132" i="46"/>
  <c r="AR131" i="46"/>
  <c r="BA131" i="46" s="1"/>
  <c r="AM131" i="46"/>
  <c r="AR130" i="46"/>
  <c r="BA130" i="46" s="1"/>
  <c r="AM130" i="46"/>
  <c r="F17" i="9"/>
  <c r="I38" i="9"/>
  <c r="I74" i="47" s="1"/>
  <c r="G42" i="9"/>
  <c r="I37" i="9" s="1"/>
  <c r="F42" i="9"/>
  <c r="P26" i="9"/>
  <c r="S26" i="9" s="1"/>
  <c r="Q33" i="9"/>
  <c r="Q34" i="9" s="1"/>
  <c r="R28" i="9"/>
  <c r="P28" i="9"/>
  <c r="S28" i="9" s="1"/>
  <c r="R27" i="9"/>
  <c r="P27" i="9"/>
  <c r="S27" i="9" s="1"/>
  <c r="R26" i="9"/>
  <c r="R33" i="9" s="1"/>
  <c r="R18" i="9"/>
  <c r="P18" i="9"/>
  <c r="S18" i="9" s="1"/>
  <c r="R17" i="9"/>
  <c r="P17" i="9"/>
  <c r="S17" i="9" s="1"/>
  <c r="Q23" i="9"/>
  <c r="Q24" i="9" s="1"/>
  <c r="P16" i="9"/>
  <c r="S16" i="9" s="1"/>
  <c r="Q8" i="9"/>
  <c r="R8" i="9" s="1"/>
  <c r="Q7" i="9"/>
  <c r="R7" i="9" s="1"/>
  <c r="Q6" i="9"/>
  <c r="P8" i="9"/>
  <c r="P7" i="9"/>
  <c r="P6" i="9"/>
  <c r="AD133" i="46" l="1"/>
  <c r="Q13" i="9"/>
  <c r="Q14" i="9" s="1"/>
  <c r="R6" i="9"/>
  <c r="R13" i="9" s="1"/>
  <c r="R14" i="9" s="1"/>
  <c r="C130" i="46"/>
  <c r="N33" i="48" s="1"/>
  <c r="K130" i="46"/>
  <c r="L33" i="48" s="1"/>
  <c r="T130" i="46"/>
  <c r="P130" i="46"/>
  <c r="S33" i="9"/>
  <c r="S34" i="9" s="1"/>
  <c r="S6" i="9"/>
  <c r="R34" i="9"/>
  <c r="S7" i="9"/>
  <c r="T130" i="57"/>
  <c r="U130" i="57"/>
  <c r="C130" i="57"/>
  <c r="K130" i="57"/>
  <c r="AC130" i="57" s="1"/>
  <c r="P130" i="57"/>
  <c r="V130" i="57"/>
  <c r="AD132" i="46"/>
  <c r="AD131" i="46"/>
  <c r="AD130" i="46"/>
  <c r="V130" i="46"/>
  <c r="J130" i="46"/>
  <c r="AC131" i="46"/>
  <c r="S23" i="9"/>
  <c r="S24" i="9" s="1"/>
  <c r="R16" i="9"/>
  <c r="R23" i="9" s="1"/>
  <c r="R24" i="9" s="1"/>
  <c r="S8" i="9"/>
  <c r="S13" i="9" l="1"/>
  <c r="S14" i="9" s="1"/>
  <c r="BA33" i="48"/>
  <c r="AC130" i="46"/>
  <c r="AQ33" i="2"/>
  <c r="G33" i="2"/>
  <c r="R122" i="57" l="1"/>
  <c r="AZ125" i="57"/>
  <c r="AR128" i="57"/>
  <c r="BA128" i="57" s="1"/>
  <c r="AM128" i="57"/>
  <c r="AR127" i="57"/>
  <c r="BA127" i="57" s="1"/>
  <c r="AM127" i="57"/>
  <c r="AR125" i="57"/>
  <c r="AM125" i="57"/>
  <c r="AR124" i="57"/>
  <c r="BA124" i="57" s="1"/>
  <c r="AM124" i="57"/>
  <c r="AD124" i="57" s="1"/>
  <c r="AR123" i="57"/>
  <c r="BA123" i="57" s="1"/>
  <c r="AM123" i="57"/>
  <c r="N123" i="57"/>
  <c r="H123" i="57" s="1"/>
  <c r="J123" i="57" s="1"/>
  <c r="AR122" i="57"/>
  <c r="BA122" i="57" s="1"/>
  <c r="AM122" i="57"/>
  <c r="N122" i="57"/>
  <c r="AM128" i="46"/>
  <c r="AR128" i="46"/>
  <c r="BA128" i="46" s="1"/>
  <c r="AM127" i="46"/>
  <c r="AR127" i="46"/>
  <c r="BA127" i="46" s="1"/>
  <c r="F28" i="10"/>
  <c r="F19" i="10"/>
  <c r="F11" i="10"/>
  <c r="V46" i="10"/>
  <c r="T44" i="10"/>
  <c r="W44" i="10" s="1"/>
  <c r="T43" i="10"/>
  <c r="W43" i="10" s="1"/>
  <c r="AD123" i="57" l="1"/>
  <c r="AD128" i="57"/>
  <c r="AD127" i="57"/>
  <c r="AD122" i="57"/>
  <c r="BA125" i="57"/>
  <c r="AD125" i="57" s="1"/>
  <c r="H122" i="57"/>
  <c r="AD128" i="46"/>
  <c r="AD127" i="46"/>
  <c r="J122" i="57" l="1"/>
  <c r="K12" i="10"/>
  <c r="W122" i="57" s="1"/>
  <c r="K16" i="10"/>
  <c r="W123" i="57" s="1"/>
  <c r="E71" i="47"/>
  <c r="E72" i="47"/>
  <c r="G72" i="47"/>
  <c r="H72" i="47" s="1"/>
  <c r="W123" i="46" l="1"/>
  <c r="W122" i="46"/>
  <c r="O123" i="57"/>
  <c r="O123" i="46"/>
  <c r="G71" i="47"/>
  <c r="H71" i="47" s="1"/>
  <c r="O122" i="57" l="1"/>
  <c r="O122" i="46"/>
  <c r="C122" i="46" s="1"/>
  <c r="T123" i="57"/>
  <c r="V123" i="57"/>
  <c r="C123" i="57"/>
  <c r="P123" i="57"/>
  <c r="U123" i="57"/>
  <c r="K123" i="57"/>
  <c r="AC123" i="57" s="1"/>
  <c r="Q122" i="46"/>
  <c r="N123" i="46"/>
  <c r="H123" i="46" s="1"/>
  <c r="C123" i="46"/>
  <c r="AR125" i="46"/>
  <c r="BA125" i="46" s="1"/>
  <c r="AM125" i="46"/>
  <c r="AR124" i="46"/>
  <c r="BA124" i="46" s="1"/>
  <c r="AM124" i="46"/>
  <c r="AR123" i="46"/>
  <c r="BA123" i="46" s="1"/>
  <c r="AM123" i="46"/>
  <c r="AR122" i="46"/>
  <c r="BA122" i="46" s="1"/>
  <c r="AM122" i="46"/>
  <c r="N122" i="46"/>
  <c r="M47" i="10"/>
  <c r="I38" i="10"/>
  <c r="I71" i="47" s="1"/>
  <c r="R38" i="10"/>
  <c r="Y20" i="10"/>
  <c r="X20" i="10"/>
  <c r="X19" i="10"/>
  <c r="Y19" i="10"/>
  <c r="X18" i="10"/>
  <c r="Y18" i="10"/>
  <c r="X17" i="10"/>
  <c r="Y17" i="10"/>
  <c r="Y16" i="10"/>
  <c r="X10" i="10"/>
  <c r="Y10" i="10"/>
  <c r="W9" i="10"/>
  <c r="X9" i="10" s="1"/>
  <c r="V9" i="10"/>
  <c r="W8" i="10"/>
  <c r="U8" i="10"/>
  <c r="W7" i="10"/>
  <c r="X7" i="10" s="1"/>
  <c r="V7" i="10"/>
  <c r="W6" i="10"/>
  <c r="V6" i="10"/>
  <c r="G42" i="10"/>
  <c r="I37" i="10" s="1"/>
  <c r="F42" i="10"/>
  <c r="N46" i="10"/>
  <c r="Q28" i="10"/>
  <c r="R28" i="10" s="1"/>
  <c r="Q27" i="10"/>
  <c r="R27" i="10" s="1"/>
  <c r="Q26" i="10"/>
  <c r="P27" i="10"/>
  <c r="P28" i="10"/>
  <c r="P26" i="10"/>
  <c r="P19" i="10"/>
  <c r="P18" i="10"/>
  <c r="P17" i="10"/>
  <c r="Q16" i="10"/>
  <c r="R16" i="10" s="1"/>
  <c r="Q19" i="10"/>
  <c r="R19" i="10" s="1"/>
  <c r="Q18" i="10"/>
  <c r="R18" i="10" s="1"/>
  <c r="Q17" i="10"/>
  <c r="R17" i="10" s="1"/>
  <c r="P16" i="10"/>
  <c r="N32" i="48" l="1"/>
  <c r="S26" i="10"/>
  <c r="S17" i="10"/>
  <c r="X8" i="10"/>
  <c r="Y6" i="10"/>
  <c r="Y9" i="10"/>
  <c r="V122" i="46"/>
  <c r="H122" i="46"/>
  <c r="S27" i="10"/>
  <c r="S28" i="10"/>
  <c r="Q33" i="10"/>
  <c r="Q34" i="10" s="1"/>
  <c r="U122" i="57"/>
  <c r="AA122" i="57" s="1"/>
  <c r="V122" i="57"/>
  <c r="T122" i="57"/>
  <c r="P122" i="57"/>
  <c r="C122" i="57"/>
  <c r="K122" i="57"/>
  <c r="Y7" i="10"/>
  <c r="T122" i="46"/>
  <c r="P122" i="46"/>
  <c r="R26" i="10"/>
  <c r="R33" i="10" s="1"/>
  <c r="U122" i="46"/>
  <c r="AD125" i="46"/>
  <c r="W13" i="10"/>
  <c r="W14" i="10" s="1"/>
  <c r="S19" i="10"/>
  <c r="AD124" i="46"/>
  <c r="AD123" i="46"/>
  <c r="AD122" i="46"/>
  <c r="J123" i="46"/>
  <c r="K123" i="46"/>
  <c r="P123" i="46"/>
  <c r="V123" i="46"/>
  <c r="T123" i="46"/>
  <c r="U123" i="46"/>
  <c r="Y25" i="10"/>
  <c r="X16" i="10"/>
  <c r="X25" i="10" s="1"/>
  <c r="W25" i="10"/>
  <c r="W26" i="10" s="1"/>
  <c r="V8" i="10"/>
  <c r="Y8" i="10" s="1"/>
  <c r="X6" i="10"/>
  <c r="X13" i="10" s="1"/>
  <c r="S16" i="10"/>
  <c r="R23" i="10"/>
  <c r="S18" i="10"/>
  <c r="Q23" i="10"/>
  <c r="Q24" i="10" s="1"/>
  <c r="O4" i="54"/>
  <c r="O3" i="54"/>
  <c r="P4" i="54"/>
  <c r="P3" i="54"/>
  <c r="Q4" i="54"/>
  <c r="Q3" i="54"/>
  <c r="Q9" i="10"/>
  <c r="R9" i="10" s="1"/>
  <c r="Q8" i="10"/>
  <c r="Q7" i="10"/>
  <c r="R7" i="10" s="1"/>
  <c r="Q6" i="10"/>
  <c r="R6" i="10" s="1"/>
  <c r="P7" i="10"/>
  <c r="P9" i="10"/>
  <c r="O8" i="10"/>
  <c r="P8" i="10" s="1"/>
  <c r="P6" i="10"/>
  <c r="F12" i="10"/>
  <c r="X122" i="57" l="1"/>
  <c r="AC122" i="57"/>
  <c r="R34" i="10"/>
  <c r="S33" i="10"/>
  <c r="R8" i="10"/>
  <c r="AB122" i="57"/>
  <c r="X14" i="10"/>
  <c r="S34" i="10"/>
  <c r="Y13" i="10"/>
  <c r="Y14" i="10" s="1"/>
  <c r="BA32" i="48"/>
  <c r="AC123" i="46"/>
  <c r="AA122" i="46"/>
  <c r="K122" i="46"/>
  <c r="L32" i="48" s="1"/>
  <c r="J122" i="46"/>
  <c r="X26" i="10"/>
  <c r="Y26" i="10"/>
  <c r="S23" i="10"/>
  <c r="S24" i="10" s="1"/>
  <c r="R24" i="10"/>
  <c r="S9" i="10"/>
  <c r="S8" i="10"/>
  <c r="Q13" i="10"/>
  <c r="Q14" i="10" s="1"/>
  <c r="S7" i="10"/>
  <c r="R13" i="10"/>
  <c r="S6" i="10"/>
  <c r="AD166" i="57" l="1"/>
  <c r="S13" i="10"/>
  <c r="S14" i="10" s="1"/>
  <c r="R14" i="10"/>
  <c r="AC122" i="46"/>
  <c r="AD167" i="46" s="1"/>
  <c r="X122" i="46"/>
  <c r="AB122" i="46"/>
  <c r="E69" i="47"/>
  <c r="G69" i="47" s="1"/>
  <c r="E67" i="47"/>
  <c r="H67" i="47" s="1"/>
  <c r="O112" i="57" s="1"/>
  <c r="E65" i="47"/>
  <c r="H65" i="47" s="1"/>
  <c r="O107" i="46" s="1"/>
  <c r="E63" i="47"/>
  <c r="H63" i="47" s="1"/>
  <c r="O102" i="57" s="1"/>
  <c r="O112" i="46" l="1"/>
  <c r="H69" i="47"/>
  <c r="O117" i="57" s="1"/>
  <c r="O117" i="46"/>
  <c r="AE167" i="46"/>
  <c r="O107" i="57"/>
  <c r="O102" i="46"/>
  <c r="G67" i="47"/>
  <c r="G65" i="47"/>
  <c r="G63" i="47"/>
  <c r="AQ32" i="2"/>
  <c r="G32" i="2"/>
  <c r="AZ120" i="57" l="1"/>
  <c r="AR120" i="57"/>
  <c r="AM120" i="57"/>
  <c r="AR119" i="57"/>
  <c r="BA119" i="57" s="1"/>
  <c r="AM119" i="57"/>
  <c r="AR118" i="57"/>
  <c r="BA118" i="57" s="1"/>
  <c r="AM118" i="57"/>
  <c r="AR117" i="57"/>
  <c r="BA117" i="57" s="1"/>
  <c r="AM117" i="57"/>
  <c r="R117" i="57"/>
  <c r="Q117" i="57"/>
  <c r="C117" i="57"/>
  <c r="N117" i="57"/>
  <c r="H117" i="57" s="1"/>
  <c r="AR120" i="46"/>
  <c r="BA120" i="46" s="1"/>
  <c r="AM120" i="46"/>
  <c r="AR119" i="46"/>
  <c r="BA119" i="46" s="1"/>
  <c r="AM119" i="46"/>
  <c r="AR118" i="46"/>
  <c r="BA118" i="46" s="1"/>
  <c r="AM118" i="46"/>
  <c r="AR117" i="46"/>
  <c r="BA117" i="46" s="1"/>
  <c r="AM117" i="46"/>
  <c r="T117" i="46"/>
  <c r="P117" i="46"/>
  <c r="C117" i="46"/>
  <c r="N31" i="48" s="1"/>
  <c r="N117" i="46"/>
  <c r="V117" i="46" s="1"/>
  <c r="AD118" i="57" l="1"/>
  <c r="AD119" i="57"/>
  <c r="AD117" i="57"/>
  <c r="AD117" i="46"/>
  <c r="AD119" i="46"/>
  <c r="AD118" i="46"/>
  <c r="J117" i="57"/>
  <c r="K117" i="57"/>
  <c r="BA120" i="57"/>
  <c r="AD120" i="57" s="1"/>
  <c r="AD120" i="46"/>
  <c r="P117" i="57"/>
  <c r="T117" i="57"/>
  <c r="U117" i="57"/>
  <c r="AA117" i="57" s="1"/>
  <c r="V117" i="57"/>
  <c r="U117" i="46"/>
  <c r="AA117" i="46" s="1"/>
  <c r="H117" i="46"/>
  <c r="X117" i="57" l="1"/>
  <c r="AC117" i="57"/>
  <c r="BA31" i="48"/>
  <c r="AB117" i="57"/>
  <c r="K117" i="46"/>
  <c r="L31" i="48" s="1"/>
  <c r="J117" i="46"/>
  <c r="AC117" i="46" l="1"/>
  <c r="AB117" i="46" s="1"/>
  <c r="X117" i="46"/>
  <c r="AZ115" i="57" l="1"/>
  <c r="AR115" i="57"/>
  <c r="BA115" i="57" s="1"/>
  <c r="AM115" i="57"/>
  <c r="AD115" i="57" s="1"/>
  <c r="AR114" i="57"/>
  <c r="BA114" i="57" s="1"/>
  <c r="AM114" i="57"/>
  <c r="AR113" i="57"/>
  <c r="BA113" i="57" s="1"/>
  <c r="AM113" i="57"/>
  <c r="AR112" i="57"/>
  <c r="BA112" i="57" s="1"/>
  <c r="AM112" i="57"/>
  <c r="R112" i="57"/>
  <c r="Q112" i="57"/>
  <c r="U112" i="57" s="1"/>
  <c r="AA112" i="57" s="1"/>
  <c r="T112" i="57"/>
  <c r="N112" i="57"/>
  <c r="H112" i="57" s="1"/>
  <c r="K112" i="57" s="1"/>
  <c r="AZ110" i="57"/>
  <c r="AR110" i="57"/>
  <c r="AM110" i="57"/>
  <c r="AR109" i="57"/>
  <c r="BA109" i="57" s="1"/>
  <c r="AM109" i="57"/>
  <c r="AD109" i="57" s="1"/>
  <c r="AR108" i="57"/>
  <c r="BA108" i="57" s="1"/>
  <c r="AM108" i="57"/>
  <c r="AR107" i="57"/>
  <c r="BA107" i="57" s="1"/>
  <c r="AM107" i="57"/>
  <c r="R107" i="57"/>
  <c r="Q107" i="57"/>
  <c r="U107" i="57" s="1"/>
  <c r="AA107" i="57" s="1"/>
  <c r="N107" i="57"/>
  <c r="H107" i="57" s="1"/>
  <c r="AZ105" i="57"/>
  <c r="AR105" i="57"/>
  <c r="AM105" i="57"/>
  <c r="AR104" i="57"/>
  <c r="BA104" i="57" s="1"/>
  <c r="AM104" i="57"/>
  <c r="AR103" i="57"/>
  <c r="BA103" i="57" s="1"/>
  <c r="AM103" i="57"/>
  <c r="AD103" i="57" s="1"/>
  <c r="AR102" i="57"/>
  <c r="BA102" i="57" s="1"/>
  <c r="AM102" i="57"/>
  <c r="R102" i="57"/>
  <c r="Q102" i="57"/>
  <c r="N102" i="57"/>
  <c r="H102" i="57" s="1"/>
  <c r="K102" i="57" s="1"/>
  <c r="AR115" i="46"/>
  <c r="BA115" i="46" s="1"/>
  <c r="AM115" i="46"/>
  <c r="AR114" i="46"/>
  <c r="BA114" i="46" s="1"/>
  <c r="AM114" i="46"/>
  <c r="AR113" i="46"/>
  <c r="BA113" i="46" s="1"/>
  <c r="AM113" i="46"/>
  <c r="AR112" i="46"/>
  <c r="BA112" i="46" s="1"/>
  <c r="AM112" i="46"/>
  <c r="AD112" i="46" s="1"/>
  <c r="U112" i="46"/>
  <c r="AA112" i="46" s="1"/>
  <c r="T112" i="46"/>
  <c r="N112" i="46"/>
  <c r="V112" i="46" s="1"/>
  <c r="C112" i="46"/>
  <c r="N30" i="48" s="1"/>
  <c r="AR110" i="46"/>
  <c r="BA110" i="46" s="1"/>
  <c r="AM110" i="46"/>
  <c r="AR109" i="46"/>
  <c r="BA109" i="46" s="1"/>
  <c r="AM109" i="46"/>
  <c r="AR108" i="46"/>
  <c r="BA108" i="46" s="1"/>
  <c r="AM108" i="46"/>
  <c r="AR107" i="46"/>
  <c r="BA107" i="46" s="1"/>
  <c r="AD107" i="46" s="1"/>
  <c r="AM107" i="46"/>
  <c r="U107" i="46"/>
  <c r="AA107" i="46" s="1"/>
  <c r="T107" i="46"/>
  <c r="P107" i="46"/>
  <c r="N107" i="46"/>
  <c r="V107" i="46" s="1"/>
  <c r="AR105" i="46"/>
  <c r="BA105" i="46" s="1"/>
  <c r="AM105" i="46"/>
  <c r="AR104" i="46"/>
  <c r="BA104" i="46" s="1"/>
  <c r="AM104" i="46"/>
  <c r="AR103" i="46"/>
  <c r="BA103" i="46" s="1"/>
  <c r="AM103" i="46"/>
  <c r="AR102" i="46"/>
  <c r="BA102" i="46" s="1"/>
  <c r="AM102" i="46"/>
  <c r="U102" i="46"/>
  <c r="AA102" i="46" s="1"/>
  <c r="T102" i="46"/>
  <c r="P102" i="46"/>
  <c r="N102" i="46"/>
  <c r="H102" i="46" s="1"/>
  <c r="K102" i="46" s="1"/>
  <c r="L28" i="48" s="1"/>
  <c r="C102" i="46"/>
  <c r="N28" i="48" s="1"/>
  <c r="X112" i="57" l="1"/>
  <c r="AC112" i="57"/>
  <c r="X102" i="57"/>
  <c r="V102" i="46"/>
  <c r="AD102" i="46"/>
  <c r="U102" i="57"/>
  <c r="AA102" i="57" s="1"/>
  <c r="AD114" i="57"/>
  <c r="AD104" i="57"/>
  <c r="AD107" i="57"/>
  <c r="AD102" i="57"/>
  <c r="BA110" i="57"/>
  <c r="AD110" i="57" s="1"/>
  <c r="AD113" i="57"/>
  <c r="BA30" i="48"/>
  <c r="AD108" i="57"/>
  <c r="AD112" i="57"/>
  <c r="K107" i="57"/>
  <c r="AD109" i="46"/>
  <c r="AD115" i="46"/>
  <c r="T107" i="57"/>
  <c r="AD103" i="46"/>
  <c r="AD110" i="46"/>
  <c r="T102" i="57"/>
  <c r="AC102" i="57" s="1"/>
  <c r="AD113" i="46"/>
  <c r="AD105" i="46"/>
  <c r="AD108" i="46"/>
  <c r="AD114" i="46"/>
  <c r="BA105" i="57"/>
  <c r="AD105" i="57" s="1"/>
  <c r="AC102" i="46"/>
  <c r="AB102" i="46" s="1"/>
  <c r="J112" i="57"/>
  <c r="V112" i="57"/>
  <c r="C112" i="57"/>
  <c r="P112" i="57"/>
  <c r="J107" i="57"/>
  <c r="V107" i="57"/>
  <c r="P107" i="57"/>
  <c r="C107" i="57"/>
  <c r="J102" i="57"/>
  <c r="P102" i="57"/>
  <c r="C102" i="57"/>
  <c r="V102" i="57"/>
  <c r="P112" i="46"/>
  <c r="H112" i="46"/>
  <c r="H107" i="46"/>
  <c r="C107" i="46"/>
  <c r="N29" i="48" s="1"/>
  <c r="AD104" i="46"/>
  <c r="X102" i="46"/>
  <c r="J102" i="46"/>
  <c r="X107" i="57" l="1"/>
  <c r="AC107" i="57"/>
  <c r="AB112" i="57"/>
  <c r="AB102" i="57"/>
  <c r="BA29" i="48"/>
  <c r="AB107" i="57"/>
  <c r="BA28" i="48"/>
  <c r="K112" i="46"/>
  <c r="L30" i="48" s="1"/>
  <c r="J112" i="46"/>
  <c r="K107" i="46"/>
  <c r="L29" i="48" s="1"/>
  <c r="J107" i="46"/>
  <c r="AC112" i="46" l="1"/>
  <c r="AB112" i="46" s="1"/>
  <c r="X112" i="46"/>
  <c r="AC107" i="46"/>
  <c r="AB107" i="46"/>
  <c r="X107" i="46"/>
  <c r="J4" i="15" l="1"/>
  <c r="J4" i="16"/>
  <c r="E61" i="47" l="1"/>
  <c r="C23" i="15"/>
  <c r="C14" i="15"/>
  <c r="E59" i="47"/>
  <c r="AR100" i="46" l="1"/>
  <c r="BA100" i="46" s="1"/>
  <c r="AM100" i="46"/>
  <c r="AR99" i="46"/>
  <c r="BA99" i="46" s="1"/>
  <c r="AM99" i="46"/>
  <c r="AR98" i="46"/>
  <c r="BA98" i="46" s="1"/>
  <c r="AM98" i="46"/>
  <c r="AR97" i="46"/>
  <c r="BA97" i="46" s="1"/>
  <c r="AM97" i="46"/>
  <c r="N97" i="46"/>
  <c r="H97" i="46" s="1"/>
  <c r="R97" i="57"/>
  <c r="Q97" i="57"/>
  <c r="R92" i="57"/>
  <c r="Q92" i="57"/>
  <c r="AZ95" i="57"/>
  <c r="AZ100" i="57"/>
  <c r="AR100" i="57"/>
  <c r="BA100" i="57" s="1"/>
  <c r="AM100" i="57"/>
  <c r="AR99" i="57"/>
  <c r="BA99" i="57" s="1"/>
  <c r="AM99" i="57"/>
  <c r="AR98" i="57"/>
  <c r="BA98" i="57" s="1"/>
  <c r="AM98" i="57"/>
  <c r="AR97" i="57"/>
  <c r="BA97" i="57" s="1"/>
  <c r="AM97" i="57"/>
  <c r="N97" i="57"/>
  <c r="H97" i="57" s="1"/>
  <c r="AR95" i="57"/>
  <c r="AM95" i="57"/>
  <c r="AR94" i="57"/>
  <c r="BA94" i="57" s="1"/>
  <c r="AM94" i="57"/>
  <c r="AD94" i="57" s="1"/>
  <c r="AR93" i="57"/>
  <c r="BA93" i="57" s="1"/>
  <c r="AM93" i="57"/>
  <c r="AD93" i="57" s="1"/>
  <c r="AR92" i="57"/>
  <c r="BA92" i="57" s="1"/>
  <c r="AM92" i="57"/>
  <c r="N92" i="57"/>
  <c r="H61" i="47"/>
  <c r="O97" i="57" s="1"/>
  <c r="H59" i="47"/>
  <c r="O92" i="57" s="1"/>
  <c r="G59" i="47"/>
  <c r="AR95" i="46"/>
  <c r="BA95" i="46" s="1"/>
  <c r="AM95" i="46"/>
  <c r="AR94" i="46"/>
  <c r="BA94" i="46" s="1"/>
  <c r="AM94" i="46"/>
  <c r="AR93" i="46"/>
  <c r="BA93" i="46" s="1"/>
  <c r="AM93" i="46"/>
  <c r="AR92" i="46"/>
  <c r="BA92" i="46" s="1"/>
  <c r="AM92" i="46"/>
  <c r="N92" i="46"/>
  <c r="H92" i="46" s="1"/>
  <c r="J92" i="46" s="1"/>
  <c r="AD99" i="57" l="1"/>
  <c r="AD98" i="57"/>
  <c r="AD100" i="57"/>
  <c r="BA95" i="57"/>
  <c r="AD95" i="57" s="1"/>
  <c r="AD92" i="57"/>
  <c r="AD97" i="57"/>
  <c r="K97" i="57"/>
  <c r="AD99" i="46"/>
  <c r="AD93" i="46"/>
  <c r="AD98" i="46"/>
  <c r="AD97" i="46"/>
  <c r="V97" i="57"/>
  <c r="U97" i="57"/>
  <c r="O97" i="46"/>
  <c r="K97" i="46" s="1"/>
  <c r="P92" i="57"/>
  <c r="U92" i="57"/>
  <c r="T92" i="57"/>
  <c r="C92" i="57"/>
  <c r="O92" i="46"/>
  <c r="T92" i="46" s="1"/>
  <c r="V92" i="57"/>
  <c r="AD100" i="46"/>
  <c r="J97" i="46"/>
  <c r="J97" i="57"/>
  <c r="P97" i="57"/>
  <c r="T97" i="57"/>
  <c r="C97" i="57"/>
  <c r="H92" i="57"/>
  <c r="AD94" i="46"/>
  <c r="AD92" i="46"/>
  <c r="G61" i="47"/>
  <c r="AD95" i="46"/>
  <c r="G26" i="2"/>
  <c r="Q87" i="57"/>
  <c r="R87" i="57"/>
  <c r="AZ90" i="57"/>
  <c r="AR90" i="57"/>
  <c r="BA90" i="57" s="1"/>
  <c r="AM90" i="57"/>
  <c r="AR89" i="57"/>
  <c r="BA89" i="57" s="1"/>
  <c r="AM89" i="57"/>
  <c r="AR88" i="57"/>
  <c r="BA88" i="57" s="1"/>
  <c r="AM88" i="57"/>
  <c r="AR87" i="57"/>
  <c r="BA87" i="57" s="1"/>
  <c r="AM87" i="57"/>
  <c r="N87" i="57"/>
  <c r="AC97" i="57" l="1"/>
  <c r="AD88" i="57"/>
  <c r="AD89" i="57"/>
  <c r="AD90" i="57"/>
  <c r="AD87" i="57"/>
  <c r="L27" i="48"/>
  <c r="BA27" i="48"/>
  <c r="P97" i="46"/>
  <c r="T97" i="46"/>
  <c r="AC97" i="46" s="1"/>
  <c r="C97" i="46"/>
  <c r="N27" i="48" s="1"/>
  <c r="V97" i="46"/>
  <c r="U97" i="46"/>
  <c r="U92" i="46"/>
  <c r="V92" i="46"/>
  <c r="C92" i="46"/>
  <c r="N26" i="48" s="1"/>
  <c r="P92" i="46"/>
  <c r="K92" i="46"/>
  <c r="L26" i="48" s="1"/>
  <c r="K92" i="57"/>
  <c r="AC92" i="57" s="1"/>
  <c r="J92" i="57"/>
  <c r="H87" i="57"/>
  <c r="AC92" i="46" l="1"/>
  <c r="BA26" i="48"/>
  <c r="J87" i="57"/>
  <c r="K16" i="17"/>
  <c r="W87" i="57" s="1"/>
  <c r="I57" i="47"/>
  <c r="E57" i="47"/>
  <c r="G57" i="47" s="1"/>
  <c r="H57" i="47" s="1"/>
  <c r="O87" i="57" s="1"/>
  <c r="K87" i="57" s="1"/>
  <c r="X87" i="57" l="1"/>
  <c r="O87" i="46"/>
  <c r="W87" i="46"/>
  <c r="BA25" i="48"/>
  <c r="U87" i="57"/>
  <c r="AA87" i="57" s="1"/>
  <c r="T87" i="57"/>
  <c r="AC87" i="57" s="1"/>
  <c r="V87" i="57"/>
  <c r="P87" i="57"/>
  <c r="C87" i="57"/>
  <c r="AB87" i="57" l="1"/>
  <c r="U87" i="46"/>
  <c r="N87" i="46"/>
  <c r="V87" i="46" s="1"/>
  <c r="AR90" i="46"/>
  <c r="BA90" i="46" s="1"/>
  <c r="AM90" i="46"/>
  <c r="AR89" i="46"/>
  <c r="BA89" i="46" s="1"/>
  <c r="AM89" i="46"/>
  <c r="AR88" i="46"/>
  <c r="BA88" i="46" s="1"/>
  <c r="AM88" i="46"/>
  <c r="AR87" i="46"/>
  <c r="BA87" i="46" s="1"/>
  <c r="AM87" i="46"/>
  <c r="G42" i="17"/>
  <c r="I37" i="17" s="1"/>
  <c r="F42" i="17"/>
  <c r="Q6" i="17"/>
  <c r="R6" i="17" s="1"/>
  <c r="P6" i="17"/>
  <c r="S6" i="17" s="1"/>
  <c r="R7" i="17"/>
  <c r="P7" i="17"/>
  <c r="S7" i="17" s="1"/>
  <c r="Q13" i="17" l="1"/>
  <c r="Q14" i="17" s="1"/>
  <c r="R13" i="17"/>
  <c r="AD88" i="46"/>
  <c r="AD89" i="46"/>
  <c r="AD90" i="46"/>
  <c r="AD87" i="46"/>
  <c r="P87" i="46"/>
  <c r="T87" i="46"/>
  <c r="C87" i="46"/>
  <c r="N25" i="48" s="1"/>
  <c r="H87" i="46"/>
  <c r="AA87" i="46"/>
  <c r="S13" i="17"/>
  <c r="S14" i="17" l="1"/>
  <c r="R14" i="17"/>
  <c r="K87" i="46"/>
  <c r="L25" i="48" s="1"/>
  <c r="J87" i="46"/>
  <c r="AR85" i="57"/>
  <c r="BA85" i="57" s="1"/>
  <c r="AM85" i="57"/>
  <c r="AD85" i="57" s="1"/>
  <c r="AR84" i="57"/>
  <c r="BA84" i="57" s="1"/>
  <c r="AM84" i="57"/>
  <c r="AD84" i="57" s="1"/>
  <c r="AR83" i="57"/>
  <c r="BA83" i="57" s="1"/>
  <c r="AM83" i="57"/>
  <c r="N83" i="57"/>
  <c r="AR82" i="57"/>
  <c r="BA82" i="57" s="1"/>
  <c r="AM82" i="57"/>
  <c r="Q82" i="57"/>
  <c r="N82" i="57"/>
  <c r="H82" i="57" s="1"/>
  <c r="AR80" i="57"/>
  <c r="BA80" i="57" s="1"/>
  <c r="AM80" i="57"/>
  <c r="AR79" i="57"/>
  <c r="BA79" i="57" s="1"/>
  <c r="AM79" i="57"/>
  <c r="AR78" i="57"/>
  <c r="BA78" i="57" s="1"/>
  <c r="AM78" i="57"/>
  <c r="AD78" i="57" s="1"/>
  <c r="AR77" i="57"/>
  <c r="BA77" i="57" s="1"/>
  <c r="AM77" i="57"/>
  <c r="N77" i="57"/>
  <c r="AR75" i="57"/>
  <c r="BA75" i="57" s="1"/>
  <c r="AM75" i="57"/>
  <c r="AR74" i="57"/>
  <c r="BA74" i="57" s="1"/>
  <c r="AM74" i="57"/>
  <c r="AR73" i="57"/>
  <c r="BA73" i="57" s="1"/>
  <c r="AM73" i="57"/>
  <c r="S73" i="57"/>
  <c r="N73" i="57"/>
  <c r="H73" i="57" s="1"/>
  <c r="J73" i="57" s="1"/>
  <c r="AR72" i="57"/>
  <c r="BA72" i="57" s="1"/>
  <c r="AM72" i="57"/>
  <c r="N72" i="57"/>
  <c r="H72" i="57" s="1"/>
  <c r="J72" i="57" s="1"/>
  <c r="K15" i="18"/>
  <c r="W82" i="57" s="1"/>
  <c r="K16" i="18"/>
  <c r="W83" i="57" s="1"/>
  <c r="F54" i="47"/>
  <c r="E55" i="47"/>
  <c r="G55" i="47" s="1"/>
  <c r="H55" i="47" s="1"/>
  <c r="O83" i="46" s="1"/>
  <c r="E54" i="47"/>
  <c r="AQ25" i="2"/>
  <c r="K25" i="2"/>
  <c r="AD82" i="57" l="1"/>
  <c r="AD75" i="57"/>
  <c r="AD80" i="57"/>
  <c r="AD77" i="57"/>
  <c r="AD74" i="57"/>
  <c r="AD83" i="57"/>
  <c r="AD72" i="57"/>
  <c r="AD73" i="57"/>
  <c r="AD79" i="57"/>
  <c r="AC87" i="46"/>
  <c r="AB87" i="46" s="1"/>
  <c r="X87" i="46"/>
  <c r="W82" i="46"/>
  <c r="O83" i="57"/>
  <c r="U83" i="57" s="1"/>
  <c r="W83" i="46"/>
  <c r="J82" i="57"/>
  <c r="H77" i="57"/>
  <c r="H83" i="57"/>
  <c r="G54" i="47"/>
  <c r="H54" i="47" s="1"/>
  <c r="C83" i="57" l="1"/>
  <c r="V83" i="57"/>
  <c r="P83" i="57"/>
  <c r="T83" i="57"/>
  <c r="O82" i="57"/>
  <c r="O82" i="46"/>
  <c r="J83" i="57"/>
  <c r="K83" i="57"/>
  <c r="AC83" i="57" s="1"/>
  <c r="J77" i="57"/>
  <c r="P82" i="57" l="1"/>
  <c r="U82" i="57"/>
  <c r="AA82" i="57" s="1"/>
  <c r="T82" i="57"/>
  <c r="V82" i="57"/>
  <c r="K82" i="57"/>
  <c r="C82" i="57"/>
  <c r="X82" i="57" l="1"/>
  <c r="AC82" i="57"/>
  <c r="AB82" i="57"/>
  <c r="BA24" i="48"/>
  <c r="Q82" i="46"/>
  <c r="U82" i="46" s="1"/>
  <c r="N83" i="46"/>
  <c r="H83" i="46" s="1"/>
  <c r="C83" i="46"/>
  <c r="AR85" i="46"/>
  <c r="BA85" i="46" s="1"/>
  <c r="AM85" i="46"/>
  <c r="AR84" i="46"/>
  <c r="BA84" i="46" s="1"/>
  <c r="AM84" i="46"/>
  <c r="AR83" i="46"/>
  <c r="BA83" i="46" s="1"/>
  <c r="AM83" i="46"/>
  <c r="AR82" i="46"/>
  <c r="BA82" i="46" s="1"/>
  <c r="AM82" i="46"/>
  <c r="N82" i="46"/>
  <c r="F26" i="18"/>
  <c r="F9" i="18"/>
  <c r="I38" i="18"/>
  <c r="I54" i="47" s="1"/>
  <c r="Q31" i="18"/>
  <c r="X20" i="18"/>
  <c r="Y20" i="18"/>
  <c r="Y18" i="18"/>
  <c r="Q18" i="18"/>
  <c r="R18" i="18" s="1"/>
  <c r="P19" i="18"/>
  <c r="P18" i="18"/>
  <c r="P7" i="18"/>
  <c r="S7" i="18" s="1"/>
  <c r="Q13" i="18"/>
  <c r="Q14" i="18" s="1"/>
  <c r="R7" i="18"/>
  <c r="R6" i="18"/>
  <c r="P6" i="18"/>
  <c r="S6" i="18" s="1"/>
  <c r="J4" i="18"/>
  <c r="AD84" i="46" l="1"/>
  <c r="S18" i="18"/>
  <c r="R13" i="18"/>
  <c r="R14" i="18" s="1"/>
  <c r="Q19" i="18"/>
  <c r="Q25" i="18" s="1"/>
  <c r="Q26" i="18" s="1"/>
  <c r="V82" i="46"/>
  <c r="C82" i="46"/>
  <c r="N24" i="48" s="1"/>
  <c r="AD83" i="46"/>
  <c r="AD82" i="46"/>
  <c r="J83" i="46"/>
  <c r="K83" i="46"/>
  <c r="T83" i="46"/>
  <c r="P83" i="46"/>
  <c r="V83" i="46"/>
  <c r="U83" i="46"/>
  <c r="AA82" i="46" s="1"/>
  <c r="AD85" i="46"/>
  <c r="P82" i="46"/>
  <c r="T82" i="46"/>
  <c r="H82" i="46"/>
  <c r="X19" i="18"/>
  <c r="Y19" i="18"/>
  <c r="Y25" i="18" s="1"/>
  <c r="W25" i="18"/>
  <c r="W26" i="18" s="1"/>
  <c r="X18" i="18"/>
  <c r="R19" i="18"/>
  <c r="R25" i="18" s="1"/>
  <c r="R26" i="18" s="1"/>
  <c r="S19" i="18"/>
  <c r="S13" i="18"/>
  <c r="S14" i="18" s="1"/>
  <c r="S25" i="18" l="1"/>
  <c r="S26" i="18" s="1"/>
  <c r="AC83" i="46"/>
  <c r="X25" i="18"/>
  <c r="X26" i="18" s="1"/>
  <c r="J82" i="46"/>
  <c r="K82" i="46"/>
  <c r="L24" i="48" s="1"/>
  <c r="Y26" i="18"/>
  <c r="X82" i="46" l="1"/>
  <c r="AC82" i="46"/>
  <c r="AB82" i="46"/>
  <c r="J4" i="19" l="1"/>
  <c r="S73" i="46" l="1"/>
  <c r="E52" i="47" l="1"/>
  <c r="G52" i="47" s="1"/>
  <c r="H52" i="47" s="1"/>
  <c r="O77" i="57" s="1"/>
  <c r="F49" i="47"/>
  <c r="E49" i="47"/>
  <c r="G49" i="47" s="1"/>
  <c r="H49" i="47" s="1"/>
  <c r="E50" i="47"/>
  <c r="G50" i="47" s="1"/>
  <c r="H50" i="47" s="1"/>
  <c r="K15" i="20"/>
  <c r="W73" i="57" s="1"/>
  <c r="K16" i="20"/>
  <c r="W72" i="57" s="1"/>
  <c r="W72" i="46" l="1"/>
  <c r="U77" i="57"/>
  <c r="V77" i="57"/>
  <c r="C77" i="57"/>
  <c r="P77" i="57"/>
  <c r="T77" i="57"/>
  <c r="K77" i="57"/>
  <c r="AC77" i="57" s="1"/>
  <c r="W73" i="46"/>
  <c r="O72" i="46"/>
  <c r="O72" i="57"/>
  <c r="O73" i="46"/>
  <c r="O73" i="57"/>
  <c r="O77" i="46"/>
  <c r="AY24" i="2"/>
  <c r="AY23" i="2"/>
  <c r="K73" i="57" l="1"/>
  <c r="V73" i="57"/>
  <c r="T73" i="57"/>
  <c r="C73" i="57"/>
  <c r="P73" i="57"/>
  <c r="U73" i="57"/>
  <c r="U72" i="57"/>
  <c r="T72" i="57"/>
  <c r="K72" i="57"/>
  <c r="P72" i="57"/>
  <c r="V72" i="57"/>
  <c r="C72" i="57"/>
  <c r="BA23" i="48"/>
  <c r="X72" i="57" l="1"/>
  <c r="AC72" i="57"/>
  <c r="AC73" i="57"/>
  <c r="AA72" i="57"/>
  <c r="BA22" i="48"/>
  <c r="AQ24" i="2"/>
  <c r="AQ23" i="2"/>
  <c r="K24" i="2"/>
  <c r="K23" i="2"/>
  <c r="AB72" i="57" l="1"/>
  <c r="T77" i="46"/>
  <c r="N77" i="46"/>
  <c r="V77" i="46" s="1"/>
  <c r="AR80" i="46"/>
  <c r="BA80" i="46" s="1"/>
  <c r="AM80" i="46"/>
  <c r="AR79" i="46"/>
  <c r="BA79" i="46" s="1"/>
  <c r="AM79" i="46"/>
  <c r="AR78" i="46"/>
  <c r="BA78" i="46" s="1"/>
  <c r="AM78" i="46"/>
  <c r="AR77" i="46"/>
  <c r="BA77" i="46" s="1"/>
  <c r="AM77" i="46"/>
  <c r="AM75" i="46"/>
  <c r="AR75" i="46"/>
  <c r="BA75" i="46" s="1"/>
  <c r="N73" i="46"/>
  <c r="U72" i="46"/>
  <c r="N72" i="46"/>
  <c r="H72" i="46" s="1"/>
  <c r="AR74" i="46"/>
  <c r="BA74" i="46" s="1"/>
  <c r="AM74" i="46"/>
  <c r="AR73" i="46"/>
  <c r="BA73" i="46" s="1"/>
  <c r="AM73" i="46"/>
  <c r="AR72" i="46"/>
  <c r="BA72" i="46" s="1"/>
  <c r="AM72" i="46"/>
  <c r="F26" i="19"/>
  <c r="F17" i="19"/>
  <c r="F9" i="19"/>
  <c r="I38" i="19"/>
  <c r="I52" i="47" s="1"/>
  <c r="R8" i="19"/>
  <c r="R7" i="19"/>
  <c r="P8" i="19"/>
  <c r="S8" i="19" s="1"/>
  <c r="P7" i="19"/>
  <c r="S7" i="19" s="1"/>
  <c r="P6" i="19"/>
  <c r="S6" i="19" s="1"/>
  <c r="P24" i="20"/>
  <c r="S24" i="20" s="1"/>
  <c r="P16" i="20"/>
  <c r="P15" i="20"/>
  <c r="P7" i="20"/>
  <c r="Q13" i="19"/>
  <c r="Q14" i="19" s="1"/>
  <c r="R6" i="19"/>
  <c r="F26" i="20"/>
  <c r="F17" i="20"/>
  <c r="F9" i="20"/>
  <c r="I38" i="20"/>
  <c r="I49" i="47" s="1"/>
  <c r="Q36" i="20"/>
  <c r="Y25" i="20"/>
  <c r="Z25" i="20"/>
  <c r="Y26" i="20"/>
  <c r="Z26" i="20"/>
  <c r="Y27" i="20"/>
  <c r="Z27" i="20"/>
  <c r="X31" i="20"/>
  <c r="X32" i="20" s="1"/>
  <c r="Y24" i="20"/>
  <c r="Z24" i="20"/>
  <c r="G42" i="20"/>
  <c r="I37" i="20" s="1"/>
  <c r="F42" i="20"/>
  <c r="Q15" i="20"/>
  <c r="Q16" i="20" s="1"/>
  <c r="Q6" i="20"/>
  <c r="Q7" i="20" s="1"/>
  <c r="P6" i="20"/>
  <c r="J4" i="20"/>
  <c r="H77" i="46" l="1"/>
  <c r="AD78" i="46"/>
  <c r="S15" i="20"/>
  <c r="AD74" i="46"/>
  <c r="AD77" i="46"/>
  <c r="S13" i="19"/>
  <c r="AD72" i="46"/>
  <c r="AD80" i="46"/>
  <c r="R13" i="19"/>
  <c r="S6" i="20"/>
  <c r="R6" i="20"/>
  <c r="AD79" i="46"/>
  <c r="U77" i="46"/>
  <c r="P77" i="46"/>
  <c r="C77" i="46"/>
  <c r="N23" i="48" s="1"/>
  <c r="K77" i="46"/>
  <c r="L23" i="48" s="1"/>
  <c r="K72" i="46"/>
  <c r="V73" i="46"/>
  <c r="U73" i="46"/>
  <c r="AA72" i="46" s="1"/>
  <c r="J77" i="46"/>
  <c r="AD75" i="46"/>
  <c r="H73" i="46"/>
  <c r="J73" i="46" s="1"/>
  <c r="P73" i="46"/>
  <c r="T73" i="46"/>
  <c r="C73" i="46"/>
  <c r="V72" i="46"/>
  <c r="J72" i="46"/>
  <c r="P72" i="46"/>
  <c r="T72" i="46"/>
  <c r="C72" i="46"/>
  <c r="AD73" i="46"/>
  <c r="S14" i="19"/>
  <c r="R14" i="19"/>
  <c r="Y31" i="20"/>
  <c r="Y32" i="20" s="1"/>
  <c r="Z31" i="20"/>
  <c r="Z32" i="20" s="1"/>
  <c r="S31" i="20"/>
  <c r="Q31" i="20"/>
  <c r="Q32" i="20" s="1"/>
  <c r="R24" i="20"/>
  <c r="R31" i="20" s="1"/>
  <c r="R16" i="20"/>
  <c r="S16" i="20"/>
  <c r="S22" i="20" s="1"/>
  <c r="R15" i="20"/>
  <c r="Q22" i="20"/>
  <c r="Q23" i="20" s="1"/>
  <c r="S7" i="20"/>
  <c r="Q13" i="20"/>
  <c r="Q14" i="20" s="1"/>
  <c r="R7" i="20"/>
  <c r="H4" i="54"/>
  <c r="S13" i="20" l="1"/>
  <c r="S14" i="20" s="1"/>
  <c r="R22" i="20"/>
  <c r="R13" i="20"/>
  <c r="R14" i="20" s="1"/>
  <c r="R32" i="20"/>
  <c r="N22" i="48"/>
  <c r="AC78" i="46"/>
  <c r="K73" i="46"/>
  <c r="X72" i="46" s="1"/>
  <c r="AC72" i="46"/>
  <c r="S32" i="20"/>
  <c r="S23" i="20"/>
  <c r="R23" i="20"/>
  <c r="I4" i="54"/>
  <c r="I3" i="54"/>
  <c r="J4" i="54"/>
  <c r="K4" i="54"/>
  <c r="K3" i="54"/>
  <c r="N4" i="54"/>
  <c r="N3" i="54"/>
  <c r="L22" i="48" l="1"/>
  <c r="AC77" i="46"/>
  <c r="AC73" i="46"/>
  <c r="AB72" i="46"/>
  <c r="AQ22" i="2"/>
  <c r="K22" i="2"/>
  <c r="AR70" i="57" l="1"/>
  <c r="BA70" i="57" s="1"/>
  <c r="AM70" i="57"/>
  <c r="AR69" i="57"/>
  <c r="BA69" i="57" s="1"/>
  <c r="AM69" i="57"/>
  <c r="N69" i="57"/>
  <c r="H69" i="57" s="1"/>
  <c r="J69" i="57" s="1"/>
  <c r="AR68" i="57"/>
  <c r="BA68" i="57" s="1"/>
  <c r="AM68" i="57"/>
  <c r="N68" i="57"/>
  <c r="H68" i="57" s="1"/>
  <c r="AD68" i="57" l="1"/>
  <c r="AD69" i="57"/>
  <c r="AD70" i="57"/>
  <c r="J68" i="57"/>
  <c r="K16" i="22" l="1"/>
  <c r="W69" i="57" s="1"/>
  <c r="K15" i="22"/>
  <c r="W68" i="57" s="1"/>
  <c r="F47" i="47"/>
  <c r="E47" i="47"/>
  <c r="E46" i="47"/>
  <c r="G46" i="47" s="1"/>
  <c r="H46" i="47" s="1"/>
  <c r="O68" i="57" s="1"/>
  <c r="G47" i="47" l="1"/>
  <c r="H47" i="47" s="1"/>
  <c r="W68" i="46"/>
  <c r="W69" i="46"/>
  <c r="O69" i="57"/>
  <c r="O69" i="46"/>
  <c r="C69" i="46" s="1"/>
  <c r="U68" i="57"/>
  <c r="P68" i="57"/>
  <c r="V68" i="57"/>
  <c r="K68" i="57"/>
  <c r="T68" i="57"/>
  <c r="C68" i="57"/>
  <c r="O68" i="46"/>
  <c r="C68" i="46" s="1"/>
  <c r="N69" i="46"/>
  <c r="H69" i="46" s="1"/>
  <c r="N68" i="46"/>
  <c r="AR70" i="46"/>
  <c r="BA70" i="46" s="1"/>
  <c r="AM70" i="46"/>
  <c r="AC70" i="46"/>
  <c r="AR69" i="46"/>
  <c r="BA69" i="46" s="1"/>
  <c r="AM69" i="46"/>
  <c r="AR68" i="46"/>
  <c r="BA68" i="46" s="1"/>
  <c r="AM68" i="46"/>
  <c r="I38" i="22"/>
  <c r="I46" i="47" s="1"/>
  <c r="Q37" i="22"/>
  <c r="X26" i="22"/>
  <c r="Y26" i="22"/>
  <c r="X27" i="22"/>
  <c r="Y27" i="22"/>
  <c r="W32" i="22"/>
  <c r="W33" i="22" s="1"/>
  <c r="Y25" i="22"/>
  <c r="X25" i="22"/>
  <c r="G42" i="22"/>
  <c r="I37" i="22" s="1"/>
  <c r="F42" i="22"/>
  <c r="P25" i="22"/>
  <c r="P16" i="22"/>
  <c r="Q16" i="22"/>
  <c r="Q17" i="22" s="1"/>
  <c r="Q23" i="22" s="1"/>
  <c r="Q24" i="22" s="1"/>
  <c r="Q25" i="22" s="1"/>
  <c r="S16" i="22"/>
  <c r="P7" i="22"/>
  <c r="Q7" i="22"/>
  <c r="R7" i="22" s="1"/>
  <c r="R6" i="22"/>
  <c r="P6" i="22"/>
  <c r="S6" i="22" s="1"/>
  <c r="J4" i="22"/>
  <c r="AC68" i="57" l="1"/>
  <c r="R16" i="22"/>
  <c r="R13" i="22"/>
  <c r="R25" i="22"/>
  <c r="Q26" i="22"/>
  <c r="S26" i="22" s="1"/>
  <c r="R17" i="22"/>
  <c r="R23" i="22" s="1"/>
  <c r="R24" i="22" s="1"/>
  <c r="S25" i="22"/>
  <c r="S32" i="22" s="1"/>
  <c r="S7" i="22"/>
  <c r="S13" i="22" s="1"/>
  <c r="N21" i="48"/>
  <c r="P69" i="57"/>
  <c r="K69" i="57"/>
  <c r="U69" i="57"/>
  <c r="AA68" i="57" s="1"/>
  <c r="C69" i="57"/>
  <c r="V69" i="57"/>
  <c r="T69" i="57"/>
  <c r="V68" i="46"/>
  <c r="AD70" i="46"/>
  <c r="AD69" i="46"/>
  <c r="AD68" i="46"/>
  <c r="J69" i="46"/>
  <c r="K69" i="46"/>
  <c r="T69" i="46"/>
  <c r="P69" i="46"/>
  <c r="V69" i="46"/>
  <c r="U69" i="46"/>
  <c r="P68" i="46"/>
  <c r="T68" i="46"/>
  <c r="U68" i="46"/>
  <c r="H68" i="46"/>
  <c r="X32" i="22"/>
  <c r="X33" i="22" s="1"/>
  <c r="Y32" i="22"/>
  <c r="Y33" i="22" s="1"/>
  <c r="S17" i="22"/>
  <c r="S23" i="22" s="1"/>
  <c r="S24" i="22" s="1"/>
  <c r="Q13" i="22"/>
  <c r="Q14" i="22" s="1"/>
  <c r="AR66" i="57"/>
  <c r="BA66" i="57" s="1"/>
  <c r="AM66" i="57"/>
  <c r="AD66" i="57" s="1"/>
  <c r="N66" i="57"/>
  <c r="H66" i="57" s="1"/>
  <c r="J66" i="57" s="1"/>
  <c r="AR65" i="57"/>
  <c r="BA65" i="57" s="1"/>
  <c r="AM65" i="57"/>
  <c r="N65" i="57"/>
  <c r="H65" i="57" s="1"/>
  <c r="G65" i="57"/>
  <c r="AR64" i="57"/>
  <c r="BA64" i="57" s="1"/>
  <c r="AM64" i="57"/>
  <c r="N64" i="57"/>
  <c r="H64" i="57" s="1"/>
  <c r="P25" i="21"/>
  <c r="P15" i="21"/>
  <c r="X68" i="57" l="1"/>
  <c r="AC69" i="57"/>
  <c r="AD64" i="57"/>
  <c r="AB68" i="57"/>
  <c r="AD65" i="57"/>
  <c r="Q32" i="22"/>
  <c r="Q33" i="22" s="1"/>
  <c r="BA21" i="48"/>
  <c r="R26" i="22"/>
  <c r="R32" i="22" s="1"/>
  <c r="R33" i="22" s="1"/>
  <c r="AC69" i="46"/>
  <c r="AA68" i="46"/>
  <c r="J68" i="46"/>
  <c r="K68" i="46"/>
  <c r="L21" i="48" s="1"/>
  <c r="R14" i="22"/>
  <c r="S14" i="22"/>
  <c r="J65" i="57"/>
  <c r="J64" i="57"/>
  <c r="Z65" i="46"/>
  <c r="Z64" i="46"/>
  <c r="K15" i="21"/>
  <c r="W66" i="57" s="1"/>
  <c r="K14" i="21"/>
  <c r="W64" i="57" s="1"/>
  <c r="C8" i="21"/>
  <c r="K8" i="21" s="1"/>
  <c r="W65" i="57" s="1"/>
  <c r="S33" i="22" l="1"/>
  <c r="W65" i="46"/>
  <c r="W64" i="46"/>
  <c r="W66" i="46"/>
  <c r="AC68" i="46"/>
  <c r="AB68" i="46" s="1"/>
  <c r="X68" i="46"/>
  <c r="F44" i="47" l="1"/>
  <c r="F42" i="47"/>
  <c r="F41" i="47"/>
  <c r="E44" i="47"/>
  <c r="G44" i="47" s="1"/>
  <c r="E43" i="47"/>
  <c r="H43" i="47" s="1"/>
  <c r="E42" i="47"/>
  <c r="E41" i="47"/>
  <c r="AN20" i="48"/>
  <c r="G41" i="47" l="1"/>
  <c r="H41" i="47" s="1"/>
  <c r="O64" i="46" s="1"/>
  <c r="G42" i="47"/>
  <c r="H42" i="47" s="1"/>
  <c r="O65" i="57" s="1"/>
  <c r="G43" i="47"/>
  <c r="O66" i="57"/>
  <c r="O66" i="46"/>
  <c r="O64" i="57" l="1"/>
  <c r="O65" i="46"/>
  <c r="P66" i="57"/>
  <c r="K66" i="57"/>
  <c r="C66" i="57"/>
  <c r="V66" i="57"/>
  <c r="U66" i="57"/>
  <c r="T66" i="57"/>
  <c r="T65" i="57"/>
  <c r="U65" i="57"/>
  <c r="P65" i="57"/>
  <c r="C65" i="57"/>
  <c r="K65" i="57"/>
  <c r="AC65" i="57" s="1"/>
  <c r="V65" i="57"/>
  <c r="V64" i="57"/>
  <c r="K64" i="57"/>
  <c r="C64" i="57"/>
  <c r="U64" i="57"/>
  <c r="P64" i="57"/>
  <c r="T64" i="57"/>
  <c r="AQ21" i="2"/>
  <c r="K21" i="2"/>
  <c r="X64" i="57" l="1"/>
  <c r="AC64" i="57"/>
  <c r="AC66" i="57"/>
  <c r="AA64" i="57"/>
  <c r="BA20" i="48"/>
  <c r="G65" i="46"/>
  <c r="F26" i="21"/>
  <c r="F17" i="21"/>
  <c r="F9" i="21"/>
  <c r="I38" i="21"/>
  <c r="I41" i="47" s="1"/>
  <c r="G42" i="21"/>
  <c r="I37" i="21" s="1"/>
  <c r="F42" i="21"/>
  <c r="Q38" i="21"/>
  <c r="W32" i="21"/>
  <c r="W33" i="21" s="1"/>
  <c r="Y26" i="21"/>
  <c r="X26" i="21"/>
  <c r="Y25" i="21"/>
  <c r="X25" i="21"/>
  <c r="X16" i="21"/>
  <c r="Y16" i="21"/>
  <c r="X17" i="21"/>
  <c r="Y17" i="21"/>
  <c r="Y15" i="21"/>
  <c r="P7" i="21"/>
  <c r="Q6" i="21"/>
  <c r="Q7" i="21" s="1"/>
  <c r="J4" i="21"/>
  <c r="AB64" i="57" l="1"/>
  <c r="X32" i="21"/>
  <c r="X33" i="21" s="1"/>
  <c r="Y32" i="21"/>
  <c r="Y33" i="21" s="1"/>
  <c r="Y22" i="21"/>
  <c r="X15" i="21"/>
  <c r="X22" i="21" s="1"/>
  <c r="W22" i="21"/>
  <c r="W23" i="21" s="1"/>
  <c r="U66" i="46"/>
  <c r="N66" i="46"/>
  <c r="V66" i="46" s="1"/>
  <c r="U65" i="46"/>
  <c r="N65" i="46"/>
  <c r="P64" i="46"/>
  <c r="N64" i="46"/>
  <c r="H64" i="46" s="1"/>
  <c r="AR66" i="46"/>
  <c r="BA66" i="46" s="1"/>
  <c r="AM66" i="46"/>
  <c r="AR65" i="46"/>
  <c r="BA65" i="46" s="1"/>
  <c r="AM65" i="46"/>
  <c r="AR64" i="46"/>
  <c r="BA64" i="46" s="1"/>
  <c r="AM64" i="46"/>
  <c r="S7" i="21"/>
  <c r="R7" i="21"/>
  <c r="P6" i="21"/>
  <c r="S6" i="21" s="1"/>
  <c r="Q13" i="21"/>
  <c r="Q14" i="21" s="1"/>
  <c r="R6" i="21"/>
  <c r="P27" i="21"/>
  <c r="Q27" i="21"/>
  <c r="R27" i="21" s="1"/>
  <c r="Q26" i="21"/>
  <c r="R26" i="21" s="1"/>
  <c r="P26" i="21"/>
  <c r="Q25" i="21"/>
  <c r="R25" i="21" s="1"/>
  <c r="S15" i="21"/>
  <c r="S22" i="21" s="1"/>
  <c r="Q22" i="21"/>
  <c r="Q23" i="21" s="1"/>
  <c r="R15" i="21"/>
  <c r="R22" i="21" s="1"/>
  <c r="AD64" i="46" l="1"/>
  <c r="R23" i="21"/>
  <c r="Y23" i="21"/>
  <c r="S27" i="21"/>
  <c r="AD65" i="46"/>
  <c r="AD66" i="46"/>
  <c r="S26" i="21"/>
  <c r="S25" i="21"/>
  <c r="S32" i="21" s="1"/>
  <c r="S23" i="21"/>
  <c r="R13" i="21"/>
  <c r="R14" i="21" s="1"/>
  <c r="V64" i="46"/>
  <c r="U64" i="46"/>
  <c r="AA64" i="46" s="1"/>
  <c r="T64" i="46"/>
  <c r="V65" i="46"/>
  <c r="C64" i="46"/>
  <c r="K64" i="46"/>
  <c r="AC64" i="46" s="1"/>
  <c r="H66" i="46"/>
  <c r="J66" i="46" s="1"/>
  <c r="X23" i="21"/>
  <c r="P65" i="46"/>
  <c r="J64" i="46"/>
  <c r="T65" i="46"/>
  <c r="C65" i="46"/>
  <c r="H65" i="46"/>
  <c r="P66" i="46"/>
  <c r="T66" i="46"/>
  <c r="C66" i="46"/>
  <c r="S13" i="21"/>
  <c r="S14" i="21" s="1"/>
  <c r="Q32" i="21"/>
  <c r="Q33" i="21" s="1"/>
  <c r="R32" i="21"/>
  <c r="AR62" i="57"/>
  <c r="BA62" i="57" s="1"/>
  <c r="AM62" i="57"/>
  <c r="AR61" i="57"/>
  <c r="BA61" i="57" s="1"/>
  <c r="AM61" i="57"/>
  <c r="N61" i="57"/>
  <c r="H61" i="57" s="1"/>
  <c r="J61" i="57" s="1"/>
  <c r="AR60" i="57"/>
  <c r="BA60" i="57" s="1"/>
  <c r="AM60" i="57"/>
  <c r="AD60" i="57" s="1"/>
  <c r="N60" i="57"/>
  <c r="H60" i="57" s="1"/>
  <c r="K7" i="23"/>
  <c r="W60" i="57" s="1"/>
  <c r="C26" i="23"/>
  <c r="K14" i="23" s="1"/>
  <c r="W61" i="57" s="1"/>
  <c r="F38" i="47"/>
  <c r="E39" i="47"/>
  <c r="G39" i="47" s="1"/>
  <c r="H39" i="47" s="1"/>
  <c r="O61" i="46" s="1"/>
  <c r="E38" i="47"/>
  <c r="AD62" i="57" l="1"/>
  <c r="AD61" i="57"/>
  <c r="R33" i="21"/>
  <c r="W60" i="46"/>
  <c r="W61" i="46"/>
  <c r="O61" i="57"/>
  <c r="V61" i="57" s="1"/>
  <c r="N20" i="48"/>
  <c r="K66" i="46"/>
  <c r="AC66" i="46" s="1"/>
  <c r="K65" i="46"/>
  <c r="J65" i="46"/>
  <c r="S33" i="21"/>
  <c r="J60" i="57"/>
  <c r="G38" i="47"/>
  <c r="H38" i="47" s="1"/>
  <c r="AU20" i="2"/>
  <c r="AQ20" i="2"/>
  <c r="K20" i="2"/>
  <c r="K61" i="57" l="1"/>
  <c r="P61" i="57"/>
  <c r="C61" i="57"/>
  <c r="T61" i="57"/>
  <c r="U61" i="57"/>
  <c r="O60" i="46"/>
  <c r="T60" i="46" s="1"/>
  <c r="O60" i="57"/>
  <c r="X64" i="46"/>
  <c r="L20" i="48"/>
  <c r="AC65" i="46"/>
  <c r="AB64" i="46" s="1"/>
  <c r="N61" i="46"/>
  <c r="H61" i="46" s="1"/>
  <c r="C61" i="46"/>
  <c r="T61" i="46"/>
  <c r="AR62" i="46"/>
  <c r="BA62" i="46" s="1"/>
  <c r="AM62" i="46"/>
  <c r="AR61" i="46"/>
  <c r="BA61" i="46" s="1"/>
  <c r="AM61" i="46"/>
  <c r="AR60" i="46"/>
  <c r="BA60" i="46" s="1"/>
  <c r="AM60" i="46"/>
  <c r="N60" i="46"/>
  <c r="H60" i="46" s="1"/>
  <c r="F17" i="23"/>
  <c r="F9" i="23"/>
  <c r="I38" i="23"/>
  <c r="I38" i="47" s="1"/>
  <c r="Y29" i="23"/>
  <c r="Z29" i="23"/>
  <c r="Z28" i="23"/>
  <c r="Y28" i="23"/>
  <c r="Y27" i="23"/>
  <c r="Z27" i="23"/>
  <c r="Q37" i="23"/>
  <c r="Q36" i="23"/>
  <c r="G42" i="23"/>
  <c r="I37" i="23" s="1"/>
  <c r="F42" i="23"/>
  <c r="Q30" i="23"/>
  <c r="R30" i="23" s="1"/>
  <c r="Q29" i="23"/>
  <c r="R29" i="23" s="1"/>
  <c r="Q28" i="23"/>
  <c r="R28" i="23" s="1"/>
  <c r="Q27" i="23"/>
  <c r="R27" i="23" s="1"/>
  <c r="P30" i="23"/>
  <c r="P29" i="23"/>
  <c r="P28" i="23"/>
  <c r="P27" i="23"/>
  <c r="Q23" i="23"/>
  <c r="Q24" i="23" s="1"/>
  <c r="R16" i="23"/>
  <c r="R23" i="23" s="1"/>
  <c r="R24" i="23" s="1"/>
  <c r="P16" i="23"/>
  <c r="S16" i="23" s="1"/>
  <c r="S23" i="23" s="1"/>
  <c r="S24" i="23" s="1"/>
  <c r="Q13" i="23"/>
  <c r="Q14" i="23" s="1"/>
  <c r="R6" i="23"/>
  <c r="R13" i="23" s="1"/>
  <c r="P6" i="23"/>
  <c r="S6" i="23" s="1"/>
  <c r="S13" i="23" s="1"/>
  <c r="J4" i="23"/>
  <c r="AC61" i="57" l="1"/>
  <c r="Q38" i="23"/>
  <c r="C60" i="46"/>
  <c r="P60" i="46"/>
  <c r="U60" i="46"/>
  <c r="S29" i="23"/>
  <c r="S30" i="23"/>
  <c r="AD61" i="46"/>
  <c r="Q34" i="23"/>
  <c r="Q35" i="23" s="1"/>
  <c r="S27" i="23"/>
  <c r="S14" i="23"/>
  <c r="R14" i="23"/>
  <c r="AD60" i="46"/>
  <c r="S28" i="23"/>
  <c r="Z34" i="23"/>
  <c r="V60" i="46"/>
  <c r="U60" i="57"/>
  <c r="AA60" i="57" s="1"/>
  <c r="C60" i="57"/>
  <c r="K60" i="57"/>
  <c r="V60" i="57"/>
  <c r="P60" i="57"/>
  <c r="T60" i="57"/>
  <c r="N19" i="48"/>
  <c r="K60" i="46"/>
  <c r="AD62" i="46"/>
  <c r="J61" i="46"/>
  <c r="K61" i="46"/>
  <c r="AC61" i="46" s="1"/>
  <c r="P61" i="46"/>
  <c r="V61" i="46"/>
  <c r="U61" i="46"/>
  <c r="AA60" i="46" s="1"/>
  <c r="J60" i="46"/>
  <c r="Y34" i="23"/>
  <c r="X34" i="23"/>
  <c r="X35" i="23" s="1"/>
  <c r="R34" i="23"/>
  <c r="AR58" i="57"/>
  <c r="BA58" i="57" s="1"/>
  <c r="AM58" i="57"/>
  <c r="AR57" i="57"/>
  <c r="BA57" i="57" s="1"/>
  <c r="AM57" i="57"/>
  <c r="AD57" i="57" s="1"/>
  <c r="AR56" i="57"/>
  <c r="BA56" i="57" s="1"/>
  <c r="AM56" i="57"/>
  <c r="AD56" i="57" s="1"/>
  <c r="N56" i="57"/>
  <c r="H56" i="57" s="1"/>
  <c r="AR54" i="57"/>
  <c r="BA54" i="57" s="1"/>
  <c r="AM54" i="57"/>
  <c r="AD54" i="57" s="1"/>
  <c r="AR53" i="57"/>
  <c r="BA53" i="57" s="1"/>
  <c r="AM53" i="57"/>
  <c r="N53" i="57"/>
  <c r="AR52" i="57"/>
  <c r="BA52" i="57" s="1"/>
  <c r="AM52" i="57"/>
  <c r="N52" i="57"/>
  <c r="H52" i="57" s="1"/>
  <c r="J52" i="57" s="1"/>
  <c r="X60" i="57" l="1"/>
  <c r="AC60" i="57"/>
  <c r="AD58" i="57"/>
  <c r="AD53" i="57"/>
  <c r="AD52" i="57"/>
  <c r="AB60" i="57"/>
  <c r="R35" i="23"/>
  <c r="S34" i="23"/>
  <c r="S35" i="23" s="1"/>
  <c r="BA19" i="48"/>
  <c r="AC60" i="46"/>
  <c r="AB60" i="46" s="1"/>
  <c r="X60" i="46"/>
  <c r="L19" i="48"/>
  <c r="Y35" i="23"/>
  <c r="Z35" i="23"/>
  <c r="J56" i="57"/>
  <c r="H53" i="57"/>
  <c r="J53" i="57" l="1"/>
  <c r="E36" i="47" l="1"/>
  <c r="G36" i="47" s="1"/>
  <c r="H36" i="47" s="1"/>
  <c r="O56" i="57" s="1"/>
  <c r="O56" i="46" l="1"/>
  <c r="U56" i="57"/>
  <c r="T56" i="57"/>
  <c r="P56" i="57"/>
  <c r="C56" i="57"/>
  <c r="K56" i="57"/>
  <c r="AC56" i="57" s="1"/>
  <c r="V56" i="57"/>
  <c r="AU19" i="2"/>
  <c r="AQ19" i="2"/>
  <c r="K19" i="2"/>
  <c r="BA18" i="48" l="1"/>
  <c r="I38" i="24"/>
  <c r="I36" i="47" s="1"/>
  <c r="F26" i="24"/>
  <c r="F9" i="24"/>
  <c r="C56" i="46" l="1"/>
  <c r="N18" i="48" s="1"/>
  <c r="N56" i="46"/>
  <c r="AR58" i="46"/>
  <c r="BA58" i="46" s="1"/>
  <c r="AM58" i="46"/>
  <c r="AR57" i="46"/>
  <c r="BA57" i="46" s="1"/>
  <c r="AM57" i="46"/>
  <c r="AR56" i="46"/>
  <c r="BA56" i="46" s="1"/>
  <c r="AM56" i="46"/>
  <c r="G42" i="24"/>
  <c r="I37" i="24" s="1"/>
  <c r="F42" i="24"/>
  <c r="P7" i="24"/>
  <c r="S7" i="24" s="1"/>
  <c r="R7" i="24"/>
  <c r="P8" i="24"/>
  <c r="S8" i="24" s="1"/>
  <c r="R8" i="24"/>
  <c r="Q13" i="24"/>
  <c r="Q14" i="24" s="1"/>
  <c r="R6" i="24"/>
  <c r="P6" i="24"/>
  <c r="S6" i="24" s="1"/>
  <c r="J4" i="24"/>
  <c r="AD56" i="46" l="1"/>
  <c r="R13" i="24"/>
  <c r="R14" i="24" s="1"/>
  <c r="S13" i="24"/>
  <c r="S14" i="24" s="1"/>
  <c r="AD58" i="46"/>
  <c r="AD57" i="46"/>
  <c r="V56" i="46"/>
  <c r="P56" i="46"/>
  <c r="T56" i="46"/>
  <c r="U56" i="46"/>
  <c r="H56" i="46"/>
  <c r="K7" i="25"/>
  <c r="W53" i="57" s="1"/>
  <c r="K13" i="25"/>
  <c r="W52" i="57" s="1"/>
  <c r="W52" i="46" l="1"/>
  <c r="K56" i="46"/>
  <c r="J56" i="46"/>
  <c r="W53" i="46"/>
  <c r="AC56" i="46" l="1"/>
  <c r="L18" i="48"/>
  <c r="AU18" i="2"/>
  <c r="AQ18" i="2"/>
  <c r="K18" i="2"/>
  <c r="F33" i="47" l="1"/>
  <c r="E34" i="47"/>
  <c r="G34" i="47" s="1"/>
  <c r="H34" i="47" s="1"/>
  <c r="O53" i="57" s="1"/>
  <c r="E33" i="47"/>
  <c r="U53" i="57" l="1"/>
  <c r="C53" i="57"/>
  <c r="V53" i="57"/>
  <c r="P53" i="57"/>
  <c r="T53" i="57"/>
  <c r="K53" i="57"/>
  <c r="AC53" i="57" s="1"/>
  <c r="O53" i="46"/>
  <c r="G33" i="47"/>
  <c r="H33" i="47" s="1"/>
  <c r="O52" i="57" s="1"/>
  <c r="F9" i="25"/>
  <c r="I38" i="25"/>
  <c r="I33" i="47" s="1"/>
  <c r="C52" i="57" l="1"/>
  <c r="V52" i="57"/>
  <c r="U52" i="57"/>
  <c r="AA52" i="57" s="1"/>
  <c r="T52" i="57"/>
  <c r="P52" i="57"/>
  <c r="K52" i="57"/>
  <c r="O52" i="46"/>
  <c r="C52" i="46" s="1"/>
  <c r="N52" i="46"/>
  <c r="H52" i="46" s="1"/>
  <c r="AR54" i="46"/>
  <c r="BA54" i="46" s="1"/>
  <c r="AM54" i="46"/>
  <c r="AR53" i="46"/>
  <c r="BA53" i="46" s="1"/>
  <c r="AM53" i="46"/>
  <c r="T53" i="46"/>
  <c r="N53" i="46"/>
  <c r="H53" i="46" s="1"/>
  <c r="AR52" i="46"/>
  <c r="BA52" i="46" s="1"/>
  <c r="AM52" i="46"/>
  <c r="Q37" i="25"/>
  <c r="Q36" i="25"/>
  <c r="Q38" i="25" s="1"/>
  <c r="G42" i="25"/>
  <c r="I37" i="25" s="1"/>
  <c r="F42" i="25"/>
  <c r="P25" i="25"/>
  <c r="S25" i="25" s="1"/>
  <c r="Q15" i="25"/>
  <c r="R15" i="25" s="1"/>
  <c r="P16" i="25"/>
  <c r="P15" i="25"/>
  <c r="P6" i="25"/>
  <c r="S6" i="25" s="1"/>
  <c r="S13" i="25" s="1"/>
  <c r="Q13" i="25"/>
  <c r="Q14" i="25" s="1"/>
  <c r="J4" i="25"/>
  <c r="X52" i="57" l="1"/>
  <c r="AC52" i="57"/>
  <c r="AB52" i="57"/>
  <c r="AD53" i="46"/>
  <c r="AD54" i="46"/>
  <c r="S14" i="25"/>
  <c r="P52" i="46"/>
  <c r="V52" i="46"/>
  <c r="Q16" i="25"/>
  <c r="S15" i="25"/>
  <c r="K52" i="46"/>
  <c r="AD52" i="46"/>
  <c r="K53" i="46"/>
  <c r="AC53" i="46" s="1"/>
  <c r="V53" i="46"/>
  <c r="P53" i="46"/>
  <c r="J52" i="46"/>
  <c r="C53" i="46"/>
  <c r="N17" i="48" s="1"/>
  <c r="J53" i="46"/>
  <c r="U53" i="46"/>
  <c r="T52" i="46"/>
  <c r="U52" i="46"/>
  <c r="AA52" i="46" s="1"/>
  <c r="S32" i="25"/>
  <c r="Q32" i="25"/>
  <c r="Q33" i="25" s="1"/>
  <c r="R25" i="25"/>
  <c r="R32" i="25" s="1"/>
  <c r="R33" i="25" s="1"/>
  <c r="R6" i="25"/>
  <c r="X52" i="46" l="1"/>
  <c r="R16" i="25"/>
  <c r="R22" i="25" s="1"/>
  <c r="Q22" i="25"/>
  <c r="Q23" i="25" s="1"/>
  <c r="AC52" i="46"/>
  <c r="AB52" i="46" s="1"/>
  <c r="L17" i="48"/>
  <c r="S16" i="25"/>
  <c r="S22" i="25" s="1"/>
  <c r="S23" i="25" s="1"/>
  <c r="BA17" i="48"/>
  <c r="S33" i="25"/>
  <c r="R13" i="25"/>
  <c r="R14" i="25" s="1"/>
  <c r="R23" i="25" l="1"/>
  <c r="AR50" i="46"/>
  <c r="BA50" i="46" s="1"/>
  <c r="AM50" i="46"/>
  <c r="AR49" i="46"/>
  <c r="BA49" i="46" s="1"/>
  <c r="AM49" i="46"/>
  <c r="AR48" i="46"/>
  <c r="BA48" i="46" s="1"/>
  <c r="AM48" i="46"/>
  <c r="AR47" i="46"/>
  <c r="BA47" i="46" s="1"/>
  <c r="AM47" i="46"/>
  <c r="AR46" i="46"/>
  <c r="BA46" i="46" s="1"/>
  <c r="AM46" i="46"/>
  <c r="S46" i="46"/>
  <c r="Q46" i="46"/>
  <c r="N46" i="46"/>
  <c r="H46" i="46" s="1"/>
  <c r="AR45" i="46"/>
  <c r="BA45" i="46" s="1"/>
  <c r="AM45" i="46"/>
  <c r="N45" i="46"/>
  <c r="J45" i="46"/>
  <c r="S46" i="57"/>
  <c r="AR50" i="57"/>
  <c r="BA50" i="57" s="1"/>
  <c r="AM50" i="57"/>
  <c r="AR49" i="57"/>
  <c r="BA49" i="57" s="1"/>
  <c r="AM49" i="57"/>
  <c r="AR48" i="57"/>
  <c r="BA48" i="57" s="1"/>
  <c r="AM48" i="57"/>
  <c r="AR47" i="57"/>
  <c r="BA47" i="57" s="1"/>
  <c r="AM47" i="57"/>
  <c r="AR46" i="57"/>
  <c r="BA46" i="57" s="1"/>
  <c r="AM46" i="57"/>
  <c r="Q46" i="57"/>
  <c r="N46" i="57"/>
  <c r="H46" i="57" s="1"/>
  <c r="AR45" i="57"/>
  <c r="BA45" i="57" s="1"/>
  <c r="AM45" i="57"/>
  <c r="N45" i="57"/>
  <c r="J45" i="57"/>
  <c r="Q37" i="57"/>
  <c r="R37" i="57"/>
  <c r="AW40" i="57"/>
  <c r="AR43" i="57"/>
  <c r="BA43" i="57" s="1"/>
  <c r="AM43" i="57"/>
  <c r="AR42" i="57"/>
  <c r="BA42" i="57" s="1"/>
  <c r="AM42" i="57"/>
  <c r="AR41" i="57"/>
  <c r="BA41" i="57" s="1"/>
  <c r="AM41" i="57"/>
  <c r="AR40" i="57"/>
  <c r="AM40" i="57"/>
  <c r="AR39" i="57"/>
  <c r="BA39" i="57" s="1"/>
  <c r="AM39" i="57"/>
  <c r="AR38" i="57"/>
  <c r="BA38" i="57" s="1"/>
  <c r="AM38" i="57"/>
  <c r="Q38" i="57"/>
  <c r="N38" i="57"/>
  <c r="J38" i="57"/>
  <c r="AR37" i="57"/>
  <c r="BA37" i="57" s="1"/>
  <c r="AM37" i="57"/>
  <c r="AD37" i="57" s="1"/>
  <c r="S37" i="57"/>
  <c r="N37" i="57"/>
  <c r="F20" i="26"/>
  <c r="AB34" i="26"/>
  <c r="Y32" i="26"/>
  <c r="AB32" i="26" s="1"/>
  <c r="S37" i="46"/>
  <c r="AM43" i="46"/>
  <c r="AR43" i="46"/>
  <c r="BA43" i="46" s="1"/>
  <c r="AB30" i="28"/>
  <c r="AC28" i="28"/>
  <c r="Y28" i="28"/>
  <c r="AB28" i="28" s="1"/>
  <c r="K13" i="26"/>
  <c r="W46" i="57" s="1"/>
  <c r="C7" i="26"/>
  <c r="K11" i="26" s="1"/>
  <c r="W45" i="57" s="1"/>
  <c r="AU17" i="2"/>
  <c r="AU16" i="2"/>
  <c r="AQ17" i="2"/>
  <c r="AQ16" i="2"/>
  <c r="K17" i="2"/>
  <c r="K16" i="2"/>
  <c r="AD41" i="57" l="1"/>
  <c r="AD49" i="57"/>
  <c r="AD39" i="57"/>
  <c r="AD43" i="57"/>
  <c r="AD46" i="57"/>
  <c r="AD50" i="57"/>
  <c r="BA40" i="57"/>
  <c r="AD40" i="57" s="1"/>
  <c r="AD47" i="57"/>
  <c r="AD38" i="57"/>
  <c r="AD42" i="57"/>
  <c r="AD45" i="57"/>
  <c r="AD48" i="57"/>
  <c r="AD48" i="46"/>
  <c r="W45" i="46"/>
  <c r="W46" i="46"/>
  <c r="AD49" i="46"/>
  <c r="AD45" i="46"/>
  <c r="AD46" i="46"/>
  <c r="AD47" i="46"/>
  <c r="AD50" i="46"/>
  <c r="J46" i="46"/>
  <c r="J46" i="57"/>
  <c r="H37" i="57"/>
  <c r="AD43" i="46"/>
  <c r="AD28" i="28"/>
  <c r="J37" i="57" l="1"/>
  <c r="AM42" i="46" l="1"/>
  <c r="AR42" i="46"/>
  <c r="BA42" i="46" s="1"/>
  <c r="K12" i="28"/>
  <c r="W37" i="57" s="1"/>
  <c r="C25" i="28"/>
  <c r="C17" i="28"/>
  <c r="K11" i="28" s="1"/>
  <c r="W38" i="57" s="1"/>
  <c r="W38" i="46" l="1"/>
  <c r="W37" i="46"/>
  <c r="AD42" i="46"/>
  <c r="F31" i="47" l="1"/>
  <c r="F30" i="47"/>
  <c r="E31" i="47"/>
  <c r="E30" i="47"/>
  <c r="F28" i="47"/>
  <c r="F27" i="47"/>
  <c r="E28" i="47"/>
  <c r="G28" i="47" s="1"/>
  <c r="H28" i="47" s="1"/>
  <c r="E27" i="47"/>
  <c r="G27" i="47" s="1"/>
  <c r="H27" i="47" s="1"/>
  <c r="O38" i="57" l="1"/>
  <c r="O38" i="46"/>
  <c r="O37" i="57"/>
  <c r="O37" i="46"/>
  <c r="G30" i="47"/>
  <c r="H30" i="47" s="1"/>
  <c r="G31" i="47"/>
  <c r="H31" i="47" s="1"/>
  <c r="Q38" i="46"/>
  <c r="C38" i="46" s="1"/>
  <c r="Q37" i="46"/>
  <c r="AR41" i="46"/>
  <c r="BA41" i="46" s="1"/>
  <c r="AM41" i="46"/>
  <c r="AR40" i="46"/>
  <c r="BA40" i="46" s="1"/>
  <c r="AM40" i="46"/>
  <c r="AR39" i="46"/>
  <c r="BA39" i="46" s="1"/>
  <c r="AM39" i="46"/>
  <c r="AR38" i="46"/>
  <c r="BA38" i="46" s="1"/>
  <c r="AM38" i="46"/>
  <c r="N38" i="46"/>
  <c r="J38" i="46" s="1"/>
  <c r="AR37" i="46"/>
  <c r="BA37" i="46" s="1"/>
  <c r="AM37" i="46"/>
  <c r="N37" i="46"/>
  <c r="G34" i="26"/>
  <c r="F26" i="26"/>
  <c r="S39" i="26"/>
  <c r="W26" i="26"/>
  <c r="X25" i="26"/>
  <c r="Y25" i="26"/>
  <c r="X18" i="26"/>
  <c r="Y18" i="26"/>
  <c r="X19" i="26"/>
  <c r="Y19" i="26"/>
  <c r="X20" i="26"/>
  <c r="Y20" i="26"/>
  <c r="X21" i="26"/>
  <c r="Y21" i="26"/>
  <c r="X22" i="26"/>
  <c r="Y22" i="26"/>
  <c r="X23" i="26"/>
  <c r="Y23" i="26"/>
  <c r="X24" i="26"/>
  <c r="Y24" i="26"/>
  <c r="Y17" i="26"/>
  <c r="G42" i="26"/>
  <c r="I37" i="26" s="1"/>
  <c r="F42" i="26"/>
  <c r="O40" i="26"/>
  <c r="Q17" i="26"/>
  <c r="Q23" i="26"/>
  <c r="Q22" i="26"/>
  <c r="Q21" i="26"/>
  <c r="Q20" i="26"/>
  <c r="Q19" i="26"/>
  <c r="H34" i="28"/>
  <c r="G42" i="28"/>
  <c r="I37" i="28" s="1"/>
  <c r="F42" i="28"/>
  <c r="Q28" i="28"/>
  <c r="I38" i="26"/>
  <c r="I30" i="47" s="1"/>
  <c r="I38" i="28"/>
  <c r="I27" i="47" s="1"/>
  <c r="Q18" i="26" l="1"/>
  <c r="Q24" i="26" s="1"/>
  <c r="Y26" i="26"/>
  <c r="Y27" i="26" s="1"/>
  <c r="O45" i="46"/>
  <c r="O45" i="57"/>
  <c r="O46" i="57"/>
  <c r="O46" i="46"/>
  <c r="P37" i="57"/>
  <c r="C37" i="57"/>
  <c r="T37" i="57"/>
  <c r="V37" i="57"/>
  <c r="U37" i="57"/>
  <c r="K37" i="57"/>
  <c r="AC37" i="57" s="1"/>
  <c r="AD38" i="46"/>
  <c r="P38" i="57"/>
  <c r="U38" i="57"/>
  <c r="K38" i="57"/>
  <c r="AC38" i="57" s="1"/>
  <c r="V38" i="57"/>
  <c r="C38" i="57"/>
  <c r="T38" i="57"/>
  <c r="AD37" i="46"/>
  <c r="AD39" i="46"/>
  <c r="P38" i="46"/>
  <c r="V37" i="46"/>
  <c r="T37" i="46"/>
  <c r="AD41" i="46"/>
  <c r="AD40" i="46"/>
  <c r="U37" i="46"/>
  <c r="K38" i="46"/>
  <c r="H37" i="46"/>
  <c r="T38" i="46"/>
  <c r="U38" i="46"/>
  <c r="P37" i="46"/>
  <c r="V38" i="46"/>
  <c r="C37" i="46"/>
  <c r="N15" i="48" s="1"/>
  <c r="X17" i="26"/>
  <c r="X26" i="26" s="1"/>
  <c r="X27" i="26" s="1"/>
  <c r="P27" i="26"/>
  <c r="P18" i="26"/>
  <c r="P19" i="26"/>
  <c r="S19" i="26" s="1"/>
  <c r="P20" i="26"/>
  <c r="S20" i="26" s="1"/>
  <c r="P21" i="26"/>
  <c r="S21" i="26" s="1"/>
  <c r="P22" i="26"/>
  <c r="S22" i="26" s="1"/>
  <c r="P23" i="26"/>
  <c r="S23" i="26" s="1"/>
  <c r="P17" i="26"/>
  <c r="S17" i="26" s="1"/>
  <c r="S27" i="26"/>
  <c r="R19" i="26"/>
  <c r="R20" i="26"/>
  <c r="R21" i="26"/>
  <c r="R22" i="26"/>
  <c r="R23" i="26"/>
  <c r="Q6" i="26"/>
  <c r="R6" i="26" s="1"/>
  <c r="P7" i="26"/>
  <c r="J4" i="26"/>
  <c r="P6" i="26"/>
  <c r="T38" i="28"/>
  <c r="Y17" i="28"/>
  <c r="Z17" i="28"/>
  <c r="Y18" i="28"/>
  <c r="Z18" i="28"/>
  <c r="Y19" i="28"/>
  <c r="Z19" i="28"/>
  <c r="Y20" i="28"/>
  <c r="Z20" i="28"/>
  <c r="X23" i="28"/>
  <c r="X24" i="28" s="1"/>
  <c r="Y16" i="28"/>
  <c r="Z16" i="28"/>
  <c r="Z7" i="28"/>
  <c r="Y7" i="28"/>
  <c r="X6" i="28"/>
  <c r="Y6" i="28" s="1"/>
  <c r="W6" i="28"/>
  <c r="O39" i="28"/>
  <c r="Q27" i="28"/>
  <c r="R27" i="28" s="1"/>
  <c r="Q26" i="28"/>
  <c r="Q25" i="28"/>
  <c r="R28" i="28"/>
  <c r="P26" i="28"/>
  <c r="P27" i="28"/>
  <c r="P28" i="28"/>
  <c r="S28" i="28" s="1"/>
  <c r="P25" i="28"/>
  <c r="Q15" i="28"/>
  <c r="R15" i="28" s="1"/>
  <c r="P16" i="28"/>
  <c r="P15" i="28"/>
  <c r="Q6" i="28"/>
  <c r="P6" i="28"/>
  <c r="P7" i="28"/>
  <c r="J4" i="28"/>
  <c r="X37" i="57" l="1"/>
  <c r="Z6" i="28"/>
  <c r="Z13" i="28" s="1"/>
  <c r="AA37" i="57"/>
  <c r="AB37" i="57" s="1"/>
  <c r="R18" i="26"/>
  <c r="S27" i="28"/>
  <c r="X13" i="28"/>
  <c r="X14" i="28" s="1"/>
  <c r="S26" i="28"/>
  <c r="Y23" i="28"/>
  <c r="Y24" i="28" s="1"/>
  <c r="S25" i="28"/>
  <c r="Q16" i="28"/>
  <c r="R16" i="28" s="1"/>
  <c r="R22" i="28" s="1"/>
  <c r="Q7" i="26"/>
  <c r="U46" i="46"/>
  <c r="V46" i="46"/>
  <c r="K46" i="46"/>
  <c r="P46" i="46"/>
  <c r="C46" i="46"/>
  <c r="T46" i="46"/>
  <c r="S6" i="28"/>
  <c r="Y13" i="28"/>
  <c r="S6" i="26"/>
  <c r="U46" i="57"/>
  <c r="K46" i="57"/>
  <c r="AC46" i="57" s="1"/>
  <c r="V46" i="57"/>
  <c r="P46" i="57"/>
  <c r="C46" i="57"/>
  <c r="T46" i="57"/>
  <c r="S15" i="28"/>
  <c r="BA15" i="48"/>
  <c r="P45" i="57"/>
  <c r="C45" i="57"/>
  <c r="U45" i="57"/>
  <c r="AA45" i="57" s="1"/>
  <c r="V45" i="57"/>
  <c r="T45" i="57"/>
  <c r="K45" i="57"/>
  <c r="AC45" i="57" s="1"/>
  <c r="P45" i="46"/>
  <c r="K45" i="46"/>
  <c r="T45" i="46"/>
  <c r="C45" i="46"/>
  <c r="V45" i="46"/>
  <c r="U45" i="46"/>
  <c r="AC38" i="46"/>
  <c r="AA37" i="46"/>
  <c r="K37" i="46"/>
  <c r="L15" i="48" s="1"/>
  <c r="J37" i="46"/>
  <c r="S18" i="26"/>
  <c r="S24" i="26" s="1"/>
  <c r="S25" i="26" s="1"/>
  <c r="Q34" i="26"/>
  <c r="Q35" i="26" s="1"/>
  <c r="S34" i="26"/>
  <c r="R27" i="26"/>
  <c r="R34" i="26" s="1"/>
  <c r="Q25" i="26"/>
  <c r="R17" i="26"/>
  <c r="Q13" i="26"/>
  <c r="Q14" i="26" s="1"/>
  <c r="Z23" i="28"/>
  <c r="Z24" i="28" s="1"/>
  <c r="R26" i="28"/>
  <c r="Q32" i="28"/>
  <c r="Q33" i="28" s="1"/>
  <c r="R25" i="28"/>
  <c r="Q13" i="28"/>
  <c r="Q14" i="28" s="1"/>
  <c r="S7" i="28"/>
  <c r="R7" i="28"/>
  <c r="R6" i="28"/>
  <c r="B4" i="54"/>
  <c r="B3" i="54"/>
  <c r="C4" i="54"/>
  <c r="C3" i="54"/>
  <c r="D4" i="54"/>
  <c r="D3" i="54"/>
  <c r="E4" i="54"/>
  <c r="E3" i="54"/>
  <c r="F3" i="54"/>
  <c r="F4" i="54"/>
  <c r="G3" i="54"/>
  <c r="X45" i="57" l="1"/>
  <c r="R24" i="26"/>
  <c r="R25" i="26" s="1"/>
  <c r="AB45" i="57"/>
  <c r="S32" i="28"/>
  <c r="S33" i="28" s="1"/>
  <c r="N16" i="48"/>
  <c r="Y14" i="28"/>
  <c r="Z14" i="28"/>
  <c r="S13" i="28"/>
  <c r="S14" i="28" s="1"/>
  <c r="Q22" i="28"/>
  <c r="Q23" i="28" s="1"/>
  <c r="R35" i="26"/>
  <c r="AC46" i="46"/>
  <c r="S35" i="26"/>
  <c r="AA45" i="46"/>
  <c r="S16" i="28"/>
  <c r="S22" i="28" s="1"/>
  <c r="BA16" i="48"/>
  <c r="R7" i="26"/>
  <c r="R13" i="26" s="1"/>
  <c r="R14" i="26" s="1"/>
  <c r="S7" i="26"/>
  <c r="S13" i="26" s="1"/>
  <c r="S14" i="26" s="1"/>
  <c r="AC45" i="46"/>
  <c r="X45" i="46"/>
  <c r="L16" i="48"/>
  <c r="AC37" i="46"/>
  <c r="AB37" i="46" s="1"/>
  <c r="X37" i="46"/>
  <c r="R32" i="28"/>
  <c r="R33" i="28" s="1"/>
  <c r="R13" i="28"/>
  <c r="R14" i="28" s="1"/>
  <c r="Q32" i="57"/>
  <c r="R32" i="57"/>
  <c r="AW35" i="57"/>
  <c r="AY165" i="57"/>
  <c r="AR35" i="57"/>
  <c r="AM35" i="57"/>
  <c r="AR34" i="57"/>
  <c r="BA34" i="57" s="1"/>
  <c r="AM34" i="57"/>
  <c r="AR33" i="57"/>
  <c r="BA33" i="57" s="1"/>
  <c r="AM33" i="57"/>
  <c r="AR32" i="57"/>
  <c r="BA32" i="57" s="1"/>
  <c r="AM32" i="57"/>
  <c r="N32" i="57"/>
  <c r="H32" i="57" s="1"/>
  <c r="J32" i="57" s="1"/>
  <c r="AR31" i="57"/>
  <c r="BA31" i="57" s="1"/>
  <c r="AM31" i="57"/>
  <c r="N31" i="57"/>
  <c r="AD33" i="57" l="1"/>
  <c r="R23" i="28"/>
  <c r="AD32" i="57"/>
  <c r="AD34" i="57"/>
  <c r="AD31" i="57"/>
  <c r="S23" i="28"/>
  <c r="AB45" i="46"/>
  <c r="BA35" i="57"/>
  <c r="AD35" i="57" s="1"/>
  <c r="H31" i="57"/>
  <c r="J31" i="57" l="1"/>
  <c r="C16" i="27" l="1"/>
  <c r="C17" i="27" s="1"/>
  <c r="K11" i="27" s="1"/>
  <c r="W32" i="57" s="1"/>
  <c r="W32" i="46" l="1"/>
  <c r="K9" i="27"/>
  <c r="W31" i="57" s="1"/>
  <c r="F25" i="47"/>
  <c r="F22" i="47"/>
  <c r="F21" i="47"/>
  <c r="E25" i="47"/>
  <c r="G25" i="47" s="1"/>
  <c r="H25" i="47" s="1"/>
  <c r="E24" i="47"/>
  <c r="G24" i="47" s="1"/>
  <c r="E23" i="47"/>
  <c r="G23" i="47" s="1"/>
  <c r="E22" i="47"/>
  <c r="E21" i="47"/>
  <c r="H21" i="47" l="1"/>
  <c r="W31" i="46"/>
  <c r="G21" i="47"/>
  <c r="O32" i="57"/>
  <c r="O32" i="46"/>
  <c r="G22" i="47"/>
  <c r="O31" i="57" l="1"/>
  <c r="O31" i="46"/>
  <c r="U32" i="57"/>
  <c r="K32" i="57"/>
  <c r="AC32" i="57" s="1"/>
  <c r="P32" i="57"/>
  <c r="T32" i="57"/>
  <c r="C32" i="57"/>
  <c r="V32" i="57"/>
  <c r="AQ15" i="2"/>
  <c r="AU15" i="2"/>
  <c r="K15" i="2"/>
  <c r="U31" i="57" l="1"/>
  <c r="AA31" i="57" s="1"/>
  <c r="V31" i="57"/>
  <c r="T31" i="57"/>
  <c r="C31" i="57"/>
  <c r="P31" i="57"/>
  <c r="K31" i="57"/>
  <c r="AM35" i="46"/>
  <c r="AR35" i="46"/>
  <c r="BA35" i="46" s="1"/>
  <c r="Q32" i="46"/>
  <c r="F17" i="27"/>
  <c r="F9" i="27"/>
  <c r="I38" i="27"/>
  <c r="I21" i="47" s="1"/>
  <c r="X31" i="57" l="1"/>
  <c r="AC31" i="57"/>
  <c r="AB31" i="57"/>
  <c r="BA14" i="48"/>
  <c r="AD35" i="46"/>
  <c r="N32" i="46" l="1"/>
  <c r="H32" i="46" s="1"/>
  <c r="P32" i="46"/>
  <c r="U31" i="46"/>
  <c r="N31" i="46"/>
  <c r="AR34" i="46"/>
  <c r="BA34" i="46" s="1"/>
  <c r="AM34" i="46"/>
  <c r="AD34" i="46" s="1"/>
  <c r="AR33" i="46"/>
  <c r="BA33" i="46" s="1"/>
  <c r="AM33" i="46"/>
  <c r="AR32" i="46"/>
  <c r="BA32" i="46" s="1"/>
  <c r="AM32" i="46"/>
  <c r="AR31" i="46"/>
  <c r="BA31" i="46" s="1"/>
  <c r="AM31" i="46"/>
  <c r="AD31" i="46" s="1"/>
  <c r="G42" i="27"/>
  <c r="I37" i="27" s="1"/>
  <c r="F42" i="27"/>
  <c r="N37" i="27"/>
  <c r="Q28" i="27"/>
  <c r="Q30" i="27" s="1"/>
  <c r="Q16" i="27"/>
  <c r="Q17" i="27" s="1"/>
  <c r="P17" i="27"/>
  <c r="P16" i="27"/>
  <c r="P7" i="27"/>
  <c r="Q7" i="27"/>
  <c r="P6" i="27"/>
  <c r="S6" i="27" s="1"/>
  <c r="V32" i="46" l="1"/>
  <c r="U32" i="46"/>
  <c r="T32" i="46"/>
  <c r="V31" i="46"/>
  <c r="C32" i="46"/>
  <c r="AD33" i="46"/>
  <c r="K32" i="46"/>
  <c r="AC32" i="46" s="1"/>
  <c r="J32" i="46"/>
  <c r="P31" i="46"/>
  <c r="T31" i="46"/>
  <c r="C31" i="46"/>
  <c r="H31" i="46"/>
  <c r="AD32" i="46"/>
  <c r="AA31" i="46"/>
  <c r="Q23" i="27"/>
  <c r="Q24" i="27" s="1"/>
  <c r="S16" i="27"/>
  <c r="S23" i="27" s="1"/>
  <c r="S24" i="27" s="1"/>
  <c r="R17" i="27"/>
  <c r="R16" i="27"/>
  <c r="S17" i="27"/>
  <c r="S7" i="27"/>
  <c r="S13" i="27" s="1"/>
  <c r="R7" i="27"/>
  <c r="Q13" i="27"/>
  <c r="Q14" i="27" s="1"/>
  <c r="R6" i="27"/>
  <c r="R13" i="27" s="1"/>
  <c r="R14" i="27" s="1"/>
  <c r="R23" i="27" l="1"/>
  <c r="N14" i="48"/>
  <c r="K31" i="46"/>
  <c r="L14" i="48" s="1"/>
  <c r="J31" i="46"/>
  <c r="R24" i="27"/>
  <c r="S14" i="27"/>
  <c r="AC31" i="46" l="1"/>
  <c r="AB31" i="46" s="1"/>
  <c r="X31" i="46"/>
  <c r="AR29" i="57"/>
  <c r="BA29" i="57" s="1"/>
  <c r="AM29" i="57"/>
  <c r="AD29" i="57" s="1"/>
  <c r="AR28" i="57"/>
  <c r="BA28" i="57" s="1"/>
  <c r="AM28" i="57"/>
  <c r="N28" i="57"/>
  <c r="AR27" i="57"/>
  <c r="BA27" i="57" s="1"/>
  <c r="AM27" i="57"/>
  <c r="S27" i="57"/>
  <c r="N27" i="57"/>
  <c r="H27" i="57" s="1"/>
  <c r="AR26" i="57"/>
  <c r="BA26" i="57" s="1"/>
  <c r="AM26" i="57"/>
  <c r="N26" i="57"/>
  <c r="H26" i="57" s="1"/>
  <c r="G26" i="57"/>
  <c r="AD26" i="57" l="1"/>
  <c r="AD28" i="57"/>
  <c r="AD27" i="57"/>
  <c r="J27" i="57"/>
  <c r="H28" i="57"/>
  <c r="J26" i="57"/>
  <c r="J28" i="57" l="1"/>
  <c r="C27" i="29" l="1"/>
  <c r="K9" i="29" s="1"/>
  <c r="W28" i="57" s="1"/>
  <c r="C26" i="29"/>
  <c r="K10" i="29" s="1"/>
  <c r="W27" i="57" s="1"/>
  <c r="C25" i="29"/>
  <c r="K8" i="29" s="1"/>
  <c r="W26" i="57" s="1"/>
  <c r="J4" i="29"/>
  <c r="E18" i="47"/>
  <c r="E19" i="47"/>
  <c r="G19" i="47" s="1"/>
  <c r="H19" i="47" s="1"/>
  <c r="O28" i="57" s="1"/>
  <c r="E17" i="47"/>
  <c r="G17" i="47" s="1"/>
  <c r="E16" i="47"/>
  <c r="F18" i="47"/>
  <c r="F16" i="47"/>
  <c r="H16" i="47" l="1"/>
  <c r="G18" i="47"/>
  <c r="H18" i="47" s="1"/>
  <c r="O27" i="57" s="1"/>
  <c r="K27" i="57" s="1"/>
  <c r="W27" i="46"/>
  <c r="W28" i="46"/>
  <c r="W26" i="46"/>
  <c r="G16" i="47"/>
  <c r="O26" i="57" s="1"/>
  <c r="T26" i="57" s="1"/>
  <c r="P28" i="57"/>
  <c r="C28" i="57"/>
  <c r="T28" i="57"/>
  <c r="U28" i="57"/>
  <c r="V28" i="57"/>
  <c r="K28" i="57"/>
  <c r="AC28" i="57" s="1"/>
  <c r="O27" i="46"/>
  <c r="V27" i="57"/>
  <c r="O28" i="46"/>
  <c r="P27" i="57" l="1"/>
  <c r="T27" i="57"/>
  <c r="AC27" i="57" s="1"/>
  <c r="U27" i="57"/>
  <c r="C27" i="57"/>
  <c r="K26" i="57"/>
  <c r="P26" i="57"/>
  <c r="U26" i="57"/>
  <c r="AA26" i="57" s="1"/>
  <c r="C26" i="57"/>
  <c r="O26" i="46"/>
  <c r="V26" i="57"/>
  <c r="AU14" i="2"/>
  <c r="AQ14" i="2"/>
  <c r="K14" i="2"/>
  <c r="X26" i="57" l="1"/>
  <c r="AC26" i="57"/>
  <c r="AB26" i="57"/>
  <c r="BA13" i="48"/>
  <c r="S27" i="46" l="1"/>
  <c r="F26" i="29"/>
  <c r="I38" i="29"/>
  <c r="N27" i="46" l="1"/>
  <c r="H27" i="46" s="1"/>
  <c r="U27" i="46"/>
  <c r="P27" i="46"/>
  <c r="T27" i="46"/>
  <c r="N28" i="46"/>
  <c r="H28" i="46" s="1"/>
  <c r="T28" i="46"/>
  <c r="AR29" i="46"/>
  <c r="BA29" i="46" s="1"/>
  <c r="AM29" i="46"/>
  <c r="AR28" i="46"/>
  <c r="BA28" i="46" s="1"/>
  <c r="AM28" i="46"/>
  <c r="AR27" i="46"/>
  <c r="BA27" i="46" s="1"/>
  <c r="AM27" i="46"/>
  <c r="AR26" i="46"/>
  <c r="BA26" i="46" s="1"/>
  <c r="AM26" i="46"/>
  <c r="U26" i="46"/>
  <c r="N26" i="46"/>
  <c r="H26" i="46" s="1"/>
  <c r="G26" i="46"/>
  <c r="R38" i="29"/>
  <c r="Y17" i="29"/>
  <c r="Z16" i="29"/>
  <c r="Y8" i="29"/>
  <c r="Z8" i="29"/>
  <c r="W7" i="29"/>
  <c r="X6" i="29"/>
  <c r="Y6" i="29" s="1"/>
  <c r="W6" i="29"/>
  <c r="Q24" i="29"/>
  <c r="R24" i="29" s="1"/>
  <c r="P25" i="29"/>
  <c r="P24" i="29"/>
  <c r="S24" i="29" s="1"/>
  <c r="Q15" i="29"/>
  <c r="Q16" i="29" s="1"/>
  <c r="P16" i="29"/>
  <c r="P15" i="29"/>
  <c r="Q6" i="29"/>
  <c r="Q7" i="29" s="1"/>
  <c r="P7" i="29"/>
  <c r="P6" i="29"/>
  <c r="R6" i="29" l="1"/>
  <c r="Q25" i="29"/>
  <c r="R25" i="29" s="1"/>
  <c r="S16" i="29"/>
  <c r="S7" i="29"/>
  <c r="S15" i="29"/>
  <c r="Z6" i="29"/>
  <c r="S6" i="29"/>
  <c r="S13" i="29" s="1"/>
  <c r="S14" i="29" s="1"/>
  <c r="S22" i="29" s="1"/>
  <c r="X7" i="29"/>
  <c r="X13" i="29" s="1"/>
  <c r="X14" i="29" s="1"/>
  <c r="AD29" i="46"/>
  <c r="AD26" i="46"/>
  <c r="AD27" i="46"/>
  <c r="P28" i="46"/>
  <c r="C27" i="46"/>
  <c r="U28" i="46"/>
  <c r="AA26" i="46" s="1"/>
  <c r="C28" i="46"/>
  <c r="J28" i="46"/>
  <c r="K28" i="46"/>
  <c r="AC28" i="46" s="1"/>
  <c r="V28" i="46"/>
  <c r="V27" i="46"/>
  <c r="V26" i="46"/>
  <c r="K27" i="46"/>
  <c r="AC27" i="46" s="1"/>
  <c r="J27" i="46"/>
  <c r="J26" i="46"/>
  <c r="K26" i="46"/>
  <c r="AD28" i="46"/>
  <c r="P26" i="46"/>
  <c r="C26" i="46"/>
  <c r="T26" i="46"/>
  <c r="Z17" i="29"/>
  <c r="Z23" i="29" s="1"/>
  <c r="Y16" i="29"/>
  <c r="Y23" i="29" s="1"/>
  <c r="X23" i="29"/>
  <c r="X24" i="29" s="1"/>
  <c r="S25" i="29"/>
  <c r="R16" i="29"/>
  <c r="R15" i="29"/>
  <c r="R7" i="29"/>
  <c r="R13" i="29" s="1"/>
  <c r="Q13" i="29"/>
  <c r="Q14" i="29" s="1"/>
  <c r="Q22" i="29" s="1"/>
  <c r="Q23" i="29" s="1"/>
  <c r="Q31" i="29" s="1"/>
  <c r="Q32" i="29" s="1"/>
  <c r="Y7" i="29" l="1"/>
  <c r="Y13" i="29" s="1"/>
  <c r="Y14" i="29" s="1"/>
  <c r="Z7" i="29"/>
  <c r="Z13" i="29" s="1"/>
  <c r="Z14" i="29" s="1"/>
  <c r="R14" i="29"/>
  <c r="R22" i="29" s="1"/>
  <c r="R23" i="29" s="1"/>
  <c r="R31" i="29" s="1"/>
  <c r="R32" i="29" s="1"/>
  <c r="L13" i="48"/>
  <c r="N13" i="48"/>
  <c r="AC26" i="46"/>
  <c r="AB26" i="46" s="1"/>
  <c r="X26" i="46"/>
  <c r="Z24" i="29"/>
  <c r="Y24" i="29"/>
  <c r="S23" i="29"/>
  <c r="S31" i="29" s="1"/>
  <c r="S32" i="29" s="1"/>
  <c r="AR24" i="57" l="1"/>
  <c r="BA24" i="57" s="1"/>
  <c r="AM24" i="57"/>
  <c r="AD24" i="57" s="1"/>
  <c r="AR23" i="57"/>
  <c r="BA23" i="57" s="1"/>
  <c r="AM23" i="57"/>
  <c r="AD23" i="57" s="1"/>
  <c r="AR22" i="57"/>
  <c r="BA22" i="57" s="1"/>
  <c r="AM22" i="57"/>
  <c r="AR21" i="57"/>
  <c r="BA21" i="57" s="1"/>
  <c r="AM21" i="57"/>
  <c r="N21" i="57"/>
  <c r="H21" i="57" s="1"/>
  <c r="G21" i="57"/>
  <c r="AR19" i="57"/>
  <c r="BA19" i="57" s="1"/>
  <c r="AM19" i="57"/>
  <c r="AD19" i="57" s="1"/>
  <c r="AR18" i="57"/>
  <c r="BA18" i="57" s="1"/>
  <c r="AM18" i="57"/>
  <c r="AR17" i="57"/>
  <c r="BA17" i="57" s="1"/>
  <c r="AM17" i="57"/>
  <c r="N17" i="57"/>
  <c r="H17" i="57" s="1"/>
  <c r="G17" i="57"/>
  <c r="AR16" i="57"/>
  <c r="BA16" i="57" s="1"/>
  <c r="AM16" i="57"/>
  <c r="AD16" i="57" s="1"/>
  <c r="N16" i="57"/>
  <c r="H16" i="57" s="1"/>
  <c r="G16" i="57"/>
  <c r="AR14" i="57"/>
  <c r="BA14" i="57" s="1"/>
  <c r="AM14" i="57"/>
  <c r="AR13" i="57"/>
  <c r="BA13" i="57" s="1"/>
  <c r="AM13" i="57"/>
  <c r="S13" i="57"/>
  <c r="N13" i="57"/>
  <c r="H13" i="57" s="1"/>
  <c r="G13" i="57"/>
  <c r="AR12" i="57"/>
  <c r="BA12" i="57" s="1"/>
  <c r="AM12" i="57"/>
  <c r="AD12" i="57" s="1"/>
  <c r="N12" i="57"/>
  <c r="H12" i="57" s="1"/>
  <c r="G12" i="57"/>
  <c r="AR11" i="57"/>
  <c r="BA11" i="57" s="1"/>
  <c r="AM11" i="57"/>
  <c r="N11" i="57"/>
  <c r="J11" i="57"/>
  <c r="AR9" i="57"/>
  <c r="BA9" i="57" s="1"/>
  <c r="AM9" i="57"/>
  <c r="AD9" i="57" s="1"/>
  <c r="AR8" i="57"/>
  <c r="BA8" i="57" s="1"/>
  <c r="AM8" i="57"/>
  <c r="AR7" i="57"/>
  <c r="BA7" i="57" s="1"/>
  <c r="AM7" i="57"/>
  <c r="AR6" i="57"/>
  <c r="BA6" i="57" s="1"/>
  <c r="AM6" i="57"/>
  <c r="AD6" i="57" s="1"/>
  <c r="N6" i="57"/>
  <c r="J6" i="57"/>
  <c r="A6" i="57"/>
  <c r="AD13" i="57" l="1"/>
  <c r="AD18" i="57"/>
  <c r="AD22" i="57"/>
  <c r="AD11" i="57"/>
  <c r="AD14" i="57"/>
  <c r="AD17" i="57"/>
  <c r="AD21" i="57"/>
  <c r="AD7" i="57"/>
  <c r="AD8" i="57"/>
  <c r="J17" i="57"/>
  <c r="J21" i="57"/>
  <c r="J16" i="57"/>
  <c r="J12" i="57"/>
  <c r="J13" i="57"/>
  <c r="F14" i="47" l="1"/>
  <c r="AU13" i="2" l="1"/>
  <c r="K13" i="2"/>
  <c r="E14" i="47" l="1"/>
  <c r="G14" i="47" s="1"/>
  <c r="H14" i="47" s="1"/>
  <c r="O21" i="57" l="1"/>
  <c r="O21" i="46"/>
  <c r="F17" i="30"/>
  <c r="F9" i="30"/>
  <c r="I38" i="30"/>
  <c r="I14" i="47" s="1"/>
  <c r="T21" i="57" l="1"/>
  <c r="P21" i="57"/>
  <c r="U21" i="57"/>
  <c r="C21" i="57"/>
  <c r="V21" i="57"/>
  <c r="K21" i="57"/>
  <c r="AC21" i="57" s="1"/>
  <c r="P21" i="46"/>
  <c r="U21" i="46"/>
  <c r="N21" i="46"/>
  <c r="H21" i="46" s="1"/>
  <c r="G21" i="46"/>
  <c r="K21" i="46" s="1"/>
  <c r="L12" i="48" s="1"/>
  <c r="C21" i="46"/>
  <c r="N12" i="48" s="1"/>
  <c r="AR24" i="46"/>
  <c r="BA24" i="46" s="1"/>
  <c r="AM24" i="46"/>
  <c r="AR23" i="46"/>
  <c r="BA23" i="46" s="1"/>
  <c r="AM23" i="46"/>
  <c r="AR22" i="46"/>
  <c r="BA22" i="46" s="1"/>
  <c r="AM22" i="46"/>
  <c r="AR21" i="46"/>
  <c r="BA21" i="46" s="1"/>
  <c r="AM21" i="46"/>
  <c r="R25" i="30"/>
  <c r="P25" i="30"/>
  <c r="S25" i="30" s="1"/>
  <c r="P16" i="30"/>
  <c r="S16" i="30" s="1"/>
  <c r="Q6" i="30"/>
  <c r="R6" i="30" s="1"/>
  <c r="P7" i="30"/>
  <c r="P6" i="30"/>
  <c r="J4" i="30"/>
  <c r="AD23" i="46" l="1"/>
  <c r="BA12" i="48"/>
  <c r="Q7" i="30"/>
  <c r="R7" i="30" s="1"/>
  <c r="R13" i="30" s="1"/>
  <c r="AD24" i="46"/>
  <c r="S6" i="30"/>
  <c r="AD22" i="46"/>
  <c r="AD21" i="46"/>
  <c r="T21" i="46"/>
  <c r="AC21" i="46" s="1"/>
  <c r="J21" i="46"/>
  <c r="V21" i="46"/>
  <c r="S23" i="30"/>
  <c r="Q23" i="30"/>
  <c r="Q24" i="30" s="1"/>
  <c r="Q32" i="30" s="1"/>
  <c r="Q33" i="30" s="1"/>
  <c r="R16" i="30"/>
  <c r="R23" i="30" s="1"/>
  <c r="R24" i="30" s="1"/>
  <c r="R32" i="30" s="1"/>
  <c r="R33" i="30" s="1"/>
  <c r="Q13" i="30"/>
  <c r="Q14" i="30" s="1"/>
  <c r="G17" i="46"/>
  <c r="G16" i="46"/>
  <c r="G13" i="46"/>
  <c r="G12" i="46"/>
  <c r="AU12" i="2"/>
  <c r="K12" i="2"/>
  <c r="S7" i="30" l="1"/>
  <c r="S13" i="30" s="1"/>
  <c r="S24" i="30"/>
  <c r="S32" i="30" s="1"/>
  <c r="S33" i="30" s="1"/>
  <c r="R14" i="30"/>
  <c r="S14" i="30"/>
  <c r="J8" i="31" l="1"/>
  <c r="J9" i="31"/>
  <c r="E12" i="47"/>
  <c r="G12" i="47" s="1"/>
  <c r="E11" i="47"/>
  <c r="G11" i="47" s="1"/>
  <c r="H11" i="47" s="1"/>
  <c r="O16" i="57" s="1"/>
  <c r="O16" i="46" l="1"/>
  <c r="H12" i="47"/>
  <c r="U16" i="57"/>
  <c r="C16" i="57"/>
  <c r="T16" i="57"/>
  <c r="K16" i="57"/>
  <c r="AC16" i="57" s="1"/>
  <c r="V16" i="57"/>
  <c r="P16" i="57"/>
  <c r="F26" i="31"/>
  <c r="F9" i="31"/>
  <c r="I38" i="31"/>
  <c r="I11" i="47" s="1"/>
  <c r="O17" i="57" l="1"/>
  <c r="O17" i="46"/>
  <c r="U16" i="46"/>
  <c r="N16" i="46"/>
  <c r="V16" i="46" s="1"/>
  <c r="AR19" i="46"/>
  <c r="BA19" i="46" s="1"/>
  <c r="AM19" i="46"/>
  <c r="AR18" i="46"/>
  <c r="BA18" i="46" s="1"/>
  <c r="AM18" i="46"/>
  <c r="AR17" i="46"/>
  <c r="BA17" i="46" s="1"/>
  <c r="AM17" i="46"/>
  <c r="W17" i="46"/>
  <c r="T17" i="46"/>
  <c r="N17" i="46"/>
  <c r="AR16" i="46"/>
  <c r="BA16" i="46" s="1"/>
  <c r="AM16" i="46"/>
  <c r="Q39" i="31"/>
  <c r="Y7" i="31"/>
  <c r="Z7" i="31"/>
  <c r="Y8" i="31"/>
  <c r="Z8" i="31"/>
  <c r="Y9" i="31"/>
  <c r="Z9" i="31"/>
  <c r="Z6" i="31"/>
  <c r="Q28" i="31"/>
  <c r="Q27" i="31" s="1"/>
  <c r="Q34" i="31" s="1"/>
  <c r="Q35" i="31" s="1"/>
  <c r="P28" i="31"/>
  <c r="P27" i="31"/>
  <c r="P17" i="31"/>
  <c r="S17" i="31" s="1"/>
  <c r="Q6" i="31"/>
  <c r="Q7" i="31" s="1"/>
  <c r="R7" i="31" s="1"/>
  <c r="P7" i="31"/>
  <c r="R6" i="31"/>
  <c r="P6" i="31"/>
  <c r="S6" i="31" s="1"/>
  <c r="J4" i="31"/>
  <c r="S28" i="31" l="1"/>
  <c r="S27" i="31"/>
  <c r="R28" i="31"/>
  <c r="AD19" i="46"/>
  <c r="R27" i="31"/>
  <c r="R34" i="31" s="1"/>
  <c r="R35" i="31" s="1"/>
  <c r="U17" i="57"/>
  <c r="T17" i="57"/>
  <c r="K17" i="57"/>
  <c r="AC17" i="57" s="1"/>
  <c r="V17" i="57"/>
  <c r="C17" i="57"/>
  <c r="P17" i="57"/>
  <c r="S7" i="31"/>
  <c r="S13" i="31" s="1"/>
  <c r="Q13" i="31"/>
  <c r="Q14" i="31" s="1"/>
  <c r="V17" i="46"/>
  <c r="U17" i="46"/>
  <c r="C17" i="46"/>
  <c r="AD18" i="46"/>
  <c r="AD17" i="46"/>
  <c r="AD16" i="46"/>
  <c r="P16" i="46"/>
  <c r="C16" i="46"/>
  <c r="T16" i="46"/>
  <c r="H16" i="46"/>
  <c r="P17" i="46"/>
  <c r="H17" i="46"/>
  <c r="X13" i="31"/>
  <c r="X14" i="31" s="1"/>
  <c r="Z13" i="31"/>
  <c r="Z14" i="31" s="1"/>
  <c r="Y6" i="31"/>
  <c r="Y13" i="31" s="1"/>
  <c r="S34" i="31"/>
  <c r="S35" i="31" s="1"/>
  <c r="S24" i="31"/>
  <c r="R17" i="31"/>
  <c r="R24" i="31" s="1"/>
  <c r="Q24" i="31"/>
  <c r="Q25" i="31" s="1"/>
  <c r="R13" i="31"/>
  <c r="AU11" i="2"/>
  <c r="AQ11" i="2"/>
  <c r="R14" i="31" l="1"/>
  <c r="S14" i="31"/>
  <c r="BA11" i="48"/>
  <c r="Y14" i="31"/>
  <c r="N11" i="48"/>
  <c r="K16" i="46"/>
  <c r="J16" i="46"/>
  <c r="J17" i="46"/>
  <c r="K17" i="46"/>
  <c r="AC17" i="46" s="1"/>
  <c r="S25" i="31"/>
  <c r="R25" i="31"/>
  <c r="AC16" i="46" l="1"/>
  <c r="L11" i="48"/>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AP9" i="48" l="1"/>
  <c r="K11" i="2" l="1"/>
  <c r="K9" i="32" l="1"/>
  <c r="W13" i="57" s="1"/>
  <c r="C16" i="32"/>
  <c r="C8" i="32"/>
  <c r="C7" i="32"/>
  <c r="K7" i="32" s="1"/>
  <c r="W11" i="57" s="1"/>
  <c r="K8" i="32" l="1"/>
  <c r="W12" i="57" s="1"/>
  <c r="W11" i="46"/>
  <c r="W13" i="46"/>
  <c r="F9" i="47"/>
  <c r="E9" i="47"/>
  <c r="F6" i="47"/>
  <c r="E8" i="47"/>
  <c r="G8" i="47" s="1"/>
  <c r="E7" i="47"/>
  <c r="E6" i="47"/>
  <c r="W12" i="46" l="1"/>
  <c r="G9" i="47"/>
  <c r="H9" i="47" s="1"/>
  <c r="O12" i="46" s="1"/>
  <c r="C12" i="46" s="1"/>
  <c r="G6" i="47"/>
  <c r="H6" i="47" s="1"/>
  <c r="H7" i="47"/>
  <c r="O11" i="46" s="1"/>
  <c r="T11" i="46" s="1"/>
  <c r="O13" i="57"/>
  <c r="O13" i="46"/>
  <c r="T13" i="46" s="1"/>
  <c r="O12" i="57"/>
  <c r="G7" i="47"/>
  <c r="S13" i="46"/>
  <c r="N12" i="46"/>
  <c r="H12" i="46" s="1"/>
  <c r="N13" i="46"/>
  <c r="H13" i="46" s="1"/>
  <c r="AR14" i="46"/>
  <c r="BA14" i="46" s="1"/>
  <c r="AM14" i="46"/>
  <c r="AR13" i="46"/>
  <c r="BA13" i="46" s="1"/>
  <c r="AM13" i="46"/>
  <c r="AR12" i="46"/>
  <c r="BA12" i="46" s="1"/>
  <c r="AM12" i="46"/>
  <c r="AR11" i="46"/>
  <c r="BA11" i="46" s="1"/>
  <c r="AM11" i="46"/>
  <c r="N11" i="46"/>
  <c r="J11" i="46"/>
  <c r="F17" i="32"/>
  <c r="F9" i="32"/>
  <c r="I38" i="32"/>
  <c r="I6" i="47" s="1"/>
  <c r="R35" i="32"/>
  <c r="Z17" i="32"/>
  <c r="Y17" i="32"/>
  <c r="W15" i="32"/>
  <c r="Z15" i="32" s="1"/>
  <c r="W16" i="32"/>
  <c r="Z16" i="32" s="1"/>
  <c r="X22" i="32"/>
  <c r="X23" i="32" s="1"/>
  <c r="Y16" i="32"/>
  <c r="Y15" i="32"/>
  <c r="G42" i="32"/>
  <c r="I37" i="32" s="1"/>
  <c r="F42" i="32"/>
  <c r="R16" i="32"/>
  <c r="P16" i="32"/>
  <c r="S16" i="32" s="1"/>
  <c r="R15" i="32"/>
  <c r="P15" i="32"/>
  <c r="Q8" i="32"/>
  <c r="Q7" i="32"/>
  <c r="Q6" i="32"/>
  <c r="P7" i="32"/>
  <c r="P8" i="32"/>
  <c r="P6" i="32"/>
  <c r="S6" i="32" s="1"/>
  <c r="J4" i="32"/>
  <c r="O11" i="57" l="1"/>
  <c r="AD14" i="46"/>
  <c r="AD12" i="46"/>
  <c r="Z22" i="32"/>
  <c r="S8" i="32"/>
  <c r="AD13" i="46"/>
  <c r="R8" i="32"/>
  <c r="K11" i="57"/>
  <c r="C11" i="57"/>
  <c r="V11" i="57"/>
  <c r="T11" i="57"/>
  <c r="P11" i="57"/>
  <c r="U11" i="57"/>
  <c r="Y22" i="32"/>
  <c r="Y23" i="32" s="1"/>
  <c r="T12" i="57"/>
  <c r="U12" i="57"/>
  <c r="P12" i="57"/>
  <c r="C12" i="57"/>
  <c r="V12" i="57"/>
  <c r="K12" i="57"/>
  <c r="P13" i="57"/>
  <c r="C13" i="57"/>
  <c r="T13" i="57"/>
  <c r="V13" i="57"/>
  <c r="U13" i="57"/>
  <c r="K13" i="57"/>
  <c r="V11" i="46"/>
  <c r="U11" i="46"/>
  <c r="C11" i="46"/>
  <c r="P13" i="46"/>
  <c r="K13" i="46"/>
  <c r="AC13" i="46" s="1"/>
  <c r="J13" i="46"/>
  <c r="J12" i="46"/>
  <c r="K12" i="46"/>
  <c r="V13" i="46"/>
  <c r="T12" i="46"/>
  <c r="U13" i="46"/>
  <c r="C13" i="46"/>
  <c r="P12" i="46"/>
  <c r="V12" i="46"/>
  <c r="U12" i="46"/>
  <c r="AD11" i="46"/>
  <c r="K11" i="46"/>
  <c r="P11" i="46"/>
  <c r="Z23" i="32"/>
  <c r="S15" i="32"/>
  <c r="R7" i="32"/>
  <c r="S7" i="32"/>
  <c r="S13" i="32" s="1"/>
  <c r="Q13" i="32"/>
  <c r="Q14" i="32" s="1"/>
  <c r="Q22" i="32" s="1"/>
  <c r="Q23" i="32" s="1"/>
  <c r="R6" i="32"/>
  <c r="AC12" i="46" l="1"/>
  <c r="X11" i="57"/>
  <c r="AC11" i="57"/>
  <c r="AC12" i="57"/>
  <c r="AC13" i="57"/>
  <c r="AA11" i="57"/>
  <c r="AB11" i="57" s="1"/>
  <c r="R13" i="32"/>
  <c r="R14" i="32" s="1"/>
  <c r="R22" i="32" s="1"/>
  <c r="R23" i="32" s="1"/>
  <c r="BA10" i="48"/>
  <c r="N10" i="48"/>
  <c r="AC11" i="46"/>
  <c r="L10" i="48"/>
  <c r="X11" i="46"/>
  <c r="S14" i="32"/>
  <c r="S22" i="32" s="1"/>
  <c r="S23" i="32" s="1"/>
  <c r="AQ10" i="2" l="1"/>
  <c r="K10" i="2" l="1"/>
  <c r="F4" i="47" l="1"/>
  <c r="E4" i="47"/>
  <c r="F17" i="33" l="1"/>
  <c r="F9" i="33"/>
  <c r="I38" i="33"/>
  <c r="I4" i="47" s="1"/>
  <c r="G42" i="33"/>
  <c r="F42" i="33"/>
  <c r="Q25" i="33"/>
  <c r="R25" i="33" s="1"/>
  <c r="P26" i="33"/>
  <c r="P25" i="33"/>
  <c r="Q26" i="33" l="1"/>
  <c r="S25" i="33"/>
  <c r="Q32" i="33"/>
  <c r="Q33" i="33" s="1"/>
  <c r="P15" i="33"/>
  <c r="S15" i="33" s="1"/>
  <c r="R15" i="33"/>
  <c r="P7" i="33"/>
  <c r="S7" i="33" s="1"/>
  <c r="P6" i="33"/>
  <c r="S6" i="33" s="1"/>
  <c r="R8" i="33"/>
  <c r="P8" i="33"/>
  <c r="S8" i="33" s="1"/>
  <c r="R7" i="33"/>
  <c r="R6" i="33"/>
  <c r="R13" i="33" l="1"/>
  <c r="S26" i="33"/>
  <c r="S32" i="33" s="1"/>
  <c r="S33" i="33" s="1"/>
  <c r="R26" i="33"/>
  <c r="R32" i="33" s="1"/>
  <c r="R33" i="33" s="1"/>
  <c r="S13" i="33"/>
  <c r="Q13" i="33"/>
  <c r="Q14" i="33" s="1"/>
  <c r="Q22" i="33" s="1"/>
  <c r="Q23" i="33" s="1"/>
  <c r="S14" i="33" l="1"/>
  <c r="S22" i="33" s="1"/>
  <c r="S23" i="33" s="1"/>
  <c r="R14" i="33"/>
  <c r="R22" i="33" s="1"/>
  <c r="R23" i="33" s="1"/>
  <c r="J4" i="33" l="1"/>
  <c r="A9" i="1" l="1"/>
  <c r="BF160" i="46" l="1"/>
  <c r="BE160" i="46"/>
  <c r="BD160" i="46"/>
  <c r="BC160" i="46"/>
  <c r="BB160" i="46"/>
  <c r="BF160" i="57"/>
  <c r="BE160" i="57"/>
  <c r="BD160" i="57"/>
  <c r="A6" i="46" l="1"/>
  <c r="B1" i="47"/>
  <c r="F42" i="29" l="1"/>
  <c r="G42" i="29"/>
  <c r="I37" i="29" s="1"/>
  <c r="F32" i="27"/>
  <c r="E32" i="27"/>
  <c r="D32" i="27"/>
  <c r="C32" i="27"/>
  <c r="F23" i="27"/>
  <c r="E23" i="27"/>
  <c r="D23" i="27"/>
  <c r="C23" i="27"/>
  <c r="F14" i="27"/>
  <c r="E14" i="27"/>
  <c r="D14" i="27"/>
  <c r="C14" i="27"/>
  <c r="F32" i="29"/>
  <c r="E32" i="29"/>
  <c r="D32" i="29"/>
  <c r="C32" i="29"/>
  <c r="F23" i="29"/>
  <c r="E23" i="29"/>
  <c r="D23" i="29"/>
  <c r="C23" i="29"/>
  <c r="F14" i="29"/>
  <c r="E14" i="29"/>
  <c r="E34" i="29" s="1"/>
  <c r="D14" i="29"/>
  <c r="C14" i="29"/>
  <c r="F32" i="30"/>
  <c r="E32" i="30"/>
  <c r="D32" i="30"/>
  <c r="C32" i="30"/>
  <c r="F23" i="30"/>
  <c r="E23" i="30"/>
  <c r="D23" i="30"/>
  <c r="C23" i="30"/>
  <c r="F14" i="30"/>
  <c r="E14" i="30"/>
  <c r="D14" i="30"/>
  <c r="C14" i="30"/>
  <c r="F32" i="31"/>
  <c r="E32" i="31"/>
  <c r="D32" i="31"/>
  <c r="C32" i="31"/>
  <c r="F23" i="31"/>
  <c r="E23" i="31"/>
  <c r="D23" i="31"/>
  <c r="C23" i="31"/>
  <c r="C24" i="31" s="1"/>
  <c r="F14" i="31"/>
  <c r="E14" i="31"/>
  <c r="E34" i="31" s="1"/>
  <c r="D14" i="31"/>
  <c r="C14" i="31"/>
  <c r="C34" i="27" l="1"/>
  <c r="E33" i="27"/>
  <c r="D34" i="27"/>
  <c r="E33" i="29"/>
  <c r="D33" i="27"/>
  <c r="E34" i="27"/>
  <c r="F34" i="27"/>
  <c r="C34" i="29"/>
  <c r="C33" i="29"/>
  <c r="D24" i="27"/>
  <c r="D34" i="29"/>
  <c r="D33" i="29"/>
  <c r="D33" i="30"/>
  <c r="C34" i="30"/>
  <c r="K8" i="30" s="1"/>
  <c r="W21" i="57" s="1"/>
  <c r="X21" i="57" s="1"/>
  <c r="D24" i="30"/>
  <c r="C33" i="30"/>
  <c r="D33" i="31"/>
  <c r="C34" i="31"/>
  <c r="K9" i="31" s="1"/>
  <c r="W16" i="57" s="1"/>
  <c r="X16" i="57" s="1"/>
  <c r="F34" i="31"/>
  <c r="D34" i="31"/>
  <c r="E24" i="30"/>
  <c r="E33" i="31"/>
  <c r="D24" i="31"/>
  <c r="D34" i="30"/>
  <c r="F34" i="29"/>
  <c r="C33" i="27"/>
  <c r="E24" i="31"/>
  <c r="E34" i="30"/>
  <c r="E33" i="30"/>
  <c r="F34" i="30"/>
  <c r="E24" i="27"/>
  <c r="C33" i="31"/>
  <c r="C24" i="29"/>
  <c r="C24" i="27"/>
  <c r="C15" i="27"/>
  <c r="D15" i="27"/>
  <c r="E15" i="27"/>
  <c r="D24" i="29"/>
  <c r="D15" i="29"/>
  <c r="E24" i="29"/>
  <c r="C15" i="29"/>
  <c r="E15" i="29"/>
  <c r="C24" i="30"/>
  <c r="C15" i="30"/>
  <c r="D15" i="30"/>
  <c r="E15" i="30"/>
  <c r="C15" i="31"/>
  <c r="D15" i="31"/>
  <c r="E15" i="31"/>
  <c r="P13" i="45"/>
  <c r="AA21" i="57" l="1"/>
  <c r="AB21" i="57" s="1"/>
  <c r="AA16" i="57"/>
  <c r="AB16" i="57" s="1"/>
  <c r="W16" i="46"/>
  <c r="W21" i="46"/>
  <c r="X21" i="46" l="1"/>
  <c r="X16" i="46"/>
  <c r="P12" i="45" l="1"/>
  <c r="P11" i="45" l="1"/>
  <c r="P10" i="45"/>
  <c r="G42" i="30" l="1"/>
  <c r="I37" i="30" s="1"/>
  <c r="F42" i="30"/>
  <c r="P9" i="45" l="1"/>
  <c r="AM40" i="2" l="1"/>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I37" i="33" l="1"/>
  <c r="C39" i="1" l="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A10" i="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KQ41" i="1"/>
  <c r="KN41" i="1"/>
  <c r="KK41" i="1"/>
  <c r="KH41" i="1"/>
  <c r="KE41" i="1"/>
  <c r="KB41" i="1"/>
  <c r="JY41" i="1"/>
  <c r="JV41" i="1"/>
  <c r="JS41" i="1"/>
  <c r="JP41" i="1"/>
  <c r="JM41" i="1"/>
  <c r="JJ41" i="1"/>
  <c r="JG41" i="1"/>
  <c r="JD41" i="1"/>
  <c r="JA41" i="1"/>
  <c r="IX41" i="1"/>
  <c r="IU41" i="1"/>
  <c r="IR41" i="1"/>
  <c r="IO41" i="1"/>
  <c r="IL41" i="1"/>
  <c r="II41" i="1"/>
  <c r="IF41" i="1"/>
  <c r="IC41" i="1"/>
  <c r="HZ41" i="1"/>
  <c r="HW41" i="1"/>
  <c r="HT41" i="1"/>
  <c r="HQ41" i="1"/>
  <c r="HN41" i="1"/>
  <c r="HK41" i="1"/>
  <c r="HH41" i="1"/>
  <c r="HE41" i="1"/>
  <c r="HB41" i="1"/>
  <c r="GY41" i="1"/>
  <c r="GV41" i="1"/>
  <c r="GS41" i="1"/>
  <c r="GP41" i="1"/>
  <c r="GM41" i="1"/>
  <c r="GJ41" i="1"/>
  <c r="GG41" i="1"/>
  <c r="GD41" i="1"/>
  <c r="GA41" i="1"/>
  <c r="FX41" i="1"/>
  <c r="FU41" i="1"/>
  <c r="FR41" i="1"/>
  <c r="FO41" i="1"/>
  <c r="FL41" i="1"/>
  <c r="FI41" i="1"/>
  <c r="FF41" i="1"/>
  <c r="FC41" i="1"/>
  <c r="EZ41" i="1"/>
  <c r="EW41" i="1"/>
  <c r="ET41" i="1"/>
  <c r="EQ41" i="1"/>
  <c r="EN41" i="1"/>
  <c r="EK41" i="1"/>
  <c r="EH41" i="1"/>
  <c r="EE41" i="1"/>
  <c r="EB41" i="1"/>
  <c r="DY41" i="1"/>
  <c r="DV41" i="1"/>
  <c r="DS41" i="1"/>
  <c r="DP41" i="1"/>
  <c r="DM41" i="1"/>
  <c r="DJ41" i="1"/>
  <c r="DG41" i="1"/>
  <c r="DD41" i="1"/>
  <c r="CX41" i="1"/>
  <c r="CU41" i="1"/>
  <c r="CR41" i="1"/>
  <c r="CO41" i="1"/>
  <c r="CL41" i="1"/>
  <c r="CI41" i="1"/>
  <c r="CF41" i="1"/>
  <c r="CC41" i="1"/>
  <c r="BZ41" i="1"/>
  <c r="BW41" i="1"/>
  <c r="BT41" i="1"/>
  <c r="BQ41" i="1"/>
  <c r="BN41" i="1"/>
  <c r="BK41" i="1"/>
  <c r="BH41" i="1"/>
  <c r="BE41" i="1"/>
  <c r="BB41" i="1"/>
  <c r="AY41" i="1"/>
  <c r="AV41" i="1"/>
  <c r="AS41" i="1"/>
  <c r="AP41" i="1"/>
  <c r="AM41" i="1"/>
  <c r="AJ41" i="1"/>
  <c r="AG41" i="1"/>
  <c r="AD41" i="1"/>
  <c r="AA41" i="1"/>
  <c r="X41" i="1"/>
  <c r="U41" i="1"/>
  <c r="R41" i="1"/>
  <c r="O41" i="1"/>
  <c r="L41" i="1"/>
  <c r="KF41" i="1" s="1"/>
  <c r="I41" i="1"/>
  <c r="F41"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I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X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KA11" i="1"/>
  <c r="JZ11" i="1"/>
  <c r="JW11" i="1"/>
  <c r="JT11" i="1"/>
  <c r="JQ11" i="1"/>
  <c r="JO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D10" i="1"/>
  <c r="KC10" i="1"/>
  <c r="KA10" i="1"/>
  <c r="JZ10" i="1"/>
  <c r="JW10" i="1"/>
  <c r="JT10" i="1"/>
  <c r="JQ10" i="1"/>
  <c r="JO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R9" i="1"/>
  <c r="KO9" i="1"/>
  <c r="KM9" i="1"/>
  <c r="KL9" i="1"/>
  <c r="KJ9" i="1"/>
  <c r="KI9" i="1"/>
  <c r="KF9" i="1"/>
  <c r="KC9" i="1"/>
  <c r="KA9" i="1"/>
  <c r="JZ9" i="1"/>
  <c r="JX9" i="1"/>
  <c r="JW9" i="1"/>
  <c r="JT9" i="1"/>
  <c r="JQ9" i="1"/>
  <c r="JO9" i="1"/>
  <c r="JN9" i="1"/>
  <c r="JL9" i="1"/>
  <c r="JK9" i="1"/>
  <c r="JI9" i="1"/>
  <c r="JF9" i="1"/>
  <c r="JC9" i="1"/>
  <c r="IZ9" i="1"/>
  <c r="IW9" i="1"/>
  <c r="IT9" i="1"/>
  <c r="IQ9" i="1"/>
  <c r="IN9" i="1"/>
  <c r="IK9" i="1"/>
  <c r="IH9" i="1"/>
  <c r="IE9" i="1"/>
  <c r="IB9" i="1"/>
  <c r="HY9" i="1"/>
  <c r="HV9" i="1"/>
  <c r="HS9" i="1"/>
  <c r="HP9" i="1"/>
  <c r="HM9" i="1"/>
  <c r="HJ9" i="1"/>
  <c r="HG9" i="1"/>
  <c r="HD9" i="1"/>
  <c r="HA9" i="1"/>
  <c r="GX9" i="1"/>
  <c r="GU9" i="1"/>
  <c r="GR9" i="1"/>
  <c r="GO9" i="1"/>
  <c r="GL9" i="1"/>
  <c r="GI9" i="1"/>
  <c r="GF9" i="1"/>
  <c r="GC9" i="1"/>
  <c r="FZ9" i="1"/>
  <c r="FW9" i="1"/>
  <c r="FT9" i="1"/>
  <c r="FQ9" i="1"/>
  <c r="FN9" i="1"/>
  <c r="FK9" i="1"/>
  <c r="FH9" i="1"/>
  <c r="FE9" i="1"/>
  <c r="FB9" i="1"/>
  <c r="EY9" i="1"/>
  <c r="EV9" i="1"/>
  <c r="ES9" i="1"/>
  <c r="EP9" i="1"/>
  <c r="EM9" i="1"/>
  <c r="EJ9" i="1"/>
  <c r="EG9" i="1"/>
  <c r="ED9" i="1"/>
  <c r="EA9" i="1"/>
  <c r="DX9" i="1"/>
  <c r="DU9" i="1"/>
  <c r="DR9" i="1"/>
  <c r="DO9" i="1"/>
  <c r="DL9" i="1"/>
  <c r="DF9" i="1"/>
  <c r="DC9" i="1"/>
  <c r="CZ9" i="1"/>
  <c r="CW9" i="1"/>
  <c r="CT9" i="1"/>
  <c r="CQ9" i="1"/>
  <c r="CN9" i="1"/>
  <c r="CK9" i="1"/>
  <c r="CH9" i="1"/>
  <c r="CE9" i="1"/>
  <c r="CB9" i="1"/>
  <c r="BY9" i="1"/>
  <c r="BV9" i="1"/>
  <c r="BS9" i="1"/>
  <c r="BP9" i="1"/>
  <c r="BM9" i="1"/>
  <c r="BJ9" i="1"/>
  <c r="BG9" i="1"/>
  <c r="BD9" i="1"/>
  <c r="BA9" i="1"/>
  <c r="AX9" i="1"/>
  <c r="AU9" i="1"/>
  <c r="AR9" i="1"/>
  <c r="AO9" i="1"/>
  <c r="AL9" i="1"/>
  <c r="AI9" i="1"/>
  <c r="AF9" i="1"/>
  <c r="AC9" i="1"/>
  <c r="Z9" i="1"/>
  <c r="W9" i="1"/>
  <c r="T9" i="1"/>
  <c r="Q9" i="1"/>
  <c r="N9" i="1"/>
  <c r="K9" i="1"/>
  <c r="H9" i="1"/>
  <c r="KM11" i="1"/>
  <c r="KJ12" i="1"/>
  <c r="KD12" i="1"/>
  <c r="JR9" i="1"/>
  <c r="JO12" i="1"/>
  <c r="JL11" i="1"/>
  <c r="M40" i="55"/>
  <c r="D40" i="55"/>
  <c r="M39" i="55"/>
  <c r="D39" i="55"/>
  <c r="M38" i="55"/>
  <c r="D38" i="55"/>
  <c r="M37" i="55"/>
  <c r="D37" i="55"/>
  <c r="M34" i="55"/>
  <c r="D34" i="55"/>
  <c r="M33" i="55"/>
  <c r="D33" i="55"/>
  <c r="M32" i="55"/>
  <c r="D32" i="55"/>
  <c r="M31" i="55"/>
  <c r="D31" i="55"/>
  <c r="M30" i="55"/>
  <c r="D30" i="55"/>
  <c r="M29" i="55"/>
  <c r="D29" i="55"/>
  <c r="M28" i="55"/>
  <c r="D28" i="55"/>
  <c r="M27" i="55"/>
  <c r="D27" i="55"/>
  <c r="M26" i="55"/>
  <c r="D26" i="55"/>
  <c r="M25" i="55"/>
  <c r="D25" i="55"/>
  <c r="M24" i="55"/>
  <c r="D24" i="55"/>
  <c r="M23" i="55"/>
  <c r="D23" i="55"/>
  <c r="M22" i="55"/>
  <c r="D22" i="55"/>
  <c r="M21" i="55"/>
  <c r="D21" i="55"/>
  <c r="M20" i="55"/>
  <c r="D20" i="55"/>
  <c r="M19" i="55"/>
  <c r="D19" i="55"/>
  <c r="M18" i="55"/>
  <c r="D18" i="55"/>
  <c r="M17" i="55"/>
  <c r="D17" i="55"/>
  <c r="M16" i="55"/>
  <c r="D16" i="55"/>
  <c r="M11" i="55"/>
  <c r="D11" i="55"/>
  <c r="M10" i="55"/>
  <c r="D10" i="55"/>
  <c r="M9" i="55"/>
  <c r="D9" i="55"/>
  <c r="M8" i="55"/>
  <c r="D8" i="55"/>
  <c r="M7" i="55"/>
  <c r="D7" i="55"/>
  <c r="M6" i="55"/>
  <c r="D6" i="55"/>
  <c r="M5" i="55"/>
  <c r="D5" i="55"/>
  <c r="M4" i="55"/>
  <c r="D4" i="55"/>
  <c r="E3" i="55"/>
  <c r="F3" i="55" s="1"/>
  <c r="G3" i="55" s="1"/>
  <c r="H3" i="55" s="1"/>
  <c r="M3" i="55" s="1"/>
  <c r="N3" i="55" s="1"/>
  <c r="O3" i="55" s="1"/>
  <c r="P3" i="55" s="1"/>
  <c r="Q3" i="55" s="1"/>
  <c r="Q41" i="1" l="1"/>
  <c r="T41" i="1"/>
  <c r="W41" i="1"/>
  <c r="K41" i="1"/>
  <c r="DH41" i="1"/>
  <c r="EG41" i="1"/>
  <c r="FE41" i="1"/>
  <c r="GC41" i="1"/>
  <c r="HA41" i="1"/>
  <c r="HY41" i="1"/>
  <c r="IW41" i="1"/>
  <c r="P41" i="1"/>
  <c r="M41" i="1"/>
  <c r="KT38" i="1"/>
  <c r="KT13" i="1"/>
  <c r="N41" i="1"/>
  <c r="AI41" i="1"/>
  <c r="BG41" i="1"/>
  <c r="CE41" i="1"/>
  <c r="EA41" i="1"/>
  <c r="EY41" i="1"/>
  <c r="FW41" i="1"/>
  <c r="GU41" i="1"/>
  <c r="HS41" i="1"/>
  <c r="IQ41" i="1"/>
  <c r="KT17" i="1"/>
  <c r="KT10" i="1"/>
  <c r="KT14" i="1"/>
  <c r="KT9" i="1"/>
  <c r="KT16" i="1"/>
  <c r="KT11" i="1"/>
  <c r="KT22" i="1"/>
  <c r="KT12" i="1"/>
  <c r="KT19" i="1"/>
  <c r="KT27" i="1"/>
  <c r="KT18" i="1"/>
  <c r="KT15" i="1"/>
  <c r="KT20" i="1"/>
  <c r="KT28" i="1"/>
  <c r="KT21" i="1"/>
  <c r="KT26" i="1"/>
  <c r="KT25" i="1"/>
  <c r="KT23" i="1"/>
  <c r="AL41" i="1"/>
  <c r="BJ41" i="1"/>
  <c r="CH41" i="1"/>
  <c r="DF41" i="1"/>
  <c r="ED41" i="1"/>
  <c r="FB41" i="1"/>
  <c r="FZ41" i="1"/>
  <c r="GX41" i="1"/>
  <c r="HV41" i="1"/>
  <c r="IT41" i="1"/>
  <c r="CM41" i="1"/>
  <c r="DK41" i="1"/>
  <c r="EI41" i="1"/>
  <c r="V41" i="1"/>
  <c r="AU41" i="1"/>
  <c r="BS41" i="1"/>
  <c r="CQ41" i="1"/>
  <c r="DO41" i="1"/>
  <c r="EM41" i="1"/>
  <c r="FK41" i="1"/>
  <c r="ID41" i="1"/>
  <c r="JB41" i="1"/>
  <c r="JZ41" i="1"/>
  <c r="KT39" i="1"/>
  <c r="Z41" i="1"/>
  <c r="AX41" i="1"/>
  <c r="BV41" i="1"/>
  <c r="CT41" i="1"/>
  <c r="DR41" i="1"/>
  <c r="EP41" i="1"/>
  <c r="FN41" i="1"/>
  <c r="GL41" i="1"/>
  <c r="HJ41" i="1"/>
  <c r="IH41" i="1"/>
  <c r="JF41" i="1"/>
  <c r="KT36" i="1"/>
  <c r="AB41" i="1"/>
  <c r="AZ41" i="1"/>
  <c r="BY41" i="1"/>
  <c r="CW41" i="1"/>
  <c r="DU41" i="1"/>
  <c r="ES41" i="1"/>
  <c r="FP41" i="1"/>
  <c r="GO41" i="1"/>
  <c r="HM41" i="1"/>
  <c r="AF41" i="1"/>
  <c r="BD41" i="1"/>
  <c r="CB41" i="1"/>
  <c r="CZ41" i="1"/>
  <c r="DX41" i="1"/>
  <c r="EV41" i="1"/>
  <c r="FT41" i="1"/>
  <c r="GR41" i="1"/>
  <c r="HP41" i="1"/>
  <c r="IN41" i="1"/>
  <c r="KP39" i="1"/>
  <c r="KP38" i="1"/>
  <c r="KP37" i="1"/>
  <c r="KP36" i="1"/>
  <c r="KP32" i="1"/>
  <c r="KP34" i="1"/>
  <c r="KP33" i="1"/>
  <c r="KP30" i="1"/>
  <c r="KP28" i="1"/>
  <c r="KP27" i="1"/>
  <c r="KP26" i="1"/>
  <c r="KP35" i="1"/>
  <c r="KP31" i="1"/>
  <c r="KP25" i="1"/>
  <c r="KP24" i="1"/>
  <c r="KP23" i="1"/>
  <c r="KP22" i="1"/>
  <c r="KP21" i="1"/>
  <c r="KP20" i="1"/>
  <c r="KP19" i="1"/>
  <c r="KP18" i="1"/>
  <c r="KP17" i="1"/>
  <c r="KP16" i="1"/>
  <c r="KP15" i="1"/>
  <c r="KP14" i="1"/>
  <c r="KP13" i="1"/>
  <c r="KP29" i="1"/>
  <c r="JR11" i="1"/>
  <c r="KP10" i="1"/>
  <c r="JL12" i="1"/>
  <c r="KP12" i="1"/>
  <c r="KS39" i="1"/>
  <c r="KS38" i="1"/>
  <c r="KS37" i="1"/>
  <c r="KS36" i="1"/>
  <c r="KS35" i="1"/>
  <c r="KS34" i="1"/>
  <c r="KS33" i="1"/>
  <c r="KS32" i="1"/>
  <c r="KS30" i="1"/>
  <c r="KS31" i="1"/>
  <c r="KS29" i="1"/>
  <c r="KS25" i="1"/>
  <c r="KS24" i="1"/>
  <c r="KS23" i="1"/>
  <c r="KS22" i="1"/>
  <c r="KS21" i="1"/>
  <c r="KS20" i="1"/>
  <c r="KS19" i="1"/>
  <c r="KS18" i="1"/>
  <c r="KS17" i="1"/>
  <c r="KS16" i="1"/>
  <c r="KS15" i="1"/>
  <c r="KS14" i="1"/>
  <c r="KS13" i="1"/>
  <c r="KS12" i="1"/>
  <c r="KS11" i="1"/>
  <c r="KS10" i="1"/>
  <c r="KS9" i="1"/>
  <c r="KS28" i="1"/>
  <c r="KS26" i="1"/>
  <c r="KS27" i="1"/>
  <c r="JU39" i="1"/>
  <c r="JU38" i="1"/>
  <c r="JU37" i="1"/>
  <c r="JU35" i="1"/>
  <c r="JU34" i="1"/>
  <c r="JU33" i="1"/>
  <c r="JU32" i="1"/>
  <c r="JU36" i="1"/>
  <c r="JU30" i="1"/>
  <c r="JU29" i="1"/>
  <c r="JU31" i="1"/>
  <c r="JU26" i="1"/>
  <c r="JU25" i="1"/>
  <c r="JU24" i="1"/>
  <c r="JU23" i="1"/>
  <c r="JU22" i="1"/>
  <c r="JU21" i="1"/>
  <c r="JU20" i="1"/>
  <c r="JU19" i="1"/>
  <c r="JU18" i="1"/>
  <c r="JU17" i="1"/>
  <c r="JU16" i="1"/>
  <c r="JU15" i="1"/>
  <c r="JU14" i="1"/>
  <c r="JU13" i="1"/>
  <c r="JU12" i="1"/>
  <c r="JU11" i="1"/>
  <c r="JU10" i="1"/>
  <c r="JU27" i="1"/>
  <c r="JU28" i="1"/>
  <c r="JX41" i="1"/>
  <c r="JX39" i="1"/>
  <c r="JX38" i="1"/>
  <c r="JX37" i="1"/>
  <c r="JX36" i="1"/>
  <c r="JX35" i="1"/>
  <c r="JX34" i="1"/>
  <c r="JX33" i="1"/>
  <c r="JX32" i="1"/>
  <c r="JX31" i="1"/>
  <c r="JX28" i="1"/>
  <c r="JX27" i="1"/>
  <c r="JX26" i="1"/>
  <c r="JX30" i="1"/>
  <c r="JX29" i="1"/>
  <c r="JX25" i="1"/>
  <c r="JX24" i="1"/>
  <c r="JX23" i="1"/>
  <c r="JX22" i="1"/>
  <c r="JX21" i="1"/>
  <c r="JX20" i="1"/>
  <c r="JX19" i="1"/>
  <c r="JX18" i="1"/>
  <c r="JX17" i="1"/>
  <c r="JX16" i="1"/>
  <c r="JX15" i="1"/>
  <c r="JX14" i="1"/>
  <c r="JX13" i="1"/>
  <c r="KJ11" i="1"/>
  <c r="KA41" i="1"/>
  <c r="KA39" i="1"/>
  <c r="KA38" i="1"/>
  <c r="KA37" i="1"/>
  <c r="KA36" i="1"/>
  <c r="KA35" i="1"/>
  <c r="KA34" i="1"/>
  <c r="KA33" i="1"/>
  <c r="KA32" i="1"/>
  <c r="KA31" i="1"/>
  <c r="KA30" i="1"/>
  <c r="KA29" i="1"/>
  <c r="KA28" i="1"/>
  <c r="KA25" i="1"/>
  <c r="KA24" i="1"/>
  <c r="KA23" i="1"/>
  <c r="KA22" i="1"/>
  <c r="KA21" i="1"/>
  <c r="KA20" i="1"/>
  <c r="KA19" i="1"/>
  <c r="KA18" i="1"/>
  <c r="KA17" i="1"/>
  <c r="KA16" i="1"/>
  <c r="KA15" i="1"/>
  <c r="KA14" i="1"/>
  <c r="KA13" i="1"/>
  <c r="KA12" i="1"/>
  <c r="KA26" i="1"/>
  <c r="KA27" i="1"/>
  <c r="JR10" i="1"/>
  <c r="JX11" i="1"/>
  <c r="KD39" i="1"/>
  <c r="KD38" i="1"/>
  <c r="KD37" i="1"/>
  <c r="KD36" i="1"/>
  <c r="KD35" i="1"/>
  <c r="KD33" i="1"/>
  <c r="KD31" i="1"/>
  <c r="KD28" i="1"/>
  <c r="KD27" i="1"/>
  <c r="KD26" i="1"/>
  <c r="KD32" i="1"/>
  <c r="KD34" i="1"/>
  <c r="KD29" i="1"/>
  <c r="KD25" i="1"/>
  <c r="KD24" i="1"/>
  <c r="KD23" i="1"/>
  <c r="KD22" i="1"/>
  <c r="KD21" i="1"/>
  <c r="KD20" i="1"/>
  <c r="KD19" i="1"/>
  <c r="KD18" i="1"/>
  <c r="KD17" i="1"/>
  <c r="KD16" i="1"/>
  <c r="KD15" i="1"/>
  <c r="KD14" i="1"/>
  <c r="KD13" i="1"/>
  <c r="KD30" i="1"/>
  <c r="KD9" i="1"/>
  <c r="KP9" i="1"/>
  <c r="JR39" i="1"/>
  <c r="JR38" i="1"/>
  <c r="JR37" i="1"/>
  <c r="JR36" i="1"/>
  <c r="JR35" i="1"/>
  <c r="JR31" i="1"/>
  <c r="JR34" i="1"/>
  <c r="JR30" i="1"/>
  <c r="JR33" i="1"/>
  <c r="JR32" i="1"/>
  <c r="JR28" i="1"/>
  <c r="JR27" i="1"/>
  <c r="JR26" i="1"/>
  <c r="JR29" i="1"/>
  <c r="JR25" i="1"/>
  <c r="JR24" i="1"/>
  <c r="JR23" i="1"/>
  <c r="JR22" i="1"/>
  <c r="JR21" i="1"/>
  <c r="JR20" i="1"/>
  <c r="JR19" i="1"/>
  <c r="JR18" i="1"/>
  <c r="JR17" i="1"/>
  <c r="JR16" i="1"/>
  <c r="JR15" i="1"/>
  <c r="JR14" i="1"/>
  <c r="JR13" i="1"/>
  <c r="KJ10" i="1"/>
  <c r="JR12" i="1"/>
  <c r="KG39" i="1"/>
  <c r="KG38" i="1"/>
  <c r="KG37" i="1"/>
  <c r="KG41" i="1"/>
  <c r="KG35" i="1"/>
  <c r="KG34" i="1"/>
  <c r="KG33" i="1"/>
  <c r="KG32" i="1"/>
  <c r="KG36" i="1"/>
  <c r="KG30" i="1"/>
  <c r="KG29" i="1"/>
  <c r="KG25" i="1"/>
  <c r="KG24" i="1"/>
  <c r="KG23" i="1"/>
  <c r="KG22" i="1"/>
  <c r="KG21" i="1"/>
  <c r="KG20" i="1"/>
  <c r="KG19" i="1"/>
  <c r="KG18" i="1"/>
  <c r="KG17" i="1"/>
  <c r="KG16" i="1"/>
  <c r="KG15" i="1"/>
  <c r="KG14" i="1"/>
  <c r="KG13" i="1"/>
  <c r="KG12" i="1"/>
  <c r="KG11" i="1"/>
  <c r="KG10" i="1"/>
  <c r="KG26" i="1"/>
  <c r="KG27" i="1"/>
  <c r="KG31" i="1"/>
  <c r="KG28" i="1"/>
  <c r="JL39" i="1"/>
  <c r="JL38" i="1"/>
  <c r="JL37" i="1"/>
  <c r="JL36" i="1"/>
  <c r="JL35" i="1"/>
  <c r="JL34" i="1"/>
  <c r="JL33" i="1"/>
  <c r="JL32" i="1"/>
  <c r="JL28" i="1"/>
  <c r="JL27" i="1"/>
  <c r="JL26" i="1"/>
  <c r="JL30" i="1"/>
  <c r="JL31" i="1"/>
  <c r="JL29" i="1"/>
  <c r="JL25" i="1"/>
  <c r="JL24" i="1"/>
  <c r="JL23" i="1"/>
  <c r="JL22" i="1"/>
  <c r="JL21" i="1"/>
  <c r="JL20" i="1"/>
  <c r="JL19" i="1"/>
  <c r="JL18" i="1"/>
  <c r="JL17" i="1"/>
  <c r="JL16" i="1"/>
  <c r="JL15" i="1"/>
  <c r="JL14" i="1"/>
  <c r="JL13" i="1"/>
  <c r="JU9" i="1"/>
  <c r="KP11" i="1"/>
  <c r="KJ39" i="1"/>
  <c r="KJ38" i="1"/>
  <c r="KJ37" i="1"/>
  <c r="KJ36" i="1"/>
  <c r="KJ35" i="1"/>
  <c r="KJ34" i="1"/>
  <c r="KJ33" i="1"/>
  <c r="KJ32" i="1"/>
  <c r="KJ31" i="1"/>
  <c r="KJ28" i="1"/>
  <c r="KJ27" i="1"/>
  <c r="KJ26" i="1"/>
  <c r="KJ30" i="1"/>
  <c r="KJ25" i="1"/>
  <c r="KJ24" i="1"/>
  <c r="KJ23" i="1"/>
  <c r="KJ22" i="1"/>
  <c r="KJ21" i="1"/>
  <c r="KJ20" i="1"/>
  <c r="KJ19" i="1"/>
  <c r="KJ18" i="1"/>
  <c r="KJ17" i="1"/>
  <c r="KJ16" i="1"/>
  <c r="KJ15" i="1"/>
  <c r="KJ14" i="1"/>
  <c r="KJ13" i="1"/>
  <c r="KJ29" i="1"/>
  <c r="KG9" i="1"/>
  <c r="JX10" i="1"/>
  <c r="JO39" i="1"/>
  <c r="JO38" i="1"/>
  <c r="JO37" i="1"/>
  <c r="JO36" i="1"/>
  <c r="JO35" i="1"/>
  <c r="JO34" i="1"/>
  <c r="JO33" i="1"/>
  <c r="JO32" i="1"/>
  <c r="JO31" i="1"/>
  <c r="JO30" i="1"/>
  <c r="JO29" i="1"/>
  <c r="JO28" i="1"/>
  <c r="JO26" i="1"/>
  <c r="JO25" i="1"/>
  <c r="JO24" i="1"/>
  <c r="JO23" i="1"/>
  <c r="JO22" i="1"/>
  <c r="JO21" i="1"/>
  <c r="JO20" i="1"/>
  <c r="JO19" i="1"/>
  <c r="JO18" i="1"/>
  <c r="JO17" i="1"/>
  <c r="JO16" i="1"/>
  <c r="JO15" i="1"/>
  <c r="JO14" i="1"/>
  <c r="JO13" i="1"/>
  <c r="JO27" i="1"/>
  <c r="KM39" i="1"/>
  <c r="KM38" i="1"/>
  <c r="KM37" i="1"/>
  <c r="KM36" i="1"/>
  <c r="KM35" i="1"/>
  <c r="KM34" i="1"/>
  <c r="KM33" i="1"/>
  <c r="KM32" i="1"/>
  <c r="KM31" i="1"/>
  <c r="KM30" i="1"/>
  <c r="KM29" i="1"/>
  <c r="KM27" i="1"/>
  <c r="KM28" i="1"/>
  <c r="KM25" i="1"/>
  <c r="KM24" i="1"/>
  <c r="KM23" i="1"/>
  <c r="KM22" i="1"/>
  <c r="KM21" i="1"/>
  <c r="KM20" i="1"/>
  <c r="KM19" i="1"/>
  <c r="KM18" i="1"/>
  <c r="KM17" i="1"/>
  <c r="KM16" i="1"/>
  <c r="KM15" i="1"/>
  <c r="KM14" i="1"/>
  <c r="KM13" i="1"/>
  <c r="KM12" i="1"/>
  <c r="KM26" i="1"/>
  <c r="JL10" i="1"/>
  <c r="KM10" i="1"/>
  <c r="KD11" i="1"/>
  <c r="KT32" i="1"/>
  <c r="KT31" i="1"/>
  <c r="KT29" i="1"/>
  <c r="KT30" i="1"/>
  <c r="KT35" i="1"/>
  <c r="KT33" i="1"/>
  <c r="KT34" i="1"/>
  <c r="KD41" i="1"/>
  <c r="JL41" i="1"/>
  <c r="KJ41" i="1"/>
  <c r="JO41" i="1"/>
  <c r="KM41" i="1"/>
  <c r="KT37" i="1"/>
  <c r="JR41" i="1"/>
  <c r="KP41" i="1"/>
  <c r="JU41" i="1"/>
  <c r="KS41" i="1"/>
  <c r="AC41" i="1"/>
  <c r="AK41" i="1"/>
  <c r="BA41" i="1"/>
  <c r="BI41" i="1"/>
  <c r="CG41" i="1"/>
  <c r="DE41" i="1"/>
  <c r="EC41" i="1"/>
  <c r="FA41" i="1"/>
  <c r="FQ41" i="1"/>
  <c r="FY41" i="1"/>
  <c r="GW41" i="1"/>
  <c r="HU41" i="1"/>
  <c r="IK41" i="1"/>
  <c r="IS41" i="1"/>
  <c r="JI41" i="1"/>
  <c r="JQ41" i="1"/>
  <c r="KO41" i="1"/>
  <c r="AT41" i="1"/>
  <c r="BR41" i="1"/>
  <c r="CP41" i="1"/>
  <c r="DN41" i="1"/>
  <c r="EL41" i="1"/>
  <c r="FJ41" i="1"/>
  <c r="GH41" i="1"/>
  <c r="HF41" i="1"/>
  <c r="G41" i="1"/>
  <c r="AE41" i="1"/>
  <c r="BC41" i="1"/>
  <c r="CA41" i="1"/>
  <c r="CY41" i="1"/>
  <c r="DW41" i="1"/>
  <c r="EU41" i="1"/>
  <c r="FS41" i="1"/>
  <c r="GI41" i="1"/>
  <c r="GQ41" i="1"/>
  <c r="HG41" i="1"/>
  <c r="HO41" i="1"/>
  <c r="IE41" i="1"/>
  <c r="IM41" i="1"/>
  <c r="JC41" i="1"/>
  <c r="JK41" i="1"/>
  <c r="KI41" i="1"/>
  <c r="H41" i="1"/>
  <c r="AN41" i="1"/>
  <c r="BL41" i="1"/>
  <c r="CJ41" i="1"/>
  <c r="EF41" i="1"/>
  <c r="FD41" i="1"/>
  <c r="GB41" i="1"/>
  <c r="GZ41" i="1"/>
  <c r="HX41" i="1"/>
  <c r="IV41" i="1"/>
  <c r="JT41" i="1"/>
  <c r="KR41" i="1"/>
  <c r="Y41" i="1"/>
  <c r="AO41" i="1"/>
  <c r="AW41" i="1"/>
  <c r="BM41" i="1"/>
  <c r="BU41" i="1"/>
  <c r="CK41" i="1"/>
  <c r="CS41" i="1"/>
  <c r="DI41" i="1"/>
  <c r="DQ41" i="1"/>
  <c r="EO41" i="1"/>
  <c r="FM41" i="1"/>
  <c r="GK41" i="1"/>
  <c r="HI41" i="1"/>
  <c r="IG41" i="1"/>
  <c r="JE41" i="1"/>
  <c r="KC41" i="1"/>
  <c r="J41" i="1"/>
  <c r="AH41" i="1"/>
  <c r="BF41" i="1"/>
  <c r="CD41" i="1"/>
  <c r="DZ41" i="1"/>
  <c r="EX41" i="1"/>
  <c r="FV41" i="1"/>
  <c r="GT41" i="1"/>
  <c r="HR41" i="1"/>
  <c r="IP41" i="1"/>
  <c r="JN41" i="1"/>
  <c r="KL41" i="1"/>
  <c r="S41" i="1"/>
  <c r="AQ41" i="1"/>
  <c r="BO41" i="1"/>
  <c r="FG41" i="1"/>
  <c r="GE41" i="1"/>
  <c r="HC41" i="1"/>
  <c r="IA41" i="1"/>
  <c r="IY41" i="1"/>
  <c r="JW41" i="1"/>
  <c r="AR41" i="1"/>
  <c r="BP41" i="1"/>
  <c r="BX41" i="1"/>
  <c r="CN41" i="1"/>
  <c r="CV41" i="1"/>
  <c r="DL41" i="1"/>
  <c r="DT41" i="1"/>
  <c r="EJ41" i="1"/>
  <c r="ER41" i="1"/>
  <c r="FH41" i="1"/>
  <c r="GF41" i="1"/>
  <c r="GN41" i="1"/>
  <c r="HD41" i="1"/>
  <c r="HL41" i="1"/>
  <c r="IB41" i="1"/>
  <c r="IJ41" i="1"/>
  <c r="IZ41" i="1"/>
  <c r="JH41" i="1"/>
  <c r="M41" i="55"/>
  <c r="D41" i="55"/>
  <c r="KU36" i="1" l="1"/>
  <c r="KU15" i="1"/>
  <c r="KU35" i="1"/>
  <c r="KU14" i="1"/>
  <c r="KU31" i="1"/>
  <c r="KU39" i="1"/>
  <c r="KU13" i="1"/>
  <c r="KU21" i="1"/>
  <c r="KU26" i="1"/>
  <c r="KU37" i="1"/>
  <c r="KU38" i="1"/>
  <c r="KU10" i="1"/>
  <c r="KU27" i="1"/>
  <c r="KU33" i="1"/>
  <c r="KU32" i="1"/>
  <c r="KU16" i="1"/>
  <c r="KU34" i="1"/>
  <c r="KU28" i="1"/>
  <c r="KU23" i="1"/>
  <c r="KU22" i="1"/>
  <c r="KU24" i="1"/>
  <c r="KU30" i="1"/>
  <c r="KU17" i="1"/>
  <c r="KU25" i="1"/>
  <c r="KU18" i="1"/>
  <c r="KU12" i="1"/>
  <c r="KU19" i="1"/>
  <c r="KU9" i="1"/>
  <c r="KU20" i="1"/>
  <c r="KU29" i="1"/>
  <c r="KU11" i="1"/>
  <c r="KU41" i="1"/>
  <c r="F32" i="37" l="1"/>
  <c r="E32" i="37"/>
  <c r="D32" i="37"/>
  <c r="C32" i="37"/>
  <c r="F23" i="37"/>
  <c r="E23" i="37"/>
  <c r="D23" i="37"/>
  <c r="C23" i="37"/>
  <c r="F14" i="37"/>
  <c r="E14" i="37"/>
  <c r="D14" i="37"/>
  <c r="C14" i="37"/>
  <c r="F32" i="6"/>
  <c r="E32" i="6"/>
  <c r="D32" i="6"/>
  <c r="C32" i="6"/>
  <c r="F23" i="6"/>
  <c r="E23" i="6"/>
  <c r="D23" i="6"/>
  <c r="C23" i="6"/>
  <c r="F14" i="6"/>
  <c r="E14" i="6"/>
  <c r="D14" i="6"/>
  <c r="C14" i="6"/>
  <c r="F32" i="7"/>
  <c r="E32" i="7"/>
  <c r="D32" i="7"/>
  <c r="C32" i="7"/>
  <c r="F23" i="7"/>
  <c r="E23" i="7"/>
  <c r="D23" i="7"/>
  <c r="C23" i="7"/>
  <c r="F14" i="7"/>
  <c r="E14" i="7"/>
  <c r="D14" i="7"/>
  <c r="C14" i="7"/>
  <c r="F32" i="8"/>
  <c r="E32" i="8"/>
  <c r="D32" i="8"/>
  <c r="C32" i="8"/>
  <c r="F23" i="8"/>
  <c r="E23" i="8"/>
  <c r="D23" i="8"/>
  <c r="C23" i="8"/>
  <c r="F14" i="8"/>
  <c r="E14" i="8"/>
  <c r="D14" i="8"/>
  <c r="C14" i="8"/>
  <c r="F32" i="9"/>
  <c r="E32" i="9"/>
  <c r="D32" i="9"/>
  <c r="C32" i="9"/>
  <c r="F23" i="9"/>
  <c r="E23" i="9"/>
  <c r="D23" i="9"/>
  <c r="C23" i="9"/>
  <c r="F14" i="9"/>
  <c r="E14" i="9"/>
  <c r="D14" i="9"/>
  <c r="C14" i="9"/>
  <c r="F32" i="10"/>
  <c r="E32" i="10"/>
  <c r="D32" i="10"/>
  <c r="C32" i="10"/>
  <c r="F23" i="10"/>
  <c r="E23" i="10"/>
  <c r="D23" i="10"/>
  <c r="C23" i="10"/>
  <c r="F14" i="10"/>
  <c r="E14" i="10"/>
  <c r="E34" i="10" s="1"/>
  <c r="D14" i="10"/>
  <c r="D34" i="10" s="1"/>
  <c r="C14" i="10"/>
  <c r="F32" i="11"/>
  <c r="E32" i="11"/>
  <c r="D32" i="11"/>
  <c r="C32" i="11"/>
  <c r="C33" i="11" s="1"/>
  <c r="F23" i="11"/>
  <c r="E23" i="11"/>
  <c r="D23" i="11"/>
  <c r="C23" i="11"/>
  <c r="F14" i="11"/>
  <c r="E14" i="11"/>
  <c r="D14" i="11"/>
  <c r="C14" i="11"/>
  <c r="F32" i="12"/>
  <c r="E32" i="12"/>
  <c r="D32" i="12"/>
  <c r="C32" i="12"/>
  <c r="F23" i="12"/>
  <c r="E23" i="12"/>
  <c r="D23" i="12"/>
  <c r="C23" i="12"/>
  <c r="F14" i="12"/>
  <c r="E14" i="12"/>
  <c r="D14" i="12"/>
  <c r="D34" i="12" s="1"/>
  <c r="C14" i="12"/>
  <c r="F32" i="13"/>
  <c r="E32" i="13"/>
  <c r="D32" i="13"/>
  <c r="C32" i="13"/>
  <c r="F23" i="13"/>
  <c r="E23" i="13"/>
  <c r="D23" i="13"/>
  <c r="C23" i="13"/>
  <c r="F14" i="13"/>
  <c r="E14" i="13"/>
  <c r="D14" i="13"/>
  <c r="C14" i="13"/>
  <c r="F32" i="14"/>
  <c r="E32" i="14"/>
  <c r="D32" i="14"/>
  <c r="C32" i="14"/>
  <c r="F23" i="14"/>
  <c r="E23" i="14"/>
  <c r="D23" i="14"/>
  <c r="C23" i="14"/>
  <c r="F14" i="14"/>
  <c r="E14" i="14"/>
  <c r="E34" i="14" s="1"/>
  <c r="D14" i="14"/>
  <c r="C14" i="14"/>
  <c r="F32" i="15"/>
  <c r="E32" i="15"/>
  <c r="D32" i="15"/>
  <c r="C32" i="15"/>
  <c r="C33" i="15" s="1"/>
  <c r="F23" i="15"/>
  <c r="E23" i="15"/>
  <c r="D23" i="15"/>
  <c r="E14" i="15"/>
  <c r="D14" i="15"/>
  <c r="F32" i="16"/>
  <c r="E32" i="16"/>
  <c r="D32" i="16"/>
  <c r="C32" i="16"/>
  <c r="F23" i="16"/>
  <c r="E23" i="16"/>
  <c r="D23" i="16"/>
  <c r="C23" i="16"/>
  <c r="E14" i="16"/>
  <c r="D14" i="16"/>
  <c r="C14" i="16"/>
  <c r="F32" i="17"/>
  <c r="E32" i="17"/>
  <c r="D32" i="17"/>
  <c r="C32" i="17"/>
  <c r="F23" i="17"/>
  <c r="E23" i="17"/>
  <c r="D23" i="17"/>
  <c r="C23" i="17"/>
  <c r="F14" i="17"/>
  <c r="E14" i="17"/>
  <c r="D14" i="17"/>
  <c r="C14" i="17"/>
  <c r="F32" i="18"/>
  <c r="E32" i="18"/>
  <c r="D32" i="18"/>
  <c r="C32" i="18"/>
  <c r="F23" i="18"/>
  <c r="E23" i="18"/>
  <c r="D23" i="18"/>
  <c r="C23" i="18"/>
  <c r="F14" i="18"/>
  <c r="E14" i="18"/>
  <c r="D14" i="18"/>
  <c r="C14" i="18"/>
  <c r="F32" i="19"/>
  <c r="E32" i="19"/>
  <c r="D32" i="19"/>
  <c r="C32" i="19"/>
  <c r="F23" i="19"/>
  <c r="E23" i="19"/>
  <c r="D23" i="19"/>
  <c r="C23" i="19"/>
  <c r="F14" i="19"/>
  <c r="E14" i="19"/>
  <c r="D14" i="19"/>
  <c r="C14" i="19"/>
  <c r="F32" i="20"/>
  <c r="E32" i="20"/>
  <c r="D32" i="20"/>
  <c r="C32" i="20"/>
  <c r="F23" i="20"/>
  <c r="E23" i="20"/>
  <c r="D23" i="20"/>
  <c r="C23" i="20"/>
  <c r="F14" i="20"/>
  <c r="E14" i="20"/>
  <c r="D14" i="20"/>
  <c r="C14" i="20"/>
  <c r="F32" i="22"/>
  <c r="E32" i="22"/>
  <c r="D32" i="22"/>
  <c r="C32" i="22"/>
  <c r="F23" i="22"/>
  <c r="E23" i="22"/>
  <c r="D23" i="22"/>
  <c r="C23" i="22"/>
  <c r="F14" i="22"/>
  <c r="E14" i="22"/>
  <c r="D14" i="22"/>
  <c r="C14" i="22"/>
  <c r="F32" i="21"/>
  <c r="E32" i="21"/>
  <c r="D32" i="21"/>
  <c r="C32" i="21"/>
  <c r="F23" i="21"/>
  <c r="E23" i="21"/>
  <c r="D23" i="21"/>
  <c r="C23" i="21"/>
  <c r="F14" i="21"/>
  <c r="E14" i="21"/>
  <c r="D14" i="21"/>
  <c r="C14" i="21"/>
  <c r="F32" i="23"/>
  <c r="E32" i="23"/>
  <c r="D32" i="23"/>
  <c r="C32" i="23"/>
  <c r="F23" i="23"/>
  <c r="E23" i="23"/>
  <c r="D23" i="23"/>
  <c r="C23" i="23"/>
  <c r="F14" i="23"/>
  <c r="E14" i="23"/>
  <c r="D14" i="23"/>
  <c r="C14" i="23"/>
  <c r="F32" i="24"/>
  <c r="E32" i="24"/>
  <c r="D32" i="24"/>
  <c r="C32" i="24"/>
  <c r="F23" i="24"/>
  <c r="E23" i="24"/>
  <c r="D23" i="24"/>
  <c r="C23" i="24"/>
  <c r="F14" i="24"/>
  <c r="E14" i="24"/>
  <c r="D14" i="24"/>
  <c r="C14" i="24"/>
  <c r="F32" i="25"/>
  <c r="E32" i="25"/>
  <c r="D32" i="25"/>
  <c r="C32" i="25"/>
  <c r="F23" i="25"/>
  <c r="E23" i="25"/>
  <c r="D23" i="25"/>
  <c r="C23" i="25"/>
  <c r="F14" i="25"/>
  <c r="E14" i="25"/>
  <c r="D14" i="25"/>
  <c r="C14" i="25"/>
  <c r="F32" i="26"/>
  <c r="E32" i="26"/>
  <c r="D32" i="26"/>
  <c r="C32" i="26"/>
  <c r="F23" i="26"/>
  <c r="E23" i="26"/>
  <c r="D23" i="26"/>
  <c r="C23" i="26"/>
  <c r="F14" i="26"/>
  <c r="E14" i="26"/>
  <c r="D14" i="26"/>
  <c r="C14" i="26"/>
  <c r="F32" i="28"/>
  <c r="E32" i="28"/>
  <c r="D32" i="28"/>
  <c r="C32" i="28"/>
  <c r="F23" i="28"/>
  <c r="E23" i="28"/>
  <c r="D23" i="28"/>
  <c r="C23" i="28"/>
  <c r="F14" i="28"/>
  <c r="E14" i="28"/>
  <c r="D14" i="28"/>
  <c r="C14" i="28"/>
  <c r="F32" i="32"/>
  <c r="E32" i="32"/>
  <c r="D32" i="32"/>
  <c r="C32" i="32"/>
  <c r="F23" i="32"/>
  <c r="E23" i="32"/>
  <c r="D23" i="32"/>
  <c r="C23" i="32"/>
  <c r="F14" i="32"/>
  <c r="E14" i="32"/>
  <c r="D14" i="32"/>
  <c r="C14" i="3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C33" i="23" l="1"/>
  <c r="C33" i="22"/>
  <c r="C24" i="20"/>
  <c r="C33" i="17"/>
  <c r="E34" i="18"/>
  <c r="D34" i="8"/>
  <c r="C34" i="8"/>
  <c r="F34" i="8"/>
  <c r="D33" i="9"/>
  <c r="D24" i="11"/>
  <c r="D34" i="24"/>
  <c r="D34" i="21"/>
  <c r="D34" i="20"/>
  <c r="F34" i="10"/>
  <c r="C24" i="15"/>
  <c r="C15" i="15"/>
  <c r="F34" i="12"/>
  <c r="F34" i="14"/>
  <c r="C24" i="14"/>
  <c r="D34" i="14"/>
  <c r="D15" i="16"/>
  <c r="D33" i="17"/>
  <c r="D33" i="15"/>
  <c r="D24" i="14"/>
  <c r="E24" i="16"/>
  <c r="C34" i="18"/>
  <c r="C15" i="16"/>
  <c r="C34" i="14"/>
  <c r="C33" i="6"/>
  <c r="D34" i="25"/>
  <c r="D34" i="23"/>
  <c r="D34" i="22"/>
  <c r="F34" i="28"/>
  <c r="F34" i="11"/>
  <c r="E15" i="12"/>
  <c r="C15" i="23"/>
  <c r="C34" i="22"/>
  <c r="F34" i="18"/>
  <c r="C15" i="11"/>
  <c r="E34" i="28"/>
  <c r="E15" i="25"/>
  <c r="E15" i="23"/>
  <c r="E34" i="22"/>
  <c r="D34" i="19"/>
  <c r="D24" i="18"/>
  <c r="D24" i="12"/>
  <c r="E33" i="13"/>
  <c r="D33" i="7"/>
  <c r="C24" i="28"/>
  <c r="E33" i="26"/>
  <c r="C24" i="25"/>
  <c r="E33" i="24"/>
  <c r="C24" i="23"/>
  <c r="C33" i="21"/>
  <c r="C24" i="22"/>
  <c r="E33" i="20"/>
  <c r="D33" i="26"/>
  <c r="D33" i="24"/>
  <c r="D24" i="23"/>
  <c r="D33" i="20"/>
  <c r="C15" i="12"/>
  <c r="C15" i="19"/>
  <c r="C33" i="19"/>
  <c r="C24" i="12"/>
  <c r="E33" i="25"/>
  <c r="D34" i="11"/>
  <c r="F34" i="25"/>
  <c r="F34" i="23"/>
  <c r="F34" i="22"/>
  <c r="E24" i="18"/>
  <c r="E24" i="12"/>
  <c r="E34" i="11"/>
  <c r="C33" i="9"/>
  <c r="C34" i="6"/>
  <c r="K15" i="6" s="1"/>
  <c r="W143" i="57" s="1"/>
  <c r="X143" i="57" s="1"/>
  <c r="C34" i="37"/>
  <c r="K15" i="37" s="1"/>
  <c r="W147" i="57" s="1"/>
  <c r="X147" i="57" s="1"/>
  <c r="D33" i="28"/>
  <c r="C34" i="24"/>
  <c r="F34" i="17"/>
  <c r="F34" i="13"/>
  <c r="D34" i="9"/>
  <c r="C33" i="16"/>
  <c r="C33" i="12"/>
  <c r="E33" i="9"/>
  <c r="D24" i="19"/>
  <c r="D34" i="18"/>
  <c r="C24" i="11"/>
  <c r="D33" i="10"/>
  <c r="F34" i="9"/>
  <c r="F34" i="7"/>
  <c r="C34" i="32"/>
  <c r="E33" i="32"/>
  <c r="D24" i="20"/>
  <c r="D33" i="16"/>
  <c r="D33" i="14"/>
  <c r="D24" i="13"/>
  <c r="D15" i="11"/>
  <c r="E24" i="21"/>
  <c r="E15" i="15"/>
  <c r="E33" i="11"/>
  <c r="E24" i="37"/>
  <c r="E34" i="19"/>
  <c r="E34" i="9"/>
  <c r="C34" i="21"/>
  <c r="C15" i="20"/>
  <c r="C34" i="15"/>
  <c r="K16" i="15" s="1"/>
  <c r="C34" i="11"/>
  <c r="C33" i="37"/>
  <c r="C24" i="26"/>
  <c r="C33" i="26"/>
  <c r="D33" i="21"/>
  <c r="D15" i="20"/>
  <c r="D34" i="16"/>
  <c r="E15" i="9"/>
  <c r="E24" i="8"/>
  <c r="C24" i="19"/>
  <c r="E24" i="14"/>
  <c r="C24" i="9"/>
  <c r="D35" i="30"/>
  <c r="C24" i="17"/>
  <c r="E24" i="11"/>
  <c r="C33" i="8"/>
  <c r="E33" i="6"/>
  <c r="E34" i="32"/>
  <c r="F34" i="32"/>
  <c r="E24" i="26"/>
  <c r="E24" i="28"/>
  <c r="E34" i="25"/>
  <c r="E34" i="21"/>
  <c r="E24" i="17"/>
  <c r="E24" i="32"/>
  <c r="D24" i="25"/>
  <c r="D33" i="23"/>
  <c r="F34" i="21"/>
  <c r="D33" i="19"/>
  <c r="E34" i="16"/>
  <c r="D24" i="16"/>
  <c r="D34" i="15"/>
  <c r="C15" i="13"/>
  <c r="E15" i="11"/>
  <c r="D33" i="11"/>
  <c r="D24" i="9"/>
  <c r="E24" i="6"/>
  <c r="D15" i="37"/>
  <c r="E33" i="18"/>
  <c r="E24" i="13"/>
  <c r="D33" i="12"/>
  <c r="D34" i="7"/>
  <c r="E33" i="12"/>
  <c r="C15" i="28"/>
  <c r="C33" i="28"/>
  <c r="E34" i="26"/>
  <c r="D24" i="26"/>
  <c r="E24" i="25"/>
  <c r="D15" i="24"/>
  <c r="E34" i="23"/>
  <c r="D15" i="21"/>
  <c r="E15" i="20"/>
  <c r="E15" i="19"/>
  <c r="E34" i="15"/>
  <c r="E33" i="15"/>
  <c r="D34" i="13"/>
  <c r="C34" i="12"/>
  <c r="C34" i="10"/>
  <c r="D35" i="10" s="1"/>
  <c r="E24" i="9"/>
  <c r="C24" i="7"/>
  <c r="C34" i="7"/>
  <c r="K15" i="7" s="1"/>
  <c r="W139" i="57" s="1"/>
  <c r="X139" i="57" s="1"/>
  <c r="E34" i="37"/>
  <c r="D33" i="37"/>
  <c r="C34" i="26"/>
  <c r="D34" i="28"/>
  <c r="F34" i="26"/>
  <c r="E34" i="24"/>
  <c r="E15" i="21"/>
  <c r="F34" i="20"/>
  <c r="D34" i="17"/>
  <c r="F34" i="15"/>
  <c r="E34" i="13"/>
  <c r="C34" i="9"/>
  <c r="K16" i="9" s="1"/>
  <c r="W130" i="57" s="1"/>
  <c r="X130" i="57" s="1"/>
  <c r="E34" i="8"/>
  <c r="E33" i="8"/>
  <c r="F34" i="37"/>
  <c r="E33" i="37"/>
  <c r="D24" i="28"/>
  <c r="E33" i="14"/>
  <c r="D34" i="26"/>
  <c r="D34" i="32"/>
  <c r="E15" i="28"/>
  <c r="E33" i="28"/>
  <c r="C15" i="26"/>
  <c r="C34" i="25"/>
  <c r="C33" i="25"/>
  <c r="F34" i="24"/>
  <c r="E33" i="23"/>
  <c r="C24" i="21"/>
  <c r="E34" i="17"/>
  <c r="D24" i="15"/>
  <c r="C24" i="10"/>
  <c r="D15" i="9"/>
  <c r="E34" i="7"/>
  <c r="D34" i="6"/>
  <c r="E15" i="37"/>
  <c r="E24" i="24"/>
  <c r="D33" i="22"/>
  <c r="F34" i="19"/>
  <c r="F34" i="16"/>
  <c r="E15" i="32"/>
  <c r="D15" i="26"/>
  <c r="D33" i="25"/>
  <c r="D24" i="24"/>
  <c r="C33" i="24"/>
  <c r="C34" i="23"/>
  <c r="C34" i="19"/>
  <c r="K15" i="19" s="1"/>
  <c r="W77" i="57" s="1"/>
  <c r="X77" i="57" s="1"/>
  <c r="C24" i="16"/>
  <c r="C33" i="14"/>
  <c r="C24" i="13"/>
  <c r="E34" i="6"/>
  <c r="C24" i="37"/>
  <c r="D34" i="37"/>
  <c r="E15" i="8"/>
  <c r="C33" i="7"/>
  <c r="F34" i="6"/>
  <c r="D24" i="37"/>
  <c r="C15" i="37"/>
  <c r="D24" i="6"/>
  <c r="C24" i="6"/>
  <c r="D33" i="6"/>
  <c r="C15" i="6"/>
  <c r="D15" i="6"/>
  <c r="E15" i="6"/>
  <c r="C15" i="7"/>
  <c r="D24" i="7"/>
  <c r="E33" i="7"/>
  <c r="D15" i="7"/>
  <c r="E24" i="7"/>
  <c r="E15" i="7"/>
  <c r="C15" i="8"/>
  <c r="D24" i="8"/>
  <c r="C24" i="8"/>
  <c r="D33" i="8"/>
  <c r="D15" i="8"/>
  <c r="C15" i="9"/>
  <c r="C15" i="10"/>
  <c r="D24" i="10"/>
  <c r="E33" i="10"/>
  <c r="D15" i="10"/>
  <c r="E24" i="10"/>
  <c r="E15" i="10"/>
  <c r="C33" i="10"/>
  <c r="D15" i="12"/>
  <c r="E34" i="12"/>
  <c r="C33" i="13"/>
  <c r="D33" i="13"/>
  <c r="D15" i="13"/>
  <c r="C34" i="13"/>
  <c r="E15" i="13"/>
  <c r="C15" i="14"/>
  <c r="D15" i="14"/>
  <c r="E15" i="14"/>
  <c r="D15" i="15"/>
  <c r="E24" i="15"/>
  <c r="E33" i="16"/>
  <c r="C34" i="16"/>
  <c r="K16" i="16" s="1"/>
  <c r="E15" i="16"/>
  <c r="C15" i="17"/>
  <c r="D24" i="17"/>
  <c r="E33" i="17"/>
  <c r="D15" i="17"/>
  <c r="C34" i="17"/>
  <c r="E15" i="17"/>
  <c r="C33" i="18"/>
  <c r="C24" i="18"/>
  <c r="D33" i="18"/>
  <c r="C15" i="18"/>
  <c r="D15" i="18"/>
  <c r="E15" i="18"/>
  <c r="E33" i="19"/>
  <c r="D15" i="19"/>
  <c r="E24" i="19"/>
  <c r="C33" i="20"/>
  <c r="E24" i="20"/>
  <c r="C34" i="20"/>
  <c r="E34" i="20"/>
  <c r="C15" i="22"/>
  <c r="D24" i="22"/>
  <c r="E33" i="22"/>
  <c r="D15" i="22"/>
  <c r="E24" i="22"/>
  <c r="E15" i="22"/>
  <c r="C15" i="21"/>
  <c r="D24" i="21"/>
  <c r="E33" i="21"/>
  <c r="D15" i="23"/>
  <c r="E24" i="23"/>
  <c r="C24" i="24"/>
  <c r="C15" i="24"/>
  <c r="E15" i="24"/>
  <c r="C15" i="25"/>
  <c r="D15" i="25"/>
  <c r="E15" i="26"/>
  <c r="D15" i="28"/>
  <c r="C34" i="28"/>
  <c r="E35" i="30"/>
  <c r="C35" i="30"/>
  <c r="C33" i="32"/>
  <c r="C24" i="32"/>
  <c r="D33" i="32"/>
  <c r="C15" i="32"/>
  <c r="D24" i="32"/>
  <c r="D15" i="32"/>
  <c r="E35" i="8" l="1"/>
  <c r="C35" i="8"/>
  <c r="E35" i="24"/>
  <c r="D35" i="14"/>
  <c r="AA77" i="57"/>
  <c r="AB77" i="57" s="1"/>
  <c r="AA147" i="57"/>
  <c r="AB147" i="57" s="1"/>
  <c r="AA130" i="57"/>
  <c r="AB130" i="57" s="1"/>
  <c r="AA143" i="57"/>
  <c r="AB143" i="57" s="1"/>
  <c r="AA139" i="57"/>
  <c r="AB139" i="57" s="1"/>
  <c r="W147" i="46"/>
  <c r="W130" i="46"/>
  <c r="W143" i="46"/>
  <c r="W139" i="46"/>
  <c r="E35" i="21"/>
  <c r="E35" i="18"/>
  <c r="E35" i="22"/>
  <c r="D35" i="7"/>
  <c r="W77" i="46"/>
  <c r="D35" i="24"/>
  <c r="K7" i="24"/>
  <c r="W56" i="57" s="1"/>
  <c r="X56" i="57" s="1"/>
  <c r="C35" i="24"/>
  <c r="C35" i="22"/>
  <c r="D35" i="22"/>
  <c r="C35" i="14"/>
  <c r="E35" i="15"/>
  <c r="E35" i="14"/>
  <c r="C35" i="18"/>
  <c r="C35" i="27"/>
  <c r="E35" i="27"/>
  <c r="D35" i="18"/>
  <c r="C35" i="19"/>
  <c r="D35" i="27"/>
  <c r="C35" i="6"/>
  <c r="D35" i="11"/>
  <c r="E35" i="23"/>
  <c r="D35" i="21"/>
  <c r="E35" i="11"/>
  <c r="D35" i="8"/>
  <c r="E35" i="31"/>
  <c r="C35" i="21"/>
  <c r="C35" i="16"/>
  <c r="D35" i="23"/>
  <c r="C35" i="23"/>
  <c r="C35" i="11"/>
  <c r="C35" i="10"/>
  <c r="D35" i="26"/>
  <c r="C35" i="9"/>
  <c r="D35" i="15"/>
  <c r="E35" i="10"/>
  <c r="C35" i="15"/>
  <c r="D35" i="9"/>
  <c r="C35" i="26"/>
  <c r="E35" i="9"/>
  <c r="C35" i="31"/>
  <c r="C35" i="12"/>
  <c r="E35" i="7"/>
  <c r="D35" i="31"/>
  <c r="E35" i="6"/>
  <c r="E35" i="20"/>
  <c r="E35" i="19"/>
  <c r="D35" i="6"/>
  <c r="C35" i="17"/>
  <c r="E35" i="12"/>
  <c r="E35" i="26"/>
  <c r="D35" i="19"/>
  <c r="C35" i="7"/>
  <c r="D35" i="12"/>
  <c r="D35" i="16"/>
  <c r="E35" i="16"/>
  <c r="D35" i="17"/>
  <c r="E35" i="17"/>
  <c r="C35" i="20"/>
  <c r="D35" i="20"/>
  <c r="AA56" i="57" l="1"/>
  <c r="AB56" i="57" s="1"/>
  <c r="AA139" i="46"/>
  <c r="AB139" i="46" s="1"/>
  <c r="X139" i="46"/>
  <c r="AA143" i="46"/>
  <c r="AB143" i="46" s="1"/>
  <c r="X143" i="46"/>
  <c r="AA130" i="46"/>
  <c r="AB130" i="46" s="1"/>
  <c r="X130" i="46"/>
  <c r="AA147" i="46"/>
  <c r="AB147" i="46" s="1"/>
  <c r="X147" i="46"/>
  <c r="AA77" i="46"/>
  <c r="AB77" i="46" s="1"/>
  <c r="X77" i="46"/>
  <c r="W56" i="46"/>
  <c r="P36" i="45"/>
  <c r="AE39" i="54"/>
  <c r="AF39" i="54"/>
  <c r="AD39" i="54"/>
  <c r="AA56" i="46" l="1"/>
  <c r="AB56" i="46" s="1"/>
  <c r="X56" i="46"/>
  <c r="G42" i="37"/>
  <c r="I37" i="37" s="1"/>
  <c r="F42" i="37"/>
  <c r="P35" i="45" l="1"/>
  <c r="BC160" i="57" l="1"/>
  <c r="BB160" i="57"/>
  <c r="C35" i="2" l="1"/>
  <c r="P33" i="45" l="1"/>
  <c r="P32" i="45"/>
  <c r="P31" i="45" l="1"/>
  <c r="P29" i="45" l="1"/>
  <c r="P30" i="45"/>
  <c r="I37" i="11"/>
  <c r="I37" i="12"/>
  <c r="P28" i="45" l="1"/>
  <c r="I37" i="13"/>
  <c r="P27" i="45" l="1"/>
  <c r="I37" i="14" l="1"/>
  <c r="P25" i="45" l="1"/>
  <c r="P26" i="45"/>
  <c r="I37" i="15" l="1"/>
  <c r="P24" i="45" l="1"/>
  <c r="P23" i="45" l="1"/>
  <c r="P22" i="45" l="1"/>
  <c r="P21" i="45" l="1"/>
  <c r="W78" i="20" l="1"/>
  <c r="P20" i="45" l="1"/>
  <c r="P19" i="45" l="1"/>
  <c r="P18" i="45"/>
  <c r="P17" i="45" l="1"/>
  <c r="C38" i="24" l="1"/>
  <c r="C39" i="24"/>
  <c r="P16" i="45" l="1"/>
  <c r="P15" i="45"/>
  <c r="P14" i="45"/>
  <c r="C43" i="26"/>
  <c r="R7" i="43" l="1"/>
  <c r="U7" i="43" s="1"/>
  <c r="R8" i="43"/>
  <c r="S8" i="43"/>
  <c r="U8" i="43" l="1"/>
  <c r="AR9" i="46" l="1"/>
  <c r="BA9" i="46" s="1"/>
  <c r="AM9" i="46"/>
  <c r="AD9" i="46" l="1"/>
  <c r="AZ160" i="57" l="1"/>
  <c r="AY160" i="57"/>
  <c r="AX160" i="57"/>
  <c r="AW160" i="57"/>
  <c r="AV160" i="57"/>
  <c r="AU160" i="57"/>
  <c r="AT160" i="57"/>
  <c r="AS160" i="57"/>
  <c r="AQ160" i="57"/>
  <c r="AP160" i="57"/>
  <c r="AO160" i="57"/>
  <c r="AN160" i="57"/>
  <c r="AL160" i="57"/>
  <c r="AK160" i="57"/>
  <c r="AJ160" i="57"/>
  <c r="AI160" i="57"/>
  <c r="AH160" i="57"/>
  <c r="AG160" i="57"/>
  <c r="AF160" i="57"/>
  <c r="S160" i="57"/>
  <c r="R160" i="57"/>
  <c r="Q160" i="57"/>
  <c r="Q161" i="57" s="1"/>
  <c r="AR159" i="57"/>
  <c r="AM159" i="57"/>
  <c r="AC159" i="57"/>
  <c r="AA159" i="57"/>
  <c r="AX164" i="57" l="1"/>
  <c r="BE162" i="57"/>
  <c r="BD162" i="57"/>
  <c r="BF162" i="57"/>
  <c r="BB162" i="57"/>
  <c r="BC162" i="57"/>
  <c r="R161" i="57"/>
  <c r="S161" i="57"/>
  <c r="AR160" i="57"/>
  <c r="BA160" i="57"/>
  <c r="R162" i="57" s="1"/>
  <c r="AM160" i="57"/>
  <c r="S162" i="57"/>
  <c r="AZ160" i="46"/>
  <c r="AY160" i="46"/>
  <c r="AX160" i="46"/>
  <c r="AW160" i="46"/>
  <c r="AV160" i="46"/>
  <c r="AU160" i="46"/>
  <c r="AT160" i="46"/>
  <c r="AS160" i="46"/>
  <c r="AQ160" i="46"/>
  <c r="AP160" i="46"/>
  <c r="AO160" i="46"/>
  <c r="AN160" i="46"/>
  <c r="AL160" i="46"/>
  <c r="AK160" i="46"/>
  <c r="AJ160" i="46"/>
  <c r="AI160" i="46"/>
  <c r="AH160" i="46"/>
  <c r="AG160" i="46"/>
  <c r="AF160" i="46"/>
  <c r="AR159" i="46"/>
  <c r="AM159" i="46"/>
  <c r="AR8" i="46"/>
  <c r="BA8" i="46" s="1"/>
  <c r="AM8" i="46"/>
  <c r="AR7" i="46"/>
  <c r="BA7" i="46" s="1"/>
  <c r="AM7" i="46"/>
  <c r="AR6" i="46"/>
  <c r="AM6" i="46"/>
  <c r="AY164" i="57" l="1"/>
  <c r="AY166" i="57" s="1"/>
  <c r="Q166" i="57" s="1"/>
  <c r="AD7" i="46"/>
  <c r="AD8" i="46"/>
  <c r="AM160" i="46"/>
  <c r="AR160" i="46"/>
  <c r="AD160" i="57"/>
  <c r="T9" i="56" s="1"/>
  <c r="BA6" i="46"/>
  <c r="AD6" i="46" s="1"/>
  <c r="AD160" i="46" s="1"/>
  <c r="BA160" i="46" l="1"/>
  <c r="E40" i="45"/>
  <c r="I40" i="45"/>
  <c r="M40" i="45"/>
  <c r="I46" i="16" l="1"/>
  <c r="I46" i="18"/>
  <c r="I46" i="20"/>
  <c r="I46" i="21"/>
  <c r="I46" i="24"/>
  <c r="I46" i="26"/>
  <c r="I46" i="27"/>
  <c r="I46" i="30"/>
  <c r="I46" i="32"/>
  <c r="L8" i="45"/>
  <c r="L9" i="45" s="1"/>
  <c r="L10" i="45" s="1"/>
  <c r="L11" i="45" s="1"/>
  <c r="L12" i="45" s="1"/>
  <c r="L13" i="45" s="1"/>
  <c r="H8" i="45"/>
  <c r="H9" i="45" s="1"/>
  <c r="H10" i="45" s="1"/>
  <c r="H11" i="45" s="1"/>
  <c r="H12" i="45" s="1"/>
  <c r="H13" i="45" s="1"/>
  <c r="P8" i="45"/>
  <c r="I46" i="33" s="1"/>
  <c r="D8" i="45"/>
  <c r="D9" i="45" s="1"/>
  <c r="D10" i="45" s="1"/>
  <c r="D11" i="45" s="1"/>
  <c r="D12" i="45" s="1"/>
  <c r="D13" i="45" s="1"/>
  <c r="I46" i="28" l="1"/>
  <c r="I46" i="22"/>
  <c r="I46" i="17"/>
  <c r="I46" i="14"/>
  <c r="I46" i="13"/>
  <c r="I46" i="12"/>
  <c r="I46" i="11"/>
  <c r="I46" i="10"/>
  <c r="I46" i="9"/>
  <c r="I46" i="8"/>
  <c r="P34" i="45"/>
  <c r="I46" i="7" s="1"/>
  <c r="I46" i="6"/>
  <c r="I46" i="37"/>
  <c r="P37" i="45"/>
  <c r="P38" i="45"/>
  <c r="P40" i="45"/>
  <c r="I46" i="43" l="1"/>
  <c r="I46" i="4"/>
  <c r="I46" i="15"/>
  <c r="I46" i="19"/>
  <c r="I46" i="23"/>
  <c r="I46" i="25"/>
  <c r="I46" i="29"/>
  <c r="I46" i="31"/>
  <c r="S160" i="46" l="1"/>
  <c r="S162" i="46" s="1"/>
  <c r="R160" i="46"/>
  <c r="Q160" i="46"/>
  <c r="Q161" i="46" s="1"/>
  <c r="AC159" i="46"/>
  <c r="AA159" i="46"/>
  <c r="N6" i="46"/>
  <c r="BB162" i="46" l="1"/>
  <c r="BC162" i="46"/>
  <c r="BE162" i="46"/>
  <c r="BD162" i="46"/>
  <c r="BF162" i="46"/>
  <c r="J6" i="46"/>
  <c r="R161" i="46"/>
  <c r="S161" i="46"/>
  <c r="H14" i="45" l="1"/>
  <c r="H15" i="45" s="1"/>
  <c r="H16" i="45" s="1"/>
  <c r="L14" i="45"/>
  <c r="L15" i="45" s="1"/>
  <c r="L16" i="45" s="1"/>
  <c r="D14" i="45"/>
  <c r="D15" i="45" s="1"/>
  <c r="D16" i="45" s="1"/>
  <c r="I9" i="56"/>
  <c r="R162" i="46"/>
  <c r="D17" i="45" l="1"/>
  <c r="L17" i="45"/>
  <c r="H17" i="45"/>
  <c r="H18" i="45" l="1"/>
  <c r="H19" i="45" s="1"/>
  <c r="L18" i="45"/>
  <c r="L19" i="45" s="1"/>
  <c r="D18" i="45"/>
  <c r="D19" i="45" s="1"/>
  <c r="L20" i="45" l="1"/>
  <c r="D20" i="45"/>
  <c r="D21" i="45" s="1"/>
  <c r="D22" i="45" s="1"/>
  <c r="D23" i="45" s="1"/>
  <c r="D24" i="45" s="1"/>
  <c r="D25" i="45" s="1"/>
  <c r="D26" i="45" s="1"/>
  <c r="D27" i="45" s="1"/>
  <c r="D28" i="45" s="1"/>
  <c r="D29" i="45" s="1"/>
  <c r="D30" i="45" s="1"/>
  <c r="D31" i="45" s="1"/>
  <c r="D32" i="45" s="1"/>
  <c r="D33" i="45" s="1"/>
  <c r="H20" i="45"/>
  <c r="H21" i="45" l="1"/>
  <c r="L21" i="45"/>
  <c r="D34" i="45"/>
  <c r="G4" i="47"/>
  <c r="H4" i="47" s="1"/>
  <c r="O6" i="57" s="1"/>
  <c r="AO13" i="48"/>
  <c r="AO14" i="48"/>
  <c r="AO15" i="48"/>
  <c r="AO16" i="48"/>
  <c r="AO17" i="48"/>
  <c r="AO18" i="48"/>
  <c r="AO19" i="48"/>
  <c r="AO20" i="48"/>
  <c r="AO21" i="48"/>
  <c r="AO22" i="48"/>
  <c r="AO23" i="48"/>
  <c r="AO24" i="48"/>
  <c r="AO25" i="48"/>
  <c r="AO26" i="48"/>
  <c r="AO27" i="48"/>
  <c r="AO28" i="48"/>
  <c r="AO29" i="48"/>
  <c r="AO30" i="48"/>
  <c r="AR30" i="48" s="1"/>
  <c r="AO31" i="48"/>
  <c r="AR31" i="48" s="1"/>
  <c r="AO32" i="48"/>
  <c r="AO33" i="48"/>
  <c r="AO34" i="48"/>
  <c r="AO35" i="48"/>
  <c r="AO36" i="48"/>
  <c r="AO37" i="48"/>
  <c r="AO38" i="48"/>
  <c r="AO39" i="48"/>
  <c r="AO12" i="48"/>
  <c r="AO10" i="48"/>
  <c r="AO11" i="48"/>
  <c r="AO9" i="48"/>
  <c r="C6" i="57" l="1"/>
  <c r="P6" i="57"/>
  <c r="K6" i="57"/>
  <c r="AC6" i="57" s="1"/>
  <c r="T6" i="57"/>
  <c r="U6" i="57"/>
  <c r="V6" i="57"/>
  <c r="O6" i="46"/>
  <c r="K6" i="46" s="1"/>
  <c r="L9" i="48" s="1"/>
  <c r="D35" i="45"/>
  <c r="L22" i="45"/>
  <c r="H22" i="45"/>
  <c r="AS39" i="48"/>
  <c r="AR39" i="48"/>
  <c r="AR38" i="48"/>
  <c r="AS38" i="48"/>
  <c r="K160" i="57" l="1"/>
  <c r="AD167" i="57" s="1"/>
  <c r="X190" i="57" s="1"/>
  <c r="T160" i="57"/>
  <c r="P160" i="57"/>
  <c r="O160" i="57" s="1"/>
  <c r="U160" i="57"/>
  <c r="V160" i="57"/>
  <c r="T10" i="56" s="1"/>
  <c r="N35" i="55" s="1"/>
  <c r="BA9" i="48"/>
  <c r="D36" i="45"/>
  <c r="D37" i="45" s="1"/>
  <c r="D38" i="45" s="1"/>
  <c r="H23" i="45"/>
  <c r="L23" i="45"/>
  <c r="C160" i="57"/>
  <c r="AT38" i="48"/>
  <c r="AT39" i="48"/>
  <c r="P6" i="46"/>
  <c r="P160" i="46" s="1"/>
  <c r="O160" i="46" s="1"/>
  <c r="V6" i="46"/>
  <c r="V160" i="46" s="1"/>
  <c r="I10" i="56" s="1"/>
  <c r="E35" i="55" s="1"/>
  <c r="T6" i="46"/>
  <c r="T160" i="46" s="1"/>
  <c r="U6" i="46"/>
  <c r="U160" i="46" s="1"/>
  <c r="C6" i="46"/>
  <c r="N9" i="48" s="1"/>
  <c r="K160" i="46"/>
  <c r="AD168" i="46" s="1"/>
  <c r="X190" i="46" s="1"/>
  <c r="C46" i="30"/>
  <c r="AC160" i="57" l="1"/>
  <c r="AC161" i="57" s="1"/>
  <c r="X170" i="57" s="1"/>
  <c r="E9" i="55"/>
  <c r="E8" i="55"/>
  <c r="E20" i="55"/>
  <c r="E18" i="55"/>
  <c r="E27" i="55"/>
  <c r="E7" i="55"/>
  <c r="E5" i="55"/>
  <c r="E36" i="55"/>
  <c r="E34" i="55"/>
  <c r="E32" i="55"/>
  <c r="E23" i="55"/>
  <c r="E31" i="55"/>
  <c r="E40" i="55"/>
  <c r="E16" i="55"/>
  <c r="E33" i="55"/>
  <c r="E37" i="55"/>
  <c r="E26" i="55"/>
  <c r="E29" i="55"/>
  <c r="E11" i="55"/>
  <c r="E6" i="55"/>
  <c r="E39" i="55"/>
  <c r="E24" i="55"/>
  <c r="E10" i="55"/>
  <c r="E17" i="55"/>
  <c r="E21" i="55"/>
  <c r="E38" i="55"/>
  <c r="E30" i="55"/>
  <c r="E25" i="55"/>
  <c r="E4" i="55"/>
  <c r="E19" i="55"/>
  <c r="E28" i="55"/>
  <c r="E22" i="55"/>
  <c r="N28" i="55"/>
  <c r="N20" i="55"/>
  <c r="N23" i="55"/>
  <c r="N6" i="55"/>
  <c r="N16" i="55"/>
  <c r="N26" i="55"/>
  <c r="N10" i="55"/>
  <c r="N40" i="55"/>
  <c r="N25" i="55"/>
  <c r="N27" i="55"/>
  <c r="N22" i="55"/>
  <c r="N31" i="55"/>
  <c r="N7" i="55"/>
  <c r="N17" i="55"/>
  <c r="N11" i="55"/>
  <c r="N18" i="55"/>
  <c r="N8" i="55"/>
  <c r="N34" i="55"/>
  <c r="N38" i="55"/>
  <c r="N5" i="55"/>
  <c r="N19" i="55"/>
  <c r="N30" i="55"/>
  <c r="N33" i="55"/>
  <c r="N39" i="55"/>
  <c r="N4" i="55"/>
  <c r="N37" i="55"/>
  <c r="N29" i="55"/>
  <c r="N32" i="55"/>
  <c r="N24" i="55"/>
  <c r="N36" i="55"/>
  <c r="N9" i="55"/>
  <c r="N21" i="55"/>
  <c r="L24" i="45"/>
  <c r="H24" i="45"/>
  <c r="V161" i="57"/>
  <c r="AM161" i="57" s="1"/>
  <c r="I8" i="56"/>
  <c r="AH4" i="54"/>
  <c r="AH3" i="54"/>
  <c r="T8" i="56"/>
  <c r="BA41" i="48"/>
  <c r="BB9" i="48"/>
  <c r="BB10" i="48" s="1"/>
  <c r="BB11" i="48" s="1"/>
  <c r="BB12" i="48" s="1"/>
  <c r="BB13" i="48" s="1"/>
  <c r="BB14" i="48" s="1"/>
  <c r="BB15" i="48" s="1"/>
  <c r="BB16" i="48" s="1"/>
  <c r="BB17" i="48" s="1"/>
  <c r="BB18" i="48" s="1"/>
  <c r="BB19" i="48" s="1"/>
  <c r="BB20" i="48" s="1"/>
  <c r="BB21" i="48" s="1"/>
  <c r="BB22" i="48" s="1"/>
  <c r="BB23" i="48" s="1"/>
  <c r="BB24" i="48" s="1"/>
  <c r="BB25" i="48" s="1"/>
  <c r="BB26" i="48" s="1"/>
  <c r="BB27" i="48" s="1"/>
  <c r="BB28" i="48" s="1"/>
  <c r="BB29" i="48" s="1"/>
  <c r="BB30" i="48" s="1"/>
  <c r="BB31" i="48" s="1"/>
  <c r="BB32" i="48" s="1"/>
  <c r="BB33" i="48" s="1"/>
  <c r="BB34" i="48" s="1"/>
  <c r="BB35" i="48" s="1"/>
  <c r="BB36" i="48" s="1"/>
  <c r="BB37" i="48" s="1"/>
  <c r="BB38" i="48" s="1"/>
  <c r="BB39" i="48" s="1"/>
  <c r="AC6" i="46"/>
  <c r="AC160" i="46" s="1"/>
  <c r="C160" i="46"/>
  <c r="V161" i="46"/>
  <c r="AW161" i="57" l="1"/>
  <c r="X187" i="57" s="1"/>
  <c r="BA161" i="57"/>
  <c r="AJ161" i="57"/>
  <c r="X177" i="57" s="1"/>
  <c r="AG161" i="57"/>
  <c r="X174" i="57" s="1"/>
  <c r="AH161" i="57"/>
  <c r="X175" i="57" s="1"/>
  <c r="AR161" i="57"/>
  <c r="AX161" i="57"/>
  <c r="AQ161" i="57"/>
  <c r="X183" i="57" s="1"/>
  <c r="AF161" i="57"/>
  <c r="X173" i="57" s="1"/>
  <c r="AN161" i="57"/>
  <c r="X180" i="57" s="1"/>
  <c r="AV161" i="57"/>
  <c r="X188" i="57" s="1"/>
  <c r="AY161" i="57"/>
  <c r="AZ161" i="57"/>
  <c r="X191" i="57" s="1"/>
  <c r="H25" i="45"/>
  <c r="H26" i="45" s="1"/>
  <c r="L25" i="45"/>
  <c r="L26" i="45" s="1"/>
  <c r="AS161" i="57"/>
  <c r="X184" i="57" s="1"/>
  <c r="AI161" i="57"/>
  <c r="X176" i="57" s="1"/>
  <c r="AT161" i="57"/>
  <c r="X185" i="57" s="1"/>
  <c r="AO161" i="57"/>
  <c r="X181" i="57" s="1"/>
  <c r="AL161" i="57"/>
  <c r="X179" i="57" s="1"/>
  <c r="AK161" i="57"/>
  <c r="X178" i="57" s="1"/>
  <c r="AU161" i="57"/>
  <c r="X186" i="57" s="1"/>
  <c r="AP161" i="57"/>
  <c r="X182" i="57" s="1"/>
  <c r="T5" i="56"/>
  <c r="N15" i="55" s="1"/>
  <c r="T11" i="56"/>
  <c r="O35" i="55" s="1"/>
  <c r="AJ161" i="46"/>
  <c r="X177" i="46" s="1"/>
  <c r="AX161" i="46"/>
  <c r="AI161" i="46"/>
  <c r="X176" i="46" s="1"/>
  <c r="AL161" i="46"/>
  <c r="X179" i="46" s="1"/>
  <c r="AR161" i="46"/>
  <c r="AK161" i="46"/>
  <c r="X178" i="46" s="1"/>
  <c r="AO161" i="46"/>
  <c r="X181" i="46" s="1"/>
  <c r="AG161" i="46"/>
  <c r="X174" i="46" s="1"/>
  <c r="AM161" i="46"/>
  <c r="AQ161" i="46"/>
  <c r="X183" i="46" s="1"/>
  <c r="AT161" i="46"/>
  <c r="X185" i="46" s="1"/>
  <c r="AF161" i="46"/>
  <c r="X173" i="46" s="1"/>
  <c r="AP161" i="46"/>
  <c r="X182" i="46" s="1"/>
  <c r="AZ161" i="46"/>
  <c r="X191" i="46" s="1"/>
  <c r="AW161" i="46"/>
  <c r="X187" i="46" s="1"/>
  <c r="AY161" i="46"/>
  <c r="AN161" i="46"/>
  <c r="X180" i="46" s="1"/>
  <c r="AV161" i="46"/>
  <c r="X188" i="46" s="1"/>
  <c r="AH161" i="46"/>
  <c r="X175" i="46" s="1"/>
  <c r="AU161" i="46"/>
  <c r="X186" i="46" s="1"/>
  <c r="AS161" i="46"/>
  <c r="X184" i="46" s="1"/>
  <c r="BA161" i="46"/>
  <c r="AC161" i="46"/>
  <c r="X170" i="46" s="1"/>
  <c r="I5" i="56"/>
  <c r="E15" i="55" s="1"/>
  <c r="F15" i="55" s="1"/>
  <c r="G15" i="55" s="1"/>
  <c r="X189" i="57" l="1"/>
  <c r="O11" i="55"/>
  <c r="P11" i="55" s="1"/>
  <c r="O30" i="55"/>
  <c r="O24" i="55"/>
  <c r="O8" i="55"/>
  <c r="P8" i="55" s="1"/>
  <c r="O31" i="55"/>
  <c r="O26" i="55"/>
  <c r="O28" i="55"/>
  <c r="O20" i="55"/>
  <c r="O39" i="55"/>
  <c r="O19" i="55"/>
  <c r="O17" i="55"/>
  <c r="O22" i="55"/>
  <c r="O40" i="55"/>
  <c r="O7" i="55"/>
  <c r="P7" i="55" s="1"/>
  <c r="O33" i="55"/>
  <c r="O21" i="55"/>
  <c r="O18" i="55"/>
  <c r="P18" i="55" s="1"/>
  <c r="O38" i="55"/>
  <c r="O23" i="55"/>
  <c r="O5" i="55"/>
  <c r="P5" i="55" s="1"/>
  <c r="O36" i="55"/>
  <c r="O32" i="55"/>
  <c r="O9" i="55"/>
  <c r="P9" i="55" s="1"/>
  <c r="O25" i="55"/>
  <c r="O6" i="55"/>
  <c r="P6" i="55" s="1"/>
  <c r="O10" i="55"/>
  <c r="P10" i="55" s="1"/>
  <c r="O37" i="55"/>
  <c r="O4" i="55"/>
  <c r="O27" i="55"/>
  <c r="O34" i="55"/>
  <c r="O29" i="55"/>
  <c r="O16" i="55"/>
  <c r="L27" i="45"/>
  <c r="H27" i="45"/>
  <c r="U5" i="56"/>
  <c r="O15" i="55" s="1"/>
  <c r="P15" i="55" s="1"/>
  <c r="X189" i="46"/>
  <c r="AC39" i="54"/>
  <c r="AB39" i="54"/>
  <c r="AA39" i="54"/>
  <c r="Z39" i="54"/>
  <c r="Y39" i="54"/>
  <c r="X39" i="54"/>
  <c r="W39" i="54"/>
  <c r="V39" i="54"/>
  <c r="U39" i="54"/>
  <c r="T39" i="54"/>
  <c r="S39" i="54"/>
  <c r="R39" i="54"/>
  <c r="Q39" i="54"/>
  <c r="P39" i="54"/>
  <c r="O39" i="54"/>
  <c r="N39" i="54"/>
  <c r="M39" i="54"/>
  <c r="L39" i="54"/>
  <c r="K39" i="54"/>
  <c r="J39" i="54"/>
  <c r="I39" i="54"/>
  <c r="H39" i="54"/>
  <c r="G39" i="54"/>
  <c r="F39" i="54"/>
  <c r="E39" i="54"/>
  <c r="D39" i="54"/>
  <c r="C39" i="54"/>
  <c r="B39" i="54"/>
  <c r="AG37" i="54"/>
  <c r="AG36" i="54"/>
  <c r="AG35" i="54"/>
  <c r="AG34" i="54"/>
  <c r="AG33" i="54"/>
  <c r="AG32" i="54"/>
  <c r="AG31" i="54"/>
  <c r="AG30" i="54"/>
  <c r="AG29" i="54"/>
  <c r="AG28" i="54"/>
  <c r="AG27" i="54"/>
  <c r="AG26" i="54"/>
  <c r="AG25" i="54"/>
  <c r="AG24" i="54"/>
  <c r="AG23" i="54"/>
  <c r="AG22" i="54"/>
  <c r="AG21" i="54"/>
  <c r="AG20" i="54"/>
  <c r="AG19" i="54"/>
  <c r="AG18" i="54"/>
  <c r="AG17" i="54"/>
  <c r="AG16" i="54"/>
  <c r="AG15" i="54"/>
  <c r="AG14" i="54"/>
  <c r="AG13" i="54"/>
  <c r="AG12" i="54"/>
  <c r="AG11" i="54"/>
  <c r="AG10" i="54"/>
  <c r="AG9" i="54"/>
  <c r="AG8" i="54"/>
  <c r="AG7" i="54"/>
  <c r="AG6" i="54"/>
  <c r="P37" i="55" l="1"/>
  <c r="P16" i="55"/>
  <c r="P33" i="55"/>
  <c r="P31" i="55"/>
  <c r="P4" i="55"/>
  <c r="P24" i="55"/>
  <c r="P19" i="55"/>
  <c r="P39" i="55"/>
  <c r="Q39" i="55" s="1"/>
  <c r="Y160" i="57"/>
  <c r="H28" i="45"/>
  <c r="L28" i="45"/>
  <c r="Y160" i="46"/>
  <c r="AI3" i="54"/>
  <c r="AG39" i="54"/>
  <c r="Q24" i="55" l="1"/>
  <c r="Q4" i="55"/>
  <c r="L29" i="45"/>
  <c r="L30" i="45" s="1"/>
  <c r="H29" i="45"/>
  <c r="H30" i="45" s="1"/>
  <c r="Y162" i="57"/>
  <c r="Y161" i="57"/>
  <c r="X168" i="57" s="1"/>
  <c r="Y162" i="46"/>
  <c r="Y161" i="46"/>
  <c r="X168" i="46" s="1"/>
  <c r="AH7" i="54"/>
  <c r="AH38" i="54"/>
  <c r="AH37" i="54"/>
  <c r="AH20" i="54"/>
  <c r="AH36" i="54"/>
  <c r="AH12" i="54"/>
  <c r="AH14" i="54"/>
  <c r="AH9" i="54"/>
  <c r="AH13" i="54"/>
  <c r="AH17" i="54"/>
  <c r="AH28" i="54"/>
  <c r="AH27" i="54"/>
  <c r="AH34" i="54"/>
  <c r="AH11" i="54"/>
  <c r="AH18" i="54"/>
  <c r="AH6" i="54"/>
  <c r="AH10" i="54"/>
  <c r="AH30" i="54"/>
  <c r="AH29" i="54"/>
  <c r="AH16" i="54"/>
  <c r="AH15" i="54"/>
  <c r="AH35" i="54"/>
  <c r="AH32" i="54"/>
  <c r="AH24" i="54"/>
  <c r="AH8" i="54"/>
  <c r="AH26" i="54"/>
  <c r="AH21" i="54"/>
  <c r="AH31" i="54"/>
  <c r="AH25" i="54"/>
  <c r="AH23" i="54"/>
  <c r="AH22" i="54"/>
  <c r="AH33" i="54"/>
  <c r="AH19" i="54"/>
  <c r="H31" i="45" l="1"/>
  <c r="L31" i="45"/>
  <c r="AH39" i="54"/>
  <c r="AP41" i="48"/>
  <c r="AP42" i="48" s="1"/>
  <c r="AQ39" i="48"/>
  <c r="AQ38" i="48"/>
  <c r="AQ37" i="48"/>
  <c r="AR37" i="48"/>
  <c r="AQ36" i="48"/>
  <c r="AR36" i="48"/>
  <c r="AQ35" i="48"/>
  <c r="AS35" i="48"/>
  <c r="AQ34" i="48"/>
  <c r="AS34" i="48"/>
  <c r="AQ33" i="48"/>
  <c r="AR33" i="48"/>
  <c r="AQ32" i="48"/>
  <c r="AS32" i="48"/>
  <c r="AQ31" i="48"/>
  <c r="AS31" i="48"/>
  <c r="AS25" i="48"/>
  <c r="AR24" i="48"/>
  <c r="AS23" i="48"/>
  <c r="AS22" i="48"/>
  <c r="AS21" i="48"/>
  <c r="AS20" i="48"/>
  <c r="AS19" i="48"/>
  <c r="AS18" i="48"/>
  <c r="AS17" i="48"/>
  <c r="AQ16" i="48"/>
  <c r="AS15" i="48"/>
  <c r="AR13" i="48"/>
  <c r="AQ13" i="48"/>
  <c r="AS13" i="48"/>
  <c r="AS12" i="48"/>
  <c r="AR12" i="48"/>
  <c r="AQ12" i="48"/>
  <c r="AS11" i="48"/>
  <c r="AR11" i="48"/>
  <c r="AQ11" i="48"/>
  <c r="AS10" i="48"/>
  <c r="AR10" i="48"/>
  <c r="AQ10" i="48"/>
  <c r="AS9" i="48"/>
  <c r="AR9" i="48"/>
  <c r="AQ9" i="48"/>
  <c r="L32" i="45" l="1"/>
  <c r="L33" i="45" s="1"/>
  <c r="L34" i="45" s="1"/>
  <c r="H32" i="45"/>
  <c r="H33" i="45" s="1"/>
  <c r="H34" i="45" s="1"/>
  <c r="AV38" i="48"/>
  <c r="AY38" i="48" s="1"/>
  <c r="AU38" i="48"/>
  <c r="AX38" i="48" s="1"/>
  <c r="T38" i="48" s="1"/>
  <c r="AW38" i="48"/>
  <c r="AZ38" i="48" s="1"/>
  <c r="AV39" i="48"/>
  <c r="AY39" i="48" s="1"/>
  <c r="AU39" i="48"/>
  <c r="AX39" i="48" s="1"/>
  <c r="T39" i="48" s="1"/>
  <c r="AW39" i="48"/>
  <c r="AZ39" i="48" s="1"/>
  <c r="AV32" i="48"/>
  <c r="AY32" i="48" s="1"/>
  <c r="AV13" i="48"/>
  <c r="AY13" i="48" s="1"/>
  <c r="AV12" i="48"/>
  <c r="AY12" i="48" s="1"/>
  <c r="AV9" i="48"/>
  <c r="AY9" i="48" s="1"/>
  <c r="AV34" i="48"/>
  <c r="AY34" i="48" s="1"/>
  <c r="AT11" i="48"/>
  <c r="AW11" i="48" s="1"/>
  <c r="AV31" i="48"/>
  <c r="AY31" i="48" s="1"/>
  <c r="AT13" i="48"/>
  <c r="AW13" i="48" s="1"/>
  <c r="AZ13" i="48" s="1"/>
  <c r="AV35" i="48"/>
  <c r="AY35" i="48" s="1"/>
  <c r="AV10" i="48"/>
  <c r="AY10" i="48" s="1"/>
  <c r="AU10" i="48"/>
  <c r="AX10" i="48" s="1"/>
  <c r="AV11" i="48"/>
  <c r="AY11" i="48" s="1"/>
  <c r="AS14" i="48"/>
  <c r="AR14" i="48"/>
  <c r="AS28" i="48"/>
  <c r="AR28" i="48"/>
  <c r="AQ28" i="48"/>
  <c r="AU36" i="48"/>
  <c r="AX36" i="48" s="1"/>
  <c r="T36" i="48" s="1"/>
  <c r="AT10" i="48"/>
  <c r="AW10" i="48" s="1"/>
  <c r="AU12" i="48"/>
  <c r="AX12" i="48" s="1"/>
  <c r="AT12" i="48"/>
  <c r="AW12" i="48" s="1"/>
  <c r="AQ14" i="48"/>
  <c r="AU37" i="48"/>
  <c r="AX37" i="48" s="1"/>
  <c r="T37" i="48" s="1"/>
  <c r="AU9" i="48"/>
  <c r="AX9" i="48" s="1"/>
  <c r="AR18" i="48"/>
  <c r="AQ18" i="48"/>
  <c r="AV18" i="48" s="1"/>
  <c r="AY18" i="48" s="1"/>
  <c r="AR22" i="48"/>
  <c r="AQ22" i="48"/>
  <c r="AV22" i="48" s="1"/>
  <c r="AY22" i="48" s="1"/>
  <c r="AQ25" i="48"/>
  <c r="AV25" i="48" s="1"/>
  <c r="AY25" i="48" s="1"/>
  <c r="AR25" i="48"/>
  <c r="AU13" i="48"/>
  <c r="AX13" i="48" s="1"/>
  <c r="AR17" i="48"/>
  <c r="AQ17" i="48"/>
  <c r="AV17" i="48" s="1"/>
  <c r="AY17" i="48" s="1"/>
  <c r="AQ21" i="48"/>
  <c r="AV21" i="48" s="1"/>
  <c r="AY21" i="48" s="1"/>
  <c r="AR21" i="48"/>
  <c r="AS24" i="48"/>
  <c r="AT24" i="48" s="1"/>
  <c r="AQ24" i="48"/>
  <c r="AU24" i="48" s="1"/>
  <c r="AX24" i="48" s="1"/>
  <c r="T24" i="48" s="1"/>
  <c r="AQ15" i="48"/>
  <c r="AV15" i="48" s="1"/>
  <c r="AY15" i="48" s="1"/>
  <c r="AR15" i="48"/>
  <c r="AT9" i="48"/>
  <c r="AW9" i="48" s="1"/>
  <c r="AZ9" i="48" s="1"/>
  <c r="AU11" i="48"/>
  <c r="AX11" i="48" s="1"/>
  <c r="AR16" i="48"/>
  <c r="AS16" i="48"/>
  <c r="AV16" i="48" s="1"/>
  <c r="AY16" i="48" s="1"/>
  <c r="AR19" i="48"/>
  <c r="AQ19" i="48"/>
  <c r="AV19" i="48" s="1"/>
  <c r="AY19" i="48" s="1"/>
  <c r="AR23" i="48"/>
  <c r="AQ23" i="48"/>
  <c r="AV23" i="48" s="1"/>
  <c r="AY23" i="48" s="1"/>
  <c r="AS30" i="48"/>
  <c r="AQ30" i="48"/>
  <c r="AU33" i="48"/>
  <c r="AX33" i="48" s="1"/>
  <c r="T33" i="48" s="1"/>
  <c r="AS26" i="48"/>
  <c r="AR26" i="48"/>
  <c r="AQ26" i="48"/>
  <c r="AS27" i="48"/>
  <c r="AR27" i="48"/>
  <c r="AQ27" i="48"/>
  <c r="AS29" i="48"/>
  <c r="AR29" i="48"/>
  <c r="AQ29" i="48"/>
  <c r="AR20" i="48"/>
  <c r="AQ20" i="48"/>
  <c r="AV20" i="48" s="1"/>
  <c r="AY20" i="48" s="1"/>
  <c r="AR32" i="48"/>
  <c r="AR34" i="48"/>
  <c r="AR35" i="48"/>
  <c r="AS33" i="48"/>
  <c r="AV33" i="48" s="1"/>
  <c r="AY33" i="48" s="1"/>
  <c r="AS36" i="48"/>
  <c r="AV36" i="48" s="1"/>
  <c r="AY36" i="48" s="1"/>
  <c r="AS37" i="48"/>
  <c r="AV37" i="48" s="1"/>
  <c r="AY37" i="48" s="1"/>
  <c r="T13" i="48" l="1"/>
  <c r="T12" i="48"/>
  <c r="T11" i="48"/>
  <c r="T10" i="48"/>
  <c r="T9" i="48"/>
  <c r="H35" i="45"/>
  <c r="L35" i="45"/>
  <c r="AZ12" i="48"/>
  <c r="AW24" i="48"/>
  <c r="AZ24" i="48" s="1"/>
  <c r="AZ11" i="48"/>
  <c r="AZ10" i="48"/>
  <c r="AV30" i="48"/>
  <c r="AY30" i="48" s="1"/>
  <c r="AV14" i="48"/>
  <c r="AY14" i="48" s="1"/>
  <c r="AV24" i="48"/>
  <c r="AY24" i="48" s="1"/>
  <c r="AV27" i="48"/>
  <c r="AY27" i="48" s="1"/>
  <c r="AT30" i="48"/>
  <c r="AW30" i="48" s="1"/>
  <c r="AZ30" i="48" s="1"/>
  <c r="AU30" i="48"/>
  <c r="AX30" i="48" s="1"/>
  <c r="T30" i="48" s="1"/>
  <c r="AT18" i="48"/>
  <c r="AW18" i="48" s="1"/>
  <c r="AZ18" i="48" s="1"/>
  <c r="AU18" i="48"/>
  <c r="AX18" i="48" s="1"/>
  <c r="AT36" i="48"/>
  <c r="AW36" i="48" s="1"/>
  <c r="AZ36" i="48" s="1"/>
  <c r="AU16" i="48"/>
  <c r="AX16" i="48" s="1"/>
  <c r="AT16" i="48"/>
  <c r="AW16" i="48" s="1"/>
  <c r="AZ16" i="48" s="1"/>
  <c r="AT26" i="48"/>
  <c r="AW26" i="48" s="1"/>
  <c r="AZ26" i="48" s="1"/>
  <c r="AU26" i="48"/>
  <c r="AX26" i="48" s="1"/>
  <c r="T26" i="48" s="1"/>
  <c r="AV26" i="48"/>
  <c r="AY26" i="48" s="1"/>
  <c r="AT15" i="48"/>
  <c r="AW15" i="48" s="1"/>
  <c r="AZ15" i="48" s="1"/>
  <c r="AU15" i="48"/>
  <c r="AX15" i="48" s="1"/>
  <c r="AT37" i="48"/>
  <c r="AW37" i="48" s="1"/>
  <c r="AZ37" i="48" s="1"/>
  <c r="AU32" i="48"/>
  <c r="AX32" i="48" s="1"/>
  <c r="T32" i="48" s="1"/>
  <c r="AT32" i="48"/>
  <c r="AW32" i="48" s="1"/>
  <c r="AZ32" i="48" s="1"/>
  <c r="AT21" i="48"/>
  <c r="AW21" i="48" s="1"/>
  <c r="AZ21" i="48" s="1"/>
  <c r="AU21" i="48"/>
  <c r="AX21" i="48" s="1"/>
  <c r="T21" i="48" s="1"/>
  <c r="AU31" i="48"/>
  <c r="AX31" i="48" s="1"/>
  <c r="T31" i="48" s="1"/>
  <c r="AT31" i="48"/>
  <c r="AW31" i="48" s="1"/>
  <c r="AZ31" i="48" s="1"/>
  <c r="AT20" i="48"/>
  <c r="AW20" i="48" s="1"/>
  <c r="AZ20" i="48" s="1"/>
  <c r="AU20" i="48"/>
  <c r="AX20" i="48" s="1"/>
  <c r="T20" i="48" s="1"/>
  <c r="AT19" i="48"/>
  <c r="AW19" i="48" s="1"/>
  <c r="AZ19" i="48" s="1"/>
  <c r="AU19" i="48"/>
  <c r="AX19" i="48" s="1"/>
  <c r="T19" i="48" s="1"/>
  <c r="AT25" i="48"/>
  <c r="AW25" i="48" s="1"/>
  <c r="AZ25" i="48" s="1"/>
  <c r="AU25" i="48"/>
  <c r="AX25" i="48" s="1"/>
  <c r="T25" i="48" s="1"/>
  <c r="AU28" i="48"/>
  <c r="AX28" i="48" s="1"/>
  <c r="T28" i="48" s="1"/>
  <c r="AT28" i="48"/>
  <c r="AW28" i="48" s="1"/>
  <c r="AZ28" i="48" s="1"/>
  <c r="AU35" i="48"/>
  <c r="AX35" i="48" s="1"/>
  <c r="T35" i="48" s="1"/>
  <c r="AT35" i="48"/>
  <c r="AW35" i="48" s="1"/>
  <c r="AZ35" i="48" s="1"/>
  <c r="AV29" i="48"/>
  <c r="AY29" i="48" s="1"/>
  <c r="AV28" i="48"/>
  <c r="AY28" i="48" s="1"/>
  <c r="AT27" i="48"/>
  <c r="AW27" i="48" s="1"/>
  <c r="AZ27" i="48" s="1"/>
  <c r="AU27" i="48"/>
  <c r="AX27" i="48" s="1"/>
  <c r="T27" i="48" s="1"/>
  <c r="AT22" i="48"/>
  <c r="AW22" i="48" s="1"/>
  <c r="AZ22" i="48" s="1"/>
  <c r="AU22" i="48"/>
  <c r="AX22" i="48" s="1"/>
  <c r="T22" i="48" s="1"/>
  <c r="AT23" i="48"/>
  <c r="AW23" i="48" s="1"/>
  <c r="AZ23" i="48" s="1"/>
  <c r="AU23" i="48"/>
  <c r="AX23" i="48" s="1"/>
  <c r="T23" i="48" s="1"/>
  <c r="AT17" i="48"/>
  <c r="AW17" i="48" s="1"/>
  <c r="AZ17" i="48" s="1"/>
  <c r="AU17" i="48"/>
  <c r="AX17" i="48" s="1"/>
  <c r="AT29" i="48"/>
  <c r="AW29" i="48" s="1"/>
  <c r="AZ29" i="48" s="1"/>
  <c r="AU29" i="48"/>
  <c r="AX29" i="48" s="1"/>
  <c r="T29" i="48" s="1"/>
  <c r="AT33" i="48"/>
  <c r="AW33" i="48" s="1"/>
  <c r="AZ33" i="48" s="1"/>
  <c r="AU34" i="48"/>
  <c r="AX34" i="48" s="1"/>
  <c r="T34" i="48" s="1"/>
  <c r="AT34" i="48"/>
  <c r="AW34" i="48" s="1"/>
  <c r="AZ34" i="48" s="1"/>
  <c r="AU14" i="48"/>
  <c r="AX14" i="48" s="1"/>
  <c r="AT14" i="48"/>
  <c r="AW14" i="48" s="1"/>
  <c r="AZ14" i="48" s="1"/>
  <c r="T15" i="48" l="1"/>
  <c r="T18" i="48"/>
  <c r="T17" i="48"/>
  <c r="T16" i="48"/>
  <c r="T14" i="48"/>
  <c r="L36" i="45"/>
  <c r="L37" i="45" s="1"/>
  <c r="L38" i="45" s="1"/>
  <c r="H36" i="45"/>
  <c r="H37" i="45" s="1"/>
  <c r="H38" i="45" s="1"/>
  <c r="AZ41" i="48" l="1"/>
  <c r="AX41" i="48"/>
  <c r="AY41" i="48"/>
  <c r="AY43" i="48" l="1"/>
  <c r="I43" i="33" l="1"/>
  <c r="I43" i="31"/>
  <c r="I16" i="47" s="1"/>
  <c r="C36" i="2"/>
  <c r="BG42" i="2" l="1"/>
  <c r="AY42" i="2"/>
  <c r="AQ42" i="2"/>
  <c r="W42" i="2"/>
  <c r="K42" i="2"/>
  <c r="BC40" i="2"/>
  <c r="BC39" i="2"/>
  <c r="BC38" i="2"/>
  <c r="BC37" i="2"/>
  <c r="BC36" i="2"/>
  <c r="BC35" i="2"/>
  <c r="BC34" i="2"/>
  <c r="BC33" i="2"/>
  <c r="BC32" i="2"/>
  <c r="BC31" i="2"/>
  <c r="BC30" i="2"/>
  <c r="BC29" i="2"/>
  <c r="BC28" i="2"/>
  <c r="BC27" i="2"/>
  <c r="BC26" i="2"/>
  <c r="BC25" i="2"/>
  <c r="BC24" i="2"/>
  <c r="BC23" i="2"/>
  <c r="BC22" i="2"/>
  <c r="BC21" i="2"/>
  <c r="BC20" i="2"/>
  <c r="BC19" i="2"/>
  <c r="BC18" i="2"/>
  <c r="AE42" i="2"/>
  <c r="BC17" i="2"/>
  <c r="BC16" i="2"/>
  <c r="BC15" i="2"/>
  <c r="BC14" i="2"/>
  <c r="BC13" i="2"/>
  <c r="BC12" i="2"/>
  <c r="BC11" i="2"/>
  <c r="BI10" i="2"/>
  <c r="BI11" i="2" s="1"/>
  <c r="BA10" i="2"/>
  <c r="BA11" i="2" s="1"/>
  <c r="BA12" i="2" s="1"/>
  <c r="AU10" i="2"/>
  <c r="BC10" i="2" s="1"/>
  <c r="AS10" i="2"/>
  <c r="AS11" i="2" s="1"/>
  <c r="AI42" i="2"/>
  <c r="AG10" i="2"/>
  <c r="AG11" i="2" s="1"/>
  <c r="Y10" i="2"/>
  <c r="Q10" i="2"/>
  <c r="Q11" i="2" s="1"/>
  <c r="M10" i="2"/>
  <c r="M11" i="2" s="1"/>
  <c r="G42" i="2"/>
  <c r="X42" i="2" l="1"/>
  <c r="AU42" i="2"/>
  <c r="BK38" i="2"/>
  <c r="AZ38" i="2" s="1"/>
  <c r="BK39" i="2"/>
  <c r="AR39" i="2" s="1"/>
  <c r="BK22" i="2"/>
  <c r="T22" i="2" s="1"/>
  <c r="BK36" i="2"/>
  <c r="BK12" i="2"/>
  <c r="BK15" i="2"/>
  <c r="AF15" i="2" s="1"/>
  <c r="BK17" i="2"/>
  <c r="M12" i="2"/>
  <c r="AS12" i="2"/>
  <c r="Q12" i="2"/>
  <c r="AG12" i="2"/>
  <c r="BI12" i="2"/>
  <c r="BA13" i="2"/>
  <c r="I10" i="2"/>
  <c r="I11" i="2" s="1"/>
  <c r="AW10" i="2"/>
  <c r="AA42" i="2"/>
  <c r="AC10" i="2"/>
  <c r="BK20" i="2"/>
  <c r="AN20" i="2" s="1"/>
  <c r="AK10" i="2"/>
  <c r="BK14" i="2"/>
  <c r="AF14" i="2" s="1"/>
  <c r="BK24" i="2"/>
  <c r="AN24" i="2" s="1"/>
  <c r="BK27" i="2"/>
  <c r="BK28" i="2"/>
  <c r="BK23" i="2"/>
  <c r="BK26" i="2"/>
  <c r="BK31" i="2"/>
  <c r="BK32" i="2"/>
  <c r="AF32" i="2" s="1"/>
  <c r="BK33" i="2"/>
  <c r="BK34" i="2"/>
  <c r="BK29" i="2"/>
  <c r="BK35" i="2"/>
  <c r="BK37" i="2"/>
  <c r="BK40" i="2"/>
  <c r="T38" i="2" l="1"/>
  <c r="P17" i="2"/>
  <c r="AF17" i="2"/>
  <c r="AJ12" i="2"/>
  <c r="AF12" i="2"/>
  <c r="AZ36" i="2"/>
  <c r="AB36" i="2"/>
  <c r="T36" i="2"/>
  <c r="BD39" i="2"/>
  <c r="L22" i="2"/>
  <c r="AR22" i="2"/>
  <c r="AF22" i="2"/>
  <c r="BD22" i="2"/>
  <c r="AV38" i="2"/>
  <c r="BH38" i="2"/>
  <c r="AF39" i="2"/>
  <c r="AV39" i="2"/>
  <c r="BD38" i="2"/>
  <c r="BH39" i="2"/>
  <c r="AR38" i="2"/>
  <c r="AN39" i="2"/>
  <c r="AJ39" i="2"/>
  <c r="H38" i="2"/>
  <c r="AN38" i="2"/>
  <c r="AJ38" i="2"/>
  <c r="L38" i="2"/>
  <c r="T39" i="2"/>
  <c r="P38" i="2"/>
  <c r="AF38" i="2"/>
  <c r="AB38" i="2"/>
  <c r="AB22" i="2"/>
  <c r="AV22" i="2"/>
  <c r="H22" i="2"/>
  <c r="AV36" i="2"/>
  <c r="AJ36" i="2"/>
  <c r="AR36" i="2"/>
  <c r="BD36" i="2"/>
  <c r="BH36" i="2"/>
  <c r="AN36" i="2"/>
  <c r="AF36" i="2"/>
  <c r="L12" i="2"/>
  <c r="AN12" i="2"/>
  <c r="AR12" i="2"/>
  <c r="AV12" i="2"/>
  <c r="AZ12" i="2"/>
  <c r="BD12" i="2"/>
  <c r="H12" i="2"/>
  <c r="P12" i="2"/>
  <c r="AN17" i="2"/>
  <c r="BH17" i="2"/>
  <c r="T17" i="2"/>
  <c r="AJ17" i="2"/>
  <c r="BH12" i="2"/>
  <c r="AZ17" i="2"/>
  <c r="T12" i="2"/>
  <c r="AB12" i="2"/>
  <c r="AN33" i="2"/>
  <c r="T28" i="2"/>
  <c r="AN34" i="2"/>
  <c r="T32" i="2"/>
  <c r="T20" i="2"/>
  <c r="L36" i="2"/>
  <c r="T37" i="2"/>
  <c r="BD31" i="2"/>
  <c r="T24" i="2"/>
  <c r="AN22" i="2"/>
  <c r="T23" i="2"/>
  <c r="T26" i="2"/>
  <c r="H15" i="2"/>
  <c r="AB15" i="2"/>
  <c r="AJ15" i="2"/>
  <c r="AN29" i="2"/>
  <c r="BD28" i="2"/>
  <c r="T33" i="2"/>
  <c r="BD26" i="2"/>
  <c r="P39" i="2"/>
  <c r="H39" i="2"/>
  <c r="L39" i="2"/>
  <c r="AB39" i="2"/>
  <c r="AZ39" i="2"/>
  <c r="BD37" i="2"/>
  <c r="BD33" i="2"/>
  <c r="AV15" i="2"/>
  <c r="BD15" i="2"/>
  <c r="P15" i="2"/>
  <c r="AZ15" i="2"/>
  <c r="AN28" i="2"/>
  <c r="BH15" i="2"/>
  <c r="AR15" i="2"/>
  <c r="T15" i="2"/>
  <c r="L15" i="2"/>
  <c r="AN15" i="2"/>
  <c r="AN31" i="2"/>
  <c r="AN26" i="2"/>
  <c r="AF20" i="2"/>
  <c r="BH22" i="2"/>
  <c r="P22" i="2"/>
  <c r="AJ22" i="2"/>
  <c r="AZ22" i="2"/>
  <c r="L17" i="2"/>
  <c r="AV17" i="2"/>
  <c r="AB17" i="2"/>
  <c r="AR17" i="2"/>
  <c r="BD17" i="2"/>
  <c r="H17" i="2"/>
  <c r="H36" i="2"/>
  <c r="P36" i="2"/>
  <c r="BD23" i="2"/>
  <c r="AF27" i="2"/>
  <c r="AN27" i="2"/>
  <c r="T27" i="2"/>
  <c r="AZ14" i="2"/>
  <c r="AR14" i="2"/>
  <c r="AJ14" i="2"/>
  <c r="P14" i="2"/>
  <c r="AV14" i="2"/>
  <c r="T14" i="2"/>
  <c r="H14" i="2"/>
  <c r="BH14" i="2"/>
  <c r="L14" i="2"/>
  <c r="BD14" i="2"/>
  <c r="AB14" i="2"/>
  <c r="I12" i="2"/>
  <c r="AZ40" i="2"/>
  <c r="AR40" i="2"/>
  <c r="AJ40" i="2"/>
  <c r="AB40" i="2"/>
  <c r="L40" i="2"/>
  <c r="BH40" i="2"/>
  <c r="AN40" i="2"/>
  <c r="AF40" i="2"/>
  <c r="P40" i="2"/>
  <c r="AV40" i="2"/>
  <c r="H40" i="2"/>
  <c r="BH35" i="2"/>
  <c r="AV35" i="2"/>
  <c r="AN35" i="2"/>
  <c r="AF35" i="2"/>
  <c r="P35" i="2"/>
  <c r="H35" i="2"/>
  <c r="AZ35" i="2"/>
  <c r="AR35" i="2"/>
  <c r="AJ35" i="2"/>
  <c r="AB35" i="2"/>
  <c r="L35" i="2"/>
  <c r="BD34" i="2"/>
  <c r="AZ34" i="2"/>
  <c r="AR34" i="2"/>
  <c r="AJ34" i="2"/>
  <c r="L34" i="2"/>
  <c r="BH34" i="2"/>
  <c r="AV34" i="2"/>
  <c r="AB34" i="2"/>
  <c r="P34" i="2"/>
  <c r="H34" i="2"/>
  <c r="BD32" i="2"/>
  <c r="AZ32" i="2"/>
  <c r="AR32" i="2"/>
  <c r="AJ32" i="2"/>
  <c r="BH32" i="2"/>
  <c r="AV32" i="2"/>
  <c r="AB32" i="2"/>
  <c r="P32" i="2"/>
  <c r="H32" i="2"/>
  <c r="L32" i="2"/>
  <c r="BD29" i="2"/>
  <c r="T40" i="2"/>
  <c r="AZ37" i="2"/>
  <c r="AR37" i="2"/>
  <c r="AJ37" i="2"/>
  <c r="AB37" i="2"/>
  <c r="L37" i="2"/>
  <c r="AV37" i="2"/>
  <c r="H37" i="2"/>
  <c r="BH37" i="2"/>
  <c r="AN37" i="2"/>
  <c r="AF37" i="2"/>
  <c r="P37" i="2"/>
  <c r="BD35" i="2"/>
  <c r="AF34" i="2"/>
  <c r="AN32" i="2"/>
  <c r="BK30" i="2"/>
  <c r="BH33" i="2"/>
  <c r="AV33" i="2"/>
  <c r="AF33" i="2"/>
  <c r="AB33" i="2"/>
  <c r="P33" i="2"/>
  <c r="H33" i="2"/>
  <c r="AZ33" i="2"/>
  <c r="AR33" i="2"/>
  <c r="AJ33" i="2"/>
  <c r="L33" i="2"/>
  <c r="BH26" i="2"/>
  <c r="AV26" i="2"/>
  <c r="AF26" i="2"/>
  <c r="AB26" i="2"/>
  <c r="AZ26" i="2"/>
  <c r="AR26" i="2"/>
  <c r="AJ26" i="2"/>
  <c r="L26" i="2"/>
  <c r="P26" i="2"/>
  <c r="H26" i="2"/>
  <c r="BK25" i="2"/>
  <c r="AZ23" i="2"/>
  <c r="AR23" i="2"/>
  <c r="AJ23" i="2"/>
  <c r="AV23" i="2"/>
  <c r="AF23" i="2"/>
  <c r="L23" i="2"/>
  <c r="BH23" i="2"/>
  <c r="AB23" i="2"/>
  <c r="P23" i="2"/>
  <c r="BH28" i="2"/>
  <c r="AV28" i="2"/>
  <c r="AF28" i="2"/>
  <c r="AB28" i="2"/>
  <c r="P28" i="2"/>
  <c r="H28" i="2"/>
  <c r="AZ28" i="2"/>
  <c r="AR28" i="2"/>
  <c r="AJ28" i="2"/>
  <c r="L28" i="2"/>
  <c r="BH24" i="2"/>
  <c r="AV24" i="2"/>
  <c r="AB24" i="2"/>
  <c r="L24" i="2"/>
  <c r="BD24" i="2"/>
  <c r="AR24" i="2"/>
  <c r="H24" i="2"/>
  <c r="AZ24" i="2"/>
  <c r="AJ24" i="2"/>
  <c r="P24" i="2"/>
  <c r="AF24" i="2"/>
  <c r="AN23" i="2"/>
  <c r="H23" i="2"/>
  <c r="BK16" i="2"/>
  <c r="AF16" i="2" s="1"/>
  <c r="BK13" i="2"/>
  <c r="AF13" i="2" s="1"/>
  <c r="BK11" i="2"/>
  <c r="AM42" i="2"/>
  <c r="AO10" i="2"/>
  <c r="S42" i="2"/>
  <c r="U10" i="2"/>
  <c r="U11" i="2" s="1"/>
  <c r="BK10" i="2"/>
  <c r="AN10" i="2" s="1"/>
  <c r="AW11" i="2"/>
  <c r="BI13" i="2"/>
  <c r="AG13" i="2"/>
  <c r="AS13" i="2"/>
  <c r="BD40" i="2"/>
  <c r="T35" i="2"/>
  <c r="AZ29" i="2"/>
  <c r="AR29" i="2"/>
  <c r="AJ29" i="2"/>
  <c r="AV29" i="2"/>
  <c r="AF29" i="2"/>
  <c r="L29" i="2"/>
  <c r="BH29" i="2"/>
  <c r="AB29" i="2"/>
  <c r="P29" i="2"/>
  <c r="H29" i="2"/>
  <c r="T34" i="2"/>
  <c r="AZ31" i="2"/>
  <c r="AR31" i="2"/>
  <c r="AJ31" i="2"/>
  <c r="L31" i="2"/>
  <c r="BH31" i="2"/>
  <c r="AB31" i="2"/>
  <c r="T31" i="2"/>
  <c r="P31" i="2"/>
  <c r="AV31" i="2"/>
  <c r="AF31" i="2"/>
  <c r="H31" i="2"/>
  <c r="T29" i="2"/>
  <c r="BD27" i="2"/>
  <c r="AZ27" i="2"/>
  <c r="AR27" i="2"/>
  <c r="AJ27" i="2"/>
  <c r="L27" i="2"/>
  <c r="BH27" i="2"/>
  <c r="AV27" i="2"/>
  <c r="AB27" i="2"/>
  <c r="P27" i="2"/>
  <c r="H27" i="2"/>
  <c r="BK21" i="2"/>
  <c r="BK19" i="2"/>
  <c r="BK18" i="2"/>
  <c r="T18" i="2" s="1"/>
  <c r="AN14" i="2"/>
  <c r="AK11" i="2"/>
  <c r="BD20" i="2"/>
  <c r="AZ20" i="2"/>
  <c r="AR20" i="2"/>
  <c r="AJ20" i="2"/>
  <c r="P20" i="2"/>
  <c r="H20" i="2"/>
  <c r="BH20" i="2"/>
  <c r="AV20" i="2"/>
  <c r="AB20" i="2"/>
  <c r="L20" i="2"/>
  <c r="BC42" i="2"/>
  <c r="BE10" i="2"/>
  <c r="BA14" i="2"/>
  <c r="Q13" i="2"/>
  <c r="AC11" i="2"/>
  <c r="M13" i="2"/>
  <c r="T11" i="2" l="1"/>
  <c r="AF11" i="2"/>
  <c r="T25" i="2"/>
  <c r="AN13" i="2"/>
  <c r="AN16" i="2"/>
  <c r="T30" i="2"/>
  <c r="T19" i="2"/>
  <c r="BD10" i="2"/>
  <c r="T13" i="2"/>
  <c r="T16" i="2"/>
  <c r="Q14" i="2"/>
  <c r="AK12" i="2"/>
  <c r="BH21" i="2"/>
  <c r="AV21" i="2"/>
  <c r="AF21" i="2"/>
  <c r="AB21" i="2"/>
  <c r="L21" i="2"/>
  <c r="AZ21" i="2"/>
  <c r="AR21" i="2"/>
  <c r="AJ21" i="2"/>
  <c r="P21" i="2"/>
  <c r="AN21" i="2"/>
  <c r="BD21" i="2"/>
  <c r="H21" i="2"/>
  <c r="M14" i="2"/>
  <c r="BE11" i="2"/>
  <c r="BD18" i="2"/>
  <c r="AZ18" i="2"/>
  <c r="AR18" i="2"/>
  <c r="AJ18" i="2"/>
  <c r="L18" i="2"/>
  <c r="BH18" i="2"/>
  <c r="AV18" i="2"/>
  <c r="P18" i="2"/>
  <c r="AN18" i="2"/>
  <c r="AF18" i="2"/>
  <c r="H18" i="2"/>
  <c r="AB18" i="2"/>
  <c r="BH19" i="2"/>
  <c r="AV19" i="2"/>
  <c r="AF19" i="2"/>
  <c r="AB19" i="2"/>
  <c r="L19" i="2"/>
  <c r="AZ19" i="2"/>
  <c r="AR19" i="2"/>
  <c r="AJ19" i="2"/>
  <c r="P19" i="2"/>
  <c r="AN19" i="2"/>
  <c r="BD19" i="2"/>
  <c r="H19" i="2"/>
  <c r="T21" i="2"/>
  <c r="T10" i="2"/>
  <c r="AZ11" i="2"/>
  <c r="AR11" i="2"/>
  <c r="AJ11" i="2"/>
  <c r="P11" i="2"/>
  <c r="BH11" i="2"/>
  <c r="AV11" i="2"/>
  <c r="L11" i="2"/>
  <c r="H11" i="2"/>
  <c r="AB11" i="2"/>
  <c r="BD11" i="2"/>
  <c r="AN11" i="2"/>
  <c r="BH13" i="2"/>
  <c r="AV13" i="2"/>
  <c r="L13" i="2"/>
  <c r="AZ13" i="2"/>
  <c r="AR13" i="2"/>
  <c r="AJ13" i="2"/>
  <c r="P13" i="2"/>
  <c r="H13" i="2"/>
  <c r="AB13" i="2"/>
  <c r="BD13" i="2"/>
  <c r="AZ16" i="2"/>
  <c r="AR16" i="2"/>
  <c r="AJ16" i="2"/>
  <c r="P16" i="2"/>
  <c r="BH16" i="2"/>
  <c r="AV16" i="2"/>
  <c r="L16" i="2"/>
  <c r="H16" i="2"/>
  <c r="AB16" i="2"/>
  <c r="BD16" i="2"/>
  <c r="AZ25" i="2"/>
  <c r="AR25" i="2"/>
  <c r="AJ25" i="2"/>
  <c r="P25" i="2"/>
  <c r="BH25" i="2"/>
  <c r="AB25" i="2"/>
  <c r="L25" i="2"/>
  <c r="AV25" i="2"/>
  <c r="AF25" i="2"/>
  <c r="H25" i="2"/>
  <c r="AN25" i="2"/>
  <c r="BD25" i="2"/>
  <c r="AC12" i="2"/>
  <c r="BA15" i="2"/>
  <c r="AS14" i="2"/>
  <c r="AG14" i="2"/>
  <c r="BI14" i="2"/>
  <c r="AW12" i="2"/>
  <c r="BK42" i="2"/>
  <c r="T42" i="2" s="1"/>
  <c r="AZ10" i="2"/>
  <c r="AB10" i="2"/>
  <c r="BL10" i="2"/>
  <c r="V10" i="2" s="1"/>
  <c r="BH10" i="2"/>
  <c r="AR10" i="2"/>
  <c r="AF10" i="2"/>
  <c r="X10" i="2"/>
  <c r="P10" i="2"/>
  <c r="L10" i="2"/>
  <c r="H10" i="2"/>
  <c r="AJ10" i="2"/>
  <c r="AV10" i="2"/>
  <c r="U12" i="2"/>
  <c r="AO11" i="2"/>
  <c r="BH30" i="2"/>
  <c r="AV30" i="2"/>
  <c r="AB30" i="2"/>
  <c r="P30" i="2"/>
  <c r="H30" i="2"/>
  <c r="AZ30" i="2"/>
  <c r="AJ30" i="2"/>
  <c r="L30" i="2"/>
  <c r="BD30" i="2"/>
  <c r="AR30" i="2"/>
  <c r="AN30" i="2"/>
  <c r="AF30" i="2"/>
  <c r="I13" i="2"/>
  <c r="AP10" i="2" l="1"/>
  <c r="AC13" i="2"/>
  <c r="I14" i="2"/>
  <c r="U13" i="2"/>
  <c r="N10" i="2"/>
  <c r="BB10" i="2"/>
  <c r="Z10" i="2"/>
  <c r="AT10" i="2"/>
  <c r="R10" i="2"/>
  <c r="AH10" i="2"/>
  <c r="BJ10" i="2"/>
  <c r="AD10" i="2"/>
  <c r="AX10" i="2"/>
  <c r="AL10" i="2"/>
  <c r="J10" i="2"/>
  <c r="BL42" i="2"/>
  <c r="AV42" i="2"/>
  <c r="AZ42" i="2"/>
  <c r="AR42" i="2"/>
  <c r="AJ42" i="2"/>
  <c r="H42" i="2"/>
  <c r="AF42" i="2"/>
  <c r="BH42" i="2"/>
  <c r="AB42" i="2"/>
  <c r="AW13" i="2"/>
  <c r="BI15" i="2"/>
  <c r="AG15" i="2"/>
  <c r="AS15" i="2"/>
  <c r="BA16" i="2"/>
  <c r="BL11" i="2"/>
  <c r="BF11" i="2" s="1"/>
  <c r="BD42" i="2"/>
  <c r="BF10" i="2"/>
  <c r="M15" i="2"/>
  <c r="AO12" i="2"/>
  <c r="BE12" i="2"/>
  <c r="AK13" i="2"/>
  <c r="Q15" i="2"/>
  <c r="AP11" i="2" l="1"/>
  <c r="Q16" i="2"/>
  <c r="AK14" i="2"/>
  <c r="M16" i="2"/>
  <c r="BI16" i="2"/>
  <c r="BE13" i="2"/>
  <c r="AO13" i="2"/>
  <c r="AT11" i="2"/>
  <c r="AH11" i="2"/>
  <c r="BJ11" i="2"/>
  <c r="BL12" i="2"/>
  <c r="BB11" i="2"/>
  <c r="N11" i="2"/>
  <c r="R11" i="2"/>
  <c r="J11" i="2"/>
  <c r="V11" i="2"/>
  <c r="AL11" i="2"/>
  <c r="AD11" i="2"/>
  <c r="AX11" i="2"/>
  <c r="BA17" i="2"/>
  <c r="AS16" i="2"/>
  <c r="AG16" i="2"/>
  <c r="AW14" i="2"/>
  <c r="U14" i="2"/>
  <c r="I15" i="2"/>
  <c r="AC14" i="2"/>
  <c r="AC15" i="2" l="1"/>
  <c r="I16" i="2"/>
  <c r="U15" i="2"/>
  <c r="AO14" i="2"/>
  <c r="BE14" i="2"/>
  <c r="Q17" i="2"/>
  <c r="AW15" i="2"/>
  <c r="AG17" i="2"/>
  <c r="AS17" i="2"/>
  <c r="BA18" i="2"/>
  <c r="BB12" i="2"/>
  <c r="N12" i="2"/>
  <c r="BJ12" i="2"/>
  <c r="AH12" i="2"/>
  <c r="AT12" i="2"/>
  <c r="R12" i="2"/>
  <c r="BL13" i="2"/>
  <c r="J12" i="2"/>
  <c r="AL12" i="2"/>
  <c r="AD12" i="2"/>
  <c r="V12" i="2"/>
  <c r="AX12" i="2"/>
  <c r="AP12" i="2"/>
  <c r="BF12" i="2"/>
  <c r="BI17" i="2"/>
  <c r="M17" i="2"/>
  <c r="AK15" i="2"/>
  <c r="AK16" i="2" l="1"/>
  <c r="BI18" i="2"/>
  <c r="M18" i="2"/>
  <c r="BL14" i="2"/>
  <c r="AP14" i="2" s="1"/>
  <c r="BB13" i="2"/>
  <c r="N13" i="2"/>
  <c r="R13" i="2"/>
  <c r="AT13" i="2"/>
  <c r="AH13" i="2"/>
  <c r="BJ13" i="2"/>
  <c r="J13" i="2"/>
  <c r="AL13" i="2"/>
  <c r="AX13" i="2"/>
  <c r="V13" i="2"/>
  <c r="AD13" i="2"/>
  <c r="BA19" i="2"/>
  <c r="BF13" i="2"/>
  <c r="AO15" i="2"/>
  <c r="AC16" i="2"/>
  <c r="AS18" i="2"/>
  <c r="AG18" i="2"/>
  <c r="AW16" i="2"/>
  <c r="Q18" i="2"/>
  <c r="BE15" i="2"/>
  <c r="AP13" i="2"/>
  <c r="U16" i="2"/>
  <c r="I17" i="2"/>
  <c r="BF14" i="2" l="1"/>
  <c r="I18" i="2"/>
  <c r="U17" i="2"/>
  <c r="Q19" i="2"/>
  <c r="AW17" i="2"/>
  <c r="AC17" i="2"/>
  <c r="AO16" i="2"/>
  <c r="BL15" i="2"/>
  <c r="AP15" i="2" s="1"/>
  <c r="BB14" i="2"/>
  <c r="BJ14" i="2"/>
  <c r="N14" i="2"/>
  <c r="R14" i="2"/>
  <c r="AH14" i="2"/>
  <c r="AT14" i="2"/>
  <c r="J14" i="2"/>
  <c r="AD14" i="2"/>
  <c r="V14" i="2"/>
  <c r="AX14" i="2"/>
  <c r="AL14" i="2"/>
  <c r="BE16" i="2"/>
  <c r="AG19" i="2"/>
  <c r="AS19" i="2"/>
  <c r="BA20" i="2"/>
  <c r="M19" i="2"/>
  <c r="BI19" i="2"/>
  <c r="AK17" i="2"/>
  <c r="BF15" i="2" l="1"/>
  <c r="AK18" i="2"/>
  <c r="AS20" i="2"/>
  <c r="M20" i="2"/>
  <c r="AG20" i="2"/>
  <c r="BE17" i="2"/>
  <c r="BL16" i="2"/>
  <c r="BF16" i="2" s="1"/>
  <c r="BB15" i="2"/>
  <c r="R15" i="2"/>
  <c r="N15" i="2"/>
  <c r="BJ15" i="2"/>
  <c r="AT15" i="2"/>
  <c r="AH15" i="2"/>
  <c r="J15" i="2"/>
  <c r="AD15" i="2"/>
  <c r="AX15" i="2"/>
  <c r="V15" i="2"/>
  <c r="AL15" i="2"/>
  <c r="AO17" i="2"/>
  <c r="AC18" i="2"/>
  <c r="U18" i="2"/>
  <c r="I19" i="2"/>
  <c r="BI20" i="2"/>
  <c r="BA21" i="2"/>
  <c r="AW18" i="2"/>
  <c r="Q20" i="2"/>
  <c r="AP16" i="2" l="1"/>
  <c r="Q21" i="2"/>
  <c r="BA22" i="2"/>
  <c r="BI21" i="2"/>
  <c r="I20" i="2"/>
  <c r="U19" i="2"/>
  <c r="AC19" i="2"/>
  <c r="AO18" i="2"/>
  <c r="BL17" i="2"/>
  <c r="AP17" i="2" s="1"/>
  <c r="BB16" i="2"/>
  <c r="R16" i="2"/>
  <c r="AH16" i="2"/>
  <c r="AT16" i="2"/>
  <c r="BJ16" i="2"/>
  <c r="N16" i="2"/>
  <c r="J16" i="2"/>
  <c r="V16" i="2"/>
  <c r="AD16" i="2"/>
  <c r="AX16" i="2"/>
  <c r="AL16" i="2"/>
  <c r="BE18" i="2"/>
  <c r="AG21" i="2"/>
  <c r="AK19" i="2"/>
  <c r="AW19" i="2"/>
  <c r="M21" i="2"/>
  <c r="AS21" i="2"/>
  <c r="BF17" i="2" l="1"/>
  <c r="AS22" i="2"/>
  <c r="AG22" i="2"/>
  <c r="BE19" i="2"/>
  <c r="BL18" i="2"/>
  <c r="BF18" i="2" s="1"/>
  <c r="BB17" i="2"/>
  <c r="BJ17" i="2"/>
  <c r="N17" i="2"/>
  <c r="AT17" i="2"/>
  <c r="AH17" i="2"/>
  <c r="R17" i="2"/>
  <c r="J17" i="2"/>
  <c r="AL17" i="2"/>
  <c r="AD17" i="2"/>
  <c r="V17" i="2"/>
  <c r="AX17" i="2"/>
  <c r="AO19" i="2"/>
  <c r="U20" i="2"/>
  <c r="I21" i="2"/>
  <c r="M22" i="2"/>
  <c r="AW20" i="2"/>
  <c r="AK20" i="2"/>
  <c r="AC20" i="2"/>
  <c r="BI22" i="2"/>
  <c r="BA23" i="2"/>
  <c r="Q22" i="2"/>
  <c r="AP18" i="2" l="1"/>
  <c r="Q23" i="2"/>
  <c r="BA24" i="2"/>
  <c r="AC21" i="2"/>
  <c r="AW21" i="2"/>
  <c r="M23" i="2"/>
  <c r="I22" i="2"/>
  <c r="U21" i="2"/>
  <c r="AO20" i="2"/>
  <c r="BL19" i="2"/>
  <c r="BF19" i="2" s="1"/>
  <c r="BB18" i="2"/>
  <c r="R18" i="2"/>
  <c r="AT18" i="2"/>
  <c r="BJ18" i="2"/>
  <c r="AH18" i="2"/>
  <c r="N18" i="2"/>
  <c r="J18" i="2"/>
  <c r="V18" i="2"/>
  <c r="AD18" i="2"/>
  <c r="AL18" i="2"/>
  <c r="AX18" i="2"/>
  <c r="BE20" i="2"/>
  <c r="AG23" i="2"/>
  <c r="BI23" i="2"/>
  <c r="AK21" i="2"/>
  <c r="AS23" i="2"/>
  <c r="AP19" i="2" l="1"/>
  <c r="AK22" i="2"/>
  <c r="AS24" i="2"/>
  <c r="AG24" i="2"/>
  <c r="BE21" i="2"/>
  <c r="BL20" i="2"/>
  <c r="BF20" i="2" s="1"/>
  <c r="BB19" i="2"/>
  <c r="AH19" i="2"/>
  <c r="AT19" i="2"/>
  <c r="N19" i="2"/>
  <c r="BJ19" i="2"/>
  <c r="R19" i="2"/>
  <c r="J19" i="2"/>
  <c r="V19" i="2"/>
  <c r="AX19" i="2"/>
  <c r="AL19" i="2"/>
  <c r="AD19" i="2"/>
  <c r="AO21" i="2"/>
  <c r="U22" i="2"/>
  <c r="I23" i="2"/>
  <c r="BI24" i="2"/>
  <c r="M24" i="2"/>
  <c r="AW22" i="2"/>
  <c r="AC22" i="2"/>
  <c r="BA25" i="2"/>
  <c r="Q24" i="2"/>
  <c r="AP20" i="2" l="1"/>
  <c r="AC23" i="2"/>
  <c r="AW23" i="2"/>
  <c r="M25" i="2"/>
  <c r="BA26" i="2"/>
  <c r="I24" i="2"/>
  <c r="U23" i="2"/>
  <c r="AO22" i="2"/>
  <c r="BL21" i="2"/>
  <c r="AP21" i="2" s="1"/>
  <c r="BB20" i="2"/>
  <c r="AH20" i="2"/>
  <c r="R20" i="2"/>
  <c r="BJ20" i="2"/>
  <c r="N20" i="2"/>
  <c r="AT20" i="2"/>
  <c r="J20" i="2"/>
  <c r="V20" i="2"/>
  <c r="AD20" i="2"/>
  <c r="AX20" i="2"/>
  <c r="AL20" i="2"/>
  <c r="BE22" i="2"/>
  <c r="Q25" i="2"/>
  <c r="BI25" i="2"/>
  <c r="AG25" i="2"/>
  <c r="AS25" i="2"/>
  <c r="AK23" i="2"/>
  <c r="BF21" i="2" l="1"/>
  <c r="BI26" i="2"/>
  <c r="AG26" i="2"/>
  <c r="BE23" i="2"/>
  <c r="BL22" i="2"/>
  <c r="AP22" i="2" s="1"/>
  <c r="BB21" i="2"/>
  <c r="AH21" i="2"/>
  <c r="AT21" i="2"/>
  <c r="N21" i="2"/>
  <c r="BJ21" i="2"/>
  <c r="R21" i="2"/>
  <c r="J21" i="2"/>
  <c r="V21" i="2"/>
  <c r="AL21" i="2"/>
  <c r="AX21" i="2"/>
  <c r="AD21" i="2"/>
  <c r="AO23" i="2"/>
  <c r="U24" i="2"/>
  <c r="I25" i="2"/>
  <c r="AK24" i="2"/>
  <c r="AS26" i="2"/>
  <c r="Q26" i="2"/>
  <c r="BA27" i="2"/>
  <c r="M26" i="2"/>
  <c r="AW24" i="2"/>
  <c r="AC24" i="2"/>
  <c r="I26" i="2" l="1"/>
  <c r="AO24" i="2"/>
  <c r="BL23" i="2"/>
  <c r="BF23" i="2" s="1"/>
  <c r="BB22" i="2"/>
  <c r="AH22" i="2"/>
  <c r="R22" i="2"/>
  <c r="N22" i="2"/>
  <c r="BJ22" i="2"/>
  <c r="AT22" i="2"/>
  <c r="J22" i="2"/>
  <c r="V22" i="2"/>
  <c r="AD22" i="2"/>
  <c r="AX22" i="2"/>
  <c r="AL22" i="2"/>
  <c r="BF22" i="2"/>
  <c r="AG27" i="2"/>
  <c r="AC25" i="2"/>
  <c r="AW25" i="2"/>
  <c r="M27" i="2"/>
  <c r="BA28" i="2"/>
  <c r="Q27" i="2"/>
  <c r="AS27" i="2"/>
  <c r="AK25" i="2"/>
  <c r="U25" i="2"/>
  <c r="BE24" i="2"/>
  <c r="BI27" i="2"/>
  <c r="BI28" i="2" l="1"/>
  <c r="AS28" i="2"/>
  <c r="Q28" i="2"/>
  <c r="BA29" i="2"/>
  <c r="M28" i="2"/>
  <c r="AW26" i="2"/>
  <c r="AC26" i="2"/>
  <c r="BL24" i="2"/>
  <c r="AP24" i="2" s="1"/>
  <c r="BB23" i="2"/>
  <c r="AT23" i="2"/>
  <c r="AH23" i="2"/>
  <c r="BJ23" i="2"/>
  <c r="N23" i="2"/>
  <c r="R23" i="2"/>
  <c r="J23" i="2"/>
  <c r="V23" i="2"/>
  <c r="AL23" i="2"/>
  <c r="AX23" i="2"/>
  <c r="AD23" i="2"/>
  <c r="AO25" i="2"/>
  <c r="I27" i="2"/>
  <c r="BE25" i="2"/>
  <c r="U26" i="2"/>
  <c r="AK26" i="2"/>
  <c r="AG28" i="2"/>
  <c r="AP23" i="2"/>
  <c r="BF24" i="2" l="1"/>
  <c r="AK27" i="2"/>
  <c r="I28" i="2"/>
  <c r="AG29" i="2"/>
  <c r="U27" i="2"/>
  <c r="BE26" i="2"/>
  <c r="AO26" i="2"/>
  <c r="BL25" i="2"/>
  <c r="BB24" i="2"/>
  <c r="N24" i="2"/>
  <c r="R24" i="2"/>
  <c r="BJ24" i="2"/>
  <c r="AT24" i="2"/>
  <c r="AH24" i="2"/>
  <c r="J24" i="2"/>
  <c r="AD24" i="2"/>
  <c r="AX24" i="2"/>
  <c r="AL24" i="2"/>
  <c r="V24" i="2"/>
  <c r="AC27" i="2"/>
  <c r="AW27" i="2"/>
  <c r="M29" i="2"/>
  <c r="BA30" i="2"/>
  <c r="Q29" i="2"/>
  <c r="AS29" i="2"/>
  <c r="BI29" i="2"/>
  <c r="BI30" i="2" l="1"/>
  <c r="BL26" i="2"/>
  <c r="AP26" i="2" s="1"/>
  <c r="BB25" i="2"/>
  <c r="AH25" i="2"/>
  <c r="BJ25" i="2"/>
  <c r="AT25" i="2"/>
  <c r="R25" i="2"/>
  <c r="N25" i="2"/>
  <c r="J25" i="2"/>
  <c r="V25" i="2"/>
  <c r="AX25" i="2"/>
  <c r="AD25" i="2"/>
  <c r="AL25" i="2"/>
  <c r="AO27" i="2"/>
  <c r="BE27" i="2"/>
  <c r="U28" i="2"/>
  <c r="AG30" i="2"/>
  <c r="AS30" i="2"/>
  <c r="Q30" i="2"/>
  <c r="BA31" i="2"/>
  <c r="M30" i="2"/>
  <c r="AW28" i="2"/>
  <c r="AC28" i="2"/>
  <c r="AP25" i="2"/>
  <c r="BF25" i="2"/>
  <c r="I29" i="2"/>
  <c r="AK28" i="2"/>
  <c r="BF26" i="2" l="1"/>
  <c r="AK29" i="2"/>
  <c r="AG31" i="2"/>
  <c r="U29" i="2"/>
  <c r="BE28" i="2"/>
  <c r="AO28" i="2"/>
  <c r="BL27" i="2"/>
  <c r="BB26" i="2"/>
  <c r="N26" i="2"/>
  <c r="R26" i="2"/>
  <c r="AT26" i="2"/>
  <c r="BJ26" i="2"/>
  <c r="AH26" i="2"/>
  <c r="J26" i="2"/>
  <c r="V26" i="2"/>
  <c r="AL26" i="2"/>
  <c r="AD26" i="2"/>
  <c r="AX26" i="2"/>
  <c r="BI31" i="2"/>
  <c r="I30" i="2"/>
  <c r="AC29" i="2"/>
  <c r="AW29" i="2"/>
  <c r="M31" i="2"/>
  <c r="BA32" i="2"/>
  <c r="Q31" i="2"/>
  <c r="AS31" i="2"/>
  <c r="BL28" i="2" l="1"/>
  <c r="AP28" i="2" s="1"/>
  <c r="BB27" i="2"/>
  <c r="BJ27" i="2"/>
  <c r="AT27" i="2"/>
  <c r="R27" i="2"/>
  <c r="N27" i="2"/>
  <c r="AH27" i="2"/>
  <c r="J27" i="2"/>
  <c r="V27" i="2"/>
  <c r="AX27" i="2"/>
  <c r="AD27" i="2"/>
  <c r="AL27" i="2"/>
  <c r="AO29" i="2"/>
  <c r="BE29" i="2"/>
  <c r="U30" i="2"/>
  <c r="AG32" i="2"/>
  <c r="AS32" i="2"/>
  <c r="Q32" i="2"/>
  <c r="BA33" i="2"/>
  <c r="M32" i="2"/>
  <c r="AW30" i="2"/>
  <c r="AC30" i="2"/>
  <c r="I31" i="2"/>
  <c r="BI32" i="2"/>
  <c r="AP27" i="2"/>
  <c r="BF27" i="2"/>
  <c r="AK30" i="2"/>
  <c r="BF28" i="2" l="1"/>
  <c r="AK31" i="2"/>
  <c r="I32" i="2"/>
  <c r="M33" i="2"/>
  <c r="AC31" i="2"/>
  <c r="AG33" i="2"/>
  <c r="U31" i="2"/>
  <c r="AO30" i="2"/>
  <c r="BL29" i="2"/>
  <c r="BF29" i="2" s="1"/>
  <c r="BB28" i="2"/>
  <c r="AH28" i="2"/>
  <c r="N28" i="2"/>
  <c r="R28" i="2"/>
  <c r="AT28" i="2"/>
  <c r="BJ28" i="2"/>
  <c r="J28" i="2"/>
  <c r="V28" i="2"/>
  <c r="AL28" i="2"/>
  <c r="AD28" i="2"/>
  <c r="AX28" i="2"/>
  <c r="BI33" i="2"/>
  <c r="AW31" i="2"/>
  <c r="BA34" i="2"/>
  <c r="Q33" i="2"/>
  <c r="AS33" i="2"/>
  <c r="BE30" i="2"/>
  <c r="BE31" i="2" l="1"/>
  <c r="BL30" i="2"/>
  <c r="AP30" i="2" s="1"/>
  <c r="BB29" i="2"/>
  <c r="BJ29" i="2"/>
  <c r="AH29" i="2"/>
  <c r="AT29" i="2"/>
  <c r="R29" i="2"/>
  <c r="N29" i="2"/>
  <c r="J29" i="2"/>
  <c r="V29" i="2"/>
  <c r="AX29" i="2"/>
  <c r="AL29" i="2"/>
  <c r="AD29" i="2"/>
  <c r="AO31" i="2"/>
  <c r="U32" i="2"/>
  <c r="AG34" i="2"/>
  <c r="AS34" i="2"/>
  <c r="Q34" i="2"/>
  <c r="BA35" i="2"/>
  <c r="AW32" i="2"/>
  <c r="BI34" i="2"/>
  <c r="AP29" i="2"/>
  <c r="AC32" i="2"/>
  <c r="M34" i="2"/>
  <c r="I33" i="2"/>
  <c r="AK32" i="2"/>
  <c r="AK33" i="2" l="1"/>
  <c r="I34" i="2"/>
  <c r="M35" i="2"/>
  <c r="AC33" i="2"/>
  <c r="AG35" i="2"/>
  <c r="U33" i="2"/>
  <c r="AO32" i="2"/>
  <c r="BL31" i="2"/>
  <c r="AP31" i="2" s="1"/>
  <c r="BB30" i="2"/>
  <c r="AH30" i="2"/>
  <c r="BJ30" i="2"/>
  <c r="N30" i="2"/>
  <c r="R30" i="2"/>
  <c r="AT30" i="2"/>
  <c r="J30" i="2"/>
  <c r="V30" i="2"/>
  <c r="AL30" i="2"/>
  <c r="AD30" i="2"/>
  <c r="AX30" i="2"/>
  <c r="BE32" i="2"/>
  <c r="BI35" i="2"/>
  <c r="AW33" i="2"/>
  <c r="BA36" i="2"/>
  <c r="Q35" i="2"/>
  <c r="AS35" i="2"/>
  <c r="BF30" i="2"/>
  <c r="BF31" i="2" l="1"/>
  <c r="BE33" i="2"/>
  <c r="BL32" i="2"/>
  <c r="AP32" i="2" s="1"/>
  <c r="BB31" i="2"/>
  <c r="AH31" i="2"/>
  <c r="AT31" i="2"/>
  <c r="R31" i="2"/>
  <c r="N31" i="2"/>
  <c r="BJ31" i="2"/>
  <c r="J31" i="2"/>
  <c r="V31" i="2"/>
  <c r="AX31" i="2"/>
  <c r="AD31" i="2"/>
  <c r="AL31" i="2"/>
  <c r="AO33" i="2"/>
  <c r="U34" i="2"/>
  <c r="AS36" i="2"/>
  <c r="Q36" i="2"/>
  <c r="BA37" i="2"/>
  <c r="AW34" i="2"/>
  <c r="BI36" i="2"/>
  <c r="AG36" i="2"/>
  <c r="AC34" i="2"/>
  <c r="M36" i="2"/>
  <c r="I35" i="2"/>
  <c r="AK34" i="2"/>
  <c r="I36" i="2" l="1"/>
  <c r="AC35" i="2"/>
  <c r="U35" i="2"/>
  <c r="AO34" i="2"/>
  <c r="BL33" i="2"/>
  <c r="BB32" i="2"/>
  <c r="AH32" i="2"/>
  <c r="N32" i="2"/>
  <c r="BJ32" i="2"/>
  <c r="R32" i="2"/>
  <c r="AT32" i="2"/>
  <c r="J32" i="2"/>
  <c r="V32" i="2"/>
  <c r="AL32" i="2"/>
  <c r="AD32" i="2"/>
  <c r="AX32" i="2"/>
  <c r="BE34" i="2"/>
  <c r="AK35" i="2"/>
  <c r="M37" i="2"/>
  <c r="AG37" i="2"/>
  <c r="BI37" i="2"/>
  <c r="AW35" i="2"/>
  <c r="BA38" i="2"/>
  <c r="Q37" i="2"/>
  <c r="AS37" i="2"/>
  <c r="BF32" i="2"/>
  <c r="AS38" i="2" l="1"/>
  <c r="BE35" i="2"/>
  <c r="BL34" i="2"/>
  <c r="BB33" i="2"/>
  <c r="AH33" i="2"/>
  <c r="AT33" i="2"/>
  <c r="R33" i="2"/>
  <c r="BJ33" i="2"/>
  <c r="N33" i="2"/>
  <c r="J33" i="2"/>
  <c r="V33" i="2"/>
  <c r="AX33" i="2"/>
  <c r="AD33" i="2"/>
  <c r="AL33" i="2"/>
  <c r="AO35" i="2"/>
  <c r="U36" i="2"/>
  <c r="Q38" i="2"/>
  <c r="BA39" i="2"/>
  <c r="AW36" i="2"/>
  <c r="BI38" i="2"/>
  <c r="AG38" i="2"/>
  <c r="M38" i="2"/>
  <c r="AK36" i="2"/>
  <c r="BF33" i="2"/>
  <c r="AP33" i="2"/>
  <c r="AC36" i="2"/>
  <c r="I37" i="2"/>
  <c r="AG39" i="2" l="1"/>
  <c r="BI39" i="2"/>
  <c r="U37" i="2"/>
  <c r="AO36" i="2"/>
  <c r="BL35" i="2"/>
  <c r="BB34" i="2"/>
  <c r="N34" i="2"/>
  <c r="AH34" i="2"/>
  <c r="BJ34" i="2"/>
  <c r="R34" i="2"/>
  <c r="AT34" i="2"/>
  <c r="J34" i="2"/>
  <c r="V34" i="2"/>
  <c r="AD34" i="2"/>
  <c r="AL34" i="2"/>
  <c r="AX34" i="2"/>
  <c r="BE36" i="2"/>
  <c r="I38" i="2"/>
  <c r="AC37" i="2"/>
  <c r="AK37" i="2"/>
  <c r="M39" i="2"/>
  <c r="AW37" i="2"/>
  <c r="BA40" i="2"/>
  <c r="Q39" i="2"/>
  <c r="AP34" i="2"/>
  <c r="BF34" i="2"/>
  <c r="AS39" i="2"/>
  <c r="AK38" i="2" l="1"/>
  <c r="BE37" i="2"/>
  <c r="BL36" i="2"/>
  <c r="BB35" i="2"/>
  <c r="AT35" i="2"/>
  <c r="R35" i="2"/>
  <c r="BJ35" i="2"/>
  <c r="AH35" i="2"/>
  <c r="N35" i="2"/>
  <c r="J35" i="2"/>
  <c r="V35" i="2"/>
  <c r="AX35" i="2"/>
  <c r="AL35" i="2"/>
  <c r="AD35" i="2"/>
  <c r="AO37" i="2"/>
  <c r="AS40" i="2"/>
  <c r="Q40" i="2"/>
  <c r="AW38" i="2"/>
  <c r="M40" i="2"/>
  <c r="AC38" i="2"/>
  <c r="I39" i="2"/>
  <c r="BF35" i="2"/>
  <c r="AP35" i="2"/>
  <c r="U38" i="2"/>
  <c r="BI40" i="2"/>
  <c r="AG40" i="2"/>
  <c r="I40" i="2" l="1"/>
  <c r="AC39" i="2"/>
  <c r="AO38" i="2"/>
  <c r="BL37" i="2"/>
  <c r="BF37" i="2" s="1"/>
  <c r="BB36" i="2"/>
  <c r="AT36" i="2"/>
  <c r="N36" i="2"/>
  <c r="AH36" i="2"/>
  <c r="BJ36" i="2"/>
  <c r="R36" i="2"/>
  <c r="J36" i="2"/>
  <c r="AL36" i="2"/>
  <c r="V36" i="2"/>
  <c r="AD36" i="2"/>
  <c r="AX36" i="2"/>
  <c r="BF36" i="2"/>
  <c r="U39" i="2"/>
  <c r="AW39" i="2"/>
  <c r="AP36" i="2"/>
  <c r="BE38" i="2"/>
  <c r="AK39" i="2"/>
  <c r="BE39" i="2" l="1"/>
  <c r="U40" i="2"/>
  <c r="AO39" i="2"/>
  <c r="AK40" i="2"/>
  <c r="AW40" i="2"/>
  <c r="BL38" i="2"/>
  <c r="BB37" i="2"/>
  <c r="BJ37" i="2"/>
  <c r="AH37" i="2"/>
  <c r="AT37" i="2"/>
  <c r="R37" i="2"/>
  <c r="N37" i="2"/>
  <c r="J37" i="2"/>
  <c r="AD37" i="2"/>
  <c r="AL37" i="2"/>
  <c r="AX37" i="2"/>
  <c r="V37" i="2"/>
  <c r="AP37" i="2"/>
  <c r="AC40" i="2"/>
  <c r="BL39" i="2" l="1"/>
  <c r="AP39" i="2" s="1"/>
  <c r="BB38" i="2"/>
  <c r="AH38" i="2"/>
  <c r="BJ38" i="2"/>
  <c r="N38" i="2"/>
  <c r="R38" i="2"/>
  <c r="AT38" i="2"/>
  <c r="J38" i="2"/>
  <c r="V38" i="2"/>
  <c r="AD38" i="2"/>
  <c r="AX38" i="2"/>
  <c r="AL38" i="2"/>
  <c r="AO40" i="2"/>
  <c r="BE40" i="2"/>
  <c r="AP38" i="2"/>
  <c r="BF38" i="2"/>
  <c r="BF39" i="2" l="1"/>
  <c r="BL40" i="2"/>
  <c r="BF40" i="2" s="1"/>
  <c r="BB39" i="2"/>
  <c r="R39" i="2"/>
  <c r="N39" i="2"/>
  <c r="BJ39" i="2"/>
  <c r="AH39" i="2"/>
  <c r="AT39" i="2"/>
  <c r="J39" i="2"/>
  <c r="AD39" i="2"/>
  <c r="V39" i="2"/>
  <c r="AL39" i="2"/>
  <c r="AX39" i="2"/>
  <c r="BB40" i="2" l="1"/>
  <c r="AH40" i="2"/>
  <c r="N40" i="2"/>
  <c r="AT40" i="2"/>
  <c r="BJ40" i="2"/>
  <c r="R40" i="2"/>
  <c r="J40" i="2"/>
  <c r="AD40" i="2"/>
  <c r="AL40" i="2"/>
  <c r="V40" i="2"/>
  <c r="AX40" i="2"/>
  <c r="AP40" i="2"/>
  <c r="G42" i="16" l="1"/>
  <c r="I37" i="16" s="1"/>
  <c r="F42" i="16"/>
  <c r="C43" i="16"/>
  <c r="C43" i="18" l="1"/>
  <c r="C43" i="19" l="1"/>
  <c r="C40" i="24" l="1"/>
  <c r="C43" i="27" l="1"/>
  <c r="C43" i="29" l="1"/>
  <c r="C43" i="30" l="1"/>
  <c r="G42" i="31" l="1"/>
  <c r="I37" i="31" s="1"/>
  <c r="F42" i="31"/>
  <c r="I49" i="4" l="1"/>
  <c r="I49" i="6"/>
  <c r="I49" i="43" l="1"/>
  <c r="I49" i="37"/>
  <c r="C43" i="33" l="1"/>
  <c r="F23" i="33" l="1"/>
  <c r="C38" i="43"/>
  <c r="R24" i="43"/>
  <c r="U24" i="43" s="1"/>
  <c r="R15" i="43"/>
  <c r="U15" i="43" s="1"/>
  <c r="R24" i="4"/>
  <c r="U24" i="4" s="1"/>
  <c r="R15" i="4"/>
  <c r="U15" i="4" s="1"/>
  <c r="S8" i="4"/>
  <c r="R8" i="4"/>
  <c r="R7" i="4"/>
  <c r="U7" i="4" s="1"/>
  <c r="R24" i="37"/>
  <c r="U24" i="37" s="1"/>
  <c r="R15" i="37"/>
  <c r="U15" i="37" s="1"/>
  <c r="S8" i="37"/>
  <c r="R8" i="37"/>
  <c r="R7" i="37"/>
  <c r="U7" i="37" s="1"/>
  <c r="R24" i="6"/>
  <c r="U24" i="6" s="1"/>
  <c r="R15" i="6"/>
  <c r="U15" i="6" s="1"/>
  <c r="S8" i="6"/>
  <c r="R8" i="6"/>
  <c r="R7" i="6"/>
  <c r="U7" i="6" s="1"/>
  <c r="R24" i="13"/>
  <c r="U24" i="13" s="1"/>
  <c r="R15" i="13"/>
  <c r="U15" i="13" s="1"/>
  <c r="S8" i="13"/>
  <c r="R8" i="13"/>
  <c r="R7" i="13"/>
  <c r="U7" i="13" s="1"/>
  <c r="I43" i="30"/>
  <c r="C38" i="30"/>
  <c r="C38" i="31"/>
  <c r="C38" i="32"/>
  <c r="C38" i="33"/>
  <c r="U8" i="6" l="1"/>
  <c r="U8" i="37"/>
  <c r="U8" i="4"/>
  <c r="U8" i="13"/>
  <c r="D39" i="48" l="1"/>
  <c r="G42" i="4"/>
  <c r="I37" i="4" s="1"/>
  <c r="F42" i="4"/>
  <c r="D38" i="48" s="1"/>
  <c r="E35" i="48"/>
  <c r="D35" i="48"/>
  <c r="D37" i="48"/>
  <c r="G42" i="6"/>
  <c r="I37" i="6" s="1"/>
  <c r="F42" i="6"/>
  <c r="D36" i="48" s="1"/>
  <c r="D34" i="48"/>
  <c r="D33" i="48"/>
  <c r="E32" i="48"/>
  <c r="D32" i="48"/>
  <c r="D31" i="48"/>
  <c r="D30" i="48"/>
  <c r="E29" i="48"/>
  <c r="D29" i="48"/>
  <c r="D12" i="48"/>
  <c r="E12" i="48"/>
  <c r="D13" i="48"/>
  <c r="D17" i="48"/>
  <c r="E17" i="48"/>
  <c r="D25" i="48"/>
  <c r="E25" i="48"/>
  <c r="D28" i="48"/>
  <c r="D27" i="48"/>
  <c r="D26" i="48"/>
  <c r="G42" i="18"/>
  <c r="I37" i="18" s="1"/>
  <c r="F42" i="18"/>
  <c r="D24" i="48" s="1"/>
  <c r="G42" i="19"/>
  <c r="I37" i="19" s="1"/>
  <c r="F42" i="19"/>
  <c r="D23" i="48" s="1"/>
  <c r="D22" i="48"/>
  <c r="D21" i="48"/>
  <c r="D20" i="48"/>
  <c r="I43" i="43"/>
  <c r="I44" i="43" s="1"/>
  <c r="I43" i="4"/>
  <c r="I43" i="37"/>
  <c r="I44" i="37" s="1"/>
  <c r="I43" i="6"/>
  <c r="I44" i="6" s="1"/>
  <c r="I43" i="7"/>
  <c r="I44" i="7" s="1"/>
  <c r="I43" i="8"/>
  <c r="I44" i="8" s="1"/>
  <c r="I43" i="9"/>
  <c r="I44" i="9" s="1"/>
  <c r="I43" i="10"/>
  <c r="I44" i="10" s="1"/>
  <c r="I43" i="11"/>
  <c r="I43" i="12"/>
  <c r="I44" i="12" s="1"/>
  <c r="I43" i="13"/>
  <c r="I44" i="13" s="1"/>
  <c r="I43" i="14"/>
  <c r="I44" i="14" s="1"/>
  <c r="I43" i="15"/>
  <c r="I44" i="15" s="1"/>
  <c r="I43" i="16"/>
  <c r="I44" i="16" s="1"/>
  <c r="I43" i="17"/>
  <c r="I44" i="17" s="1"/>
  <c r="I43" i="18"/>
  <c r="I43" i="19"/>
  <c r="I43" i="20"/>
  <c r="I43" i="22"/>
  <c r="I44" i="22" s="1"/>
  <c r="I43" i="21"/>
  <c r="I44" i="21" s="1"/>
  <c r="I43" i="23"/>
  <c r="I44" i="23" s="1"/>
  <c r="I43" i="24"/>
  <c r="I44" i="24" s="1"/>
  <c r="I43" i="25"/>
  <c r="I44" i="25" s="1"/>
  <c r="I43" i="26"/>
  <c r="I44" i="26" s="1"/>
  <c r="I43" i="28"/>
  <c r="I43" i="27"/>
  <c r="I44" i="27" s="1"/>
  <c r="I43" i="29"/>
  <c r="I44" i="29" s="1"/>
  <c r="I44" i="30"/>
  <c r="I43" i="32"/>
  <c r="I44" i="32" s="1"/>
  <c r="J43" i="33"/>
  <c r="C11" i="2" s="1"/>
  <c r="C12" i="2" s="1"/>
  <c r="C13" i="2" s="1"/>
  <c r="C14" i="2" s="1"/>
  <c r="C15" i="2" s="1"/>
  <c r="C16" i="2" s="1"/>
  <c r="C17" i="2" s="1"/>
  <c r="C18" i="2" s="1"/>
  <c r="C19" i="2" s="1"/>
  <c r="C20" i="2" s="1"/>
  <c r="C21" i="2" s="1"/>
  <c r="C22" i="2" s="1"/>
  <c r="C23" i="2" s="1"/>
  <c r="C24" i="2" s="1"/>
  <c r="C25" i="2" s="1"/>
  <c r="C26" i="2" s="1"/>
  <c r="C27" i="2" s="1"/>
  <c r="C28" i="2" s="1"/>
  <c r="C29" i="2" s="1"/>
  <c r="C30" i="2" s="1"/>
  <c r="C31" i="2" s="1"/>
  <c r="C32" i="2" s="1"/>
  <c r="C33" i="2" s="1"/>
  <c r="C34" i="2" s="1"/>
  <c r="C37" i="2" s="1"/>
  <c r="C38" i="2" s="1"/>
  <c r="C39" i="2" s="1"/>
  <c r="C40" i="2" s="1"/>
  <c r="C10" i="2" s="1"/>
  <c r="B11" i="2" s="1"/>
  <c r="B12" i="2" s="1"/>
  <c r="B13" i="2" s="1"/>
  <c r="B15" i="2" s="1"/>
  <c r="B16" i="2" s="1"/>
  <c r="B17" i="2" s="1"/>
  <c r="B18" i="2" s="1"/>
  <c r="B19" i="2" s="1"/>
  <c r="B20" i="2" s="1"/>
  <c r="B21" i="2" s="1"/>
  <c r="B22" i="2" s="1"/>
  <c r="B23" i="2" s="1"/>
  <c r="B24" i="2" s="1"/>
  <c r="B26" i="2" s="1"/>
  <c r="B30" i="2" s="1"/>
  <c r="B31" i="2" s="1"/>
  <c r="B32" i="2" s="1"/>
  <c r="B33" i="2" s="1"/>
  <c r="B34" i="2" s="1"/>
  <c r="B35" i="2" s="1"/>
  <c r="B36" i="2" s="1"/>
  <c r="B37" i="2" s="1"/>
  <c r="B38" i="2" s="1"/>
  <c r="B39" i="2" s="1"/>
  <c r="B40" i="2" s="1"/>
  <c r="B10" i="2" s="1"/>
  <c r="P39" i="48"/>
  <c r="H39" i="48" s="1"/>
  <c r="P38" i="48"/>
  <c r="P37" i="48"/>
  <c r="B36" i="45" s="1"/>
  <c r="P36" i="48"/>
  <c r="B35" i="45" s="1"/>
  <c r="P35" i="48"/>
  <c r="B34" i="45" s="1"/>
  <c r="P34" i="48"/>
  <c r="B33" i="45" s="1"/>
  <c r="P33" i="48"/>
  <c r="B32" i="45" s="1"/>
  <c r="P32" i="48"/>
  <c r="P31" i="48"/>
  <c r="B30" i="45" s="1"/>
  <c r="P30" i="48"/>
  <c r="B29" i="45" s="1"/>
  <c r="P29" i="48"/>
  <c r="B28" i="45" s="1"/>
  <c r="P28" i="48"/>
  <c r="B27" i="45" s="1"/>
  <c r="P27" i="48"/>
  <c r="B26" i="45" s="1"/>
  <c r="P26" i="48"/>
  <c r="B25" i="45" s="1"/>
  <c r="P25" i="48"/>
  <c r="B24" i="45" s="1"/>
  <c r="P24" i="48"/>
  <c r="B23" i="45" s="1"/>
  <c r="P23" i="48"/>
  <c r="B22" i="45" s="1"/>
  <c r="P22" i="48"/>
  <c r="B21" i="45" s="1"/>
  <c r="P21" i="48"/>
  <c r="B20" i="45" s="1"/>
  <c r="P20" i="48"/>
  <c r="B19" i="45" s="1"/>
  <c r="P19" i="48"/>
  <c r="P18" i="48"/>
  <c r="B17" i="45" s="1"/>
  <c r="P17" i="48"/>
  <c r="B16" i="45" s="1"/>
  <c r="P16" i="48"/>
  <c r="B15" i="45" s="1"/>
  <c r="P15" i="48"/>
  <c r="B14" i="45" s="1"/>
  <c r="P14" i="48"/>
  <c r="B13" i="45" s="1"/>
  <c r="P13" i="48"/>
  <c r="B12" i="45" s="1"/>
  <c r="P12" i="48"/>
  <c r="B11" i="45" s="1"/>
  <c r="P11" i="48"/>
  <c r="B10" i="45" s="1"/>
  <c r="P10" i="48"/>
  <c r="B9" i="45" s="1"/>
  <c r="AA9" i="48"/>
  <c r="AA10" i="48" s="1"/>
  <c r="AA11" i="48" s="1"/>
  <c r="AA12" i="48" s="1"/>
  <c r="AA13" i="48" s="1"/>
  <c r="AA14" i="48" s="1"/>
  <c r="AA15" i="48" s="1"/>
  <c r="AA16" i="48" s="1"/>
  <c r="AA17" i="48" s="1"/>
  <c r="AA18" i="48" s="1"/>
  <c r="AA19" i="48" s="1"/>
  <c r="AA20" i="48" s="1"/>
  <c r="AA21" i="48" s="1"/>
  <c r="AA22" i="48" s="1"/>
  <c r="AA23" i="48" s="1"/>
  <c r="AA24" i="48" s="1"/>
  <c r="AA25" i="48" s="1"/>
  <c r="AA26" i="48" s="1"/>
  <c r="AA27" i="48" s="1"/>
  <c r="AA28" i="48" s="1"/>
  <c r="AA29" i="48" s="1"/>
  <c r="AA30" i="48" s="1"/>
  <c r="AA31" i="48" s="1"/>
  <c r="AA32" i="48" s="1"/>
  <c r="AA33" i="48" s="1"/>
  <c r="AA34" i="48" s="1"/>
  <c r="AA35" i="48" s="1"/>
  <c r="AA36" i="48" s="1"/>
  <c r="AA37" i="48" s="1"/>
  <c r="AA38" i="48" s="1"/>
  <c r="AA39" i="48" s="1"/>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D19" i="48"/>
  <c r="D18" i="48"/>
  <c r="D16" i="48"/>
  <c r="D15" i="48"/>
  <c r="D14" i="48"/>
  <c r="E13" i="48"/>
  <c r="D11" i="48"/>
  <c r="P9" i="48"/>
  <c r="B8" i="45" s="1"/>
  <c r="D38" i="33"/>
  <c r="L34" i="26"/>
  <c r="D10" i="48"/>
  <c r="D9" i="48"/>
  <c r="I47" i="29"/>
  <c r="H4" i="43"/>
  <c r="C14" i="43"/>
  <c r="V7" i="43" s="1"/>
  <c r="W7" i="43" s="1"/>
  <c r="D14" i="43"/>
  <c r="E14" i="43"/>
  <c r="C23" i="43"/>
  <c r="V15" i="43" s="1"/>
  <c r="W15" i="43" s="1"/>
  <c r="D23" i="43"/>
  <c r="E23" i="43"/>
  <c r="C32" i="43"/>
  <c r="V24" i="43" s="1"/>
  <c r="W24" i="43" s="1"/>
  <c r="D32" i="43"/>
  <c r="E32" i="43"/>
  <c r="L34" i="43"/>
  <c r="C39" i="43"/>
  <c r="C40" i="43"/>
  <c r="C41" i="43"/>
  <c r="C42" i="43"/>
  <c r="C43" i="43"/>
  <c r="C44" i="43"/>
  <c r="C45" i="43"/>
  <c r="C46" i="43"/>
  <c r="C47" i="43"/>
  <c r="C48" i="43"/>
  <c r="C49" i="43"/>
  <c r="C50" i="43"/>
  <c r="C51" i="43"/>
  <c r="H4" i="4"/>
  <c r="C14" i="4"/>
  <c r="V7" i="4" s="1"/>
  <c r="W7" i="4" s="1"/>
  <c r="D14" i="4"/>
  <c r="E14" i="4"/>
  <c r="F14" i="4"/>
  <c r="C23" i="4"/>
  <c r="D23" i="4"/>
  <c r="E23" i="4"/>
  <c r="F23" i="4"/>
  <c r="C32" i="4"/>
  <c r="V24" i="4" s="1"/>
  <c r="W24" i="4" s="1"/>
  <c r="D32" i="4"/>
  <c r="E32" i="4"/>
  <c r="K34" i="4"/>
  <c r="L34" i="4"/>
  <c r="C38" i="4"/>
  <c r="C39" i="4"/>
  <c r="C40" i="4"/>
  <c r="C41" i="4"/>
  <c r="C42" i="4"/>
  <c r="C43" i="4"/>
  <c r="C44" i="4"/>
  <c r="C45" i="4"/>
  <c r="C46" i="4"/>
  <c r="C47" i="4"/>
  <c r="C48" i="4"/>
  <c r="C49" i="4"/>
  <c r="C50" i="4"/>
  <c r="I50" i="4"/>
  <c r="C51" i="4"/>
  <c r="H4" i="37"/>
  <c r="V24" i="37"/>
  <c r="W24" i="37" s="1"/>
  <c r="L34" i="37"/>
  <c r="C38" i="37"/>
  <c r="C39" i="37"/>
  <c r="C40" i="37"/>
  <c r="C41" i="37"/>
  <c r="C42" i="37"/>
  <c r="C43" i="37"/>
  <c r="C44" i="37"/>
  <c r="C45" i="37"/>
  <c r="C46" i="37"/>
  <c r="C47" i="37"/>
  <c r="C48" i="37"/>
  <c r="C49" i="37"/>
  <c r="C50" i="37"/>
  <c r="C51" i="37"/>
  <c r="H4" i="6"/>
  <c r="V7" i="6"/>
  <c r="W7" i="6" s="1"/>
  <c r="V15" i="6"/>
  <c r="W15" i="6" s="1"/>
  <c r="V24" i="6"/>
  <c r="W24" i="6" s="1"/>
  <c r="L34" i="6"/>
  <c r="C38" i="6"/>
  <c r="C39" i="6"/>
  <c r="C40" i="6"/>
  <c r="C41" i="6"/>
  <c r="C42" i="6"/>
  <c r="C43" i="6"/>
  <c r="C44" i="6"/>
  <c r="C45" i="6"/>
  <c r="C46" i="6"/>
  <c r="C47" i="6"/>
  <c r="C48" i="6"/>
  <c r="C49" i="6"/>
  <c r="C50" i="6"/>
  <c r="I50" i="6"/>
  <c r="C51" i="6"/>
  <c r="H4" i="7"/>
  <c r="L34" i="7"/>
  <c r="C38" i="7"/>
  <c r="C39" i="7"/>
  <c r="C40" i="7"/>
  <c r="C41" i="7"/>
  <c r="C42" i="7"/>
  <c r="C43" i="7"/>
  <c r="C44" i="7"/>
  <c r="C45" i="7"/>
  <c r="C46" i="7"/>
  <c r="C47" i="7"/>
  <c r="C48" i="7"/>
  <c r="C49" i="7"/>
  <c r="C50" i="7"/>
  <c r="C51" i="7"/>
  <c r="H4" i="8"/>
  <c r="L34" i="8"/>
  <c r="C38" i="8"/>
  <c r="C39" i="8"/>
  <c r="C40" i="8"/>
  <c r="C41" i="8"/>
  <c r="C42" i="8"/>
  <c r="C43" i="8"/>
  <c r="C44" i="8"/>
  <c r="C45" i="8"/>
  <c r="C46" i="8"/>
  <c r="C47" i="8"/>
  <c r="C48" i="8"/>
  <c r="C49" i="8"/>
  <c r="C50" i="8"/>
  <c r="C51" i="8"/>
  <c r="H4" i="9"/>
  <c r="L34" i="9"/>
  <c r="C38" i="9"/>
  <c r="C39" i="9"/>
  <c r="C40" i="9"/>
  <c r="C41" i="9"/>
  <c r="C42" i="9"/>
  <c r="C43" i="9"/>
  <c r="C44" i="9"/>
  <c r="C45" i="9"/>
  <c r="C46" i="9"/>
  <c r="C47" i="9"/>
  <c r="C48" i="9"/>
  <c r="C49" i="9"/>
  <c r="C50" i="9"/>
  <c r="C51" i="9"/>
  <c r="H4" i="10"/>
  <c r="K34" i="10"/>
  <c r="L34" i="10"/>
  <c r="C38" i="10"/>
  <c r="C39" i="10"/>
  <c r="C40" i="10"/>
  <c r="C41" i="10"/>
  <c r="C42" i="10"/>
  <c r="C43" i="10"/>
  <c r="C44" i="10"/>
  <c r="C45" i="10"/>
  <c r="C46" i="10"/>
  <c r="C47" i="10"/>
  <c r="C48" i="10"/>
  <c r="C49" i="10"/>
  <c r="C50" i="10"/>
  <c r="C51" i="10"/>
  <c r="H4" i="11"/>
  <c r="L34" i="11"/>
  <c r="C38" i="11"/>
  <c r="C39" i="11"/>
  <c r="C40" i="11"/>
  <c r="C41" i="11"/>
  <c r="C42" i="11"/>
  <c r="C43" i="11"/>
  <c r="C44" i="11"/>
  <c r="I44" i="11"/>
  <c r="C45" i="11"/>
  <c r="C46" i="11"/>
  <c r="C47" i="11"/>
  <c r="C48" i="11"/>
  <c r="C49" i="11"/>
  <c r="C50" i="11"/>
  <c r="C51" i="11"/>
  <c r="H4" i="12"/>
  <c r="L34" i="12"/>
  <c r="C38" i="12"/>
  <c r="C39" i="12"/>
  <c r="C40" i="12"/>
  <c r="C41" i="12"/>
  <c r="C42" i="12"/>
  <c r="C43" i="12"/>
  <c r="C44" i="12"/>
  <c r="C45" i="12"/>
  <c r="C46" i="12"/>
  <c r="C47" i="12"/>
  <c r="C48" i="12"/>
  <c r="C49" i="12"/>
  <c r="C50" i="12"/>
  <c r="C51" i="12"/>
  <c r="H4" i="13"/>
  <c r="V7" i="13"/>
  <c r="W7" i="13" s="1"/>
  <c r="V15" i="13"/>
  <c r="W15" i="13" s="1"/>
  <c r="V24" i="13"/>
  <c r="W24" i="13" s="1"/>
  <c r="L34" i="13"/>
  <c r="C38" i="13"/>
  <c r="C39" i="13"/>
  <c r="C40" i="13"/>
  <c r="C41" i="13"/>
  <c r="C42" i="13"/>
  <c r="C43" i="13"/>
  <c r="C44" i="13"/>
  <c r="C45" i="13"/>
  <c r="C46" i="13"/>
  <c r="C47" i="13"/>
  <c r="C48" i="13"/>
  <c r="C49" i="13"/>
  <c r="C50" i="13"/>
  <c r="C51" i="13"/>
  <c r="H4" i="14"/>
  <c r="L34" i="14"/>
  <c r="C38" i="14"/>
  <c r="C39" i="14"/>
  <c r="C40" i="14"/>
  <c r="C41" i="14"/>
  <c r="C42" i="14"/>
  <c r="C43" i="14"/>
  <c r="C44" i="14"/>
  <c r="C45" i="14"/>
  <c r="C46" i="14"/>
  <c r="C47" i="14"/>
  <c r="C48" i="14"/>
  <c r="C49" i="14"/>
  <c r="C50" i="14"/>
  <c r="C51" i="14"/>
  <c r="H4" i="15"/>
  <c r="L34" i="15"/>
  <c r="C38" i="15"/>
  <c r="C39" i="15"/>
  <c r="C40" i="15"/>
  <c r="C41" i="15"/>
  <c r="C42" i="15"/>
  <c r="C43" i="15"/>
  <c r="C44" i="15"/>
  <c r="C45" i="15"/>
  <c r="C46" i="15"/>
  <c r="C47" i="15"/>
  <c r="C48" i="15"/>
  <c r="C49" i="15"/>
  <c r="C50" i="15"/>
  <c r="C51" i="15"/>
  <c r="H4" i="16"/>
  <c r="L34" i="16"/>
  <c r="C38" i="16"/>
  <c r="C39" i="16"/>
  <c r="C40" i="16"/>
  <c r="C41" i="16"/>
  <c r="C42" i="16"/>
  <c r="C44" i="16"/>
  <c r="C45" i="16"/>
  <c r="C46" i="16"/>
  <c r="C47" i="16"/>
  <c r="C48" i="16"/>
  <c r="C49" i="16"/>
  <c r="C50" i="16"/>
  <c r="C51" i="16"/>
  <c r="H4" i="17"/>
  <c r="L34" i="17"/>
  <c r="C38" i="17"/>
  <c r="C39" i="17"/>
  <c r="C40" i="17"/>
  <c r="C41" i="17"/>
  <c r="C42" i="17"/>
  <c r="C43" i="17"/>
  <c r="C44" i="17"/>
  <c r="C45" i="17"/>
  <c r="C46" i="17"/>
  <c r="C47" i="17"/>
  <c r="C48" i="17"/>
  <c r="C49" i="17"/>
  <c r="C50" i="17"/>
  <c r="C51" i="17"/>
  <c r="H4" i="18"/>
  <c r="K34" i="18"/>
  <c r="L34" i="18"/>
  <c r="C38" i="18"/>
  <c r="C39" i="18"/>
  <c r="C40" i="18"/>
  <c r="C41" i="18"/>
  <c r="C42" i="18"/>
  <c r="C44" i="18"/>
  <c r="C45" i="18"/>
  <c r="C46" i="18"/>
  <c r="C47" i="18"/>
  <c r="C48" i="18"/>
  <c r="C49" i="18"/>
  <c r="C50" i="18"/>
  <c r="C51" i="18"/>
  <c r="H4" i="19"/>
  <c r="L34" i="19"/>
  <c r="C38" i="19"/>
  <c r="C39" i="19"/>
  <c r="C40" i="19"/>
  <c r="C41" i="19"/>
  <c r="C42" i="19"/>
  <c r="C44" i="19"/>
  <c r="I44" i="19"/>
  <c r="C45" i="19"/>
  <c r="C46" i="19"/>
  <c r="C47" i="19"/>
  <c r="C48" i="19"/>
  <c r="C49" i="19"/>
  <c r="C50" i="19"/>
  <c r="C51" i="19"/>
  <c r="H4" i="20"/>
  <c r="K34" i="20"/>
  <c r="L34" i="20"/>
  <c r="C38" i="20"/>
  <c r="C39" i="20"/>
  <c r="C40" i="20"/>
  <c r="C41" i="20"/>
  <c r="C42" i="20"/>
  <c r="C43" i="20"/>
  <c r="C44" i="20"/>
  <c r="I44" i="20"/>
  <c r="C45" i="20"/>
  <c r="C46" i="20"/>
  <c r="C47" i="20"/>
  <c r="C48" i="20"/>
  <c r="C49" i="20"/>
  <c r="C50" i="20"/>
  <c r="C51" i="20"/>
  <c r="H4" i="22"/>
  <c r="K34" i="22"/>
  <c r="L34" i="22"/>
  <c r="C38" i="22"/>
  <c r="C39" i="22"/>
  <c r="C40" i="22"/>
  <c r="C41" i="22"/>
  <c r="C42" i="22"/>
  <c r="C43" i="22"/>
  <c r="C44" i="22"/>
  <c r="C45" i="22"/>
  <c r="C46" i="22"/>
  <c r="C47" i="22"/>
  <c r="C48" i="22"/>
  <c r="C49" i="22"/>
  <c r="C50" i="22"/>
  <c r="C51" i="22"/>
  <c r="H4" i="21"/>
  <c r="J32" i="21"/>
  <c r="J32" i="22" s="1"/>
  <c r="J32" i="20" s="1"/>
  <c r="J32" i="19" s="1"/>
  <c r="J32" i="18" s="1"/>
  <c r="J32" i="17" s="1"/>
  <c r="J32" i="16" s="1"/>
  <c r="J32" i="15" s="1"/>
  <c r="J32" i="14" s="1"/>
  <c r="J32" i="13" s="1"/>
  <c r="J32" i="12" s="1"/>
  <c r="J32" i="11" s="1"/>
  <c r="J32" i="10" s="1"/>
  <c r="J32" i="9" s="1"/>
  <c r="J32" i="8" s="1"/>
  <c r="J32" i="7" s="1"/>
  <c r="J32" i="6" s="1"/>
  <c r="J32" i="37" s="1"/>
  <c r="J32" i="4" s="1"/>
  <c r="J32" i="43" s="1"/>
  <c r="L34" i="21"/>
  <c r="C38" i="21"/>
  <c r="C39" i="21"/>
  <c r="C40" i="21"/>
  <c r="C41" i="21"/>
  <c r="C42" i="21"/>
  <c r="C43" i="21"/>
  <c r="C44" i="21"/>
  <c r="C45" i="21"/>
  <c r="C46" i="21"/>
  <c r="C47" i="21"/>
  <c r="C48" i="21"/>
  <c r="C49" i="21"/>
  <c r="C50" i="21"/>
  <c r="C51" i="21"/>
  <c r="H4" i="23"/>
  <c r="L34" i="23"/>
  <c r="C38" i="23"/>
  <c r="C39" i="23"/>
  <c r="C40" i="23"/>
  <c r="C41" i="23"/>
  <c r="C42" i="23"/>
  <c r="C43" i="23"/>
  <c r="C44" i="23"/>
  <c r="C45" i="23"/>
  <c r="C46" i="23"/>
  <c r="C47" i="23"/>
  <c r="C48" i="23"/>
  <c r="C49" i="23"/>
  <c r="C50" i="23"/>
  <c r="C51" i="23"/>
  <c r="H4" i="24"/>
  <c r="L34" i="24"/>
  <c r="C41" i="24"/>
  <c r="C42" i="24"/>
  <c r="C43" i="24"/>
  <c r="C44" i="24"/>
  <c r="C45" i="24"/>
  <c r="C46" i="24"/>
  <c r="C47" i="24"/>
  <c r="C48" i="24"/>
  <c r="C49" i="24"/>
  <c r="C50" i="24"/>
  <c r="C51" i="24"/>
  <c r="H4" i="25"/>
  <c r="L34" i="25"/>
  <c r="C38" i="25"/>
  <c r="C39" i="25"/>
  <c r="C40" i="25"/>
  <c r="C41" i="25"/>
  <c r="C42" i="25"/>
  <c r="C43" i="25"/>
  <c r="C44" i="25"/>
  <c r="C45" i="25"/>
  <c r="C46" i="25"/>
  <c r="C47" i="25"/>
  <c r="C48" i="25"/>
  <c r="C49" i="25"/>
  <c r="C50" i="25"/>
  <c r="C51" i="25"/>
  <c r="H4" i="26"/>
  <c r="C38" i="26"/>
  <c r="C39" i="26"/>
  <c r="C40" i="26"/>
  <c r="C41" i="26"/>
  <c r="C42" i="26"/>
  <c r="C44" i="26"/>
  <c r="C45" i="26"/>
  <c r="C46" i="26"/>
  <c r="C47" i="26"/>
  <c r="C48" i="26"/>
  <c r="C49" i="26"/>
  <c r="C50" i="26"/>
  <c r="C51" i="26"/>
  <c r="H4" i="28"/>
  <c r="L34" i="28"/>
  <c r="C38" i="28"/>
  <c r="C39" i="28"/>
  <c r="C40" i="28"/>
  <c r="C41" i="28"/>
  <c r="C42" i="28"/>
  <c r="C43" i="28"/>
  <c r="C44" i="28"/>
  <c r="I44" i="28"/>
  <c r="C45" i="28"/>
  <c r="C46" i="28"/>
  <c r="C47" i="28"/>
  <c r="C48" i="28"/>
  <c r="C49" i="28"/>
  <c r="C50" i="28"/>
  <c r="C51" i="28"/>
  <c r="H4" i="27"/>
  <c r="L34" i="27"/>
  <c r="C38" i="27"/>
  <c r="C39" i="27"/>
  <c r="C40" i="27"/>
  <c r="C41" i="27"/>
  <c r="C42" i="27"/>
  <c r="C44" i="27"/>
  <c r="C45" i="27"/>
  <c r="C46" i="27"/>
  <c r="C47" i="27"/>
  <c r="C48" i="27"/>
  <c r="C49" i="27"/>
  <c r="C50" i="27"/>
  <c r="C51" i="27"/>
  <c r="H4" i="29"/>
  <c r="L34" i="29"/>
  <c r="C38" i="29"/>
  <c r="C39" i="29"/>
  <c r="C40" i="29"/>
  <c r="C41" i="29"/>
  <c r="C42" i="29"/>
  <c r="C44" i="29"/>
  <c r="C45" i="29"/>
  <c r="C46" i="29"/>
  <c r="C47" i="29"/>
  <c r="C48" i="29"/>
  <c r="C49" i="29"/>
  <c r="C50" i="29"/>
  <c r="C51" i="29"/>
  <c r="H4" i="30"/>
  <c r="L34" i="30"/>
  <c r="C39" i="30"/>
  <c r="C40" i="30"/>
  <c r="C41" i="30"/>
  <c r="C42" i="30"/>
  <c r="C44" i="30"/>
  <c r="C45" i="30"/>
  <c r="C47" i="30"/>
  <c r="C48" i="30"/>
  <c r="C49" i="30"/>
  <c r="C50" i="30"/>
  <c r="C51" i="30"/>
  <c r="H4" i="31"/>
  <c r="L34" i="31"/>
  <c r="C39" i="31"/>
  <c r="C40" i="31"/>
  <c r="C41" i="31"/>
  <c r="C42" i="31"/>
  <c r="C43" i="31"/>
  <c r="C44" i="31"/>
  <c r="I44" i="31"/>
  <c r="C45" i="31"/>
  <c r="C46" i="31"/>
  <c r="C47" i="31"/>
  <c r="C48" i="31"/>
  <c r="C49" i="31"/>
  <c r="C50" i="31"/>
  <c r="C51" i="31"/>
  <c r="H4" i="32"/>
  <c r="J7" i="32"/>
  <c r="J7" i="31" s="1"/>
  <c r="J10" i="32"/>
  <c r="J10" i="31" s="1"/>
  <c r="J11" i="32"/>
  <c r="J11" i="31" s="1"/>
  <c r="J12" i="32"/>
  <c r="J12" i="31" s="1"/>
  <c r="J13" i="32"/>
  <c r="J13" i="31" s="1"/>
  <c r="J14" i="32"/>
  <c r="J14" i="31" s="1"/>
  <c r="J15" i="32"/>
  <c r="J15" i="31" s="1"/>
  <c r="J16" i="32"/>
  <c r="J16" i="31" s="1"/>
  <c r="J17" i="32"/>
  <c r="J17" i="31" s="1"/>
  <c r="J18" i="32"/>
  <c r="J18" i="31" s="1"/>
  <c r="J19" i="32"/>
  <c r="J19" i="31" s="1"/>
  <c r="J20" i="32"/>
  <c r="J20" i="31" s="1"/>
  <c r="J21" i="32"/>
  <c r="J21" i="31" s="1"/>
  <c r="J22" i="32"/>
  <c r="J22" i="31" s="1"/>
  <c r="J23" i="32"/>
  <c r="J23" i="31" s="1"/>
  <c r="J24" i="32"/>
  <c r="J25" i="32"/>
  <c r="J26" i="32"/>
  <c r="J27" i="32"/>
  <c r="J28" i="32"/>
  <c r="J29" i="32"/>
  <c r="J30" i="32"/>
  <c r="J31" i="32"/>
  <c r="J32" i="32"/>
  <c r="J32" i="31" s="1"/>
  <c r="J32" i="30" s="1"/>
  <c r="J32" i="29" s="1"/>
  <c r="J32" i="27" s="1"/>
  <c r="J32" i="28" s="1"/>
  <c r="J32" i="26" s="1"/>
  <c r="L34" i="32"/>
  <c r="C39" i="32"/>
  <c r="C40" i="32"/>
  <c r="C41" i="32"/>
  <c r="C42" i="32"/>
  <c r="C43" i="32"/>
  <c r="C44" i="32"/>
  <c r="C45" i="32"/>
  <c r="C46" i="32"/>
  <c r="C47" i="32"/>
  <c r="C48" i="32"/>
  <c r="C49" i="32"/>
  <c r="C50" i="32"/>
  <c r="C51" i="32"/>
  <c r="M8" i="33"/>
  <c r="M9" i="33"/>
  <c r="M9" i="32" s="1"/>
  <c r="M9" i="31" s="1"/>
  <c r="M9" i="30" s="1"/>
  <c r="M9" i="29" s="1"/>
  <c r="M9" i="27" s="1"/>
  <c r="M9" i="28" s="1"/>
  <c r="M10" i="33"/>
  <c r="M10" i="32" s="1"/>
  <c r="M10" i="31" s="1"/>
  <c r="M10" i="30" s="1"/>
  <c r="M10" i="29" s="1"/>
  <c r="M10" i="27" s="1"/>
  <c r="M10" i="28" s="1"/>
  <c r="M10" i="26" s="1"/>
  <c r="M10" i="25" s="1"/>
  <c r="M10" i="24" s="1"/>
  <c r="M10" i="23" s="1"/>
  <c r="M11" i="33"/>
  <c r="M11" i="32" s="1"/>
  <c r="M11" i="31" s="1"/>
  <c r="M11" i="30"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12" i="33"/>
  <c r="M12" i="32" s="1"/>
  <c r="M12" i="31" s="1"/>
  <c r="M12" i="30" s="1"/>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M13" i="33"/>
  <c r="M13" i="32" s="1"/>
  <c r="M13" i="31" s="1"/>
  <c r="M13" i="30"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C14" i="33"/>
  <c r="D14" i="33"/>
  <c r="E14" i="33"/>
  <c r="F14" i="33"/>
  <c r="M14" i="33"/>
  <c r="M14" i="32" s="1"/>
  <c r="M14" i="31" s="1"/>
  <c r="M14" i="30" s="1"/>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4" i="37" s="1"/>
  <c r="M14" i="4" s="1"/>
  <c r="M14" i="43" s="1"/>
  <c r="M15" i="33"/>
  <c r="M15" i="32" s="1"/>
  <c r="M15" i="31" s="1"/>
  <c r="M15" i="30"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M16" i="33"/>
  <c r="M16" i="32" s="1"/>
  <c r="M16" i="31" s="1"/>
  <c r="M16" i="30"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17" i="33"/>
  <c r="M17" i="32" s="1"/>
  <c r="M17" i="31" s="1"/>
  <c r="M17" i="30" s="1"/>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8" i="33"/>
  <c r="M18" i="32" s="1"/>
  <c r="M18" i="31" s="1"/>
  <c r="M18" i="30" s="1"/>
  <c r="M18" i="29" s="1"/>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19" i="33"/>
  <c r="M19" i="32" s="1"/>
  <c r="M19" i="31" s="1"/>
  <c r="M19" i="30"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19" i="37" s="1"/>
  <c r="M19" i="4" s="1"/>
  <c r="M19" i="43" s="1"/>
  <c r="M20" i="33"/>
  <c r="M20" i="32" s="1"/>
  <c r="M20" i="31" s="1"/>
  <c r="M20" i="30" s="1"/>
  <c r="M20" i="29" s="1"/>
  <c r="M20" i="27" s="1"/>
  <c r="M20" i="28" s="1"/>
  <c r="M20" i="26" s="1"/>
  <c r="M20" i="25" s="1"/>
  <c r="M20" i="24" s="1"/>
  <c r="M20" i="23" s="1"/>
  <c r="M20" i="21" s="1"/>
  <c r="M20" i="22" s="1"/>
  <c r="M20" i="20" s="1"/>
  <c r="M20" i="19" s="1"/>
  <c r="M20" i="18" s="1"/>
  <c r="M20" i="17" s="1"/>
  <c r="M20" i="16" s="1"/>
  <c r="M20" i="15" s="1"/>
  <c r="M20" i="14" s="1"/>
  <c r="M20" i="13" s="1"/>
  <c r="M20" i="12" s="1"/>
  <c r="M21" i="33"/>
  <c r="M21" i="32" s="1"/>
  <c r="M21" i="31" s="1"/>
  <c r="M21" i="30" s="1"/>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M22" i="33"/>
  <c r="M22" i="32" s="1"/>
  <c r="M22" i="31" s="1"/>
  <c r="M22" i="30" s="1"/>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C23" i="33"/>
  <c r="D23" i="33"/>
  <c r="E23" i="33"/>
  <c r="M23" i="33"/>
  <c r="M23" i="32" s="1"/>
  <c r="M23" i="31" s="1"/>
  <c r="M23" i="30" s="1"/>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M24" i="33"/>
  <c r="M24" i="32" s="1"/>
  <c r="M24" i="31" s="1"/>
  <c r="M24" i="30" s="1"/>
  <c r="M24" i="29" s="1"/>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M25" i="33"/>
  <c r="M25" i="32" s="1"/>
  <c r="M25" i="31" s="1"/>
  <c r="M25" i="30" s="1"/>
  <c r="M25" i="29" s="1"/>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6" i="33"/>
  <c r="M26" i="32" s="1"/>
  <c r="M26" i="31" s="1"/>
  <c r="M26" i="30" s="1"/>
  <c r="M26" i="29" s="1"/>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7" i="33"/>
  <c r="M27" i="32" s="1"/>
  <c r="M27" i="31" s="1"/>
  <c r="M27" i="30" s="1"/>
  <c r="M27" i="29" s="1"/>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8" i="33"/>
  <c r="M28" i="32" s="1"/>
  <c r="M28" i="31" s="1"/>
  <c r="M28" i="30" s="1"/>
  <c r="M28" i="29" s="1"/>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29" i="33"/>
  <c r="M29" i="32" s="1"/>
  <c r="M29" i="31" s="1"/>
  <c r="M29" i="30" s="1"/>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M30" i="33"/>
  <c r="M30" i="32" s="1"/>
  <c r="M30" i="31" s="1"/>
  <c r="M30" i="30"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31" i="33"/>
  <c r="M31" i="32" s="1"/>
  <c r="M31" i="31" s="1"/>
  <c r="M31" i="30" s="1"/>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C32" i="33"/>
  <c r="D32" i="33"/>
  <c r="E32" i="33"/>
  <c r="F32" i="33"/>
  <c r="M32" i="33"/>
  <c r="M32" i="32" s="1"/>
  <c r="M32" i="31" s="1"/>
  <c r="M32" i="30" s="1"/>
  <c r="M32" i="29"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J38" i="33"/>
  <c r="J38" i="32" s="1"/>
  <c r="C39" i="33"/>
  <c r="D39" i="33" s="1"/>
  <c r="C40" i="33"/>
  <c r="D40" i="33" s="1"/>
  <c r="C41" i="33"/>
  <c r="D41" i="33" s="1"/>
  <c r="C42" i="33"/>
  <c r="D42" i="33" s="1"/>
  <c r="E42" i="33" s="1"/>
  <c r="D43" i="33"/>
  <c r="C44" i="33"/>
  <c r="D44" i="33" s="1"/>
  <c r="C45" i="33"/>
  <c r="D45" i="33" s="1"/>
  <c r="C46" i="33"/>
  <c r="D46" i="33" s="1"/>
  <c r="C47" i="33"/>
  <c r="D47" i="33" s="1"/>
  <c r="C48" i="33"/>
  <c r="D48" i="33" s="1"/>
  <c r="E48" i="33" s="1"/>
  <c r="C49" i="33"/>
  <c r="D49" i="33" s="1"/>
  <c r="C50" i="33"/>
  <c r="D50" i="33" s="1"/>
  <c r="C51" i="33"/>
  <c r="D51" i="33" s="1"/>
  <c r="A4" i="47"/>
  <c r="J46" i="33"/>
  <c r="I47" i="32"/>
  <c r="AF11" i="48"/>
  <c r="I47" i="27"/>
  <c r="AF15" i="48"/>
  <c r="AF16" i="48"/>
  <c r="AF17" i="48"/>
  <c r="AH17" i="48" s="1"/>
  <c r="AF19" i="48"/>
  <c r="I47" i="21"/>
  <c r="AF21" i="48"/>
  <c r="AH21" i="48" s="1"/>
  <c r="AF24" i="48"/>
  <c r="I47" i="17"/>
  <c r="I47" i="16"/>
  <c r="I47" i="15"/>
  <c r="AF29" i="48"/>
  <c r="AH29" i="48" s="1"/>
  <c r="AF30" i="48"/>
  <c r="AH30" i="48" s="1"/>
  <c r="AF33" i="48"/>
  <c r="AH33" i="48" s="1"/>
  <c r="I47" i="43"/>
  <c r="I50" i="37"/>
  <c r="I50" i="43"/>
  <c r="AF18" i="48"/>
  <c r="AB14" i="48"/>
  <c r="Z41" i="48"/>
  <c r="AB17" i="48"/>
  <c r="I44" i="33"/>
  <c r="AB21" i="48"/>
  <c r="H21" i="48"/>
  <c r="AB30" i="48"/>
  <c r="AB33" i="48"/>
  <c r="H29" i="48"/>
  <c r="AB37" i="48"/>
  <c r="G37" i="48"/>
  <c r="G29" i="48"/>
  <c r="H37" i="48"/>
  <c r="E28" i="48"/>
  <c r="G21" i="48"/>
  <c r="E18" i="48"/>
  <c r="F18" i="48" s="1"/>
  <c r="E15" i="48"/>
  <c r="AF36" i="48"/>
  <c r="AF34" i="48"/>
  <c r="E30" i="48"/>
  <c r="G15" i="48" l="1"/>
  <c r="AB15" i="48"/>
  <c r="G23" i="48"/>
  <c r="AB31" i="48"/>
  <c r="AB23" i="48"/>
  <c r="AB39" i="48"/>
  <c r="G31" i="48"/>
  <c r="H15" i="48"/>
  <c r="F34" i="43"/>
  <c r="AH24" i="48"/>
  <c r="Q9" i="48"/>
  <c r="F30" i="48"/>
  <c r="G33" i="48"/>
  <c r="G17" i="48"/>
  <c r="I40" i="10"/>
  <c r="I48" i="10" s="1"/>
  <c r="C24" i="4"/>
  <c r="AH16" i="48"/>
  <c r="AB9" i="48"/>
  <c r="J25" i="31"/>
  <c r="J25" i="30" s="1"/>
  <c r="J25" i="29" s="1"/>
  <c r="J25" i="27" s="1"/>
  <c r="J25" i="28" s="1"/>
  <c r="J25" i="26" s="1"/>
  <c r="G32" i="48"/>
  <c r="B31" i="45"/>
  <c r="Q31" i="45" s="1"/>
  <c r="J24" i="31"/>
  <c r="J24" i="30" s="1"/>
  <c r="J24" i="29" s="1"/>
  <c r="J24" i="27" s="1"/>
  <c r="J24" i="28" s="1"/>
  <c r="J24" i="26" s="1"/>
  <c r="AA21" i="46"/>
  <c r="AB21" i="46" s="1"/>
  <c r="J31" i="31"/>
  <c r="J31" i="30" s="1"/>
  <c r="J31" i="29" s="1"/>
  <c r="J31" i="27" s="1"/>
  <c r="J31" i="28" s="1"/>
  <c r="J31" i="26" s="1"/>
  <c r="J30" i="31"/>
  <c r="J30" i="30" s="1"/>
  <c r="J30" i="29" s="1"/>
  <c r="J30" i="27" s="1"/>
  <c r="J30" i="28" s="1"/>
  <c r="J30" i="26" s="1"/>
  <c r="H19" i="48"/>
  <c r="B18" i="45"/>
  <c r="Q18" i="45" s="1"/>
  <c r="E39" i="33"/>
  <c r="AA11" i="46"/>
  <c r="AB11" i="46" s="1"/>
  <c r="J29" i="31"/>
  <c r="J29" i="30" s="1"/>
  <c r="J29" i="29" s="1"/>
  <c r="J29" i="27" s="1"/>
  <c r="J29" i="28" s="1"/>
  <c r="J29" i="26" s="1"/>
  <c r="E36" i="48"/>
  <c r="F36" i="48" s="1"/>
  <c r="C34" i="4"/>
  <c r="J28" i="31"/>
  <c r="J28" i="30" s="1"/>
  <c r="J28" i="29" s="1"/>
  <c r="J28" i="27" s="1"/>
  <c r="J28" i="28" s="1"/>
  <c r="J28" i="26" s="1"/>
  <c r="J27" i="31"/>
  <c r="J27" i="30" s="1"/>
  <c r="J27" i="29" s="1"/>
  <c r="J27" i="27" s="1"/>
  <c r="J27" i="28" s="1"/>
  <c r="J27" i="26" s="1"/>
  <c r="J27" i="25" s="1"/>
  <c r="D38" i="1"/>
  <c r="B37" i="45"/>
  <c r="AA16" i="46"/>
  <c r="AB16" i="46" s="1"/>
  <c r="J26" i="31"/>
  <c r="J26" i="30" s="1"/>
  <c r="J26" i="29" s="1"/>
  <c r="J26" i="27" s="1"/>
  <c r="J26" i="28" s="1"/>
  <c r="J26" i="26" s="1"/>
  <c r="D39" i="1"/>
  <c r="B38" i="45"/>
  <c r="Q38" i="45" s="1"/>
  <c r="A10" i="2"/>
  <c r="A6" i="47"/>
  <c r="A11" i="47" s="1"/>
  <c r="AB32" i="48"/>
  <c r="E33" i="43"/>
  <c r="N12" i="45"/>
  <c r="F12" i="45"/>
  <c r="J12" i="45"/>
  <c r="Q12" i="45"/>
  <c r="N13" i="45"/>
  <c r="J13" i="45"/>
  <c r="F13" i="45"/>
  <c r="Q13" i="45"/>
  <c r="E46" i="33"/>
  <c r="F10" i="45"/>
  <c r="N10" i="45"/>
  <c r="J10" i="45"/>
  <c r="Q10" i="45"/>
  <c r="F11" i="45"/>
  <c r="J11" i="45"/>
  <c r="N11" i="45"/>
  <c r="Q11" i="45"/>
  <c r="F13" i="48"/>
  <c r="F9" i="45"/>
  <c r="J9" i="45"/>
  <c r="N9" i="45"/>
  <c r="Q9" i="45"/>
  <c r="F17" i="48"/>
  <c r="D11" i="1"/>
  <c r="D19" i="1"/>
  <c r="Q26" i="45"/>
  <c r="D27" i="1"/>
  <c r="Q34" i="45"/>
  <c r="D35" i="1"/>
  <c r="D12" i="1"/>
  <c r="D13" i="2" s="1"/>
  <c r="Q19" i="45"/>
  <c r="D20" i="1"/>
  <c r="Q27" i="45"/>
  <c r="D28" i="1"/>
  <c r="Q35" i="45"/>
  <c r="D36" i="1"/>
  <c r="Q33" i="45"/>
  <c r="D34" i="1"/>
  <c r="D13" i="1"/>
  <c r="Q20" i="45"/>
  <c r="D21" i="1"/>
  <c r="Q28" i="45"/>
  <c r="D29" i="1"/>
  <c r="Q36" i="45"/>
  <c r="D37" i="1"/>
  <c r="D10" i="1"/>
  <c r="Q8" i="45"/>
  <c r="D9" i="1"/>
  <c r="D14" i="1"/>
  <c r="Q21" i="45"/>
  <c r="D22" i="1"/>
  <c r="Q29" i="45"/>
  <c r="D30" i="1"/>
  <c r="F12" i="48"/>
  <c r="Q25" i="45"/>
  <c r="D26" i="1"/>
  <c r="D24" i="4"/>
  <c r="Q14" i="45"/>
  <c r="D15" i="1"/>
  <c r="Q22" i="45"/>
  <c r="D23" i="1"/>
  <c r="Q30" i="45"/>
  <c r="D31" i="1"/>
  <c r="Q15" i="45"/>
  <c r="D16" i="1"/>
  <c r="Q23" i="45"/>
  <c r="D24" i="1"/>
  <c r="D32" i="1"/>
  <c r="Q17" i="45"/>
  <c r="D18" i="1"/>
  <c r="Q16" i="45"/>
  <c r="D17" i="1"/>
  <c r="Q24" i="45"/>
  <c r="D25" i="1"/>
  <c r="Q32" i="45"/>
  <c r="D33" i="1"/>
  <c r="N36" i="45"/>
  <c r="F36" i="45"/>
  <c r="AB35" i="48"/>
  <c r="AB11" i="48"/>
  <c r="K34" i="6"/>
  <c r="I40" i="6" s="1"/>
  <c r="I48" i="6" s="1"/>
  <c r="G19" i="48"/>
  <c r="AB19" i="48"/>
  <c r="AH19" i="48"/>
  <c r="K34" i="8"/>
  <c r="H18" i="48"/>
  <c r="AH34" i="48"/>
  <c r="AB34" i="48"/>
  <c r="F30" i="45"/>
  <c r="J30" i="45"/>
  <c r="AB27" i="48"/>
  <c r="C52" i="37"/>
  <c r="C53" i="37" s="1"/>
  <c r="C33" i="4"/>
  <c r="D34" i="4"/>
  <c r="J26" i="45"/>
  <c r="F26" i="45"/>
  <c r="N26" i="45"/>
  <c r="J28" i="45"/>
  <c r="H27" i="48"/>
  <c r="G27" i="48"/>
  <c r="F24" i="45"/>
  <c r="G11" i="48"/>
  <c r="G35" i="48"/>
  <c r="K7" i="13"/>
  <c r="J27" i="45"/>
  <c r="K34" i="17"/>
  <c r="E33" i="4"/>
  <c r="AB28" i="48"/>
  <c r="J23" i="45"/>
  <c r="AB24" i="48"/>
  <c r="E23" i="48"/>
  <c r="F23" i="48" s="1"/>
  <c r="J19" i="45"/>
  <c r="F19" i="45"/>
  <c r="N19" i="45"/>
  <c r="N20" i="45"/>
  <c r="J21" i="45"/>
  <c r="F21" i="45"/>
  <c r="N21" i="45"/>
  <c r="J17" i="45"/>
  <c r="F17" i="45"/>
  <c r="N17" i="45"/>
  <c r="I40" i="22"/>
  <c r="R21" i="48" s="1"/>
  <c r="C33" i="43"/>
  <c r="J14" i="45"/>
  <c r="F14" i="45"/>
  <c r="N14" i="45"/>
  <c r="J15" i="45"/>
  <c r="N15" i="45"/>
  <c r="N16" i="45"/>
  <c r="M9" i="26"/>
  <c r="J22" i="30"/>
  <c r="J22" i="29" s="1"/>
  <c r="J22" i="27" s="1"/>
  <c r="J22" i="28" s="1"/>
  <c r="J22" i="26" s="1"/>
  <c r="J22" i="25" s="1"/>
  <c r="J22" i="24" s="1"/>
  <c r="J14" i="30"/>
  <c r="J14" i="29" s="1"/>
  <c r="J14" i="27" s="1"/>
  <c r="J14" i="28" s="1"/>
  <c r="J14" i="26" s="1"/>
  <c r="J14" i="25" s="1"/>
  <c r="J14" i="24" s="1"/>
  <c r="J9" i="30"/>
  <c r="J9" i="29" s="1"/>
  <c r="J9" i="27" s="1"/>
  <c r="J9" i="28" s="1"/>
  <c r="J9" i="26" s="1"/>
  <c r="J9" i="25" s="1"/>
  <c r="J9" i="24" s="1"/>
  <c r="J21" i="30"/>
  <c r="J21" i="29" s="1"/>
  <c r="J21" i="27" s="1"/>
  <c r="J21" i="28" s="1"/>
  <c r="J21" i="26" s="1"/>
  <c r="J21" i="25" s="1"/>
  <c r="J21" i="24" s="1"/>
  <c r="J8" i="30"/>
  <c r="J8" i="29" s="1"/>
  <c r="J8" i="27" s="1"/>
  <c r="J8" i="28" s="1"/>
  <c r="J8" i="26" s="1"/>
  <c r="J8" i="25" s="1"/>
  <c r="J8" i="24" s="1"/>
  <c r="J20" i="30"/>
  <c r="J20" i="29" s="1"/>
  <c r="J20" i="27" s="1"/>
  <c r="J20" i="28" s="1"/>
  <c r="J20" i="26" s="1"/>
  <c r="J20" i="25" s="1"/>
  <c r="J20" i="24" s="1"/>
  <c r="J7" i="30"/>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23" i="30"/>
  <c r="J23" i="29" s="1"/>
  <c r="J23" i="27" s="1"/>
  <c r="J23" i="28" s="1"/>
  <c r="J23" i="26" s="1"/>
  <c r="J23" i="25" s="1"/>
  <c r="J23" i="24" s="1"/>
  <c r="J19" i="30"/>
  <c r="J19" i="29" s="1"/>
  <c r="J19" i="27" s="1"/>
  <c r="J19" i="28" s="1"/>
  <c r="J19" i="26" s="1"/>
  <c r="J19" i="25" s="1"/>
  <c r="J19" i="24" s="1"/>
  <c r="J18" i="30"/>
  <c r="J18" i="29" s="1"/>
  <c r="J18" i="27" s="1"/>
  <c r="J18" i="28" s="1"/>
  <c r="J18" i="26" s="1"/>
  <c r="J18" i="25" s="1"/>
  <c r="J18" i="24" s="1"/>
  <c r="J13" i="30"/>
  <c r="J13" i="29" s="1"/>
  <c r="J13" i="27" s="1"/>
  <c r="J13" i="28" s="1"/>
  <c r="J13" i="25" s="1"/>
  <c r="J13" i="24" s="1"/>
  <c r="J17" i="30"/>
  <c r="J17" i="29" s="1"/>
  <c r="J17" i="27" s="1"/>
  <c r="J17" i="28" s="1"/>
  <c r="J17" i="26" s="1"/>
  <c r="J17" i="25" s="1"/>
  <c r="J17" i="24" s="1"/>
  <c r="J12" i="30"/>
  <c r="J12" i="29" s="1"/>
  <c r="J12" i="27" s="1"/>
  <c r="J12" i="26" s="1"/>
  <c r="J12" i="25" s="1"/>
  <c r="J12" i="24" s="1"/>
  <c r="J16" i="30"/>
  <c r="J16" i="29" s="1"/>
  <c r="J16" i="27" s="1"/>
  <c r="J16" i="28" s="1"/>
  <c r="J16" i="26" s="1"/>
  <c r="J11" i="30"/>
  <c r="J11" i="29" s="1"/>
  <c r="J11" i="28" s="1"/>
  <c r="J11" i="26" s="1"/>
  <c r="J11" i="25" s="1"/>
  <c r="J11" i="24" s="1"/>
  <c r="J15" i="30"/>
  <c r="J15" i="29" s="1"/>
  <c r="J15" i="27" s="1"/>
  <c r="J15" i="28" s="1"/>
  <c r="J15" i="26" s="1"/>
  <c r="J10" i="30"/>
  <c r="J10" i="27" s="1"/>
  <c r="J10" i="28" s="1"/>
  <c r="J10" i="26" s="1"/>
  <c r="J10" i="25" s="1"/>
  <c r="J10" i="24" s="1"/>
  <c r="AB13" i="48"/>
  <c r="H13" i="48"/>
  <c r="G13" i="48"/>
  <c r="D15" i="33"/>
  <c r="C52" i="6"/>
  <c r="C53" i="6" s="1"/>
  <c r="F34" i="4"/>
  <c r="F29" i="48"/>
  <c r="C52" i="13"/>
  <c r="C53" i="13" s="1"/>
  <c r="C52" i="9"/>
  <c r="C53" i="9" s="1"/>
  <c r="E24" i="33"/>
  <c r="C34" i="43"/>
  <c r="K13" i="43" s="1"/>
  <c r="H28" i="48"/>
  <c r="E15" i="43"/>
  <c r="J57" i="23"/>
  <c r="G20" i="48"/>
  <c r="D24" i="43"/>
  <c r="E24" i="43"/>
  <c r="C24" i="43"/>
  <c r="D15" i="43"/>
  <c r="E34" i="4"/>
  <c r="E15" i="33"/>
  <c r="D33" i="4"/>
  <c r="E34" i="33"/>
  <c r="J57" i="33" s="1"/>
  <c r="AB25" i="48"/>
  <c r="C24" i="33"/>
  <c r="F34" i="45"/>
  <c r="D24" i="33"/>
  <c r="B27" i="2"/>
  <c r="B29" i="2"/>
  <c r="B25" i="2"/>
  <c r="AH36" i="48"/>
  <c r="V37" i="48"/>
  <c r="B28" i="2"/>
  <c r="B14" i="2"/>
  <c r="AB10" i="48"/>
  <c r="F32" i="48"/>
  <c r="C52" i="7"/>
  <c r="C53" i="7" s="1"/>
  <c r="H31" i="48"/>
  <c r="R32" i="48"/>
  <c r="C31" i="45" s="1"/>
  <c r="E33" i="48"/>
  <c r="C52" i="10"/>
  <c r="C53" i="10" s="1"/>
  <c r="C52" i="11"/>
  <c r="C53" i="11" s="1"/>
  <c r="I47" i="18"/>
  <c r="G30" i="48"/>
  <c r="C52" i="14"/>
  <c r="C53" i="14" s="1"/>
  <c r="E27" i="48"/>
  <c r="C52" i="15"/>
  <c r="C53" i="15" s="1"/>
  <c r="D28" i="2" s="1"/>
  <c r="AB26" i="48"/>
  <c r="D27" i="2" s="1"/>
  <c r="I47" i="24"/>
  <c r="I40" i="18"/>
  <c r="R24" i="48" s="1"/>
  <c r="C23" i="45" s="1"/>
  <c r="F25" i="48"/>
  <c r="H25" i="48"/>
  <c r="G25" i="48"/>
  <c r="C52" i="17"/>
  <c r="C53" i="17" s="1"/>
  <c r="I47" i="26"/>
  <c r="C52" i="19"/>
  <c r="C53" i="19" s="1"/>
  <c r="C52" i="20"/>
  <c r="C53" i="20" s="1"/>
  <c r="H22" i="48"/>
  <c r="G22" i="48"/>
  <c r="I47" i="25"/>
  <c r="K34" i="21"/>
  <c r="C52" i="21"/>
  <c r="C53" i="21" s="1"/>
  <c r="D21" i="2" s="1"/>
  <c r="C52" i="23"/>
  <c r="C53" i="23" s="1"/>
  <c r="I47" i="28"/>
  <c r="AH18" i="48"/>
  <c r="I47" i="33"/>
  <c r="G16" i="48"/>
  <c r="C52" i="26"/>
  <c r="C53" i="26" s="1"/>
  <c r="C52" i="28"/>
  <c r="C53" i="28" s="1"/>
  <c r="AF9" i="48"/>
  <c r="AG9" i="48" s="1"/>
  <c r="C52" i="27"/>
  <c r="C53" i="27" s="1"/>
  <c r="AF10" i="48"/>
  <c r="AH10" i="48" s="1"/>
  <c r="C34" i="33"/>
  <c r="W6" i="57" s="1"/>
  <c r="X6" i="57" s="1"/>
  <c r="D12" i="2"/>
  <c r="G10" i="48"/>
  <c r="E33" i="33"/>
  <c r="C52" i="29"/>
  <c r="C53" i="29" s="1"/>
  <c r="AF13" i="48"/>
  <c r="AH13" i="48" s="1"/>
  <c r="C15" i="33"/>
  <c r="J38" i="31"/>
  <c r="J47" i="33"/>
  <c r="D51" i="32"/>
  <c r="D51" i="31" s="1"/>
  <c r="D49" i="32"/>
  <c r="D49" i="31" s="1"/>
  <c r="E49" i="31" s="1"/>
  <c r="D47" i="32"/>
  <c r="E47" i="32" s="1"/>
  <c r="D45" i="32"/>
  <c r="E49" i="33"/>
  <c r="H10" i="48"/>
  <c r="C52" i="31"/>
  <c r="C53" i="31" s="1"/>
  <c r="J46" i="32"/>
  <c r="J47" i="32" s="1"/>
  <c r="D44" i="32"/>
  <c r="E44" i="32" s="1"/>
  <c r="D40" i="32"/>
  <c r="D34" i="33"/>
  <c r="Z6" i="57" s="1"/>
  <c r="C33" i="33"/>
  <c r="C52" i="32"/>
  <c r="C53" i="32" s="1"/>
  <c r="F15" i="48"/>
  <c r="C52" i="22"/>
  <c r="C53" i="22" s="1"/>
  <c r="C52" i="18"/>
  <c r="C53" i="18" s="1"/>
  <c r="C52" i="16"/>
  <c r="C53" i="16" s="1"/>
  <c r="C52" i="12"/>
  <c r="C53" i="12" s="1"/>
  <c r="C52" i="8"/>
  <c r="C53" i="8" s="1"/>
  <c r="V15" i="37"/>
  <c r="W15" i="37" s="1"/>
  <c r="V7" i="37"/>
  <c r="W7" i="37" s="1"/>
  <c r="C52" i="4"/>
  <c r="C53" i="4" s="1"/>
  <c r="E24" i="4"/>
  <c r="E15" i="4"/>
  <c r="D15" i="4"/>
  <c r="C52" i="43"/>
  <c r="C53" i="43" s="1"/>
  <c r="E16" i="48"/>
  <c r="AB12" i="48"/>
  <c r="G12" i="48"/>
  <c r="G14" i="48"/>
  <c r="H14" i="48"/>
  <c r="AB18" i="48"/>
  <c r="G18" i="48"/>
  <c r="AB20" i="48"/>
  <c r="H20" i="48"/>
  <c r="AB22" i="48"/>
  <c r="G28" i="48"/>
  <c r="H30" i="48"/>
  <c r="H34" i="48"/>
  <c r="G34" i="48"/>
  <c r="V36" i="48"/>
  <c r="AB36" i="48"/>
  <c r="V38" i="48"/>
  <c r="AB38" i="48"/>
  <c r="G38" i="48"/>
  <c r="H38" i="48"/>
  <c r="J44" i="33"/>
  <c r="J43" i="32"/>
  <c r="I44" i="18"/>
  <c r="I44" i="4"/>
  <c r="C52" i="25"/>
  <c r="C53" i="25" s="1"/>
  <c r="C52" i="30"/>
  <c r="C53" i="30" s="1"/>
  <c r="C52" i="24"/>
  <c r="C53" i="24" s="1"/>
  <c r="D43" i="32"/>
  <c r="D43" i="31" s="1"/>
  <c r="D41" i="32"/>
  <c r="E41" i="32" s="1"/>
  <c r="F34" i="33"/>
  <c r="D33" i="33"/>
  <c r="I40" i="20"/>
  <c r="I48" i="20" s="1"/>
  <c r="E34" i="43"/>
  <c r="C15" i="43"/>
  <c r="V39" i="48"/>
  <c r="G39" i="48"/>
  <c r="E21" i="48"/>
  <c r="E22" i="48"/>
  <c r="E24" i="48"/>
  <c r="E39" i="48"/>
  <c r="I40" i="4"/>
  <c r="I48" i="4" s="1"/>
  <c r="C15" i="4"/>
  <c r="V15" i="4"/>
  <c r="W15" i="4" s="1"/>
  <c r="D33" i="43"/>
  <c r="D34" i="43"/>
  <c r="E20" i="48"/>
  <c r="E9" i="48"/>
  <c r="J37" i="33"/>
  <c r="E38" i="33"/>
  <c r="D38" i="32"/>
  <c r="E38" i="32" s="1"/>
  <c r="P41" i="48"/>
  <c r="E41" i="33"/>
  <c r="E45" i="33"/>
  <c r="D39" i="32"/>
  <c r="E39" i="32" s="1"/>
  <c r="E43" i="33"/>
  <c r="E47" i="33"/>
  <c r="E44" i="33"/>
  <c r="C52" i="33"/>
  <c r="C53" i="33" s="1"/>
  <c r="E50" i="33"/>
  <c r="D50" i="32"/>
  <c r="E40" i="33"/>
  <c r="D48" i="32"/>
  <c r="E48" i="32" s="1"/>
  <c r="D52" i="33"/>
  <c r="D53" i="33" s="1"/>
  <c r="D42" i="32"/>
  <c r="D46" i="32"/>
  <c r="E51" i="33"/>
  <c r="A11" i="2"/>
  <c r="M20" i="11"/>
  <c r="M20" i="10" s="1"/>
  <c r="M20" i="9" s="1"/>
  <c r="M20" i="8" s="1"/>
  <c r="M20" i="7" s="1"/>
  <c r="M20" i="6" s="1"/>
  <c r="M20" i="37" s="1"/>
  <c r="M20" i="4" s="1"/>
  <c r="M20" i="43" s="1"/>
  <c r="E10" i="48"/>
  <c r="E11" i="48"/>
  <c r="E14" i="48"/>
  <c r="E19" i="48"/>
  <c r="E26" i="48"/>
  <c r="E34" i="48"/>
  <c r="E37" i="48"/>
  <c r="E38" i="48"/>
  <c r="E31" i="48"/>
  <c r="F35" i="48"/>
  <c r="G36" i="48"/>
  <c r="AH15" i="48"/>
  <c r="AB29" i="48"/>
  <c r="J32" i="25"/>
  <c r="J32" i="24"/>
  <c r="J32" i="23" s="1"/>
  <c r="F28" i="48"/>
  <c r="H35" i="48"/>
  <c r="H33" i="48"/>
  <c r="H23" i="48"/>
  <c r="G26" i="48"/>
  <c r="H11" i="48"/>
  <c r="Q10" i="48"/>
  <c r="AC9" i="48"/>
  <c r="I47" i="4"/>
  <c r="AF38" i="48"/>
  <c r="I47" i="37"/>
  <c r="AF37" i="48"/>
  <c r="I47" i="6"/>
  <c r="AF35" i="48"/>
  <c r="I47" i="8"/>
  <c r="I47" i="9"/>
  <c r="AF32" i="48"/>
  <c r="AF31" i="48"/>
  <c r="I47" i="12"/>
  <c r="I47" i="13"/>
  <c r="AF28" i="48"/>
  <c r="AF27" i="48"/>
  <c r="AF26" i="48"/>
  <c r="I47" i="19"/>
  <c r="AF23" i="48"/>
  <c r="AF22" i="48"/>
  <c r="I47" i="23"/>
  <c r="I47" i="30"/>
  <c r="AF12" i="48"/>
  <c r="AH12" i="48" s="1"/>
  <c r="H36" i="48"/>
  <c r="H32" i="48"/>
  <c r="H12" i="48"/>
  <c r="H17" i="48"/>
  <c r="G24" i="48"/>
  <c r="H24" i="48"/>
  <c r="I47" i="22"/>
  <c r="AF25" i="48"/>
  <c r="AF14" i="48"/>
  <c r="AF20" i="48"/>
  <c r="I47" i="20"/>
  <c r="I47" i="14"/>
  <c r="AF39" i="48"/>
  <c r="I47" i="10"/>
  <c r="I47" i="11"/>
  <c r="I47" i="7"/>
  <c r="AH11" i="48"/>
  <c r="I47" i="31"/>
  <c r="AB16" i="48"/>
  <c r="H16" i="48"/>
  <c r="H26" i="48"/>
  <c r="W155" i="46" l="1"/>
  <c r="W155" i="57"/>
  <c r="K34" i="43"/>
  <c r="I40" i="43" s="1"/>
  <c r="M13" i="43"/>
  <c r="D20" i="2"/>
  <c r="AA6" i="57"/>
  <c r="AB6" i="57" s="1"/>
  <c r="I45" i="10"/>
  <c r="D23" i="2"/>
  <c r="D16" i="2"/>
  <c r="D11" i="2"/>
  <c r="J18" i="45"/>
  <c r="N18" i="45"/>
  <c r="D26" i="2"/>
  <c r="D25" i="2" s="1"/>
  <c r="D35" i="4"/>
  <c r="F18" i="45"/>
  <c r="A14" i="47"/>
  <c r="A16" i="47" s="1"/>
  <c r="J26" i="25"/>
  <c r="J26" i="24"/>
  <c r="J26" i="23" s="1"/>
  <c r="J26" i="21" s="1"/>
  <c r="J26" i="22" s="1"/>
  <c r="J26" i="20" s="1"/>
  <c r="J31" i="25"/>
  <c r="J31" i="24"/>
  <c r="J31" i="23" s="1"/>
  <c r="J31" i="21" s="1"/>
  <c r="J31" i="22" s="1"/>
  <c r="J31" i="20" s="1"/>
  <c r="J24" i="25"/>
  <c r="J24" i="24"/>
  <c r="J24" i="23" s="1"/>
  <c r="J24" i="21" s="1"/>
  <c r="J24" i="22" s="1"/>
  <c r="J24" i="20" s="1"/>
  <c r="J30" i="25"/>
  <c r="J30" i="24"/>
  <c r="J30" i="23" s="1"/>
  <c r="J30" i="21" s="1"/>
  <c r="J30" i="22" s="1"/>
  <c r="J30" i="20" s="1"/>
  <c r="J29" i="25"/>
  <c r="J29" i="24"/>
  <c r="J28" i="25"/>
  <c r="J28" i="24"/>
  <c r="J28" i="23" s="1"/>
  <c r="J28" i="21" s="1"/>
  <c r="J28" i="22" s="1"/>
  <c r="J28" i="20" s="1"/>
  <c r="J25" i="25"/>
  <c r="J25" i="24"/>
  <c r="D14" i="2" s="1"/>
  <c r="J27" i="24"/>
  <c r="J27" i="23" s="1"/>
  <c r="J27" i="21" s="1"/>
  <c r="J27" i="22" s="1"/>
  <c r="J27" i="20" s="1"/>
  <c r="Z6" i="46"/>
  <c r="D29" i="2"/>
  <c r="E21" i="1"/>
  <c r="HU21" i="1" s="1"/>
  <c r="C20" i="45"/>
  <c r="D22" i="2"/>
  <c r="F33" i="45"/>
  <c r="N33" i="45"/>
  <c r="D24" i="2"/>
  <c r="D33" i="2"/>
  <c r="J33" i="45"/>
  <c r="N29" i="45"/>
  <c r="J36" i="45"/>
  <c r="D31" i="2"/>
  <c r="N23" i="45"/>
  <c r="N24" i="45"/>
  <c r="D32" i="2"/>
  <c r="J25" i="45"/>
  <c r="D38" i="2"/>
  <c r="J20" i="45"/>
  <c r="F22" i="45"/>
  <c r="F27" i="45"/>
  <c r="J29" i="45"/>
  <c r="J22" i="45"/>
  <c r="F31" i="45"/>
  <c r="D35" i="2"/>
  <c r="N22" i="45"/>
  <c r="J31" i="45"/>
  <c r="E45" i="32"/>
  <c r="F25" i="45"/>
  <c r="N31" i="45"/>
  <c r="D19" i="2"/>
  <c r="N25" i="45"/>
  <c r="F32" i="45"/>
  <c r="D10" i="2"/>
  <c r="F20" i="45"/>
  <c r="N27" i="45"/>
  <c r="J34" i="45"/>
  <c r="N28" i="45"/>
  <c r="J24" i="45"/>
  <c r="N35" i="45"/>
  <c r="F35" i="45"/>
  <c r="N34" i="45"/>
  <c r="F23" i="45"/>
  <c r="F28" i="45"/>
  <c r="K7" i="33"/>
  <c r="M7" i="33" s="1"/>
  <c r="M34" i="33" s="1"/>
  <c r="J40" i="33" s="1"/>
  <c r="J48" i="33" s="1"/>
  <c r="W6" i="46"/>
  <c r="X6" i="46" s="1"/>
  <c r="N8" i="45"/>
  <c r="F8" i="45"/>
  <c r="J8" i="45"/>
  <c r="D39" i="2" s="1"/>
  <c r="J15" i="25"/>
  <c r="J15" i="24" s="1"/>
  <c r="J15" i="23" s="1"/>
  <c r="J15" i="22" s="1"/>
  <c r="J15" i="20" s="1"/>
  <c r="D17" i="2"/>
  <c r="D30" i="2"/>
  <c r="D36" i="2"/>
  <c r="D41" i="1"/>
  <c r="K23" i="45"/>
  <c r="E24" i="1"/>
  <c r="D37" i="2"/>
  <c r="J16" i="25"/>
  <c r="J16" i="24" s="1"/>
  <c r="J16" i="23" s="1"/>
  <c r="J16" i="21" s="1"/>
  <c r="J16" i="20" s="1"/>
  <c r="D18" i="2"/>
  <c r="F16" i="45"/>
  <c r="N30" i="45"/>
  <c r="J35" i="45"/>
  <c r="D15" i="2"/>
  <c r="D40" i="2"/>
  <c r="Q37" i="45"/>
  <c r="J16" i="45"/>
  <c r="JE21" i="1"/>
  <c r="AW21" i="1"/>
  <c r="AN21" i="1"/>
  <c r="J21" i="1"/>
  <c r="DW21" i="1"/>
  <c r="BF21" i="1"/>
  <c r="F29" i="45"/>
  <c r="J32" i="45"/>
  <c r="D34" i="2"/>
  <c r="E32" i="1"/>
  <c r="F15" i="45"/>
  <c r="N32" i="45"/>
  <c r="K34" i="37"/>
  <c r="I40" i="37" s="1"/>
  <c r="I48" i="37" s="1"/>
  <c r="J57" i="21"/>
  <c r="J57" i="22" s="1"/>
  <c r="J57" i="20" s="1"/>
  <c r="J57" i="19" s="1"/>
  <c r="J57" i="18" s="1"/>
  <c r="I40" i="8"/>
  <c r="K34" i="7"/>
  <c r="K34" i="9"/>
  <c r="K31" i="45"/>
  <c r="I45" i="22"/>
  <c r="K34" i="12"/>
  <c r="K34" i="11"/>
  <c r="J57" i="32"/>
  <c r="J57" i="31" s="1"/>
  <c r="C35" i="13"/>
  <c r="I48" i="22"/>
  <c r="K34" i="16"/>
  <c r="W92" i="57" s="1"/>
  <c r="X92" i="57" s="1"/>
  <c r="K34" i="13"/>
  <c r="K34" i="14"/>
  <c r="I40" i="17"/>
  <c r="I48" i="17" s="1"/>
  <c r="K34" i="15"/>
  <c r="W97" i="57" s="1"/>
  <c r="X97" i="57" s="1"/>
  <c r="K34" i="19"/>
  <c r="C35" i="4"/>
  <c r="G23" i="45"/>
  <c r="J21" i="23"/>
  <c r="J21" i="21" s="1"/>
  <c r="J21" i="22" s="1"/>
  <c r="J21" i="20" s="1"/>
  <c r="J9" i="23"/>
  <c r="J9" i="21" s="1"/>
  <c r="J9" i="22" s="1"/>
  <c r="J9" i="20" s="1"/>
  <c r="J11" i="23"/>
  <c r="J11" i="21" s="1"/>
  <c r="J11" i="22" s="1"/>
  <c r="J11" i="20" s="1"/>
  <c r="J19" i="23"/>
  <c r="J19" i="21" s="1"/>
  <c r="J19" i="22" s="1"/>
  <c r="J19" i="20" s="1"/>
  <c r="J20" i="23"/>
  <c r="J20" i="21" s="1"/>
  <c r="J20" i="22" s="1"/>
  <c r="J20" i="20" s="1"/>
  <c r="J14" i="21"/>
  <c r="J14" i="22" s="1"/>
  <c r="J14" i="20" s="1"/>
  <c r="J23" i="23"/>
  <c r="J23" i="21" s="1"/>
  <c r="J23" i="22" s="1"/>
  <c r="J23" i="20" s="1"/>
  <c r="J22" i="23"/>
  <c r="J22" i="21" s="1"/>
  <c r="J22" i="22" s="1"/>
  <c r="J22" i="20" s="1"/>
  <c r="M9" i="25"/>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J12" i="23"/>
  <c r="J12" i="21" s="1"/>
  <c r="J12" i="22" s="1"/>
  <c r="J12" i="20" s="1"/>
  <c r="J29" i="23"/>
  <c r="J29" i="21" s="1"/>
  <c r="J29" i="22" s="1"/>
  <c r="J29" i="20" s="1"/>
  <c r="J10" i="23"/>
  <c r="J10" i="21" s="1"/>
  <c r="J10" i="22" s="1"/>
  <c r="J10" i="20" s="1"/>
  <c r="J17" i="23"/>
  <c r="J17" i="21" s="1"/>
  <c r="J17" i="22" s="1"/>
  <c r="J17" i="20" s="1"/>
  <c r="I40" i="21"/>
  <c r="R20" i="48" s="1"/>
  <c r="J13" i="23"/>
  <c r="J13" i="21" s="1"/>
  <c r="J13" i="22" s="1"/>
  <c r="J13" i="20" s="1"/>
  <c r="K34" i="23"/>
  <c r="J18" i="23"/>
  <c r="J18" i="21" s="1"/>
  <c r="J18" i="22" s="1"/>
  <c r="J18" i="20" s="1"/>
  <c r="J8" i="23"/>
  <c r="J8" i="21" s="1"/>
  <c r="J8" i="22" s="1"/>
  <c r="J8" i="20" s="1"/>
  <c r="BC21" i="48"/>
  <c r="K34" i="24"/>
  <c r="E35" i="4"/>
  <c r="K34" i="25"/>
  <c r="K34" i="26"/>
  <c r="C35" i="25"/>
  <c r="K34" i="28"/>
  <c r="D40" i="31"/>
  <c r="D40" i="30" s="1"/>
  <c r="K34" i="29"/>
  <c r="K34" i="30"/>
  <c r="E35" i="37"/>
  <c r="BC24" i="48"/>
  <c r="BC32" i="48"/>
  <c r="C35" i="37"/>
  <c r="D35" i="37"/>
  <c r="I51" i="43"/>
  <c r="R39" i="48"/>
  <c r="C38" i="45" s="1"/>
  <c r="I45" i="43"/>
  <c r="I48" i="43"/>
  <c r="I32" i="48"/>
  <c r="I51" i="6"/>
  <c r="I45" i="6"/>
  <c r="R36" i="48"/>
  <c r="F38" i="45"/>
  <c r="J38" i="45"/>
  <c r="N38" i="45"/>
  <c r="J37" i="45"/>
  <c r="N37" i="45"/>
  <c r="F37" i="45"/>
  <c r="B40" i="45"/>
  <c r="J32" i="48"/>
  <c r="AD32" i="48"/>
  <c r="AG10" i="48"/>
  <c r="AG11" i="48" s="1"/>
  <c r="AG12" i="48" s="1"/>
  <c r="AG13" i="48" s="1"/>
  <c r="AG14" i="48" s="1"/>
  <c r="AG15" i="48" s="1"/>
  <c r="AG16" i="48" s="1"/>
  <c r="AG17" i="48" s="1"/>
  <c r="AG18" i="48" s="1"/>
  <c r="AG19" i="48" s="1"/>
  <c r="AG20" i="48" s="1"/>
  <c r="AG21" i="48" s="1"/>
  <c r="AG22" i="48" s="1"/>
  <c r="AG23" i="48" s="1"/>
  <c r="AG24" i="48" s="1"/>
  <c r="AG25" i="48" s="1"/>
  <c r="AG26" i="48" s="1"/>
  <c r="AG27" i="48" s="1"/>
  <c r="AG28" i="48" s="1"/>
  <c r="AG29" i="48" s="1"/>
  <c r="AG30" i="48" s="1"/>
  <c r="AG31" i="48" s="1"/>
  <c r="AG32" i="48" s="1"/>
  <c r="AG33" i="48" s="1"/>
  <c r="AG34" i="48" s="1"/>
  <c r="AG35" i="48" s="1"/>
  <c r="AG36" i="48" s="1"/>
  <c r="AG37" i="48" s="1"/>
  <c r="AG38" i="48" s="1"/>
  <c r="AG39" i="48" s="1"/>
  <c r="J56" i="33"/>
  <c r="J56" i="32" s="1"/>
  <c r="J56" i="31" s="1"/>
  <c r="E35" i="33"/>
  <c r="D35" i="13"/>
  <c r="C35" i="32"/>
  <c r="E35" i="28"/>
  <c r="M10" i="21"/>
  <c r="M10" i="22" s="1"/>
  <c r="M10" i="20" s="1"/>
  <c r="M10" i="19" s="1"/>
  <c r="M10" i="18" s="1"/>
  <c r="M10" i="17" s="1"/>
  <c r="M10" i="16" s="1"/>
  <c r="M10" i="15" s="1"/>
  <c r="M10" i="14" s="1"/>
  <c r="M10" i="13" s="1"/>
  <c r="M10" i="12" s="1"/>
  <c r="M10" i="11" s="1"/>
  <c r="M10" i="10" s="1"/>
  <c r="M10" i="9" s="1"/>
  <c r="M10" i="8" s="1"/>
  <c r="M10" i="7" s="1"/>
  <c r="M10" i="6" s="1"/>
  <c r="M10" i="37" s="1"/>
  <c r="M10" i="4" s="1"/>
  <c r="M10" i="43" s="1"/>
  <c r="J24" i="48"/>
  <c r="F33" i="48"/>
  <c r="F27" i="48"/>
  <c r="AJ24" i="48"/>
  <c r="I45" i="18"/>
  <c r="I48" i="18"/>
  <c r="AD24" i="48"/>
  <c r="I24" i="48"/>
  <c r="AD21" i="48"/>
  <c r="D35" i="25"/>
  <c r="E35" i="25"/>
  <c r="J46" i="31"/>
  <c r="J47" i="31" s="1"/>
  <c r="E35" i="32"/>
  <c r="J38" i="30"/>
  <c r="J38" i="29" s="1"/>
  <c r="J38" i="27" s="1"/>
  <c r="J38" i="28" s="1"/>
  <c r="J38" i="26" s="1"/>
  <c r="J38" i="25" s="1"/>
  <c r="J38" i="24" s="1"/>
  <c r="J38" i="23" s="1"/>
  <c r="J38" i="21" s="1"/>
  <c r="J38" i="22" s="1"/>
  <c r="J38" i="20" s="1"/>
  <c r="J38" i="19" s="1"/>
  <c r="J38" i="18" s="1"/>
  <c r="J38" i="17" s="1"/>
  <c r="J38" i="16" s="1"/>
  <c r="J38" i="15" s="1"/>
  <c r="J38" i="14" s="1"/>
  <c r="J38" i="13" s="1"/>
  <c r="J38" i="12" s="1"/>
  <c r="J38" i="11" s="1"/>
  <c r="J38" i="10" s="1"/>
  <c r="J38" i="9" s="1"/>
  <c r="J38" i="8" s="1"/>
  <c r="J38" i="7" s="1"/>
  <c r="J38" i="6" s="1"/>
  <c r="J38" i="37" s="1"/>
  <c r="J38" i="4" s="1"/>
  <c r="J38" i="43" s="1"/>
  <c r="D47" i="31"/>
  <c r="D47" i="30" s="1"/>
  <c r="D47" i="29" s="1"/>
  <c r="D45" i="31"/>
  <c r="D45" i="30" s="1"/>
  <c r="E45" i="30" s="1"/>
  <c r="E49" i="32"/>
  <c r="D35" i="32"/>
  <c r="M8" i="32"/>
  <c r="C35" i="33"/>
  <c r="E51" i="32"/>
  <c r="D39" i="31"/>
  <c r="D39" i="30" s="1"/>
  <c r="E39" i="30" s="1"/>
  <c r="E40" i="32"/>
  <c r="D41" i="31"/>
  <c r="E41" i="31" s="1"/>
  <c r="D44" i="31"/>
  <c r="D44" i="30" s="1"/>
  <c r="D44" i="29" s="1"/>
  <c r="D49" i="30"/>
  <c r="D49" i="29" s="1"/>
  <c r="AB41" i="48"/>
  <c r="E43" i="32"/>
  <c r="D35" i="33"/>
  <c r="E43" i="31"/>
  <c r="D43" i="30"/>
  <c r="D43" i="29" s="1"/>
  <c r="E43" i="29" s="1"/>
  <c r="F24" i="48"/>
  <c r="F22" i="48"/>
  <c r="F21" i="48"/>
  <c r="R22" i="48"/>
  <c r="D35" i="28"/>
  <c r="C35" i="29"/>
  <c r="D35" i="29"/>
  <c r="I45" i="20"/>
  <c r="F39" i="48"/>
  <c r="C35" i="28"/>
  <c r="I21" i="48"/>
  <c r="AJ21" i="48"/>
  <c r="J21" i="48"/>
  <c r="E35" i="29"/>
  <c r="F20" i="48"/>
  <c r="D35" i="43"/>
  <c r="C35" i="43"/>
  <c r="I51" i="4"/>
  <c r="R38" i="48"/>
  <c r="E35" i="43"/>
  <c r="E35" i="13"/>
  <c r="I45" i="4"/>
  <c r="J44" i="32"/>
  <c r="J43" i="31"/>
  <c r="F16" i="48"/>
  <c r="D48" i="31"/>
  <c r="E48" i="31" s="1"/>
  <c r="D52" i="32"/>
  <c r="D38" i="31"/>
  <c r="D38" i="30" s="1"/>
  <c r="E50" i="32"/>
  <c r="D50" i="31"/>
  <c r="E52" i="33"/>
  <c r="E53" i="33" s="1"/>
  <c r="D42" i="31"/>
  <c r="E42" i="32"/>
  <c r="D46" i="31"/>
  <c r="E46" i="32"/>
  <c r="E51" i="31"/>
  <c r="D51" i="30"/>
  <c r="A12" i="2"/>
  <c r="F38" i="48"/>
  <c r="F34" i="48"/>
  <c r="F19" i="48"/>
  <c r="F14" i="48"/>
  <c r="F10" i="48"/>
  <c r="J39" i="33"/>
  <c r="J37" i="32"/>
  <c r="F31" i="48"/>
  <c r="F37" i="48"/>
  <c r="F26" i="48"/>
  <c r="F11" i="48"/>
  <c r="F9" i="48"/>
  <c r="AH39" i="48"/>
  <c r="AH14" i="48"/>
  <c r="AF41" i="48"/>
  <c r="AH26" i="48"/>
  <c r="AJ32" i="48"/>
  <c r="AH32" i="48"/>
  <c r="AH35" i="48"/>
  <c r="Q11" i="48"/>
  <c r="AC10" i="48"/>
  <c r="AH20" i="48"/>
  <c r="AH25" i="48"/>
  <c r="AH22" i="48"/>
  <c r="AH27" i="48"/>
  <c r="AH28" i="48"/>
  <c r="AH31" i="48"/>
  <c r="AH37" i="48"/>
  <c r="AH23" i="48"/>
  <c r="AH38" i="48"/>
  <c r="X155" i="57" l="1"/>
  <c r="AA155" i="57"/>
  <c r="AB155" i="57" s="1"/>
  <c r="AA155" i="46"/>
  <c r="AB155" i="46" s="1"/>
  <c r="X155" i="46"/>
  <c r="AA97" i="57"/>
  <c r="AB97" i="57" s="1"/>
  <c r="GN21" i="1"/>
  <c r="AZ21" i="1"/>
  <c r="BI21" i="1"/>
  <c r="HR21" i="1"/>
  <c r="BO21" i="1"/>
  <c r="S21" i="1"/>
  <c r="AB21" i="1"/>
  <c r="AA92" i="57"/>
  <c r="AB92" i="57" s="1"/>
  <c r="AT21" i="1"/>
  <c r="BC21" i="1"/>
  <c r="V21" i="1"/>
  <c r="P21" i="1"/>
  <c r="BL21" i="1"/>
  <c r="AQ21" i="1"/>
  <c r="W97" i="46"/>
  <c r="W92" i="46"/>
  <c r="CV21" i="1"/>
  <c r="CY21" i="1"/>
  <c r="FP21" i="1"/>
  <c r="ID21" i="1"/>
  <c r="IV21" i="1"/>
  <c r="IJ21" i="1"/>
  <c r="IY21" i="1"/>
  <c r="IM21" i="1"/>
  <c r="JB21" i="1"/>
  <c r="IS21" i="1"/>
  <c r="EX21" i="1"/>
  <c r="JH21" i="1"/>
  <c r="CJ21" i="1"/>
  <c r="CM21" i="1"/>
  <c r="CA21" i="1"/>
  <c r="CP21" i="1"/>
  <c r="CD21" i="1"/>
  <c r="BR21" i="1"/>
  <c r="BU21" i="1"/>
  <c r="GQ21" i="1"/>
  <c r="G21" i="1"/>
  <c r="DK21" i="1"/>
  <c r="DN21" i="1"/>
  <c r="DB21" i="1"/>
  <c r="EF21" i="1"/>
  <c r="DT21" i="1"/>
  <c r="EI21" i="1"/>
  <c r="CG21" i="1"/>
  <c r="AH21" i="1"/>
  <c r="IP21" i="1"/>
  <c r="EL21" i="1"/>
  <c r="FD21" i="1"/>
  <c r="ER21" i="1"/>
  <c r="FG21" i="1"/>
  <c r="EU21" i="1"/>
  <c r="FJ21" i="1"/>
  <c r="CS21" i="1"/>
  <c r="BX21" i="1"/>
  <c r="AE21" i="1"/>
  <c r="GB21" i="1"/>
  <c r="GE21" i="1"/>
  <c r="FS21" i="1"/>
  <c r="GH21" i="1"/>
  <c r="FV21" i="1"/>
  <c r="GZ21" i="1"/>
  <c r="EO21" i="1"/>
  <c r="HO21" i="1"/>
  <c r="DZ21" i="1"/>
  <c r="HC21" i="1"/>
  <c r="HF21" i="1"/>
  <c r="GT21" i="1"/>
  <c r="HX21" i="1"/>
  <c r="HL21" i="1"/>
  <c r="IA21" i="1"/>
  <c r="IG21" i="1"/>
  <c r="FA21" i="1"/>
  <c r="FM21" i="1"/>
  <c r="FY21" i="1"/>
  <c r="GK21" i="1"/>
  <c r="M21" i="1"/>
  <c r="DE21" i="1"/>
  <c r="GW21" i="1"/>
  <c r="Y21" i="1"/>
  <c r="DQ21" i="1"/>
  <c r="HI21" i="1"/>
  <c r="DH21" i="1"/>
  <c r="AK21" i="1"/>
  <c r="EC21" i="1"/>
  <c r="E36" i="1"/>
  <c r="GT36" i="1" s="1"/>
  <c r="C35" i="45"/>
  <c r="E20" i="1"/>
  <c r="GE20" i="1" s="1"/>
  <c r="C19" i="45"/>
  <c r="J25" i="23"/>
  <c r="J25" i="21" s="1"/>
  <c r="J25" i="22" s="1"/>
  <c r="J25" i="20" s="1"/>
  <c r="J25" i="19" s="1"/>
  <c r="J25" i="18" s="1"/>
  <c r="J25" i="17" s="1"/>
  <c r="E22" i="1"/>
  <c r="IV22" i="1" s="1"/>
  <c r="C21" i="45"/>
  <c r="E38" i="1"/>
  <c r="CM38" i="1" s="1"/>
  <c r="C37" i="45"/>
  <c r="K34" i="33"/>
  <c r="I40" i="33" s="1"/>
  <c r="R9" i="48" s="1"/>
  <c r="C8" i="45" s="1"/>
  <c r="O8" i="45" s="1"/>
  <c r="R23" i="45"/>
  <c r="O23" i="45"/>
  <c r="D42" i="2"/>
  <c r="O31" i="45"/>
  <c r="I45" i="37"/>
  <c r="R37" i="48"/>
  <c r="J37" i="48" s="1"/>
  <c r="HX32" i="1"/>
  <c r="DN32" i="1"/>
  <c r="CV32" i="1"/>
  <c r="CD32" i="1"/>
  <c r="ID32" i="1"/>
  <c r="HL32" i="1"/>
  <c r="GT32" i="1"/>
  <c r="AT32" i="1"/>
  <c r="AB32" i="1"/>
  <c r="J32" i="1"/>
  <c r="FJ32" i="1"/>
  <c r="ER32" i="1"/>
  <c r="DZ32" i="1"/>
  <c r="IP32" i="1"/>
  <c r="CP32" i="1"/>
  <c r="BX32" i="1"/>
  <c r="BF32" i="1"/>
  <c r="IS32" i="1"/>
  <c r="HF32" i="1"/>
  <c r="GN32" i="1"/>
  <c r="FV32" i="1"/>
  <c r="V32" i="1"/>
  <c r="JB32" i="1"/>
  <c r="IJ32" i="1"/>
  <c r="HR32" i="1"/>
  <c r="BR32" i="1"/>
  <c r="AZ32" i="1"/>
  <c r="AH32" i="1"/>
  <c r="DT32" i="1"/>
  <c r="EL32" i="1"/>
  <c r="EX32" i="1"/>
  <c r="FP32" i="1"/>
  <c r="DB32" i="1"/>
  <c r="GH32" i="1"/>
  <c r="DH32" i="1"/>
  <c r="FD32" i="1"/>
  <c r="GZ32" i="1"/>
  <c r="AW32" i="1"/>
  <c r="EO32" i="1"/>
  <c r="IG32" i="1"/>
  <c r="BC32" i="1"/>
  <c r="EU32" i="1"/>
  <c r="IM32" i="1"/>
  <c r="IV32" i="1"/>
  <c r="AN32" i="1"/>
  <c r="CJ32" i="1"/>
  <c r="P32" i="1"/>
  <c r="GB32" i="1"/>
  <c r="BU32" i="1"/>
  <c r="FY32" i="1"/>
  <c r="JE32" i="1"/>
  <c r="AQ32" i="1"/>
  <c r="FG32" i="1"/>
  <c r="CG32" i="1"/>
  <c r="GK32" i="1"/>
  <c r="BO32" i="1"/>
  <c r="FS32" i="1"/>
  <c r="CS32" i="1"/>
  <c r="GW32" i="1"/>
  <c r="CA32" i="1"/>
  <c r="GE32" i="1"/>
  <c r="DE32" i="1"/>
  <c r="HI32" i="1"/>
  <c r="CM32" i="1"/>
  <c r="GQ32" i="1"/>
  <c r="EF32" i="1"/>
  <c r="M32" i="1"/>
  <c r="DQ32" i="1"/>
  <c r="HU32" i="1"/>
  <c r="CY32" i="1"/>
  <c r="HC32" i="1"/>
  <c r="BI32" i="1"/>
  <c r="S32" i="1"/>
  <c r="EC32" i="1"/>
  <c r="AE32" i="1"/>
  <c r="FA32" i="1"/>
  <c r="DK32" i="1"/>
  <c r="FM32" i="1"/>
  <c r="DW32" i="1"/>
  <c r="EI32" i="1"/>
  <c r="BL32" i="1"/>
  <c r="Y32" i="1"/>
  <c r="JH32" i="1"/>
  <c r="IA32" i="1"/>
  <c r="AK32" i="1"/>
  <c r="G32" i="1"/>
  <c r="IY32" i="1"/>
  <c r="HO32" i="1"/>
  <c r="HU24" i="1"/>
  <c r="GT24" i="1"/>
  <c r="FS24" i="1"/>
  <c r="EC24" i="1"/>
  <c r="CA24" i="1"/>
  <c r="IG24" i="1"/>
  <c r="HF24" i="1"/>
  <c r="GE24" i="1"/>
  <c r="EO24" i="1"/>
  <c r="DN24" i="1"/>
  <c r="CM24" i="1"/>
  <c r="AW24" i="1"/>
  <c r="AK24" i="1"/>
  <c r="Y24" i="1"/>
  <c r="M24" i="1"/>
  <c r="IS24" i="1"/>
  <c r="HR24" i="1"/>
  <c r="GQ24" i="1"/>
  <c r="FA24" i="1"/>
  <c r="DZ24" i="1"/>
  <c r="CY24" i="1"/>
  <c r="BI24" i="1"/>
  <c r="JE24" i="1"/>
  <c r="ID24" i="1"/>
  <c r="HC24" i="1"/>
  <c r="FM24" i="1"/>
  <c r="EL24" i="1"/>
  <c r="DK24" i="1"/>
  <c r="BU24" i="1"/>
  <c r="AT24" i="1"/>
  <c r="AH24" i="1"/>
  <c r="V24" i="1"/>
  <c r="J24" i="1"/>
  <c r="IP24" i="1"/>
  <c r="HO24" i="1"/>
  <c r="FY24" i="1"/>
  <c r="EX24" i="1"/>
  <c r="DW24" i="1"/>
  <c r="CG24" i="1"/>
  <c r="BF24" i="1"/>
  <c r="JB24" i="1"/>
  <c r="IA24" i="1"/>
  <c r="GK24" i="1"/>
  <c r="FJ24" i="1"/>
  <c r="EI24" i="1"/>
  <c r="CS24" i="1"/>
  <c r="BR24" i="1"/>
  <c r="AQ24" i="1"/>
  <c r="AE24" i="1"/>
  <c r="S24" i="1"/>
  <c r="G24" i="1"/>
  <c r="BO24" i="1"/>
  <c r="AB24" i="1"/>
  <c r="IM24" i="1"/>
  <c r="GW24" i="1"/>
  <c r="JH24" i="1"/>
  <c r="FG24" i="1"/>
  <c r="DQ24" i="1"/>
  <c r="CD24" i="1"/>
  <c r="AN24" i="1"/>
  <c r="IY24" i="1"/>
  <c r="HI24" i="1"/>
  <c r="FV24" i="1"/>
  <c r="EU24" i="1"/>
  <c r="P24" i="1"/>
  <c r="GH24" i="1"/>
  <c r="BC24" i="1"/>
  <c r="DE24" i="1"/>
  <c r="CP24" i="1"/>
  <c r="AZ24" i="1"/>
  <c r="ER24" i="1"/>
  <c r="IJ24" i="1"/>
  <c r="BL24" i="1"/>
  <c r="FD24" i="1"/>
  <c r="IV24" i="1"/>
  <c r="CJ24" i="1"/>
  <c r="GB24" i="1"/>
  <c r="CV24" i="1"/>
  <c r="HX24" i="1"/>
  <c r="DH24" i="1"/>
  <c r="DT24" i="1"/>
  <c r="EF24" i="1"/>
  <c r="FP24" i="1"/>
  <c r="GZ24" i="1"/>
  <c r="BX24" i="1"/>
  <c r="HL24" i="1"/>
  <c r="GN24" i="1"/>
  <c r="I51" i="37"/>
  <c r="IY38" i="1"/>
  <c r="IM20" i="1"/>
  <c r="HC20" i="1"/>
  <c r="GQ20" i="1"/>
  <c r="EU20" i="1"/>
  <c r="DK20" i="1"/>
  <c r="CY20" i="1"/>
  <c r="BC20" i="1"/>
  <c r="S20" i="1"/>
  <c r="G20" i="1"/>
  <c r="HX20" i="1"/>
  <c r="GN20" i="1"/>
  <c r="GB20" i="1"/>
  <c r="EF20" i="1"/>
  <c r="JE20" i="1"/>
  <c r="IS20" i="1"/>
  <c r="GW20" i="1"/>
  <c r="FM20" i="1"/>
  <c r="FA20" i="1"/>
  <c r="DE20" i="1"/>
  <c r="BX20" i="1"/>
  <c r="AW20" i="1"/>
  <c r="BI20" i="1"/>
  <c r="DN20" i="1"/>
  <c r="CV20" i="1"/>
  <c r="EX20" i="1"/>
  <c r="P20" i="1"/>
  <c r="GH20" i="1"/>
  <c r="JB20" i="1"/>
  <c r="AZ20" i="1"/>
  <c r="Y20" i="1"/>
  <c r="CD20" i="1"/>
  <c r="HR20" i="1"/>
  <c r="GT20" i="1"/>
  <c r="R31" i="45"/>
  <c r="BC39" i="48"/>
  <c r="E39" i="1"/>
  <c r="G31" i="45"/>
  <c r="I40" i="9"/>
  <c r="I48" i="9" s="1"/>
  <c r="R34" i="48"/>
  <c r="I45" i="8"/>
  <c r="I48" i="8"/>
  <c r="I40" i="7"/>
  <c r="BC36" i="48"/>
  <c r="E40" i="31"/>
  <c r="I45" i="17"/>
  <c r="I48" i="21"/>
  <c r="R25" i="48"/>
  <c r="I45" i="21"/>
  <c r="I40" i="13"/>
  <c r="I40" i="12"/>
  <c r="AJ39" i="48"/>
  <c r="I40" i="11"/>
  <c r="I40" i="19"/>
  <c r="I40" i="16"/>
  <c r="I40" i="15"/>
  <c r="I40" i="14"/>
  <c r="J15" i="19"/>
  <c r="J15" i="18" s="1"/>
  <c r="J15" i="17" s="1"/>
  <c r="J17" i="19"/>
  <c r="J17" i="18" s="1"/>
  <c r="J17" i="17" s="1"/>
  <c r="J29" i="19"/>
  <c r="J29" i="18" s="1"/>
  <c r="J29" i="17" s="1"/>
  <c r="J30" i="19"/>
  <c r="J30" i="18" s="1"/>
  <c r="J30" i="17" s="1"/>
  <c r="J18" i="19"/>
  <c r="J18" i="18" s="1"/>
  <c r="J18" i="17" s="1"/>
  <c r="J14" i="19"/>
  <c r="J14" i="18" s="1"/>
  <c r="J14" i="17" s="1"/>
  <c r="J28" i="19"/>
  <c r="J28" i="18" s="1"/>
  <c r="J28" i="17" s="1"/>
  <c r="J27" i="19"/>
  <c r="J27" i="18" s="1"/>
  <c r="J27" i="17" s="1"/>
  <c r="J20" i="19"/>
  <c r="J20" i="18" s="1"/>
  <c r="J20" i="17" s="1"/>
  <c r="J9" i="19"/>
  <c r="J9" i="18" s="1"/>
  <c r="J9" i="17" s="1"/>
  <c r="J26" i="19"/>
  <c r="J26" i="18" s="1"/>
  <c r="J26" i="17" s="1"/>
  <c r="J19" i="19"/>
  <c r="J19" i="18" s="1"/>
  <c r="J19" i="17" s="1"/>
  <c r="J21" i="19"/>
  <c r="J21" i="18" s="1"/>
  <c r="J21" i="17" s="1"/>
  <c r="J23" i="19"/>
  <c r="J23" i="18" s="1"/>
  <c r="J23" i="17" s="1"/>
  <c r="J10" i="19"/>
  <c r="J10" i="18" s="1"/>
  <c r="J10" i="17" s="1"/>
  <c r="J11" i="19"/>
  <c r="J11" i="18" s="1"/>
  <c r="J11" i="17" s="1"/>
  <c r="J16" i="19"/>
  <c r="J16" i="18" s="1"/>
  <c r="J16" i="17" s="1"/>
  <c r="K57" i="33"/>
  <c r="J45" i="33"/>
  <c r="J13" i="19"/>
  <c r="J13" i="18" s="1"/>
  <c r="J13" i="17" s="1"/>
  <c r="J24" i="19"/>
  <c r="J24" i="18" s="1"/>
  <c r="J24" i="17" s="1"/>
  <c r="J8" i="19"/>
  <c r="J8" i="18" s="1"/>
  <c r="J8" i="17" s="1"/>
  <c r="J31" i="19"/>
  <c r="J31" i="18" s="1"/>
  <c r="J31" i="17" s="1"/>
  <c r="J12" i="19"/>
  <c r="J12" i="18" s="1"/>
  <c r="J12" i="17" s="1"/>
  <c r="J41" i="33"/>
  <c r="J22" i="19"/>
  <c r="J22" i="18" s="1"/>
  <c r="J22" i="17" s="1"/>
  <c r="I40" i="24"/>
  <c r="R18" i="48" s="1"/>
  <c r="C17" i="45" s="1"/>
  <c r="I40" i="23"/>
  <c r="I40" i="25"/>
  <c r="K56" i="33"/>
  <c r="BC20" i="48"/>
  <c r="BC22" i="48"/>
  <c r="K20" i="45"/>
  <c r="O20" i="45"/>
  <c r="G20" i="45"/>
  <c r="R20" i="45"/>
  <c r="AD20" i="48"/>
  <c r="I40" i="26"/>
  <c r="K34" i="27"/>
  <c r="I40" i="28"/>
  <c r="I40" i="29"/>
  <c r="I40" i="30"/>
  <c r="W160" i="57"/>
  <c r="K34" i="31"/>
  <c r="AA6" i="46"/>
  <c r="AB6" i="46" s="1"/>
  <c r="E25" i="2"/>
  <c r="BM25" i="2" s="1"/>
  <c r="AJ9" i="48"/>
  <c r="E33" i="2"/>
  <c r="BM33" i="2" s="1"/>
  <c r="AJ38" i="48"/>
  <c r="BC38" i="48"/>
  <c r="I39" i="48"/>
  <c r="AD39" i="48"/>
  <c r="X39" i="48"/>
  <c r="J39" i="48"/>
  <c r="M7" i="32"/>
  <c r="M7" i="31" s="1"/>
  <c r="M7" i="30" s="1"/>
  <c r="M7" i="29" s="1"/>
  <c r="M7" i="27" s="1"/>
  <c r="D53" i="32"/>
  <c r="J46" i="30"/>
  <c r="J46" i="29" s="1"/>
  <c r="K34" i="32"/>
  <c r="J40" i="45"/>
  <c r="N40" i="45"/>
  <c r="F40" i="45"/>
  <c r="Q40" i="45"/>
  <c r="AJ20" i="48"/>
  <c r="I36" i="48"/>
  <c r="AD36" i="48"/>
  <c r="AJ36" i="48"/>
  <c r="J36" i="48"/>
  <c r="X36" i="48"/>
  <c r="E22" i="2"/>
  <c r="BM22" i="2" s="1"/>
  <c r="AJ22" i="48"/>
  <c r="I49" i="33"/>
  <c r="J20" i="48"/>
  <c r="I20" i="48"/>
  <c r="E45" i="31"/>
  <c r="D45" i="29"/>
  <c r="D45" i="27" s="1"/>
  <c r="E45" i="27" s="1"/>
  <c r="E47" i="31"/>
  <c r="E47" i="30"/>
  <c r="D39" i="29"/>
  <c r="D39" i="27" s="1"/>
  <c r="E39" i="27" s="1"/>
  <c r="M8" i="31"/>
  <c r="E39" i="31"/>
  <c r="E44" i="31"/>
  <c r="D43" i="27"/>
  <c r="E43" i="27" s="1"/>
  <c r="E43" i="30"/>
  <c r="D41" i="30"/>
  <c r="E41" i="30" s="1"/>
  <c r="E44" i="30"/>
  <c r="E49" i="30"/>
  <c r="D48" i="30"/>
  <c r="E48" i="30" s="1"/>
  <c r="J56" i="30"/>
  <c r="I38" i="48"/>
  <c r="J38" i="48"/>
  <c r="X38" i="48"/>
  <c r="AD38" i="48"/>
  <c r="J43" i="30"/>
  <c r="J44" i="31"/>
  <c r="I22" i="48"/>
  <c r="J22" i="48"/>
  <c r="AD22" i="48"/>
  <c r="L41" i="48"/>
  <c r="H41" i="48" s="1"/>
  <c r="E38" i="31"/>
  <c r="E38" i="30"/>
  <c r="D38" i="29"/>
  <c r="E50" i="31"/>
  <c r="D50" i="30"/>
  <c r="D47" i="27"/>
  <c r="E47" i="29"/>
  <c r="D42" i="30"/>
  <c r="E42" i="31"/>
  <c r="D52" i="31"/>
  <c r="D53" i="31" s="1"/>
  <c r="E46" i="31"/>
  <c r="D46" i="30"/>
  <c r="E52" i="32"/>
  <c r="E53" i="32" s="1"/>
  <c r="D44" i="27"/>
  <c r="E44" i="29"/>
  <c r="D40" i="29"/>
  <c r="E40" i="30"/>
  <c r="D51" i="29"/>
  <c r="E51" i="30"/>
  <c r="A13" i="2" s="1"/>
  <c r="J57" i="30"/>
  <c r="J37" i="31"/>
  <c r="J39" i="32"/>
  <c r="D49" i="27"/>
  <c r="E49" i="29"/>
  <c r="AH41" i="48"/>
  <c r="J57" i="17"/>
  <c r="AC11" i="48"/>
  <c r="Q12" i="48"/>
  <c r="AK20" i="1" l="1"/>
  <c r="CP20" i="1"/>
  <c r="BF20" i="1"/>
  <c r="HF20" i="1"/>
  <c r="EL20" i="1"/>
  <c r="FY20" i="1"/>
  <c r="DH20" i="1"/>
  <c r="GZ20" i="1"/>
  <c r="AE20" i="1"/>
  <c r="DW20" i="1"/>
  <c r="HO20" i="1"/>
  <c r="AN20" i="1"/>
  <c r="FJ20" i="1"/>
  <c r="CG20" i="1"/>
  <c r="AH20" i="1"/>
  <c r="ID20" i="1"/>
  <c r="GK20" i="1"/>
  <c r="DT20" i="1"/>
  <c r="HL20" i="1"/>
  <c r="AQ20" i="1"/>
  <c r="EI20" i="1"/>
  <c r="IA20" i="1"/>
  <c r="BL20" i="1"/>
  <c r="AB20" i="1"/>
  <c r="IP20" i="1"/>
  <c r="CJ20" i="1"/>
  <c r="DQ20" i="1"/>
  <c r="HI20" i="1"/>
  <c r="ER20" i="1"/>
  <c r="IJ20" i="1"/>
  <c r="BO20" i="1"/>
  <c r="FG20" i="1"/>
  <c r="IY20" i="1"/>
  <c r="J20" i="1"/>
  <c r="DB20" i="1"/>
  <c r="BR20" i="1"/>
  <c r="AT20" i="1"/>
  <c r="FV20" i="1"/>
  <c r="EC20" i="1"/>
  <c r="HU20" i="1"/>
  <c r="FD20" i="1"/>
  <c r="IV20" i="1"/>
  <c r="CA20" i="1"/>
  <c r="FS20" i="1"/>
  <c r="M20" i="1"/>
  <c r="DZ20" i="1"/>
  <c r="CS20" i="1"/>
  <c r="BU20" i="1"/>
  <c r="V20" i="1"/>
  <c r="EO20" i="1"/>
  <c r="IG20" i="1"/>
  <c r="FP20" i="1"/>
  <c r="JH20" i="1"/>
  <c r="CM20" i="1"/>
  <c r="I48" i="33"/>
  <c r="S9" i="48"/>
  <c r="BD9" i="48" s="1"/>
  <c r="E9" i="1"/>
  <c r="I45" i="33"/>
  <c r="BC9" i="48"/>
  <c r="I9" i="48"/>
  <c r="AD9" i="48"/>
  <c r="IV36" i="1"/>
  <c r="FA36" i="1"/>
  <c r="EO36" i="1"/>
  <c r="GZ36" i="1"/>
  <c r="GW36" i="1"/>
  <c r="GK36" i="1"/>
  <c r="S36" i="1"/>
  <c r="DK36" i="1"/>
  <c r="HF36" i="1"/>
  <c r="BC36" i="1"/>
  <c r="CD36" i="1"/>
  <c r="DW36" i="1"/>
  <c r="IM36" i="1"/>
  <c r="HO36" i="1"/>
  <c r="FS36" i="1"/>
  <c r="IS36" i="1"/>
  <c r="IG36" i="1"/>
  <c r="BO36" i="1"/>
  <c r="CV36" i="1"/>
  <c r="BF36" i="1"/>
  <c r="CP36" i="1"/>
  <c r="AQ36" i="1"/>
  <c r="FD36" i="1"/>
  <c r="CJ36" i="1"/>
  <c r="BL36" i="1"/>
  <c r="BU36" i="1"/>
  <c r="BI36" i="1"/>
  <c r="AW36" i="1"/>
  <c r="DH36" i="1"/>
  <c r="DE36" i="1"/>
  <c r="AK36" i="1"/>
  <c r="DN36" i="1"/>
  <c r="EL36" i="1"/>
  <c r="EU36" i="1"/>
  <c r="FY36" i="1"/>
  <c r="CS36" i="1"/>
  <c r="GQ36" i="1"/>
  <c r="GE36" i="1"/>
  <c r="HL36" i="1"/>
  <c r="P36" i="1"/>
  <c r="DB36" i="1"/>
  <c r="GH36" i="1"/>
  <c r="FV36" i="1"/>
  <c r="FJ36" i="1"/>
  <c r="GB36" i="1"/>
  <c r="IA36" i="1"/>
  <c r="HC36" i="1"/>
  <c r="CY36" i="1"/>
  <c r="CM36" i="1"/>
  <c r="DT36" i="1"/>
  <c r="HI36" i="1"/>
  <c r="IP36" i="1"/>
  <c r="V36" i="1"/>
  <c r="ID36" i="1"/>
  <c r="HR36" i="1"/>
  <c r="EI36" i="1"/>
  <c r="CA36" i="1"/>
  <c r="JH36" i="1"/>
  <c r="IJ36" i="1"/>
  <c r="HX36" i="1"/>
  <c r="HU36" i="1"/>
  <c r="DQ36" i="1"/>
  <c r="AH36" i="1"/>
  <c r="DZ36" i="1"/>
  <c r="J36" i="1"/>
  <c r="AE36" i="1"/>
  <c r="FP36" i="1"/>
  <c r="BX36" i="1"/>
  <c r="AB36" i="1"/>
  <c r="ER36" i="1"/>
  <c r="EF36" i="1"/>
  <c r="EC36" i="1"/>
  <c r="M36" i="1"/>
  <c r="EX36" i="1"/>
  <c r="IY36" i="1"/>
  <c r="Y36" i="1"/>
  <c r="AT36" i="1"/>
  <c r="JE36" i="1"/>
  <c r="FM36" i="1"/>
  <c r="CG36" i="1"/>
  <c r="AZ36" i="1"/>
  <c r="AN36" i="1"/>
  <c r="FG36" i="1"/>
  <c r="GN36" i="1"/>
  <c r="G36" i="1"/>
  <c r="BR36" i="1"/>
  <c r="JB36" i="1"/>
  <c r="X97" i="46"/>
  <c r="AA97" i="46"/>
  <c r="AB97" i="46" s="1"/>
  <c r="AA92" i="46"/>
  <c r="AB92" i="46" s="1"/>
  <c r="X92" i="46"/>
  <c r="CY22" i="1"/>
  <c r="V22" i="1"/>
  <c r="DN22" i="1"/>
  <c r="HF22" i="1"/>
  <c r="AW22" i="1"/>
  <c r="IG22" i="1"/>
  <c r="BX22" i="1"/>
  <c r="FP22" i="1"/>
  <c r="JH22" i="1"/>
  <c r="AQ22" i="1"/>
  <c r="GQ22" i="1"/>
  <c r="IM22" i="1"/>
  <c r="AH22" i="1"/>
  <c r="DZ22" i="1"/>
  <c r="HR22" i="1"/>
  <c r="BI22" i="1"/>
  <c r="IS22" i="1"/>
  <c r="CJ22" i="1"/>
  <c r="GB22" i="1"/>
  <c r="EI22" i="1"/>
  <c r="AE22" i="1"/>
  <c r="S22" i="1"/>
  <c r="AT22" i="1"/>
  <c r="EL22" i="1"/>
  <c r="ID22" i="1"/>
  <c r="BU22" i="1"/>
  <c r="FM22" i="1"/>
  <c r="JE22" i="1"/>
  <c r="CV22" i="1"/>
  <c r="GN22" i="1"/>
  <c r="EU22" i="1"/>
  <c r="EO22" i="1"/>
  <c r="FA22" i="1"/>
  <c r="BO22" i="1"/>
  <c r="DW22" i="1"/>
  <c r="DK22" i="1"/>
  <c r="BF22" i="1"/>
  <c r="EX22" i="1"/>
  <c r="IP22" i="1"/>
  <c r="CG22" i="1"/>
  <c r="FY22" i="1"/>
  <c r="P22" i="1"/>
  <c r="DH22" i="1"/>
  <c r="GZ22" i="1"/>
  <c r="EF22" i="1"/>
  <c r="HX22" i="1"/>
  <c r="IY22" i="1"/>
  <c r="GE22" i="1"/>
  <c r="FS22" i="1"/>
  <c r="CP22" i="1"/>
  <c r="GH22" i="1"/>
  <c r="Y22" i="1"/>
  <c r="DQ22" i="1"/>
  <c r="HI22" i="1"/>
  <c r="AZ22" i="1"/>
  <c r="ER22" i="1"/>
  <c r="IJ22" i="1"/>
  <c r="FG22" i="1"/>
  <c r="HO22" i="1"/>
  <c r="HC22" i="1"/>
  <c r="BR22" i="1"/>
  <c r="FJ22" i="1"/>
  <c r="JB22" i="1"/>
  <c r="CS22" i="1"/>
  <c r="GK22" i="1"/>
  <c r="AB22" i="1"/>
  <c r="DT22" i="1"/>
  <c r="HL22" i="1"/>
  <c r="IA22" i="1"/>
  <c r="CM22" i="1"/>
  <c r="CA22" i="1"/>
  <c r="CD22" i="1"/>
  <c r="FV22" i="1"/>
  <c r="M22" i="1"/>
  <c r="DE22" i="1"/>
  <c r="GW22" i="1"/>
  <c r="AN22" i="1"/>
  <c r="G22" i="1"/>
  <c r="BC22" i="1"/>
  <c r="J22" i="1"/>
  <c r="DB22" i="1"/>
  <c r="GT22" i="1"/>
  <c r="AK22" i="1"/>
  <c r="EC22" i="1"/>
  <c r="HU22" i="1"/>
  <c r="BL22" i="1"/>
  <c r="FD22" i="1"/>
  <c r="HU38" i="1"/>
  <c r="IS38" i="1"/>
  <c r="IJ38" i="1"/>
  <c r="EL38" i="1"/>
  <c r="HX38" i="1"/>
  <c r="BC37" i="48"/>
  <c r="FS38" i="1"/>
  <c r="CG38" i="1"/>
  <c r="ID38" i="1"/>
  <c r="GB38" i="1"/>
  <c r="M38" i="1"/>
  <c r="AH38" i="1"/>
  <c r="FP38" i="1"/>
  <c r="AQ38" i="1"/>
  <c r="DE38" i="1"/>
  <c r="DH38" i="1"/>
  <c r="CV38" i="1"/>
  <c r="JE38" i="1"/>
  <c r="CJ38" i="1"/>
  <c r="J38" i="1"/>
  <c r="HC38" i="1"/>
  <c r="V38" i="1"/>
  <c r="DB38" i="1"/>
  <c r="JH38" i="1"/>
  <c r="CD38" i="1"/>
  <c r="GH38" i="1"/>
  <c r="HI38" i="1"/>
  <c r="GW38" i="1"/>
  <c r="FM38" i="1"/>
  <c r="IG38" i="1"/>
  <c r="CS38" i="1"/>
  <c r="AZ38" i="1"/>
  <c r="CY38" i="1"/>
  <c r="GQ38" i="1"/>
  <c r="FG38" i="1"/>
  <c r="GT38" i="1"/>
  <c r="IM38" i="1"/>
  <c r="FV38" i="1"/>
  <c r="BI38" i="1"/>
  <c r="AK38" i="1"/>
  <c r="BU38" i="1"/>
  <c r="EO38" i="1"/>
  <c r="HF38" i="1"/>
  <c r="BO38" i="1"/>
  <c r="GZ38" i="1"/>
  <c r="CA38" i="1"/>
  <c r="BC38" i="1"/>
  <c r="CP38" i="1"/>
  <c r="EI38" i="1"/>
  <c r="BF38" i="1"/>
  <c r="EX38" i="1"/>
  <c r="HL38" i="1"/>
  <c r="FJ38" i="1"/>
  <c r="AW38" i="1"/>
  <c r="EC38" i="1"/>
  <c r="BX38" i="1"/>
  <c r="GN38" i="1"/>
  <c r="FD38" i="1"/>
  <c r="EU38" i="1"/>
  <c r="AE38" i="1"/>
  <c r="IA38" i="1"/>
  <c r="AT38" i="1"/>
  <c r="DT38" i="1"/>
  <c r="BR38" i="1"/>
  <c r="JB38" i="1"/>
  <c r="E37" i="1"/>
  <c r="DB37" i="1" s="1"/>
  <c r="C36" i="45"/>
  <c r="R36" i="45" s="1"/>
  <c r="AD25" i="48"/>
  <c r="C24" i="45"/>
  <c r="O24" i="45" s="1"/>
  <c r="E34" i="1"/>
  <c r="CM34" i="1" s="1"/>
  <c r="C33" i="45"/>
  <c r="IP38" i="1"/>
  <c r="GK38" i="1"/>
  <c r="BL38" i="1"/>
  <c r="AN38" i="1"/>
  <c r="ER38" i="1"/>
  <c r="IV38" i="1"/>
  <c r="DW38" i="1"/>
  <c r="HO38" i="1"/>
  <c r="AB38" i="1"/>
  <c r="GE38" i="1"/>
  <c r="G38" i="1"/>
  <c r="DZ38" i="1"/>
  <c r="AJ37" i="48"/>
  <c r="DN38" i="1"/>
  <c r="HR38" i="1"/>
  <c r="Y38" i="1"/>
  <c r="FA38" i="1"/>
  <c r="DQ38" i="1"/>
  <c r="P38" i="1"/>
  <c r="EF38" i="1"/>
  <c r="S38" i="1"/>
  <c r="DK38" i="1"/>
  <c r="FY38" i="1"/>
  <c r="X37" i="48"/>
  <c r="AD37" i="48"/>
  <c r="I37" i="48"/>
  <c r="I45" i="9"/>
  <c r="AJ25" i="48"/>
  <c r="J25" i="48"/>
  <c r="I25" i="48"/>
  <c r="R33" i="48"/>
  <c r="BC33" i="48" s="1"/>
  <c r="E25" i="1"/>
  <c r="E26" i="2" s="1"/>
  <c r="BM26" i="2" s="1"/>
  <c r="JB9" i="1"/>
  <c r="HF9" i="1"/>
  <c r="FJ9" i="1"/>
  <c r="DN9" i="1"/>
  <c r="CV9" i="1"/>
  <c r="AZ9" i="1"/>
  <c r="IJ9" i="1"/>
  <c r="FV9" i="1"/>
  <c r="FD9" i="1"/>
  <c r="BF9" i="1"/>
  <c r="AN9" i="1"/>
  <c r="HR9" i="1"/>
  <c r="GZ9" i="1"/>
  <c r="EL9" i="1"/>
  <c r="DB9" i="1"/>
  <c r="CJ9" i="1"/>
  <c r="V9" i="1"/>
  <c r="IY9" i="1"/>
  <c r="IP9" i="1"/>
  <c r="GB9" i="1"/>
  <c r="GN9" i="1"/>
  <c r="IV9" i="1"/>
  <c r="GH9" i="1"/>
  <c r="DT9" i="1"/>
  <c r="BR9" i="1"/>
  <c r="ID9" i="1"/>
  <c r="FP9" i="1"/>
  <c r="EX9" i="1"/>
  <c r="AH9" i="1"/>
  <c r="BL9" i="1"/>
  <c r="DZ9" i="1"/>
  <c r="BX9" i="1"/>
  <c r="J9" i="1"/>
  <c r="HL9" i="1"/>
  <c r="GT9" i="1"/>
  <c r="EF9" i="1"/>
  <c r="CD9" i="1"/>
  <c r="P9" i="1"/>
  <c r="JH9" i="1"/>
  <c r="AT9" i="1"/>
  <c r="HX9" i="1"/>
  <c r="ER9" i="1"/>
  <c r="DH9" i="1"/>
  <c r="CP9" i="1"/>
  <c r="AB9" i="1"/>
  <c r="BU9" i="1"/>
  <c r="FM9" i="1"/>
  <c r="JE9" i="1"/>
  <c r="AE9" i="1"/>
  <c r="DW9" i="1"/>
  <c r="HO9" i="1"/>
  <c r="CG9" i="1"/>
  <c r="FY9" i="1"/>
  <c r="AQ9" i="1"/>
  <c r="EI9" i="1"/>
  <c r="IA9" i="1"/>
  <c r="CS9" i="1"/>
  <c r="GK9" i="1"/>
  <c r="BC9" i="1"/>
  <c r="EU9" i="1"/>
  <c r="IM9" i="1"/>
  <c r="M9" i="1"/>
  <c r="DE9" i="1"/>
  <c r="GW9" i="1"/>
  <c r="BO9" i="1"/>
  <c r="FG9" i="1"/>
  <c r="Y9" i="1"/>
  <c r="DQ9" i="1"/>
  <c r="HI9" i="1"/>
  <c r="CA9" i="1"/>
  <c r="FS9" i="1"/>
  <c r="AW9" i="1"/>
  <c r="EO9" i="1"/>
  <c r="IG9" i="1"/>
  <c r="G9" i="1"/>
  <c r="CY9" i="1"/>
  <c r="GQ9" i="1"/>
  <c r="HU9" i="1"/>
  <c r="DK9" i="1"/>
  <c r="IS9" i="1"/>
  <c r="GE9" i="1"/>
  <c r="HC9" i="1"/>
  <c r="AK9" i="1"/>
  <c r="EC9" i="1"/>
  <c r="S9" i="1"/>
  <c r="CM9" i="1"/>
  <c r="BI9" i="1"/>
  <c r="FA9" i="1"/>
  <c r="BC18" i="48"/>
  <c r="E18" i="1"/>
  <c r="JB39" i="1"/>
  <c r="BU39" i="1"/>
  <c r="FM39" i="1"/>
  <c r="JE39" i="1"/>
  <c r="P39" i="1"/>
  <c r="DH39" i="1"/>
  <c r="GZ39" i="1"/>
  <c r="S39" i="1"/>
  <c r="DK39" i="1"/>
  <c r="HC39" i="1"/>
  <c r="J39" i="1"/>
  <c r="DB39" i="1"/>
  <c r="GT39" i="1"/>
  <c r="CS39" i="1"/>
  <c r="GK39" i="1"/>
  <c r="M39" i="1"/>
  <c r="DE39" i="1"/>
  <c r="GW39" i="1"/>
  <c r="AZ39" i="1"/>
  <c r="ER39" i="1"/>
  <c r="CG39" i="1"/>
  <c r="IG39" i="1"/>
  <c r="CJ39" i="1"/>
  <c r="HL39" i="1"/>
  <c r="BO39" i="1"/>
  <c r="FS39" i="1"/>
  <c r="V39" i="1"/>
  <c r="DZ39" i="1"/>
  <c r="ID39" i="1"/>
  <c r="DQ39" i="1"/>
  <c r="IS39" i="1"/>
  <c r="CV39" i="1"/>
  <c r="HX39" i="1"/>
  <c r="CA39" i="1"/>
  <c r="GE39" i="1"/>
  <c r="AH39" i="1"/>
  <c r="EL39" i="1"/>
  <c r="IP39" i="1"/>
  <c r="CY39" i="1"/>
  <c r="EC39" i="1"/>
  <c r="DT39" i="1"/>
  <c r="IJ39" i="1"/>
  <c r="CM39" i="1"/>
  <c r="GQ39" i="1"/>
  <c r="AT39" i="1"/>
  <c r="EX39" i="1"/>
  <c r="EF39" i="1"/>
  <c r="IV39" i="1"/>
  <c r="HO39" i="1"/>
  <c r="FJ39" i="1"/>
  <c r="EO39" i="1"/>
  <c r="BF39" i="1"/>
  <c r="Y39" i="1"/>
  <c r="FA39" i="1"/>
  <c r="AB39" i="1"/>
  <c r="FD39" i="1"/>
  <c r="JH39" i="1"/>
  <c r="G39" i="1"/>
  <c r="DW39" i="1"/>
  <c r="IA39" i="1"/>
  <c r="BR39" i="1"/>
  <c r="FV39" i="1"/>
  <c r="AW39" i="1"/>
  <c r="HI39" i="1"/>
  <c r="BL39" i="1"/>
  <c r="GB39" i="1"/>
  <c r="AQ39" i="1"/>
  <c r="EU39" i="1"/>
  <c r="IY39" i="1"/>
  <c r="CP39" i="1"/>
  <c r="HF39" i="1"/>
  <c r="BI39" i="1"/>
  <c r="HU39" i="1"/>
  <c r="BX39" i="1"/>
  <c r="GN39" i="1"/>
  <c r="AN39" i="1"/>
  <c r="AE39" i="1"/>
  <c r="BC39" i="1"/>
  <c r="CD39" i="1"/>
  <c r="IM39" i="1"/>
  <c r="FP39" i="1"/>
  <c r="EI39" i="1"/>
  <c r="DN39" i="1"/>
  <c r="FY39" i="1"/>
  <c r="HR39" i="1"/>
  <c r="AK39" i="1"/>
  <c r="FG39" i="1"/>
  <c r="GH39" i="1"/>
  <c r="BC25" i="48"/>
  <c r="K24" i="45"/>
  <c r="I34" i="48"/>
  <c r="J34" i="48"/>
  <c r="BC34" i="48"/>
  <c r="AD34" i="48"/>
  <c r="AJ34" i="48"/>
  <c r="O35" i="45"/>
  <c r="G35" i="45"/>
  <c r="K35" i="45"/>
  <c r="R35" i="45"/>
  <c r="R35" i="48"/>
  <c r="I48" i="7"/>
  <c r="I45" i="7"/>
  <c r="I48" i="24"/>
  <c r="I48" i="11"/>
  <c r="I45" i="11"/>
  <c r="R31" i="48"/>
  <c r="I45" i="13"/>
  <c r="R29" i="48"/>
  <c r="I48" i="13"/>
  <c r="I48" i="12"/>
  <c r="I45" i="12"/>
  <c r="R30" i="48"/>
  <c r="W160" i="46"/>
  <c r="J10" i="16"/>
  <c r="J10" i="15" s="1"/>
  <c r="J10" i="14" s="1"/>
  <c r="J10" i="13" s="1"/>
  <c r="J10" i="12" s="1"/>
  <c r="J25" i="16"/>
  <c r="J25" i="15" s="1"/>
  <c r="J25" i="14" s="1"/>
  <c r="J25" i="13" s="1"/>
  <c r="J25" i="12" s="1"/>
  <c r="J25" i="11" s="1"/>
  <c r="J25" i="10" s="1"/>
  <c r="J23" i="16"/>
  <c r="J23" i="15" s="1"/>
  <c r="J23" i="14" s="1"/>
  <c r="J23" i="13" s="1"/>
  <c r="J23" i="12" s="1"/>
  <c r="J23" i="11" s="1"/>
  <c r="J23" i="10" s="1"/>
  <c r="J14" i="16"/>
  <c r="J14" i="15" s="1"/>
  <c r="J14" i="14" s="1"/>
  <c r="J14" i="13" s="1"/>
  <c r="J14" i="12" s="1"/>
  <c r="J28" i="16"/>
  <c r="J28" i="15" s="1"/>
  <c r="J28" i="14" s="1"/>
  <c r="J28" i="13" s="1"/>
  <c r="J28" i="12" s="1"/>
  <c r="J28" i="11" s="1"/>
  <c r="J28" i="10" s="1"/>
  <c r="J28" i="9" s="1"/>
  <c r="J28" i="8" s="1"/>
  <c r="J28" i="7" s="1"/>
  <c r="J28" i="6" s="1"/>
  <c r="J28" i="37" s="1"/>
  <c r="J28" i="4" s="1"/>
  <c r="J28" i="43" s="1"/>
  <c r="J24" i="16"/>
  <c r="J24" i="15" s="1"/>
  <c r="J24" i="14" s="1"/>
  <c r="J24" i="13" s="1"/>
  <c r="J24" i="12" s="1"/>
  <c r="J24" i="11" s="1"/>
  <c r="J24" i="10" s="1"/>
  <c r="J21" i="16"/>
  <c r="J21" i="15" s="1"/>
  <c r="J21" i="14" s="1"/>
  <c r="J21" i="13" s="1"/>
  <c r="J21" i="12" s="1"/>
  <c r="J21" i="11" s="1"/>
  <c r="J21" i="10" s="1"/>
  <c r="J18" i="16"/>
  <c r="J18" i="15" s="1"/>
  <c r="J18" i="14" s="1"/>
  <c r="J18" i="13" s="1"/>
  <c r="J18" i="12" s="1"/>
  <c r="I45" i="16"/>
  <c r="I48" i="16"/>
  <c r="R26" i="48"/>
  <c r="J31" i="16"/>
  <c r="J31" i="15" s="1"/>
  <c r="J31" i="14" s="1"/>
  <c r="J31" i="13" s="1"/>
  <c r="J31" i="12" s="1"/>
  <c r="J31" i="11" s="1"/>
  <c r="J31" i="10" s="1"/>
  <c r="J31" i="9" s="1"/>
  <c r="J31" i="8" s="1"/>
  <c r="J31" i="7" s="1"/>
  <c r="J31" i="6" s="1"/>
  <c r="J31" i="37" s="1"/>
  <c r="J31" i="4" s="1"/>
  <c r="J31" i="43" s="1"/>
  <c r="J13" i="16"/>
  <c r="J13" i="15" s="1"/>
  <c r="J13" i="14" s="1"/>
  <c r="J13" i="13" s="1"/>
  <c r="J13" i="12" s="1"/>
  <c r="J19" i="16"/>
  <c r="J19" i="15" s="1"/>
  <c r="J19" i="14" s="1"/>
  <c r="J19" i="13" s="1"/>
  <c r="J19" i="12" s="1"/>
  <c r="J30" i="16"/>
  <c r="J30" i="15" s="1"/>
  <c r="J30" i="14" s="1"/>
  <c r="J30" i="13" s="1"/>
  <c r="J30" i="12" s="1"/>
  <c r="J30" i="11" s="1"/>
  <c r="J30" i="10" s="1"/>
  <c r="J30" i="9" s="1"/>
  <c r="J30" i="8" s="1"/>
  <c r="J30" i="7" s="1"/>
  <c r="J30" i="6" s="1"/>
  <c r="J30" i="37" s="1"/>
  <c r="J30" i="4" s="1"/>
  <c r="J30" i="43" s="1"/>
  <c r="J22" i="16"/>
  <c r="J22" i="15" s="1"/>
  <c r="J22" i="14" s="1"/>
  <c r="J22" i="13" s="1"/>
  <c r="J22" i="12" s="1"/>
  <c r="J22" i="11" s="1"/>
  <c r="J22" i="10" s="1"/>
  <c r="J26" i="16"/>
  <c r="J26" i="15" s="1"/>
  <c r="J26" i="14" s="1"/>
  <c r="J26" i="13" s="1"/>
  <c r="J26" i="12" s="1"/>
  <c r="J26" i="11" s="1"/>
  <c r="J26" i="10" s="1"/>
  <c r="J26" i="9" s="1"/>
  <c r="J26" i="8" s="1"/>
  <c r="J26" i="7" s="1"/>
  <c r="J26" i="6" s="1"/>
  <c r="J26" i="37" s="1"/>
  <c r="J26" i="4" s="1"/>
  <c r="J26" i="43" s="1"/>
  <c r="J29" i="16"/>
  <c r="J29" i="15" s="1"/>
  <c r="J29" i="14" s="1"/>
  <c r="J29" i="13" s="1"/>
  <c r="J29" i="12" s="1"/>
  <c r="J29" i="11" s="1"/>
  <c r="J29" i="10" s="1"/>
  <c r="J29" i="9" s="1"/>
  <c r="J29" i="8" s="1"/>
  <c r="J29" i="7" s="1"/>
  <c r="J29" i="6" s="1"/>
  <c r="J29" i="37" s="1"/>
  <c r="J29" i="4" s="1"/>
  <c r="J29" i="43" s="1"/>
  <c r="J8" i="16"/>
  <c r="J8" i="15" s="1"/>
  <c r="J8" i="14" s="1"/>
  <c r="J8" i="13" s="1"/>
  <c r="J8" i="12" s="1"/>
  <c r="J8" i="11" s="1"/>
  <c r="J8" i="10" s="1"/>
  <c r="J9" i="16"/>
  <c r="J9" i="15" s="1"/>
  <c r="J9" i="14" s="1"/>
  <c r="J9" i="13" s="1"/>
  <c r="J9" i="12" s="1"/>
  <c r="J9" i="11" s="1"/>
  <c r="J9" i="10" s="1"/>
  <c r="J17" i="16"/>
  <c r="J17" i="15" s="1"/>
  <c r="J17" i="14" s="1"/>
  <c r="J17" i="13" s="1"/>
  <c r="J17" i="12" s="1"/>
  <c r="I48" i="19"/>
  <c r="R23" i="48"/>
  <c r="I45" i="19"/>
  <c r="J16" i="16"/>
  <c r="J16" i="15" s="1"/>
  <c r="J16" i="14" s="1"/>
  <c r="J16" i="13" s="1"/>
  <c r="J16" i="12" s="1"/>
  <c r="J20" i="16"/>
  <c r="J20" i="15" s="1"/>
  <c r="J20" i="14" s="1"/>
  <c r="J20" i="13" s="1"/>
  <c r="J20" i="12" s="1"/>
  <c r="J20" i="11" s="1"/>
  <c r="J20" i="10" s="1"/>
  <c r="J15" i="16"/>
  <c r="J15" i="15" s="1"/>
  <c r="J15" i="14" s="1"/>
  <c r="J15" i="13" s="1"/>
  <c r="J15" i="12" s="1"/>
  <c r="I45" i="15"/>
  <c r="R27" i="48"/>
  <c r="I48" i="15"/>
  <c r="J12" i="16"/>
  <c r="J12" i="15" s="1"/>
  <c r="J12" i="14" s="1"/>
  <c r="J12" i="13" s="1"/>
  <c r="J12" i="12" s="1"/>
  <c r="J11" i="16"/>
  <c r="J11" i="15" s="1"/>
  <c r="J11" i="14" s="1"/>
  <c r="J11" i="13" s="1"/>
  <c r="J11" i="12" s="1"/>
  <c r="J27" i="16"/>
  <c r="J27" i="15" s="1"/>
  <c r="J27" i="14" s="1"/>
  <c r="J27" i="13" s="1"/>
  <c r="J27" i="12" s="1"/>
  <c r="J27" i="11" s="1"/>
  <c r="J27" i="10" s="1"/>
  <c r="J27" i="9" s="1"/>
  <c r="J27" i="8" s="1"/>
  <c r="J27" i="7" s="1"/>
  <c r="J27" i="6" s="1"/>
  <c r="J27" i="37" s="1"/>
  <c r="J27" i="4" s="1"/>
  <c r="J27" i="43" s="1"/>
  <c r="I48" i="14"/>
  <c r="R28" i="48"/>
  <c r="I45" i="14"/>
  <c r="I45" i="24"/>
  <c r="R17" i="48"/>
  <c r="I45" i="25"/>
  <c r="I48" i="25"/>
  <c r="G19" i="45"/>
  <c r="O19" i="45"/>
  <c r="K19" i="45"/>
  <c r="R19" i="45"/>
  <c r="AD18" i="48"/>
  <c r="J18" i="48"/>
  <c r="I18" i="48"/>
  <c r="AJ18" i="48"/>
  <c r="R19" i="48"/>
  <c r="I45" i="23"/>
  <c r="I48" i="23"/>
  <c r="E21" i="2"/>
  <c r="BM21" i="2" s="1"/>
  <c r="O21" i="45"/>
  <c r="G21" i="45"/>
  <c r="K21" i="45"/>
  <c r="R21" i="45"/>
  <c r="O17" i="45"/>
  <c r="K17" i="45"/>
  <c r="G17" i="45"/>
  <c r="R17" i="45"/>
  <c r="I48" i="26"/>
  <c r="R16" i="48"/>
  <c r="I45" i="26"/>
  <c r="R15" i="48"/>
  <c r="C14" i="45" s="1"/>
  <c r="I45" i="28"/>
  <c r="I48" i="28"/>
  <c r="I40" i="27"/>
  <c r="I40" i="32"/>
  <c r="I45" i="32" s="1"/>
  <c r="I40" i="31"/>
  <c r="R11" i="48" s="1"/>
  <c r="C10" i="45" s="1"/>
  <c r="I45" i="29"/>
  <c r="R13" i="48"/>
  <c r="C12" i="45" s="1"/>
  <c r="I48" i="29"/>
  <c r="I48" i="30"/>
  <c r="R12" i="48"/>
  <c r="C11" i="45" s="1"/>
  <c r="I45" i="30"/>
  <c r="M34" i="32"/>
  <c r="X165" i="57"/>
  <c r="X163" i="57"/>
  <c r="X160" i="57"/>
  <c r="O42" i="55" s="1"/>
  <c r="P42" i="55" s="1"/>
  <c r="Q42" i="55" s="1"/>
  <c r="J47" i="30"/>
  <c r="E10" i="2"/>
  <c r="F10" i="2" s="1"/>
  <c r="BN10" i="2" s="1"/>
  <c r="E23" i="2"/>
  <c r="BM23" i="2" s="1"/>
  <c r="E40" i="2"/>
  <c r="BM40" i="2" s="1"/>
  <c r="E39" i="2"/>
  <c r="BM39" i="2" s="1"/>
  <c r="R38" i="45"/>
  <c r="G38" i="45"/>
  <c r="O38" i="45"/>
  <c r="K38" i="45"/>
  <c r="G8" i="45"/>
  <c r="R8" i="45"/>
  <c r="K8" i="45"/>
  <c r="E37" i="2"/>
  <c r="BM37" i="2" s="1"/>
  <c r="G37" i="45"/>
  <c r="O37" i="45"/>
  <c r="K37" i="45"/>
  <c r="R37" i="45"/>
  <c r="H9" i="48"/>
  <c r="I50" i="33"/>
  <c r="J49" i="33"/>
  <c r="I51" i="33"/>
  <c r="U9" i="48"/>
  <c r="V9" i="48"/>
  <c r="X9" i="48"/>
  <c r="I49" i="31"/>
  <c r="E45" i="29"/>
  <c r="M9" i="48"/>
  <c r="J9" i="48"/>
  <c r="AH9" i="48"/>
  <c r="J5" i="56"/>
  <c r="I49" i="8"/>
  <c r="I49" i="17"/>
  <c r="I49" i="18"/>
  <c r="I49" i="28"/>
  <c r="I49" i="29"/>
  <c r="D45" i="28"/>
  <c r="D45" i="26" s="1"/>
  <c r="I49" i="30"/>
  <c r="E39" i="29"/>
  <c r="D39" i="28"/>
  <c r="E39" i="28" s="1"/>
  <c r="D43" i="28"/>
  <c r="E43" i="28" s="1"/>
  <c r="M8" i="30"/>
  <c r="M34" i="31"/>
  <c r="D48" i="29"/>
  <c r="E48" i="29" s="1"/>
  <c r="D41" i="29"/>
  <c r="J43" i="29"/>
  <c r="J44" i="30"/>
  <c r="J56" i="29"/>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O39" i="48" s="1"/>
  <c r="G9" i="48"/>
  <c r="N41" i="48"/>
  <c r="G41" i="48" s="1"/>
  <c r="E52" i="31"/>
  <c r="E53" i="31" s="1"/>
  <c r="D38" i="27"/>
  <c r="E38" i="29"/>
  <c r="D50" i="29"/>
  <c r="E50" i="30"/>
  <c r="D42" i="29"/>
  <c r="E42" i="30"/>
  <c r="D47" i="28"/>
  <c r="E47" i="27"/>
  <c r="D52" i="30"/>
  <c r="D53" i="30" s="1"/>
  <c r="D46" i="29"/>
  <c r="E46" i="30"/>
  <c r="D51" i="27"/>
  <c r="E51" i="29"/>
  <c r="D40" i="27"/>
  <c r="E40" i="29"/>
  <c r="E44" i="27"/>
  <c r="D44" i="28"/>
  <c r="A14" i="2" s="1"/>
  <c r="J39" i="31"/>
  <c r="J37" i="30"/>
  <c r="J57" i="29"/>
  <c r="D49" i="28"/>
  <c r="E49" i="27"/>
  <c r="J57" i="16"/>
  <c r="M7" i="28"/>
  <c r="AC12" i="48"/>
  <c r="Q13" i="48"/>
  <c r="J47" i="29"/>
  <c r="J46" i="27"/>
  <c r="AK9" i="48" l="1"/>
  <c r="AE9" i="48"/>
  <c r="K9" i="48"/>
  <c r="X160" i="46"/>
  <c r="F42" i="55" s="1"/>
  <c r="G42" i="55" s="1"/>
  <c r="H42" i="55" s="1"/>
  <c r="G24" i="45"/>
  <c r="R24" i="45"/>
  <c r="EX37" i="1"/>
  <c r="CS37" i="1"/>
  <c r="IS37" i="1"/>
  <c r="DT37" i="1"/>
  <c r="FD37" i="1"/>
  <c r="BX37" i="1"/>
  <c r="HL37" i="1"/>
  <c r="FM37" i="1"/>
  <c r="EC37" i="1"/>
  <c r="CG37" i="1"/>
  <c r="DK37" i="1"/>
  <c r="HU37" i="1"/>
  <c r="FY37" i="1"/>
  <c r="GK37" i="1"/>
  <c r="BU37" i="1"/>
  <c r="HI37" i="1"/>
  <c r="EO37" i="1"/>
  <c r="AW37" i="1"/>
  <c r="FJ37" i="1"/>
  <c r="GE37" i="1"/>
  <c r="IG37" i="1"/>
  <c r="Y37" i="1"/>
  <c r="M34" i="1"/>
  <c r="DZ34" i="1"/>
  <c r="FV34" i="1"/>
  <c r="P34" i="1"/>
  <c r="IY34" i="1"/>
  <c r="IM34" i="1"/>
  <c r="EU34" i="1"/>
  <c r="IA34" i="1"/>
  <c r="EI34" i="1"/>
  <c r="CJ34" i="1"/>
  <c r="DQ34" i="1"/>
  <c r="HX34" i="1"/>
  <c r="DT34" i="1"/>
  <c r="JE34" i="1"/>
  <c r="GB34" i="1"/>
  <c r="HI34" i="1"/>
  <c r="DE34" i="1"/>
  <c r="AH34" i="1"/>
  <c r="CD34" i="1"/>
  <c r="HF34" i="1"/>
  <c r="DN34" i="1"/>
  <c r="DB34" i="1"/>
  <c r="J33" i="48"/>
  <c r="IS34" i="1"/>
  <c r="DH34" i="1"/>
  <c r="GN34" i="1"/>
  <c r="HU34" i="1"/>
  <c r="Y34" i="1"/>
  <c r="IJ34" i="1"/>
  <c r="S34" i="1"/>
  <c r="AT34" i="1"/>
  <c r="ID34" i="1"/>
  <c r="FJ34" i="1"/>
  <c r="EX34" i="1"/>
  <c r="I33" i="48"/>
  <c r="HL34" i="1"/>
  <c r="BU34" i="1"/>
  <c r="CV34" i="1"/>
  <c r="EC34" i="1"/>
  <c r="GQ34" i="1"/>
  <c r="ER34" i="1"/>
  <c r="CP34" i="1"/>
  <c r="BO34" i="1"/>
  <c r="G34" i="1"/>
  <c r="JB34" i="1"/>
  <c r="GE34" i="1"/>
  <c r="AD33" i="48"/>
  <c r="FY34" i="1"/>
  <c r="HC34" i="1"/>
  <c r="IG34" i="1"/>
  <c r="AK34" i="1"/>
  <c r="IV34" i="1"/>
  <c r="AZ34" i="1"/>
  <c r="DK34" i="1"/>
  <c r="EL34" i="1"/>
  <c r="V34" i="1"/>
  <c r="J34" i="1"/>
  <c r="HR34" i="1"/>
  <c r="AJ33" i="48"/>
  <c r="EF34" i="1"/>
  <c r="AN34" i="1"/>
  <c r="EO34" i="1"/>
  <c r="JH34" i="1"/>
  <c r="FD34" i="1"/>
  <c r="GK34" i="1"/>
  <c r="GH34" i="1"/>
  <c r="FG34" i="1"/>
  <c r="BC34" i="1"/>
  <c r="AQ34" i="1"/>
  <c r="IP34" i="1"/>
  <c r="GZ34" i="1"/>
  <c r="FA34" i="1"/>
  <c r="BI34" i="1"/>
  <c r="AW34" i="1"/>
  <c r="FP34" i="1"/>
  <c r="BL34" i="1"/>
  <c r="CS34" i="1"/>
  <c r="CA34" i="1"/>
  <c r="AE34" i="1"/>
  <c r="BR34" i="1"/>
  <c r="BF34" i="1"/>
  <c r="FM34" i="1"/>
  <c r="CG34" i="1"/>
  <c r="AB34" i="1"/>
  <c r="HO34" i="1"/>
  <c r="BX34" i="1"/>
  <c r="GW34" i="1"/>
  <c r="GT34" i="1"/>
  <c r="FS34" i="1"/>
  <c r="DW34" i="1"/>
  <c r="CY34" i="1"/>
  <c r="E28" i="1"/>
  <c r="AQ28" i="1" s="1"/>
  <c r="C27" i="45"/>
  <c r="E26" i="1"/>
  <c r="C25" i="45"/>
  <c r="E29" i="1"/>
  <c r="DZ29" i="1" s="1"/>
  <c r="C28" i="45"/>
  <c r="K36" i="45"/>
  <c r="EL37" i="1"/>
  <c r="GH37" i="1"/>
  <c r="ID37" i="1"/>
  <c r="IP37" i="1"/>
  <c r="EF37" i="1"/>
  <c r="ER37" i="1"/>
  <c r="IV37" i="1"/>
  <c r="JE37" i="1"/>
  <c r="CJ37" i="1"/>
  <c r="AH37" i="1"/>
  <c r="EI37" i="1"/>
  <c r="O36" i="45"/>
  <c r="DH37" i="1"/>
  <c r="DZ37" i="1"/>
  <c r="DE37" i="1"/>
  <c r="GW37" i="1"/>
  <c r="HX37" i="1"/>
  <c r="IJ37" i="1"/>
  <c r="IA37" i="1"/>
  <c r="FP37" i="1"/>
  <c r="GB37" i="1"/>
  <c r="J37" i="1"/>
  <c r="V37" i="1"/>
  <c r="E19" i="1"/>
  <c r="IS19" i="1" s="1"/>
  <c r="C18" i="45"/>
  <c r="E31" i="1"/>
  <c r="DH31" i="1" s="1"/>
  <c r="C30" i="45"/>
  <c r="G36" i="45"/>
  <c r="HR37" i="1"/>
  <c r="BC37" i="1"/>
  <c r="GN37" i="1"/>
  <c r="FS37" i="1"/>
  <c r="HC37" i="1"/>
  <c r="HO37" i="1"/>
  <c r="AZ37" i="1"/>
  <c r="JH37" i="1"/>
  <c r="FG37" i="1"/>
  <c r="BR37" i="1"/>
  <c r="BI37" i="1"/>
  <c r="E38" i="2"/>
  <c r="BM38" i="2" s="1"/>
  <c r="S37" i="1"/>
  <c r="FV37" i="1"/>
  <c r="DQ37" i="1"/>
  <c r="CD37" i="1"/>
  <c r="JB37" i="1"/>
  <c r="BL37" i="1"/>
  <c r="EU37" i="1"/>
  <c r="IM37" i="1"/>
  <c r="IY37" i="1"/>
  <c r="M37" i="1"/>
  <c r="HF37" i="1"/>
  <c r="E33" i="1"/>
  <c r="C32" i="45"/>
  <c r="E27" i="1"/>
  <c r="GQ27" i="1" s="1"/>
  <c r="C26" i="45"/>
  <c r="E23" i="1"/>
  <c r="JB23" i="1" s="1"/>
  <c r="C22" i="45"/>
  <c r="E30" i="1"/>
  <c r="GN30" i="1" s="1"/>
  <c r="C29" i="45"/>
  <c r="GT37" i="1"/>
  <c r="CV37" i="1"/>
  <c r="GZ37" i="1"/>
  <c r="AQ37" i="1"/>
  <c r="AE37" i="1"/>
  <c r="CA37" i="1"/>
  <c r="BF37" i="1"/>
  <c r="AN37" i="1"/>
  <c r="AB37" i="1"/>
  <c r="AK37" i="1"/>
  <c r="AT37" i="1"/>
  <c r="E16" i="1"/>
  <c r="JE16" i="1" s="1"/>
  <c r="C15" i="45"/>
  <c r="E17" i="1"/>
  <c r="GN17" i="1" s="1"/>
  <c r="C16" i="45"/>
  <c r="E35" i="1"/>
  <c r="GH35" i="1" s="1"/>
  <c r="C34" i="45"/>
  <c r="BO37" i="1"/>
  <c r="GQ37" i="1"/>
  <c r="P37" i="1"/>
  <c r="DW37" i="1"/>
  <c r="CP37" i="1"/>
  <c r="FA37" i="1"/>
  <c r="G37" i="1"/>
  <c r="DN37" i="1"/>
  <c r="CY37" i="1"/>
  <c r="CM37" i="1"/>
  <c r="E13" i="1"/>
  <c r="IV13" i="1" s="1"/>
  <c r="E12" i="1"/>
  <c r="CP12" i="1" s="1"/>
  <c r="E11" i="1"/>
  <c r="CY11" i="1" s="1"/>
  <c r="E15" i="1"/>
  <c r="JB18" i="1"/>
  <c r="IP18" i="1"/>
  <c r="ID18" i="1"/>
  <c r="HR18" i="1"/>
  <c r="HF18" i="1"/>
  <c r="GT18" i="1"/>
  <c r="GH18" i="1"/>
  <c r="FV18" i="1"/>
  <c r="FJ18" i="1"/>
  <c r="EX18" i="1"/>
  <c r="EL18" i="1"/>
  <c r="DZ18" i="1"/>
  <c r="DN18" i="1"/>
  <c r="DB18" i="1"/>
  <c r="CP18" i="1"/>
  <c r="CD18" i="1"/>
  <c r="BR18" i="1"/>
  <c r="BF18" i="1"/>
  <c r="AT18" i="1"/>
  <c r="AH18" i="1"/>
  <c r="V18" i="1"/>
  <c r="J18" i="1"/>
  <c r="IY18" i="1"/>
  <c r="IM18" i="1"/>
  <c r="IA18" i="1"/>
  <c r="HO18" i="1"/>
  <c r="HC18" i="1"/>
  <c r="GQ18" i="1"/>
  <c r="GE18" i="1"/>
  <c r="FS18" i="1"/>
  <c r="FG18" i="1"/>
  <c r="EU18" i="1"/>
  <c r="EI18" i="1"/>
  <c r="DW18" i="1"/>
  <c r="DK18" i="1"/>
  <c r="CY18" i="1"/>
  <c r="CM18" i="1"/>
  <c r="CA18" i="1"/>
  <c r="BO18" i="1"/>
  <c r="BC18" i="1"/>
  <c r="AQ18" i="1"/>
  <c r="AE18" i="1"/>
  <c r="S18" i="1"/>
  <c r="G18" i="1"/>
  <c r="JH18" i="1"/>
  <c r="IV18" i="1"/>
  <c r="IJ18" i="1"/>
  <c r="HX18" i="1"/>
  <c r="HL18" i="1"/>
  <c r="GZ18" i="1"/>
  <c r="GN18" i="1"/>
  <c r="GB18" i="1"/>
  <c r="FP18" i="1"/>
  <c r="FD18" i="1"/>
  <c r="ER18" i="1"/>
  <c r="EF18" i="1"/>
  <c r="DT18" i="1"/>
  <c r="DH18" i="1"/>
  <c r="CV18" i="1"/>
  <c r="CJ18" i="1"/>
  <c r="BX18" i="1"/>
  <c r="BL18" i="1"/>
  <c r="AZ18" i="1"/>
  <c r="AN18" i="1"/>
  <c r="AB18" i="1"/>
  <c r="P18" i="1"/>
  <c r="JE18" i="1"/>
  <c r="IS18" i="1"/>
  <c r="IG18" i="1"/>
  <c r="HU18" i="1"/>
  <c r="HI18" i="1"/>
  <c r="GW18" i="1"/>
  <c r="GK18" i="1"/>
  <c r="FY18" i="1"/>
  <c r="FM18" i="1"/>
  <c r="FA18" i="1"/>
  <c r="EO18" i="1"/>
  <c r="EC18" i="1"/>
  <c r="DQ18" i="1"/>
  <c r="DE18" i="1"/>
  <c r="CS18" i="1"/>
  <c r="CG18" i="1"/>
  <c r="BU18" i="1"/>
  <c r="BI18" i="1"/>
  <c r="AW18" i="1"/>
  <c r="AK18" i="1"/>
  <c r="Y18" i="1"/>
  <c r="M18" i="1"/>
  <c r="IV31" i="1"/>
  <c r="EU28" i="1"/>
  <c r="BO28" i="1"/>
  <c r="IY26" i="1"/>
  <c r="IG26" i="1"/>
  <c r="DN26" i="1"/>
  <c r="AK26" i="1"/>
  <c r="V26" i="1"/>
  <c r="G26" i="1"/>
  <c r="GE26" i="1"/>
  <c r="FJ26" i="1"/>
  <c r="BO26" i="1"/>
  <c r="IP26" i="1"/>
  <c r="HI26" i="1"/>
  <c r="GQ26" i="1"/>
  <c r="DZ26" i="1"/>
  <c r="CS26" i="1"/>
  <c r="CD26" i="1"/>
  <c r="AW26" i="1"/>
  <c r="AH26" i="1"/>
  <c r="DQ26" i="1"/>
  <c r="CY26" i="1"/>
  <c r="J26" i="1"/>
  <c r="FA26" i="1"/>
  <c r="EI26" i="1"/>
  <c r="Y26" i="1"/>
  <c r="HF26" i="1"/>
  <c r="GK26" i="1"/>
  <c r="BI26" i="1"/>
  <c r="AQ26" i="1"/>
  <c r="IS26" i="1"/>
  <c r="GH26" i="1"/>
  <c r="CP26" i="1"/>
  <c r="BC26" i="1"/>
  <c r="HR26" i="1"/>
  <c r="CM26" i="1"/>
  <c r="BR26" i="1"/>
  <c r="DE26" i="1"/>
  <c r="EO26" i="1"/>
  <c r="FG26" i="1"/>
  <c r="M26" i="1"/>
  <c r="CA26" i="1"/>
  <c r="DB26" i="1"/>
  <c r="EC26" i="1"/>
  <c r="EU26" i="1"/>
  <c r="CG26" i="1"/>
  <c r="IJ26" i="1"/>
  <c r="ER26" i="1"/>
  <c r="AZ26" i="1"/>
  <c r="EL26" i="1"/>
  <c r="FS26" i="1"/>
  <c r="GW26" i="1"/>
  <c r="HU26" i="1"/>
  <c r="IA26" i="1"/>
  <c r="IV26" i="1"/>
  <c r="EF26" i="1"/>
  <c r="AB26" i="1"/>
  <c r="ID26" i="1"/>
  <c r="HX26" i="1"/>
  <c r="DT26" i="1"/>
  <c r="P26" i="1"/>
  <c r="JE26" i="1"/>
  <c r="FV26" i="1"/>
  <c r="AE26" i="1"/>
  <c r="HL26" i="1"/>
  <c r="DH26" i="1"/>
  <c r="S26" i="1"/>
  <c r="GT26" i="1"/>
  <c r="IM26" i="1"/>
  <c r="BF26" i="1"/>
  <c r="GZ26" i="1"/>
  <c r="CV26" i="1"/>
  <c r="AT26" i="1"/>
  <c r="DW26" i="1"/>
  <c r="GN26" i="1"/>
  <c r="CJ26" i="1"/>
  <c r="BU26" i="1"/>
  <c r="FY26" i="1"/>
  <c r="FP26" i="1"/>
  <c r="BL26" i="1"/>
  <c r="FM26" i="1"/>
  <c r="JH26" i="1"/>
  <c r="JB26" i="1"/>
  <c r="GB26" i="1"/>
  <c r="FD26" i="1"/>
  <c r="EX26" i="1"/>
  <c r="BX26" i="1"/>
  <c r="HO26" i="1"/>
  <c r="AN26" i="1"/>
  <c r="HC26" i="1"/>
  <c r="DK26" i="1"/>
  <c r="GN29" i="1"/>
  <c r="JE29" i="1"/>
  <c r="IS25" i="1"/>
  <c r="HR25" i="1"/>
  <c r="GQ25" i="1"/>
  <c r="FA25" i="1"/>
  <c r="DZ25" i="1"/>
  <c r="CY25" i="1"/>
  <c r="JE25" i="1"/>
  <c r="ID25" i="1"/>
  <c r="HC25" i="1"/>
  <c r="FM25" i="1"/>
  <c r="EL25" i="1"/>
  <c r="DK25" i="1"/>
  <c r="BU25" i="1"/>
  <c r="AT25" i="1"/>
  <c r="S25" i="1"/>
  <c r="GW25" i="1"/>
  <c r="GH25" i="1"/>
  <c r="EO25" i="1"/>
  <c r="CS25" i="1"/>
  <c r="BC25" i="1"/>
  <c r="Y25" i="1"/>
  <c r="J25" i="1"/>
  <c r="IP25" i="1"/>
  <c r="IA25" i="1"/>
  <c r="FS25" i="1"/>
  <c r="DW25" i="1"/>
  <c r="CD25" i="1"/>
  <c r="BO25" i="1"/>
  <c r="AK25" i="1"/>
  <c r="HI25" i="1"/>
  <c r="GT25" i="1"/>
  <c r="GE25" i="1"/>
  <c r="DE25" i="1"/>
  <c r="CP25" i="1"/>
  <c r="V25" i="1"/>
  <c r="G25" i="1"/>
  <c r="JB25" i="1"/>
  <c r="IM25" i="1"/>
  <c r="EX25" i="1"/>
  <c r="EI25" i="1"/>
  <c r="CA25" i="1"/>
  <c r="AW25" i="1"/>
  <c r="AH25" i="1"/>
  <c r="JH25" i="1"/>
  <c r="HU25" i="1"/>
  <c r="HF25" i="1"/>
  <c r="DQ25" i="1"/>
  <c r="DB25" i="1"/>
  <c r="CM25" i="1"/>
  <c r="BI25" i="1"/>
  <c r="IY25" i="1"/>
  <c r="FY25" i="1"/>
  <c r="FJ25" i="1"/>
  <c r="EU25" i="1"/>
  <c r="AE25" i="1"/>
  <c r="HO25" i="1"/>
  <c r="DN25" i="1"/>
  <c r="M25" i="1"/>
  <c r="IG25" i="1"/>
  <c r="FV25" i="1"/>
  <c r="EC25" i="1"/>
  <c r="BR25" i="1"/>
  <c r="GK25" i="1"/>
  <c r="CG25" i="1"/>
  <c r="FG25" i="1"/>
  <c r="AQ25" i="1"/>
  <c r="BF25" i="1"/>
  <c r="CJ25" i="1"/>
  <c r="CV25" i="1"/>
  <c r="GN25" i="1"/>
  <c r="AB25" i="1"/>
  <c r="EF25" i="1"/>
  <c r="IJ25" i="1"/>
  <c r="P25" i="1"/>
  <c r="ER25" i="1"/>
  <c r="IV25" i="1"/>
  <c r="AN25" i="1"/>
  <c r="FD25" i="1"/>
  <c r="AZ25" i="1"/>
  <c r="FP25" i="1"/>
  <c r="BL25" i="1"/>
  <c r="GB25" i="1"/>
  <c r="DH25" i="1"/>
  <c r="HL25" i="1"/>
  <c r="DT25" i="1"/>
  <c r="GZ25" i="1"/>
  <c r="HX25" i="1"/>
  <c r="BX25" i="1"/>
  <c r="BR35" i="1"/>
  <c r="BC35" i="1"/>
  <c r="EX35" i="1"/>
  <c r="G35" i="1"/>
  <c r="BO35" i="1"/>
  <c r="AH35" i="1"/>
  <c r="IY35" i="1"/>
  <c r="IP35" i="1"/>
  <c r="CP35" i="1"/>
  <c r="CA35" i="1"/>
  <c r="AE35" i="1"/>
  <c r="JB35" i="1"/>
  <c r="BF35" i="1"/>
  <c r="AQ35" i="1"/>
  <c r="M35" i="1"/>
  <c r="J35" i="1"/>
  <c r="AW35" i="1"/>
  <c r="EO35" i="1"/>
  <c r="BX35" i="1"/>
  <c r="FP35" i="1"/>
  <c r="IS35" i="1"/>
  <c r="CJ35" i="1"/>
  <c r="FS35" i="1"/>
  <c r="BU35" i="1"/>
  <c r="GN35" i="1"/>
  <c r="CG35" i="1"/>
  <c r="P35" i="1"/>
  <c r="DH35" i="1"/>
  <c r="GK35" i="1"/>
  <c r="AB35" i="1"/>
  <c r="HL35" i="1"/>
  <c r="HC35" i="1"/>
  <c r="EI35" i="1"/>
  <c r="AK35" i="1"/>
  <c r="IM35" i="1"/>
  <c r="DE35" i="1"/>
  <c r="EC35" i="1"/>
  <c r="ER35" i="1"/>
  <c r="HI35" i="1"/>
  <c r="HX35" i="1"/>
  <c r="IJ35" i="1"/>
  <c r="HO35" i="1"/>
  <c r="GW35" i="1"/>
  <c r="FD35" i="1"/>
  <c r="BC35" i="48"/>
  <c r="I35" i="48"/>
  <c r="AJ35" i="48"/>
  <c r="AD35" i="48"/>
  <c r="J35" i="48"/>
  <c r="E35" i="2"/>
  <c r="BM35" i="2" s="1"/>
  <c r="K33" i="45"/>
  <c r="O33" i="45"/>
  <c r="R33" i="45"/>
  <c r="G33" i="45"/>
  <c r="X165" i="46"/>
  <c r="K32" i="45"/>
  <c r="O32" i="45"/>
  <c r="G32" i="45"/>
  <c r="R32" i="45"/>
  <c r="E34" i="2"/>
  <c r="BM34" i="2" s="1"/>
  <c r="J20" i="9"/>
  <c r="J20" i="8" s="1"/>
  <c r="J9" i="9"/>
  <c r="J9" i="8" s="1"/>
  <c r="J23" i="9"/>
  <c r="J23" i="8" s="1"/>
  <c r="J23" i="7" s="1"/>
  <c r="J23" i="6" s="1"/>
  <c r="J23" i="37" s="1"/>
  <c r="J23" i="4" s="1"/>
  <c r="J23" i="43" s="1"/>
  <c r="R10" i="48"/>
  <c r="C9" i="45" s="1"/>
  <c r="J8" i="9"/>
  <c r="J8" i="8" s="1"/>
  <c r="J22" i="9"/>
  <c r="J22" i="8" s="1"/>
  <c r="J22" i="7" s="1"/>
  <c r="J22" i="6" s="1"/>
  <c r="J22" i="37" s="1"/>
  <c r="J22" i="4" s="1"/>
  <c r="J22" i="43" s="1"/>
  <c r="J25" i="9"/>
  <c r="J25" i="8" s="1"/>
  <c r="J25" i="7" s="1"/>
  <c r="J25" i="6" s="1"/>
  <c r="J25" i="37" s="1"/>
  <c r="J25" i="4" s="1"/>
  <c r="J25" i="43" s="1"/>
  <c r="J40" i="32"/>
  <c r="K57" i="32" s="1"/>
  <c r="I48" i="32"/>
  <c r="J21" i="9"/>
  <c r="J21" i="8" s="1"/>
  <c r="J24" i="9"/>
  <c r="J24" i="8" s="1"/>
  <c r="J24" i="7" s="1"/>
  <c r="J24" i="6" s="1"/>
  <c r="J24" i="37" s="1"/>
  <c r="J24" i="4" s="1"/>
  <c r="J24" i="43" s="1"/>
  <c r="X163" i="46"/>
  <c r="AJ29" i="48"/>
  <c r="I29" i="48"/>
  <c r="BC29" i="48"/>
  <c r="AD29" i="48"/>
  <c r="J29" i="48"/>
  <c r="AJ30" i="48"/>
  <c r="J30" i="48"/>
  <c r="I30" i="48"/>
  <c r="AD30" i="48"/>
  <c r="BC30" i="48"/>
  <c r="AJ31" i="48"/>
  <c r="I31" i="48"/>
  <c r="AD31" i="48"/>
  <c r="J31" i="48"/>
  <c r="BC31" i="48"/>
  <c r="J19" i="11"/>
  <c r="J19" i="10" s="1"/>
  <c r="J18" i="11"/>
  <c r="J18" i="10" s="1"/>
  <c r="J15" i="11"/>
  <c r="J15" i="10" s="1"/>
  <c r="J17" i="11"/>
  <c r="J17" i="10" s="1"/>
  <c r="J14" i="11"/>
  <c r="J14" i="10" s="1"/>
  <c r="J11" i="11"/>
  <c r="J11" i="10" s="1"/>
  <c r="J12" i="11"/>
  <c r="J12" i="10" s="1"/>
  <c r="J16" i="11"/>
  <c r="J16" i="10" s="1"/>
  <c r="J10" i="11"/>
  <c r="J10" i="10" s="1"/>
  <c r="AJ27" i="48"/>
  <c r="I27" i="48"/>
  <c r="BC27" i="48"/>
  <c r="J27" i="48"/>
  <c r="AD27" i="48"/>
  <c r="AD23" i="48"/>
  <c r="BC23" i="48"/>
  <c r="AJ23" i="48"/>
  <c r="I23" i="48"/>
  <c r="J23" i="48"/>
  <c r="J26" i="48"/>
  <c r="I26" i="48"/>
  <c r="AJ26" i="48"/>
  <c r="BC26" i="48"/>
  <c r="AD26" i="48"/>
  <c r="J13" i="11"/>
  <c r="J13" i="10" s="1"/>
  <c r="BC28" i="48"/>
  <c r="J28" i="48"/>
  <c r="AJ28" i="48"/>
  <c r="I28" i="48"/>
  <c r="AD28" i="48"/>
  <c r="E19" i="2"/>
  <c r="BM19" i="2" s="1"/>
  <c r="I19" i="48"/>
  <c r="AD19" i="48"/>
  <c r="AJ19" i="48"/>
  <c r="J19" i="48"/>
  <c r="BC19" i="48"/>
  <c r="BC17" i="48"/>
  <c r="AD17" i="48"/>
  <c r="J17" i="48"/>
  <c r="I17" i="48"/>
  <c r="AJ17" i="48"/>
  <c r="K14" i="45"/>
  <c r="O14" i="45"/>
  <c r="G14" i="45"/>
  <c r="R14" i="45"/>
  <c r="BC16" i="48"/>
  <c r="AJ16" i="48"/>
  <c r="I16" i="48"/>
  <c r="AD16" i="48"/>
  <c r="J16" i="48"/>
  <c r="I45" i="31"/>
  <c r="I48" i="31"/>
  <c r="Z160" i="46"/>
  <c r="Z160" i="57"/>
  <c r="AB160" i="57"/>
  <c r="I48" i="27"/>
  <c r="I45" i="27"/>
  <c r="R14" i="48"/>
  <c r="C13" i="45" s="1"/>
  <c r="BC15" i="48"/>
  <c r="AJ15" i="48"/>
  <c r="I15" i="48"/>
  <c r="J15" i="48"/>
  <c r="AD15" i="48"/>
  <c r="BC13" i="48"/>
  <c r="J13" i="48"/>
  <c r="I13" i="48"/>
  <c r="AD13" i="48"/>
  <c r="AJ13" i="48"/>
  <c r="I12" i="48"/>
  <c r="AJ12" i="48"/>
  <c r="J12" i="48"/>
  <c r="BC12" i="48"/>
  <c r="AD12" i="48"/>
  <c r="BC11" i="48"/>
  <c r="AD11" i="48"/>
  <c r="I11" i="48"/>
  <c r="AJ11" i="48"/>
  <c r="J11" i="48"/>
  <c r="AA160" i="57"/>
  <c r="T3" i="56" s="1"/>
  <c r="N13" i="55" s="1"/>
  <c r="BM10" i="2"/>
  <c r="AI9" i="48"/>
  <c r="M10" i="48"/>
  <c r="I50" i="18"/>
  <c r="I51" i="18"/>
  <c r="I50" i="28"/>
  <c r="I51" i="28"/>
  <c r="I50" i="17"/>
  <c r="I51" i="17"/>
  <c r="I50" i="8"/>
  <c r="I51" i="8"/>
  <c r="I50" i="29"/>
  <c r="I51" i="29"/>
  <c r="I50" i="30"/>
  <c r="I51" i="30"/>
  <c r="J50" i="33"/>
  <c r="J51" i="33"/>
  <c r="I50" i="31"/>
  <c r="I51" i="31"/>
  <c r="W9" i="48"/>
  <c r="Y9" i="48"/>
  <c r="I49" i="32"/>
  <c r="I51" i="32" s="1"/>
  <c r="V11" i="48"/>
  <c r="X11" i="48"/>
  <c r="I49" i="7"/>
  <c r="I11" i="56"/>
  <c r="F35" i="55" s="1"/>
  <c r="V34" i="48"/>
  <c r="X34" i="48"/>
  <c r="V25" i="48"/>
  <c r="X25" i="48"/>
  <c r="X24" i="48"/>
  <c r="V24" i="48"/>
  <c r="I49" i="22"/>
  <c r="X15" i="48"/>
  <c r="V15" i="48"/>
  <c r="V13" i="48"/>
  <c r="X13" i="48"/>
  <c r="D43" i="26"/>
  <c r="D43" i="25" s="1"/>
  <c r="E45" i="28"/>
  <c r="V12" i="48"/>
  <c r="X12" i="48"/>
  <c r="D39" i="26"/>
  <c r="D39" i="25" s="1"/>
  <c r="D48" i="27"/>
  <c r="E48" i="27" s="1"/>
  <c r="M8" i="29"/>
  <c r="M34" i="30"/>
  <c r="E41" i="29"/>
  <c r="D41" i="27"/>
  <c r="J43" i="27"/>
  <c r="J44" i="29"/>
  <c r="J56" i="27"/>
  <c r="D38" i="28"/>
  <c r="E38" i="27"/>
  <c r="D52" i="29"/>
  <c r="D53" i="29" s="1"/>
  <c r="E50" i="29"/>
  <c r="D50" i="27"/>
  <c r="E52" i="30"/>
  <c r="E53" i="30" s="1"/>
  <c r="E46" i="29"/>
  <c r="D46" i="27"/>
  <c r="D47" i="26"/>
  <c r="E47" i="28"/>
  <c r="E42" i="29"/>
  <c r="D42" i="27"/>
  <c r="E45" i="26"/>
  <c r="D45" i="25"/>
  <c r="D51" i="28"/>
  <c r="E51" i="27"/>
  <c r="E44" i="28"/>
  <c r="D44" i="26"/>
  <c r="E40" i="27"/>
  <c r="D40" i="28"/>
  <c r="A15" i="2" s="1"/>
  <c r="E49" i="28"/>
  <c r="D49" i="26"/>
  <c r="J57" i="27"/>
  <c r="J37" i="29"/>
  <c r="J39" i="30"/>
  <c r="J47" i="27"/>
  <c r="J46" i="28"/>
  <c r="AC13" i="48"/>
  <c r="Q14" i="48"/>
  <c r="M7" i="26"/>
  <c r="J57" i="15"/>
  <c r="FG27" i="1" l="1"/>
  <c r="FG35" i="1"/>
  <c r="EU35" i="1"/>
  <c r="AZ35" i="1"/>
  <c r="DT35" i="1"/>
  <c r="FY35" i="1"/>
  <c r="GB35" i="1"/>
  <c r="IG35" i="1"/>
  <c r="FV35" i="1"/>
  <c r="AT35" i="1"/>
  <c r="S35" i="1"/>
  <c r="HF35" i="1"/>
  <c r="HU35" i="1"/>
  <c r="EF35" i="1"/>
  <c r="IA35" i="1"/>
  <c r="CS35" i="1"/>
  <c r="CV35" i="1"/>
  <c r="FA35" i="1"/>
  <c r="EL35" i="1"/>
  <c r="CM35" i="1"/>
  <c r="DW35" i="1"/>
  <c r="CD35" i="1"/>
  <c r="CY35" i="1"/>
  <c r="P13" i="1"/>
  <c r="V35" i="1"/>
  <c r="DQ35" i="1"/>
  <c r="IV35" i="1"/>
  <c r="GQ35" i="1"/>
  <c r="JE35" i="1"/>
  <c r="BI35" i="1"/>
  <c r="ID35" i="1"/>
  <c r="DB35" i="1"/>
  <c r="FJ35" i="1"/>
  <c r="DK35" i="1"/>
  <c r="DN35" i="1"/>
  <c r="GW13" i="1"/>
  <c r="GE35" i="1"/>
  <c r="BL35" i="1"/>
  <c r="AN35" i="1"/>
  <c r="GZ35" i="1"/>
  <c r="FM35" i="1"/>
  <c r="JH35" i="1"/>
  <c r="Y35" i="1"/>
  <c r="GT35" i="1"/>
  <c r="HR35" i="1"/>
  <c r="DZ35" i="1"/>
  <c r="AK13" i="1"/>
  <c r="AT28" i="1"/>
  <c r="FY31" i="1"/>
  <c r="BR31" i="1"/>
  <c r="GB28" i="1"/>
  <c r="BU31" i="1"/>
  <c r="V31" i="1"/>
  <c r="DH28" i="1"/>
  <c r="IG31" i="1"/>
  <c r="DZ31" i="1"/>
  <c r="FG28" i="1"/>
  <c r="DE31" i="1"/>
  <c r="EF28" i="1"/>
  <c r="G31" i="1"/>
  <c r="HI28" i="1"/>
  <c r="HF28" i="1"/>
  <c r="HI31" i="1"/>
  <c r="JH28" i="1"/>
  <c r="DZ28" i="1"/>
  <c r="FP31" i="1"/>
  <c r="DK30" i="1"/>
  <c r="AT30" i="1"/>
  <c r="GT30" i="1"/>
  <c r="EO28" i="1"/>
  <c r="HC28" i="1"/>
  <c r="HU28" i="1"/>
  <c r="FP28" i="1"/>
  <c r="HO28" i="1"/>
  <c r="GZ28" i="1"/>
  <c r="DW28" i="1"/>
  <c r="HX28" i="1"/>
  <c r="AZ28" i="1"/>
  <c r="HR28" i="1"/>
  <c r="CM28" i="1"/>
  <c r="FA31" i="1"/>
  <c r="BO31" i="1"/>
  <c r="EC31" i="1"/>
  <c r="IM31" i="1"/>
  <c r="GK31" i="1"/>
  <c r="DQ31" i="1"/>
  <c r="AZ31" i="1"/>
  <c r="CD31" i="1"/>
  <c r="CJ31" i="1"/>
  <c r="AN31" i="1"/>
  <c r="J31" i="1"/>
  <c r="BU30" i="1"/>
  <c r="DQ30" i="1"/>
  <c r="FM30" i="1"/>
  <c r="HX30" i="1"/>
  <c r="GQ30" i="1"/>
  <c r="AE30" i="1"/>
  <c r="GZ30" i="1"/>
  <c r="IV30" i="1"/>
  <c r="AH30" i="1"/>
  <c r="FJ30" i="1"/>
  <c r="CY30" i="1"/>
  <c r="BR28" i="1"/>
  <c r="M28" i="1"/>
  <c r="BX28" i="1"/>
  <c r="JE28" i="1"/>
  <c r="IS28" i="1"/>
  <c r="AK28" i="1"/>
  <c r="FA28" i="1"/>
  <c r="CA28" i="1"/>
  <c r="ER28" i="1"/>
  <c r="BL28" i="1"/>
  <c r="GQ28" i="1"/>
  <c r="GE31" i="1"/>
  <c r="IJ31" i="1"/>
  <c r="M31" i="1"/>
  <c r="EI31" i="1"/>
  <c r="CG31" i="1"/>
  <c r="Y31" i="1"/>
  <c r="DT31" i="1"/>
  <c r="ID31" i="1"/>
  <c r="DB31" i="1"/>
  <c r="BF31" i="1"/>
  <c r="FJ31" i="1"/>
  <c r="JE30" i="1"/>
  <c r="JH30" i="1"/>
  <c r="IJ30" i="1"/>
  <c r="IA30" i="1"/>
  <c r="AK30" i="1"/>
  <c r="DW30" i="1"/>
  <c r="CJ30" i="1"/>
  <c r="EF30" i="1"/>
  <c r="GB30" i="1"/>
  <c r="V30" i="1"/>
  <c r="HR30" i="1"/>
  <c r="JB30" i="1"/>
  <c r="IY28" i="1"/>
  <c r="DQ28" i="1"/>
  <c r="S28" i="1"/>
  <c r="FY28" i="1"/>
  <c r="FM28" i="1"/>
  <c r="CP28" i="1"/>
  <c r="BU28" i="1"/>
  <c r="DE28" i="1"/>
  <c r="IJ28" i="1"/>
  <c r="FD28" i="1"/>
  <c r="G28" i="1"/>
  <c r="FS31" i="1"/>
  <c r="IS31" i="1"/>
  <c r="IY31" i="1"/>
  <c r="AE31" i="1"/>
  <c r="HO31" i="1"/>
  <c r="HC31" i="1"/>
  <c r="HR31" i="1"/>
  <c r="BL31" i="1"/>
  <c r="JB31" i="1"/>
  <c r="HF31" i="1"/>
  <c r="GB31" i="1"/>
  <c r="BL30" i="1"/>
  <c r="GH30" i="1"/>
  <c r="CD30" i="1"/>
  <c r="ID30" i="1"/>
  <c r="IG30" i="1"/>
  <c r="EC30" i="1"/>
  <c r="HO30" i="1"/>
  <c r="BC30" i="1"/>
  <c r="BO30" i="1"/>
  <c r="CA30" i="1"/>
  <c r="HF30" i="1"/>
  <c r="FJ28" i="1"/>
  <c r="ID28" i="1"/>
  <c r="IG28" i="1"/>
  <c r="BF28" i="1"/>
  <c r="CG28" i="1"/>
  <c r="GH28" i="1"/>
  <c r="J28" i="1"/>
  <c r="IA28" i="1"/>
  <c r="AE28" i="1"/>
  <c r="IV28" i="1"/>
  <c r="IM28" i="1"/>
  <c r="BI31" i="1"/>
  <c r="EO31" i="1"/>
  <c r="EU31" i="1"/>
  <c r="GW31" i="1"/>
  <c r="CY31" i="1"/>
  <c r="DK31" i="1"/>
  <c r="GZ31" i="1"/>
  <c r="AT31" i="1"/>
  <c r="EL31" i="1"/>
  <c r="HX31" i="1"/>
  <c r="GT31" i="1"/>
  <c r="CP30" i="1"/>
  <c r="IP30" i="1"/>
  <c r="EI30" i="1"/>
  <c r="AN30" i="1"/>
  <c r="EL30" i="1"/>
  <c r="HU30" i="1"/>
  <c r="BI30" i="1"/>
  <c r="EU30" i="1"/>
  <c r="FG30" i="1"/>
  <c r="FS30" i="1"/>
  <c r="BR30" i="1"/>
  <c r="DB30" i="1"/>
  <c r="GN28" i="1"/>
  <c r="DK28" i="1"/>
  <c r="EC28" i="1"/>
  <c r="EX28" i="1"/>
  <c r="CD28" i="1"/>
  <c r="AB28" i="1"/>
  <c r="DB28" i="1"/>
  <c r="Y28" i="1"/>
  <c r="BI28" i="1"/>
  <c r="BC28" i="1"/>
  <c r="EI28" i="1"/>
  <c r="CM31" i="1"/>
  <c r="AK31" i="1"/>
  <c r="AQ31" i="1"/>
  <c r="CS31" i="1"/>
  <c r="AB31" i="1"/>
  <c r="S31" i="1"/>
  <c r="AH31" i="1"/>
  <c r="DN31" i="1"/>
  <c r="FD31" i="1"/>
  <c r="IP31" i="1"/>
  <c r="JH31" i="1"/>
  <c r="BF30" i="1"/>
  <c r="AQ30" i="1"/>
  <c r="EO30" i="1"/>
  <c r="HC30" i="1"/>
  <c r="P30" i="1"/>
  <c r="AZ30" i="1"/>
  <c r="FA30" i="1"/>
  <c r="IM30" i="1"/>
  <c r="IY30" i="1"/>
  <c r="DE30" i="1"/>
  <c r="AB30" i="1"/>
  <c r="Y30" i="1"/>
  <c r="GE30" i="1"/>
  <c r="DT30" i="1"/>
  <c r="AW28" i="1"/>
  <c r="CS28" i="1"/>
  <c r="FS28" i="1"/>
  <c r="CV28" i="1"/>
  <c r="IP28" i="1"/>
  <c r="FV28" i="1"/>
  <c r="DT28" i="1"/>
  <c r="GT28" i="1"/>
  <c r="V28" i="1"/>
  <c r="GE28" i="1"/>
  <c r="CY28" i="1"/>
  <c r="GQ31" i="1"/>
  <c r="AW31" i="1"/>
  <c r="FG31" i="1"/>
  <c r="BX31" i="1"/>
  <c r="IA31" i="1"/>
  <c r="GN31" i="1"/>
  <c r="HL31" i="1"/>
  <c r="GH31" i="1"/>
  <c r="EF31" i="1"/>
  <c r="FV31" i="1"/>
  <c r="CP31" i="1"/>
  <c r="S30" i="1"/>
  <c r="AW30" i="1"/>
  <c r="BX30" i="1"/>
  <c r="HI30" i="1"/>
  <c r="DZ30" i="1"/>
  <c r="J30" i="1"/>
  <c r="IS30" i="1"/>
  <c r="CG30" i="1"/>
  <c r="CS30" i="1"/>
  <c r="GW30" i="1"/>
  <c r="HL30" i="1"/>
  <c r="EX30" i="1"/>
  <c r="GW28" i="1"/>
  <c r="EL28" i="1"/>
  <c r="JB28" i="1"/>
  <c r="GK28" i="1"/>
  <c r="CJ28" i="1"/>
  <c r="P28" i="1"/>
  <c r="HL28" i="1"/>
  <c r="AN28" i="1"/>
  <c r="DN28" i="1"/>
  <c r="AH28" i="1"/>
  <c r="FM31" i="1"/>
  <c r="CA31" i="1"/>
  <c r="BC31" i="1"/>
  <c r="HU31" i="1"/>
  <c r="DW31" i="1"/>
  <c r="ER31" i="1"/>
  <c r="CV31" i="1"/>
  <c r="P31" i="1"/>
  <c r="EX31" i="1"/>
  <c r="JE31" i="1"/>
  <c r="CM30" i="1"/>
  <c r="FD30" i="1"/>
  <c r="FV30" i="1"/>
  <c r="ER30" i="1"/>
  <c r="G30" i="1"/>
  <c r="DH30" i="1"/>
  <c r="FP30" i="1"/>
  <c r="FY30" i="1"/>
  <c r="GK30" i="1"/>
  <c r="CV30" i="1"/>
  <c r="DN30" i="1"/>
  <c r="HO19" i="1"/>
  <c r="IM29" i="1"/>
  <c r="P27" i="1"/>
  <c r="EO29" i="1"/>
  <c r="AN27" i="1"/>
  <c r="GH29" i="1"/>
  <c r="J27" i="1"/>
  <c r="CJ29" i="1"/>
  <c r="ID27" i="1"/>
  <c r="GK27" i="1"/>
  <c r="JB29" i="1"/>
  <c r="CD27" i="1"/>
  <c r="BR27" i="1"/>
  <c r="EU29" i="1"/>
  <c r="DH29" i="1"/>
  <c r="M27" i="1"/>
  <c r="AB29" i="1"/>
  <c r="CV29" i="1"/>
  <c r="CV27" i="1"/>
  <c r="BU29" i="1"/>
  <c r="DW29" i="1"/>
  <c r="DB29" i="1"/>
  <c r="IJ29" i="1"/>
  <c r="EI29" i="1"/>
  <c r="FG29" i="1"/>
  <c r="CM29" i="1"/>
  <c r="EF29" i="1"/>
  <c r="P29" i="1"/>
  <c r="HR29" i="1"/>
  <c r="AW29" i="1"/>
  <c r="FA27" i="1"/>
  <c r="IA27" i="1"/>
  <c r="CP27" i="1"/>
  <c r="IS27" i="1"/>
  <c r="EX27" i="1"/>
  <c r="DH27" i="1"/>
  <c r="EF27" i="1"/>
  <c r="IY27" i="1"/>
  <c r="BI27" i="1"/>
  <c r="DW27" i="1"/>
  <c r="FM29" i="1"/>
  <c r="GK29" i="1"/>
  <c r="BF29" i="1"/>
  <c r="GZ29" i="1"/>
  <c r="IA29" i="1"/>
  <c r="IY29" i="1"/>
  <c r="GE29" i="1"/>
  <c r="CY29" i="1"/>
  <c r="GB29" i="1"/>
  <c r="S29" i="1"/>
  <c r="BO29" i="1"/>
  <c r="FJ27" i="1"/>
  <c r="JB27" i="1"/>
  <c r="JE27" i="1"/>
  <c r="Y27" i="1"/>
  <c r="IP27" i="1"/>
  <c r="GZ27" i="1"/>
  <c r="HX27" i="1"/>
  <c r="DZ27" i="1"/>
  <c r="AE27" i="1"/>
  <c r="EO27" i="1"/>
  <c r="Y29" i="1"/>
  <c r="AE29" i="1"/>
  <c r="BX29" i="1"/>
  <c r="CP29" i="1"/>
  <c r="FA29" i="1"/>
  <c r="FY29" i="1"/>
  <c r="DE29" i="1"/>
  <c r="GQ29" i="1"/>
  <c r="DK29" i="1"/>
  <c r="AQ29" i="1"/>
  <c r="M29" i="1"/>
  <c r="FP27" i="1"/>
  <c r="JH27" i="1"/>
  <c r="DK27" i="1"/>
  <c r="DB27" i="1"/>
  <c r="CJ27" i="1"/>
  <c r="DE27" i="1"/>
  <c r="AK27" i="1"/>
  <c r="HR27" i="1"/>
  <c r="G27" i="1"/>
  <c r="HO27" i="1"/>
  <c r="IG29" i="1"/>
  <c r="GT29" i="1"/>
  <c r="HO29" i="1"/>
  <c r="CS29" i="1"/>
  <c r="IS29" i="1"/>
  <c r="G29" i="1"/>
  <c r="GW29" i="1"/>
  <c r="DQ29" i="1"/>
  <c r="HC29" i="1"/>
  <c r="BI29" i="1"/>
  <c r="JH29" i="1"/>
  <c r="HL27" i="1"/>
  <c r="BC27" i="1"/>
  <c r="BX27" i="1"/>
  <c r="EL27" i="1"/>
  <c r="GB27" i="1"/>
  <c r="EI27" i="1"/>
  <c r="DN27" i="1"/>
  <c r="BL27" i="1"/>
  <c r="AQ27" i="1"/>
  <c r="ID29" i="1"/>
  <c r="HL29" i="1"/>
  <c r="AH29" i="1"/>
  <c r="BC29" i="1"/>
  <c r="ER29" i="1"/>
  <c r="AT29" i="1"/>
  <c r="DT29" i="1"/>
  <c r="IP29" i="1"/>
  <c r="HI29" i="1"/>
  <c r="EC29" i="1"/>
  <c r="FV29" i="1"/>
  <c r="GW27" i="1"/>
  <c r="GE27" i="1"/>
  <c r="BO27" i="1"/>
  <c r="DT27" i="1"/>
  <c r="DQ27" i="1"/>
  <c r="CA27" i="1"/>
  <c r="HF27" i="1"/>
  <c r="FD27" i="1"/>
  <c r="EU27" i="1"/>
  <c r="FJ29" i="1"/>
  <c r="V29" i="1"/>
  <c r="AZ29" i="1"/>
  <c r="FD29" i="1"/>
  <c r="IV29" i="1"/>
  <c r="DN29" i="1"/>
  <c r="BR29" i="1"/>
  <c r="CG29" i="1"/>
  <c r="EX29" i="1"/>
  <c r="HU29" i="1"/>
  <c r="FP29" i="1"/>
  <c r="GH27" i="1"/>
  <c r="HC27" i="1"/>
  <c r="FM27" i="1"/>
  <c r="HI27" i="1"/>
  <c r="BU27" i="1"/>
  <c r="S27" i="1"/>
  <c r="AZ27" i="1"/>
  <c r="IV27" i="1"/>
  <c r="AW27" i="1"/>
  <c r="AN29" i="1"/>
  <c r="J29" i="1"/>
  <c r="FS29" i="1"/>
  <c r="HX29" i="1"/>
  <c r="EL29" i="1"/>
  <c r="BL29" i="1"/>
  <c r="HF29" i="1"/>
  <c r="CD29" i="1"/>
  <c r="AK29" i="1"/>
  <c r="CA29" i="1"/>
  <c r="GN27" i="1"/>
  <c r="AB27" i="1"/>
  <c r="AT27" i="1"/>
  <c r="IM27" i="1"/>
  <c r="FV27" i="1"/>
  <c r="GT27" i="1"/>
  <c r="ER27" i="1"/>
  <c r="BF27" i="1"/>
  <c r="CY27" i="1"/>
  <c r="M30" i="1"/>
  <c r="IV19" i="1"/>
  <c r="DB13" i="1"/>
  <c r="CV13" i="1"/>
  <c r="EI13" i="1"/>
  <c r="IA13" i="1"/>
  <c r="FV13" i="1"/>
  <c r="J13" i="1"/>
  <c r="IG27" i="1"/>
  <c r="HU27" i="1"/>
  <c r="CG27" i="1"/>
  <c r="V27" i="1"/>
  <c r="FS27" i="1"/>
  <c r="AH27" i="1"/>
  <c r="FY27" i="1"/>
  <c r="CM27" i="1"/>
  <c r="IJ27" i="1"/>
  <c r="CS27" i="1"/>
  <c r="EC27" i="1"/>
  <c r="HF19" i="1"/>
  <c r="GN19" i="1"/>
  <c r="JE19" i="1"/>
  <c r="HX19" i="1"/>
  <c r="GB19" i="1"/>
  <c r="GZ12" i="1"/>
  <c r="AH19" i="1"/>
  <c r="IY19" i="1"/>
  <c r="HC19" i="1"/>
  <c r="P12" i="1"/>
  <c r="IJ19" i="1"/>
  <c r="HL19" i="1"/>
  <c r="BU19" i="1"/>
  <c r="AB12" i="1"/>
  <c r="HR19" i="1"/>
  <c r="IM19" i="1"/>
  <c r="CG19" i="1"/>
  <c r="DZ12" i="1"/>
  <c r="J19" i="1"/>
  <c r="GZ19" i="1"/>
  <c r="FM19" i="1"/>
  <c r="HF12" i="1"/>
  <c r="AZ19" i="1"/>
  <c r="IA19" i="1"/>
  <c r="FY19" i="1"/>
  <c r="IJ23" i="1"/>
  <c r="FD23" i="1"/>
  <c r="HC23" i="1"/>
  <c r="IG23" i="1"/>
  <c r="DH23" i="1"/>
  <c r="FG23" i="1"/>
  <c r="BX13" i="1"/>
  <c r="AZ13" i="1"/>
  <c r="DK13" i="1"/>
  <c r="HC13" i="1"/>
  <c r="EX13" i="1"/>
  <c r="IP13" i="1"/>
  <c r="CD13" i="1"/>
  <c r="FY13" i="1"/>
  <c r="M13" i="1"/>
  <c r="CA13" i="1"/>
  <c r="DN13" i="1"/>
  <c r="CM13" i="1"/>
  <c r="BO13" i="1"/>
  <c r="DW13" i="1"/>
  <c r="HO13" i="1"/>
  <c r="FJ13" i="1"/>
  <c r="JB13" i="1"/>
  <c r="CP13" i="1"/>
  <c r="GK13" i="1"/>
  <c r="Y13" i="1"/>
  <c r="AE13" i="1"/>
  <c r="G13" i="1"/>
  <c r="EU13" i="1"/>
  <c r="IM13" i="1"/>
  <c r="GH13" i="1"/>
  <c r="V13" i="1"/>
  <c r="DQ13" i="1"/>
  <c r="HI13" i="1"/>
  <c r="CG13" i="1"/>
  <c r="CP23" i="1"/>
  <c r="GH23" i="1"/>
  <c r="BL13" i="1"/>
  <c r="AN13" i="1"/>
  <c r="FG13" i="1"/>
  <c r="IY13" i="1"/>
  <c r="GT13" i="1"/>
  <c r="AH13" i="1"/>
  <c r="EC13" i="1"/>
  <c r="HU13" i="1"/>
  <c r="CS13" i="1"/>
  <c r="HO23" i="1"/>
  <c r="BC23" i="1"/>
  <c r="HF13" i="1"/>
  <c r="AT13" i="1"/>
  <c r="EO13" i="1"/>
  <c r="IG13" i="1"/>
  <c r="DE13" i="1"/>
  <c r="AK23" i="1"/>
  <c r="EU23" i="1"/>
  <c r="BC13" i="1"/>
  <c r="AB13" i="1"/>
  <c r="DH13" i="1"/>
  <c r="CJ13" i="1"/>
  <c r="GE13" i="1"/>
  <c r="DZ13" i="1"/>
  <c r="HR13" i="1"/>
  <c r="BF13" i="1"/>
  <c r="FA13" i="1"/>
  <c r="IS13" i="1"/>
  <c r="EF13" i="1"/>
  <c r="P11" i="1"/>
  <c r="AW23" i="1"/>
  <c r="IJ16" i="1"/>
  <c r="FS13" i="1"/>
  <c r="AQ13" i="1"/>
  <c r="S13" i="1"/>
  <c r="CY13" i="1"/>
  <c r="GQ13" i="1"/>
  <c r="EL13" i="1"/>
  <c r="ID13" i="1"/>
  <c r="BR13" i="1"/>
  <c r="FM13" i="1"/>
  <c r="JE13" i="1"/>
  <c r="JH13" i="1"/>
  <c r="HX23" i="1"/>
  <c r="EC23" i="1"/>
  <c r="BO16" i="1"/>
  <c r="P16" i="1"/>
  <c r="FG16" i="1"/>
  <c r="EO23" i="1"/>
  <c r="BO23" i="1"/>
  <c r="GE16" i="1"/>
  <c r="DN16" i="1"/>
  <c r="V23" i="1"/>
  <c r="P23" i="1"/>
  <c r="FV23" i="1"/>
  <c r="HF16" i="1"/>
  <c r="FY23" i="1"/>
  <c r="CV23" i="1"/>
  <c r="FD16" i="1"/>
  <c r="IP16" i="1"/>
  <c r="HO17" i="1"/>
  <c r="DW17" i="1"/>
  <c r="CS17" i="1"/>
  <c r="BU17" i="1"/>
  <c r="AH17" i="1"/>
  <c r="V17" i="1"/>
  <c r="J17" i="1"/>
  <c r="Y17" i="1"/>
  <c r="P17" i="1"/>
  <c r="DH17" i="1"/>
  <c r="GZ17" i="1"/>
  <c r="GZ16" i="1"/>
  <c r="HO16" i="1"/>
  <c r="JB16" i="1"/>
  <c r="JH16" i="1"/>
  <c r="IA16" i="1"/>
  <c r="M16" i="1"/>
  <c r="IV16" i="1"/>
  <c r="AE16" i="1"/>
  <c r="BR16" i="1"/>
  <c r="DE16" i="1"/>
  <c r="BL16" i="1"/>
  <c r="AQ16" i="1"/>
  <c r="CD16" i="1"/>
  <c r="DQ16" i="1"/>
  <c r="CJ16" i="1"/>
  <c r="BC16" i="1"/>
  <c r="CP16" i="1"/>
  <c r="EO16" i="1"/>
  <c r="FY16" i="1"/>
  <c r="AN16" i="1"/>
  <c r="CM16" i="1"/>
  <c r="IM16" i="1"/>
  <c r="EX16" i="1"/>
  <c r="Y16" i="1"/>
  <c r="GK16" i="1"/>
  <c r="AB16" i="1"/>
  <c r="EF16" i="1"/>
  <c r="DW16" i="1"/>
  <c r="IY16" i="1"/>
  <c r="FJ16" i="1"/>
  <c r="AW16" i="1"/>
  <c r="GW16" i="1"/>
  <c r="AZ16" i="1"/>
  <c r="HX16" i="1"/>
  <c r="EI16" i="1"/>
  <c r="V16" i="1"/>
  <c r="FV16" i="1"/>
  <c r="CG16" i="1"/>
  <c r="HI16" i="1"/>
  <c r="ER16" i="1"/>
  <c r="GN16" i="1"/>
  <c r="EU16" i="1"/>
  <c r="BF16" i="1"/>
  <c r="GH16" i="1"/>
  <c r="CS16" i="1"/>
  <c r="IG16" i="1"/>
  <c r="DT13" i="1"/>
  <c r="AW13" i="1"/>
  <c r="FP13" i="1"/>
  <c r="BI13" i="1"/>
  <c r="GB13" i="1"/>
  <c r="BU13" i="1"/>
  <c r="GN13" i="1"/>
  <c r="GZ13" i="1"/>
  <c r="HL13" i="1"/>
  <c r="HX13" i="1"/>
  <c r="ER13" i="1"/>
  <c r="IJ13" i="1"/>
  <c r="FD13" i="1"/>
  <c r="BI17" i="1"/>
  <c r="BO17" i="1"/>
  <c r="BX19" i="1"/>
  <c r="JH19" i="1"/>
  <c r="V19" i="1"/>
  <c r="AN19" i="1"/>
  <c r="AB19" i="1"/>
  <c r="P19" i="1"/>
  <c r="JB19" i="1"/>
  <c r="IP19" i="1"/>
  <c r="ID19" i="1"/>
  <c r="CS19" i="1"/>
  <c r="GK19" i="1"/>
  <c r="HU12" i="1"/>
  <c r="CV12" i="1"/>
  <c r="HR12" i="1"/>
  <c r="IM17" i="1"/>
  <c r="BC17" i="1"/>
  <c r="FJ17" i="1"/>
  <c r="EL17" i="1"/>
  <c r="CY17" i="1"/>
  <c r="CM17" i="1"/>
  <c r="CA17" i="1"/>
  <c r="CP17" i="1"/>
  <c r="AN17" i="1"/>
  <c r="EF17" i="1"/>
  <c r="HX17" i="1"/>
  <c r="Y11" i="1"/>
  <c r="HL23" i="1"/>
  <c r="AH23" i="1"/>
  <c r="DN23" i="1"/>
  <c r="J23" i="1"/>
  <c r="BI23" i="1"/>
  <c r="FA23" i="1"/>
  <c r="AB23" i="1"/>
  <c r="DT23" i="1"/>
  <c r="HI23" i="1"/>
  <c r="CA23" i="1"/>
  <c r="GW23" i="1"/>
  <c r="HL17" i="1"/>
  <c r="FS19" i="1"/>
  <c r="G19" i="1"/>
  <c r="BL19" i="1"/>
  <c r="BO19" i="1"/>
  <c r="BC19" i="1"/>
  <c r="AQ19" i="1"/>
  <c r="AE19" i="1"/>
  <c r="S19" i="1"/>
  <c r="M19" i="1"/>
  <c r="DE19" i="1"/>
  <c r="GW19" i="1"/>
  <c r="IJ12" i="1"/>
  <c r="FG12" i="1"/>
  <c r="V12" i="1"/>
  <c r="CG17" i="1"/>
  <c r="EX17" i="1"/>
  <c r="GK17" i="1"/>
  <c r="FM17" i="1"/>
  <c r="DZ17" i="1"/>
  <c r="DN17" i="1"/>
  <c r="DB17" i="1"/>
  <c r="DQ17" i="1"/>
  <c r="AZ17" i="1"/>
  <c r="ER17" i="1"/>
  <c r="IJ17" i="1"/>
  <c r="DT11" i="1"/>
  <c r="GN23" i="1"/>
  <c r="DZ23" i="1"/>
  <c r="ID23" i="1"/>
  <c r="DB23" i="1"/>
  <c r="BU23" i="1"/>
  <c r="GQ23" i="1"/>
  <c r="AN23" i="1"/>
  <c r="EF23" i="1"/>
  <c r="IY23" i="1"/>
  <c r="CM23" i="1"/>
  <c r="IM23" i="1"/>
  <c r="EI17" i="1"/>
  <c r="AK17" i="1"/>
  <c r="FM11" i="1"/>
  <c r="GQ19" i="1"/>
  <c r="DB19" i="1"/>
  <c r="CM19" i="1"/>
  <c r="CP19" i="1"/>
  <c r="CD19" i="1"/>
  <c r="BR19" i="1"/>
  <c r="BF19" i="1"/>
  <c r="AT19" i="1"/>
  <c r="Y19" i="1"/>
  <c r="DQ19" i="1"/>
  <c r="HI19" i="1"/>
  <c r="HI12" i="1"/>
  <c r="GE12" i="1"/>
  <c r="DB12" i="1"/>
  <c r="DE17" i="1"/>
  <c r="FV17" i="1"/>
  <c r="IA17" i="1"/>
  <c r="HC17" i="1"/>
  <c r="FA17" i="1"/>
  <c r="EO17" i="1"/>
  <c r="EC17" i="1"/>
  <c r="FG17" i="1"/>
  <c r="BL17" i="1"/>
  <c r="FD17" i="1"/>
  <c r="IV17" i="1"/>
  <c r="HL11" i="1"/>
  <c r="GZ23" i="1"/>
  <c r="BF23" i="1"/>
  <c r="JH23" i="1"/>
  <c r="JE23" i="1"/>
  <c r="CG23" i="1"/>
  <c r="HR23" i="1"/>
  <c r="AZ23" i="1"/>
  <c r="ER23" i="1"/>
  <c r="G23" i="1"/>
  <c r="CY23" i="1"/>
  <c r="FJ23" i="1"/>
  <c r="GB16" i="1"/>
  <c r="DH16" i="1"/>
  <c r="CV16" i="1"/>
  <c r="CA16" i="1"/>
  <c r="FS16" i="1"/>
  <c r="J16" i="1"/>
  <c r="DB16" i="1"/>
  <c r="GT16" i="1"/>
  <c r="AK16" i="1"/>
  <c r="EC16" i="1"/>
  <c r="HU16" i="1"/>
  <c r="M17" i="1"/>
  <c r="CA19" i="1"/>
  <c r="ER19" i="1"/>
  <c r="DN19" i="1"/>
  <c r="EF19" i="1"/>
  <c r="DT19" i="1"/>
  <c r="DH19" i="1"/>
  <c r="CV19" i="1"/>
  <c r="CJ19" i="1"/>
  <c r="AK19" i="1"/>
  <c r="EC19" i="1"/>
  <c r="HU19" i="1"/>
  <c r="HL12" i="1"/>
  <c r="IM12" i="1"/>
  <c r="EU17" i="1"/>
  <c r="BF17" i="1"/>
  <c r="JB17" i="1"/>
  <c r="ID17" i="1"/>
  <c r="GQ17" i="1"/>
  <c r="GE17" i="1"/>
  <c r="FS17" i="1"/>
  <c r="GH17" i="1"/>
  <c r="BX17" i="1"/>
  <c r="FP17" i="1"/>
  <c r="JH17" i="1"/>
  <c r="BL11" i="1"/>
  <c r="GB23" i="1"/>
  <c r="FM23" i="1"/>
  <c r="CD23" i="1"/>
  <c r="BR23" i="1"/>
  <c r="CS23" i="1"/>
  <c r="IS23" i="1"/>
  <c r="BL23" i="1"/>
  <c r="FS23" i="1"/>
  <c r="S23" i="1"/>
  <c r="DK23" i="1"/>
  <c r="GK23" i="1"/>
  <c r="ID33" i="1"/>
  <c r="AT33" i="1"/>
  <c r="DB33" i="1"/>
  <c r="IM33" i="1"/>
  <c r="BR33" i="1"/>
  <c r="G33" i="1"/>
  <c r="P33" i="1"/>
  <c r="CS33" i="1"/>
  <c r="ER33" i="1"/>
  <c r="Y33" i="1"/>
  <c r="EO33" i="1"/>
  <c r="DK33" i="1"/>
  <c r="FM33" i="1"/>
  <c r="CJ33" i="1"/>
  <c r="JH33" i="1"/>
  <c r="HL33" i="1"/>
  <c r="HO33" i="1"/>
  <c r="AE33" i="1"/>
  <c r="CM33" i="1"/>
  <c r="HR33" i="1"/>
  <c r="IY33" i="1"/>
  <c r="V33" i="1"/>
  <c r="DH33" i="1"/>
  <c r="GK33" i="1"/>
  <c r="IJ33" i="1"/>
  <c r="IS33" i="1"/>
  <c r="FP33" i="1"/>
  <c r="CP33" i="1"/>
  <c r="DT33" i="1"/>
  <c r="GB33" i="1"/>
  <c r="CD33" i="1"/>
  <c r="EC33" i="1"/>
  <c r="GH33" i="1"/>
  <c r="IP33" i="1"/>
  <c r="BF33" i="1"/>
  <c r="EU33" i="1"/>
  <c r="FG33" i="1"/>
  <c r="HF33" i="1"/>
  <c r="GZ33" i="1"/>
  <c r="AN33" i="1"/>
  <c r="M33" i="1"/>
  <c r="CV33" i="1"/>
  <c r="HU33" i="1"/>
  <c r="CA33" i="1"/>
  <c r="FS33" i="1"/>
  <c r="IA33" i="1"/>
  <c r="AQ33" i="1"/>
  <c r="DZ33" i="1"/>
  <c r="BO33" i="1"/>
  <c r="DN33" i="1"/>
  <c r="CG33" i="1"/>
  <c r="EF33" i="1"/>
  <c r="DQ33" i="1"/>
  <c r="AW33" i="1"/>
  <c r="GN33" i="1"/>
  <c r="EX33" i="1"/>
  <c r="FD33" i="1"/>
  <c r="FJ33" i="1"/>
  <c r="AZ33" i="1"/>
  <c r="EL33" i="1"/>
  <c r="GT33" i="1"/>
  <c r="J33" i="1"/>
  <c r="BC33" i="1"/>
  <c r="GQ33" i="1"/>
  <c r="AK33" i="1"/>
  <c r="FY33" i="1"/>
  <c r="HX33" i="1"/>
  <c r="HI33" i="1"/>
  <c r="BX33" i="1"/>
  <c r="IG33" i="1"/>
  <c r="JB33" i="1"/>
  <c r="GW33" i="1"/>
  <c r="EI33" i="1"/>
  <c r="JE33" i="1"/>
  <c r="DW33" i="1"/>
  <c r="GE33" i="1"/>
  <c r="HC33" i="1"/>
  <c r="AH33" i="1"/>
  <c r="FV33" i="1"/>
  <c r="BU33" i="1"/>
  <c r="AB33" i="1"/>
  <c r="DE33" i="1"/>
  <c r="BL33" i="1"/>
  <c r="BI33" i="1"/>
  <c r="FA33" i="1"/>
  <c r="CY33" i="1"/>
  <c r="S33" i="1"/>
  <c r="IV33" i="1"/>
  <c r="DK17" i="1"/>
  <c r="AB17" i="1"/>
  <c r="CY19" i="1"/>
  <c r="DZ19" i="1"/>
  <c r="FD19" i="1"/>
  <c r="FG19" i="1"/>
  <c r="EU19" i="1"/>
  <c r="EI19" i="1"/>
  <c r="DW19" i="1"/>
  <c r="DK19" i="1"/>
  <c r="AW19" i="1"/>
  <c r="EO19" i="1"/>
  <c r="IG19" i="1"/>
  <c r="IS12" i="1"/>
  <c r="AQ12" i="1"/>
  <c r="CD17" i="1"/>
  <c r="IP17" i="1"/>
  <c r="AQ17" i="1"/>
  <c r="S17" i="1"/>
  <c r="JE17" i="1"/>
  <c r="HR17" i="1"/>
  <c r="HF17" i="1"/>
  <c r="GT17" i="1"/>
  <c r="HI17" i="1"/>
  <c r="CJ17" i="1"/>
  <c r="GB17" i="1"/>
  <c r="CP11" i="1"/>
  <c r="EU11" i="1"/>
  <c r="FP23" i="1"/>
  <c r="EX23" i="1"/>
  <c r="AT23" i="1"/>
  <c r="M23" i="1"/>
  <c r="DE23" i="1"/>
  <c r="GE23" i="1"/>
  <c r="BX23" i="1"/>
  <c r="GT23" i="1"/>
  <c r="AE23" i="1"/>
  <c r="DW23" i="1"/>
  <c r="IA23" i="1"/>
  <c r="DT16" i="1"/>
  <c r="BX16" i="1"/>
  <c r="G16" i="1"/>
  <c r="CY16" i="1"/>
  <c r="GQ16" i="1"/>
  <c r="AH16" i="1"/>
  <c r="DZ16" i="1"/>
  <c r="HR16" i="1"/>
  <c r="BI16" i="1"/>
  <c r="FA16" i="1"/>
  <c r="IS16" i="1"/>
  <c r="GW17" i="1"/>
  <c r="AW17" i="1"/>
  <c r="DT17" i="1"/>
  <c r="GT19" i="1"/>
  <c r="FP19" i="1"/>
  <c r="GE19" i="1"/>
  <c r="GH19" i="1"/>
  <c r="FV19" i="1"/>
  <c r="FJ19" i="1"/>
  <c r="EX19" i="1"/>
  <c r="EL19" i="1"/>
  <c r="BI19" i="1"/>
  <c r="FA19" i="1"/>
  <c r="AK12" i="1"/>
  <c r="CA12" i="1"/>
  <c r="FY17" i="1"/>
  <c r="AE17" i="1"/>
  <c r="BR17" i="1"/>
  <c r="AT17" i="1"/>
  <c r="G17" i="1"/>
  <c r="IS17" i="1"/>
  <c r="IG17" i="1"/>
  <c r="HU17" i="1"/>
  <c r="IY17" i="1"/>
  <c r="CV17" i="1"/>
  <c r="DN11" i="1"/>
  <c r="IM11" i="1"/>
  <c r="IV23" i="1"/>
  <c r="IP23" i="1"/>
  <c r="EL23" i="1"/>
  <c r="Y23" i="1"/>
  <c r="DQ23" i="1"/>
  <c r="HF23" i="1"/>
  <c r="CJ23" i="1"/>
  <c r="HU23" i="1"/>
  <c r="AQ23" i="1"/>
  <c r="EI23" i="1"/>
  <c r="HL16" i="1"/>
  <c r="FP16" i="1"/>
  <c r="S16" i="1"/>
  <c r="DK16" i="1"/>
  <c r="HC16" i="1"/>
  <c r="AT16" i="1"/>
  <c r="EL16" i="1"/>
  <c r="ID16" i="1"/>
  <c r="BU16" i="1"/>
  <c r="FM16" i="1"/>
  <c r="DB11" i="1"/>
  <c r="IS11" i="1"/>
  <c r="FY11" i="1"/>
  <c r="V11" i="1"/>
  <c r="IP11" i="1"/>
  <c r="BI11" i="1"/>
  <c r="FD11" i="1"/>
  <c r="IV11" i="1"/>
  <c r="CV11" i="1"/>
  <c r="GE11" i="1"/>
  <c r="AE11" i="1"/>
  <c r="GH11" i="1"/>
  <c r="AH11" i="1"/>
  <c r="HF11" i="1"/>
  <c r="FV11" i="1"/>
  <c r="JE11" i="1"/>
  <c r="BU11" i="1"/>
  <c r="FP11" i="1"/>
  <c r="JH11" i="1"/>
  <c r="DH11" i="1"/>
  <c r="GQ11" i="1"/>
  <c r="AQ11" i="1"/>
  <c r="BR11" i="1"/>
  <c r="DZ11" i="1"/>
  <c r="HU11" i="1"/>
  <c r="CD11" i="1"/>
  <c r="J11" i="1"/>
  <c r="CG11" i="1"/>
  <c r="GB11" i="1"/>
  <c r="AB11" i="1"/>
  <c r="DK11" i="1"/>
  <c r="HC11" i="1"/>
  <c r="BC11" i="1"/>
  <c r="EL11" i="1"/>
  <c r="HR11" i="1"/>
  <c r="JB11" i="1"/>
  <c r="DQ11" i="1"/>
  <c r="AT11" i="1"/>
  <c r="CS11" i="1"/>
  <c r="GN11" i="1"/>
  <c r="AN11" i="1"/>
  <c r="DW11" i="1"/>
  <c r="HO11" i="1"/>
  <c r="BO11" i="1"/>
  <c r="GK11" i="1"/>
  <c r="BF11" i="1"/>
  <c r="ID11" i="1"/>
  <c r="EX11" i="1"/>
  <c r="M11" i="1"/>
  <c r="DE11" i="1"/>
  <c r="GZ11" i="1"/>
  <c r="AZ11" i="1"/>
  <c r="EI11" i="1"/>
  <c r="IA11" i="1"/>
  <c r="CA11" i="1"/>
  <c r="FA11" i="1"/>
  <c r="EC11" i="1"/>
  <c r="EO11" i="1"/>
  <c r="GT11" i="1"/>
  <c r="AK11" i="1"/>
  <c r="EF11" i="1"/>
  <c r="HX11" i="1"/>
  <c r="BX11" i="1"/>
  <c r="FG11" i="1"/>
  <c r="IY11" i="1"/>
  <c r="GW11" i="1"/>
  <c r="FJ11" i="1"/>
  <c r="IG11" i="1"/>
  <c r="HI11" i="1"/>
  <c r="AW11" i="1"/>
  <c r="ER11" i="1"/>
  <c r="IJ11" i="1"/>
  <c r="CJ11" i="1"/>
  <c r="FS11" i="1"/>
  <c r="G11" i="1"/>
  <c r="S11" i="1"/>
  <c r="CM11" i="1"/>
  <c r="O13" i="45"/>
  <c r="R13" i="45"/>
  <c r="K13" i="45"/>
  <c r="G13" i="45"/>
  <c r="O12" i="45"/>
  <c r="G12" i="45"/>
  <c r="K12" i="45"/>
  <c r="R12" i="45"/>
  <c r="EO12" i="1"/>
  <c r="DQ12" i="1"/>
  <c r="M12" i="1"/>
  <c r="BL12" i="1"/>
  <c r="GQ12" i="1"/>
  <c r="CM12" i="1"/>
  <c r="ID12" i="1"/>
  <c r="GK12" i="1"/>
  <c r="GB12" i="1"/>
  <c r="Y12" i="1"/>
  <c r="BX12" i="1"/>
  <c r="HC12" i="1"/>
  <c r="DN12" i="1"/>
  <c r="J12" i="1"/>
  <c r="IG12" i="1"/>
  <c r="JE12" i="1"/>
  <c r="BU12" i="1"/>
  <c r="DH12" i="1"/>
  <c r="IY12" i="1"/>
  <c r="EL12" i="1"/>
  <c r="AT12" i="1"/>
  <c r="ER12" i="1"/>
  <c r="DT12" i="1"/>
  <c r="CG12" i="1"/>
  <c r="DK12" i="1"/>
  <c r="S12" i="1"/>
  <c r="FV12" i="1"/>
  <c r="BF12" i="1"/>
  <c r="FY12" i="1"/>
  <c r="FA12" i="1"/>
  <c r="DE12" i="1"/>
  <c r="EU12" i="1"/>
  <c r="AE12" i="1"/>
  <c r="GH12" i="1"/>
  <c r="BR12" i="1"/>
  <c r="FD12" i="1"/>
  <c r="GN12" i="1"/>
  <c r="HX12" i="1"/>
  <c r="JH12" i="1"/>
  <c r="CS12" i="1"/>
  <c r="CJ12" i="1"/>
  <c r="FS12" i="1"/>
  <c r="G12" i="1"/>
  <c r="CY12" i="1"/>
  <c r="GT12" i="1"/>
  <c r="AH12" i="1"/>
  <c r="IV12" i="1"/>
  <c r="EF12" i="1"/>
  <c r="FP12" i="1"/>
  <c r="AW12" i="1"/>
  <c r="AN12" i="1"/>
  <c r="DW12" i="1"/>
  <c r="HO12" i="1"/>
  <c r="BC12" i="1"/>
  <c r="EX12" i="1"/>
  <c r="IP12" i="1"/>
  <c r="CD12" i="1"/>
  <c r="EC12" i="1"/>
  <c r="FM12" i="1"/>
  <c r="GW12" i="1"/>
  <c r="BI12" i="1"/>
  <c r="AZ12" i="1"/>
  <c r="EI12" i="1"/>
  <c r="IA12" i="1"/>
  <c r="BO12" i="1"/>
  <c r="FJ12" i="1"/>
  <c r="JB12" i="1"/>
  <c r="O11" i="45"/>
  <c r="G11" i="45"/>
  <c r="K11" i="45"/>
  <c r="R11" i="45"/>
  <c r="O10" i="45"/>
  <c r="G10" i="45"/>
  <c r="K10" i="45"/>
  <c r="R10" i="45"/>
  <c r="K9" i="45"/>
  <c r="O9" i="45"/>
  <c r="G9" i="45"/>
  <c r="R9" i="45"/>
  <c r="R41" i="48"/>
  <c r="BC41" i="48" s="1"/>
  <c r="E14" i="1"/>
  <c r="E15" i="2" s="1"/>
  <c r="BM15" i="2" s="1"/>
  <c r="F5" i="55"/>
  <c r="G5" i="55" s="1"/>
  <c r="F4" i="55"/>
  <c r="F32" i="55"/>
  <c r="F18" i="55"/>
  <c r="G18" i="55" s="1"/>
  <c r="F27" i="55"/>
  <c r="F29" i="55"/>
  <c r="F7" i="55"/>
  <c r="G7" i="55" s="1"/>
  <c r="F23" i="55"/>
  <c r="F16" i="55"/>
  <c r="F40" i="55"/>
  <c r="F24" i="55"/>
  <c r="F37" i="55"/>
  <c r="F20" i="55"/>
  <c r="F39" i="55"/>
  <c r="F9" i="55"/>
  <c r="G9" i="55" s="1"/>
  <c r="F28" i="55"/>
  <c r="F21" i="55"/>
  <c r="F10" i="55"/>
  <c r="G10" i="55" s="1"/>
  <c r="F17" i="55"/>
  <c r="F6" i="55"/>
  <c r="G6" i="55" s="1"/>
  <c r="F25" i="55"/>
  <c r="F19" i="55"/>
  <c r="F31" i="55"/>
  <c r="F30" i="55"/>
  <c r="F36" i="55"/>
  <c r="F34" i="55"/>
  <c r="F38" i="55"/>
  <c r="F8" i="55"/>
  <c r="G8" i="55" s="1"/>
  <c r="F11" i="55"/>
  <c r="G11" i="55" s="1"/>
  <c r="F26" i="55"/>
  <c r="F33" i="55"/>
  <c r="F22" i="55"/>
  <c r="IY15" i="1"/>
  <c r="IM15" i="1"/>
  <c r="IA15" i="1"/>
  <c r="HO15" i="1"/>
  <c r="HC15" i="1"/>
  <c r="GQ15" i="1"/>
  <c r="GE15" i="1"/>
  <c r="FS15" i="1"/>
  <c r="FG15" i="1"/>
  <c r="EU15" i="1"/>
  <c r="EI15" i="1"/>
  <c r="DW15" i="1"/>
  <c r="DK15" i="1"/>
  <c r="CY15" i="1"/>
  <c r="IP15" i="1"/>
  <c r="GZ15" i="1"/>
  <c r="FY15" i="1"/>
  <c r="EX15" i="1"/>
  <c r="DH15" i="1"/>
  <c r="JB15" i="1"/>
  <c r="HL15" i="1"/>
  <c r="GK15" i="1"/>
  <c r="FJ15" i="1"/>
  <c r="DT15" i="1"/>
  <c r="CS15" i="1"/>
  <c r="CG15" i="1"/>
  <c r="BU15" i="1"/>
  <c r="BI15" i="1"/>
  <c r="AW15" i="1"/>
  <c r="AK15" i="1"/>
  <c r="Y15" i="1"/>
  <c r="M15" i="1"/>
  <c r="HX15" i="1"/>
  <c r="GW15" i="1"/>
  <c r="FV15" i="1"/>
  <c r="EF15" i="1"/>
  <c r="DE15" i="1"/>
  <c r="IJ15" i="1"/>
  <c r="HI15" i="1"/>
  <c r="GH15" i="1"/>
  <c r="ER15" i="1"/>
  <c r="DQ15" i="1"/>
  <c r="CP15" i="1"/>
  <c r="CD15" i="1"/>
  <c r="BR15" i="1"/>
  <c r="BF15" i="1"/>
  <c r="AT15" i="1"/>
  <c r="AH15" i="1"/>
  <c r="V15" i="1"/>
  <c r="J15" i="1"/>
  <c r="IV15" i="1"/>
  <c r="HU15" i="1"/>
  <c r="GT15" i="1"/>
  <c r="FD15" i="1"/>
  <c r="EC15" i="1"/>
  <c r="DB15" i="1"/>
  <c r="IS15" i="1"/>
  <c r="HR15" i="1"/>
  <c r="GB15" i="1"/>
  <c r="FA15" i="1"/>
  <c r="DZ15" i="1"/>
  <c r="IG15" i="1"/>
  <c r="EL15" i="1"/>
  <c r="CV15" i="1"/>
  <c r="BO15" i="1"/>
  <c r="AZ15" i="1"/>
  <c r="S15" i="1"/>
  <c r="DN15" i="1"/>
  <c r="FM15" i="1"/>
  <c r="JE15" i="1"/>
  <c r="ID15" i="1"/>
  <c r="GN15" i="1"/>
  <c r="CA15" i="1"/>
  <c r="BL15" i="1"/>
  <c r="AE15" i="1"/>
  <c r="P15" i="1"/>
  <c r="JH15" i="1"/>
  <c r="HF15" i="1"/>
  <c r="FP15" i="1"/>
  <c r="CM15" i="1"/>
  <c r="BX15" i="1"/>
  <c r="AQ15" i="1"/>
  <c r="AB15" i="1"/>
  <c r="EO15" i="1"/>
  <c r="CJ15" i="1"/>
  <c r="BC15" i="1"/>
  <c r="AN15" i="1"/>
  <c r="G15" i="1"/>
  <c r="I10" i="48"/>
  <c r="E10" i="1"/>
  <c r="E11" i="2" s="1"/>
  <c r="BM11" i="2" s="1"/>
  <c r="G34" i="45"/>
  <c r="K34" i="45"/>
  <c r="R34" i="45"/>
  <c r="O34" i="45"/>
  <c r="E36" i="2"/>
  <c r="BM36" i="2" s="1"/>
  <c r="J20" i="7"/>
  <c r="J20" i="6" s="1"/>
  <c r="J20" i="37" s="1"/>
  <c r="J20" i="4" s="1"/>
  <c r="J20" i="43" s="1"/>
  <c r="K56" i="32"/>
  <c r="J8" i="7"/>
  <c r="J8" i="6" s="1"/>
  <c r="J8" i="37" s="1"/>
  <c r="J8" i="4" s="1"/>
  <c r="J8" i="43" s="1"/>
  <c r="J41" i="32"/>
  <c r="J21" i="7"/>
  <c r="J21" i="6" s="1"/>
  <c r="J21" i="37" s="1"/>
  <c r="J21" i="4" s="1"/>
  <c r="J21" i="43" s="1"/>
  <c r="J9" i="7"/>
  <c r="J9" i="6" s="1"/>
  <c r="J9" i="37" s="1"/>
  <c r="J9" i="4" s="1"/>
  <c r="J9" i="43" s="1"/>
  <c r="J18" i="9"/>
  <c r="J18" i="8" s="1"/>
  <c r="J18" i="7" s="1"/>
  <c r="J18" i="6" s="1"/>
  <c r="J18" i="37" s="1"/>
  <c r="J18" i="4" s="1"/>
  <c r="J18" i="43" s="1"/>
  <c r="J16" i="9"/>
  <c r="J16" i="8" s="1"/>
  <c r="J16" i="7" s="1"/>
  <c r="J16" i="6" s="1"/>
  <c r="J16" i="37" s="1"/>
  <c r="J16" i="4" s="1"/>
  <c r="J16" i="43" s="1"/>
  <c r="J12" i="9"/>
  <c r="J12" i="8" s="1"/>
  <c r="J12" i="7" s="1"/>
  <c r="J12" i="6" s="1"/>
  <c r="J12" i="37" s="1"/>
  <c r="J12" i="4" s="1"/>
  <c r="J12" i="43" s="1"/>
  <c r="J40" i="31"/>
  <c r="J40" i="30" s="1"/>
  <c r="J45" i="30" s="1"/>
  <c r="AJ10" i="48"/>
  <c r="BC10" i="48"/>
  <c r="J11" i="9"/>
  <c r="J11" i="8" s="1"/>
  <c r="J11" i="7" s="1"/>
  <c r="J11" i="6" s="1"/>
  <c r="J11" i="37" s="1"/>
  <c r="J11" i="4" s="1"/>
  <c r="J11" i="43" s="1"/>
  <c r="J19" i="9"/>
  <c r="J19" i="8" s="1"/>
  <c r="J19" i="7" s="1"/>
  <c r="J19" i="6" s="1"/>
  <c r="J19" i="37" s="1"/>
  <c r="J19" i="4" s="1"/>
  <c r="J19" i="43" s="1"/>
  <c r="AD10" i="48"/>
  <c r="J48" i="32"/>
  <c r="J14" i="9"/>
  <c r="J14" i="8" s="1"/>
  <c r="J14" i="7" s="1"/>
  <c r="J14" i="6" s="1"/>
  <c r="J14" i="37" s="1"/>
  <c r="J14" i="4" s="1"/>
  <c r="J14" i="43" s="1"/>
  <c r="J17" i="9"/>
  <c r="J17" i="8" s="1"/>
  <c r="J17" i="7" s="1"/>
  <c r="J17" i="6" s="1"/>
  <c r="J17" i="37" s="1"/>
  <c r="J17" i="4" s="1"/>
  <c r="J17" i="43" s="1"/>
  <c r="S10" i="48"/>
  <c r="BD10" i="48" s="1"/>
  <c r="J15" i="9"/>
  <c r="J15" i="8" s="1"/>
  <c r="J15" i="7" s="1"/>
  <c r="J15" i="6" s="1"/>
  <c r="J15" i="37" s="1"/>
  <c r="J15" i="4" s="1"/>
  <c r="J15" i="43" s="1"/>
  <c r="J45" i="32"/>
  <c r="J10" i="48"/>
  <c r="J13" i="9"/>
  <c r="J13" i="8" s="1"/>
  <c r="J13" i="7" s="1"/>
  <c r="J13" i="6" s="1"/>
  <c r="J13" i="37" s="1"/>
  <c r="J13" i="4" s="1"/>
  <c r="J13" i="43" s="1"/>
  <c r="J10" i="9"/>
  <c r="J10" i="8" s="1"/>
  <c r="J10" i="7" s="1"/>
  <c r="J10" i="6" s="1"/>
  <c r="J10" i="37" s="1"/>
  <c r="J10" i="4" s="1"/>
  <c r="J10" i="43" s="1"/>
  <c r="E30" i="2"/>
  <c r="BM30" i="2" s="1"/>
  <c r="G28" i="45"/>
  <c r="K28" i="45"/>
  <c r="R28" i="45"/>
  <c r="O28" i="45"/>
  <c r="G30" i="45"/>
  <c r="O30" i="45"/>
  <c r="K30" i="45"/>
  <c r="R30" i="45"/>
  <c r="E32" i="2"/>
  <c r="BM32" i="2" s="1"/>
  <c r="E31" i="2"/>
  <c r="BM31" i="2" s="1"/>
  <c r="R29" i="45"/>
  <c r="G29" i="45"/>
  <c r="O29" i="45"/>
  <c r="K29" i="45"/>
  <c r="K26" i="45"/>
  <c r="R26" i="45"/>
  <c r="O26" i="45"/>
  <c r="G26" i="45"/>
  <c r="O25" i="45"/>
  <c r="G25" i="45"/>
  <c r="K25" i="45"/>
  <c r="R25" i="45"/>
  <c r="R22" i="45"/>
  <c r="O22" i="45"/>
  <c r="G22" i="45"/>
  <c r="K22" i="45"/>
  <c r="E24" i="2"/>
  <c r="BM24" i="2" s="1"/>
  <c r="E28" i="2"/>
  <c r="BM28" i="2" s="1"/>
  <c r="E27" i="2"/>
  <c r="BM27" i="2" s="1"/>
  <c r="G27" i="45"/>
  <c r="K27" i="45"/>
  <c r="O27" i="45"/>
  <c r="R27" i="45"/>
  <c r="E29" i="2"/>
  <c r="BM29" i="2" s="1"/>
  <c r="G16" i="45"/>
  <c r="K16" i="45"/>
  <c r="O16" i="45"/>
  <c r="R16" i="45"/>
  <c r="K18" i="45"/>
  <c r="G18" i="45"/>
  <c r="O18" i="45"/>
  <c r="R18" i="45"/>
  <c r="E20" i="2"/>
  <c r="BM20" i="2" s="1"/>
  <c r="E18" i="2"/>
  <c r="BM18" i="2" s="1"/>
  <c r="E17" i="2"/>
  <c r="BM17" i="2" s="1"/>
  <c r="K15" i="45"/>
  <c r="G15" i="45"/>
  <c r="O15" i="45"/>
  <c r="R15" i="45"/>
  <c r="AA160" i="46"/>
  <c r="AA161" i="46" s="1"/>
  <c r="X171" i="46" s="1"/>
  <c r="AB160" i="46"/>
  <c r="I4" i="56" s="1"/>
  <c r="E14" i="55" s="1"/>
  <c r="F14" i="55" s="1"/>
  <c r="G14" i="55" s="1"/>
  <c r="T4" i="56"/>
  <c r="N14" i="55" s="1"/>
  <c r="AB161" i="57"/>
  <c r="X172" i="57" s="1"/>
  <c r="T2" i="56"/>
  <c r="N12" i="55" s="1"/>
  <c r="Z161" i="57"/>
  <c r="X169" i="57" s="1"/>
  <c r="E16" i="2"/>
  <c r="BM16" i="2" s="1"/>
  <c r="C40" i="45"/>
  <c r="G40" i="45" s="1"/>
  <c r="BC14" i="48"/>
  <c r="J14" i="48"/>
  <c r="AJ14" i="48"/>
  <c r="AD14" i="48"/>
  <c r="I14" i="48"/>
  <c r="Z161" i="46"/>
  <c r="X169" i="46" s="1"/>
  <c r="I2" i="56"/>
  <c r="E12" i="55" s="1"/>
  <c r="E14" i="2"/>
  <c r="BM14" i="2" s="1"/>
  <c r="E13" i="2"/>
  <c r="BM13" i="2" s="1"/>
  <c r="E12" i="2"/>
  <c r="BM12" i="2" s="1"/>
  <c r="AA161" i="57"/>
  <c r="X171" i="57" s="1"/>
  <c r="U3" i="56"/>
  <c r="O13" i="55" s="1"/>
  <c r="P13" i="55" s="1"/>
  <c r="AI10" i="48"/>
  <c r="M11" i="48"/>
  <c r="M12" i="48" s="1"/>
  <c r="J49" i="32"/>
  <c r="J50" i="32" s="1"/>
  <c r="I50" i="22"/>
  <c r="I51" i="22"/>
  <c r="I50" i="7"/>
  <c r="I51" i="7"/>
  <c r="U10" i="48"/>
  <c r="W10" i="48" s="1"/>
  <c r="V10" i="48"/>
  <c r="X10" i="48"/>
  <c r="V35" i="48"/>
  <c r="X35" i="48"/>
  <c r="V21" i="48"/>
  <c r="X21" i="48"/>
  <c r="E43" i="26"/>
  <c r="E39" i="26"/>
  <c r="D48" i="28"/>
  <c r="E48" i="28" s="1"/>
  <c r="M8" i="27"/>
  <c r="M8" i="28" s="1"/>
  <c r="M34" i="29"/>
  <c r="D41" i="28"/>
  <c r="E41" i="28" s="1"/>
  <c r="E41" i="27"/>
  <c r="J56" i="28"/>
  <c r="J56" i="26" s="1"/>
  <c r="J43" i="28"/>
  <c r="J44" i="28" s="1"/>
  <c r="J44" i="27"/>
  <c r="D38" i="26"/>
  <c r="D38" i="25" s="1"/>
  <c r="E38" i="28"/>
  <c r="E52" i="29"/>
  <c r="E53" i="29" s="1"/>
  <c r="E50" i="27"/>
  <c r="D50" i="28"/>
  <c r="E50" i="28" s="1"/>
  <c r="D43" i="24"/>
  <c r="E43" i="24" s="1"/>
  <c r="E43" i="25"/>
  <c r="E42" i="27"/>
  <c r="D42" i="28"/>
  <c r="D42" i="26" s="1"/>
  <c r="D52" i="27"/>
  <c r="D53" i="27" s="1"/>
  <c r="D47" i="25"/>
  <c r="D47" i="24" s="1"/>
  <c r="E47" i="26"/>
  <c r="E46" i="27"/>
  <c r="D46" i="28"/>
  <c r="E46" i="28" s="1"/>
  <c r="D51" i="26"/>
  <c r="E51" i="26" s="1"/>
  <c r="E51" i="28"/>
  <c r="D40" i="26"/>
  <c r="D40" i="25" s="1"/>
  <c r="E40" i="28"/>
  <c r="D44" i="25"/>
  <c r="E44" i="25" s="1"/>
  <c r="E44" i="26"/>
  <c r="D45" i="24"/>
  <c r="D45" i="23" s="1"/>
  <c r="E45" i="25"/>
  <c r="A16" i="2" s="1"/>
  <c r="J37" i="27"/>
  <c r="J39" i="27" s="1"/>
  <c r="J39" i="29"/>
  <c r="J57" i="28"/>
  <c r="J57" i="26" s="1"/>
  <c r="D49" i="25"/>
  <c r="E49" i="25" s="1"/>
  <c r="E49" i="26"/>
  <c r="D39" i="24"/>
  <c r="E39" i="24" s="1"/>
  <c r="E39" i="25"/>
  <c r="M7" i="25"/>
  <c r="M7" i="24" s="1"/>
  <c r="J47" i="28"/>
  <c r="J46" i="26"/>
  <c r="J47" i="26" s="1"/>
  <c r="J57" i="14"/>
  <c r="J57" i="13" s="1"/>
  <c r="AC14" i="48"/>
  <c r="Q15" i="48"/>
  <c r="AC15" i="48" s="1"/>
  <c r="G16" i="55" l="1"/>
  <c r="G33" i="55"/>
  <c r="G19" i="55"/>
  <c r="J41" i="31"/>
  <c r="AI11" i="48"/>
  <c r="J43" i="26"/>
  <c r="J43" i="25" s="1"/>
  <c r="J43" i="24" s="1"/>
  <c r="D48" i="26"/>
  <c r="D48" i="25" s="1"/>
  <c r="D48" i="24" s="1"/>
  <c r="D48" i="23" s="1"/>
  <c r="J37" i="28"/>
  <c r="J37" i="26" s="1"/>
  <c r="J37" i="25" s="1"/>
  <c r="AE10" i="48"/>
  <c r="AJ41" i="48"/>
  <c r="I41" i="48"/>
  <c r="AD41" i="48"/>
  <c r="J41" i="48"/>
  <c r="J48" i="30"/>
  <c r="J41" i="30"/>
  <c r="K56" i="31"/>
  <c r="J45" i="31"/>
  <c r="K57" i="30"/>
  <c r="D43" i="23"/>
  <c r="E43" i="23" s="1"/>
  <c r="J40" i="29"/>
  <c r="J41" i="29" s="1"/>
  <c r="K57" i="31"/>
  <c r="K56" i="30"/>
  <c r="J48" i="31"/>
  <c r="D46" i="26"/>
  <c r="E46" i="26" s="1"/>
  <c r="D51" i="25"/>
  <c r="E51" i="25" s="1"/>
  <c r="U2" i="56"/>
  <c r="O12" i="55" s="1"/>
  <c r="P12" i="55" s="1"/>
  <c r="AK10" i="48"/>
  <c r="S11" i="48"/>
  <c r="K11" i="48" s="1"/>
  <c r="K10" i="48"/>
  <c r="J46" i="25"/>
  <c r="J46" i="24" s="1"/>
  <c r="J47" i="24" s="1"/>
  <c r="Y10" i="48"/>
  <c r="X192" i="57"/>
  <c r="X195" i="57" s="1"/>
  <c r="G39" i="55"/>
  <c r="H39" i="55" s="1"/>
  <c r="G37" i="55"/>
  <c r="G31" i="55"/>
  <c r="AB161" i="46"/>
  <c r="X172" i="46" s="1"/>
  <c r="X192" i="46" s="1"/>
  <c r="X195" i="46" s="1"/>
  <c r="I3" i="56"/>
  <c r="E13" i="55" s="1"/>
  <c r="F13" i="55" s="1"/>
  <c r="G13" i="55" s="1"/>
  <c r="U11" i="48"/>
  <c r="W11" i="48" s="1"/>
  <c r="E47" i="25"/>
  <c r="E38" i="26"/>
  <c r="D49" i="24"/>
  <c r="E49" i="24" s="1"/>
  <c r="R40" i="45"/>
  <c r="F12" i="55"/>
  <c r="G12" i="55" s="1"/>
  <c r="D44" i="24"/>
  <c r="A17" i="2" s="1"/>
  <c r="N41" i="55"/>
  <c r="G24" i="55"/>
  <c r="J49" i="31"/>
  <c r="J51" i="31" s="1"/>
  <c r="J2" i="56"/>
  <c r="IY10" i="1"/>
  <c r="IM10" i="1"/>
  <c r="IA10" i="1"/>
  <c r="HO10" i="1"/>
  <c r="HC10" i="1"/>
  <c r="GQ10" i="1"/>
  <c r="GE10" i="1"/>
  <c r="FS10" i="1"/>
  <c r="FG10" i="1"/>
  <c r="EU10" i="1"/>
  <c r="EI10" i="1"/>
  <c r="DW10" i="1"/>
  <c r="DK10" i="1"/>
  <c r="DE10" i="1"/>
  <c r="CS10" i="1"/>
  <c r="CG10" i="1"/>
  <c r="BU10" i="1"/>
  <c r="BI10" i="1"/>
  <c r="AW10" i="1"/>
  <c r="AK10" i="1"/>
  <c r="Y10" i="1"/>
  <c r="JE10" i="1"/>
  <c r="IS10" i="1"/>
  <c r="IG10" i="1"/>
  <c r="HU10" i="1"/>
  <c r="HR10" i="1"/>
  <c r="GB10" i="1"/>
  <c r="FA10" i="1"/>
  <c r="DZ10" i="1"/>
  <c r="CV10" i="1"/>
  <c r="BF10" i="1"/>
  <c r="AE10" i="1"/>
  <c r="DN10" i="1"/>
  <c r="AT10" i="1"/>
  <c r="G10" i="1"/>
  <c r="IV10" i="1"/>
  <c r="GN10" i="1"/>
  <c r="FM10" i="1"/>
  <c r="EL10" i="1"/>
  <c r="DH10" i="1"/>
  <c r="BR10" i="1"/>
  <c r="AQ10" i="1"/>
  <c r="P10" i="1"/>
  <c r="HX10" i="1"/>
  <c r="J10" i="1"/>
  <c r="FP10" i="1"/>
  <c r="ID10" i="1"/>
  <c r="GZ10" i="1"/>
  <c r="FY10" i="1"/>
  <c r="EX10" i="1"/>
  <c r="CD10" i="1"/>
  <c r="BC10" i="1"/>
  <c r="AB10" i="1"/>
  <c r="HI10" i="1"/>
  <c r="ER10" i="1"/>
  <c r="CM10" i="1"/>
  <c r="V10" i="1"/>
  <c r="JH10" i="1"/>
  <c r="HL10" i="1"/>
  <c r="GK10" i="1"/>
  <c r="FJ10" i="1"/>
  <c r="DT10" i="1"/>
  <c r="CP10" i="1"/>
  <c r="BO10" i="1"/>
  <c r="AN10" i="1"/>
  <c r="M10" i="1"/>
  <c r="BL10" i="1"/>
  <c r="IP10" i="1"/>
  <c r="GW10" i="1"/>
  <c r="FV10" i="1"/>
  <c r="EF10" i="1"/>
  <c r="DB10" i="1"/>
  <c r="CA10" i="1"/>
  <c r="AZ10" i="1"/>
  <c r="GH10" i="1"/>
  <c r="DQ10" i="1"/>
  <c r="IJ10" i="1"/>
  <c r="HF10" i="1"/>
  <c r="CJ10" i="1"/>
  <c r="S10" i="1"/>
  <c r="JB10" i="1"/>
  <c r="GT10" i="1"/>
  <c r="FD10" i="1"/>
  <c r="EC10" i="1"/>
  <c r="CY10" i="1"/>
  <c r="BX10" i="1"/>
  <c r="AH10" i="1"/>
  <c r="EO10" i="1"/>
  <c r="G4" i="55"/>
  <c r="O40" i="45"/>
  <c r="K40" i="45"/>
  <c r="U4" i="56"/>
  <c r="O14" i="55" s="1"/>
  <c r="P14" i="55" s="1"/>
  <c r="Q14" i="55" s="1"/>
  <c r="Q16" i="48"/>
  <c r="Q17" i="48" s="1"/>
  <c r="E45" i="24"/>
  <c r="D41" i="26"/>
  <c r="D41" i="25" s="1"/>
  <c r="J51" i="32"/>
  <c r="E52" i="27"/>
  <c r="E53" i="27" s="1"/>
  <c r="D39" i="23"/>
  <c r="D39" i="21" s="1"/>
  <c r="E39" i="21" s="1"/>
  <c r="D50" i="26"/>
  <c r="D50" i="25" s="1"/>
  <c r="E50" i="25" s="1"/>
  <c r="M34" i="27"/>
  <c r="JH14" i="1"/>
  <c r="IV14" i="1"/>
  <c r="IJ14" i="1"/>
  <c r="HX14" i="1"/>
  <c r="HL14" i="1"/>
  <c r="GZ14" i="1"/>
  <c r="GN14" i="1"/>
  <c r="GB14" i="1"/>
  <c r="FP14" i="1"/>
  <c r="FD14" i="1"/>
  <c r="ER14" i="1"/>
  <c r="EF14" i="1"/>
  <c r="DT14" i="1"/>
  <c r="JB14" i="1"/>
  <c r="IP14" i="1"/>
  <c r="ID14" i="1"/>
  <c r="HR14" i="1"/>
  <c r="HF14" i="1"/>
  <c r="GT14" i="1"/>
  <c r="GH14" i="1"/>
  <c r="FV14" i="1"/>
  <c r="FJ14" i="1"/>
  <c r="EX14" i="1"/>
  <c r="EL14" i="1"/>
  <c r="DZ14" i="1"/>
  <c r="DN14" i="1"/>
  <c r="IY14" i="1"/>
  <c r="HC14" i="1"/>
  <c r="FG14" i="1"/>
  <c r="DK14" i="1"/>
  <c r="CY14" i="1"/>
  <c r="CM14" i="1"/>
  <c r="CA14" i="1"/>
  <c r="BO14" i="1"/>
  <c r="BC14" i="1"/>
  <c r="AQ14" i="1"/>
  <c r="AE14" i="1"/>
  <c r="S14" i="1"/>
  <c r="G14" i="1"/>
  <c r="IG14" i="1"/>
  <c r="GK14" i="1"/>
  <c r="EO14" i="1"/>
  <c r="HO14" i="1"/>
  <c r="FS14" i="1"/>
  <c r="DW14" i="1"/>
  <c r="DH14" i="1"/>
  <c r="CV14" i="1"/>
  <c r="CJ14" i="1"/>
  <c r="BX14" i="1"/>
  <c r="BL14" i="1"/>
  <c r="AZ14" i="1"/>
  <c r="AN14" i="1"/>
  <c r="AB14" i="1"/>
  <c r="P14" i="1"/>
  <c r="IS14" i="1"/>
  <c r="GW14" i="1"/>
  <c r="FA14" i="1"/>
  <c r="IA14" i="1"/>
  <c r="GE14" i="1"/>
  <c r="EI14" i="1"/>
  <c r="DE14" i="1"/>
  <c r="CS14" i="1"/>
  <c r="CG14" i="1"/>
  <c r="BU14" i="1"/>
  <c r="BI14" i="1"/>
  <c r="AW14" i="1"/>
  <c r="AK14" i="1"/>
  <c r="Y14" i="1"/>
  <c r="M14" i="1"/>
  <c r="IM14" i="1"/>
  <c r="GQ14" i="1"/>
  <c r="EU14" i="1"/>
  <c r="DB14" i="1"/>
  <c r="CP14" i="1"/>
  <c r="CD14" i="1"/>
  <c r="BR14" i="1"/>
  <c r="BF14" i="1"/>
  <c r="AT14" i="1"/>
  <c r="AH14" i="1"/>
  <c r="V14" i="1"/>
  <c r="J14" i="1"/>
  <c r="HI14" i="1"/>
  <c r="FY14" i="1"/>
  <c r="FM14" i="1"/>
  <c r="HU14" i="1"/>
  <c r="EC14" i="1"/>
  <c r="DQ14" i="1"/>
  <c r="JE14" i="1"/>
  <c r="J4" i="56"/>
  <c r="E40" i="26"/>
  <c r="E42" i="28"/>
  <c r="E52" i="28" s="1"/>
  <c r="E53" i="28" s="1"/>
  <c r="D52" i="28"/>
  <c r="D53" i="28" s="1"/>
  <c r="F11" i="2"/>
  <c r="BN11" i="2" s="1"/>
  <c r="E42" i="2"/>
  <c r="BM42" i="2" s="1"/>
  <c r="AI12" i="48"/>
  <c r="M13" i="48"/>
  <c r="AI13" i="48" s="1"/>
  <c r="M8" i="26"/>
  <c r="M8" i="25" s="1"/>
  <c r="M34" i="28"/>
  <c r="J56" i="25"/>
  <c r="J56" i="24" s="1"/>
  <c r="D38" i="24"/>
  <c r="E38" i="24" s="1"/>
  <c r="E38" i="25"/>
  <c r="E42" i="26"/>
  <c r="D42" i="25"/>
  <c r="D42" i="24" s="1"/>
  <c r="D47" i="23"/>
  <c r="E47" i="23" s="1"/>
  <c r="E47" i="24"/>
  <c r="D40" i="24"/>
  <c r="E40" i="24" s="1"/>
  <c r="E40" i="25"/>
  <c r="E45" i="23"/>
  <c r="D45" i="21"/>
  <c r="A18" i="2" s="1"/>
  <c r="J57" i="25"/>
  <c r="M7" i="23"/>
  <c r="M7" i="21" s="1"/>
  <c r="J57" i="12"/>
  <c r="J57" i="11" s="1"/>
  <c r="J44" i="26" l="1"/>
  <c r="E48" i="25"/>
  <c r="H24" i="55"/>
  <c r="E48" i="26"/>
  <c r="J39" i="28"/>
  <c r="D44" i="23"/>
  <c r="D44" i="21" s="1"/>
  <c r="D44" i="22" s="1"/>
  <c r="E44" i="24"/>
  <c r="D51" i="24"/>
  <c r="E51" i="24" s="1"/>
  <c r="D43" i="21"/>
  <c r="D43" i="22" s="1"/>
  <c r="E43" i="22" s="1"/>
  <c r="K56" i="29"/>
  <c r="K57" i="29"/>
  <c r="J40" i="27"/>
  <c r="J45" i="27" s="1"/>
  <c r="J48" i="29"/>
  <c r="J45" i="29"/>
  <c r="M34" i="26"/>
  <c r="D46" i="25"/>
  <c r="E46" i="25" s="1"/>
  <c r="J47" i="25"/>
  <c r="BD11" i="48"/>
  <c r="AK11" i="48"/>
  <c r="S12" i="48"/>
  <c r="AE11" i="48"/>
  <c r="Y11" i="48"/>
  <c r="E39" i="23"/>
  <c r="D49" i="23"/>
  <c r="E49" i="23" s="1"/>
  <c r="J46" i="23"/>
  <c r="J47" i="23" s="1"/>
  <c r="F12" i="2"/>
  <c r="BN12" i="2" s="1"/>
  <c r="J3" i="56"/>
  <c r="R145" i="56" s="1"/>
  <c r="E41" i="55"/>
  <c r="F41" i="55"/>
  <c r="F43" i="55" s="1"/>
  <c r="O41" i="55"/>
  <c r="O43" i="55" s="1"/>
  <c r="J49" i="30"/>
  <c r="J51" i="30" s="1"/>
  <c r="U12" i="48"/>
  <c r="J50" i="31"/>
  <c r="J44" i="25"/>
  <c r="H14" i="55"/>
  <c r="H12" i="55"/>
  <c r="D45" i="22"/>
  <c r="E45" i="22" s="1"/>
  <c r="E48" i="24"/>
  <c r="E41" i="26"/>
  <c r="D47" i="21"/>
  <c r="D47" i="22" s="1"/>
  <c r="E42" i="25"/>
  <c r="Q18" i="48"/>
  <c r="AC18" i="48" s="1"/>
  <c r="AC17" i="48"/>
  <c r="AC16" i="48"/>
  <c r="G146" i="56" s="1"/>
  <c r="J39" i="26"/>
  <c r="AC32" i="26" s="1"/>
  <c r="AD32" i="26" s="1"/>
  <c r="D52" i="26"/>
  <c r="D53" i="26" s="1"/>
  <c r="E50" i="26"/>
  <c r="E41" i="25"/>
  <c r="D41" i="24"/>
  <c r="D41" i="23" s="1"/>
  <c r="D50" i="24"/>
  <c r="E50" i="24" s="1"/>
  <c r="D38" i="23"/>
  <c r="E38" i="23" s="1"/>
  <c r="M14" i="48"/>
  <c r="M15" i="48" s="1"/>
  <c r="H4" i="55"/>
  <c r="G41" i="55"/>
  <c r="G43" i="55" s="1"/>
  <c r="Q12" i="55"/>
  <c r="Q41" i="55" s="1"/>
  <c r="Q43" i="55" s="1"/>
  <c r="R15" i="56" s="1"/>
  <c r="P41" i="55"/>
  <c r="P43" i="55" s="1"/>
  <c r="E45" i="21"/>
  <c r="D40" i="23"/>
  <c r="D40" i="21" s="1"/>
  <c r="D39" i="22"/>
  <c r="D39" i="20" s="1"/>
  <c r="M8" i="24"/>
  <c r="M34" i="25"/>
  <c r="J56" i="23"/>
  <c r="J44" i="24"/>
  <c r="J43" i="23"/>
  <c r="E42" i="24"/>
  <c r="D42" i="23"/>
  <c r="E48" i="23"/>
  <c r="D48" i="21"/>
  <c r="J37" i="24"/>
  <c r="J39" i="25"/>
  <c r="M7" i="22"/>
  <c r="J57" i="10"/>
  <c r="E44" i="21" l="1"/>
  <c r="A20" i="2" s="1"/>
  <c r="E44" i="23"/>
  <c r="A19" i="2" s="1"/>
  <c r="D51" i="23"/>
  <c r="E51" i="23" s="1"/>
  <c r="Q19" i="48"/>
  <c r="J48" i="27"/>
  <c r="D43" i="20"/>
  <c r="D43" i="19" s="1"/>
  <c r="E43" i="21"/>
  <c r="D52" i="25"/>
  <c r="D53" i="25" s="1"/>
  <c r="D49" i="21"/>
  <c r="D49" i="22" s="1"/>
  <c r="E49" i="22" s="1"/>
  <c r="D46" i="24"/>
  <c r="D46" i="23" s="1"/>
  <c r="E46" i="23" s="1"/>
  <c r="Y12" i="48"/>
  <c r="K56" i="27"/>
  <c r="J41" i="27"/>
  <c r="J40" i="28"/>
  <c r="J45" i="28" s="1"/>
  <c r="K57" i="27"/>
  <c r="E52" i="25"/>
  <c r="E53" i="25" s="1"/>
  <c r="F13" i="2"/>
  <c r="F14" i="2" s="1"/>
  <c r="BN14" i="2" s="1"/>
  <c r="BD12" i="48"/>
  <c r="AE12" i="48"/>
  <c r="AK12" i="48"/>
  <c r="S13" i="48"/>
  <c r="K12" i="48"/>
  <c r="D50" i="23"/>
  <c r="D45" i="20"/>
  <c r="E45" i="20" s="1"/>
  <c r="E52" i="26"/>
  <c r="E53" i="26" s="1"/>
  <c r="E47" i="21"/>
  <c r="D38" i="21"/>
  <c r="D38" i="22" s="1"/>
  <c r="J49" i="29"/>
  <c r="J51" i="29" s="1"/>
  <c r="J50" i="30"/>
  <c r="J46" i="21"/>
  <c r="J47" i="21" s="1"/>
  <c r="U13" i="48"/>
  <c r="W12" i="48"/>
  <c r="AI14" i="48"/>
  <c r="H41" i="55"/>
  <c r="E39" i="22"/>
  <c r="D51" i="21"/>
  <c r="D51" i="22" s="1"/>
  <c r="E41" i="24"/>
  <c r="E40" i="23"/>
  <c r="AI15" i="48"/>
  <c r="M16" i="48"/>
  <c r="M8" i="23"/>
  <c r="M34" i="24"/>
  <c r="E41" i="23"/>
  <c r="D41" i="21"/>
  <c r="J44" i="23"/>
  <c r="J43" i="21"/>
  <c r="J56" i="21"/>
  <c r="D47" i="20"/>
  <c r="E47" i="22"/>
  <c r="E48" i="21"/>
  <c r="D48" i="22"/>
  <c r="D42" i="21"/>
  <c r="E42" i="23"/>
  <c r="D44" i="20"/>
  <c r="E44" i="22"/>
  <c r="D40" i="22"/>
  <c r="E40" i="21"/>
  <c r="A21" i="2" s="1"/>
  <c r="J39" i="24"/>
  <c r="J37" i="23"/>
  <c r="E39" i="20"/>
  <c r="D39" i="19"/>
  <c r="Q20" i="48"/>
  <c r="AC19" i="48"/>
  <c r="J57" i="9"/>
  <c r="M7" i="20"/>
  <c r="H43" i="55" l="1"/>
  <c r="G15" i="56" s="1"/>
  <c r="E43" i="20"/>
  <c r="D49" i="20"/>
  <c r="E49" i="21"/>
  <c r="D46" i="21"/>
  <c r="D46" i="22" s="1"/>
  <c r="D52" i="24"/>
  <c r="D53" i="24" s="1"/>
  <c r="E46" i="24"/>
  <c r="E52" i="24" s="1"/>
  <c r="E53" i="24" s="1"/>
  <c r="D52" i="23"/>
  <c r="D53" i="23" s="1"/>
  <c r="K56" i="28"/>
  <c r="J48" i="28"/>
  <c r="J41" i="28"/>
  <c r="J40" i="26"/>
  <c r="J40" i="25" s="1"/>
  <c r="K57" i="28"/>
  <c r="F15" i="2"/>
  <c r="F16" i="2" s="1"/>
  <c r="BN13" i="2"/>
  <c r="Y13" i="48"/>
  <c r="E50" i="23"/>
  <c r="E52" i="23" s="1"/>
  <c r="E53" i="23" s="1"/>
  <c r="D50" i="21"/>
  <c r="D50" i="22" s="1"/>
  <c r="D45" i="19"/>
  <c r="E45" i="19" s="1"/>
  <c r="W13" i="48"/>
  <c r="BD13" i="48"/>
  <c r="AE13" i="48"/>
  <c r="S14" i="48"/>
  <c r="K13" i="48"/>
  <c r="AK13" i="48"/>
  <c r="J50" i="29"/>
  <c r="E38" i="21"/>
  <c r="E51" i="21"/>
  <c r="J46" i="22"/>
  <c r="J47" i="22" s="1"/>
  <c r="AI16" i="48"/>
  <c r="M17" i="48"/>
  <c r="M18" i="48" s="1"/>
  <c r="M19" i="48" s="1"/>
  <c r="M8" i="21"/>
  <c r="M34" i="23"/>
  <c r="D41" i="22"/>
  <c r="E41" i="21"/>
  <c r="J56" i="22"/>
  <c r="J43" i="22"/>
  <c r="J44" i="21"/>
  <c r="E38" i="22"/>
  <c r="D38" i="20"/>
  <c r="E50" i="21"/>
  <c r="E43" i="19"/>
  <c r="D43" i="18"/>
  <c r="E48" i="22"/>
  <c r="D48" i="20"/>
  <c r="D47" i="19"/>
  <c r="E47" i="20"/>
  <c r="E42" i="21"/>
  <c r="D42" i="22"/>
  <c r="E40" i="22"/>
  <c r="D40" i="20"/>
  <c r="D44" i="19"/>
  <c r="E44" i="20"/>
  <c r="D51" i="20"/>
  <c r="E51" i="22"/>
  <c r="A22" i="2" s="1"/>
  <c r="E49" i="20"/>
  <c r="D49" i="19"/>
  <c r="J37" i="21"/>
  <c r="J39" i="23"/>
  <c r="M7" i="19"/>
  <c r="J57" i="8"/>
  <c r="Q21" i="48"/>
  <c r="AC20" i="48"/>
  <c r="D39" i="18"/>
  <c r="E39" i="19"/>
  <c r="E46" i="21" l="1"/>
  <c r="E52" i="21" s="1"/>
  <c r="E53" i="21" s="1"/>
  <c r="BN15" i="2"/>
  <c r="J48" i="26"/>
  <c r="D45" i="18"/>
  <c r="E45" i="18" s="1"/>
  <c r="K57" i="26"/>
  <c r="J45" i="26"/>
  <c r="J48" i="25"/>
  <c r="K57" i="25"/>
  <c r="J41" i="25"/>
  <c r="J45" i="25"/>
  <c r="J40" i="24"/>
  <c r="J41" i="24" s="1"/>
  <c r="K56" i="25"/>
  <c r="K56" i="26"/>
  <c r="J41" i="26"/>
  <c r="D52" i="21"/>
  <c r="D53" i="21" s="1"/>
  <c r="BD14" i="48"/>
  <c r="AK14" i="48"/>
  <c r="S15" i="48"/>
  <c r="AE14" i="48"/>
  <c r="K14" i="48"/>
  <c r="J46" i="20"/>
  <c r="J47" i="20" s="1"/>
  <c r="AI18" i="48"/>
  <c r="AI17" i="48"/>
  <c r="BN16" i="2"/>
  <c r="F17" i="2"/>
  <c r="M8" i="22"/>
  <c r="M34" i="21"/>
  <c r="E41" i="22"/>
  <c r="D41" i="20"/>
  <c r="J43" i="20"/>
  <c r="J44" i="22"/>
  <c r="J56" i="20"/>
  <c r="E38" i="20"/>
  <c r="D38" i="19"/>
  <c r="E50" i="22"/>
  <c r="D50" i="20"/>
  <c r="D43" i="17"/>
  <c r="E43" i="18"/>
  <c r="E42" i="22"/>
  <c r="D42" i="20"/>
  <c r="E46" i="22"/>
  <c r="D46" i="20"/>
  <c r="E47" i="19"/>
  <c r="D47" i="18"/>
  <c r="D52" i="22"/>
  <c r="D53" i="22" s="1"/>
  <c r="D48" i="19"/>
  <c r="E48" i="20"/>
  <c r="D44" i="18"/>
  <c r="E44" i="19"/>
  <c r="D40" i="19"/>
  <c r="E40" i="20"/>
  <c r="E51" i="20"/>
  <c r="D51" i="19"/>
  <c r="D49" i="18"/>
  <c r="E49" i="19"/>
  <c r="J39" i="21"/>
  <c r="J37" i="22"/>
  <c r="D39" i="17"/>
  <c r="E39" i="18"/>
  <c r="Q22" i="48"/>
  <c r="AC21" i="48"/>
  <c r="M20" i="48"/>
  <c r="AI19" i="48"/>
  <c r="M7" i="18"/>
  <c r="J57" i="7"/>
  <c r="K56" i="24" l="1"/>
  <c r="K57" i="24"/>
  <c r="J48" i="24"/>
  <c r="J45" i="24"/>
  <c r="J40" i="23"/>
  <c r="J45" i="23" s="1"/>
  <c r="D45" i="17"/>
  <c r="A23" i="2" s="1"/>
  <c r="J46" i="19"/>
  <c r="J47" i="19" s="1"/>
  <c r="AK15" i="48"/>
  <c r="K15" i="48"/>
  <c r="BD15" i="48"/>
  <c r="S16" i="48"/>
  <c r="AE15" i="48"/>
  <c r="BN17" i="2"/>
  <c r="F18" i="2"/>
  <c r="D52" i="20"/>
  <c r="D53" i="20" s="1"/>
  <c r="M8" i="20"/>
  <c r="M34" i="22"/>
  <c r="D41" i="19"/>
  <c r="E41" i="20"/>
  <c r="J56" i="19"/>
  <c r="J43" i="19"/>
  <c r="J44" i="20"/>
  <c r="E38" i="19"/>
  <c r="D38" i="18"/>
  <c r="E52" i="22"/>
  <c r="E53" i="22" s="1"/>
  <c r="E50" i="20"/>
  <c r="D50" i="19"/>
  <c r="D43" i="16"/>
  <c r="E43" i="17"/>
  <c r="D48" i="18"/>
  <c r="E48" i="19"/>
  <c r="D47" i="17"/>
  <c r="E47" i="18"/>
  <c r="D46" i="19"/>
  <c r="E46" i="20"/>
  <c r="D42" i="19"/>
  <c r="E42" i="20"/>
  <c r="D51" i="18"/>
  <c r="E51" i="19"/>
  <c r="D40" i="18"/>
  <c r="E40" i="19"/>
  <c r="D44" i="17"/>
  <c r="E44" i="18"/>
  <c r="A24" i="2" s="1"/>
  <c r="J39" i="22"/>
  <c r="J37" i="20"/>
  <c r="D49" i="17"/>
  <c r="E49" i="18"/>
  <c r="Q23" i="48"/>
  <c r="AC22" i="48"/>
  <c r="J57" i="6"/>
  <c r="M7" i="17"/>
  <c r="M21" i="48"/>
  <c r="AI20" i="48"/>
  <c r="D39" i="16"/>
  <c r="E39" i="17"/>
  <c r="J40" i="21" l="1"/>
  <c r="K56" i="23"/>
  <c r="K57" i="23"/>
  <c r="J48" i="23"/>
  <c r="D45" i="16"/>
  <c r="D45" i="15" s="1"/>
  <c r="J41" i="23"/>
  <c r="E45" i="17"/>
  <c r="J46" i="18"/>
  <c r="J47" i="18" s="1"/>
  <c r="BD16" i="48"/>
  <c r="AK16" i="48"/>
  <c r="K16" i="48"/>
  <c r="S17" i="48"/>
  <c r="AE16" i="48"/>
  <c r="F19" i="2"/>
  <c r="BN18" i="2"/>
  <c r="J48" i="21"/>
  <c r="J45" i="21"/>
  <c r="J40" i="22"/>
  <c r="K57" i="21"/>
  <c r="J41" i="21"/>
  <c r="K56" i="21"/>
  <c r="M8" i="19"/>
  <c r="M34" i="20"/>
  <c r="D41" i="18"/>
  <c r="E41" i="19"/>
  <c r="J44" i="19"/>
  <c r="J43" i="18"/>
  <c r="J56" i="18"/>
  <c r="E38" i="18"/>
  <c r="D38" i="17"/>
  <c r="D52" i="19"/>
  <c r="D53" i="19" s="1"/>
  <c r="E52" i="20"/>
  <c r="E53" i="20" s="1"/>
  <c r="D50" i="18"/>
  <c r="E50" i="19"/>
  <c r="E43" i="16"/>
  <c r="D43" i="15"/>
  <c r="E42" i="19"/>
  <c r="D42" i="18"/>
  <c r="D46" i="18"/>
  <c r="E46" i="19"/>
  <c r="D47" i="16"/>
  <c r="E47" i="17"/>
  <c r="D48" i="17"/>
  <c r="E48" i="18"/>
  <c r="D40" i="17"/>
  <c r="E40" i="18"/>
  <c r="D51" i="17"/>
  <c r="E51" i="18"/>
  <c r="D44" i="16"/>
  <c r="E44" i="17"/>
  <c r="A25" i="2" s="1"/>
  <c r="J37" i="19"/>
  <c r="J39" i="20"/>
  <c r="E49" i="17"/>
  <c r="D49" i="16"/>
  <c r="J57" i="37"/>
  <c r="D39" i="15"/>
  <c r="E39" i="16"/>
  <c r="AI21" i="48"/>
  <c r="M22" i="48"/>
  <c r="M7" i="16"/>
  <c r="Q24" i="48"/>
  <c r="AC23" i="48"/>
  <c r="E45" i="16" l="1"/>
  <c r="J46" i="17"/>
  <c r="J47" i="17" s="1"/>
  <c r="AK17" i="48"/>
  <c r="K17" i="48"/>
  <c r="BD17" i="48"/>
  <c r="S18" i="48"/>
  <c r="AE17" i="48"/>
  <c r="J48" i="22"/>
  <c r="J45" i="22"/>
  <c r="K57" i="22"/>
  <c r="J41" i="22"/>
  <c r="K56" i="22"/>
  <c r="J40" i="20"/>
  <c r="BN19" i="2"/>
  <c r="F20" i="2"/>
  <c r="M8" i="18"/>
  <c r="M34" i="19"/>
  <c r="D41" i="17"/>
  <c r="E41" i="18"/>
  <c r="J56" i="17"/>
  <c r="J43" i="17"/>
  <c r="J44" i="18"/>
  <c r="E52" i="19"/>
  <c r="E53" i="19" s="1"/>
  <c r="E38" i="17"/>
  <c r="D38" i="16"/>
  <c r="E50" i="18"/>
  <c r="D50" i="17"/>
  <c r="D43" i="14"/>
  <c r="E43" i="15"/>
  <c r="D48" i="16"/>
  <c r="E48" i="17"/>
  <c r="E47" i="16"/>
  <c r="D47" i="15"/>
  <c r="E46" i="18"/>
  <c r="D46" i="17"/>
  <c r="D52" i="18"/>
  <c r="D53" i="18" s="1"/>
  <c r="E42" i="18"/>
  <c r="D42" i="17"/>
  <c r="D45" i="14"/>
  <c r="E45" i="15"/>
  <c r="E40" i="17"/>
  <c r="D40" i="16"/>
  <c r="E44" i="16"/>
  <c r="D44" i="15"/>
  <c r="D51" i="16"/>
  <c r="E51" i="17"/>
  <c r="A26" i="2" s="1"/>
  <c r="D49" i="15"/>
  <c r="E49" i="16"/>
  <c r="J37" i="18"/>
  <c r="J39" i="19"/>
  <c r="Q25" i="48"/>
  <c r="AC24" i="48"/>
  <c r="M7" i="15"/>
  <c r="E39" i="15"/>
  <c r="D39" i="14"/>
  <c r="J57" i="4"/>
  <c r="AI22" i="48"/>
  <c r="M23" i="48"/>
  <c r="J46" i="16" l="1"/>
  <c r="S19" i="48"/>
  <c r="BD18" i="48"/>
  <c r="AK18" i="48"/>
  <c r="AE18" i="48"/>
  <c r="K18" i="48"/>
  <c r="J48" i="20"/>
  <c r="J45" i="20"/>
  <c r="K57" i="20"/>
  <c r="K56" i="20"/>
  <c r="J40" i="19"/>
  <c r="J41" i="20"/>
  <c r="F21" i="2"/>
  <c r="BN20" i="2"/>
  <c r="M8" i="17"/>
  <c r="M34" i="18"/>
  <c r="E41" i="17"/>
  <c r="D41" i="16"/>
  <c r="J43" i="16"/>
  <c r="J44" i="17"/>
  <c r="J56" i="16"/>
  <c r="D38" i="15"/>
  <c r="E38" i="16"/>
  <c r="E50" i="17"/>
  <c r="D50" i="16"/>
  <c r="E52" i="18"/>
  <c r="E53" i="18" s="1"/>
  <c r="E43" i="14"/>
  <c r="D43" i="13"/>
  <c r="E42" i="17"/>
  <c r="D42" i="16"/>
  <c r="D48" i="15"/>
  <c r="E48" i="16"/>
  <c r="D52" i="17"/>
  <c r="D53" i="17" s="1"/>
  <c r="E46" i="17"/>
  <c r="D46" i="16"/>
  <c r="E47" i="15"/>
  <c r="D47" i="14"/>
  <c r="E44" i="15"/>
  <c r="D44" i="14"/>
  <c r="D45" i="13"/>
  <c r="E45" i="14"/>
  <c r="E51" i="16"/>
  <c r="D51" i="15"/>
  <c r="D40" i="15"/>
  <c r="E40" i="16"/>
  <c r="A27" i="2" s="1"/>
  <c r="J37" i="17"/>
  <c r="J39" i="18"/>
  <c r="D49" i="14"/>
  <c r="E49" i="15"/>
  <c r="J57" i="43"/>
  <c r="E39" i="14"/>
  <c r="D39" i="13"/>
  <c r="J47" i="16"/>
  <c r="J46" i="15"/>
  <c r="Q26" i="48"/>
  <c r="AC25" i="48"/>
  <c r="AI23" i="48"/>
  <c r="M24" i="48"/>
  <c r="M7" i="14"/>
  <c r="AK19" i="48" l="1"/>
  <c r="K19" i="48"/>
  <c r="S20" i="48"/>
  <c r="BD19" i="48"/>
  <c r="AE19" i="48"/>
  <c r="BN21" i="2"/>
  <c r="F22" i="2"/>
  <c r="J48" i="19"/>
  <c r="K56" i="19"/>
  <c r="J41" i="19"/>
  <c r="J40" i="18"/>
  <c r="K57" i="19"/>
  <c r="J45" i="19"/>
  <c r="M8" i="16"/>
  <c r="M34" i="17"/>
  <c r="D41" i="15"/>
  <c r="E41" i="16"/>
  <c r="J56" i="15"/>
  <c r="J43" i="15"/>
  <c r="J44" i="16"/>
  <c r="E38" i="15"/>
  <c r="D38" i="14"/>
  <c r="D52" i="16"/>
  <c r="D53" i="16" s="1"/>
  <c r="E52" i="17"/>
  <c r="E53" i="17" s="1"/>
  <c r="D50" i="15"/>
  <c r="E50" i="16"/>
  <c r="D43" i="12"/>
  <c r="E43" i="13"/>
  <c r="E47" i="14"/>
  <c r="D47" i="13"/>
  <c r="D46" i="15"/>
  <c r="E46" i="16"/>
  <c r="E48" i="15"/>
  <c r="D48" i="14"/>
  <c r="E42" i="16"/>
  <c r="D42" i="15"/>
  <c r="E51" i="15"/>
  <c r="D51" i="14"/>
  <c r="E40" i="15"/>
  <c r="D40" i="14"/>
  <c r="D45" i="12"/>
  <c r="E45" i="13"/>
  <c r="E44" i="14"/>
  <c r="D44" i="13"/>
  <c r="A28" i="2" s="1"/>
  <c r="J39" i="17"/>
  <c r="J37" i="16"/>
  <c r="E49" i="14"/>
  <c r="D49" i="13"/>
  <c r="M7" i="13"/>
  <c r="M25" i="48"/>
  <c r="AI24" i="48"/>
  <c r="D39" i="12"/>
  <c r="E39" i="13"/>
  <c r="AC26" i="48"/>
  <c r="Q27" i="48"/>
  <c r="J47" i="15"/>
  <c r="J46" i="14"/>
  <c r="BD20" i="48" l="1"/>
  <c r="AK20" i="48"/>
  <c r="AE20" i="48"/>
  <c r="K20" i="48"/>
  <c r="S21" i="48"/>
  <c r="J48" i="18"/>
  <c r="J41" i="18"/>
  <c r="K56" i="18"/>
  <c r="J45" i="18"/>
  <c r="K57" i="18"/>
  <c r="J40" i="17"/>
  <c r="F23" i="2"/>
  <c r="BN22" i="2"/>
  <c r="M8" i="15"/>
  <c r="M34" i="16"/>
  <c r="D41" i="14"/>
  <c r="E41" i="15"/>
  <c r="J43" i="14"/>
  <c r="J44" i="15"/>
  <c r="J56" i="14"/>
  <c r="D52" i="15"/>
  <c r="D53" i="15" s="1"/>
  <c r="E38" i="14"/>
  <c r="D38" i="13"/>
  <c r="E52" i="16"/>
  <c r="E53" i="16" s="1"/>
  <c r="D50" i="14"/>
  <c r="E50" i="15"/>
  <c r="E43" i="12"/>
  <c r="D43" i="11"/>
  <c r="E42" i="15"/>
  <c r="D42" i="14"/>
  <c r="E46" i="15"/>
  <c r="D46" i="14"/>
  <c r="E48" i="14"/>
  <c r="D48" i="13"/>
  <c r="D47" i="12"/>
  <c r="E47" i="13"/>
  <c r="D45" i="11"/>
  <c r="E45" i="12"/>
  <c r="D40" i="13"/>
  <c r="E40" i="14"/>
  <c r="D51" i="13"/>
  <c r="E51" i="14"/>
  <c r="E44" i="13"/>
  <c r="D44" i="12"/>
  <c r="A29" i="2" s="1"/>
  <c r="D49" i="12"/>
  <c r="E49" i="13"/>
  <c r="J37" i="15"/>
  <c r="J39" i="16"/>
  <c r="J47" i="14"/>
  <c r="J46" i="13"/>
  <c r="D39" i="11"/>
  <c r="E39" i="12"/>
  <c r="M26" i="48"/>
  <c r="AI25" i="48"/>
  <c r="AC27" i="48"/>
  <c r="Q28" i="48"/>
  <c r="M7" i="12"/>
  <c r="AK21" i="48" l="1"/>
  <c r="BD21" i="48"/>
  <c r="K21" i="48"/>
  <c r="AE21" i="48"/>
  <c r="S22" i="48"/>
  <c r="J48" i="17"/>
  <c r="J45" i="17"/>
  <c r="J41" i="17"/>
  <c r="K57" i="17"/>
  <c r="J40" i="16"/>
  <c r="K56" i="17"/>
  <c r="BN23" i="2"/>
  <c r="F24" i="2"/>
  <c r="M8" i="14"/>
  <c r="M34" i="15"/>
  <c r="D41" i="13"/>
  <c r="E41" i="14"/>
  <c r="J56" i="13"/>
  <c r="J43" i="13"/>
  <c r="J44" i="14"/>
  <c r="E38" i="13"/>
  <c r="D38" i="12"/>
  <c r="E52" i="15"/>
  <c r="E53" i="15" s="1"/>
  <c r="E50" i="14"/>
  <c r="D50" i="13"/>
  <c r="D43" i="10"/>
  <c r="E43" i="11"/>
  <c r="E48" i="13"/>
  <c r="D48" i="12"/>
  <c r="E46" i="14"/>
  <c r="D46" i="13"/>
  <c r="D42" i="13"/>
  <c r="E42" i="14"/>
  <c r="D52" i="14"/>
  <c r="D53" i="14" s="1"/>
  <c r="D47" i="11"/>
  <c r="E47" i="12"/>
  <c r="E51" i="13"/>
  <c r="D51" i="12"/>
  <c r="E44" i="12"/>
  <c r="D44" i="11"/>
  <c r="D40" i="12"/>
  <c r="E40" i="13"/>
  <c r="D45" i="10"/>
  <c r="E45" i="11"/>
  <c r="A30" i="2" s="1"/>
  <c r="J39" i="15"/>
  <c r="J37" i="14"/>
  <c r="D49" i="11"/>
  <c r="E49" i="12"/>
  <c r="M7" i="11"/>
  <c r="AC28" i="48"/>
  <c r="Q29" i="48"/>
  <c r="M27" i="48"/>
  <c r="AI26" i="48"/>
  <c r="E39" i="11"/>
  <c r="D39" i="10"/>
  <c r="J47" i="13"/>
  <c r="J46" i="12"/>
  <c r="S23" i="48" l="1"/>
  <c r="K22" i="48"/>
  <c r="AK22" i="48"/>
  <c r="BD22" i="48"/>
  <c r="AE22" i="48"/>
  <c r="BN24" i="2"/>
  <c r="F25" i="2"/>
  <c r="J48" i="16"/>
  <c r="K56" i="16"/>
  <c r="K57" i="16"/>
  <c r="J45" i="16"/>
  <c r="J41" i="16"/>
  <c r="J40" i="15"/>
  <c r="M8" i="13"/>
  <c r="M34" i="14"/>
  <c r="E41" i="13"/>
  <c r="D41" i="12"/>
  <c r="J56" i="12"/>
  <c r="J44" i="13"/>
  <c r="J43" i="12"/>
  <c r="E38" i="12"/>
  <c r="D38" i="11"/>
  <c r="E50" i="13"/>
  <c r="D50" i="12"/>
  <c r="D52" i="13"/>
  <c r="D53" i="13" s="1"/>
  <c r="E43" i="10"/>
  <c r="D43" i="9"/>
  <c r="E52" i="14"/>
  <c r="E53" i="14" s="1"/>
  <c r="D47" i="10"/>
  <c r="E47" i="11"/>
  <c r="D46" i="12"/>
  <c r="E46" i="13"/>
  <c r="E48" i="12"/>
  <c r="D48" i="11"/>
  <c r="E42" i="13"/>
  <c r="D42" i="12"/>
  <c r="E45" i="10"/>
  <c r="D45" i="9"/>
  <c r="E44" i="11"/>
  <c r="D44" i="10"/>
  <c r="D51" i="11"/>
  <c r="E51" i="12"/>
  <c r="D40" i="11"/>
  <c r="E40" i="12"/>
  <c r="A31" i="2" s="1"/>
  <c r="D49" i="10"/>
  <c r="E49" i="11"/>
  <c r="J37" i="13"/>
  <c r="J39" i="14"/>
  <c r="J47" i="12"/>
  <c r="J46" i="11"/>
  <c r="M28" i="48"/>
  <c r="AI27" i="48"/>
  <c r="D39" i="9"/>
  <c r="E39" i="10"/>
  <c r="AC29" i="48"/>
  <c r="Q30" i="48"/>
  <c r="M7" i="10"/>
  <c r="BD23" i="48" l="1"/>
  <c r="S24" i="48"/>
  <c r="AE23" i="48"/>
  <c r="K23" i="48"/>
  <c r="AK23" i="48"/>
  <c r="BN25" i="2"/>
  <c r="F26" i="2"/>
  <c r="J48" i="15"/>
  <c r="J45" i="15"/>
  <c r="J40" i="14"/>
  <c r="J41" i="15"/>
  <c r="K57" i="15"/>
  <c r="K56" i="15"/>
  <c r="M8" i="12"/>
  <c r="M34" i="13"/>
  <c r="E41" i="12"/>
  <c r="D41" i="11"/>
  <c r="J44" i="12"/>
  <c r="J43" i="11"/>
  <c r="J56" i="11"/>
  <c r="D38" i="10"/>
  <c r="E38" i="11"/>
  <c r="E52" i="13"/>
  <c r="E53" i="13" s="1"/>
  <c r="E50" i="12"/>
  <c r="D50" i="11"/>
  <c r="D43" i="8"/>
  <c r="E43" i="9"/>
  <c r="E42" i="12"/>
  <c r="D42" i="11"/>
  <c r="E46" i="12"/>
  <c r="D46" i="11"/>
  <c r="D47" i="9"/>
  <c r="E47" i="10"/>
  <c r="D52" i="12"/>
  <c r="D53" i="12" s="1"/>
  <c r="E48" i="11"/>
  <c r="D48" i="10"/>
  <c r="D44" i="9"/>
  <c r="E44" i="10"/>
  <c r="E45" i="9"/>
  <c r="D45" i="8"/>
  <c r="D40" i="10"/>
  <c r="E40" i="11"/>
  <c r="D51" i="10"/>
  <c r="E51" i="11"/>
  <c r="A32" i="2" s="1"/>
  <c r="J39" i="13"/>
  <c r="J37" i="12"/>
  <c r="E49" i="10"/>
  <c r="D49" i="9"/>
  <c r="Q31" i="48"/>
  <c r="AC30" i="48"/>
  <c r="D39" i="8"/>
  <c r="E39" i="9"/>
  <c r="M29" i="48"/>
  <c r="AI28" i="48"/>
  <c r="M7" i="9"/>
  <c r="J47" i="11"/>
  <c r="J46" i="10"/>
  <c r="AK24" i="48" l="1"/>
  <c r="S25" i="48"/>
  <c r="K24" i="48"/>
  <c r="BD24" i="48"/>
  <c r="AE24" i="48"/>
  <c r="F27" i="2"/>
  <c r="BN26" i="2"/>
  <c r="J48" i="14"/>
  <c r="J41" i="14"/>
  <c r="K56" i="14"/>
  <c r="J45" i="14"/>
  <c r="K57" i="14"/>
  <c r="J40" i="13"/>
  <c r="M8" i="11"/>
  <c r="M34" i="12"/>
  <c r="D41" i="10"/>
  <c r="E41" i="11"/>
  <c r="J44" i="11"/>
  <c r="J43" i="10"/>
  <c r="J56" i="10"/>
  <c r="D38" i="9"/>
  <c r="E38" i="10"/>
  <c r="E52" i="12"/>
  <c r="E53" i="12" s="1"/>
  <c r="D52" i="11"/>
  <c r="D53" i="11" s="1"/>
  <c r="E50" i="11"/>
  <c r="D50" i="10"/>
  <c r="E43" i="8"/>
  <c r="D43" i="7"/>
  <c r="E46" i="11"/>
  <c r="D46" i="10"/>
  <c r="D42" i="10"/>
  <c r="E42" i="11"/>
  <c r="E48" i="10"/>
  <c r="D48" i="9"/>
  <c r="D47" i="8"/>
  <c r="E47" i="9"/>
  <c r="D40" i="9"/>
  <c r="E40" i="10"/>
  <c r="D44" i="8"/>
  <c r="E44" i="9"/>
  <c r="E51" i="10"/>
  <c r="X44" i="10" s="1"/>
  <c r="Y44" i="10" s="1"/>
  <c r="D51" i="9"/>
  <c r="D45" i="7"/>
  <c r="E45" i="8"/>
  <c r="A33" i="2" s="1"/>
  <c r="D49" i="8"/>
  <c r="E49" i="9"/>
  <c r="J37" i="11"/>
  <c r="J39" i="12"/>
  <c r="J47" i="10"/>
  <c r="J46" i="9"/>
  <c r="M30" i="48"/>
  <c r="AI29" i="48"/>
  <c r="M7" i="8"/>
  <c r="D39" i="7"/>
  <c r="E39" i="8"/>
  <c r="Q32" i="48"/>
  <c r="AC31" i="48"/>
  <c r="AE25" i="48" l="1"/>
  <c r="AK25" i="48"/>
  <c r="S26" i="48"/>
  <c r="K25" i="48"/>
  <c r="BD25" i="48"/>
  <c r="BN27" i="2"/>
  <c r="F28" i="2"/>
  <c r="J48" i="13"/>
  <c r="K56" i="13"/>
  <c r="K57" i="13"/>
  <c r="J40" i="12"/>
  <c r="J41" i="13"/>
  <c r="J45" i="13"/>
  <c r="M8" i="10"/>
  <c r="M34" i="11"/>
  <c r="E41" i="10"/>
  <c r="D41" i="9"/>
  <c r="J56" i="9"/>
  <c r="J43" i="9"/>
  <c r="J44" i="10"/>
  <c r="E38" i="9"/>
  <c r="D38" i="8"/>
  <c r="D52" i="10"/>
  <c r="D53" i="10" s="1"/>
  <c r="E50" i="10"/>
  <c r="X43" i="10" s="1"/>
  <c r="Y43" i="10" s="1"/>
  <c r="D50" i="9"/>
  <c r="D43" i="6"/>
  <c r="E43" i="7"/>
  <c r="E52" i="11"/>
  <c r="E53" i="11" s="1"/>
  <c r="E47" i="8"/>
  <c r="D47" i="7"/>
  <c r="E42" i="10"/>
  <c r="D42" i="9"/>
  <c r="D48" i="8"/>
  <c r="E48" i="9"/>
  <c r="D46" i="9"/>
  <c r="E46" i="10"/>
  <c r="D45" i="6"/>
  <c r="E45" i="7"/>
  <c r="E51" i="9"/>
  <c r="D51" i="8"/>
  <c r="D40" i="8"/>
  <c r="E40" i="9"/>
  <c r="D44" i="7"/>
  <c r="E44" i="8"/>
  <c r="A34" i="2" s="1"/>
  <c r="J39" i="11"/>
  <c r="J37" i="10"/>
  <c r="E49" i="8"/>
  <c r="D49" i="7"/>
  <c r="D39" i="6"/>
  <c r="E39" i="7"/>
  <c r="M7" i="7"/>
  <c r="J47" i="9"/>
  <c r="J46" i="8"/>
  <c r="Q33" i="48"/>
  <c r="AC32" i="48"/>
  <c r="M31" i="48"/>
  <c r="AI30" i="48"/>
  <c r="AK26" i="48" l="1"/>
  <c r="BD26" i="48"/>
  <c r="S27" i="48"/>
  <c r="K26" i="48"/>
  <c r="AE26" i="48"/>
  <c r="F29" i="2"/>
  <c r="BN28" i="2"/>
  <c r="J48" i="12"/>
  <c r="J41" i="12"/>
  <c r="J40" i="11"/>
  <c r="K56" i="12"/>
  <c r="J45" i="12"/>
  <c r="K57" i="12"/>
  <c r="M8" i="9"/>
  <c r="M34" i="10"/>
  <c r="D41" i="8"/>
  <c r="E41" i="9"/>
  <c r="J56" i="8"/>
  <c r="J43" i="8"/>
  <c r="J44" i="9"/>
  <c r="D52" i="9"/>
  <c r="D53" i="9" s="1"/>
  <c r="D38" i="7"/>
  <c r="E38" i="8"/>
  <c r="E52" i="10"/>
  <c r="E53" i="10" s="1"/>
  <c r="E50" i="9"/>
  <c r="D50" i="8"/>
  <c r="D43" i="37"/>
  <c r="E43" i="6"/>
  <c r="D46" i="8"/>
  <c r="E46" i="9"/>
  <c r="D48" i="7"/>
  <c r="E48" i="8"/>
  <c r="E42" i="9"/>
  <c r="D42" i="8"/>
  <c r="E47" i="7"/>
  <c r="D47" i="6"/>
  <c r="D40" i="7"/>
  <c r="E40" i="8"/>
  <c r="E45" i="6"/>
  <c r="D45" i="37"/>
  <c r="E44" i="7"/>
  <c r="D44" i="6"/>
  <c r="E51" i="8"/>
  <c r="D51" i="7"/>
  <c r="A35" i="2" s="1"/>
  <c r="D49" i="6"/>
  <c r="E49" i="7"/>
  <c r="J37" i="9"/>
  <c r="J39" i="10"/>
  <c r="M32" i="48"/>
  <c r="AI31" i="48"/>
  <c r="Q34" i="48"/>
  <c r="AC33" i="48"/>
  <c r="J47" i="8"/>
  <c r="J46" i="7"/>
  <c r="D39" i="37"/>
  <c r="E39" i="6"/>
  <c r="M7" i="6"/>
  <c r="S28" i="48" l="1"/>
  <c r="K27" i="48"/>
  <c r="BD27" i="48"/>
  <c r="AE27" i="48"/>
  <c r="AK27" i="48"/>
  <c r="BN29" i="2"/>
  <c r="F30" i="2"/>
  <c r="J48" i="11"/>
  <c r="K56" i="11"/>
  <c r="J40" i="10"/>
  <c r="K57" i="11"/>
  <c r="J41" i="11"/>
  <c r="J45" i="11"/>
  <c r="M8" i="8"/>
  <c r="M34" i="9"/>
  <c r="D41" i="7"/>
  <c r="E41" i="8"/>
  <c r="J56" i="7"/>
  <c r="J43" i="7"/>
  <c r="J44" i="8"/>
  <c r="D52" i="8"/>
  <c r="D53" i="8" s="1"/>
  <c r="D38" i="6"/>
  <c r="E38" i="7"/>
  <c r="E52" i="9"/>
  <c r="E53" i="9" s="1"/>
  <c r="D50" i="7"/>
  <c r="E50" i="8"/>
  <c r="D43" i="4"/>
  <c r="E43" i="37"/>
  <c r="D48" i="6"/>
  <c r="E48" i="7"/>
  <c r="D46" i="7"/>
  <c r="E46" i="8"/>
  <c r="E47" i="6"/>
  <c r="D47" i="37"/>
  <c r="E42" i="8"/>
  <c r="D42" i="7"/>
  <c r="D51" i="6"/>
  <c r="E51" i="7"/>
  <c r="D44" i="37"/>
  <c r="E44" i="6"/>
  <c r="D45" i="4"/>
  <c r="E45" i="37"/>
  <c r="D40" i="6"/>
  <c r="E40" i="7"/>
  <c r="A36" i="2" s="1"/>
  <c r="J39" i="9"/>
  <c r="J37" i="8"/>
  <c r="D49" i="37"/>
  <c r="E49" i="6"/>
  <c r="J47" i="7"/>
  <c r="J46" i="6"/>
  <c r="AC34" i="48"/>
  <c r="Q35" i="48"/>
  <c r="M7" i="37"/>
  <c r="E39" i="37"/>
  <c r="D39" i="4"/>
  <c r="M33" i="48"/>
  <c r="AI32" i="48"/>
  <c r="AE28" i="48" l="1"/>
  <c r="AK28" i="48"/>
  <c r="S29" i="48"/>
  <c r="K28" i="48"/>
  <c r="BD28" i="48"/>
  <c r="BN30" i="2"/>
  <c r="F31" i="2"/>
  <c r="J48" i="10"/>
  <c r="J40" i="9"/>
  <c r="K57" i="10"/>
  <c r="J41" i="10"/>
  <c r="J45" i="10"/>
  <c r="K56" i="10"/>
  <c r="M8" i="7"/>
  <c r="M34" i="8"/>
  <c r="E41" i="7"/>
  <c r="D41" i="6"/>
  <c r="J56" i="6"/>
  <c r="J43" i="6"/>
  <c r="J44" i="7"/>
  <c r="D38" i="37"/>
  <c r="E38" i="6"/>
  <c r="E52" i="8"/>
  <c r="E53" i="8" s="1"/>
  <c r="E50" i="7"/>
  <c r="D50" i="6"/>
  <c r="E43" i="4"/>
  <c r="D43" i="43"/>
  <c r="E43" i="43" s="1"/>
  <c r="E42" i="7"/>
  <c r="D42" i="6"/>
  <c r="E47" i="37"/>
  <c r="D47" i="4"/>
  <c r="E46" i="7"/>
  <c r="D46" i="6"/>
  <c r="D48" i="37"/>
  <c r="E48" i="6"/>
  <c r="D52" i="7"/>
  <c r="D53" i="7" s="1"/>
  <c r="E51" i="6"/>
  <c r="D51" i="37"/>
  <c r="D40" i="37"/>
  <c r="E40" i="6"/>
  <c r="E45" i="4"/>
  <c r="D45" i="43"/>
  <c r="E45" i="43" s="1"/>
  <c r="D44" i="4"/>
  <c r="E44" i="37"/>
  <c r="A37" i="2" s="1"/>
  <c r="E49" i="37"/>
  <c r="D49" i="4"/>
  <c r="J39" i="8"/>
  <c r="J37" i="7"/>
  <c r="M34" i="48"/>
  <c r="AI33" i="48"/>
  <c r="J47" i="6"/>
  <c r="J46" i="37"/>
  <c r="D39" i="43"/>
  <c r="E39" i="43" s="1"/>
  <c r="E39" i="4"/>
  <c r="M7" i="4"/>
  <c r="Q36" i="48"/>
  <c r="AC35" i="48"/>
  <c r="AE29" i="48" l="1"/>
  <c r="AK29" i="48"/>
  <c r="BD29" i="48"/>
  <c r="K29" i="48"/>
  <c r="S30" i="48"/>
  <c r="BN31" i="2"/>
  <c r="F32" i="2"/>
  <c r="J48" i="9"/>
  <c r="K57" i="9"/>
  <c r="J45" i="9"/>
  <c r="J40" i="8"/>
  <c r="K56" i="9"/>
  <c r="J41" i="9"/>
  <c r="D52" i="6"/>
  <c r="D53" i="6" s="1"/>
  <c r="M8" i="6"/>
  <c r="M34" i="7"/>
  <c r="D41" i="37"/>
  <c r="E41" i="6"/>
  <c r="J44" i="6"/>
  <c r="J43" i="37"/>
  <c r="J56" i="37"/>
  <c r="E38" i="37"/>
  <c r="D38" i="4"/>
  <c r="D50" i="37"/>
  <c r="E50" i="6"/>
  <c r="E52" i="7"/>
  <c r="E53" i="7" s="1"/>
  <c r="D46" i="37"/>
  <c r="E46" i="6"/>
  <c r="E47" i="4"/>
  <c r="D47" i="43"/>
  <c r="E47" i="43" s="1"/>
  <c r="E42" i="6"/>
  <c r="D42" i="37"/>
  <c r="E48" i="37"/>
  <c r="D48" i="4"/>
  <c r="D40" i="4"/>
  <c r="E40" i="37"/>
  <c r="D44" i="43"/>
  <c r="E44" i="43" s="1"/>
  <c r="E44" i="4"/>
  <c r="E51" i="37"/>
  <c r="D51" i="4"/>
  <c r="A38" i="2" s="1"/>
  <c r="J39" i="7"/>
  <c r="J37" i="6"/>
  <c r="D49" i="43"/>
  <c r="E49" i="43" s="1"/>
  <c r="E49" i="4"/>
  <c r="M7" i="43"/>
  <c r="M35" i="48"/>
  <c r="AI34" i="48"/>
  <c r="AC36" i="48"/>
  <c r="Q37" i="48"/>
  <c r="J47" i="37"/>
  <c r="J46" i="4"/>
  <c r="AK30" i="48" l="1"/>
  <c r="BD30" i="48"/>
  <c r="K30" i="48"/>
  <c r="S31" i="48"/>
  <c r="AE30" i="48"/>
  <c r="J48" i="8"/>
  <c r="K57" i="8"/>
  <c r="J41" i="8"/>
  <c r="J40" i="7"/>
  <c r="K56" i="8"/>
  <c r="J45" i="8"/>
  <c r="BN32" i="2"/>
  <c r="F33" i="2"/>
  <c r="M8" i="37"/>
  <c r="M34" i="6"/>
  <c r="E41" i="37"/>
  <c r="D41" i="4"/>
  <c r="J43" i="4"/>
  <c r="J44" i="37"/>
  <c r="J56" i="4"/>
  <c r="E38" i="4"/>
  <c r="D38" i="43"/>
  <c r="E38" i="43" s="1"/>
  <c r="D52" i="37"/>
  <c r="D53" i="37" s="1"/>
  <c r="E50" i="37"/>
  <c r="D50" i="4"/>
  <c r="E52" i="6"/>
  <c r="E53" i="6" s="1"/>
  <c r="D46" i="4"/>
  <c r="E46" i="37"/>
  <c r="D48" i="43"/>
  <c r="E48" i="43" s="1"/>
  <c r="E48" i="4"/>
  <c r="E42" i="37"/>
  <c r="D42" i="4"/>
  <c r="E40" i="4"/>
  <c r="D40" i="43"/>
  <c r="D51" i="43"/>
  <c r="E51" i="43" s="1"/>
  <c r="E51" i="4"/>
  <c r="A39" i="2" s="1"/>
  <c r="J39" i="6"/>
  <c r="J37" i="37"/>
  <c r="M36" i="48"/>
  <c r="AI35" i="48"/>
  <c r="J47" i="4"/>
  <c r="J46" i="43"/>
  <c r="AC37" i="48"/>
  <c r="Q38" i="48"/>
  <c r="AK31" i="48" l="1"/>
  <c r="AE31" i="48"/>
  <c r="K31" i="48"/>
  <c r="S32" i="48"/>
  <c r="BD31" i="48"/>
  <c r="J48" i="7"/>
  <c r="K56" i="7"/>
  <c r="J41" i="7"/>
  <c r="J40" i="6"/>
  <c r="J45" i="7"/>
  <c r="K57" i="7"/>
  <c r="BN33" i="2"/>
  <c r="F34" i="2"/>
  <c r="M8" i="4"/>
  <c r="M34" i="37"/>
  <c r="D41" i="43"/>
  <c r="E41" i="43" s="1"/>
  <c r="E41" i="4"/>
  <c r="J56" i="43"/>
  <c r="Z164" i="46" s="1"/>
  <c r="J43" i="43"/>
  <c r="J44" i="4"/>
  <c r="D52" i="4"/>
  <c r="D53" i="4" s="1"/>
  <c r="E52" i="37"/>
  <c r="E53" i="37" s="1"/>
  <c r="E50" i="4"/>
  <c r="D50" i="43"/>
  <c r="E50" i="43" s="1"/>
  <c r="D46" i="43"/>
  <c r="E46" i="43" s="1"/>
  <c r="E46" i="4"/>
  <c r="D42" i="43"/>
  <c r="E42" i="43" s="1"/>
  <c r="E42" i="4"/>
  <c r="E40" i="43"/>
  <c r="A40" i="2" s="1"/>
  <c r="J37" i="4"/>
  <c r="J39" i="37"/>
  <c r="Q39" i="48"/>
  <c r="AC38" i="48"/>
  <c r="J47" i="43"/>
  <c r="M37" i="48"/>
  <c r="AI36" i="48"/>
  <c r="AK32" i="48" l="1"/>
  <c r="K32" i="48"/>
  <c r="S33" i="48"/>
  <c r="BD32" i="48"/>
  <c r="AE32" i="48"/>
  <c r="J48" i="6"/>
  <c r="J41" i="6"/>
  <c r="K57" i="6"/>
  <c r="K56" i="6"/>
  <c r="J45" i="6"/>
  <c r="J40" i="37"/>
  <c r="BN34" i="2"/>
  <c r="F35" i="2"/>
  <c r="M8" i="43"/>
  <c r="M34" i="43" s="1"/>
  <c r="AA164" i="46" s="1"/>
  <c r="M34" i="4"/>
  <c r="M57" i="4" s="1"/>
  <c r="J44" i="43"/>
  <c r="E52" i="43"/>
  <c r="E53" i="43" s="1"/>
  <c r="E52" i="4"/>
  <c r="E53" i="4" s="1"/>
  <c r="D52" i="43"/>
  <c r="J37" i="43"/>
  <c r="J39" i="43" s="1"/>
  <c r="J39" i="4"/>
  <c r="M38" i="48"/>
  <c r="AI37" i="48"/>
  <c r="AC39" i="48"/>
  <c r="AK33" i="48" l="1"/>
  <c r="K33" i="48"/>
  <c r="BD33" i="48"/>
  <c r="S34" i="48"/>
  <c r="AE33" i="48"/>
  <c r="D53" i="43"/>
  <c r="F36" i="2"/>
  <c r="BN35" i="2"/>
  <c r="J48" i="37"/>
  <c r="K57" i="37"/>
  <c r="J40" i="4"/>
  <c r="K56" i="37"/>
  <c r="J41" i="37"/>
  <c r="J45" i="37"/>
  <c r="M39" i="48"/>
  <c r="AI38" i="48"/>
  <c r="BD34" i="48" l="1"/>
  <c r="AE34" i="48"/>
  <c r="S35" i="48"/>
  <c r="AK34" i="48"/>
  <c r="K34" i="48"/>
  <c r="J48" i="4"/>
  <c r="K57" i="4"/>
  <c r="J41" i="4"/>
  <c r="J40" i="43"/>
  <c r="K56" i="4"/>
  <c r="J45" i="4"/>
  <c r="BN36" i="2"/>
  <c r="F37" i="2"/>
  <c r="AI39" i="48"/>
  <c r="AE35" i="48" l="1"/>
  <c r="S36" i="48"/>
  <c r="K35" i="48"/>
  <c r="AK35" i="48"/>
  <c r="BD35" i="48"/>
  <c r="BN37" i="2"/>
  <c r="F38" i="2"/>
  <c r="J48" i="43"/>
  <c r="J45" i="43"/>
  <c r="J41" i="43"/>
  <c r="K56" i="43"/>
  <c r="K57" i="43"/>
  <c r="I49" i="27"/>
  <c r="AK36" i="48" l="1"/>
  <c r="S37" i="48"/>
  <c r="K36" i="48"/>
  <c r="BD36" i="48"/>
  <c r="AE36" i="48"/>
  <c r="BN38" i="2"/>
  <c r="F39" i="2"/>
  <c r="I50" i="27"/>
  <c r="I51" i="27"/>
  <c r="J49" i="27"/>
  <c r="X14" i="48"/>
  <c r="V14" i="48"/>
  <c r="U14" i="48"/>
  <c r="AK37" i="48" l="1"/>
  <c r="S38" i="48"/>
  <c r="K37" i="48"/>
  <c r="BD37" i="48"/>
  <c r="AE37" i="48"/>
  <c r="BN39" i="2"/>
  <c r="F40" i="2"/>
  <c r="BN40" i="2" s="1"/>
  <c r="J50" i="27"/>
  <c r="J49" i="28"/>
  <c r="J51" i="27"/>
  <c r="Y14" i="48"/>
  <c r="W14" i="48"/>
  <c r="U15" i="48"/>
  <c r="K38" i="48" l="1"/>
  <c r="AE38" i="48"/>
  <c r="AK38" i="48"/>
  <c r="BD38" i="48"/>
  <c r="S39" i="48"/>
  <c r="J50" i="28"/>
  <c r="J51" i="28"/>
  <c r="Y15" i="48"/>
  <c r="W15" i="48"/>
  <c r="AK39" i="48" l="1"/>
  <c r="K39" i="48"/>
  <c r="AE39" i="48"/>
  <c r="BD39" i="48"/>
  <c r="I49" i="26"/>
  <c r="I50" i="26" l="1"/>
  <c r="I51" i="26"/>
  <c r="J49" i="26"/>
  <c r="X16" i="48"/>
  <c r="V16" i="48"/>
  <c r="U16" i="48"/>
  <c r="J50" i="26" l="1"/>
  <c r="J51" i="26"/>
  <c r="Y16" i="48"/>
  <c r="W16" i="48"/>
  <c r="I49" i="24" l="1"/>
  <c r="I49" i="25"/>
  <c r="I50" i="25" l="1"/>
  <c r="I51" i="25"/>
  <c r="J49" i="25"/>
  <c r="J49" i="24" s="1"/>
  <c r="I50" i="24"/>
  <c r="I51" i="24"/>
  <c r="X18" i="48"/>
  <c r="V18" i="48"/>
  <c r="X17" i="48"/>
  <c r="V17" i="48"/>
  <c r="U17" i="48"/>
  <c r="J50" i="25" l="1"/>
  <c r="J51" i="25"/>
  <c r="J50" i="24"/>
  <c r="J51" i="24"/>
  <c r="W17" i="48"/>
  <c r="U18" i="48"/>
  <c r="Y17" i="48"/>
  <c r="W18" i="48" l="1"/>
  <c r="Y18" i="48"/>
  <c r="I49" i="23" l="1"/>
  <c r="I50" i="23" l="1"/>
  <c r="I51" i="23"/>
  <c r="J49" i="23"/>
  <c r="X19" i="48"/>
  <c r="V19" i="48"/>
  <c r="U19" i="48"/>
  <c r="J50" i="23" l="1"/>
  <c r="J51" i="23"/>
  <c r="W19" i="48"/>
  <c r="Y19" i="48"/>
  <c r="I49" i="21" l="1"/>
  <c r="I50" i="21" l="1"/>
  <c r="I51" i="21"/>
  <c r="J49" i="21"/>
  <c r="X20" i="48"/>
  <c r="V20" i="48"/>
  <c r="U20" i="48"/>
  <c r="J49" i="22" l="1"/>
  <c r="J50" i="21"/>
  <c r="J51" i="21"/>
  <c r="W20" i="48"/>
  <c r="Y20" i="48"/>
  <c r="U21" i="48"/>
  <c r="J50" i="22" l="1"/>
  <c r="J51" i="22"/>
  <c r="W21" i="48"/>
  <c r="Y21" i="48"/>
  <c r="I49" i="20" l="1"/>
  <c r="I50" i="20" l="1"/>
  <c r="I51" i="20"/>
  <c r="J49" i="20"/>
  <c r="X22" i="48"/>
  <c r="V22" i="48"/>
  <c r="U22" i="48"/>
  <c r="J50" i="20" l="1"/>
  <c r="J51" i="20"/>
  <c r="W22" i="48"/>
  <c r="Y22" i="48"/>
  <c r="I49" i="19" l="1"/>
  <c r="I50" i="19" l="1"/>
  <c r="I51" i="19"/>
  <c r="J49" i="19"/>
  <c r="X23" i="48"/>
  <c r="V23" i="48"/>
  <c r="U23" i="48"/>
  <c r="J50" i="19" l="1"/>
  <c r="J49" i="18"/>
  <c r="J51" i="19"/>
  <c r="W23" i="48"/>
  <c r="Y23" i="48"/>
  <c r="U24" i="48"/>
  <c r="J49" i="17" l="1"/>
  <c r="J50" i="18"/>
  <c r="J51" i="18"/>
  <c r="U25" i="48"/>
  <c r="W24" i="48"/>
  <c r="Y24" i="48"/>
  <c r="J50" i="17" l="1"/>
  <c r="J51" i="17"/>
  <c r="W25" i="48"/>
  <c r="Y25" i="48"/>
  <c r="I49" i="16" l="1"/>
  <c r="I50" i="16" l="1"/>
  <c r="I51" i="16"/>
  <c r="J49" i="16"/>
  <c r="V26" i="48"/>
  <c r="X26" i="48"/>
  <c r="U26" i="48"/>
  <c r="J50" i="16" l="1"/>
  <c r="J51" i="16"/>
  <c r="W26" i="48"/>
  <c r="Y26" i="48"/>
  <c r="I49" i="15" l="1"/>
  <c r="I50" i="15" l="1"/>
  <c r="I51" i="15"/>
  <c r="J49" i="15"/>
  <c r="V27" i="48"/>
  <c r="X27" i="48"/>
  <c r="U27" i="48"/>
  <c r="J50" i="15" l="1"/>
  <c r="J51" i="15"/>
  <c r="W27" i="48"/>
  <c r="Y27" i="48"/>
  <c r="I49" i="14" l="1"/>
  <c r="I50" i="14" l="1"/>
  <c r="I51" i="14"/>
  <c r="J49" i="14"/>
  <c r="X28" i="48"/>
  <c r="V28" i="48"/>
  <c r="U28" i="48"/>
  <c r="J50" i="14" l="1"/>
  <c r="J51" i="14"/>
  <c r="Y28" i="48"/>
  <c r="W28" i="48"/>
  <c r="I49" i="13" l="1"/>
  <c r="I50" i="13" l="1"/>
  <c r="I51" i="13"/>
  <c r="J49" i="13"/>
  <c r="V29" i="48"/>
  <c r="X29" i="48"/>
  <c r="U29" i="48"/>
  <c r="J50" i="13" l="1"/>
  <c r="J51" i="13"/>
  <c r="W29" i="48"/>
  <c r="Y29" i="48"/>
  <c r="I49" i="12" l="1"/>
  <c r="I50" i="12" l="1"/>
  <c r="I51" i="12"/>
  <c r="J49" i="12"/>
  <c r="V30" i="48"/>
  <c r="X30" i="48"/>
  <c r="U30" i="48"/>
  <c r="J50" i="12" l="1"/>
  <c r="J51" i="12"/>
  <c r="W30" i="48"/>
  <c r="Y30" i="48"/>
  <c r="I49" i="10" l="1"/>
  <c r="I50" i="10" l="1"/>
  <c r="I51" i="10"/>
  <c r="V32" i="48"/>
  <c r="X32" i="48"/>
  <c r="I49" i="11"/>
  <c r="I50" i="11" l="1"/>
  <c r="I51" i="11"/>
  <c r="J49" i="11"/>
  <c r="X31" i="48"/>
  <c r="V31" i="48"/>
  <c r="U31" i="48"/>
  <c r="J50" i="11" l="1"/>
  <c r="J51" i="11"/>
  <c r="J49" i="10"/>
  <c r="W31" i="48"/>
  <c r="U32" i="48"/>
  <c r="Y31" i="48"/>
  <c r="J50" i="10" l="1"/>
  <c r="J51" i="10"/>
  <c r="W32" i="48"/>
  <c r="Y32" i="48"/>
  <c r="I49" i="9" l="1"/>
  <c r="I50" i="9" l="1"/>
  <c r="I51" i="9"/>
  <c r="J49" i="9"/>
  <c r="V33" i="48"/>
  <c r="X33" i="48"/>
  <c r="T41" i="48"/>
  <c r="U33" i="48"/>
  <c r="J49" i="8" l="1"/>
  <c r="J50" i="9"/>
  <c r="J51" i="9"/>
  <c r="U34" i="48"/>
  <c r="Y33" i="48"/>
  <c r="W33" i="48"/>
  <c r="X41" i="48"/>
  <c r="V41" i="48"/>
  <c r="J50" i="8" l="1"/>
  <c r="J49" i="7"/>
  <c r="J51" i="8"/>
  <c r="W34" i="48"/>
  <c r="Y34" i="48"/>
  <c r="U35" i="48"/>
  <c r="J50" i="7" l="1"/>
  <c r="J49" i="6"/>
  <c r="J51" i="7"/>
  <c r="Y35" i="48"/>
  <c r="U36" i="48"/>
  <c r="W35" i="48"/>
  <c r="J49" i="37" l="1"/>
  <c r="J50" i="6"/>
  <c r="J51" i="6"/>
  <c r="U37" i="48"/>
  <c r="Y36" i="48"/>
  <c r="W36" i="48"/>
  <c r="J49" i="4" l="1"/>
  <c r="J50" i="37"/>
  <c r="J51" i="37"/>
  <c r="U38" i="48"/>
  <c r="Y37" i="48"/>
  <c r="W37" i="48"/>
  <c r="J49" i="43" l="1"/>
  <c r="J50" i="4"/>
  <c r="J51" i="4"/>
  <c r="U39" i="48"/>
  <c r="Y38" i="48"/>
  <c r="W38" i="48"/>
  <c r="J50" i="43" l="1"/>
  <c r="J51" i="43"/>
  <c r="W39" i="48"/>
  <c r="Y39" i="48"/>
  <c r="DA41" i="1" l="1"/>
  <c r="DB24" i="1"/>
  <c r="DC24" i="1"/>
  <c r="KT24" i="1"/>
  <c r="DB41" i="1" l="1"/>
  <c r="DC41" i="1"/>
  <c r="KT41" i="1" s="1"/>
</calcChain>
</file>

<file path=xl/sharedStrings.xml><?xml version="1.0" encoding="utf-8"?>
<sst xmlns="http://schemas.openxmlformats.org/spreadsheetml/2006/main" count="6351" uniqueCount="817">
  <si>
    <t xml:space="preserve"> </t>
  </si>
  <si>
    <t>Efficiency</t>
  </si>
  <si>
    <t>Total</t>
  </si>
  <si>
    <t>PRODUCTION DAILY REPORT</t>
  </si>
  <si>
    <t>GRADE</t>
  </si>
  <si>
    <t>GSM</t>
  </si>
  <si>
    <t>LOSS</t>
  </si>
  <si>
    <t>Facial</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</si>
  <si>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</si>
  <si>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</si>
  <si>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</si>
  <si>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</si>
  <si>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</si>
  <si>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</si>
  <si>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</si>
  <si>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</si>
  <si>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</si>
  <si>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</si>
  <si>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</si>
  <si>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</si>
  <si>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</si>
  <si>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</si>
  <si>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</si>
  <si>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</si>
  <si>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</si>
  <si>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</si>
  <si>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</si>
  <si>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</si>
  <si>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</si>
  <si>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</si>
  <si>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</si>
  <si>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GAS HOOD</t>
  </si>
  <si>
    <t>STEAM (TON)</t>
  </si>
  <si>
    <t>POWER (kWh)</t>
  </si>
  <si>
    <t>/TON PM.</t>
  </si>
  <si>
    <t>/TON FG.</t>
  </si>
  <si>
    <t>CONSUMPTION</t>
  </si>
  <si>
    <t>TODAY</t>
  </si>
  <si>
    <t>TODATE</t>
  </si>
  <si>
    <t>REW PROD (TON)</t>
  </si>
  <si>
    <t>Kg/ton</t>
  </si>
  <si>
    <t>REEL PROD (TON)</t>
  </si>
  <si>
    <t>NBKP Albacell</t>
  </si>
  <si>
    <t>TOTAL NBKP</t>
  </si>
  <si>
    <t>BROKE FROM OUTSIDE</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</si>
  <si>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</si>
  <si>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</si>
  <si>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</si>
  <si>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</si>
  <si>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</si>
  <si>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</si>
  <si>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</si>
  <si>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</si>
  <si>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</si>
  <si>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</si>
  <si>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</si>
  <si>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</si>
  <si>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</si>
  <si>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</si>
  <si>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</si>
  <si>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</si>
  <si>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</si>
  <si>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</si>
  <si>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</si>
  <si>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</si>
  <si>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</si>
  <si>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</si>
  <si>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</si>
  <si>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</si>
  <si>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</si>
  <si>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</si>
  <si>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</si>
  <si>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</si>
  <si>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</si>
  <si>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</si>
  <si>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</si>
  <si>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</si>
  <si>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</si>
  <si>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</si>
  <si>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</si>
  <si>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</si>
  <si>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</si>
  <si>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</si>
  <si>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</si>
  <si>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</si>
  <si>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</si>
  <si>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</si>
  <si>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</si>
  <si>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</si>
  <si>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TOTAL LBKP</t>
  </si>
  <si>
    <t>TOTAL EBKP</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</si>
  <si>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</si>
  <si>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</si>
  <si>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</si>
  <si>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</si>
  <si>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</si>
  <si>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</si>
  <si>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</si>
  <si>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</si>
  <si>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</si>
  <si>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</si>
  <si>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</si>
  <si>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</si>
  <si>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</si>
  <si>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</si>
  <si>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</si>
  <si>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</si>
  <si>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</si>
  <si>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</si>
  <si>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</si>
  <si>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</si>
  <si>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</si>
  <si>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</si>
  <si>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</si>
  <si>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</si>
  <si>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</si>
  <si>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</si>
  <si>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</si>
  <si>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</si>
  <si>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</si>
  <si>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</si>
  <si>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</si>
  <si>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</si>
  <si>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</si>
  <si>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</si>
  <si>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</si>
  <si>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</si>
  <si>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</si>
  <si>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</si>
  <si>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</si>
  <si>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</si>
  <si>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</si>
  <si>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</si>
  <si>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</si>
  <si>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</si>
  <si>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Selisih</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</si>
  <si>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</si>
  <si>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</si>
  <si>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</si>
  <si>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</si>
  <si>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</si>
  <si>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</si>
  <si>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</si>
  <si>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</si>
  <si>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</si>
  <si>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</si>
  <si>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</si>
  <si>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</si>
  <si>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</si>
  <si>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</si>
  <si>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</si>
  <si>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</si>
  <si>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</si>
  <si>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</si>
  <si>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</si>
  <si>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</si>
  <si>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</si>
  <si>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</si>
  <si>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</si>
  <si>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</si>
  <si>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</si>
  <si>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</si>
  <si>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</si>
  <si>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</si>
  <si>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</si>
  <si>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</si>
  <si>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</si>
  <si>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</si>
  <si>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</si>
  <si>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Off Reel</t>
  </si>
  <si>
    <t>Off Rewinder</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</si>
  <si>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</si>
  <si>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</si>
  <si>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</si>
  <si>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</si>
  <si>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</si>
  <si>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</si>
  <si>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</si>
  <si>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</si>
  <si>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</si>
  <si>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</si>
  <si>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</si>
  <si>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TISSUE MACHINE 14</t>
  </si>
  <si>
    <t>PAPER MACHINE 14 DAILY REPORT 1</t>
  </si>
  <si>
    <t>Total PM14</t>
  </si>
  <si>
    <t>PM 14</t>
  </si>
  <si>
    <t xml:space="preserve">PM14 Efficiency Report </t>
  </si>
  <si>
    <t>trim</t>
  </si>
  <si>
    <t>Eff</t>
  </si>
  <si>
    <t>yankee</t>
  </si>
  <si>
    <t>reel</t>
  </si>
  <si>
    <t>creeping</t>
  </si>
  <si>
    <t>time</t>
  </si>
  <si>
    <t>Teori</t>
  </si>
  <si>
    <t>Accept</t>
  </si>
  <si>
    <t>Baklog</t>
  </si>
  <si>
    <t>Sisa spool popereel</t>
  </si>
  <si>
    <t xml:space="preserve">Sisa Spool seset </t>
  </si>
  <si>
    <t>Pending</t>
  </si>
  <si>
    <t>Ngelokor</t>
  </si>
  <si>
    <t>Keriput</t>
  </si>
  <si>
    <t>Start up</t>
  </si>
  <si>
    <t>Potongan jelek</t>
  </si>
  <si>
    <t>Hole</t>
  </si>
  <si>
    <t>Trim</t>
  </si>
  <si>
    <t>Kertas sobek pinggir</t>
  </si>
  <si>
    <t>Joint</t>
  </si>
  <si>
    <t>Formasi jelek</t>
  </si>
  <si>
    <t>Lembab</t>
  </si>
  <si>
    <t>Diameter &lt; std</t>
  </si>
  <si>
    <t>Gelembung</t>
  </si>
  <si>
    <t>soping</t>
  </si>
  <si>
    <t>Bw &lt; std</t>
  </si>
  <si>
    <t>crushing</t>
  </si>
  <si>
    <t>White spot</t>
  </si>
  <si>
    <t>Thickness &lt; std</t>
  </si>
  <si>
    <t>Bulky &lt; std</t>
  </si>
  <si>
    <t>Bw &gt; std</t>
  </si>
  <si>
    <t>Sisa Spool rewinder</t>
  </si>
  <si>
    <t>Change Grade</t>
  </si>
  <si>
    <t>Loss time sheet break</t>
  </si>
  <si>
    <t>Loss time change blade</t>
  </si>
  <si>
    <t>Loss time change grade</t>
  </si>
  <si>
    <t>NGR 900</t>
  </si>
  <si>
    <t>total</t>
  </si>
  <si>
    <t>LBKP CAKRAWALA</t>
  </si>
  <si>
    <t>-</t>
  </si>
  <si>
    <t>Category</t>
  </si>
  <si>
    <t>Problem Category</t>
  </si>
  <si>
    <t>Detailed Problem</t>
  </si>
  <si>
    <t>LT/DT in Mins</t>
  </si>
  <si>
    <t>LT/DT in Ton</t>
  </si>
  <si>
    <t>Percentage LT/DT</t>
  </si>
  <si>
    <t>Total Percentage</t>
  </si>
  <si>
    <t>Actual Percentage</t>
  </si>
  <si>
    <t>X-Factor</t>
  </si>
  <si>
    <t>Down Time Marketing</t>
  </si>
  <si>
    <t>Estimasi RBP &amp; Backlog</t>
  </si>
  <si>
    <t>Reject Broke Plant</t>
  </si>
  <si>
    <t>Basic Weight Estimation</t>
  </si>
  <si>
    <t>Loss Speed</t>
  </si>
  <si>
    <t>Down Time Process</t>
  </si>
  <si>
    <t>Loss Time Change Grade</t>
  </si>
  <si>
    <t>Loss Time Process</t>
  </si>
  <si>
    <t>Change Blade</t>
  </si>
  <si>
    <t>Change Spool</t>
  </si>
  <si>
    <t>Sheet Breaks</t>
  </si>
  <si>
    <t>Maintenance</t>
  </si>
  <si>
    <t>Down Time EID</t>
  </si>
  <si>
    <t>Down Time Mekanik</t>
  </si>
  <si>
    <t>Loss Time EID</t>
  </si>
  <si>
    <t>Loss Time Mekanik</t>
  </si>
  <si>
    <t>Scheduled Shut Down</t>
  </si>
  <si>
    <t>Tonase</t>
  </si>
  <si>
    <t>Prosentase</t>
  </si>
  <si>
    <t>Downtime / Losstime</t>
  </si>
  <si>
    <t>Klasifikasi Detail</t>
  </si>
  <si>
    <t>Klasifikasi Awal</t>
  </si>
  <si>
    <t>Jenis Reject</t>
  </si>
  <si>
    <t>Reject in Ton</t>
  </si>
  <si>
    <t>Reject Percentage</t>
  </si>
  <si>
    <t>Estimasi Basic Weight</t>
  </si>
  <si>
    <t>Theory with Available Time (ton)</t>
  </si>
  <si>
    <t>Total LT/DT (mins)</t>
  </si>
  <si>
    <t>Total LT/DT (ton)</t>
  </si>
  <si>
    <t>LT/DT Percentage</t>
  </si>
  <si>
    <t>PM 14 Summary</t>
  </si>
  <si>
    <t>Gas ConsumptionHood PM 14</t>
  </si>
  <si>
    <t>Gas ConsumptionHood PM14</t>
  </si>
  <si>
    <t>Gas based on report DCS</t>
  </si>
  <si>
    <t>Flowmeter</t>
  </si>
  <si>
    <t>% pengali</t>
  </si>
  <si>
    <t>Adjust</t>
  </si>
  <si>
    <t>PGN</t>
  </si>
  <si>
    <t>Total Prosentase</t>
  </si>
  <si>
    <t>creeping mark</t>
  </si>
  <si>
    <t>Warisan</t>
  </si>
  <si>
    <t>Dirt</t>
  </si>
  <si>
    <t>kertas lembab</t>
  </si>
  <si>
    <t>Seset Change Grade</t>
  </si>
  <si>
    <t>potongan lari lari</t>
  </si>
  <si>
    <t>Potongan serabut</t>
  </si>
  <si>
    <t>UNKNOWN</t>
  </si>
  <si>
    <t>- Change Blade (0x)</t>
  </si>
  <si>
    <t>Sinergy</t>
  </si>
  <si>
    <t>MDT rendah</t>
  </si>
  <si>
    <t>PEMAKAIAN GAS</t>
  </si>
  <si>
    <t>PULP AND BROKE DAILY REPORT PM 14</t>
  </si>
  <si>
    <t>CHEMICAL DAILY REPORT PM 14</t>
  </si>
  <si>
    <t>Marketing</t>
  </si>
  <si>
    <t>Loss time</t>
  </si>
  <si>
    <t>Down Time</t>
  </si>
  <si>
    <t>SINERGY</t>
  </si>
  <si>
    <t>Backlog</t>
  </si>
  <si>
    <t>sheet break</t>
  </si>
  <si>
    <t>change blade</t>
  </si>
  <si>
    <t>change spool</t>
  </si>
  <si>
    <t>awal bulan produksi MG mengikuti real speed karea usia felt sudah 7minggu</t>
  </si>
  <si>
    <t>NB : info pak hartono untuk napkin + towel speed 1600mpm, gsm tinggi 92ton(&gt;17)</t>
  </si>
  <si>
    <t>Loss time change spool</t>
  </si>
  <si>
    <t>Loss Time Marketing</t>
  </si>
  <si>
    <t>VP OW</t>
  </si>
  <si>
    <t>Trafo (2500 A)</t>
  </si>
  <si>
    <t>Trafo (2500 B)</t>
  </si>
  <si>
    <t>Kehilangan Effisiensi PM 14 terdiri dari:</t>
  </si>
  <si>
    <t>MANAGEMENT</t>
  </si>
  <si>
    <t>Down Time Sinergy</t>
  </si>
  <si>
    <t>Loss Time Sinergy</t>
  </si>
  <si>
    <t>Paper Mill's Chemicals</t>
  </si>
  <si>
    <t>Deinking's Chemicals</t>
  </si>
  <si>
    <t>Paper mill's Chemicals</t>
  </si>
  <si>
    <t>AMIBOND DS 947</t>
  </si>
  <si>
    <t>AMIBOND WS 418</t>
  </si>
  <si>
    <t>WSR RESIN P-5500</t>
  </si>
  <si>
    <t>AMICIDE BX 9127</t>
  </si>
  <si>
    <t>AMICIDE BX 9160</t>
  </si>
  <si>
    <t>AMICIDE BX 9193</t>
  </si>
  <si>
    <t>AMICIDE BX 9226</t>
  </si>
  <si>
    <t>AMICIDE BX 9347</t>
  </si>
  <si>
    <t>AMICLEAN AP 1797</t>
  </si>
  <si>
    <t>AMICLEAN AP 1817</t>
  </si>
  <si>
    <t>AMICLEAN AP 2048</t>
  </si>
  <si>
    <t>AMICOAT TC 6101</t>
  </si>
  <si>
    <t>AMICOAT TC 6218</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</si>
  <si>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</si>
  <si>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</si>
  <si>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</si>
  <si>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</si>
  <si>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</si>
  <si>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</si>
  <si>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</si>
  <si>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</si>
  <si>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</si>
  <si>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</si>
  <si>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</si>
  <si>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</si>
  <si>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</si>
  <si>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</si>
  <si>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</si>
  <si>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</si>
  <si>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</si>
  <si>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</si>
  <si>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</si>
  <si>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</si>
  <si>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</si>
  <si>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</si>
  <si>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</si>
  <si>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</si>
  <si>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</si>
  <si>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</si>
  <si>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</si>
  <si>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</si>
  <si>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</si>
  <si>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</si>
  <si>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</si>
  <si>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ELTEXIN</t>
  </si>
  <si>
    <t>ELTEBRIGHT BL 1000</t>
  </si>
  <si>
    <t>SOLMIX  L40</t>
  </si>
  <si>
    <t>CHEMBRIGHT C LIQUID</t>
  </si>
  <si>
    <t>K-Bright Liquid</t>
  </si>
  <si>
    <t>NGR 200</t>
  </si>
  <si>
    <t>ANEDIR YELLOW BKL</t>
  </si>
  <si>
    <t>ANEDIR RED BKL</t>
  </si>
  <si>
    <t>ANEDIR BLACK L LIQ</t>
  </si>
  <si>
    <t>ANEDIR BROWN CC-04 LIQ</t>
  </si>
  <si>
    <t>Anedir Brown cc-03</t>
  </si>
  <si>
    <t>DEKAWET NA30</t>
  </si>
  <si>
    <t>Burstrong Fixing Agent</t>
  </si>
  <si>
    <t>DI N40</t>
  </si>
  <si>
    <t>CHROMACLEAR</t>
  </si>
  <si>
    <t>Price</t>
  </si>
  <si>
    <t>Running</t>
  </si>
  <si>
    <t>PM 14 Running Time</t>
  </si>
  <si>
    <t>Down Time PLN</t>
  </si>
  <si>
    <t xml:space="preserve">Kapasitas Running (ton) </t>
  </si>
  <si>
    <t>Eff FG vs Target  Running(%)</t>
  </si>
  <si>
    <t>SCA</t>
  </si>
  <si>
    <t>- Cleaning</t>
  </si>
  <si>
    <t>Sample QC</t>
  </si>
  <si>
    <t>Change Grade/Cleaning</t>
  </si>
  <si>
    <t>TEL PELITA</t>
  </si>
  <si>
    <t>EPOSTRONG</t>
  </si>
  <si>
    <t>DFR 810S</t>
  </si>
  <si>
    <t>0</t>
  </si>
  <si>
    <t>- Sheet Breaks (0x)</t>
  </si>
  <si>
    <t>- Change Spool (8x)</t>
  </si>
  <si>
    <t>12</t>
  </si>
  <si>
    <t>- Change Spool (25x)</t>
  </si>
  <si>
    <t>F 12</t>
  </si>
  <si>
    <t>F 12 VP OW</t>
  </si>
  <si>
    <t>Hadi F</t>
  </si>
  <si>
    <t>Erwin R</t>
  </si>
  <si>
    <t>SUZANO</t>
  </si>
  <si>
    <t>SS</t>
  </si>
  <si>
    <t>PHP PM</t>
  </si>
  <si>
    <t xml:space="preserve">PM14 Efficiency Running Report </t>
  </si>
  <si>
    <t>Steam, &amp; gangguan sinergy (X)</t>
  </si>
  <si>
    <t>Freq, Trip PLN (X)</t>
  </si>
  <si>
    <t>Cleaning Holes (X)</t>
  </si>
  <si>
    <t>Per hari</t>
  </si>
  <si>
    <t>.03.26</t>
  </si>
  <si>
    <t>- Awal Shift PM Produksi F12
Speed target 1230mpm/-25%
Speed aktual 1180mpm/-25%
Lost Speed 50mpm(4%)</t>
  </si>
  <si>
    <t>- 07:00 awal shift kertas rawan putus bagian Ds , thikness rendah dan MDT rendah
- setting temperatur hood
- tambah kompososi nbkp 16%
- Speed up 1200mpm
15:00 akhir shift speed 1200mpm
Nb: rawan soping dan putus-putus</t>
  </si>
  <si>
    <t>- Awal Shift PM Produksi  F12
Speed 1230mpm/-25% (Actuall speed 1200/-27%)</t>
  </si>
  <si>
    <t xml:space="preserve">Setiap Ganti blade kertas Brosot </t>
  </si>
  <si>
    <t>- Awal Shift PM Produksi  F 12
speed actual 1200/25%</t>
  </si>
  <si>
    <t>03:21 presure steam drop 9,5 bar ( info boiler )
- pm turun speed 1050 karena kertas sempat putus2
03:39 presure steam mulai up 
- speed up secara perlahan 
03:48 presure steam normal 
- speed up secara perlahan</t>
  </si>
  <si>
    <t>1131,56/848,67</t>
  </si>
  <si>
    <t>1202,48/877,86</t>
  </si>
  <si>
    <t>1190/892,5</t>
  </si>
  <si>
    <t>1174,68/873,01</t>
  </si>
  <si>
    <t>- Change Spool (9x)</t>
  </si>
  <si>
    <t>- Sheet Breaks (3x)</t>
  </si>
  <si>
    <t>- Sheet Breaks (4x)</t>
  </si>
  <si>
    <t>- Change Blade (1x)</t>
  </si>
  <si>
    <t>- Sheet Breaks (7x)</t>
  </si>
  <si>
    <t>146+122,5</t>
  </si>
  <si>
    <t>Agus K</t>
  </si>
  <si>
    <t>Metsa</t>
  </si>
  <si>
    <t>EBKP CAKRAWALA</t>
  </si>
  <si>
    <t>SODIUM HYPOCHLORID</t>
  </si>
  <si>
    <t>CHEMZYME CL</t>
  </si>
  <si>
    <t>Cytreat 427</t>
  </si>
  <si>
    <t>Cylube 901</t>
  </si>
  <si>
    <t>- Awal Shift PM Produksi F 16 ( off reel )
speed actual 1120/25%</t>
  </si>
  <si>
    <t>- Awal Shift PM Produksi   F16
Speed 1120mpm/-25% order khusus</t>
  </si>
  <si>
    <t>- Awal Shift PM Produksi F12
Speed target 1230mpm/-25%
Speed aktual 1200mpm/-25%</t>
  </si>
  <si>
    <t>07:00 awal shift purifec on
10:29 Change grade F14 Idm
           Speed 1150mpm/-26%
11:12 Change grade F16 FG Kuma
            Speed 1140mpm/-25%</t>
  </si>
  <si>
    <t>F 14</t>
  </si>
  <si>
    <t>F 16</t>
  </si>
  <si>
    <t>1200/900</t>
  </si>
  <si>
    <t>1167,02/874,24</t>
  </si>
  <si>
    <t>1189,01/891,41</t>
  </si>
  <si>
    <t>- Change Spool (10x)</t>
  </si>
  <si>
    <t>12/14/16</t>
  </si>
  <si>
    <t>- Sheet Breaks (6x)</t>
  </si>
  <si>
    <t>- Change Spool (28x)</t>
  </si>
  <si>
    <t>275*1</t>
  </si>
  <si>
    <t>130*2</t>
  </si>
  <si>
    <t>120+140</t>
  </si>
  <si>
    <t>F 14 VP OW</t>
  </si>
  <si>
    <t>F 16 VP OW</t>
  </si>
  <si>
    <t>EBKP SUZANO</t>
  </si>
  <si>
    <t>Detac DC779F</t>
  </si>
  <si>
    <t>SOFTENER PURIFEC</t>
  </si>
  <si>
    <t xml:space="preserve">- Awal Shift PM Produksi F16
Speed 1100mpm/-25% </t>
  </si>
  <si>
    <t xml:space="preserve">- 19.00 gati blade, </t>
  </si>
  <si>
    <t>- Awal Shift PM Produksi F16
Speed 1100 mpm/25%</t>
  </si>
  <si>
    <t>_ 00.10 change Blade kertas ngelokor 
        - cek secondary arm 
        - seting hood 
        - seting Coating release
_01.56 jumbo turun membaik
_02.18 jumbo turun ACC offreel 12"
_05.34 change grade F14  speed 1160mpm/-25</t>
  </si>
  <si>
    <t>- Awal Shift PM Produksi F16 FG Kuma
Speed 1120mpm/-25%</t>
  </si>
  <si>
    <t>09:23 Speed down 1100mpm</t>
  </si>
  <si>
    <t>1110,75/833,06</t>
  </si>
  <si>
    <t>1100/825</t>
  </si>
  <si>
    <t>1105,96/829,47</t>
  </si>
  <si>
    <t>16/14</t>
  </si>
  <si>
    <t>1105,57/829,18</t>
  </si>
  <si>
    <t>- Change Spool (29x)</t>
  </si>
  <si>
    <t>Ariko P</t>
  </si>
  <si>
    <t>- Awal Shift PM Produksi F14 IDM
Speed 1200 mpm/25%</t>
  </si>
  <si>
    <t>jr backlog keriput bag center, adjust komposisi coating release</t>
  </si>
  <si>
    <t>- Awal Shift PM Produksi F14 indomaret
Speed 1200mpm/-25%</t>
  </si>
  <si>
    <t>- Awal Shift PM Produksi F14 IDM premium
Speed 1160mpm/-25%</t>
  </si>
  <si>
    <t>- 09:26 Speed up 1200mpm</t>
  </si>
  <si>
    <t>1202,5/901,88</t>
  </si>
  <si>
    <t>1187,83/890,88</t>
  </si>
  <si>
    <t>14</t>
  </si>
  <si>
    <t>1196,78/897,58</t>
  </si>
  <si>
    <t>- Sheet Breaks (2x)</t>
  </si>
  <si>
    <t>- Sheet Breaks (8x)</t>
  </si>
  <si>
    <t>- Awal Shift PM Produksi F14 IDM premium
Speed 1200mpm/-25%</t>
  </si>
  <si>
    <t>08:34 Speed down 1150mpm , handsfeel kurang halus
09:52 Kertas sirkulasi utm , MED perbaikan roda secondary arm
10:11 kertas onreel</t>
  </si>
  <si>
    <t>- Awal Shift PM Produksi  F13.5
Speed 1200 mpm/23%</t>
  </si>
  <si>
    <t>_ 02.50 change grade F16 speed 1100mpm/24%</t>
  </si>
  <si>
    <t>- Awal Shift PM Produksi F 14 IDM
Speed 1150 mpm/25%</t>
  </si>
  <si>
    <t>_ 20.30 change grade F13.5 speed 1200mpm/23</t>
  </si>
  <si>
    <t>F 13,5</t>
  </si>
  <si>
    <t>1159,79/869,84</t>
  </si>
  <si>
    <t>1168,04/883,53</t>
  </si>
  <si>
    <t>1150,35/880,01</t>
  </si>
  <si>
    <t>14/13,5/16</t>
  </si>
  <si>
    <t>1159,39/877,79</t>
  </si>
  <si>
    <t>- Change Spool (12x)</t>
  </si>
  <si>
    <t>- Change Spool (7x)</t>
  </si>
  <si>
    <t>126*2+17,5</t>
  </si>
  <si>
    <t>45*4+40*2</t>
  </si>
  <si>
    <t>F 13,5 VP OW</t>
  </si>
  <si>
    <t>- Awal Shift PM Produksi F16 TSSC &amp; Infion
Speed 1100mpm/-23%</t>
  </si>
  <si>
    <t>- Awal Shift PM Produksi F 16 
speed actual 1100/23%</t>
  </si>
  <si>
    <t>- awal shift join rewinder tinggal 1 join 
15:27 kertas sering putus bagian DS 
- seting temperatur hud
18:50 change gride F 13 speed 1200/24%
19:30 kertas putus2 pecah indikasi mdt drop 
- load reviner + seting temperatur hud 
20:03 pm mulai lancar 
22:00 pm trip ( sinergy problem valve steam pecah )</t>
  </si>
  <si>
    <t>F 13</t>
  </si>
  <si>
    <t>Awal shift PM 14 stop (sinergy problem Valve steam pecah)
- cleaning atap hood 
- cleaning area DS Ts yankke
- cleaning area pm 
- cleaning cember air Coating realese 
- cleaning couch pit
- cleaning wire 
- basahi felt 1jam sekali</t>
  </si>
  <si>
    <t>STOP</t>
  </si>
  <si>
    <t>1145,24/876,4</t>
  </si>
  <si>
    <t>1100/847</t>
  </si>
  <si>
    <t>16/13</t>
  </si>
  <si>
    <t>1121,11/860,72</t>
  </si>
  <si>
    <t>- Change Spool (0x)</t>
  </si>
  <si>
    <t>- Sheet Breaks (5x)</t>
  </si>
  <si>
    <t>- Change Spool (18x)</t>
  </si>
  <si>
    <t>- Sinergy Black Out</t>
  </si>
  <si>
    <t>40*2+60*3</t>
  </si>
  <si>
    <t>40*4+45+60</t>
  </si>
  <si>
    <t>45*3+40*2</t>
  </si>
  <si>
    <t>116*2+25</t>
  </si>
  <si>
    <t>F 13 VP OW</t>
  </si>
  <si>
    <t>450+550+199+</t>
  </si>
  <si>
    <t>630+284+</t>
  </si>
  <si>
    <t>210+</t>
  </si>
  <si>
    <t>240+</t>
  </si>
  <si>
    <t>386+457+211+244+</t>
  </si>
  <si>
    <t>295+300+</t>
  </si>
  <si>
    <t>220+</t>
  </si>
  <si>
    <t>341+170+188+</t>
  </si>
  <si>
    <t>229+</t>
  </si>
  <si>
    <t>721+400+</t>
  </si>
  <si>
    <t>1200+</t>
  </si>
  <si>
    <t>105+176+</t>
  </si>
  <si>
    <t>199+</t>
  </si>
  <si>
    <t>120+</t>
  </si>
  <si>
    <t>211+</t>
  </si>
  <si>
    <t>500+</t>
  </si>
  <si>
    <t>150+249+</t>
  </si>
  <si>
    <t>200+200+170+585+198+170+</t>
  </si>
  <si>
    <t>- Awal Shift PM Produksi F11.5 fudak
Speed 1230 mpm/24%</t>
  </si>
  <si>
    <t>- Awal Shift PM Produksi  F 11,5
speed actual 1230/24%</t>
  </si>
  <si>
    <t>LT</t>
  </si>
  <si>
    <t>DT</t>
  </si>
  <si>
    <t xml:space="preserve">- Awal Shift PM Produksi F13
Speed 1230mpm/-25% </t>
  </si>
  <si>
    <t>10:20 change grade F 11,5. Speed 1230/-24%</t>
  </si>
  <si>
    <t>- Awal Shift PM Produksi T 14
speed actual 1120/24%</t>
  </si>
  <si>
    <t># seset hole blade : 560 kg ( burner hud mati )</t>
  </si>
  <si>
    <t>Awal shift pm stop, tunggu power sinergy
Cleaning area pm 
Cek shower shower 
Drain utm
Karcer wire
13:00 change power sinergy 
13:05 power on, pm persiapan jalan 
13:20 pm start up
13:48 on reel Su, kertas pin hole dan dirt
Naikan hpp jadi 15bar
Jalan pengalihan T14 speed 1100/-24%
Dilution konsistensi dump chest butu cek eid</t>
  </si>
  <si>
    <t>T 14</t>
  </si>
  <si>
    <t>- Awal Shift PM Produksi  F13
Speed 1200 mpm/25%</t>
  </si>
  <si>
    <t>15:11 burner hud mati ( info EID ) 
15:29 burner nyala 
20:22 change grade F 13 speed 1200/24%
22:17 tambor turun muncul hole ( wire kotor )</t>
  </si>
  <si>
    <r>
      <t xml:space="preserve">23.07 jr turun hole bag center ke DS
Speed turun 1150 mpm, hpp up 20bar &amp; karcher wire
00.05 jr turun hole masih ada, speed turun 1100 mpm
</t>
    </r>
    <r>
      <rPr>
        <b/>
        <sz val="10"/>
        <color rgb="FFFF0000"/>
        <rFont val="Arial"/>
        <family val="2"/>
      </rPr>
      <t>00.16 pm trip, vaccum overload</t>
    </r>
    <r>
      <rPr>
        <b/>
        <sz val="10"/>
        <color indexed="8"/>
        <rFont val="Arial"/>
        <family val="2"/>
      </rPr>
      <t xml:space="preserve">
Drain couchpit, sikat felt &amp; wire
MED repair dillution dump chest buntu
01.33 pm persiapan jalan
</t>
    </r>
    <r>
      <rPr>
        <b/>
        <sz val="10"/>
        <color rgb="FFFF0000"/>
        <rFont val="Arial"/>
        <family val="2"/>
      </rPr>
      <t>01.53 onreel speed 1050 mpm</t>
    </r>
    <r>
      <rPr>
        <b/>
        <sz val="10"/>
        <color indexed="8"/>
        <rFont val="Arial"/>
        <family val="2"/>
      </rPr>
      <t xml:space="preserve">
</t>
    </r>
    <r>
      <rPr>
        <b/>
        <sz val="10"/>
        <color rgb="FFFF0000"/>
        <rFont val="Arial"/>
        <family val="2"/>
      </rPr>
      <t>02.11 jr turun hole bag center masih ada
Pm stop, cleaning felt &amp; wire pakai caustic soda</t>
    </r>
    <r>
      <rPr>
        <b/>
        <sz val="10"/>
        <color indexed="8"/>
        <rFont val="Arial"/>
        <family val="2"/>
      </rPr>
      <t xml:space="preserve">
Cek forming roll,floading shower wire &amp; hpp wire
</t>
    </r>
    <r>
      <rPr>
        <b/>
        <sz val="10"/>
        <color rgb="FFFF0000"/>
        <rFont val="Arial"/>
        <family val="2"/>
      </rPr>
      <t>03.44 pm persiapan jalan</t>
    </r>
    <r>
      <rPr>
        <b/>
        <sz val="10"/>
        <color indexed="8"/>
        <rFont val="Arial"/>
        <family val="2"/>
      </rPr>
      <t xml:space="preserve">
04.02 jr turun status acc
Speed up bertahap 1200 mpm</t>
    </r>
  </si>
  <si>
    <t>F 11,5</t>
  </si>
  <si>
    <t>1100/836</t>
  </si>
  <si>
    <t>1146,33/871,213</t>
  </si>
  <si>
    <t>1174,08/880,561</t>
  </si>
  <si>
    <t>1151,44/871,22</t>
  </si>
  <si>
    <t>- Change Blade (4x)</t>
  </si>
  <si>
    <t>- Change Blade (2x)</t>
  </si>
  <si>
    <t>15:54 pm stop vaccum trip info EID 
16:01 vaccum nyala sambil dipantau EID 
16:08 pm start up 
- stock on kertas susah sambung buburan consistensi encer ( indikasi valve dilution tidak tertutup sempurna saat stop/ bukaan nyantol )
- kalibrasi valve dilution 
- speed 800
- sementara mix dari broke dump biar consistensi naik 
17:04 consistensi mulai naik kertas bisa sambung
17:19 pm on reel
- speed up secara bertahap
17:27 speed up 1020
17:32 speed up 1070
17:46 speed up 1150
18:29 speed up 1190 
18:54 speed up 1220
19:27 speed up 1230</t>
  </si>
  <si>
    <t>1230/934,8</t>
  </si>
  <si>
    <t>1127,66/857,02</t>
  </si>
  <si>
    <t>1230/929,68</t>
  </si>
  <si>
    <t>+1197,44/908,3</t>
  </si>
  <si>
    <t>Toilet/Facial</t>
  </si>
  <si>
    <t>14/13</t>
  </si>
  <si>
    <t>13/11,5</t>
  </si>
  <si>
    <t>Toilet</t>
  </si>
  <si>
    <t>- Change Blade (6x)</t>
  </si>
  <si>
    <t>- Change Spool (26x)</t>
  </si>
  <si>
    <t>133*2</t>
  </si>
  <si>
    <t>- # seset BW hunting : 600 kg ( valve dilution eror )</t>
  </si>
  <si>
    <t>T 14 VP OW</t>
  </si>
  <si>
    <t>- Awal shift pm stop, tunggu power sinergy</t>
  </si>
  <si>
    <t>- 00.16 pm trip, vaccum overload</t>
  </si>
  <si>
    <t>- Pm stop, cleaning felt &amp; wire pakai caustic soda</t>
  </si>
  <si>
    <t xml:space="preserve">- 15:54 pm stop vaccum trip info EID </t>
  </si>
  <si>
    <t>F 11,5 VP OW</t>
  </si>
  <si>
    <t>speed real</t>
  </si>
  <si>
    <t>speed target</t>
  </si>
  <si>
    <t>- seset hole blade : 560 kg ( burner hud mati )</t>
  </si>
  <si>
    <t>- seset BW hunting : 600 kg ( valve dilution eror )</t>
  </si>
  <si>
    <t>- valve dilution tidak tertutup sempurna saat stop</t>
  </si>
  <si>
    <t>- Awal Shift PM Produksi F12 CVT lokal
Speed 1230mpm/-24%</t>
  </si>
  <si>
    <t>- Awal Shift PM Produksi F 11,5
speed actual 1230/24%</t>
  </si>
  <si>
    <t>22:18 change grade F 12 OFF REEL speed 1230/24%</t>
  </si>
  <si>
    <t xml:space="preserve">- Awal Shift PM Produksi F11,5
Speed 1230mpm/-24% </t>
  </si>
  <si>
    <t>11,5/12</t>
  </si>
  <si>
    <t>- Sheet Breaks (10x)</t>
  </si>
  <si>
    <t>- Change Spool (27x)</t>
  </si>
  <si>
    <t>- Awal Shift PM Produksi F 12 ( off reel )
speed actual 1230/24%</t>
  </si>
  <si>
    <t>- 22:30 kertas sering putus bagian DS 
- seting temperatur hood</t>
  </si>
  <si>
    <t xml:space="preserve">- Awal Shift PM Produksi F12
Speed 1230mpm/-24% </t>
  </si>
  <si>
    <t>- Awal Shift PM Produksi  F12 CVT lokal
Speed 1230mpm/-24%</t>
  </si>
  <si>
    <t>- 23:00 kertas putus-putus dan soping bagian Ds
- setting temperatur hood
- ganti blade no.2
23:10 kertas mulai membaik dan pm lancar</t>
  </si>
  <si>
    <t>- Sheet Breaks (6X)</t>
  </si>
  <si>
    <t xml:space="preserve">- Awal Shift PM Produksi  F12
Speed 1230mpm/-24% </t>
  </si>
  <si>
    <t xml:space="preserve">Awal shift Load unload refiner sering nyangkut cek eid
Dilution konsistensi dump chest erro, di dcs nutup di lapangan buka  buburan encer cek eid 
8:32 load refiner dan dilution konsistensi Ok </t>
  </si>
  <si>
    <t>- Awal Shift PM Produksi  F 12 offrell
Speed 1230 mpm/24%</t>
  </si>
  <si>
    <t>- 21.32 stop popereel seset jr marking</t>
  </si>
  <si>
    <t>04:00 amisoft on 2kg/130 ml/mnt
04:27 Change grade F12,5
           Speed 1220mpm/-24%
04:29 ganti blade muncul marking bagian Center
- setting temperatur hood
- Setting flow coating release
- speed down 1200mpm
05:33 kertas mulai membaik , Speed up 1220mpm</t>
  </si>
  <si>
    <t>F 12,5</t>
  </si>
  <si>
    <t>1224,15/930,35</t>
  </si>
  <si>
    <t>1228,05/933,32</t>
  </si>
  <si>
    <t>12/12,5</t>
  </si>
  <si>
    <t>- Sheet Breaks (9X)</t>
  </si>
  <si>
    <t>120*2+18</t>
  </si>
  <si>
    <t>F 12,5 VP OW</t>
  </si>
  <si>
    <t>18.10 osilasi hpp felt wire tidak jalan info eid
20.30 ganti osilasi hpp selesai</t>
  </si>
  <si>
    <t>- Awal Shift PM Produksi  F14 CVT lokal
Speed 1180mpm/-24%</t>
  </si>
  <si>
    <t>00:21 amisoft on 2kg
00:47 Change grade T13
           Speed 1200mpm/-23%
03:17 kertas lembab dan kasar bagian Center.
- siram felt bag C dg soda encer.
- setting temp hood dan setting add on coating release
- speed down sampai 1150 mpm
- Setting temperatur hood
04:00 kertas mulai membaik</t>
  </si>
  <si>
    <t>T 13</t>
  </si>
  <si>
    <t>Facial/Toilet</t>
  </si>
  <si>
    <t>12,5/14/13</t>
  </si>
  <si>
    <t>- Awal Shift PM Produksi F12,5 finesse
Speed 1220/-24%</t>
  </si>
  <si>
    <t>07.55 kertas mbrosot, turun speed 1200mpm
08.22 kertas ok
12.00 change F14 speed 1180/-28% off reel (spek khusus) , amisoft off</t>
  </si>
  <si>
    <t>1172,31/900,05</t>
  </si>
  <si>
    <t>1211,25/902,85</t>
  </si>
  <si>
    <t>1187,85/921,53</t>
  </si>
  <si>
    <t>- Change Spool (11x)</t>
  </si>
  <si>
    <t>- Change Spool (30x)</t>
  </si>
  <si>
    <t>132*2</t>
  </si>
  <si>
    <t>T 13 VP OW</t>
  </si>
  <si>
    <t>- Awal Shift PM Produksi   F 14 offrell
Speed 1180 mpm/28.5%</t>
  </si>
  <si>
    <t>1180/843,7</t>
  </si>
  <si>
    <t>- Awal Shift PM Produksi T12,5 Purchasing
Speed aktual 1180mpm/-23%
Speed target 1230mpm/-23%
Lost Speed 50mpm(4%)</t>
  </si>
  <si>
    <t>- Awal Shift PM Produksi  T12,5
Speed 1230 mpm/23%
Speed actual 1180mpm/23%</t>
  </si>
  <si>
    <t>20.00 tail cutter mampet, tisu sirkulasi utm
20.05 tail cutter oke
- tisu lembab bag center</t>
  </si>
  <si>
    <t>- Awal Shift PM Produksi   T13/T12,5
speed target 1230/23%
Speed actual 1200/23%</t>
  </si>
  <si>
    <t>- 07:46 change grade T 12,5</t>
  </si>
  <si>
    <t>T 12,5</t>
  </si>
  <si>
    <t>1180/908,6</t>
  </si>
  <si>
    <t>1200/936</t>
  </si>
  <si>
    <t>1200/912</t>
  </si>
  <si>
    <t>1193,33/918,87</t>
  </si>
  <si>
    <t>13/12,5</t>
  </si>
  <si>
    <t>- Change Blade (8x)</t>
  </si>
  <si>
    <t>- Sheet Breaks (9x)</t>
  </si>
  <si>
    <t>257*1</t>
  </si>
  <si>
    <t>T 12,5 VP OW</t>
  </si>
  <si>
    <t>251+</t>
  </si>
  <si>
    <t>149+335+230+190+</t>
  </si>
  <si>
    <t>100+</t>
  </si>
  <si>
    <t>129+</t>
  </si>
  <si>
    <t>100+235+176+</t>
  </si>
  <si>
    <t>305+170+</t>
  </si>
  <si>
    <t>600+</t>
  </si>
  <si>
    <t>130+200+</t>
  </si>
  <si>
    <t>70+</t>
  </si>
  <si>
    <t>202+841+</t>
  </si>
  <si>
    <t>466+</t>
  </si>
  <si>
    <t>82+230+</t>
  </si>
  <si>
    <t>280+</t>
  </si>
  <si>
    <t>196+70+</t>
  </si>
  <si>
    <t xml:space="preserve">- Awal Shift PM Produksi  T13
Speed 1230mpm/-22% </t>
  </si>
  <si>
    <t>- Seset pop reel 2x spool geser dan kertas nglokor, losstime 16menit</t>
  </si>
  <si>
    <t>11.28 hood dry padam 
11.50 hood dry sudah nyala</t>
  </si>
  <si>
    <t>- Awal Shift PM Produksi T13
Speed target 1230mpm/-21%
Speed aktual 1160mpm/-21%
Lost Speed 70mpm(5,6% jumbo bag C lembab)</t>
  </si>
  <si>
    <t>- Awal Shift PM Produksi T13
Speed target 1230mpm/-21%
Speed aktual 1180mpm/-21%
Lost Speed 50mpm(4%)</t>
  </si>
  <si>
    <t>- 18:27 kertas muncul marking 
- setting temp &amp; flow chemichal
- marking masih ada
- Speed down 1160mpm
18:47 marking hilang</t>
  </si>
  <si>
    <t>- Awal Shift PM Produksi T12,5
Speed 1230 mpm/23%
Speed actual 1180mpm/23%</t>
  </si>
  <si>
    <t>08.45 change grade T13 offrell speed 1180 mpm23%
10.15 hood wet padam 
10.40 hood wet sudah nyala</t>
  </si>
  <si>
    <t>1169,54/916,07</t>
  </si>
  <si>
    <t>1180/954,694</t>
  </si>
  <si>
    <t>1168,63/958,273</t>
  </si>
  <si>
    <t>1160/904,8</t>
  </si>
  <si>
    <t>- Awal Shift PM Produksi T13
Speed 1230 mpm/23%
Speed actual 1160mpm/18%</t>
  </si>
  <si>
    <t>1160/951,2</t>
  </si>
  <si>
    <t>1230/959,4</t>
  </si>
  <si>
    <t>1183,33/953,93</t>
  </si>
  <si>
    <t>12,5/13</t>
  </si>
  <si>
    <t>13</t>
  </si>
  <si>
    <t>- Change Spool (24x)</t>
  </si>
  <si>
    <t>EBKP ENCE</t>
  </si>
  <si>
    <t>256,5*1</t>
  </si>
  <si>
    <t xml:space="preserve">- 10.15 hood wet padam </t>
  </si>
  <si>
    <t xml:space="preserve">- 11.28 hood dry padam </t>
  </si>
  <si>
    <t>- 23:55 dry hood off cek Eid. Pm sirkulasi tunggu hood nyala
0:15 hood dry oke
0.20 kertas onreel
1:30 change grade T12,5</t>
  </si>
  <si>
    <t>- Seset pop reel 1x spol geser lostime 13 mnt 3%</t>
  </si>
  <si>
    <t>- Awal Shift PM Produksi T13
Speed 1230 mpm/22%
Speed actual 1170mpm/18%</t>
  </si>
  <si>
    <t>- Awal Shift PM Produksi T 13
speed target 1230
speed actual 1170/22%</t>
  </si>
  <si>
    <t>1170/959,4</t>
  </si>
  <si>
    <t>1170/912,6</t>
  </si>
  <si>
    <t>1230/950,944</t>
  </si>
  <si>
    <t>1190/940,98</t>
  </si>
  <si>
    <t>- Change Blade (7x)</t>
  </si>
  <si>
    <t>- 23:55 dry hood off cek Eid. Pm sirkulasi tunggu hood nyala</t>
  </si>
  <si>
    <t xml:space="preserve">- Awal shift pm stop 
Cleaning water tray luar dalam 
Cleaning silo tank
Cleaning reject tank
Drain dan cleaning couch pit
Cleaning area aproach 
Cleaning pulper 
Cleaning brooke dump
Putar yankee manual
Basahi felt </t>
  </si>
  <si>
    <t>- 15:00 awal shift pm stop
- proses drain ww tank, cw tank , broke dump , machine chest , dump chest , couchpit tank , silotank , reject tank
16:15  isi ww tank dan cw tank
17:00 cleaning rewinder A
18:32 proses flushing all dump , couchpit , utm , silo tank 
18:50 yankee stop
20:28 cleaning couchpit tank , krofta , machine chest
21:45 felt dan wire siram solar , dan kacer wire
22:35 proses bilas felt</t>
  </si>
  <si>
    <t>- Awal Shift PM Produksi T 12,5
speed target 1230
speed actual 1180/22%</t>
  </si>
  <si>
    <t>- 07:27 setelah change blade no 2 kertas tiba2 putus2 bagian DS dan Center 
- indikasi temperatur kertas terlalu panas 
- speed up 10 mpm + seting temperatur hud serta sirkulasinya 
07:33 kertas mulai aman jarang putus 
07:45 kertas kembali putus2 dan marking 
07:48 kertas mulai aman 
- pm mulai lancar 
09:55 pm stop buburan sudah habis, boil out 
- cleaning area pm 
- pulper isi air + soda buat boil out
10:15 start boil out 
13:30 boil out selsai 
- proses drain ww,cw,dump chest , machine chest</t>
  </si>
  <si>
    <t>Planned Shut</t>
  </si>
  <si>
    <t>- Awal Shift PM STOP</t>
  </si>
  <si>
    <t>- Change Spool (5x)</t>
  </si>
  <si>
    <t>12,5</t>
  </si>
  <si>
    <t xml:space="preserve">- 09:55 pm stop buburan sudah habis, boil out </t>
  </si>
  <si>
    <t>- bantu operator DCS pm 15
- tutup pm dengan terpal
- putar yankee 
- cleaning area rwd A</t>
  </si>
  <si>
    <t>15:00 awal shift pm stop
- cleaning area hdc dump chest
- draine dan cleaning utm
- cleaning area Ds pm dan area vacuum</t>
  </si>
  <si>
    <t>- cleaning spool dari lem
- cleaning area depan dan belakang popereel.
- basahi felt wire</t>
  </si>
  <si>
    <t>- putar yankee</t>
  </si>
  <si>
    <t>- cleaning spool</t>
  </si>
  <si>
    <t>- Awal Shift PM STOP, Schedule Lebaran</t>
  </si>
  <si>
    <t>Hadi Firmanto</t>
  </si>
  <si>
    <t>Agus Kurniawan</t>
  </si>
  <si>
    <t>256*1</t>
  </si>
  <si>
    <t>Erwin Rachmadi</t>
  </si>
  <si>
    <t>-  flushing pulper to silo
- basahi felt 1 jam sekali 
- bantu pasang core spool gulung slitting
- buka breastroll
- putar yankee manual</t>
  </si>
  <si>
    <t>- putar  yankee manual
. basahi felt 
. Pasang spool jumbo sliting</t>
  </si>
  <si>
    <t>- putar yankee manual 
- basahi felt n wire</t>
  </si>
  <si>
    <t>- putar yankee manual
- basahi felt &amp; wire
- cleaning area pm</t>
  </si>
  <si>
    <t>- putar yankee manual
- basahi felt &amp; wire
- flushing jalur bubur dan refiner Bruno/timur ada yg buntu sebelum inlet valve ( bongkar Valve inlet refiner Bruno = jalur sdh oke)
- cleaning UTM + flushing</t>
  </si>
  <si>
    <t xml:space="preserve"> - anjut cleaning headbox
- cleaning area utm &amp; flushing to broke dump
- basahi felt 1 jam sekali 
- putar yankee manual</t>
  </si>
  <si>
    <t>- cleaning area motor hood
- cleaning HE hood
- cleaning pipa + kabel try atas chemichal
- buka headbox sebelah DS + cleaning dalam head box
- basahi felt 1 jam sekali 
- putar yankee manual</t>
  </si>
  <si>
    <t>- Putar yankee
Bilas felt dgn air
Pasang wire bekas di wire + tutup terpal</t>
  </si>
  <si>
    <t>- putar yankee manual
- basahi felt &amp; wire 
- Flushing jalur bubur dr pulper sampai silo tank
- Flushing jalur Utm to broke dumb.</t>
  </si>
  <si>
    <t>- flushing pulper to silo
- buka tutup terpal pm
- basahi felt 1 jam sekali 
- bantu pasang core spool gulung slitting
- putar yankee manual</t>
  </si>
  <si>
    <t xml:space="preserve"> Cleanning area pm 
. Heating yankee
. Coba nyalakan hood sdh ok
.masak buburan 
.karcer wire
.cleaning coutpith</t>
  </si>
  <si>
    <t>- Tutup breast roll 
- Isi CW WW krofta &amp; silo 
- Seset jumbo reject utk di pulping
- cek&amp;tutup valve drain all chest
- gulung sliting pm 18
- cleaning area riwainder &amp; seset trim sisa sliting pulping di pm 15</t>
  </si>
  <si>
    <t>- Awal Shift PM Produksi T14
Speed 1000mpm/-24% (speed up bertahap, akhir shift speed 1100mpm)</t>
  </si>
  <si>
    <t>Marking</t>
  </si>
  <si>
    <t>70+150+343+</t>
  </si>
  <si>
    <t>343+</t>
  </si>
  <si>
    <t>80+</t>
  </si>
  <si>
    <t>600+313+</t>
  </si>
  <si>
    <t>53+</t>
  </si>
  <si>
    <t>- 03:54 hood dry mati ( info EID ) 
- tambor turun bagian tengah lembab ada hole 
03:59 hud nyala 
04:03 hud mati lagi 
04:07 hud nyala 
04:22 on reel  speed 1180
05:15 tambor trun kertas bagian tengah lembab 
- turun speed 1150</t>
  </si>
  <si>
    <t>seset gagal proses : 100 kg ( hud mati )
 seset kertas lembab : 230 kg ( hud mati )</t>
  </si>
  <si>
    <t>- Awal Shift PM Produksi T 14
speed : 1100/24%</t>
  </si>
  <si>
    <t xml:space="preserve">-  seset hood mati: 320 kg (eid) </t>
  </si>
  <si>
    <t>Awal shift kertas masih ada dirt
Setting bukaan riject vc
20.30 dirt minim, cek jumbo selanjutnya &amp; paskan turunan rewin
22:02 change grade T12,5 speed 1180 / 22%
22:20 burner hud dry mati ( info EID ) kertas sirkulasi , eid coba ganti sensor
* turun speed 1100 mpm
22:35 burner nyala 
22:40 kertas on reel 
22:42 burner hud dry mati lagi 
22:52 burner nyala 
22:55 kertas on reel speed up bertahap sampai 1180 mpm</t>
  </si>
  <si>
    <t>- seset kertas lembab hood trip : 200kg (eid)</t>
  </si>
  <si>
    <t>- Awal Shift PM Produksi  T 12,5
speed : 1150/22%</t>
  </si>
  <si>
    <t>1173,44/915,28</t>
  </si>
  <si>
    <t>1130,71/868,59</t>
  </si>
  <si>
    <t>- Change Blade (5x)</t>
  </si>
  <si>
    <t>14/12,5</t>
  </si>
  <si>
    <t>Total Loss Speed EID</t>
  </si>
  <si>
    <t>% Loss Speed EID</t>
  </si>
  <si>
    <t>Loss Speed EID</t>
  </si>
  <si>
    <t>1174,17/895,1</t>
  </si>
  <si>
    <t>1072,02/780,53</t>
  </si>
  <si>
    <t>- Seset hood mati</t>
  </si>
  <si>
    <t>- Hood Mati</t>
  </si>
  <si>
    <t>- Awal Shift PM Produksi T12,5Speed 1150mpm/-23%
Deckle 2,57cm</t>
  </si>
  <si>
    <t>08:34 Burner Hood dry mati kertas lembab , speed down 1000mpm, cek EID
09:06 Burner hood dry oke
09:09 Burner hood dry mati lagi, cek EID
09:20 Burner hood dry oke
11:20 Speed up perlahan sampai 1150mpm
#temp kertas bag c cenderung dingin</t>
  </si>
  <si>
    <t>- Awal Shift PM Produksi T12,5
Speed 1230mpm/-24% 
Speed aktual 1170/-23%</t>
  </si>
  <si>
    <t>- Awal Shift PM Produksi T12,5
Speed 1230mpm/-24% 
Speed aktual 1170/-24%</t>
  </si>
  <si>
    <t>1098,13/845,556</t>
  </si>
  <si>
    <t>1170/900,9</t>
  </si>
  <si>
    <t>1170/889,2</t>
  </si>
  <si>
    <t>1146,04/878,55</t>
  </si>
  <si>
    <t xml:space="preserve">- Awal Shift PM Produksi T13
Speed 1150mpm/-22% </t>
  </si>
  <si>
    <t>- Awal Shift PM Produksi T12,5
Speed target 1230mpm/-24%
Speed aktual 1150mpm/-24%
Lost Speed 80mpm(temp bagian tengah rendah)</t>
  </si>
  <si>
    <t>08:54 Change grade T13
           Speed 1160mpm/-22%
08:56 kertas sirkulasi utm, setting water trim cutter
09:06 kertas onreel</t>
  </si>
  <si>
    <t>Pm : spool pas turun core geser 2-4 mm</t>
  </si>
  <si>
    <t>Kertas bag c temp rendah, speed turun 10 mpm</t>
  </si>
  <si>
    <t>1150/897</t>
  </si>
  <si>
    <t>1157,63/897,49</t>
  </si>
  <si>
    <t>1152,54/897,16</t>
  </si>
  <si>
    <t xml:space="preserve">- Awal Shift PM Produksi  T13
Speed 1140mpm/-22% </t>
  </si>
  <si>
    <t>- Awal Shift PM Produksi T13 off rell
Speed 1140mpm/-22%</t>
  </si>
  <si>
    <t>- Awal Shift PM Produksi T13 (offreel)
Speed 1230mpm/22%
Speed actual 1140mpm 22%</t>
  </si>
  <si>
    <t>1140/889,2</t>
  </si>
  <si>
    <t>1140/890,2</t>
  </si>
  <si>
    <t>- Change Spool (23x)</t>
  </si>
  <si>
    <t>- Awal Shift PM Produksi T13 (offreel)
Speed 1230mpm/22%
Speed actual 1120mpm 22%</t>
  </si>
  <si>
    <t>- Awal Shift PM Produksi T 13
speed : 1120/22%</t>
  </si>
  <si>
    <t>- Awal Shift PM Produksi T13 Offreel
Speed Target 1230mpm/-22%
Speed aktual 1150mpm/-22%
Lost Speed 80mpm(kertas bagian center lembab)</t>
  </si>
  <si>
    <t>07:44 kertas gripis kecil2 bagian Ds
- setting temperatur hood 
- setting flow coating release
08:50 gripis hilang
11:36 gripis muncul lagi , kertas lembab , speed down 1140mpm
- gripis hilang
13:12 kertas putus-putus , kertas lembab , speed down 1120mpm
- Setting temperatur hood
- setting load Spr
- setting flow coating release
14:00 kertas mulai membaik dan lancar</t>
  </si>
  <si>
    <t>- Awal Shift PM Produksi T13 (offreel)
Speed 1230mpm/22%
Speed actual 1150mpm 22%</t>
  </si>
  <si>
    <t>- 06.00 gripis bagian ds</t>
  </si>
  <si>
    <t>1146,67/894,4</t>
  </si>
  <si>
    <t>1120/873,6</t>
  </si>
  <si>
    <t>1141,25/890,175</t>
  </si>
  <si>
    <t>1127,08/879,13</t>
  </si>
  <si>
    <t>Sinergy black out</t>
  </si>
  <si>
    <t>Vacuum trip</t>
  </si>
  <si>
    <t>Cleaning felt &amp; wire</t>
  </si>
  <si>
    <t>Burner hood mati</t>
  </si>
  <si>
    <t>Valve dilution error</t>
  </si>
  <si>
    <t>Seset BW hunting</t>
  </si>
  <si>
    <t>Hood padam</t>
  </si>
  <si>
    <t>Boil out</t>
  </si>
  <si>
    <t>Stop schedule lebaran</t>
  </si>
  <si>
    <t>- Awal Shift PM Produksi F11.5 fudak
Speed 1230mpm/-23%
Speed actual 1210mpm/-24%</t>
  </si>
  <si>
    <t>15:51 speed up 1220/24% 
15:43 kertas sering putus bagian DS ( indikasi ketas kepanasan )
- seting temperatur hud 
15:51 pm mulai lancar 
17:19 new blade no 2 kertas brosot 
17:27 turun speed 1210
17:30 kertas sambung
17:40 pm mulai lancar</t>
  </si>
  <si>
    <t>- Awal Shift PM Produksi T13 Offreel
Speed Target 1230mpm/-22%
Speed aktual 1120mpm/-22%
Lost Speed 110mpm(kertas bagian center lembab)</t>
  </si>
  <si>
    <t>12:02 amisoft on 2kg
            Wsr on
12:11 Change grade F11,5 speed 1180/-23%
13:18 Speed up 1200mpm.
Akhir shift speed 1210 mpm</t>
  </si>
  <si>
    <t>- Awal Shift PM Produksi  F 11,5
speed target : 1230
speed actual : 1210/23%</t>
  </si>
  <si>
    <t>1146,63/890,158</t>
  </si>
  <si>
    <t>1212/922,406</t>
  </si>
  <si>
    <t>1210/919,6</t>
  </si>
  <si>
    <t>Slitting</t>
  </si>
  <si>
    <t>249,5*1</t>
  </si>
  <si>
    <t xml:space="preserve">Awal shift pm persiapan jalan 
7:30 nyalakan hood 
7:52 hood on
8:00 pm start up
8:21 pm on reel Su T14, speed 1000/-24%
Su turun ada pin hole dan dirt, ganti blade kertas brosot 
9:15 pin hole dan drit mulai membaik 
11:41 pm naik speed perlahan 
13:30 pm speed 1180
13:50 kertas lembab pm turun speed 20mpm 
13:53 Dry hood trip, pm turun speed 1100mpm
14:10 Dry hood on </t>
  </si>
  <si>
    <t>- seset SU + reject PM : 3000kg (jumbo dirt awal jalan)</t>
  </si>
  <si>
    <t>- Efek Schedule Lebaran</t>
  </si>
  <si>
    <t>1189,54/910,72</t>
  </si>
  <si>
    <t>Efek schedule lebaran</t>
  </si>
  <si>
    <t xml:space="preserve">- Awal Shift PM Produksi  F11,5
Speed 1220mpm/-24% </t>
  </si>
  <si>
    <t xml:space="preserve">- Awal shift kertas gripis Fs dan ds, turunkan temperatur hood 
8:30 kertas oke </t>
  </si>
  <si>
    <t>- Awal Shift PM Produksi  F 11,5
speed target : 1230
speed actual : 1220/24%</t>
  </si>
  <si>
    <t>02.18 pm stop karet roll felt pecah (cek med)
- cek felt + cek wire
03.25 pm persiapan jalan
03.50 on reel</t>
  </si>
  <si>
    <t>- Change Blade (3x)</t>
  </si>
  <si>
    <t>- Awal Shift PM Produksi F11.5 fudak
Speed 1230mpm/-23%
Speed actual 1140mpm/-24%</t>
  </si>
  <si>
    <t>1179,18/896,17</t>
  </si>
  <si>
    <t>1220/927</t>
  </si>
  <si>
    <t>11,5</t>
  </si>
  <si>
    <t>- 02.18 pm stop karet roll felt pecah (cek med)</t>
  </si>
  <si>
    <t>Karet roll felt pecah</t>
  </si>
  <si>
    <t>3000+</t>
  </si>
  <si>
    <t>200+</t>
  </si>
  <si>
    <t>130+</t>
  </si>
  <si>
    <t>100+150+320+120+100</t>
  </si>
  <si>
    <t>230+</t>
  </si>
  <si>
    <t>253+</t>
  </si>
  <si>
    <t>508+</t>
  </si>
  <si>
    <t>253+188+</t>
  </si>
  <si>
    <t>227+</t>
  </si>
  <si>
    <t>85+</t>
  </si>
  <si>
    <t>197+100+</t>
  </si>
  <si>
    <t>834+</t>
  </si>
  <si>
    <t>166+200+</t>
  </si>
  <si>
    <t>219+191+</t>
  </si>
  <si>
    <t>244+</t>
  </si>
  <si>
    <t>301+</t>
  </si>
  <si>
    <t>169+169+</t>
  </si>
  <si>
    <t>259+279+</t>
  </si>
  <si>
    <t>267+267+</t>
  </si>
  <si>
    <t>270+</t>
  </si>
  <si>
    <t>60+</t>
  </si>
  <si>
    <t>113+167+165</t>
  </si>
  <si>
    <t>MARET</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</si>
</sst>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_);[Red]\(0\)"/>
    <numFmt numFmtId="178" formatCode="_(* #,##0.00_);_(* \(#,##0.00\);_(* &quot;-&quot;_);_(@_)"/>
    <numFmt numFmtId="179" formatCode="[$-409]mmm\-yy;@"/>
    <numFmt numFmtId="180" formatCode="_(* #,##0.000_);_(* \(#,##0.000\);_(* &quot;-&quot;_);_(@_)"/>
    <numFmt numFmtId="181" formatCode="_(* #,##0.0_);_(* \(#,##0.0\);_(* &quot;-&quot;_);_(@_)"/>
  </numFmts>
  <fonts count="6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12"/>
      <name val="Calibri"/>
      <family val="2"/>
      <scheme val="minor"/>
    </font>
    <font>
      <b/>
      <sz val="10"/>
      <color rgb="FFFF0000"/>
      <name val="Arial"/>
      <family val="2"/>
    </font>
  </fonts>
  <fills count="41">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39997558519241921"/>
        <bgColor indexed="64"/>
      </patternFill>
    </fill>
    <fill>
      <patternFill patternType="solid">
        <fgColor rgb="FFBC3441"/>
        <bgColor indexed="64"/>
      </patternFill>
    </fill>
    <fill>
      <patternFill patternType="solid">
        <fgColor rgb="FFC41FD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s>
  <borders count="8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
      <left style="medium">
        <color indexed="64"/>
      </left>
      <right style="medium">
        <color indexed="64"/>
      </right>
      <top/>
      <bottom/>
      <diagonal/>
    </border>
  </borders>
  <cellStyleXfs count="62">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0" fillId="3" borderId="0" applyNumberFormat="0" applyBorder="0" applyAlignment="0" applyProtection="0"/>
    <xf numFmtId="0" fontId="13" fillId="20" borderId="1" applyNumberFormat="0" applyAlignment="0" applyProtection="0"/>
    <xf numFmtId="0" fontId="18" fillId="21" borderId="2" applyNumberFormat="0" applyAlignment="0" applyProtection="0"/>
    <xf numFmtId="165" fontId="46" fillId="0" borderId="0" applyFont="0" applyFill="0" applyBorder="0" applyAlignment="0" applyProtection="0"/>
    <xf numFmtId="164" fontId="46" fillId="0" borderId="0" applyFont="0" applyFill="0" applyBorder="0" applyAlignment="0" applyProtection="0"/>
    <xf numFmtId="165" fontId="6" fillId="0" borderId="0" applyFont="0" applyFill="0" applyBorder="0" applyAlignment="0" applyProtection="0">
      <alignment vertical="center"/>
    </xf>
    <xf numFmtId="165" fontId="6" fillId="0" borderId="0" applyFont="0" applyFill="0" applyBorder="0" applyAlignment="0" applyProtection="0">
      <alignment vertical="center"/>
    </xf>
    <xf numFmtId="0" fontId="12" fillId="0" borderId="0" applyNumberFormat="0" applyFill="0" applyBorder="0" applyAlignment="0" applyProtection="0"/>
    <xf numFmtId="0" fontId="15" fillId="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9" fillId="0" borderId="6" applyNumberFormat="0" applyFill="0" applyAlignment="0" applyProtection="0"/>
    <xf numFmtId="0" fontId="4" fillId="22" borderId="0" applyNumberFormat="0" applyBorder="0" applyAlignment="0" applyProtection="0"/>
    <xf numFmtId="0" fontId="49" fillId="0" borderId="0"/>
    <xf numFmtId="0" fontId="49" fillId="0" borderId="0"/>
    <xf numFmtId="0" fontId="46" fillId="0" borderId="0"/>
    <xf numFmtId="0" fontId="46" fillId="0" borderId="0"/>
    <xf numFmtId="0" fontId="46" fillId="0" borderId="0"/>
    <xf numFmtId="0" fontId="46" fillId="0" borderId="0"/>
    <xf numFmtId="0" fontId="46" fillId="0" borderId="0"/>
    <xf numFmtId="0" fontId="46" fillId="23" borderId="7" applyNumberFormat="0" applyFont="0" applyAlignment="0" applyProtection="0"/>
    <xf numFmtId="0" fontId="14" fillId="20" borderId="8" applyNumberFormat="0" applyAlignment="0" applyProtection="0"/>
    <xf numFmtId="9" fontId="46" fillId="0" borderId="0" applyFont="0" applyFill="0" applyBorder="0" applyAlignment="0" applyProtection="0"/>
    <xf numFmtId="9" fontId="50" fillId="0" borderId="0" applyFont="0" applyFill="0" applyBorder="0" applyAlignment="0" applyProtection="0">
      <alignment vertical="center"/>
    </xf>
    <xf numFmtId="0" fontId="7" fillId="0" borderId="0" applyNumberFormat="0" applyFill="0" applyBorder="0" applyAlignment="0" applyProtection="0"/>
    <xf numFmtId="0" fontId="5" fillId="0" borderId="9" applyNumberFormat="0" applyFill="0" applyAlignment="0" applyProtection="0"/>
    <xf numFmtId="0" fontId="8" fillId="0" borderId="0" applyNumberFormat="0" applyFill="0" applyBorder="0" applyAlignment="0" applyProtection="0"/>
    <xf numFmtId="0" fontId="46" fillId="0" borderId="0"/>
    <xf numFmtId="0" fontId="46" fillId="0" borderId="0"/>
    <xf numFmtId="0" fontId="3" fillId="0" borderId="0"/>
    <xf numFmtId="165" fontId="3" fillId="0" borderId="0" applyFont="0" applyFill="0" applyBorder="0" applyAlignment="0" applyProtection="0"/>
    <xf numFmtId="9" fontId="3" fillId="0" borderId="0" applyFont="0" applyFill="0" applyBorder="0" applyAlignment="0" applyProtection="0"/>
    <xf numFmtId="164" fontId="2" fillId="0" borderId="0" applyFont="0" applyFill="0" applyBorder="0" applyAlignment="0" applyProtection="0"/>
    <xf numFmtId="0" fontId="46" fillId="0" borderId="0"/>
  </cellStyleXfs>
  <cellXfs count="779">
    <xf numFmtId="0" fontId="0" fillId="0" borderId="0" xfId="0"/>
    <xf numFmtId="0" fontId="0" fillId="0" borderId="0" xfId="0" applyAlignment="1">
      <alignment horizontal="center"/>
    </xf>
    <xf numFmtId="0" fontId="29" fillId="0" borderId="11" xfId="0" applyFont="1" applyBorder="1" applyAlignment="1">
      <alignment horizontal="center" vertical="center" wrapText="1"/>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9" fillId="0" borderId="16" xfId="0" applyFont="1" applyBorder="1" applyAlignment="1">
      <alignment horizontal="center" vertical="center" wrapText="1"/>
    </xf>
    <xf numFmtId="165" fontId="0" fillId="0" borderId="11" xfId="28" applyFont="1" applyBorder="1"/>
    <xf numFmtId="0" fontId="29" fillId="0" borderId="18" xfId="0" applyFont="1" applyBorder="1"/>
    <xf numFmtId="165" fontId="29"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9" fillId="0" borderId="11" xfId="0" applyNumberFormat="1" applyFont="1" applyBorder="1"/>
    <xf numFmtId="165" fontId="29" fillId="0" borderId="18" xfId="28" applyFont="1" applyFill="1" applyBorder="1"/>
    <xf numFmtId="0" fontId="29" fillId="0" borderId="0" xfId="0" applyFont="1"/>
    <xf numFmtId="0" fontId="29" fillId="0" borderId="18" xfId="28" applyNumberFormat="1" applyFont="1" applyBorder="1"/>
    <xf numFmtId="0" fontId="42" fillId="0" borderId="0" xfId="0" applyFont="1"/>
    <xf numFmtId="0" fontId="43" fillId="0" borderId="0" xfId="0" applyFont="1" applyAlignment="1">
      <alignment horizontal="center" vertical="center" wrapText="1"/>
    </xf>
    <xf numFmtId="164" fontId="43" fillId="0" borderId="0" xfId="29" applyFont="1" applyFill="1" applyBorder="1" applyAlignment="1">
      <alignment horizontal="center" vertical="center" wrapText="1"/>
    </xf>
    <xf numFmtId="177" fontId="43" fillId="0" borderId="0" xfId="0" applyNumberFormat="1" applyFont="1" applyAlignment="1">
      <alignment horizontal="center" vertical="center" wrapText="1"/>
    </xf>
    <xf numFmtId="178" fontId="43" fillId="0" borderId="0" xfId="29" applyNumberFormat="1" applyFont="1" applyFill="1" applyBorder="1" applyAlignment="1">
      <alignment horizontal="center" vertical="center" wrapText="1"/>
    </xf>
    <xf numFmtId="166" fontId="43" fillId="0" borderId="0" xfId="50" applyNumberFormat="1" applyFont="1" applyFill="1" applyBorder="1" applyAlignment="1">
      <alignment horizontal="center" vertical="center" wrapText="1"/>
    </xf>
    <xf numFmtId="0" fontId="44" fillId="0" borderId="0" xfId="0" applyFont="1"/>
    <xf numFmtId="178" fontId="43" fillId="0" borderId="11" xfId="29" applyNumberFormat="1" applyFont="1" applyFill="1" applyBorder="1" applyAlignment="1">
      <alignment horizontal="center"/>
    </xf>
    <xf numFmtId="0" fontId="43" fillId="0" borderId="0" xfId="0" applyFont="1"/>
    <xf numFmtId="0" fontId="44" fillId="25" borderId="14" xfId="0" applyFont="1" applyFill="1" applyBorder="1" applyAlignment="1">
      <alignment horizontal="center" vertical="center" wrapText="1"/>
    </xf>
    <xf numFmtId="177" fontId="44" fillId="0" borderId="14" xfId="0" applyNumberFormat="1" applyFont="1" applyBorder="1" applyAlignment="1">
      <alignment horizontal="center" vertical="center" wrapText="1"/>
    </xf>
    <xf numFmtId="0" fontId="44" fillId="0" borderId="0" xfId="0" applyFont="1" applyAlignment="1">
      <alignment horizontal="center" vertical="center" wrapText="1"/>
    </xf>
    <xf numFmtId="0" fontId="43" fillId="0" borderId="11" xfId="0" applyFont="1" applyBorder="1"/>
    <xf numFmtId="164" fontId="43" fillId="0" borderId="11" xfId="29" applyFont="1" applyFill="1" applyBorder="1" applyAlignment="1">
      <alignment vertical="center"/>
    </xf>
    <xf numFmtId="177" fontId="43" fillId="0" borderId="11" xfId="0" applyNumberFormat="1" applyFont="1" applyBorder="1"/>
    <xf numFmtId="164" fontId="43" fillId="0" borderId="11" xfId="29" applyFont="1" applyFill="1" applyBorder="1" applyAlignment="1">
      <alignment horizontal="center"/>
    </xf>
    <xf numFmtId="178" fontId="43" fillId="0" borderId="11" xfId="29" applyNumberFormat="1" applyFont="1" applyFill="1" applyBorder="1" applyAlignment="1">
      <alignment vertical="center"/>
    </xf>
    <xf numFmtId="166" fontId="43" fillId="0" borderId="11" xfId="50" applyNumberFormat="1" applyFont="1" applyFill="1" applyBorder="1" applyAlignment="1">
      <alignment vertical="center"/>
    </xf>
    <xf numFmtId="0" fontId="43" fillId="0" borderId="11" xfId="0" applyFont="1" applyBorder="1" applyAlignment="1">
      <alignment wrapText="1"/>
    </xf>
    <xf numFmtId="173" fontId="40" fillId="0" borderId="11" xfId="44" applyNumberFormat="1" applyFont="1" applyBorder="1" applyAlignment="1">
      <alignment horizontal="center"/>
    </xf>
    <xf numFmtId="0" fontId="40" fillId="0" borderId="11" xfId="44" applyFont="1" applyBorder="1" applyAlignment="1">
      <alignment horizontal="center"/>
    </xf>
    <xf numFmtId="0" fontId="40" fillId="0" borderId="11" xfId="31" applyNumberFormat="1" applyFont="1" applyFill="1" applyBorder="1" applyAlignment="1">
      <alignment horizontal="center"/>
    </xf>
    <xf numFmtId="0" fontId="43" fillId="0" borderId="11" xfId="0" applyFont="1" applyBorder="1" applyAlignment="1">
      <alignment horizontal="center" vertical="center" wrapText="1"/>
    </xf>
    <xf numFmtId="9" fontId="43" fillId="0" borderId="11" xfId="0" applyNumberFormat="1" applyFont="1" applyBorder="1" applyAlignment="1">
      <alignment horizontal="center" vertical="center" wrapText="1"/>
    </xf>
    <xf numFmtId="9" fontId="43" fillId="0" borderId="11" xfId="29" applyNumberFormat="1" applyFont="1" applyFill="1" applyBorder="1" applyAlignment="1">
      <alignment vertical="center"/>
    </xf>
    <xf numFmtId="9" fontId="43" fillId="0" borderId="11" xfId="50" applyFont="1" applyFill="1" applyBorder="1" applyAlignment="1">
      <alignment vertical="center"/>
    </xf>
    <xf numFmtId="164" fontId="40" fillId="0" borderId="11" xfId="29" applyFont="1" applyFill="1" applyBorder="1" applyAlignment="1">
      <alignment horizontal="center"/>
    </xf>
    <xf numFmtId="178" fontId="40" fillId="0" borderId="11" xfId="29" applyNumberFormat="1" applyFont="1" applyFill="1" applyBorder="1" applyAlignment="1">
      <alignment horizontal="center"/>
    </xf>
    <xf numFmtId="178" fontId="43" fillId="0" borderId="11" xfId="29" applyNumberFormat="1" applyFont="1" applyBorder="1" applyAlignment="1">
      <alignment vertical="center"/>
    </xf>
    <xf numFmtId="2" fontId="43" fillId="0" borderId="11" xfId="0" applyNumberFormat="1" applyFont="1" applyBorder="1"/>
    <xf numFmtId="2" fontId="40" fillId="0" borderId="11" xfId="46" applyNumberFormat="1" applyFont="1" applyBorder="1"/>
    <xf numFmtId="178" fontId="44" fillId="0" borderId="11" xfId="29" applyNumberFormat="1" applyFont="1" applyFill="1" applyBorder="1" applyAlignment="1">
      <alignment vertical="center"/>
    </xf>
    <xf numFmtId="178" fontId="43" fillId="0" borderId="0" xfId="29" applyNumberFormat="1" applyFont="1" applyFill="1" applyBorder="1" applyAlignment="1">
      <alignment vertical="center"/>
    </xf>
    <xf numFmtId="0" fontId="43" fillId="0" borderId="0" xfId="0" applyFont="1" applyAlignment="1">
      <alignment horizontal="center"/>
    </xf>
    <xf numFmtId="177" fontId="43" fillId="0" borderId="0" xfId="0" applyNumberFormat="1" applyFont="1"/>
    <xf numFmtId="173" fontId="40" fillId="0" borderId="11" xfId="43" applyNumberFormat="1" applyFont="1" applyBorder="1" applyAlignment="1">
      <alignment horizontal="center"/>
    </xf>
    <xf numFmtId="0" fontId="40" fillId="0" borderId="11" xfId="43" applyFont="1" applyBorder="1" applyAlignment="1">
      <alignment horizontal="center"/>
    </xf>
    <xf numFmtId="0" fontId="40" fillId="0" borderId="11" xfId="30" applyNumberFormat="1" applyFont="1" applyFill="1" applyBorder="1" applyAlignment="1">
      <alignment horizontal="center"/>
    </xf>
    <xf numFmtId="164" fontId="44" fillId="0" borderId="11" xfId="29" applyFont="1" applyFill="1" applyBorder="1" applyAlignment="1">
      <alignment vertical="center"/>
    </xf>
    <xf numFmtId="9" fontId="44" fillId="25" borderId="11" xfId="29" applyNumberFormat="1" applyFont="1" applyFill="1" applyBorder="1" applyAlignment="1">
      <alignment vertical="center"/>
    </xf>
    <xf numFmtId="178" fontId="44" fillId="25" borderId="11" xfId="29" applyNumberFormat="1" applyFont="1" applyFill="1" applyBorder="1" applyAlignment="1">
      <alignment vertical="center"/>
    </xf>
    <xf numFmtId="177" fontId="44" fillId="0" borderId="11" xfId="0" applyNumberFormat="1" applyFont="1" applyBorder="1"/>
    <xf numFmtId="0" fontId="44" fillId="0" borderId="11" xfId="0" applyFont="1" applyBorder="1"/>
    <xf numFmtId="164" fontId="44" fillId="25" borderId="11" xfId="29" applyFont="1" applyFill="1" applyBorder="1" applyAlignment="1">
      <alignment horizontal="center"/>
    </xf>
    <xf numFmtId="0" fontId="43" fillId="0" borderId="11" xfId="47" applyFont="1" applyBorder="1"/>
    <xf numFmtId="10" fontId="44" fillId="25" borderId="11" xfId="50" applyNumberFormat="1" applyFont="1" applyFill="1" applyBorder="1" applyAlignment="1">
      <alignment vertical="center"/>
    </xf>
    <xf numFmtId="166" fontId="44" fillId="25" borderId="11" xfId="50" applyNumberFormat="1" applyFont="1" applyFill="1" applyBorder="1" applyAlignment="1">
      <alignment vertical="center"/>
    </xf>
    <xf numFmtId="165" fontId="44" fillId="0" borderId="11" xfId="0" applyNumberFormat="1" applyFont="1" applyBorder="1" applyAlignment="1">
      <alignment horizontal="right"/>
    </xf>
    <xf numFmtId="173" fontId="40" fillId="0" borderId="0" xfId="43" applyNumberFormat="1" applyFont="1" applyAlignment="1">
      <alignment horizontal="center"/>
    </xf>
    <xf numFmtId="0" fontId="40" fillId="0" borderId="0" xfId="43" applyFont="1" applyAlignment="1">
      <alignment horizontal="center"/>
    </xf>
    <xf numFmtId="0" fontId="40" fillId="0" borderId="0" xfId="30" applyNumberFormat="1" applyFont="1" applyFill="1" applyBorder="1" applyAlignment="1">
      <alignment horizontal="center"/>
    </xf>
    <xf numFmtId="164" fontId="43" fillId="0" borderId="0" xfId="29" applyFont="1" applyFill="1" applyBorder="1" applyAlignment="1">
      <alignment vertical="center"/>
    </xf>
    <xf numFmtId="164" fontId="43" fillId="0" borderId="0" xfId="29" applyFont="1" applyFill="1" applyBorder="1" applyAlignment="1">
      <alignment horizontal="center"/>
    </xf>
    <xf numFmtId="178" fontId="43" fillId="0" borderId="0" xfId="29" applyNumberFormat="1" applyFont="1" applyFill="1" applyBorder="1" applyAlignment="1">
      <alignment horizontal="center"/>
    </xf>
    <xf numFmtId="165" fontId="44" fillId="0" borderId="0" xfId="0" applyNumberFormat="1" applyFont="1" applyAlignment="1">
      <alignment horizontal="right"/>
    </xf>
    <xf numFmtId="178" fontId="44" fillId="0" borderId="0" xfId="29" applyNumberFormat="1" applyFont="1" applyFill="1" applyBorder="1" applyAlignment="1">
      <alignment horizontal="right"/>
    </xf>
    <xf numFmtId="166" fontId="44" fillId="0" borderId="0" xfId="50" applyNumberFormat="1" applyFont="1" applyFill="1" applyBorder="1" applyAlignment="1">
      <alignment vertical="center"/>
    </xf>
    <xf numFmtId="0" fontId="43" fillId="0" borderId="0" xfId="0" applyFont="1" applyAlignment="1">
      <alignment wrapText="1"/>
    </xf>
    <xf numFmtId="0" fontId="44" fillId="0" borderId="0" xfId="50" applyNumberFormat="1" applyFont="1" applyFill="1" applyBorder="1" applyAlignment="1">
      <alignment vertical="center"/>
    </xf>
    <xf numFmtId="165" fontId="43" fillId="0" borderId="0" xfId="29" applyNumberFormat="1" applyFont="1" applyFill="1" applyBorder="1" applyAlignment="1">
      <alignment horizontal="center" vertical="center" wrapText="1"/>
    </xf>
    <xf numFmtId="165" fontId="44" fillId="0" borderId="14" xfId="0" applyNumberFormat="1" applyFont="1" applyBorder="1" applyAlignment="1">
      <alignment horizontal="center" vertical="center" wrapText="1"/>
    </xf>
    <xf numFmtId="165" fontId="43" fillId="0" borderId="11" xfId="29" applyNumberFormat="1" applyFont="1" applyFill="1" applyBorder="1" applyAlignment="1">
      <alignment vertical="center"/>
    </xf>
    <xf numFmtId="165" fontId="43" fillId="0" borderId="0" xfId="0" applyNumberFormat="1" applyFont="1"/>
    <xf numFmtId="165" fontId="44" fillId="25" borderId="11" xfId="29" applyNumberFormat="1" applyFont="1" applyFill="1" applyBorder="1" applyAlignment="1">
      <alignment vertical="center"/>
    </xf>
    <xf numFmtId="165" fontId="44" fillId="0" borderId="11" xfId="29" applyNumberFormat="1" applyFont="1" applyFill="1" applyBorder="1" applyAlignment="1">
      <alignment vertical="center"/>
    </xf>
    <xf numFmtId="165" fontId="43"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3" fillId="0" borderId="0" xfId="0" applyNumberFormat="1" applyFont="1"/>
    <xf numFmtId="15" fontId="44"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8" fillId="24" borderId="32" xfId="28" applyFont="1" applyFill="1" applyBorder="1" applyAlignment="1" applyProtection="1">
      <alignment horizontal="center" vertical="center"/>
    </xf>
    <xf numFmtId="165" fontId="28" fillId="24" borderId="33" xfId="28" applyFont="1" applyFill="1" applyBorder="1" applyAlignment="1" applyProtection="1">
      <alignment horizontal="center" vertical="center"/>
    </xf>
    <xf numFmtId="165" fontId="28" fillId="24" borderId="34" xfId="28" applyFont="1" applyFill="1" applyBorder="1" applyAlignment="1" applyProtection="1">
      <alignment horizontal="center" vertical="center"/>
    </xf>
    <xf numFmtId="165" fontId="28" fillId="24" borderId="35" xfId="28" applyFont="1" applyFill="1" applyBorder="1" applyAlignment="1" applyProtection="1">
      <alignment horizontal="center" vertical="center"/>
    </xf>
    <xf numFmtId="166" fontId="28" fillId="24" borderId="36" xfId="50" applyNumberFormat="1" applyFont="1" applyFill="1" applyBorder="1" applyAlignment="1" applyProtection="1">
      <alignment horizontal="center" vertical="center"/>
    </xf>
    <xf numFmtId="166" fontId="28" fillId="24" borderId="29" xfId="50" applyNumberFormat="1" applyFont="1" applyFill="1" applyBorder="1" applyAlignment="1" applyProtection="1">
      <alignment horizontal="center" vertical="center"/>
    </xf>
    <xf numFmtId="166" fontId="28" fillId="24" borderId="37" xfId="50" applyNumberFormat="1" applyFont="1" applyFill="1" applyBorder="1" applyAlignment="1" applyProtection="1">
      <alignment horizontal="center" vertical="center"/>
    </xf>
    <xf numFmtId="165" fontId="28" fillId="24" borderId="38" xfId="28" applyFont="1" applyFill="1" applyBorder="1" applyAlignment="1" applyProtection="1">
      <alignment horizontal="center" vertical="center"/>
    </xf>
    <xf numFmtId="165" fontId="28" fillId="24" borderId="38" xfId="28" applyFont="1" applyFill="1" applyBorder="1" applyAlignment="1" applyProtection="1">
      <alignment horizontal="center"/>
    </xf>
    <xf numFmtId="165" fontId="28" fillId="24" borderId="39" xfId="28" applyFont="1" applyFill="1" applyBorder="1" applyAlignment="1" applyProtection="1">
      <alignment horizontal="center"/>
    </xf>
    <xf numFmtId="166" fontId="28" fillId="24" borderId="40" xfId="50" applyNumberFormat="1" applyFont="1" applyFill="1" applyBorder="1" applyAlignment="1" applyProtection="1">
      <alignment horizontal="center" vertical="center"/>
    </xf>
    <xf numFmtId="165" fontId="24" fillId="24" borderId="0" xfId="28" applyFont="1" applyFill="1" applyProtection="1"/>
    <xf numFmtId="165" fontId="28" fillId="24" borderId="15" xfId="28" applyFont="1" applyFill="1" applyBorder="1" applyAlignment="1" applyProtection="1">
      <alignment horizontal="center" vertical="center"/>
    </xf>
    <xf numFmtId="165" fontId="28" fillId="24" borderId="41" xfId="28" applyFont="1" applyFill="1" applyBorder="1" applyAlignment="1" applyProtection="1">
      <alignment horizontal="center" vertical="center"/>
    </xf>
    <xf numFmtId="166" fontId="28" fillId="24" borderId="35" xfId="50" applyNumberFormat="1" applyFont="1" applyFill="1" applyBorder="1" applyAlignment="1" applyProtection="1">
      <alignment horizontal="center" vertical="center"/>
    </xf>
    <xf numFmtId="166" fontId="28" fillId="24" borderId="15" xfId="50" applyNumberFormat="1" applyFont="1" applyFill="1" applyBorder="1" applyAlignment="1" applyProtection="1">
      <alignment horizontal="center" vertical="center"/>
    </xf>
    <xf numFmtId="166" fontId="28" fillId="24" borderId="34" xfId="50" applyNumberFormat="1" applyFont="1" applyFill="1" applyBorder="1" applyAlignment="1" applyProtection="1">
      <alignment horizontal="center" vertical="center"/>
    </xf>
    <xf numFmtId="165" fontId="28" fillId="24" borderId="35" xfId="28" applyFont="1" applyFill="1" applyBorder="1" applyAlignment="1" applyProtection="1">
      <alignment horizontal="center"/>
    </xf>
    <xf numFmtId="165" fontId="28" fillId="24" borderId="42" xfId="28" applyFont="1" applyFill="1" applyBorder="1" applyAlignment="1" applyProtection="1">
      <alignment horizontal="center"/>
    </xf>
    <xf numFmtId="165" fontId="28" fillId="24" borderId="11" xfId="28" applyFont="1" applyFill="1" applyBorder="1" applyAlignment="1" applyProtection="1">
      <alignment horizontal="center"/>
    </xf>
    <xf numFmtId="165" fontId="28" fillId="24" borderId="43" xfId="28" applyFont="1" applyFill="1" applyBorder="1" applyAlignment="1" applyProtection="1">
      <alignment horizontal="center"/>
    </xf>
    <xf numFmtId="165" fontId="28" fillId="24" borderId="37" xfId="28" applyFont="1" applyFill="1" applyBorder="1" applyAlignment="1" applyProtection="1">
      <alignment horizontal="center"/>
    </xf>
    <xf numFmtId="0" fontId="28" fillId="24" borderId="44" xfId="0" applyFont="1" applyFill="1" applyBorder="1" applyAlignment="1">
      <alignment horizontal="left"/>
    </xf>
    <xf numFmtId="0" fontId="28" fillId="24" borderId="45" xfId="0" applyFont="1" applyFill="1" applyBorder="1" applyAlignment="1">
      <alignment horizontal="left"/>
    </xf>
    <xf numFmtId="0" fontId="28" fillId="24" borderId="46" xfId="0" applyFont="1" applyFill="1" applyBorder="1" applyAlignment="1">
      <alignment horizontal="left"/>
    </xf>
    <xf numFmtId="165" fontId="28" fillId="24" borderId="26" xfId="0" applyNumberFormat="1" applyFont="1" applyFill="1" applyBorder="1" applyAlignment="1">
      <alignment horizontal="left"/>
    </xf>
    <xf numFmtId="165" fontId="28" fillId="24" borderId="21" xfId="28" applyFont="1" applyFill="1" applyBorder="1" applyAlignment="1" applyProtection="1">
      <alignment horizontal="right" vertical="center"/>
    </xf>
    <xf numFmtId="0" fontId="28" fillId="24" borderId="47" xfId="0" applyFont="1" applyFill="1" applyBorder="1" applyAlignment="1">
      <alignment horizontal="center"/>
    </xf>
    <xf numFmtId="165" fontId="28" fillId="24" borderId="17" xfId="28" applyFont="1" applyFill="1" applyBorder="1" applyAlignment="1" applyProtection="1">
      <alignment horizontal="right" vertical="center"/>
    </xf>
    <xf numFmtId="0" fontId="28" fillId="24" borderId="48" xfId="0" applyFont="1" applyFill="1" applyBorder="1" applyAlignment="1">
      <alignment horizontal="center"/>
    </xf>
    <xf numFmtId="165" fontId="28" fillId="0" borderId="11" xfId="28" applyFont="1" applyFill="1" applyBorder="1" applyAlignment="1" applyProtection="1">
      <alignment horizontal="right"/>
    </xf>
    <xf numFmtId="0" fontId="28" fillId="24" borderId="49" xfId="0" applyFont="1" applyFill="1" applyBorder="1" applyAlignment="1">
      <alignment horizontal="center"/>
    </xf>
    <xf numFmtId="165" fontId="28" fillId="24" borderId="11" xfId="28" applyFont="1" applyFill="1" applyBorder="1" applyAlignment="1" applyProtection="1">
      <alignment horizontal="right" vertical="center"/>
    </xf>
    <xf numFmtId="165" fontId="24" fillId="20" borderId="11" xfId="28" applyFont="1" applyFill="1" applyBorder="1" applyAlignment="1" applyProtection="1">
      <alignment horizontal="right"/>
    </xf>
    <xf numFmtId="165" fontId="28" fillId="24" borderId="11" xfId="28" applyFont="1" applyFill="1" applyBorder="1" applyAlignment="1" applyProtection="1">
      <alignment horizontal="right"/>
    </xf>
    <xf numFmtId="175" fontId="28" fillId="24" borderId="11" xfId="28" applyNumberFormat="1" applyFont="1" applyFill="1" applyBorder="1" applyAlignment="1" applyProtection="1">
      <alignment horizontal="right"/>
    </xf>
    <xf numFmtId="39" fontId="28" fillId="24" borderId="11" xfId="28" applyNumberFormat="1" applyFont="1" applyFill="1" applyBorder="1" applyAlignment="1" applyProtection="1">
      <alignment horizontal="right"/>
    </xf>
    <xf numFmtId="165" fontId="28" fillId="24" borderId="14" xfId="28" applyFont="1" applyFill="1" applyBorder="1" applyAlignment="1" applyProtection="1">
      <alignment horizontal="right"/>
    </xf>
    <xf numFmtId="0" fontId="28" fillId="24" borderId="50" xfId="0" applyFont="1" applyFill="1" applyBorder="1" applyAlignment="1">
      <alignment horizontal="center"/>
    </xf>
    <xf numFmtId="165" fontId="28" fillId="24" borderId="23" xfId="0" applyNumberFormat="1" applyFont="1" applyFill="1" applyBorder="1" applyAlignment="1">
      <alignment horizontal="right"/>
    </xf>
    <xf numFmtId="0" fontId="28" fillId="24" borderId="24" xfId="0" applyFont="1" applyFill="1" applyBorder="1" applyAlignment="1">
      <alignment horizontal="center"/>
    </xf>
    <xf numFmtId="165" fontId="28" fillId="24" borderId="11" xfId="28" applyFont="1" applyFill="1" applyBorder="1" applyProtection="1"/>
    <xf numFmtId="165" fontId="28" fillId="24" borderId="14" xfId="28" applyFont="1" applyFill="1" applyBorder="1" applyProtection="1"/>
    <xf numFmtId="165" fontId="24" fillId="20" borderId="11" xfId="28" applyFont="1" applyFill="1" applyBorder="1" applyProtection="1"/>
    <xf numFmtId="165" fontId="28" fillId="24" borderId="49" xfId="28" applyFont="1" applyFill="1" applyBorder="1" applyAlignment="1" applyProtection="1">
      <alignment horizontal="center"/>
    </xf>
    <xf numFmtId="165" fontId="28" fillId="24" borderId="21" xfId="28" applyFont="1" applyFill="1" applyBorder="1" applyAlignment="1" applyProtection="1">
      <alignment horizontal="center"/>
    </xf>
    <xf numFmtId="165" fontId="28" fillId="24" borderId="47" xfId="28" applyFont="1" applyFill="1" applyBorder="1" applyAlignment="1" applyProtection="1">
      <alignment horizontal="center"/>
    </xf>
    <xf numFmtId="166" fontId="28" fillId="24" borderId="23" xfId="50" applyNumberFormat="1" applyFont="1" applyFill="1" applyBorder="1" applyProtection="1"/>
    <xf numFmtId="166" fontId="28" fillId="24" borderId="24" xfId="50" applyNumberFormat="1" applyFont="1" applyFill="1" applyBorder="1" applyProtection="1"/>
    <xf numFmtId="0" fontId="21" fillId="0" borderId="0" xfId="0" applyFont="1"/>
    <xf numFmtId="0" fontId="24" fillId="24" borderId="0" xfId="0" applyFont="1" applyFill="1"/>
    <xf numFmtId="0" fontId="22" fillId="0" borderId="0" xfId="0" applyFont="1"/>
    <xf numFmtId="0" fontId="23" fillId="0" borderId="0" xfId="0" applyFont="1"/>
    <xf numFmtId="0" fontId="25" fillId="24" borderId="0" xfId="0" applyFont="1" applyFill="1"/>
    <xf numFmtId="165" fontId="26" fillId="24" borderId="0" xfId="28" applyFont="1" applyFill="1" applyAlignment="1" applyProtection="1">
      <alignment horizontal="right"/>
    </xf>
    <xf numFmtId="0" fontId="27" fillId="24" borderId="0" xfId="0" applyFont="1" applyFill="1"/>
    <xf numFmtId="165" fontId="24" fillId="24" borderId="0" xfId="0" applyNumberFormat="1" applyFont="1" applyFill="1"/>
    <xf numFmtId="0" fontId="28" fillId="24" borderId="32" xfId="0" applyFont="1" applyFill="1" applyBorder="1" applyAlignment="1">
      <alignment horizontal="center" vertical="center"/>
    </xf>
    <xf numFmtId="0" fontId="28" fillId="24" borderId="15" xfId="0" applyFont="1" applyFill="1" applyBorder="1" applyAlignment="1">
      <alignment horizontal="center" vertical="center"/>
    </xf>
    <xf numFmtId="0" fontId="28" fillId="24" borderId="41" xfId="0" applyFont="1" applyFill="1" applyBorder="1" applyAlignment="1">
      <alignment horizontal="center" vertical="center"/>
    </xf>
    <xf numFmtId="0" fontId="28" fillId="24" borderId="51" xfId="0" applyFont="1" applyFill="1" applyBorder="1" applyAlignment="1">
      <alignment horizontal="center"/>
    </xf>
    <xf numFmtId="0" fontId="28" fillId="24" borderId="41" xfId="0" applyFont="1" applyFill="1" applyBorder="1" applyAlignment="1">
      <alignment horizontal="center" wrapText="1"/>
    </xf>
    <xf numFmtId="0" fontId="28" fillId="24" borderId="32" xfId="0" applyFont="1" applyFill="1" applyBorder="1" applyAlignment="1">
      <alignment horizontal="center"/>
    </xf>
    <xf numFmtId="0" fontId="28" fillId="24" borderId="15" xfId="0" applyFont="1" applyFill="1" applyBorder="1" applyAlignment="1">
      <alignment horizontal="center"/>
    </xf>
    <xf numFmtId="0" fontId="28" fillId="24" borderId="34" xfId="0" applyFont="1" applyFill="1" applyBorder="1" applyAlignment="1">
      <alignment horizontal="center"/>
    </xf>
    <xf numFmtId="165" fontId="28" fillId="24" borderId="11" xfId="0" applyNumberFormat="1" applyFont="1" applyFill="1" applyBorder="1" applyAlignment="1">
      <alignment horizontal="center"/>
    </xf>
    <xf numFmtId="0" fontId="28" fillId="24" borderId="52" xfId="0" applyFont="1" applyFill="1" applyBorder="1" applyAlignment="1">
      <alignment horizontal="left" vertical="center"/>
    </xf>
    <xf numFmtId="0" fontId="28" fillId="24" borderId="53" xfId="0" quotePrefix="1" applyFont="1" applyFill="1" applyBorder="1"/>
    <xf numFmtId="0" fontId="28" fillId="24" borderId="34" xfId="0" applyFont="1" applyFill="1" applyBorder="1" applyAlignment="1">
      <alignment vertical="center" wrapText="1"/>
    </xf>
    <xf numFmtId="0" fontId="28" fillId="24" borderId="29" xfId="0" applyFont="1" applyFill="1" applyBorder="1" applyAlignment="1">
      <alignment horizontal="left" vertical="center"/>
    </xf>
    <xf numFmtId="0" fontId="28" fillId="24" borderId="40" xfId="0" applyFont="1" applyFill="1" applyBorder="1" applyAlignment="1">
      <alignment vertical="center" wrapText="1"/>
    </xf>
    <xf numFmtId="0" fontId="28" fillId="24" borderId="54" xfId="0" applyFont="1" applyFill="1" applyBorder="1" applyAlignment="1">
      <alignment horizontal="left" vertical="center"/>
    </xf>
    <xf numFmtId="0" fontId="28" fillId="24" borderId="53" xfId="0" applyFont="1" applyFill="1" applyBorder="1" applyAlignment="1">
      <alignment horizontal="center"/>
    </xf>
    <xf numFmtId="0" fontId="28" fillId="24" borderId="53" xfId="0" applyFont="1" applyFill="1" applyBorder="1"/>
    <xf numFmtId="0" fontId="28" fillId="24" borderId="55" xfId="0" applyFont="1" applyFill="1" applyBorder="1" applyAlignment="1">
      <alignment horizontal="center" vertical="center"/>
    </xf>
    <xf numFmtId="0" fontId="28" fillId="24" borderId="45" xfId="0" applyFont="1" applyFill="1" applyBorder="1" applyAlignment="1">
      <alignment horizontal="left" vertical="center"/>
    </xf>
    <xf numFmtId="0" fontId="28" fillId="24" borderId="28" xfId="0" applyFont="1" applyFill="1" applyBorder="1" applyAlignment="1">
      <alignment horizontal="center"/>
    </xf>
    <xf numFmtId="0" fontId="28" fillId="24" borderId="0" xfId="0" applyFont="1" applyFill="1"/>
    <xf numFmtId="0" fontId="28" fillId="24" borderId="0" xfId="0" applyFont="1" applyFill="1" applyAlignment="1">
      <alignment horizontal="center" vertical="center" wrapText="1"/>
    </xf>
    <xf numFmtId="0" fontId="28" fillId="24" borderId="0" xfId="0" applyFont="1" applyFill="1" applyAlignment="1">
      <alignment horizontal="center"/>
    </xf>
    <xf numFmtId="0" fontId="28" fillId="24" borderId="36" xfId="0" applyFont="1" applyFill="1" applyBorder="1" applyAlignment="1">
      <alignment horizontal="center"/>
    </xf>
    <xf numFmtId="0" fontId="28" fillId="24" borderId="40" xfId="0" applyFont="1" applyFill="1" applyBorder="1" applyAlignment="1">
      <alignment horizontal="center"/>
    </xf>
    <xf numFmtId="0" fontId="24" fillId="24" borderId="32" xfId="0" applyFont="1" applyFill="1" applyBorder="1"/>
    <xf numFmtId="0" fontId="24" fillId="24" borderId="41" xfId="0" applyFont="1" applyFill="1" applyBorder="1"/>
    <xf numFmtId="0" fontId="28" fillId="24" borderId="15" xfId="0" applyFont="1" applyFill="1" applyBorder="1"/>
    <xf numFmtId="0" fontId="28" fillId="24" borderId="41" xfId="0" applyFont="1" applyFill="1" applyBorder="1" applyAlignment="1">
      <alignment horizontal="center"/>
    </xf>
    <xf numFmtId="165" fontId="24" fillId="24" borderId="0" xfId="28" applyFont="1" applyFill="1" applyBorder="1" applyProtection="1"/>
    <xf numFmtId="0" fontId="24" fillId="24" borderId="56" xfId="0" applyFont="1" applyFill="1" applyBorder="1" applyAlignment="1">
      <alignment horizontal="center"/>
    </xf>
    <xf numFmtId="0" fontId="24" fillId="24" borderId="10" xfId="0" applyFont="1" applyFill="1" applyBorder="1" applyAlignment="1">
      <alignment horizontal="center"/>
    </xf>
    <xf numFmtId="0" fontId="28" fillId="24" borderId="10" xfId="0" applyFont="1" applyFill="1" applyBorder="1" applyAlignment="1">
      <alignment horizontal="center"/>
    </xf>
    <xf numFmtId="165" fontId="28" fillId="24" borderId="0" xfId="28" applyFont="1" applyFill="1" applyBorder="1" applyProtection="1"/>
    <xf numFmtId="0" fontId="28" fillId="24" borderId="12" xfId="0" applyFont="1" applyFill="1" applyBorder="1" applyAlignment="1">
      <alignment horizontal="center"/>
    </xf>
    <xf numFmtId="0" fontId="28" fillId="24" borderId="57" xfId="0" applyFont="1" applyFill="1" applyBorder="1" applyAlignment="1">
      <alignment horizontal="center"/>
    </xf>
    <xf numFmtId="165" fontId="28" fillId="24" borderId="23" xfId="0" applyNumberFormat="1" applyFont="1" applyFill="1" applyBorder="1"/>
    <xf numFmtId="2" fontId="24" fillId="24" borderId="0" xfId="0" applyNumberFormat="1" applyFont="1" applyFill="1"/>
    <xf numFmtId="0" fontId="28" fillId="24" borderId="58" xfId="0" applyFont="1" applyFill="1" applyBorder="1"/>
    <xf numFmtId="0" fontId="28" fillId="24" borderId="59" xfId="0" applyFont="1" applyFill="1" applyBorder="1" applyAlignment="1">
      <alignment horizontal="left"/>
    </xf>
    <xf numFmtId="0" fontId="24" fillId="24" borderId="59" xfId="0" applyFont="1" applyFill="1" applyBorder="1"/>
    <xf numFmtId="165" fontId="24" fillId="24" borderId="59" xfId="28" applyFont="1" applyFill="1" applyBorder="1" applyProtection="1"/>
    <xf numFmtId="0" fontId="24" fillId="24" borderId="31" xfId="0" applyFont="1" applyFill="1" applyBorder="1"/>
    <xf numFmtId="0" fontId="24" fillId="24" borderId="11" xfId="0" applyFont="1" applyFill="1" applyBorder="1"/>
    <xf numFmtId="165" fontId="24" fillId="24" borderId="11" xfId="0" applyNumberFormat="1" applyFont="1" applyFill="1" applyBorder="1"/>
    <xf numFmtId="166" fontId="24" fillId="24" borderId="11" xfId="50" applyNumberFormat="1" applyFont="1" applyFill="1" applyBorder="1" applyProtection="1"/>
    <xf numFmtId="0" fontId="28" fillId="24" borderId="28" xfId="0" applyFont="1" applyFill="1" applyBorder="1"/>
    <xf numFmtId="0" fontId="28" fillId="24" borderId="0" xfId="0" applyFont="1" applyFill="1" applyAlignment="1">
      <alignment horizontal="left"/>
    </xf>
    <xf numFmtId="0" fontId="24" fillId="24" borderId="60" xfId="0" applyFont="1" applyFill="1" applyBorder="1"/>
    <xf numFmtId="0" fontId="24" fillId="24" borderId="28" xfId="0" applyFont="1" applyFill="1" applyBorder="1"/>
    <xf numFmtId="0" fontId="24" fillId="24" borderId="30" xfId="0" applyFont="1" applyFill="1" applyBorder="1"/>
    <xf numFmtId="0" fontId="28" fillId="24" borderId="61" xfId="0" applyFont="1" applyFill="1" applyBorder="1"/>
    <xf numFmtId="165" fontId="28" fillId="24" borderId="61" xfId="28" applyFont="1" applyFill="1" applyBorder="1" applyProtection="1"/>
    <xf numFmtId="0" fontId="24" fillId="24" borderId="16" xfId="0" applyFont="1" applyFill="1" applyBorder="1"/>
    <xf numFmtId="0" fontId="28" fillId="24" borderId="15" xfId="0" applyFont="1" applyFill="1" applyBorder="1" applyAlignment="1">
      <alignment horizontal="center" wrapText="1"/>
    </xf>
    <xf numFmtId="2" fontId="43" fillId="0" borderId="11" xfId="50" applyNumberFormat="1" applyFont="1" applyFill="1" applyBorder="1" applyAlignment="1">
      <alignment vertical="center"/>
    </xf>
    <xf numFmtId="165" fontId="28" fillId="24" borderId="17" xfId="0" applyNumberFormat="1" applyFont="1" applyFill="1" applyBorder="1" applyAlignment="1">
      <alignment horizontal="left"/>
    </xf>
    <xf numFmtId="0" fontId="28" fillId="24" borderId="14" xfId="0" applyFont="1" applyFill="1" applyBorder="1" applyAlignment="1">
      <alignment horizontal="left"/>
    </xf>
    <xf numFmtId="165" fontId="28" fillId="24" borderId="10" xfId="0" applyNumberFormat="1" applyFont="1" applyFill="1" applyBorder="1" applyAlignment="1">
      <alignment horizontal="left"/>
    </xf>
    <xf numFmtId="0" fontId="28" fillId="24" borderId="62" xfId="0" applyFont="1" applyFill="1" applyBorder="1" applyAlignment="1" applyProtection="1">
      <alignment horizontal="left" vertical="center"/>
      <protection locked="0"/>
    </xf>
    <xf numFmtId="165" fontId="28" fillId="24" borderId="60" xfId="28" applyFont="1" applyFill="1" applyBorder="1" applyAlignment="1" applyProtection="1">
      <alignment horizontal="center" vertical="center"/>
      <protection locked="0"/>
    </xf>
    <xf numFmtId="165" fontId="28" fillId="24" borderId="62" xfId="28" applyFont="1" applyFill="1" applyBorder="1" applyAlignment="1" applyProtection="1">
      <alignment horizontal="center" vertical="center"/>
      <protection locked="0"/>
    </xf>
    <xf numFmtId="165" fontId="28" fillId="24" borderId="42" xfId="28" applyFont="1" applyFill="1" applyBorder="1" applyAlignment="1" applyProtection="1">
      <alignment horizontal="center" vertical="center"/>
      <protection locked="0"/>
    </xf>
    <xf numFmtId="165" fontId="28" fillId="24" borderId="43" xfId="28" applyFont="1" applyFill="1" applyBorder="1" applyAlignment="1" applyProtection="1">
      <protection locked="0"/>
    </xf>
    <xf numFmtId="165" fontId="28" fillId="24" borderId="43" xfId="28" applyFont="1" applyFill="1" applyBorder="1" applyAlignment="1" applyProtection="1">
      <alignment horizontal="center"/>
      <protection locked="0"/>
    </xf>
    <xf numFmtId="0" fontId="28" fillId="24" borderId="63" xfId="0" applyFont="1" applyFill="1" applyBorder="1" applyAlignment="1" applyProtection="1">
      <alignment horizontal="left" vertical="center"/>
      <protection locked="0"/>
    </xf>
    <xf numFmtId="165" fontId="28" fillId="24" borderId="55" xfId="50" applyNumberFormat="1" applyFont="1" applyFill="1" applyBorder="1" applyAlignment="1" applyProtection="1">
      <alignment horizontal="center" vertical="center"/>
      <protection locked="0"/>
    </xf>
    <xf numFmtId="165" fontId="28" fillId="24" borderId="54" xfId="50" applyNumberFormat="1" applyFont="1" applyFill="1" applyBorder="1" applyAlignment="1" applyProtection="1">
      <alignment horizontal="center" vertical="center"/>
      <protection locked="0"/>
    </xf>
    <xf numFmtId="165" fontId="28" fillId="24" borderId="64" xfId="50" applyNumberFormat="1" applyFont="1" applyFill="1" applyBorder="1" applyAlignment="1" applyProtection="1">
      <alignment horizontal="center" vertical="center"/>
      <protection locked="0"/>
    </xf>
    <xf numFmtId="165" fontId="28" fillId="24" borderId="43" xfId="28" applyFont="1" applyFill="1" applyBorder="1" applyAlignment="1" applyProtection="1">
      <alignment horizontal="center" vertical="center"/>
      <protection locked="0"/>
    </xf>
    <xf numFmtId="165" fontId="28" fillId="24" borderId="0" xfId="28" applyFont="1" applyFill="1" applyBorder="1" applyAlignment="1" applyProtection="1">
      <alignment horizontal="center" vertical="center"/>
      <protection locked="0"/>
    </xf>
    <xf numFmtId="165" fontId="24" fillId="24" borderId="43" xfId="28" applyFont="1" applyFill="1" applyBorder="1" applyProtection="1">
      <protection locked="0"/>
    </xf>
    <xf numFmtId="165" fontId="28" fillId="24" borderId="10" xfId="28" applyFont="1" applyFill="1" applyBorder="1" applyAlignment="1" applyProtection="1">
      <alignment horizontal="center"/>
      <protection locked="0"/>
    </xf>
    <xf numFmtId="165" fontId="28" fillId="24" borderId="11" xfId="0" applyNumberFormat="1" applyFont="1" applyFill="1" applyBorder="1" applyAlignment="1" applyProtection="1">
      <alignment horizontal="center"/>
      <protection locked="0"/>
    </xf>
    <xf numFmtId="0" fontId="28" fillId="24" borderId="11" xfId="0" quotePrefix="1" applyFont="1" applyFill="1" applyBorder="1" applyAlignment="1" applyProtection="1">
      <alignment wrapText="1"/>
      <protection locked="0"/>
    </xf>
    <xf numFmtId="165" fontId="28" fillId="24" borderId="27" xfId="28" applyFont="1" applyFill="1" applyBorder="1" applyAlignment="1" applyProtection="1">
      <alignment horizontal="center"/>
      <protection locked="0"/>
    </xf>
    <xf numFmtId="0" fontId="28" fillId="24" borderId="14" xfId="0" applyFont="1" applyFill="1" applyBorder="1" applyAlignment="1" applyProtection="1">
      <alignment horizontal="center"/>
      <protection locked="0"/>
    </xf>
    <xf numFmtId="0" fontId="28" fillId="24" borderId="13" xfId="0" quotePrefix="1" applyFont="1" applyFill="1" applyBorder="1" applyAlignment="1" applyProtection="1">
      <alignment wrapText="1"/>
      <protection locked="0"/>
    </xf>
    <xf numFmtId="0" fontId="47" fillId="24" borderId="14" xfId="0" quotePrefix="1" applyFont="1" applyFill="1" applyBorder="1" applyAlignment="1" applyProtection="1">
      <alignment wrapText="1"/>
      <protection locked="0"/>
    </xf>
    <xf numFmtId="2" fontId="28" fillId="24" borderId="0" xfId="0" applyNumberFormat="1" applyFont="1" applyFill="1" applyAlignment="1" applyProtection="1">
      <alignment horizontal="right"/>
      <protection locked="0"/>
    </xf>
    <xf numFmtId="165" fontId="28" fillId="24" borderId="12" xfId="28" applyFont="1" applyFill="1" applyBorder="1" applyAlignment="1" applyProtection="1">
      <alignment horizontal="center"/>
      <protection locked="0"/>
    </xf>
    <xf numFmtId="0" fontId="28" fillId="24" borderId="11" xfId="0" applyFont="1" applyFill="1" applyBorder="1" applyAlignment="1" applyProtection="1">
      <alignment horizontal="center"/>
      <protection locked="0"/>
    </xf>
    <xf numFmtId="165" fontId="28" fillId="24" borderId="21" xfId="0" applyNumberFormat="1" applyFont="1" applyFill="1" applyBorder="1" applyAlignment="1" applyProtection="1">
      <alignment horizontal="left"/>
      <protection locked="0"/>
    </xf>
    <xf numFmtId="165" fontId="28" fillId="24" borderId="11" xfId="0" applyNumberFormat="1" applyFont="1" applyFill="1" applyBorder="1" applyAlignment="1" applyProtection="1">
      <alignment horizontal="left"/>
      <protection locked="0"/>
    </xf>
    <xf numFmtId="165" fontId="28" fillId="24" borderId="11" xfId="0" applyNumberFormat="1" applyFont="1" applyFill="1" applyBorder="1" applyAlignment="1" applyProtection="1">
      <alignment horizontal="right"/>
      <protection locked="0"/>
    </xf>
    <xf numFmtId="165" fontId="28" fillId="24" borderId="23" xfId="0" applyNumberFormat="1" applyFont="1" applyFill="1" applyBorder="1" applyAlignment="1" applyProtection="1">
      <alignment horizontal="left"/>
      <protection locked="0"/>
    </xf>
    <xf numFmtId="165" fontId="28" fillId="24" borderId="63" xfId="0" applyNumberFormat="1" applyFont="1" applyFill="1" applyBorder="1" applyAlignment="1" applyProtection="1">
      <alignment horizontal="left"/>
      <protection locked="0"/>
    </xf>
    <xf numFmtId="165" fontId="28" fillId="24" borderId="14" xfId="0" applyNumberFormat="1" applyFont="1" applyFill="1" applyBorder="1" applyAlignment="1" applyProtection="1">
      <alignment horizontal="left"/>
      <protection locked="0"/>
    </xf>
    <xf numFmtId="165" fontId="28" fillId="24" borderId="54" xfId="28" applyFont="1" applyFill="1" applyBorder="1" applyAlignment="1" applyProtection="1">
      <alignment horizontal="center"/>
      <protection locked="0"/>
    </xf>
    <xf numFmtId="165" fontId="28" fillId="24" borderId="11" xfId="28" applyFont="1" applyFill="1" applyBorder="1" applyAlignment="1" applyProtection="1">
      <alignment horizontal="center"/>
      <protection locked="0"/>
    </xf>
    <xf numFmtId="49" fontId="28" fillId="0" borderId="11" xfId="28" applyNumberFormat="1" applyFont="1" applyFill="1" applyBorder="1" applyAlignment="1" applyProtection="1">
      <alignment horizontal="center"/>
      <protection locked="0"/>
    </xf>
    <xf numFmtId="178" fontId="43" fillId="0" borderId="17" xfId="29" applyNumberFormat="1" applyFont="1" applyBorder="1" applyAlignment="1">
      <alignment vertical="center"/>
    </xf>
    <xf numFmtId="178" fontId="43" fillId="0" borderId="17" xfId="29" applyNumberFormat="1" applyFont="1" applyFill="1" applyBorder="1" applyAlignment="1">
      <alignment vertical="center"/>
    </xf>
    <xf numFmtId="0" fontId="28" fillId="24" borderId="10" xfId="0" applyFont="1" applyFill="1" applyBorder="1" applyAlignment="1" applyProtection="1">
      <alignment horizontal="left"/>
      <protection locked="0"/>
    </xf>
    <xf numFmtId="0" fontId="28" fillId="24" borderId="25" xfId="0" applyFont="1" applyFill="1" applyBorder="1" applyAlignment="1" applyProtection="1">
      <alignment horizontal="left"/>
      <protection locked="0"/>
    </xf>
    <xf numFmtId="0" fontId="28" fillId="24" borderId="57" xfId="0" applyFont="1" applyFill="1" applyBorder="1" applyAlignment="1" applyProtection="1">
      <alignment horizontal="left"/>
      <protection locked="0"/>
    </xf>
    <xf numFmtId="165" fontId="35" fillId="0" borderId="0" xfId="28" applyFont="1" applyBorder="1" applyAlignment="1" applyProtection="1">
      <alignment horizontal="center"/>
    </xf>
    <xf numFmtId="0" fontId="30" fillId="0" borderId="0" xfId="0" applyFont="1"/>
    <xf numFmtId="0" fontId="0" fillId="0" borderId="65" xfId="0" applyBorder="1"/>
    <xf numFmtId="165" fontId="0" fillId="0" borderId="65" xfId="0" applyNumberFormat="1" applyBorder="1"/>
    <xf numFmtId="0" fontId="52" fillId="0" borderId="0" xfId="41" applyFont="1"/>
    <xf numFmtId="0" fontId="52" fillId="0" borderId="0" xfId="41" applyFont="1" applyAlignment="1">
      <alignment horizontal="center"/>
    </xf>
    <xf numFmtId="2" fontId="52" fillId="0" borderId="0" xfId="41" applyNumberFormat="1" applyFont="1" applyAlignment="1">
      <alignment horizontal="center"/>
    </xf>
    <xf numFmtId="0" fontId="49" fillId="0" borderId="0" xfId="41"/>
    <xf numFmtId="0" fontId="49" fillId="0" borderId="0" xfId="41" applyAlignment="1">
      <alignment horizontal="center"/>
    </xf>
    <xf numFmtId="2" fontId="49" fillId="0" borderId="0" xfId="41" applyNumberFormat="1" applyAlignment="1">
      <alignment horizontal="center"/>
    </xf>
    <xf numFmtId="2" fontId="49" fillId="0" borderId="0" xfId="41" applyNumberFormat="1"/>
    <xf numFmtId="16" fontId="49" fillId="0" borderId="10" xfId="41" applyNumberFormat="1" applyBorder="1"/>
    <xf numFmtId="0" fontId="49" fillId="0" borderId="11" xfId="41" applyBorder="1"/>
    <xf numFmtId="2" fontId="49" fillId="0" borderId="11" xfId="41" applyNumberFormat="1" applyBorder="1" applyAlignment="1">
      <alignment horizontal="center"/>
    </xf>
    <xf numFmtId="0" fontId="49" fillId="0" borderId="10" xfId="41" applyBorder="1"/>
    <xf numFmtId="0" fontId="49" fillId="0" borderId="11" xfId="41" applyBorder="1" applyAlignment="1">
      <alignment horizontal="left"/>
    </xf>
    <xf numFmtId="0" fontId="49" fillId="0" borderId="11" xfId="41" applyBorder="1" applyAlignment="1">
      <alignment horizontal="right"/>
    </xf>
    <xf numFmtId="0" fontId="49" fillId="0" borderId="0" xfId="42" applyAlignment="1">
      <alignment horizontal="center"/>
    </xf>
    <xf numFmtId="39" fontId="49" fillId="0" borderId="0" xfId="42" quotePrefix="1" applyNumberFormat="1" applyAlignment="1">
      <alignment horizontal="left"/>
    </xf>
    <xf numFmtId="0" fontId="49" fillId="0" borderId="0" xfId="41" quotePrefix="1"/>
    <xf numFmtId="39" fontId="49" fillId="0" borderId="0" xfId="42" applyNumberFormat="1"/>
    <xf numFmtId="39" fontId="49" fillId="0" borderId="0" xfId="42" quotePrefix="1" applyNumberFormat="1"/>
    <xf numFmtId="169" fontId="31" fillId="0" borderId="0" xfId="0" applyNumberFormat="1" applyFont="1"/>
    <xf numFmtId="0" fontId="32" fillId="0" borderId="0" xfId="0" applyFont="1" applyAlignment="1">
      <alignment horizontal="center"/>
    </xf>
    <xf numFmtId="0" fontId="32" fillId="0" borderId="0" xfId="0" applyFont="1"/>
    <xf numFmtId="171" fontId="32" fillId="0" borderId="0" xfId="0" applyNumberFormat="1" applyFont="1"/>
    <xf numFmtId="4" fontId="32" fillId="0" borderId="0" xfId="0" applyNumberFormat="1" applyFont="1"/>
    <xf numFmtId="168" fontId="32" fillId="0" borderId="0" xfId="0" applyNumberFormat="1" applyFont="1"/>
    <xf numFmtId="2" fontId="32" fillId="0" borderId="0" xfId="0" applyNumberFormat="1" applyFont="1"/>
    <xf numFmtId="171" fontId="32" fillId="0" borderId="11" xfId="0" applyNumberFormat="1" applyFont="1" applyBorder="1" applyAlignment="1">
      <alignment horizontal="center"/>
    </xf>
    <xf numFmtId="4" fontId="33" fillId="0" borderId="11" xfId="0" applyNumberFormat="1" applyFont="1" applyBorder="1" applyAlignment="1">
      <alignment horizontal="center"/>
    </xf>
    <xf numFmtId="0" fontId="33" fillId="0" borderId="11" xfId="0" applyFont="1" applyBorder="1" applyAlignment="1">
      <alignment horizontal="center"/>
    </xf>
    <xf numFmtId="168" fontId="32" fillId="0" borderId="11" xfId="0" applyNumberFormat="1" applyFont="1" applyBorder="1" applyAlignment="1">
      <alignment horizontal="center"/>
    </xf>
    <xf numFmtId="2" fontId="32" fillId="0" borderId="11" xfId="0" applyNumberFormat="1" applyFont="1" applyBorder="1" applyAlignment="1">
      <alignment horizontal="center"/>
    </xf>
    <xf numFmtId="4" fontId="32" fillId="0" borderId="11" xfId="0" applyNumberFormat="1" applyFont="1" applyBorder="1" applyAlignment="1">
      <alignment horizontal="center"/>
    </xf>
    <xf numFmtId="170" fontId="32" fillId="0" borderId="11" xfId="0" applyNumberFormat="1" applyFont="1" applyBorder="1" applyAlignment="1">
      <alignment horizontal="center"/>
    </xf>
    <xf numFmtId="2" fontId="33"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9" fillId="0" borderId="66" xfId="0" applyNumberFormat="1" applyFont="1" applyBorder="1"/>
    <xf numFmtId="4" fontId="29" fillId="0" borderId="66" xfId="0" applyNumberFormat="1" applyFont="1" applyBorder="1" applyAlignment="1">
      <alignment vertical="justify"/>
    </xf>
    <xf numFmtId="171" fontId="34" fillId="0" borderId="0" xfId="0" applyNumberFormat="1" applyFont="1" applyAlignment="1">
      <alignment horizontal="center"/>
    </xf>
    <xf numFmtId="168" fontId="34" fillId="0" borderId="0" xfId="0" applyNumberFormat="1" applyFont="1" applyAlignment="1">
      <alignment horizontal="center"/>
    </xf>
    <xf numFmtId="172" fontId="37" fillId="0" borderId="0" xfId="28" applyNumberFormat="1" applyFont="1" applyBorder="1" applyAlignment="1" applyProtection="1">
      <alignment horizontal="right"/>
    </xf>
    <xf numFmtId="0" fontId="32" fillId="0" borderId="11" xfId="0" applyFont="1" applyBorder="1" applyAlignment="1">
      <alignment horizontal="center"/>
    </xf>
    <xf numFmtId="169" fontId="36" fillId="0" borderId="0" xfId="0" applyNumberFormat="1" applyFont="1" applyAlignment="1">
      <alignment vertical="justify" wrapText="1"/>
    </xf>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5" fontId="0" fillId="0" borderId="11" xfId="28" applyFont="1" applyBorder="1" applyAlignment="1" applyProtection="1">
      <alignment vertical="center"/>
    </xf>
    <xf numFmtId="167" fontId="29"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9" fillId="0" borderId="11" xfId="0" applyNumberFormat="1" applyFont="1" applyBorder="1" applyAlignment="1">
      <alignment horizontal="center"/>
    </xf>
    <xf numFmtId="2" fontId="29" fillId="0" borderId="17" xfId="0" applyNumberFormat="1" applyFont="1" applyBorder="1" applyAlignment="1">
      <alignment horizontal="center"/>
    </xf>
    <xf numFmtId="165" fontId="29" fillId="0" borderId="11" xfId="28" applyFont="1" applyBorder="1" applyProtection="1"/>
    <xf numFmtId="174" fontId="29" fillId="0" borderId="17" xfId="28" applyNumberFormat="1" applyFont="1" applyBorder="1" applyProtection="1"/>
    <xf numFmtId="0" fontId="29" fillId="0" borderId="11" xfId="0" applyFont="1" applyBorder="1"/>
    <xf numFmtId="172" fontId="29" fillId="0" borderId="11" xfId="28" applyNumberFormat="1" applyFont="1" applyBorder="1" applyProtection="1"/>
    <xf numFmtId="174" fontId="32" fillId="0" borderId="0" xfId="28" applyNumberFormat="1" applyFont="1" applyBorder="1" applyProtection="1"/>
    <xf numFmtId="174" fontId="0" fillId="0" borderId="0" xfId="0" applyNumberFormat="1"/>
    <xf numFmtId="165" fontId="24" fillId="24" borderId="0" xfId="28" applyFont="1" applyFill="1" applyBorder="1" applyProtection="1">
      <protection locked="0"/>
    </xf>
    <xf numFmtId="0" fontId="24" fillId="24" borderId="0" xfId="0" applyFont="1" applyFill="1" applyProtection="1">
      <protection locked="0"/>
    </xf>
    <xf numFmtId="165" fontId="24" fillId="24" borderId="0" xfId="0" applyNumberFormat="1" applyFont="1" applyFill="1" applyProtection="1">
      <protection locked="0"/>
    </xf>
    <xf numFmtId="0" fontId="28" fillId="24" borderId="0" xfId="0" applyFont="1" applyFill="1" applyProtection="1">
      <protection locked="0"/>
    </xf>
    <xf numFmtId="179" fontId="0" fillId="0" borderId="0" xfId="0" applyNumberFormat="1" applyAlignment="1">
      <alignment horizontal="right" vertical="center"/>
    </xf>
    <xf numFmtId="165" fontId="47" fillId="24" borderId="10" xfId="0" applyNumberFormat="1" applyFont="1" applyFill="1" applyBorder="1" applyAlignment="1">
      <alignment horizontal="left"/>
    </xf>
    <xf numFmtId="173" fontId="48" fillId="0" borderId="11" xfId="44" applyNumberFormat="1" applyFont="1" applyBorder="1" applyAlignment="1">
      <alignment horizontal="center"/>
    </xf>
    <xf numFmtId="16" fontId="24" fillId="24" borderId="0" xfId="28" applyNumberFormat="1" applyFont="1" applyFill="1" applyBorder="1" applyProtection="1">
      <protection locked="0"/>
    </xf>
    <xf numFmtId="173" fontId="49" fillId="0" borderId="67" xfId="0" applyNumberFormat="1" applyFont="1" applyBorder="1"/>
    <xf numFmtId="0" fontId="0" fillId="0" borderId="45" xfId="0" applyBorder="1"/>
    <xf numFmtId="164" fontId="43" fillId="0" borderId="0" xfId="29" applyFont="1" applyFill="1"/>
    <xf numFmtId="164" fontId="44" fillId="25" borderId="11" xfId="29" applyFont="1" applyFill="1" applyBorder="1" applyAlignment="1">
      <alignment vertical="center"/>
    </xf>
    <xf numFmtId="178" fontId="44" fillId="0" borderId="0" xfId="29" applyNumberFormat="1" applyFont="1" applyFill="1" applyBorder="1" applyAlignment="1">
      <alignment vertical="center"/>
    </xf>
    <xf numFmtId="178" fontId="28" fillId="24" borderId="21" xfId="29" applyNumberFormat="1" applyFont="1" applyFill="1" applyBorder="1" applyAlignment="1" applyProtection="1">
      <alignment horizontal="right" vertical="center"/>
    </xf>
    <xf numFmtId="178" fontId="28" fillId="24" borderId="17" xfId="29" applyNumberFormat="1" applyFont="1" applyFill="1" applyBorder="1" applyAlignment="1" applyProtection="1">
      <alignment horizontal="right" vertical="center"/>
    </xf>
    <xf numFmtId="178" fontId="28" fillId="0" borderId="11" xfId="29" applyNumberFormat="1" applyFont="1" applyFill="1" applyBorder="1" applyAlignment="1" applyProtection="1">
      <alignment horizontal="right"/>
    </xf>
    <xf numFmtId="178" fontId="28" fillId="24" borderId="11" xfId="29" applyNumberFormat="1" applyFont="1" applyFill="1" applyBorder="1" applyAlignment="1" applyProtection="1">
      <alignment horizontal="right" vertical="center"/>
    </xf>
    <xf numFmtId="178" fontId="24" fillId="20" borderId="11" xfId="29" applyNumberFormat="1" applyFont="1" applyFill="1" applyBorder="1" applyAlignment="1" applyProtection="1">
      <alignment horizontal="right"/>
    </xf>
    <xf numFmtId="178" fontId="28" fillId="24" borderId="11" xfId="29" applyNumberFormat="1" applyFont="1" applyFill="1" applyBorder="1" applyAlignment="1" applyProtection="1">
      <alignment horizontal="right"/>
    </xf>
    <xf numFmtId="178" fontId="28" fillId="24" borderId="14" xfId="29" applyNumberFormat="1" applyFont="1" applyFill="1" applyBorder="1" applyAlignment="1" applyProtection="1">
      <alignment horizontal="right"/>
    </xf>
    <xf numFmtId="178" fontId="28" fillId="24" borderId="23" xfId="29" applyNumberFormat="1" applyFont="1" applyFill="1" applyBorder="1" applyAlignment="1" applyProtection="1">
      <alignment horizontal="right"/>
    </xf>
    <xf numFmtId="10" fontId="43" fillId="0" borderId="0" xfId="50" applyNumberFormat="1" applyFont="1" applyFill="1" applyBorder="1"/>
    <xf numFmtId="10" fontId="44" fillId="0" borderId="11" xfId="50" applyNumberFormat="1" applyFont="1" applyFill="1" applyBorder="1"/>
    <xf numFmtId="10" fontId="43" fillId="0" borderId="0" xfId="50" applyNumberFormat="1" applyFont="1" applyFill="1" applyBorder="1" applyAlignment="1">
      <alignment vertical="center"/>
    </xf>
    <xf numFmtId="10" fontId="44" fillId="27" borderId="0" xfId="50" applyNumberFormat="1" applyFont="1" applyFill="1" applyBorder="1"/>
    <xf numFmtId="10" fontId="44" fillId="0" borderId="11" xfId="50" applyNumberFormat="1" applyFont="1" applyFill="1" applyBorder="1" applyAlignment="1">
      <alignment vertical="center"/>
    </xf>
    <xf numFmtId="0" fontId="43" fillId="28" borderId="0" xfId="0" applyFont="1" applyFill="1"/>
    <xf numFmtId="0" fontId="51" fillId="28" borderId="0" xfId="0" applyFont="1" applyFill="1"/>
    <xf numFmtId="178" fontId="43" fillId="28" borderId="0" xfId="29" applyNumberFormat="1" applyFont="1" applyFill="1" applyBorder="1" applyAlignment="1">
      <alignment vertical="center"/>
    </xf>
    <xf numFmtId="0" fontId="43" fillId="28" borderId="0" xfId="0" applyFont="1" applyFill="1" applyAlignment="1">
      <alignment horizontal="right"/>
    </xf>
    <xf numFmtId="166" fontId="43" fillId="28" borderId="0" xfId="0" applyNumberFormat="1" applyFont="1" applyFill="1" applyAlignment="1">
      <alignment horizontal="right"/>
    </xf>
    <xf numFmtId="166" fontId="43" fillId="28" borderId="0" xfId="0" applyNumberFormat="1" applyFont="1" applyFill="1"/>
    <xf numFmtId="10" fontId="43" fillId="28" borderId="0" xfId="0" applyNumberFormat="1" applyFont="1" applyFill="1"/>
    <xf numFmtId="165" fontId="44" fillId="28" borderId="0" xfId="0" applyNumberFormat="1" applyFont="1" applyFill="1" applyAlignment="1">
      <alignment horizontal="right"/>
    </xf>
    <xf numFmtId="166" fontId="44" fillId="28" borderId="0" xfId="50" applyNumberFormat="1" applyFont="1" applyFill="1" applyBorder="1" applyAlignment="1">
      <alignment vertical="center"/>
    </xf>
    <xf numFmtId="178" fontId="44" fillId="25" borderId="13" xfId="29" applyNumberFormat="1" applyFont="1" applyFill="1" applyBorder="1" applyAlignment="1">
      <alignment vertical="center"/>
    </xf>
    <xf numFmtId="178" fontId="44" fillId="25" borderId="19" xfId="29" applyNumberFormat="1" applyFont="1" applyFill="1" applyBorder="1" applyAlignment="1">
      <alignment vertical="center"/>
    </xf>
    <xf numFmtId="166" fontId="44" fillId="25" borderId="19" xfId="50" applyNumberFormat="1" applyFont="1" applyFill="1" applyBorder="1" applyAlignment="1">
      <alignment vertical="center"/>
    </xf>
    <xf numFmtId="165" fontId="44" fillId="0" borderId="17" xfId="0" applyNumberFormat="1" applyFont="1" applyBorder="1" applyAlignment="1">
      <alignment horizontal="right"/>
    </xf>
    <xf numFmtId="0" fontId="43" fillId="0" borderId="17" xfId="0" applyFont="1" applyBorder="1"/>
    <xf numFmtId="178" fontId="44" fillId="4" borderId="11" xfId="29" applyNumberFormat="1" applyFont="1" applyFill="1" applyBorder="1" applyAlignment="1">
      <alignment horizontal="center"/>
    </xf>
    <xf numFmtId="0" fontId="46" fillId="0" borderId="0" xfId="0" applyFont="1"/>
    <xf numFmtId="0" fontId="46" fillId="0" borderId="45" xfId="0" applyFont="1" applyBorder="1"/>
    <xf numFmtId="0" fontId="0" fillId="0" borderId="55" xfId="0" applyBorder="1" applyAlignment="1">
      <alignment horizontal="center" vertical="center"/>
    </xf>
    <xf numFmtId="167" fontId="0" fillId="0" borderId="55" xfId="28" applyNumberFormat="1" applyFont="1" applyBorder="1" applyAlignment="1">
      <alignment horizontal="center" vertical="center" wrapText="1"/>
    </xf>
    <xf numFmtId="1" fontId="49" fillId="0" borderId="67" xfId="0" applyNumberFormat="1" applyFont="1" applyBorder="1" applyAlignment="1">
      <alignment horizontal="center" vertical="center"/>
    </xf>
    <xf numFmtId="0" fontId="0" fillId="0" borderId="68" xfId="0" applyBorder="1"/>
    <xf numFmtId="0" fontId="0" fillId="0" borderId="26" xfId="0" applyBorder="1"/>
    <xf numFmtId="0" fontId="46" fillId="0" borderId="26" xfId="0" applyFont="1" applyBorder="1"/>
    <xf numFmtId="167" fontId="34" fillId="30" borderId="11" xfId="28" applyNumberFormat="1" applyFont="1" applyFill="1" applyBorder="1" applyAlignment="1" applyProtection="1">
      <alignment horizontal="center"/>
    </xf>
    <xf numFmtId="168" fontId="38" fillId="30" borderId="13" xfId="0" applyNumberFormat="1" applyFont="1" applyFill="1" applyBorder="1" applyAlignment="1">
      <alignment horizontal="center" vertical="center" wrapText="1"/>
    </xf>
    <xf numFmtId="167" fontId="34" fillId="31" borderId="11" xfId="28" applyNumberFormat="1" applyFont="1" applyFill="1" applyBorder="1" applyAlignment="1" applyProtection="1">
      <alignment horizontal="center"/>
    </xf>
    <xf numFmtId="168" fontId="38" fillId="31" borderId="13" xfId="0" applyNumberFormat="1" applyFont="1" applyFill="1" applyBorder="1" applyAlignment="1">
      <alignment horizontal="center" vertical="center" wrapText="1"/>
    </xf>
    <xf numFmtId="167" fontId="34" fillId="32" borderId="11" xfId="28" applyNumberFormat="1" applyFont="1" applyFill="1" applyBorder="1" applyAlignment="1" applyProtection="1">
      <alignment horizontal="center"/>
    </xf>
    <xf numFmtId="168" fontId="38" fillId="32" borderId="13" xfId="0" applyNumberFormat="1" applyFont="1" applyFill="1" applyBorder="1" applyAlignment="1">
      <alignment horizontal="center" vertical="center" wrapText="1"/>
    </xf>
    <xf numFmtId="167" fontId="34" fillId="27" borderId="17" xfId="28" applyNumberFormat="1" applyFont="1" applyFill="1" applyBorder="1" applyAlignment="1" applyProtection="1">
      <alignment horizontal="center"/>
    </xf>
    <xf numFmtId="0" fontId="29" fillId="27" borderId="11" xfId="0" applyFont="1" applyFill="1" applyBorder="1"/>
    <xf numFmtId="173" fontId="46" fillId="0" borderId="55" xfId="0" applyNumberFormat="1" applyFont="1" applyBorder="1" applyAlignment="1">
      <alignment horizontal="center" vertical="center"/>
    </xf>
    <xf numFmtId="0" fontId="29" fillId="0" borderId="11" xfId="28" applyNumberFormat="1" applyFont="1" applyBorder="1" applyProtection="1"/>
    <xf numFmtId="178" fontId="53" fillId="0" borderId="0" xfId="29" applyNumberFormat="1" applyFont="1" applyProtection="1"/>
    <xf numFmtId="0" fontId="46" fillId="0" borderId="55" xfId="0" applyFont="1" applyBorder="1"/>
    <xf numFmtId="0" fontId="46" fillId="0" borderId="36" xfId="0" applyFont="1" applyBorder="1"/>
    <xf numFmtId="2" fontId="0" fillId="0" borderId="64" xfId="0" applyNumberFormat="1" applyBorder="1" applyAlignment="1">
      <alignment vertical="center"/>
    </xf>
    <xf numFmtId="2" fontId="0" fillId="0" borderId="40" xfId="0" applyNumberFormat="1" applyBorder="1" applyAlignment="1">
      <alignment vertical="center"/>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6"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9" fillId="0" borderId="66" xfId="0" applyNumberFormat="1" applyFont="1" applyBorder="1" applyAlignment="1">
      <alignment vertical="center"/>
    </xf>
    <xf numFmtId="0" fontId="29" fillId="0" borderId="66" xfId="0" applyFont="1" applyBorder="1" applyAlignment="1">
      <alignment horizontal="center" vertical="center"/>
    </xf>
    <xf numFmtId="4" fontId="29" fillId="0" borderId="66" xfId="0" applyNumberFormat="1" applyFont="1" applyBorder="1" applyAlignment="1">
      <alignment vertical="center"/>
    </xf>
    <xf numFmtId="171" fontId="29" fillId="0" borderId="66" xfId="0" applyNumberFormat="1" applyFont="1" applyBorder="1" applyAlignment="1">
      <alignment vertical="center"/>
    </xf>
    <xf numFmtId="168" fontId="29" fillId="0" borderId="66" xfId="0" applyNumberFormat="1" applyFont="1" applyBorder="1" applyAlignment="1">
      <alignment vertical="center"/>
    </xf>
    <xf numFmtId="2" fontId="29" fillId="0" borderId="66" xfId="0" applyNumberFormat="1" applyFont="1" applyBorder="1" applyAlignment="1">
      <alignment vertical="center" wrapText="1"/>
    </xf>
    <xf numFmtId="4" fontId="29"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9" fillId="0" borderId="66" xfId="50" applyFont="1" applyFill="1" applyBorder="1" applyAlignment="1" applyProtection="1">
      <alignment horizontal="center" vertical="center"/>
    </xf>
    <xf numFmtId="0" fontId="0" fillId="0" borderId="11" xfId="0" quotePrefix="1" applyBorder="1" applyAlignment="1" applyProtection="1">
      <alignment horizontal="center" vertical="center"/>
      <protection locked="0"/>
    </xf>
    <xf numFmtId="10" fontId="46" fillId="0" borderId="11" xfId="50" applyNumberFormat="1" applyFont="1" applyFill="1" applyBorder="1" applyAlignment="1" applyProtection="1">
      <alignment horizontal="center" vertical="center"/>
      <protection locked="0"/>
    </xf>
    <xf numFmtId="10" fontId="46" fillId="27" borderId="11" xfId="50" applyNumberFormat="1" applyFont="1" applyFill="1" applyBorder="1" applyAlignment="1" applyProtection="1">
      <alignment horizontal="center" vertical="center"/>
      <protection locked="0"/>
    </xf>
    <xf numFmtId="2" fontId="40" fillId="0" borderId="11" xfId="44" applyNumberFormat="1" applyFont="1" applyBorder="1" applyAlignment="1">
      <alignment horizontal="center"/>
    </xf>
    <xf numFmtId="165" fontId="44" fillId="31" borderId="11" xfId="29" applyNumberFormat="1" applyFont="1" applyFill="1" applyBorder="1" applyAlignment="1">
      <alignment vertical="center"/>
    </xf>
    <xf numFmtId="0" fontId="46" fillId="0" borderId="11" xfId="0" applyFont="1" applyBorder="1" applyAlignment="1" applyProtection="1">
      <alignment horizontal="center" vertical="center"/>
      <protection locked="0"/>
    </xf>
    <xf numFmtId="173" fontId="46" fillId="0" borderId="0" xfId="0" applyNumberFormat="1" applyFont="1" applyAlignment="1">
      <alignment vertical="center"/>
    </xf>
    <xf numFmtId="0" fontId="39" fillId="27" borderId="11" xfId="0" applyFont="1" applyFill="1" applyBorder="1" applyAlignment="1">
      <alignment horizontal="center" vertical="center" wrapText="1"/>
    </xf>
    <xf numFmtId="10" fontId="46" fillId="27" borderId="62" xfId="50" applyNumberFormat="1" applyFont="1" applyFill="1" applyBorder="1" applyAlignment="1" applyProtection="1">
      <alignment horizontal="center" vertical="center"/>
      <protection locked="0"/>
    </xf>
    <xf numFmtId="0" fontId="39" fillId="27" borderId="11" xfId="0" applyFont="1" applyFill="1" applyBorder="1" applyAlignment="1">
      <alignment vertical="center" wrapText="1"/>
    </xf>
    <xf numFmtId="0" fontId="54" fillId="0" borderId="0" xfId="0" applyFont="1"/>
    <xf numFmtId="0" fontId="24" fillId="24" borderId="15" xfId="0" applyFont="1" applyFill="1" applyBorder="1"/>
    <xf numFmtId="0" fontId="24" fillId="24" borderId="15" xfId="0" applyFont="1" applyFill="1" applyBorder="1" applyAlignment="1">
      <alignment horizontal="center" wrapText="1"/>
    </xf>
    <xf numFmtId="0" fontId="24" fillId="24" borderId="56" xfId="0" applyFont="1" applyFill="1" applyBorder="1"/>
    <xf numFmtId="9" fontId="24" fillId="0" borderId="21" xfId="50" applyFont="1" applyFill="1" applyBorder="1" applyAlignment="1">
      <alignment vertical="center"/>
    </xf>
    <xf numFmtId="0" fontId="24" fillId="24" borderId="21" xfId="0" applyFont="1" applyFill="1" applyBorder="1"/>
    <xf numFmtId="2" fontId="24" fillId="24" borderId="21" xfId="0" applyNumberFormat="1" applyFont="1" applyFill="1" applyBorder="1"/>
    <xf numFmtId="165" fontId="24" fillId="0" borderId="11" xfId="29" applyNumberFormat="1" applyFont="1" applyFill="1" applyBorder="1" applyAlignment="1">
      <alignment vertical="center"/>
    </xf>
    <xf numFmtId="165" fontId="24" fillId="24" borderId="21" xfId="0" applyNumberFormat="1" applyFont="1" applyFill="1" applyBorder="1"/>
    <xf numFmtId="10" fontId="43" fillId="0" borderId="13" xfId="50" applyNumberFormat="1" applyFont="1" applyFill="1" applyBorder="1" applyAlignment="1">
      <alignment vertical="center"/>
    </xf>
    <xf numFmtId="10" fontId="43" fillId="0" borderId="30" xfId="50" applyNumberFormat="1" applyFont="1" applyFill="1" applyBorder="1" applyAlignment="1">
      <alignment vertical="center"/>
    </xf>
    <xf numFmtId="0" fontId="24" fillId="24" borderId="69" xfId="0" applyFont="1" applyFill="1" applyBorder="1"/>
    <xf numFmtId="0" fontId="24" fillId="24" borderId="36" xfId="0" applyFont="1" applyFill="1" applyBorder="1"/>
    <xf numFmtId="0" fontId="24" fillId="24" borderId="26" xfId="0" applyFont="1" applyFill="1" applyBorder="1"/>
    <xf numFmtId="0" fontId="24" fillId="24" borderId="25" xfId="0" applyFont="1" applyFill="1" applyBorder="1"/>
    <xf numFmtId="0" fontId="24" fillId="24" borderId="17" xfId="0" applyFont="1" applyFill="1" applyBorder="1"/>
    <xf numFmtId="0" fontId="24" fillId="24" borderId="55" xfId="0" applyFont="1" applyFill="1" applyBorder="1"/>
    <xf numFmtId="0" fontId="24" fillId="24" borderId="45" xfId="0" applyFont="1" applyFill="1" applyBorder="1"/>
    <xf numFmtId="0" fontId="40" fillId="0" borderId="11" xfId="56" applyFont="1" applyBorder="1" applyAlignment="1">
      <alignment horizontal="left"/>
    </xf>
    <xf numFmtId="0" fontId="46" fillId="0" borderId="11" xfId="0" applyFont="1" applyBorder="1"/>
    <xf numFmtId="0" fontId="40" fillId="0" borderId="19" xfId="56" applyFont="1" applyBorder="1" applyAlignment="1">
      <alignment horizontal="left"/>
    </xf>
    <xf numFmtId="0" fontId="32" fillId="0" borderId="11" xfId="56" applyFont="1" applyBorder="1" applyAlignment="1">
      <alignment horizontal="left"/>
    </xf>
    <xf numFmtId="178" fontId="44" fillId="0" borderId="17" xfId="29" applyNumberFormat="1" applyFont="1" applyFill="1" applyBorder="1" applyAlignment="1">
      <alignment vertical="center" wrapText="1"/>
    </xf>
    <xf numFmtId="0" fontId="28" fillId="24" borderId="14" xfId="0" quotePrefix="1" applyFont="1" applyFill="1" applyBorder="1" applyAlignment="1" applyProtection="1">
      <alignment wrapText="1"/>
      <protection locked="0"/>
    </xf>
    <xf numFmtId="0" fontId="55" fillId="34" borderId="0" xfId="0" applyFont="1" applyFill="1"/>
    <xf numFmtId="180" fontId="44" fillId="25" borderId="11" xfId="29" applyNumberFormat="1" applyFont="1" applyFill="1" applyBorder="1" applyAlignment="1">
      <alignment vertical="center"/>
    </xf>
    <xf numFmtId="4" fontId="0" fillId="0" borderId="0" xfId="0" applyNumberFormat="1" applyAlignment="1">
      <alignment horizontal="center" vertical="center"/>
    </xf>
    <xf numFmtId="4" fontId="0" fillId="0" borderId="0" xfId="0" applyNumberFormat="1" applyAlignment="1">
      <alignment vertical="center"/>
    </xf>
    <xf numFmtId="0" fontId="0" fillId="27" borderId="0" xfId="0" applyFill="1"/>
    <xf numFmtId="0" fontId="0" fillId="27" borderId="0" xfId="0" applyFill="1" applyAlignment="1">
      <alignment vertical="center"/>
    </xf>
    <xf numFmtId="2" fontId="0" fillId="0" borderId="0" xfId="0" applyNumberFormat="1" applyAlignment="1">
      <alignment vertical="center"/>
    </xf>
    <xf numFmtId="0" fontId="0" fillId="0" borderId="0" xfId="0" applyAlignment="1">
      <alignment horizontal="right"/>
    </xf>
    <xf numFmtId="2" fontId="54" fillId="27" borderId="11" xfId="0" applyNumberFormat="1" applyFont="1" applyFill="1" applyBorder="1" applyAlignment="1">
      <alignment horizontal="center" vertical="center" wrapText="1"/>
    </xf>
    <xf numFmtId="0" fontId="54" fillId="27" borderId="11" xfId="0" applyFont="1" applyFill="1" applyBorder="1" applyAlignment="1">
      <alignment horizontal="center" vertical="center" wrapText="1"/>
    </xf>
    <xf numFmtId="9" fontId="54" fillId="27" borderId="11" xfId="50" applyFont="1" applyFill="1" applyBorder="1" applyAlignment="1">
      <alignment horizontal="center" vertical="center" wrapText="1"/>
    </xf>
    <xf numFmtId="10" fontId="0" fillId="0" borderId="11" xfId="50" applyNumberFormat="1" applyFont="1" applyBorder="1" applyAlignment="1">
      <alignment horizontal="center"/>
    </xf>
    <xf numFmtId="2" fontId="54" fillId="33" borderId="11" xfId="0" applyNumberFormat="1" applyFont="1" applyFill="1" applyBorder="1" applyAlignment="1">
      <alignment horizontal="center"/>
    </xf>
    <xf numFmtId="10" fontId="54" fillId="33" borderId="11" xfId="50" applyNumberFormat="1" applyFont="1" applyFill="1" applyBorder="1" applyAlignment="1">
      <alignment horizontal="center"/>
    </xf>
    <xf numFmtId="10" fontId="0" fillId="0" borderId="11" xfId="50" applyNumberFormat="1" applyFont="1" applyBorder="1"/>
    <xf numFmtId="10" fontId="29" fillId="0" borderId="11" xfId="0" applyNumberFormat="1" applyFont="1" applyBorder="1"/>
    <xf numFmtId="0" fontId="54" fillId="27" borderId="11" xfId="0" applyFont="1" applyFill="1" applyBorder="1" applyAlignment="1">
      <alignment horizontal="center" vertical="center"/>
    </xf>
    <xf numFmtId="14" fontId="54" fillId="27" borderId="0" xfId="0" applyNumberFormat="1" applyFont="1" applyFill="1" applyAlignment="1">
      <alignment horizontal="center" vertical="center"/>
    </xf>
    <xf numFmtId="2" fontId="54" fillId="27" borderId="0" xfId="0" applyNumberFormat="1" applyFont="1" applyFill="1" applyAlignment="1">
      <alignment horizontal="center" vertical="center" wrapText="1"/>
    </xf>
    <xf numFmtId="0" fontId="54" fillId="27" borderId="0" xfId="0" applyFont="1" applyFill="1" applyAlignment="1">
      <alignment horizontal="center" vertic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0" fontId="0" fillId="0" borderId="0" xfId="0" quotePrefix="1"/>
    <xf numFmtId="14" fontId="0" fillId="0" borderId="0" xfId="0" applyNumberFormat="1" applyAlignment="1">
      <alignment horizontal="center"/>
    </xf>
    <xf numFmtId="10" fontId="0" fillId="0" borderId="11" xfId="0" applyNumberFormat="1" applyBorder="1" applyAlignment="1">
      <alignment horizontal="right"/>
    </xf>
    <xf numFmtId="0" fontId="0" fillId="0" borderId="62" xfId="0" applyBorder="1"/>
    <xf numFmtId="10" fontId="0" fillId="0" borderId="11" xfId="0" applyNumberFormat="1" applyBorder="1" applyAlignment="1">
      <alignment horizontal="center"/>
    </xf>
    <xf numFmtId="0" fontId="0" fillId="35" borderId="0" xfId="0" applyFill="1"/>
    <xf numFmtId="0" fontId="46" fillId="27" borderId="0" xfId="0" applyFont="1" applyFill="1"/>
    <xf numFmtId="0" fontId="46" fillId="35" borderId="0" xfId="0" applyFont="1" applyFill="1"/>
    <xf numFmtId="0" fontId="46" fillId="27" borderId="0" xfId="0" applyFont="1" applyFill="1" applyAlignment="1">
      <alignment horizontal="center"/>
    </xf>
    <xf numFmtId="0" fontId="46" fillId="35" borderId="0" xfId="0" applyFont="1" applyFill="1" applyAlignment="1">
      <alignment horizontal="center"/>
    </xf>
    <xf numFmtId="4" fontId="0" fillId="34" borderId="0" xfId="0" applyNumberFormat="1" applyFill="1" applyAlignment="1">
      <alignment horizontal="center" vertical="center"/>
    </xf>
    <xf numFmtId="4" fontId="0" fillId="34" borderId="0" xfId="0" applyNumberFormat="1" applyFill="1" applyAlignment="1">
      <alignment vertical="center"/>
    </xf>
    <xf numFmtId="4" fontId="0" fillId="35" borderId="0" xfId="0" applyNumberFormat="1" applyFill="1" applyAlignment="1">
      <alignment vertical="center"/>
    </xf>
    <xf numFmtId="0" fontId="0" fillId="35" borderId="0" xfId="0" applyFill="1" applyAlignment="1">
      <alignment vertical="center"/>
    </xf>
    <xf numFmtId="4" fontId="46" fillId="0" borderId="0" xfId="0" applyNumberFormat="1" applyFont="1" applyAlignment="1">
      <alignment vertical="center"/>
    </xf>
    <xf numFmtId="0" fontId="29" fillId="33" borderId="11" xfId="0" applyFont="1" applyFill="1" applyBorder="1"/>
    <xf numFmtId="0" fontId="40" fillId="38" borderId="11" xfId="56" applyFont="1" applyFill="1" applyBorder="1" applyAlignment="1">
      <alignment horizontal="left"/>
    </xf>
    <xf numFmtId="0" fontId="0" fillId="39" borderId="11" xfId="0" applyFill="1" applyBorder="1"/>
    <xf numFmtId="0" fontId="46" fillId="39" borderId="11" xfId="0" applyFont="1" applyFill="1" applyBorder="1"/>
    <xf numFmtId="10" fontId="0" fillId="38" borderId="17" xfId="50" applyNumberFormat="1" applyFont="1" applyFill="1" applyBorder="1"/>
    <xf numFmtId="10" fontId="0" fillId="0" borderId="17" xfId="50" applyNumberFormat="1" applyFont="1" applyBorder="1"/>
    <xf numFmtId="0" fontId="59" fillId="0" borderId="11" xfId="56" applyFont="1" applyBorder="1" applyAlignment="1">
      <alignment horizontal="left"/>
    </xf>
    <xf numFmtId="10" fontId="58" fillId="27" borderId="11" xfId="50" applyNumberFormat="1" applyFont="1" applyFill="1" applyBorder="1"/>
    <xf numFmtId="0" fontId="23" fillId="0" borderId="0" xfId="41" applyFont="1"/>
    <xf numFmtId="0" fontId="44" fillId="0" borderId="14" xfId="0" applyFont="1" applyBorder="1" applyAlignment="1">
      <alignment horizontal="center" vertical="center" wrapText="1"/>
    </xf>
    <xf numFmtId="164" fontId="44" fillId="0" borderId="14" xfId="29" applyFont="1" applyFill="1" applyBorder="1" applyAlignment="1">
      <alignment horizontal="center" vertical="center" wrapText="1"/>
    </xf>
    <xf numFmtId="10" fontId="44" fillId="29" borderId="11" xfId="50" applyNumberFormat="1" applyFont="1" applyFill="1" applyBorder="1" applyAlignment="1">
      <alignment vertical="center"/>
    </xf>
    <xf numFmtId="10" fontId="44" fillId="4" borderId="11" xfId="50" applyNumberFormat="1" applyFont="1" applyFill="1" applyBorder="1" applyAlignment="1">
      <alignment vertical="center"/>
    </xf>
    <xf numFmtId="10" fontId="44" fillId="25" borderId="11" xfId="50" applyNumberFormat="1" applyFont="1" applyFill="1" applyBorder="1"/>
    <xf numFmtId="166" fontId="44" fillId="0" borderId="0" xfId="51" applyNumberFormat="1" applyFont="1" applyFill="1" applyBorder="1" applyAlignment="1">
      <alignment vertical="center"/>
    </xf>
    <xf numFmtId="177" fontId="43" fillId="0" borderId="11" xfId="0" applyNumberFormat="1" applyFont="1" applyBorder="1" applyAlignment="1">
      <alignment horizontal="center" vertical="center" wrapText="1"/>
    </xf>
    <xf numFmtId="2" fontId="40" fillId="0" borderId="11" xfId="45" applyNumberFormat="1" applyFont="1" applyBorder="1" applyAlignment="1">
      <alignment horizontal="center"/>
    </xf>
    <xf numFmtId="10" fontId="43" fillId="0" borderId="11" xfId="50" applyNumberFormat="1" applyFont="1" applyFill="1" applyBorder="1" applyAlignment="1">
      <alignment vertical="center"/>
    </xf>
    <xf numFmtId="178" fontId="43" fillId="0" borderId="19" xfId="29" applyNumberFormat="1" applyFont="1" applyFill="1" applyBorder="1" applyAlignment="1">
      <alignment vertical="center"/>
    </xf>
    <xf numFmtId="2" fontId="37" fillId="0" borderId="11" xfId="46" applyNumberFormat="1" applyFont="1" applyBorder="1"/>
    <xf numFmtId="2" fontId="43" fillId="0" borderId="0" xfId="0" applyNumberFormat="1" applyFont="1"/>
    <xf numFmtId="181" fontId="44" fillId="0" borderId="11" xfId="29" applyNumberFormat="1" applyFont="1" applyFill="1" applyBorder="1" applyAlignment="1">
      <alignment vertical="center"/>
    </xf>
    <xf numFmtId="10" fontId="43" fillId="28" borderId="0" xfId="0" applyNumberFormat="1" applyFont="1" applyFill="1" applyAlignment="1">
      <alignment horizontal="right"/>
    </xf>
    <xf numFmtId="167" fontId="34" fillId="30" borderId="13" xfId="28" applyNumberFormat="1" applyFont="1" applyFill="1" applyBorder="1" applyAlignment="1" applyProtection="1">
      <alignment horizontal="center"/>
    </xf>
    <xf numFmtId="167" fontId="34" fillId="31" borderId="13" xfId="28" applyNumberFormat="1" applyFont="1" applyFill="1" applyBorder="1" applyAlignment="1" applyProtection="1">
      <alignment horizontal="center"/>
    </xf>
    <xf numFmtId="167" fontId="34" fillId="32" borderId="13" xfId="28" applyNumberFormat="1" applyFont="1" applyFill="1" applyBorder="1" applyAlignment="1" applyProtection="1">
      <alignment horizontal="center"/>
    </xf>
    <xf numFmtId="165" fontId="28" fillId="24" borderId="17" xfId="0" applyNumberFormat="1" applyFont="1" applyFill="1" applyBorder="1" applyAlignment="1" applyProtection="1">
      <alignment horizontal="left"/>
      <protection locked="0"/>
    </xf>
    <xf numFmtId="2" fontId="0" fillId="0" borderId="11" xfId="28" applyNumberFormat="1" applyFont="1" applyBorder="1" applyAlignment="1">
      <alignment horizontal="center"/>
    </xf>
    <xf numFmtId="10" fontId="0" fillId="0" borderId="0" xfId="0" applyNumberFormat="1"/>
    <xf numFmtId="178" fontId="44" fillId="40" borderId="11" xfId="60" applyNumberFormat="1" applyFont="1" applyFill="1" applyBorder="1" applyAlignment="1">
      <alignment horizontal="center" vertical="center" wrapText="1"/>
    </xf>
    <xf numFmtId="178" fontId="44" fillId="26" borderId="14" xfId="60" applyNumberFormat="1" applyFont="1" applyFill="1" applyBorder="1" applyAlignment="1">
      <alignment horizontal="center" vertical="center" wrapText="1"/>
    </xf>
    <xf numFmtId="178" fontId="44" fillId="26" borderId="11" xfId="60" applyNumberFormat="1" applyFont="1" applyFill="1" applyBorder="1" applyAlignment="1">
      <alignment horizontal="center" vertical="center" wrapText="1"/>
    </xf>
    <xf numFmtId="178" fontId="44" fillId="40" borderId="14" xfId="60" applyNumberFormat="1" applyFont="1" applyFill="1" applyBorder="1" applyAlignment="1">
      <alignment horizontal="center" vertical="center" wrapText="1"/>
    </xf>
    <xf numFmtId="178" fontId="44" fillId="4" borderId="14" xfId="29" applyNumberFormat="1" applyFont="1" applyFill="1" applyBorder="1" applyAlignment="1">
      <alignment horizontal="center" vertical="center" wrapText="1"/>
    </xf>
    <xf numFmtId="178" fontId="44" fillId="0" borderId="17" xfId="29" applyNumberFormat="1" applyFont="1" applyFill="1" applyBorder="1" applyAlignment="1">
      <alignment horizontal="center" vertical="center" wrapText="1"/>
    </xf>
    <xf numFmtId="10" fontId="44" fillId="28" borderId="0" xfId="0" applyNumberFormat="1" applyFont="1" applyFill="1"/>
    <xf numFmtId="2" fontId="0" fillId="0" borderId="0" xfId="28" applyNumberFormat="1" applyFont="1" applyAlignment="1"/>
    <xf numFmtId="2" fontId="29" fillId="0" borderId="20" xfId="28" applyNumberFormat="1" applyFont="1" applyFill="1" applyBorder="1" applyAlignment="1" applyProtection="1">
      <alignment horizontal="center" vertical="center"/>
    </xf>
    <xf numFmtId="2" fontId="29" fillId="0" borderId="11"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5" xfId="28" applyNumberFormat="1" applyFont="1" applyBorder="1" applyAlignment="1"/>
    <xf numFmtId="2" fontId="0" fillId="0" borderId="85" xfId="28" applyNumberFormat="1" applyFont="1" applyBorder="1" applyAlignment="1" applyProtection="1">
      <alignment horizontal="center" vertical="center"/>
      <protection hidden="1"/>
    </xf>
    <xf numFmtId="0" fontId="29" fillId="0" borderId="0" xfId="41" applyFont="1"/>
    <xf numFmtId="178" fontId="44" fillId="0" borderId="17" xfId="29" applyNumberFormat="1" applyFont="1" applyFill="1" applyBorder="1" applyAlignment="1">
      <alignment horizontal="center" vertical="center" wrapText="1"/>
    </xf>
    <xf numFmtId="0" fontId="44" fillId="0" borderId="14" xfId="0" applyFont="1" applyBorder="1" applyAlignment="1">
      <alignment horizontal="center" vertical="center" wrapText="1"/>
    </xf>
    <xf numFmtId="164" fontId="44" fillId="0" borderId="14" xfId="29" applyFont="1" applyFill="1" applyBorder="1" applyAlignment="1">
      <alignment horizontal="center" vertical="center" wrapText="1"/>
    </xf>
    <xf numFmtId="178" fontId="44" fillId="4" borderId="14" xfId="29" applyNumberFormat="1" applyFont="1" applyFill="1" applyBorder="1" applyAlignment="1">
      <alignment horizontal="center" vertical="center" wrapText="1"/>
    </xf>
    <xf numFmtId="0" fontId="54" fillId="27" borderId="11" xfId="0" applyFont="1" applyFill="1" applyBorder="1" applyAlignment="1">
      <alignment horizontal="center" vertical="center"/>
    </xf>
    <xf numFmtId="0" fontId="46" fillId="0" borderId="11" xfId="0" applyFont="1" applyBorder="1" applyAlignment="1">
      <alignment wrapText="1"/>
    </xf>
    <xf numFmtId="0" fontId="46" fillId="27" borderId="0" xfId="0" applyFont="1" applyFill="1" applyAlignment="1">
      <alignment horizontal="center"/>
    </xf>
    <xf numFmtId="1" fontId="44" fillId="0" borderId="0" xfId="50" applyNumberFormat="1" applyFont="1" applyFill="1" applyBorder="1" applyAlignment="1">
      <alignment vertical="center"/>
    </xf>
    <xf numFmtId="2" fontId="29" fillId="0" borderId="86" xfId="28" applyNumberFormat="1" applyFont="1" applyBorder="1" applyAlignment="1">
      <alignment horizontal="center" vertical="center"/>
    </xf>
    <xf numFmtId="2" fontId="29" fillId="0" borderId="86" xfId="28" applyNumberFormat="1" applyFont="1" applyFill="1" applyBorder="1" applyAlignment="1" applyProtection="1">
      <alignment horizontal="center" vertical="center"/>
    </xf>
    <xf numFmtId="0" fontId="29" fillId="0" borderId="19" xfId="0" applyFont="1" applyBorder="1" applyAlignment="1">
      <alignment horizontal="center" vertical="center" wrapText="1"/>
    </xf>
    <xf numFmtId="0" fontId="29" fillId="0" borderId="82" xfId="0" applyFont="1" applyBorder="1" applyAlignment="1">
      <alignment horizontal="center" vertical="center"/>
    </xf>
    <xf numFmtId="0" fontId="29" fillId="0" borderId="17" xfId="0" applyFont="1" applyBorder="1" applyAlignment="1">
      <alignment horizontal="center" vertical="center"/>
    </xf>
    <xf numFmtId="0" fontId="29" fillId="0" borderId="82"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83" xfId="0" applyFont="1" applyBorder="1" applyAlignment="1">
      <alignment horizontal="center" vertical="center" wrapText="1"/>
    </xf>
    <xf numFmtId="0" fontId="29" fillId="0" borderId="84" xfId="0" applyFont="1" applyBorder="1" applyAlignment="1">
      <alignment horizontal="center" vertical="center" wrapText="1"/>
    </xf>
    <xf numFmtId="10" fontId="0" fillId="0" borderId="11" xfId="0" applyNumberFormat="1" applyBorder="1" applyAlignment="1">
      <alignment horizontal="center" vertical="center"/>
    </xf>
    <xf numFmtId="0" fontId="54" fillId="0" borderId="11" xfId="0" applyFont="1" applyBorder="1" applyAlignment="1">
      <alignment horizontal="left" vertical="center"/>
    </xf>
    <xf numFmtId="0" fontId="54" fillId="27" borderId="11" xfId="0" applyFont="1" applyFill="1" applyBorder="1" applyAlignment="1">
      <alignment horizontal="center" vertical="center" wrapText="1"/>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6" fillId="0" borderId="11" xfId="0" applyFont="1" applyBorder="1" applyAlignment="1">
      <alignment vertical="top" wrapText="1"/>
    </xf>
    <xf numFmtId="0" fontId="54" fillId="0" borderId="60" xfId="0" applyFont="1" applyBorder="1" applyAlignment="1">
      <alignment vertical="center"/>
    </xf>
    <xf numFmtId="10" fontId="54" fillId="0" borderId="11" xfId="50" applyNumberFormat="1" applyFont="1" applyBorder="1" applyAlignment="1">
      <alignment horizontal="center"/>
    </xf>
    <xf numFmtId="0" fontId="21" fillId="0" borderId="0" xfId="41" applyFont="1"/>
    <xf numFmtId="0" fontId="22" fillId="0" borderId="0" xfId="41" applyFont="1"/>
    <xf numFmtId="165" fontId="46" fillId="11" borderId="11" xfId="28" applyFont="1" applyFill="1" applyBorder="1" applyAlignment="1" applyProtection="1">
      <alignment horizontal="center"/>
    </xf>
    <xf numFmtId="165" fontId="29" fillId="0" borderId="23" xfId="28" applyFont="1" applyBorder="1" applyProtection="1"/>
    <xf numFmtId="1" fontId="46" fillId="27" borderId="39" xfId="0" applyNumberFormat="1" applyFont="1" applyFill="1" applyBorder="1" applyAlignment="1">
      <alignment horizontal="center" vertical="center"/>
    </xf>
    <xf numFmtId="2" fontId="0" fillId="0" borderId="70" xfId="0" applyNumberFormat="1" applyBorder="1" applyAlignment="1">
      <alignment vertical="center"/>
    </xf>
    <xf numFmtId="0" fontId="46" fillId="0" borderId="0" xfId="0" applyFont="1" applyFill="1" applyBorder="1"/>
    <xf numFmtId="0" fontId="0" fillId="0" borderId="87" xfId="0" applyBorder="1"/>
    <xf numFmtId="0" fontId="0" fillId="0" borderId="64" xfId="0" applyBorder="1"/>
    <xf numFmtId="0" fontId="46" fillId="0" borderId="69" xfId="0" applyFont="1" applyFill="1" applyBorder="1"/>
    <xf numFmtId="0" fontId="0" fillId="0" borderId="0" xfId="0" applyBorder="1"/>
    <xf numFmtId="0" fontId="46" fillId="0" borderId="0" xfId="0" applyFont="1" applyBorder="1"/>
    <xf numFmtId="0" fontId="0" fillId="0" borderId="70" xfId="0" applyBorder="1"/>
    <xf numFmtId="0" fontId="46" fillId="0" borderId="36" xfId="0" applyFont="1" applyFill="1" applyBorder="1"/>
    <xf numFmtId="0" fontId="46" fillId="0" borderId="26" xfId="0" applyFont="1" applyFill="1" applyBorder="1"/>
    <xf numFmtId="0" fontId="0" fillId="0" borderId="40" xfId="0" applyBorder="1"/>
    <xf numFmtId="173" fontId="49" fillId="0" borderId="87" xfId="0" applyNumberFormat="1" applyFont="1" applyBorder="1"/>
    <xf numFmtId="0" fontId="46" fillId="0" borderId="69" xfId="0" applyFont="1" applyBorder="1"/>
    <xf numFmtId="0" fontId="0" fillId="0" borderId="0" xfId="0" applyFill="1" applyBorder="1"/>
    <xf numFmtId="0" fontId="29" fillId="0" borderId="79" xfId="0" applyFont="1" applyBorder="1" applyAlignment="1">
      <alignment horizontal="center" vertical="center" wrapText="1"/>
    </xf>
    <xf numFmtId="0" fontId="29" fillId="0" borderId="80" xfId="0" applyFont="1" applyBorder="1" applyAlignment="1">
      <alignment horizontal="center" vertical="center" wrapText="1"/>
    </xf>
    <xf numFmtId="0" fontId="29" fillId="0" borderId="81" xfId="0" applyFont="1" applyBorder="1" applyAlignment="1">
      <alignment horizontal="center" vertical="center" wrapText="1"/>
    </xf>
    <xf numFmtId="0" fontId="0" fillId="0" borderId="0" xfId="0" applyAlignment="1">
      <alignment horizontal="center" vertical="center"/>
    </xf>
    <xf numFmtId="0" fontId="58" fillId="24" borderId="15" xfId="0" applyFont="1" applyFill="1" applyBorder="1"/>
    <xf numFmtId="0" fontId="58" fillId="24" borderId="21" xfId="0" applyFont="1" applyFill="1" applyBorder="1"/>
    <xf numFmtId="2" fontId="0" fillId="27" borderId="11" xfId="28" applyNumberFormat="1" applyFont="1" applyFill="1" applyBorder="1" applyAlignment="1">
      <alignment vertical="top"/>
    </xf>
    <xf numFmtId="165" fontId="28" fillId="24" borderId="25" xfId="28" applyFont="1" applyFill="1" applyBorder="1" applyAlignment="1" applyProtection="1">
      <alignment horizontal="center"/>
      <protection locked="0"/>
    </xf>
    <xf numFmtId="165" fontId="28" fillId="24" borderId="17" xfId="0" applyNumberFormat="1" applyFont="1" applyFill="1" applyBorder="1" applyAlignment="1" applyProtection="1">
      <alignment horizontal="center"/>
      <protection locked="0"/>
    </xf>
    <xf numFmtId="0" fontId="28" fillId="24" borderId="17" xfId="0" quotePrefix="1" applyFont="1" applyFill="1" applyBorder="1" applyAlignment="1" applyProtection="1">
      <alignment wrapText="1"/>
      <protection locked="0"/>
    </xf>
    <xf numFmtId="165" fontId="28" fillId="24" borderId="56" xfId="28" applyFont="1" applyFill="1" applyBorder="1" applyAlignment="1" applyProtection="1">
      <alignment horizontal="center"/>
      <protection locked="0"/>
    </xf>
    <xf numFmtId="165" fontId="28" fillId="24" borderId="21" xfId="0" applyNumberFormat="1" applyFont="1" applyFill="1" applyBorder="1" applyAlignment="1" applyProtection="1">
      <alignment horizontal="center"/>
      <protection locked="0"/>
    </xf>
    <xf numFmtId="0" fontId="28" fillId="24" borderId="47" xfId="0" quotePrefix="1" applyFont="1" applyFill="1" applyBorder="1" applyAlignment="1" applyProtection="1">
      <alignment wrapText="1"/>
      <protection locked="0"/>
    </xf>
    <xf numFmtId="0" fontId="28" fillId="24" borderId="86" xfId="0" applyFont="1" applyFill="1" applyBorder="1" applyAlignment="1" applyProtection="1">
      <alignment horizontal="center"/>
      <protection locked="0"/>
    </xf>
    <xf numFmtId="0" fontId="28" fillId="24" borderId="49" xfId="0" quotePrefix="1" applyFont="1" applyFill="1" applyBorder="1" applyAlignment="1" applyProtection="1">
      <alignment wrapText="1"/>
      <protection locked="0"/>
    </xf>
    <xf numFmtId="2" fontId="28" fillId="24" borderId="69" xfId="0" applyNumberFormat="1" applyFont="1" applyFill="1" applyBorder="1" applyAlignment="1" applyProtection="1">
      <alignment horizontal="right"/>
      <protection locked="0"/>
    </xf>
    <xf numFmtId="165" fontId="28" fillId="24" borderId="57" xfId="28" applyFont="1" applyFill="1" applyBorder="1" applyAlignment="1" applyProtection="1">
      <alignment horizontal="center"/>
      <protection locked="0"/>
    </xf>
    <xf numFmtId="0" fontId="28" fillId="24" borderId="23" xfId="0" applyFont="1" applyFill="1" applyBorder="1" applyAlignment="1" applyProtection="1">
      <alignment horizontal="center"/>
      <protection locked="0"/>
    </xf>
    <xf numFmtId="0" fontId="28" fillId="24" borderId="24" xfId="0" quotePrefix="1" applyFont="1" applyFill="1" applyBorder="1" applyAlignment="1" applyProtection="1">
      <alignment wrapText="1"/>
      <protection locked="0"/>
    </xf>
    <xf numFmtId="0" fontId="43" fillId="27" borderId="0" xfId="0" applyFont="1" applyFill="1"/>
    <xf numFmtId="43" fontId="43" fillId="27" borderId="0" xfId="0" applyNumberFormat="1" applyFont="1" applyFill="1" applyAlignment="1">
      <alignment wrapText="1"/>
    </xf>
    <xf numFmtId="10" fontId="43" fillId="0" borderId="0" xfId="50" applyNumberFormat="1" applyFont="1"/>
    <xf numFmtId="173" fontId="46" fillId="0" borderId="87" xfId="0" applyNumberFormat="1" applyFont="1" applyBorder="1"/>
    <xf numFmtId="0" fontId="54" fillId="0" borderId="11" xfId="0" applyFont="1" applyBorder="1" applyAlignment="1">
      <alignment horizontal="left" vertical="center"/>
    </xf>
    <xf numFmtId="0" fontId="46" fillId="27" borderId="0" xfId="0" applyFont="1" applyFill="1" applyAlignment="1">
      <alignment horizontal="center"/>
    </xf>
    <xf numFmtId="180" fontId="43" fillId="0" borderId="0" xfId="0" applyNumberFormat="1" applyFont="1"/>
    <xf numFmtId="169" fontId="36" fillId="0" borderId="0" xfId="0" applyNumberFormat="1" applyFont="1" applyAlignment="1">
      <alignment horizontal="center" vertical="center"/>
    </xf>
    <xf numFmtId="168" fontId="39" fillId="0" borderId="11" xfId="0" applyNumberFormat="1" applyFont="1" applyBorder="1" applyAlignment="1">
      <alignment horizontal="center" vertical="center" wrapText="1"/>
    </xf>
    <xf numFmtId="0" fontId="39" fillId="0" borderId="11" xfId="0" applyFont="1" applyBorder="1" applyAlignment="1">
      <alignment horizontal="center" vertical="center" wrapText="1"/>
    </xf>
    <xf numFmtId="0" fontId="39" fillId="0" borderId="71" xfId="0" applyFont="1" applyBorder="1" applyAlignment="1">
      <alignment horizontal="center" vertical="center" wrapText="1"/>
    </xf>
    <xf numFmtId="0" fontId="39" fillId="0" borderId="72" xfId="0" applyFont="1" applyBorder="1" applyAlignment="1">
      <alignment horizontal="center" vertical="center" wrapText="1"/>
    </xf>
    <xf numFmtId="0" fontId="39" fillId="0" borderId="73" xfId="0" applyFont="1" applyBorder="1" applyAlignment="1">
      <alignment horizontal="center" vertical="center" wrapText="1"/>
    </xf>
    <xf numFmtId="0" fontId="39" fillId="27" borderId="58" xfId="0" applyFont="1" applyFill="1" applyBorder="1" applyAlignment="1">
      <alignment horizontal="center" vertical="center" wrapText="1"/>
    </xf>
    <xf numFmtId="0" fontId="39" fillId="27" borderId="31" xfId="0" applyFont="1" applyFill="1" applyBorder="1" applyAlignment="1">
      <alignment horizontal="center" vertical="center" wrapText="1"/>
    </xf>
    <xf numFmtId="0" fontId="39" fillId="27" borderId="28" xfId="0" applyFont="1" applyFill="1" applyBorder="1" applyAlignment="1">
      <alignment horizontal="center" vertical="center" wrapText="1"/>
    </xf>
    <xf numFmtId="0" fontId="39" fillId="27" borderId="60" xfId="0" applyFont="1" applyFill="1" applyBorder="1" applyAlignment="1">
      <alignment horizontal="center" vertical="center" wrapText="1"/>
    </xf>
    <xf numFmtId="171" fontId="39" fillId="0" borderId="11" xfId="0" applyNumberFormat="1" applyFont="1" applyBorder="1" applyAlignment="1">
      <alignment horizontal="center" vertical="center" wrapText="1"/>
    </xf>
    <xf numFmtId="2" fontId="39" fillId="0" borderId="11" xfId="0" applyNumberFormat="1" applyFont="1" applyBorder="1" applyAlignment="1">
      <alignment horizontal="center" vertical="center" wrapText="1"/>
    </xf>
    <xf numFmtId="4" fontId="39" fillId="0" borderId="11" xfId="0" applyNumberFormat="1" applyFont="1" applyBorder="1" applyAlignment="1">
      <alignment horizontal="center" vertical="center" wrapText="1"/>
    </xf>
    <xf numFmtId="0" fontId="46" fillId="36" borderId="0" xfId="0" applyFont="1" applyFill="1" applyAlignment="1">
      <alignment horizontal="center"/>
    </xf>
    <xf numFmtId="0" fontId="0" fillId="36" borderId="0" xfId="0" applyFill="1" applyAlignment="1">
      <alignment horizontal="center"/>
    </xf>
    <xf numFmtId="0" fontId="46" fillId="37" borderId="0" xfId="0" applyFont="1" applyFill="1" applyAlignment="1">
      <alignment horizontal="center"/>
    </xf>
    <xf numFmtId="0" fontId="0" fillId="37" borderId="0" xfId="0" applyFill="1" applyAlignment="1">
      <alignment horizontal="center"/>
    </xf>
    <xf numFmtId="0" fontId="46" fillId="27" borderId="0" xfId="0" applyFont="1" applyFill="1" applyAlignment="1">
      <alignment horizontal="center"/>
    </xf>
    <xf numFmtId="0" fontId="46" fillId="32" borderId="0" xfId="0" applyFont="1" applyFill="1" applyAlignment="1">
      <alignment horizontal="center"/>
    </xf>
    <xf numFmtId="0" fontId="0" fillId="32" borderId="0" xfId="0" applyFill="1" applyAlignment="1">
      <alignment horizontal="center"/>
    </xf>
    <xf numFmtId="0" fontId="0" fillId="0" borderId="0" xfId="0" applyAlignment="1">
      <alignment horizontal="center" vertical="center"/>
    </xf>
    <xf numFmtId="169" fontId="36" fillId="0" borderId="0" xfId="0" applyNumberFormat="1" applyFont="1" applyAlignment="1">
      <alignment horizontal="center" vertical="justify" wrapText="1"/>
    </xf>
    <xf numFmtId="167" fontId="34" fillId="0" borderId="20" xfId="28" applyNumberFormat="1" applyFont="1" applyFill="1" applyBorder="1" applyAlignment="1" applyProtection="1">
      <alignment horizontal="center"/>
    </xf>
    <xf numFmtId="167" fontId="34" fillId="27" borderId="58" xfId="28" applyNumberFormat="1" applyFont="1" applyFill="1" applyBorder="1" applyAlignment="1" applyProtection="1">
      <alignment horizontal="center"/>
    </xf>
    <xf numFmtId="167" fontId="34" fillId="27" borderId="59" xfId="28" applyNumberFormat="1" applyFont="1" applyFill="1" applyBorder="1" applyAlignment="1" applyProtection="1">
      <alignment horizontal="center"/>
    </xf>
    <xf numFmtId="167" fontId="34" fillId="27" borderId="31" xfId="28" applyNumberFormat="1" applyFont="1" applyFill="1" applyBorder="1" applyAlignment="1" applyProtection="1">
      <alignment horizontal="center"/>
    </xf>
    <xf numFmtId="167" fontId="34" fillId="27" borderId="30" xfId="28" applyNumberFormat="1" applyFont="1" applyFill="1" applyBorder="1" applyAlignment="1" applyProtection="1">
      <alignment horizontal="center"/>
    </xf>
    <xf numFmtId="167" fontId="34" fillId="27" borderId="61" xfId="28" applyNumberFormat="1" applyFont="1" applyFill="1" applyBorder="1" applyAlignment="1" applyProtection="1">
      <alignment horizontal="center"/>
    </xf>
    <xf numFmtId="167" fontId="34" fillId="27" borderId="16" xfId="28" applyNumberFormat="1" applyFont="1" applyFill="1" applyBorder="1" applyAlignment="1" applyProtection="1">
      <alignment horizontal="center"/>
    </xf>
    <xf numFmtId="0" fontId="41" fillId="4" borderId="14" xfId="0" applyFont="1" applyFill="1" applyBorder="1" applyAlignment="1">
      <alignment horizontal="center" vertical="center"/>
    </xf>
    <xf numFmtId="0" fontId="41" fillId="4" borderId="62" xfId="0" applyFont="1" applyFill="1" applyBorder="1" applyAlignment="1">
      <alignment horizontal="center" vertical="center"/>
    </xf>
    <xf numFmtId="0" fontId="41" fillId="4" borderId="17" xfId="0" applyFont="1" applyFill="1" applyBorder="1" applyAlignment="1">
      <alignment horizontal="center" vertical="center"/>
    </xf>
    <xf numFmtId="0" fontId="34" fillId="4" borderId="14" xfId="0" applyFont="1" applyFill="1" applyBorder="1" applyAlignment="1">
      <alignment horizontal="center" vertical="center" wrapText="1"/>
    </xf>
    <xf numFmtId="0" fontId="34" fillId="4" borderId="62" xfId="0" applyFont="1" applyFill="1" applyBorder="1" applyAlignment="1">
      <alignment horizontal="center" vertical="center" wrapText="1"/>
    </xf>
    <xf numFmtId="0" fontId="34" fillId="4" borderId="17" xfId="0" applyFont="1" applyFill="1" applyBorder="1" applyAlignment="1">
      <alignment horizontal="center" vertical="center" wrapText="1"/>
    </xf>
    <xf numFmtId="167" fontId="34" fillId="30" borderId="13" xfId="28" applyNumberFormat="1" applyFont="1" applyFill="1" applyBorder="1" applyAlignment="1" applyProtection="1">
      <alignment horizontal="center"/>
    </xf>
    <xf numFmtId="167" fontId="34" fillId="30" borderId="20" xfId="28" applyNumberFormat="1" applyFont="1" applyFill="1" applyBorder="1" applyAlignment="1" applyProtection="1">
      <alignment horizontal="center"/>
    </xf>
    <xf numFmtId="167" fontId="34" fillId="30" borderId="19" xfId="28" applyNumberFormat="1" applyFont="1" applyFill="1" applyBorder="1" applyAlignment="1" applyProtection="1">
      <alignment horizontal="center"/>
    </xf>
    <xf numFmtId="167" fontId="34" fillId="31" borderId="13" xfId="28" applyNumberFormat="1" applyFont="1" applyFill="1" applyBorder="1" applyAlignment="1" applyProtection="1">
      <alignment horizontal="center"/>
    </xf>
    <xf numFmtId="167" fontId="34" fillId="31" borderId="20" xfId="28" applyNumberFormat="1" applyFont="1" applyFill="1" applyBorder="1" applyAlignment="1" applyProtection="1">
      <alignment horizontal="center"/>
    </xf>
    <xf numFmtId="167" fontId="34" fillId="31" borderId="19" xfId="28" applyNumberFormat="1" applyFont="1" applyFill="1" applyBorder="1" applyAlignment="1" applyProtection="1">
      <alignment horizontal="center"/>
    </xf>
    <xf numFmtId="167" fontId="34" fillId="32" borderId="13" xfId="28" applyNumberFormat="1" applyFont="1" applyFill="1" applyBorder="1" applyAlignment="1" applyProtection="1">
      <alignment horizontal="center"/>
    </xf>
    <xf numFmtId="167" fontId="34" fillId="32" borderId="20" xfId="28" applyNumberFormat="1" applyFont="1" applyFill="1" applyBorder="1" applyAlignment="1" applyProtection="1">
      <alignment horizontal="center"/>
    </xf>
    <xf numFmtId="167" fontId="34" fillId="32" borderId="19" xfId="28" applyNumberFormat="1" applyFont="1" applyFill="1" applyBorder="1" applyAlignment="1" applyProtection="1">
      <alignment horizontal="center"/>
    </xf>
    <xf numFmtId="178" fontId="44" fillId="0" borderId="62" xfId="29" applyNumberFormat="1" applyFont="1" applyFill="1" applyBorder="1" applyAlignment="1">
      <alignment horizontal="center" vertical="center" wrapText="1"/>
    </xf>
    <xf numFmtId="178" fontId="44" fillId="0" borderId="17" xfId="29" applyNumberFormat="1" applyFont="1" applyFill="1" applyBorder="1" applyAlignment="1">
      <alignment horizontal="center" vertical="center" wrapText="1"/>
    </xf>
    <xf numFmtId="0" fontId="44" fillId="0" borderId="14" xfId="0" applyFont="1" applyBorder="1" applyAlignment="1">
      <alignment horizontal="center" vertical="center" wrapText="1"/>
    </xf>
    <xf numFmtId="0" fontId="44" fillId="0" borderId="62" xfId="0" applyFont="1" applyBorder="1" applyAlignment="1">
      <alignment horizontal="center" vertical="center" wrapText="1"/>
    </xf>
    <xf numFmtId="178" fontId="44" fillId="40" borderId="58" xfId="60" applyNumberFormat="1" applyFont="1" applyFill="1" applyBorder="1" applyAlignment="1">
      <alignment horizontal="center" vertical="center" wrapText="1"/>
    </xf>
    <xf numFmtId="178" fontId="44" fillId="40" borderId="31" xfId="60" applyNumberFormat="1" applyFont="1" applyFill="1" applyBorder="1" applyAlignment="1">
      <alignment horizontal="center" vertical="center" wrapText="1"/>
    </xf>
    <xf numFmtId="178" fontId="44" fillId="26" borderId="13" xfId="60" applyNumberFormat="1" applyFont="1" applyFill="1" applyBorder="1" applyAlignment="1">
      <alignment horizontal="center" vertical="center" wrapText="1"/>
    </xf>
    <xf numFmtId="178" fontId="44" fillId="26" borderId="19" xfId="60" applyNumberFormat="1" applyFont="1" applyFill="1" applyBorder="1" applyAlignment="1">
      <alignment horizontal="center" vertical="center" wrapText="1"/>
    </xf>
    <xf numFmtId="178" fontId="45" fillId="25" borderId="11" xfId="29" applyNumberFormat="1" applyFont="1" applyFill="1" applyBorder="1" applyAlignment="1">
      <alignment horizontal="center"/>
    </xf>
    <xf numFmtId="178" fontId="44" fillId="4" borderId="11" xfId="29" applyNumberFormat="1" applyFont="1" applyFill="1" applyBorder="1" applyAlignment="1">
      <alignment horizontal="center" vertical="center" wrapText="1"/>
    </xf>
    <xf numFmtId="178" fontId="44" fillId="4" borderId="14" xfId="29" applyNumberFormat="1" applyFont="1" applyFill="1" applyBorder="1" applyAlignment="1">
      <alignment horizontal="center" vertical="center" wrapText="1"/>
    </xf>
    <xf numFmtId="178" fontId="44" fillId="0" borderId="11" xfId="29" applyNumberFormat="1" applyFont="1" applyFill="1" applyBorder="1" applyAlignment="1">
      <alignment horizontal="center" vertical="center" wrapText="1"/>
    </xf>
    <xf numFmtId="178" fontId="44" fillId="0" borderId="14" xfId="29" applyNumberFormat="1" applyFont="1" applyFill="1" applyBorder="1" applyAlignment="1">
      <alignment horizontal="center" vertical="center" wrapText="1"/>
    </xf>
    <xf numFmtId="178" fontId="44" fillId="26" borderId="14" xfId="29" applyNumberFormat="1" applyFont="1" applyFill="1" applyBorder="1" applyAlignment="1">
      <alignment horizontal="center" vertical="center" wrapText="1"/>
    </xf>
    <xf numFmtId="178" fontId="44" fillId="26" borderId="62" xfId="29" applyNumberFormat="1" applyFont="1" applyFill="1" applyBorder="1" applyAlignment="1">
      <alignment horizontal="center" vertical="center" wrapText="1"/>
    </xf>
    <xf numFmtId="178" fontId="44" fillId="26" borderId="17" xfId="29" applyNumberFormat="1" applyFont="1" applyFill="1" applyBorder="1" applyAlignment="1">
      <alignment horizontal="center" vertical="center" wrapText="1"/>
    </xf>
    <xf numFmtId="178" fontId="44" fillId="0" borderId="13" xfId="29" applyNumberFormat="1" applyFont="1" applyFill="1" applyBorder="1" applyAlignment="1">
      <alignment horizontal="right"/>
    </xf>
    <xf numFmtId="178" fontId="44" fillId="0" borderId="19" xfId="29" applyNumberFormat="1" applyFont="1" applyFill="1" applyBorder="1" applyAlignment="1">
      <alignment horizontal="right"/>
    </xf>
    <xf numFmtId="178" fontId="44" fillId="25" borderId="11" xfId="29" applyNumberFormat="1" applyFont="1" applyFill="1" applyBorder="1" applyAlignment="1">
      <alignment horizontal="center" vertical="center" wrapText="1"/>
    </xf>
    <xf numFmtId="178" fontId="44" fillId="25" borderId="14" xfId="29" applyNumberFormat="1" applyFont="1" applyFill="1" applyBorder="1" applyAlignment="1">
      <alignment horizontal="center" vertical="center" wrapText="1"/>
    </xf>
    <xf numFmtId="178" fontId="44" fillId="4" borderId="58" xfId="29" applyNumberFormat="1" applyFont="1" applyFill="1" applyBorder="1" applyAlignment="1">
      <alignment horizontal="center" vertical="center" wrapText="1"/>
    </xf>
    <xf numFmtId="178" fontId="44" fillId="4" borderId="31" xfId="29" applyNumberFormat="1" applyFont="1" applyFill="1" applyBorder="1" applyAlignment="1">
      <alignment horizontal="center" vertical="center" wrapText="1"/>
    </xf>
    <xf numFmtId="178" fontId="44" fillId="4" borderId="30" xfId="29" applyNumberFormat="1" applyFont="1" applyFill="1" applyBorder="1" applyAlignment="1">
      <alignment horizontal="center" vertical="center" wrapText="1"/>
    </xf>
    <xf numFmtId="178" fontId="44" fillId="4" borderId="16" xfId="29" applyNumberFormat="1" applyFont="1" applyFill="1" applyBorder="1" applyAlignment="1">
      <alignment horizontal="center" vertical="center" wrapText="1"/>
    </xf>
    <xf numFmtId="178" fontId="44" fillId="22" borderId="14" xfId="29" applyNumberFormat="1" applyFont="1" applyFill="1" applyBorder="1" applyAlignment="1">
      <alignment horizontal="center" vertical="center" wrapText="1"/>
    </xf>
    <xf numFmtId="178" fontId="44" fillId="22" borderId="62" xfId="29" applyNumberFormat="1" applyFont="1" applyFill="1" applyBorder="1" applyAlignment="1">
      <alignment horizontal="center" vertical="center" wrapText="1"/>
    </xf>
    <xf numFmtId="178" fontId="44" fillId="22" borderId="17" xfId="29" applyNumberFormat="1" applyFont="1" applyFill="1" applyBorder="1" applyAlignment="1">
      <alignment horizontal="center" vertical="center" wrapText="1"/>
    </xf>
    <xf numFmtId="164" fontId="44" fillId="0" borderId="14" xfId="29" applyFont="1" applyFill="1" applyBorder="1" applyAlignment="1">
      <alignment horizontal="center" vertical="center" wrapText="1"/>
    </xf>
    <xf numFmtId="164" fontId="44" fillId="0" borderId="62" xfId="29" applyFont="1" applyFill="1" applyBorder="1" applyAlignment="1">
      <alignment horizontal="center" vertical="center" wrapText="1"/>
    </xf>
    <xf numFmtId="0" fontId="44" fillId="0" borderId="17" xfId="0" applyFont="1" applyBorder="1" applyAlignment="1">
      <alignment horizontal="center" vertical="center" wrapText="1"/>
    </xf>
    <xf numFmtId="0" fontId="51" fillId="22" borderId="11" xfId="0" applyFont="1" applyFill="1" applyBorder="1" applyAlignment="1">
      <alignment horizontal="center"/>
    </xf>
    <xf numFmtId="164" fontId="44" fillId="0" borderId="58" xfId="29" applyFont="1" applyFill="1" applyBorder="1" applyAlignment="1">
      <alignment horizontal="center" vertical="center"/>
    </xf>
    <xf numFmtId="164" fontId="44" fillId="0" borderId="59" xfId="29" applyFont="1" applyFill="1" applyBorder="1" applyAlignment="1">
      <alignment horizontal="center" vertical="center"/>
    </xf>
    <xf numFmtId="164" fontId="44" fillId="0" borderId="31" xfId="29" applyFont="1" applyFill="1" applyBorder="1" applyAlignment="1">
      <alignment horizontal="center" vertical="center"/>
    </xf>
    <xf numFmtId="164" fontId="44" fillId="0" borderId="30" xfId="29" applyFont="1" applyFill="1" applyBorder="1" applyAlignment="1">
      <alignment horizontal="center" vertical="center"/>
    </xf>
    <xf numFmtId="164" fontId="44" fillId="0" borderId="61" xfId="29" applyFont="1" applyFill="1" applyBorder="1" applyAlignment="1">
      <alignment horizontal="center" vertical="center"/>
    </xf>
    <xf numFmtId="164" fontId="44" fillId="0" borderId="16" xfId="29" applyFont="1" applyFill="1" applyBorder="1" applyAlignment="1">
      <alignment horizontal="center" vertical="center"/>
    </xf>
    <xf numFmtId="177" fontId="44" fillId="0" borderId="58" xfId="0" applyNumberFormat="1" applyFont="1" applyBorder="1" applyAlignment="1">
      <alignment horizontal="center" vertical="center"/>
    </xf>
    <xf numFmtId="177" fontId="44" fillId="0" borderId="59" xfId="0" applyNumberFormat="1" applyFont="1" applyBorder="1" applyAlignment="1">
      <alignment horizontal="center" vertical="center"/>
    </xf>
    <xf numFmtId="0" fontId="44" fillId="0" borderId="31" xfId="0" applyFont="1" applyBorder="1" applyAlignment="1">
      <alignment horizontal="center" vertical="center"/>
    </xf>
    <xf numFmtId="177" fontId="44" fillId="0" borderId="30" xfId="0" applyNumberFormat="1" applyFont="1" applyBorder="1" applyAlignment="1">
      <alignment horizontal="center" vertical="center"/>
    </xf>
    <xf numFmtId="177" fontId="44" fillId="0" borderId="61" xfId="0" applyNumberFormat="1" applyFont="1" applyBorder="1" applyAlignment="1">
      <alignment horizontal="center" vertical="center"/>
    </xf>
    <xf numFmtId="0" fontId="44" fillId="0" borderId="16" xfId="0" applyFont="1" applyBorder="1" applyAlignment="1">
      <alignment horizontal="center" vertical="center"/>
    </xf>
    <xf numFmtId="178" fontId="44" fillId="25" borderId="62" xfId="29" applyNumberFormat="1" applyFont="1" applyFill="1" applyBorder="1" applyAlignment="1">
      <alignment horizontal="center" vertical="center" wrapText="1"/>
    </xf>
    <xf numFmtId="178" fontId="44" fillId="40" borderId="86" xfId="60" applyNumberFormat="1" applyFont="1" applyFill="1" applyBorder="1" applyAlignment="1">
      <alignment horizontal="center" vertical="center" wrapText="1"/>
    </xf>
    <xf numFmtId="178" fontId="44" fillId="40" borderId="62" xfId="60" applyNumberFormat="1" applyFont="1" applyFill="1" applyBorder="1" applyAlignment="1">
      <alignment horizontal="center" vertical="center" wrapText="1"/>
    </xf>
    <xf numFmtId="178" fontId="44" fillId="40" borderId="17" xfId="60" applyNumberFormat="1" applyFont="1" applyFill="1" applyBorder="1" applyAlignment="1">
      <alignment horizontal="center" vertical="center" wrapText="1"/>
    </xf>
    <xf numFmtId="178" fontId="44" fillId="26" borderId="86" xfId="60" applyNumberFormat="1" applyFont="1" applyFill="1" applyBorder="1" applyAlignment="1">
      <alignment horizontal="center" vertical="center" wrapText="1"/>
    </xf>
    <xf numFmtId="178" fontId="44" fillId="26" borderId="62" xfId="60" applyNumberFormat="1" applyFont="1" applyFill="1" applyBorder="1" applyAlignment="1">
      <alignment horizontal="center" vertical="center" wrapText="1"/>
    </xf>
    <xf numFmtId="178" fontId="44" fillId="26" borderId="17" xfId="60" applyNumberFormat="1" applyFont="1" applyFill="1" applyBorder="1" applyAlignment="1">
      <alignment horizontal="center" vertical="center" wrapText="1"/>
    </xf>
    <xf numFmtId="0" fontId="44" fillId="0" borderId="11" xfId="0" applyFont="1" applyBorder="1" applyAlignment="1">
      <alignment horizontal="center" vertical="center" wrapText="1"/>
    </xf>
    <xf numFmtId="0" fontId="44" fillId="0" borderId="86" xfId="0" applyFont="1" applyBorder="1" applyAlignment="1">
      <alignment horizontal="center" vertical="center" wrapText="1"/>
    </xf>
    <xf numFmtId="178" fontId="44" fillId="0" borderId="13" xfId="29" applyNumberFormat="1" applyFont="1" applyFill="1" applyBorder="1" applyAlignment="1">
      <alignment horizontal="center" vertical="center" wrapText="1"/>
    </xf>
    <xf numFmtId="178" fontId="44" fillId="0" borderId="20" xfId="29" applyNumberFormat="1" applyFont="1" applyFill="1" applyBorder="1" applyAlignment="1">
      <alignment horizontal="center" vertical="center" wrapText="1"/>
    </xf>
    <xf numFmtId="178" fontId="44" fillId="0" borderId="19" xfId="29" applyNumberFormat="1" applyFont="1" applyFill="1" applyBorder="1" applyAlignment="1">
      <alignment horizontal="center" vertical="center" wrapText="1"/>
    </xf>
    <xf numFmtId="166" fontId="44" fillId="25" borderId="14" xfId="50" applyNumberFormat="1" applyFont="1" applyFill="1" applyBorder="1" applyAlignment="1">
      <alignment horizontal="center" vertical="center" wrapText="1"/>
    </xf>
    <xf numFmtId="166" fontId="44" fillId="25" borderId="62" xfId="50" applyNumberFormat="1" applyFont="1" applyFill="1" applyBorder="1" applyAlignment="1">
      <alignment horizontal="center" vertical="center" wrapText="1"/>
    </xf>
    <xf numFmtId="166" fontId="44" fillId="25" borderId="17" xfId="50" applyNumberFormat="1" applyFont="1" applyFill="1" applyBorder="1" applyAlignment="1">
      <alignment horizontal="center" vertical="center" wrapText="1"/>
    </xf>
    <xf numFmtId="2" fontId="29" fillId="0" borderId="13" xfId="28" applyNumberFormat="1" applyFont="1" applyBorder="1" applyAlignment="1">
      <alignment horizontal="center" vertical="center"/>
    </xf>
    <xf numFmtId="2" fontId="29" fillId="0" borderId="19" xfId="28" applyNumberFormat="1" applyFont="1" applyBorder="1" applyAlignment="1">
      <alignment horizontal="center" vertical="center"/>
    </xf>
    <xf numFmtId="2" fontId="29" fillId="0" borderId="11" xfId="28" applyNumberFormat="1" applyFont="1" applyBorder="1" applyAlignment="1">
      <alignment horizontal="center" vertical="center"/>
    </xf>
    <xf numFmtId="0" fontId="29" fillId="0" borderId="77" xfId="41" applyFont="1" applyBorder="1" applyAlignment="1">
      <alignment horizontal="center"/>
    </xf>
    <xf numFmtId="0" fontId="29" fillId="0" borderId="78" xfId="41" applyFont="1" applyBorder="1" applyAlignment="1">
      <alignment horizontal="center"/>
    </xf>
    <xf numFmtId="0" fontId="29" fillId="0" borderId="22" xfId="41" applyFont="1" applyBorder="1" applyAlignment="1">
      <alignment horizontal="center"/>
    </xf>
    <xf numFmtId="2" fontId="29" fillId="0" borderId="30" xfId="28" applyNumberFormat="1" applyFont="1" applyBorder="1" applyAlignment="1">
      <alignment horizontal="center" vertical="center"/>
    </xf>
    <xf numFmtId="2" fontId="29" fillId="0" borderId="61" xfId="28" applyNumberFormat="1" applyFont="1" applyBorder="1" applyAlignment="1">
      <alignment horizontal="center" vertical="center"/>
    </xf>
    <xf numFmtId="2" fontId="29" fillId="0" borderId="16" xfId="28" applyNumberFormat="1" applyFont="1" applyBorder="1" applyAlignment="1">
      <alignment horizontal="center" vertical="center"/>
    </xf>
    <xf numFmtId="2" fontId="29" fillId="0" borderId="20" xfId="28" applyNumberFormat="1" applyFont="1" applyBorder="1" applyAlignment="1">
      <alignment horizontal="center" vertical="center"/>
    </xf>
    <xf numFmtId="2" fontId="0" fillId="0" borderId="13" xfId="28" applyNumberFormat="1" applyFont="1" applyBorder="1" applyAlignment="1">
      <alignment horizontal="center"/>
    </xf>
    <xf numFmtId="2" fontId="0" fillId="0" borderId="20" xfId="28" applyNumberFormat="1" applyFont="1" applyBorder="1" applyAlignment="1">
      <alignment horizontal="center"/>
    </xf>
    <xf numFmtId="2" fontId="0" fillId="0" borderId="19" xfId="28" applyNumberFormat="1" applyFont="1" applyBorder="1" applyAlignment="1">
      <alignment horizontal="center"/>
    </xf>
    <xf numFmtId="2" fontId="0" fillId="0" borderId="11" xfId="28" applyNumberFormat="1" applyFont="1" applyBorder="1" applyAlignment="1">
      <alignment horizontal="center" vertical="center"/>
    </xf>
    <xf numFmtId="0" fontId="29" fillId="0" borderId="44" xfId="41" applyFont="1" applyBorder="1" applyAlignment="1">
      <alignment horizontal="center" vertical="center"/>
    </xf>
    <xf numFmtId="0" fontId="29" fillId="0" borderId="75" xfId="41" applyFont="1" applyBorder="1" applyAlignment="1">
      <alignment horizontal="center" vertical="center"/>
    </xf>
    <xf numFmtId="0" fontId="29" fillId="0" borderId="46" xfId="41" applyFont="1" applyBorder="1" applyAlignment="1">
      <alignment horizontal="center" vertical="center"/>
    </xf>
    <xf numFmtId="0" fontId="29" fillId="0" borderId="54" xfId="41" applyFont="1" applyBorder="1" applyAlignment="1">
      <alignment horizontal="center" vertical="center"/>
    </xf>
    <xf numFmtId="0" fontId="29" fillId="0" borderId="62" xfId="41" applyFont="1" applyBorder="1" applyAlignment="1">
      <alignment horizontal="center" vertical="center"/>
    </xf>
    <xf numFmtId="0" fontId="29" fillId="0" borderId="29" xfId="41" applyFont="1" applyBorder="1" applyAlignment="1">
      <alignment horizontal="center" vertical="center"/>
    </xf>
    <xf numFmtId="0" fontId="29" fillId="0" borderId="54" xfId="0" applyFont="1" applyBorder="1" applyAlignment="1">
      <alignment horizontal="center" vertical="center" wrapText="1"/>
    </xf>
    <xf numFmtId="0" fontId="29" fillId="0" borderId="62" xfId="0" applyFont="1" applyBorder="1" applyAlignment="1">
      <alignment horizontal="center" vertical="center" wrapText="1"/>
    </xf>
    <xf numFmtId="0" fontId="29" fillId="0" borderId="29" xfId="0" applyFont="1" applyBorder="1" applyAlignment="1">
      <alignment horizontal="center" vertical="center" wrapText="1"/>
    </xf>
    <xf numFmtId="0" fontId="29" fillId="11" borderId="54" xfId="41" applyFont="1" applyFill="1" applyBorder="1" applyAlignment="1">
      <alignment horizontal="center" vertical="center" wrapText="1"/>
    </xf>
    <xf numFmtId="0" fontId="29" fillId="11" borderId="62" xfId="41" applyFont="1" applyFill="1" applyBorder="1" applyAlignment="1">
      <alignment horizontal="center" vertical="center" wrapText="1"/>
    </xf>
    <xf numFmtId="0" fontId="29" fillId="11" borderId="29" xfId="41" applyFont="1" applyFill="1" applyBorder="1" applyAlignment="1">
      <alignment horizontal="center" vertical="center" wrapText="1"/>
    </xf>
    <xf numFmtId="10" fontId="58" fillId="27" borderId="11" xfId="0" applyNumberFormat="1" applyFont="1" applyFill="1" applyBorder="1" applyAlignment="1">
      <alignment horizontal="center" vertical="center"/>
    </xf>
    <xf numFmtId="0" fontId="58" fillId="27" borderId="11" xfId="0" applyFont="1" applyFill="1" applyBorder="1" applyAlignment="1">
      <alignment horizontal="center" vertical="center"/>
    </xf>
    <xf numFmtId="0" fontId="29" fillId="0" borderId="79" xfId="0" applyFont="1" applyBorder="1" applyAlignment="1">
      <alignment horizontal="center" vertical="center" wrapText="1"/>
    </xf>
    <xf numFmtId="0" fontId="29" fillId="0" borderId="80" xfId="0" applyFont="1" applyBorder="1" applyAlignment="1">
      <alignment horizontal="center" vertical="center" wrapText="1"/>
    </xf>
    <xf numFmtId="0" fontId="29" fillId="0" borderId="81" xfId="0" applyFont="1" applyBorder="1" applyAlignment="1">
      <alignment horizontal="center" vertical="center" wrapText="1"/>
    </xf>
    <xf numFmtId="0" fontId="60" fillId="0" borderId="79" xfId="61" applyFont="1" applyFill="1" applyBorder="1" applyAlignment="1">
      <alignment horizontal="center" vertical="center"/>
    </xf>
    <xf numFmtId="0" fontId="60" fillId="0" borderId="80" xfId="61" applyFont="1" applyFill="1" applyBorder="1" applyAlignment="1">
      <alignment horizontal="center" vertical="center"/>
    </xf>
    <xf numFmtId="0" fontId="60" fillId="0" borderId="81" xfId="61" applyFont="1" applyFill="1" applyBorder="1" applyAlignment="1">
      <alignment horizontal="center" vertical="center"/>
    </xf>
    <xf numFmtId="10" fontId="54" fillId="0" borderId="86" xfId="50" applyNumberFormat="1" applyFont="1" applyFill="1" applyBorder="1" applyAlignment="1">
      <alignment horizontal="center" vertical="center"/>
    </xf>
    <xf numFmtId="10" fontId="54" fillId="0" borderId="17" xfId="50" applyNumberFormat="1" applyFont="1" applyFill="1" applyBorder="1" applyAlignment="1">
      <alignment horizontal="center" vertical="center"/>
    </xf>
    <xf numFmtId="0" fontId="54" fillId="27" borderId="11" xfId="0" applyFont="1" applyFill="1" applyBorder="1" applyAlignment="1">
      <alignment horizontal="center"/>
    </xf>
    <xf numFmtId="0" fontId="54" fillId="0" borderId="86" xfId="0" applyFont="1" applyBorder="1" applyAlignment="1">
      <alignment horizontal="center" vertical="center"/>
    </xf>
    <xf numFmtId="0" fontId="54" fillId="0" borderId="17" xfId="0" applyFont="1" applyBorder="1" applyAlignment="1">
      <alignment horizontal="center" vertical="center"/>
    </xf>
    <xf numFmtId="10" fontId="1" fillId="0" borderId="86"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4" fillId="0" borderId="86" xfId="0" applyFont="1" applyBorder="1" applyAlignment="1">
      <alignment horizontal="left" vertical="center"/>
    </xf>
    <xf numFmtId="0" fontId="54" fillId="0" borderId="17" xfId="0" applyFont="1" applyBorder="1" applyAlignment="1">
      <alignment horizontal="left" vertical="center"/>
    </xf>
    <xf numFmtId="0" fontId="54" fillId="0" borderId="62" xfId="0" applyFont="1" applyBorder="1" applyAlignment="1">
      <alignment horizontal="center" vertical="center"/>
    </xf>
    <xf numFmtId="10" fontId="1" fillId="0" borderId="11" xfId="50" applyNumberFormat="1" applyFont="1" applyFill="1" applyBorder="1" applyAlignment="1">
      <alignment horizontal="center" vertical="center"/>
    </xf>
    <xf numFmtId="10" fontId="57" fillId="0" borderId="11" xfId="0" applyNumberFormat="1" applyFont="1" applyBorder="1" applyAlignment="1">
      <alignment horizontal="center" vertical="center"/>
    </xf>
    <xf numFmtId="0" fontId="54" fillId="0" borderId="11" xfId="0" applyFont="1" applyBorder="1" applyAlignment="1">
      <alignment horizontal="left" vertical="center"/>
    </xf>
    <xf numFmtId="0" fontId="54" fillId="0" borderId="11" xfId="0" applyFont="1" applyBorder="1" applyAlignment="1">
      <alignment horizontal="center" vertical="center"/>
    </xf>
    <xf numFmtId="10" fontId="56" fillId="0" borderId="11" xfId="0" applyNumberFormat="1" applyFont="1" applyBorder="1" applyAlignment="1">
      <alignment horizontal="center" vertical="center"/>
    </xf>
    <xf numFmtId="0" fontId="56" fillId="0" borderId="11" xfId="0" applyFont="1" applyBorder="1" applyAlignment="1">
      <alignment horizontal="center" vertical="center"/>
    </xf>
    <xf numFmtId="0" fontId="54" fillId="0" borderId="62" xfId="0" applyFont="1" applyBorder="1" applyAlignment="1">
      <alignment horizontal="left" vertical="center"/>
    </xf>
    <xf numFmtId="10" fontId="1" fillId="0" borderId="62" xfId="50" applyNumberFormat="1" applyFont="1" applyFill="1" applyBorder="1" applyAlignment="1">
      <alignment horizontal="center" vertical="center"/>
    </xf>
    <xf numFmtId="10" fontId="54" fillId="0" borderId="11" xfId="0" applyNumberFormat="1" applyFont="1" applyBorder="1" applyAlignment="1">
      <alignment horizontal="center" vertical="center"/>
    </xf>
    <xf numFmtId="0" fontId="54" fillId="27" borderId="11" xfId="0" applyFont="1" applyFill="1" applyBorder="1" applyAlignment="1">
      <alignment horizontal="center" vertical="top" wrapText="1"/>
    </xf>
    <xf numFmtId="0" fontId="54" fillId="27" borderId="11" xfId="0" applyFont="1" applyFill="1" applyBorder="1" applyAlignment="1">
      <alignment horizontal="center" vertical="center"/>
    </xf>
    <xf numFmtId="0" fontId="54" fillId="27" borderId="86" xfId="0" applyFont="1" applyFill="1" applyBorder="1" applyAlignment="1">
      <alignment horizontal="center" vertical="center" wrapText="1"/>
    </xf>
    <xf numFmtId="0" fontId="54" fillId="27" borderId="17" xfId="0" applyFont="1" applyFill="1" applyBorder="1" applyAlignment="1">
      <alignment horizontal="center" vertical="center" wrapText="1"/>
    </xf>
    <xf numFmtId="0" fontId="28" fillId="24" borderId="77" xfId="0" applyFont="1" applyFill="1" applyBorder="1" applyAlignment="1">
      <alignment horizontal="center"/>
    </xf>
    <xf numFmtId="0" fontId="28" fillId="24" borderId="22" xfId="0" applyFont="1" applyFill="1" applyBorder="1" applyAlignment="1">
      <alignment horizontal="center"/>
    </xf>
    <xf numFmtId="0" fontId="28" fillId="24" borderId="76" xfId="0" applyFont="1" applyFill="1" applyBorder="1" applyAlignment="1">
      <alignment horizontal="center"/>
    </xf>
    <xf numFmtId="0" fontId="28" fillId="24" borderId="74" xfId="0" applyFont="1" applyFill="1" applyBorder="1" applyAlignment="1">
      <alignment horizontal="center"/>
    </xf>
    <xf numFmtId="0" fontId="24" fillId="24" borderId="77" xfId="0" applyFont="1" applyFill="1" applyBorder="1" applyAlignment="1">
      <alignment horizontal="center"/>
    </xf>
    <xf numFmtId="0" fontId="24" fillId="24" borderId="22" xfId="0" applyFont="1" applyFill="1" applyBorder="1" applyAlignment="1">
      <alignment horizontal="center"/>
    </xf>
    <xf numFmtId="0" fontId="28" fillId="24" borderId="27" xfId="0" applyFont="1" applyFill="1" applyBorder="1" applyAlignment="1">
      <alignment horizontal="center"/>
    </xf>
    <xf numFmtId="0" fontId="28" fillId="24" borderId="19" xfId="0" applyFont="1" applyFill="1" applyBorder="1" applyAlignment="1">
      <alignment horizontal="center"/>
    </xf>
    <xf numFmtId="0" fontId="28" fillId="24" borderId="69" xfId="0" applyFont="1" applyFill="1" applyBorder="1" applyAlignment="1">
      <alignment horizontal="center"/>
    </xf>
    <xf numFmtId="0" fontId="28" fillId="24" borderId="70" xfId="0" applyFont="1" applyFill="1" applyBorder="1" applyAlignment="1">
      <alignment horizontal="center"/>
    </xf>
    <xf numFmtId="0" fontId="28" fillId="24" borderId="35" xfId="0" applyFont="1" applyFill="1" applyBorder="1" applyAlignment="1">
      <alignment horizontal="center"/>
    </xf>
    <xf numFmtId="0" fontId="28" fillId="24" borderId="33" xfId="0" applyFont="1" applyFill="1" applyBorder="1" applyAlignment="1">
      <alignment horizontal="center"/>
    </xf>
    <xf numFmtId="0" fontId="28" fillId="24" borderId="44" xfId="0" applyFont="1" applyFill="1" applyBorder="1" applyAlignment="1" applyProtection="1">
      <alignment horizontal="center" vertical="center" textRotation="180" wrapText="1"/>
      <protection locked="0"/>
    </xf>
    <xf numFmtId="0" fontId="46" fillId="0" borderId="75" xfId="0" applyFont="1" applyBorder="1" applyAlignment="1" applyProtection="1">
      <alignment horizontal="center" vertical="center" textRotation="180" wrapText="1"/>
      <protection locked="0"/>
    </xf>
    <xf numFmtId="0" fontId="46" fillId="0" borderId="46" xfId="0" applyFont="1" applyBorder="1" applyAlignment="1" applyProtection="1">
      <alignment horizontal="center" vertical="center" textRotation="180" wrapText="1"/>
      <protection locked="0"/>
    </xf>
    <xf numFmtId="0" fontId="28"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75" xfId="0" applyBorder="1" applyAlignment="1" applyProtection="1">
      <alignment horizontal="center" vertical="center" textRotation="180" wrapText="1"/>
      <protection locked="0"/>
    </xf>
    <xf numFmtId="0" fontId="0" fillId="0" borderId="46" xfId="0" applyBorder="1" applyAlignment="1" applyProtection="1">
      <alignment horizontal="center" vertical="center" textRotation="180" wrapText="1"/>
      <protection locked="0"/>
    </xf>
    <xf numFmtId="0" fontId="47" fillId="24" borderId="27" xfId="0" applyFont="1" applyFill="1" applyBorder="1" applyAlignment="1">
      <alignment horizontal="center"/>
    </xf>
  </cellXfs>
  <cellStyles count="6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60"/>
    <cellStyle name="Comma 2" xfId="58"/>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5"/>
    <cellStyle name="Normal 5" xfId="57"/>
    <cellStyle name="Normal_April_3" xfId="43"/>
    <cellStyle name="Normal_DES 11_1" xfId="56"/>
    <cellStyle name="Normal_Juni" xfId="44"/>
    <cellStyle name="Normal_Juni_4" xfId="45"/>
    <cellStyle name="Normal_Mar_18" xfId="46"/>
    <cellStyle name="Normal_Mar_6" xfId="47"/>
    <cellStyle name="Normal_Sheet1" xfId="61"/>
    <cellStyle name="Note" xfId="48" builtinId="10" customBuiltin="1"/>
    <cellStyle name="Output" xfId="49" builtinId="21" customBuiltin="1"/>
    <cellStyle name="Percent" xfId="50" builtinId="5"/>
    <cellStyle name="Percent 2" xfId="59"/>
    <cellStyle name="Percent_Okt_6" xfId="51"/>
    <cellStyle name="Title" xfId="52" builtinId="15" customBuiltin="1"/>
    <cellStyle name="Total" xfId="53" builtinId="25" customBuiltin="1"/>
    <cellStyle name="Warning Text" xfId="54" builtinId="11" customBuiltin="1"/>
  </cellStyles>
  <dxfs count="144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[2]Report1!$A$9:$A$39</c:f>
              <c:numCache>
                <c:formatCode>General</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Report1!$R$9:$R$39</c:f>
              <c:numCache>
                <c:formatCode>#,##0.00</c:formatCode>
                <c:ptCount val="31"/>
                <c:pt idx="0">
                  <c:v>36.905999999999999</c:v>
                </c:pt>
                <c:pt idx="1">
                  <c:v>48.463999999999999</c:v>
                </c:pt>
                <c:pt idx="2">
                  <c:v>40.542999999999999</c:v>
                </c:pt>
                <c:pt idx="3">
                  <c:v>39.755000000000003</c:v>
                </c:pt>
                <c:pt idx="4">
                  <c:v>38.893000000000001</c:v>
                </c:pt>
                <c:pt idx="5">
                  <c:v>28.2</c:v>
                </c:pt>
                <c:pt idx="6">
                  <c:v>17.338999999999999</c:v>
                </c:pt>
                <c:pt idx="7">
                  <c:v>35.731999999999999</c:v>
                </c:pt>
                <c:pt idx="8">
                  <c:v>41.662999999999997</c:v>
                </c:pt>
                <c:pt idx="9">
                  <c:v>41.02</c:v>
                </c:pt>
                <c:pt idx="10">
                  <c:v>38.755000000000003</c:v>
                </c:pt>
                <c:pt idx="11">
                  <c:v>40.625999999999998</c:v>
                </c:pt>
                <c:pt idx="12">
                  <c:v>38.853000000000002</c:v>
                </c:pt>
                <c:pt idx="13">
                  <c:v>40.228999999999999</c:v>
                </c:pt>
                <c:pt idx="14">
                  <c:v>40.756999999999998</c:v>
                </c:pt>
                <c:pt idx="15">
                  <c:v>39.503</c:v>
                </c:pt>
                <c:pt idx="16">
                  <c:v>5.859</c:v>
                </c:pt>
                <c:pt idx="17">
                  <c:v>0</c:v>
                </c:pt>
                <c:pt idx="18">
                  <c:v>0</c:v>
                </c:pt>
                <c:pt idx="19">
                  <c:v>0</c:v>
                </c:pt>
                <c:pt idx="20">
                  <c:v>0</c:v>
                </c:pt>
                <c:pt idx="21">
                  <c:v>0</c:v>
                </c:pt>
                <c:pt idx="22">
                  <c:v>0</c:v>
                </c:pt>
                <c:pt idx="23">
                  <c:v>25.161000000000001</c:v>
                </c:pt>
                <c:pt idx="24">
                  <c:v>38.253999999999998</c:v>
                </c:pt>
                <c:pt idx="25">
                  <c:v>40.591999999999999</c:v>
                </c:pt>
                <c:pt idx="26">
                  <c:v>40.677</c:v>
                </c:pt>
                <c:pt idx="27">
                  <c:v>39.438000000000002</c:v>
                </c:pt>
                <c:pt idx="28">
                  <c:v>38.027999999999999</c:v>
                </c:pt>
                <c:pt idx="29">
                  <c:v>35.036999999999999</c:v>
                </c:pt>
                <c:pt idx="30">
                  <c:v>35.978999999999999</c:v>
                </c:pt>
              </c:numCache>
            </c:numRef>
          </c:val>
          <c:smooth val="0"/>
          <c:extLst xmlns:c16r2="http://schemas.microsoft.com/office/drawing/2015/06/chart">
            <c:ext xmlns:c16="http://schemas.microsoft.com/office/drawing/2014/chart" uri="{C3380CC4-5D6E-409C-BE32-E72D297353CC}">
              <c16:uniqueId val="{00000000-584D-4D4B-98D9-68728F9C0EDF}"/>
            </c:ext>
          </c:extLst>
        </c:ser>
        <c:dLbls>
          <c:showLegendKey val="0"/>
          <c:showVal val="0"/>
          <c:showCatName val="0"/>
          <c:showSerName val="0"/>
          <c:showPercent val="0"/>
          <c:showBubbleSize val="0"/>
        </c:dLbls>
        <c:marker val="1"/>
        <c:smooth val="0"/>
        <c:axId val="349603696"/>
        <c:axId val="632597952"/>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584D-4D4B-98D9-68728F9C0EDF}"/>
              </c:ext>
            </c:extLst>
          </c:dPt>
          <c:cat>
            <c:numRef>
              <c:f>[2]Report1!$A$9</c:f>
              <c:numCache>
                <c:formatCode>General</c:formatCode>
                <c:ptCount val="1"/>
                <c:pt idx="0">
                  <c:v>46082</c:v>
                </c:pt>
              </c:numCache>
            </c:numRef>
          </c:cat>
          <c:val>
            <c:numRef>
              <c:f>Report1!$J$9:$J$39</c:f>
              <c:numCache>
                <c:formatCode>0.00%</c:formatCode>
                <c:ptCount val="31"/>
                <c:pt idx="0">
                  <c:v>0.85092296657881161</c:v>
                </c:pt>
                <c:pt idx="1">
                  <c:v>0.89586170629365514</c:v>
                </c:pt>
                <c:pt idx="2">
                  <c:v>0.78015275084134428</c:v>
                </c:pt>
                <c:pt idx="3">
                  <c:v>0.844992982445401</c:v>
                </c:pt>
                <c:pt idx="4">
                  <c:v>0.82227366207082131</c:v>
                </c:pt>
                <c:pt idx="5">
                  <c:v>0.58427889092409657</c:v>
                </c:pt>
                <c:pt idx="6">
                  <c:v>0.37872761978284342</c:v>
                </c:pt>
                <c:pt idx="7">
                  <c:v>0.85678400945667033</c:v>
                </c:pt>
                <c:pt idx="8">
                  <c:v>0.98369527557503567</c:v>
                </c:pt>
                <c:pt idx="9">
                  <c:v>0.92342264464643609</c:v>
                </c:pt>
                <c:pt idx="10">
                  <c:v>0.87454587617296486</c:v>
                </c:pt>
                <c:pt idx="11">
                  <c:v>0.87578769978631898</c:v>
                </c:pt>
                <c:pt idx="12">
                  <c:v>0.88488626416255767</c:v>
                </c:pt>
                <c:pt idx="13">
                  <c:v>0.85030075694254925</c:v>
                </c:pt>
                <c:pt idx="14">
                  <c:v>0.8560378307769696</c:v>
                </c:pt>
                <c:pt idx="15">
                  <c:v>0.85259394685094025</c:v>
                </c:pt>
                <c:pt idx="16">
                  <c:v>0.13201344225354855</c:v>
                </c:pt>
                <c:pt idx="17">
                  <c:v>0</c:v>
                </c:pt>
                <c:pt idx="18">
                  <c:v>0</c:v>
                </c:pt>
                <c:pt idx="19">
                  <c:v>0</c:v>
                </c:pt>
                <c:pt idx="20">
                  <c:v>0</c:v>
                </c:pt>
                <c:pt idx="21">
                  <c:v>0</c:v>
                </c:pt>
                <c:pt idx="22">
                  <c:v>0</c:v>
                </c:pt>
                <c:pt idx="23">
                  <c:v>0.52438490082857836</c:v>
                </c:pt>
                <c:pt idx="24">
                  <c:v>0.87757867375186271</c:v>
                </c:pt>
                <c:pt idx="25">
                  <c:v>0.88569892359711555</c:v>
                </c:pt>
                <c:pt idx="26">
                  <c:v>0.88500308894079116</c:v>
                </c:pt>
                <c:pt idx="27">
                  <c:v>0.85609498839258669</c:v>
                </c:pt>
                <c:pt idx="28">
                  <c:v>0.82548760633382234</c:v>
                </c:pt>
                <c:pt idx="29">
                  <c:v>0.82396085974574729</c:v>
                </c:pt>
                <c:pt idx="30">
                  <c:v>0.87375246827604636</c:v>
                </c:pt>
              </c:numCache>
            </c:numRef>
          </c:val>
          <c:smooth val="0"/>
          <c:extLst xmlns:c16r2="http://schemas.microsoft.com/office/drawing/2015/06/chart">
            <c:ext xmlns:c16="http://schemas.microsoft.com/office/drawing/2014/chart" uri="{C3380CC4-5D6E-409C-BE32-E72D297353CC}">
              <c16:uniqueId val="{00000002-584D-4D4B-98D9-68728F9C0EDF}"/>
            </c:ext>
          </c:extLst>
        </c:ser>
        <c:ser>
          <c:idx val="1"/>
          <c:order val="2"/>
          <c:tx>
            <c:v>EFF TARGET TODATE</c:v>
          </c:tx>
          <c:marker>
            <c:symbol val="square"/>
            <c:size val="5"/>
          </c:marker>
          <c:cat>
            <c:numRef>
              <c:f>[2]Report1!$A$9</c:f>
              <c:numCache>
                <c:formatCode>General</c:formatCode>
                <c:ptCount val="1"/>
                <c:pt idx="0">
                  <c:v>46082</c:v>
                </c:pt>
              </c:numCache>
            </c:numRef>
          </c:cat>
          <c:val>
            <c:numRef>
              <c:f>Report1!$K$9:$K$39</c:f>
              <c:numCache>
                <c:formatCode>0.00%</c:formatCode>
                <c:ptCount val="31"/>
                <c:pt idx="0">
                  <c:v>0.85092296657881161</c:v>
                </c:pt>
                <c:pt idx="1">
                  <c:v>0.875864953031251</c:v>
                </c:pt>
                <c:pt idx="2">
                  <c:v>0.84258028221488179</c:v>
                </c:pt>
                <c:pt idx="3">
                  <c:v>0.84315799549993586</c:v>
                </c:pt>
                <c:pt idx="4">
                  <c:v>0.83910599334952851</c:v>
                </c:pt>
                <c:pt idx="5">
                  <c:v>0.79699275049455498</c:v>
                </c:pt>
                <c:pt idx="6">
                  <c:v>0.74031027437844177</c:v>
                </c:pt>
                <c:pt idx="7">
                  <c:v>0.75310882720560235</c:v>
                </c:pt>
                <c:pt idx="8">
                  <c:v>0.77625743255456203</c:v>
                </c:pt>
                <c:pt idx="9">
                  <c:v>0.79027666658250262</c:v>
                </c:pt>
                <c:pt idx="10">
                  <c:v>0.79758993153495805</c:v>
                </c:pt>
                <c:pt idx="11">
                  <c:v>0.80410222043846813</c:v>
                </c:pt>
                <c:pt idx="12">
                  <c:v>0.81000484610582857</c:v>
                </c:pt>
                <c:pt idx="13">
                  <c:v>0.81294585803529129</c:v>
                </c:pt>
                <c:pt idx="14">
                  <c:v>0.81589430868500057</c:v>
                </c:pt>
                <c:pt idx="15">
                  <c:v>0.81818540000803031</c:v>
                </c:pt>
                <c:pt idx="16">
                  <c:v>0.77946789620444568</c:v>
                </c:pt>
                <c:pt idx="17">
                  <c:v>0.73798864517640017</c:v>
                </c:pt>
                <c:pt idx="18">
                  <c:v>0.70070096304934359</c:v>
                </c:pt>
                <c:pt idx="19">
                  <c:v>0.6670000568612463</c:v>
                </c:pt>
                <c:pt idx="20">
                  <c:v>0.63639214682545531</c:v>
                </c:pt>
                <c:pt idx="21">
                  <c:v>0.60847011252851546</c:v>
                </c:pt>
                <c:pt idx="22">
                  <c:v>0.58289528086982811</c:v>
                </c:pt>
                <c:pt idx="23">
                  <c:v>0.58034258654627202</c:v>
                </c:pt>
                <c:pt idx="24">
                  <c:v>0.59167440495896306</c:v>
                </c:pt>
                <c:pt idx="25">
                  <c:v>0.60300563632301551</c:v>
                </c:pt>
                <c:pt idx="26">
                  <c:v>0.61349911643623667</c:v>
                </c:pt>
                <c:pt idx="27">
                  <c:v>0.62222167368707126</c:v>
                </c:pt>
                <c:pt idx="28">
                  <c:v>0.62927646366108436</c:v>
                </c:pt>
                <c:pt idx="29">
                  <c:v>0.63531988571789788</c:v>
                </c:pt>
                <c:pt idx="30">
                  <c:v>0.6422780569348121</c:v>
                </c:pt>
              </c:numCache>
            </c:numRef>
          </c:val>
          <c:smooth val="0"/>
          <c:extLst xmlns:c16r2="http://schemas.microsoft.com/office/drawing/2015/06/chart">
            <c:ext xmlns:c16="http://schemas.microsoft.com/office/drawing/2014/chart" uri="{C3380CC4-5D6E-409C-BE32-E72D297353CC}">
              <c16:uniqueId val="{00000003-584D-4D4B-98D9-68728F9C0EDF}"/>
            </c:ext>
          </c:extLst>
        </c:ser>
        <c:dLbls>
          <c:showLegendKey val="0"/>
          <c:showVal val="0"/>
          <c:showCatName val="0"/>
          <c:showSerName val="0"/>
          <c:showPercent val="0"/>
          <c:showBubbleSize val="0"/>
        </c:dLbls>
        <c:marker val="1"/>
        <c:smooth val="0"/>
        <c:axId val="632595992"/>
        <c:axId val="632599128"/>
      </c:lineChart>
      <c:catAx>
        <c:axId val="349603696"/>
        <c:scaling>
          <c:orientation val="minMax"/>
        </c:scaling>
        <c:delete val="0"/>
        <c:axPos val="b"/>
        <c:numFmt formatCode="General" sourceLinked="1"/>
        <c:majorTickMark val="out"/>
        <c:minorTickMark val="none"/>
        <c:tickLblPos val="nextTo"/>
        <c:crossAx val="632597952"/>
        <c:crosses val="autoZero"/>
        <c:auto val="1"/>
        <c:lblAlgn val="ctr"/>
        <c:lblOffset val="100"/>
        <c:noMultiLvlLbl val="1"/>
      </c:catAx>
      <c:valAx>
        <c:axId val="632597952"/>
        <c:scaling>
          <c:orientation val="minMax"/>
        </c:scaling>
        <c:delete val="0"/>
        <c:axPos val="l"/>
        <c:majorGridlines/>
        <c:numFmt formatCode="#,##0.00" sourceLinked="1"/>
        <c:majorTickMark val="out"/>
        <c:minorTickMark val="none"/>
        <c:tickLblPos val="nextTo"/>
        <c:crossAx val="349603696"/>
        <c:crosses val="autoZero"/>
        <c:crossBetween val="between"/>
      </c:valAx>
      <c:valAx>
        <c:axId val="632599128"/>
        <c:scaling>
          <c:orientation val="minMax"/>
        </c:scaling>
        <c:delete val="0"/>
        <c:axPos val="r"/>
        <c:numFmt formatCode="0.00%" sourceLinked="1"/>
        <c:majorTickMark val="out"/>
        <c:minorTickMark val="none"/>
        <c:tickLblPos val="nextTo"/>
        <c:crossAx val="632595992"/>
        <c:crosses val="max"/>
        <c:crossBetween val="between"/>
      </c:valAx>
      <c:catAx>
        <c:axId val="632595992"/>
        <c:scaling>
          <c:orientation val="minMax"/>
        </c:scaling>
        <c:delete val="1"/>
        <c:axPos val="b"/>
        <c:numFmt formatCode="General" sourceLinked="1"/>
        <c:majorTickMark val="out"/>
        <c:minorTickMark val="none"/>
        <c:tickLblPos val="none"/>
        <c:crossAx val="632599128"/>
        <c:crosses val="autoZero"/>
        <c:auto val="1"/>
        <c:lblAlgn val="ctr"/>
        <c:lblOffset val="100"/>
        <c:noMultiLvlLbl val="1"/>
      </c:cat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17</xdr:col>
      <xdr:colOff>504824</xdr:colOff>
      <xdr:row>28</xdr:row>
      <xdr:rowOff>95249</xdr:rowOff>
    </xdr:to>
    <xdr:graphicFrame macro="">
      <xdr:nvGraphicFramePr>
        <xdr:cNvPr id="2" name="Chart 1">
          <a:extLst>
            <a:ext uri="{FF2B5EF4-FFF2-40B4-BE49-F238E27FC236}">
              <a16:creationId xmlns:a16="http://schemas.microsoft.com/office/drawing/2014/main" xmlns=""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as%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ILY%20REPORT%20PM%2011%20MARET%202026.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strik%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Feb"/>
      <sheetName val="Mar"/>
      <sheetName val="%error"/>
      <sheetName val="PGN"/>
    </sheetNames>
    <sheetDataSet>
      <sheetData sheetId="0" refreshError="1"/>
      <sheetData sheetId="1" refreshError="1"/>
      <sheetData sheetId="2">
        <row r="4">
          <cell r="N4">
            <v>12498</v>
          </cell>
        </row>
        <row r="5">
          <cell r="N5">
            <v>12225</v>
          </cell>
        </row>
        <row r="6">
          <cell r="N6">
            <v>12536</v>
          </cell>
        </row>
        <row r="7">
          <cell r="N7">
            <v>11962</v>
          </cell>
        </row>
        <row r="8">
          <cell r="N8">
            <v>12910</v>
          </cell>
        </row>
        <row r="9">
          <cell r="N9">
            <v>7402</v>
          </cell>
        </row>
        <row r="10">
          <cell r="N10">
            <v>12010</v>
          </cell>
        </row>
        <row r="11">
          <cell r="N11">
            <v>12103</v>
          </cell>
        </row>
        <row r="12">
          <cell r="N12">
            <v>13181</v>
          </cell>
        </row>
        <row r="13">
          <cell r="N13">
            <v>13021</v>
          </cell>
        </row>
        <row r="14">
          <cell r="N14">
            <v>12902</v>
          </cell>
        </row>
        <row r="15">
          <cell r="N15">
            <v>13159</v>
          </cell>
        </row>
        <row r="16">
          <cell r="N16">
            <v>13207</v>
          </cell>
        </row>
        <row r="17">
          <cell r="N17">
            <v>13644</v>
          </cell>
        </row>
        <row r="18">
          <cell r="N18">
            <v>13230</v>
          </cell>
        </row>
        <row r="19">
          <cell r="N19">
            <v>11857</v>
          </cell>
        </row>
        <row r="20">
          <cell r="N20">
            <v>11419</v>
          </cell>
        </row>
        <row r="21">
          <cell r="N21">
            <v>9202</v>
          </cell>
        </row>
        <row r="22">
          <cell r="N22">
            <v>9050</v>
          </cell>
        </row>
        <row r="23">
          <cell r="N23">
            <v>9530</v>
          </cell>
        </row>
        <row r="24">
          <cell r="N24">
            <v>9711</v>
          </cell>
        </row>
        <row r="25">
          <cell r="N25">
            <v>9715</v>
          </cell>
        </row>
        <row r="26">
          <cell r="N26">
            <v>9289</v>
          </cell>
        </row>
        <row r="27">
          <cell r="N27">
            <v>13958</v>
          </cell>
        </row>
        <row r="28">
          <cell r="N28">
            <v>14080</v>
          </cell>
        </row>
        <row r="29">
          <cell r="N29">
            <v>14264</v>
          </cell>
        </row>
        <row r="30">
          <cell r="N30">
            <v>14038</v>
          </cell>
        </row>
        <row r="31">
          <cell r="N31">
            <v>14200</v>
          </cell>
        </row>
        <row r="32">
          <cell r="N32">
            <v>14192</v>
          </cell>
        </row>
        <row r="33">
          <cell r="N33">
            <v>13595</v>
          </cell>
        </row>
        <row r="34">
          <cell r="N34">
            <v>12598</v>
          </cell>
        </row>
        <row r="38">
          <cell r="N38">
            <v>376688</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value"/>
      <sheetName val="eff all"/>
      <sheetName val="Report1"/>
      <sheetName val="GRAFIK"/>
      <sheetName val="Listrik"/>
      <sheetName val="Trim Rwd"/>
      <sheetName val="Efficiency1"/>
      <sheetName val="Efficiency2"/>
      <sheetName val="BB"/>
      <sheetName val="Chem"/>
      <sheetName val="RBP"/>
      <sheetName val="Sheet1"/>
      <sheetName val="summary"/>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sheetData sheetId="1"/>
      <sheetData sheetId="2">
        <row r="9">
          <cell r="A9">
            <v>46082</v>
          </cell>
        </row>
        <row r="10">
          <cell r="A10">
            <v>46083</v>
          </cell>
        </row>
        <row r="11">
          <cell r="A11">
            <v>46084</v>
          </cell>
        </row>
        <row r="12">
          <cell r="A12">
            <v>46085</v>
          </cell>
        </row>
        <row r="13">
          <cell r="A13">
            <v>46086</v>
          </cell>
        </row>
        <row r="14">
          <cell r="A14">
            <v>46087</v>
          </cell>
        </row>
        <row r="15">
          <cell r="A15">
            <v>46088</v>
          </cell>
        </row>
        <row r="16">
          <cell r="A16">
            <v>46089</v>
          </cell>
        </row>
        <row r="17">
          <cell r="A17">
            <v>46090</v>
          </cell>
        </row>
        <row r="18">
          <cell r="A18">
            <v>46091</v>
          </cell>
        </row>
        <row r="19">
          <cell r="A19">
            <v>46092</v>
          </cell>
        </row>
        <row r="20">
          <cell r="A20">
            <v>46093</v>
          </cell>
        </row>
        <row r="21">
          <cell r="A21">
            <v>46094</v>
          </cell>
        </row>
        <row r="22">
          <cell r="A22">
            <v>46095</v>
          </cell>
        </row>
        <row r="23">
          <cell r="A23">
            <v>46096</v>
          </cell>
        </row>
        <row r="24">
          <cell r="A24">
            <v>46097</v>
          </cell>
        </row>
        <row r="25">
          <cell r="A25">
            <v>46098</v>
          </cell>
        </row>
        <row r="26">
          <cell r="A26">
            <v>46099</v>
          </cell>
        </row>
        <row r="27">
          <cell r="A27">
            <v>46100</v>
          </cell>
        </row>
        <row r="28">
          <cell r="A28">
            <v>46101</v>
          </cell>
        </row>
        <row r="29">
          <cell r="A29">
            <v>46102</v>
          </cell>
        </row>
        <row r="30">
          <cell r="A30">
            <v>46103</v>
          </cell>
        </row>
        <row r="31">
          <cell r="A31">
            <v>46104</v>
          </cell>
        </row>
        <row r="32">
          <cell r="A32">
            <v>46105</v>
          </cell>
        </row>
        <row r="33">
          <cell r="A33">
            <v>46106</v>
          </cell>
        </row>
        <row r="34">
          <cell r="A34">
            <v>46107</v>
          </cell>
        </row>
        <row r="35">
          <cell r="A35">
            <v>46108</v>
          </cell>
        </row>
        <row r="36">
          <cell r="A36">
            <v>46109</v>
          </cell>
        </row>
        <row r="37">
          <cell r="A37">
            <v>46110</v>
          </cell>
        </row>
        <row r="38">
          <cell r="A38">
            <v>46111</v>
          </cell>
        </row>
        <row r="39">
          <cell r="A39">
            <v>46112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s>
    <sheetDataSet>
      <sheetData sheetId="0"/>
      <sheetData sheetId="1"/>
      <sheetData sheetId="2"/>
      <sheetData sheetId="3">
        <row r="38">
          <cell r="BD38">
            <v>1153864.3573532479</v>
          </cell>
        </row>
      </sheetData>
      <sheetData sheetId="4"/>
      <sheetData sheetId="5">
        <row r="7">
          <cell r="D7">
            <v>96.540000000968575</v>
          </cell>
          <cell r="AH7">
            <v>4500</v>
          </cell>
          <cell r="AI7">
            <v>7435.45</v>
          </cell>
          <cell r="AJ7">
            <v>24595.45</v>
          </cell>
        </row>
        <row r="8">
          <cell r="AH8">
            <v>4300.0000000010914</v>
          </cell>
          <cell r="AI8">
            <v>6505.85</v>
          </cell>
          <cell r="AJ8">
            <v>23665.85</v>
          </cell>
        </row>
        <row r="9">
          <cell r="AH9">
            <v>4299.9999999992724</v>
          </cell>
          <cell r="AI9">
            <v>6248.49</v>
          </cell>
          <cell r="AJ9">
            <v>23408.49</v>
          </cell>
        </row>
        <row r="10">
          <cell r="AH10">
            <v>4600.0000000003638</v>
          </cell>
          <cell r="AI10">
            <v>7921.68</v>
          </cell>
          <cell r="AJ10">
            <v>24081.68</v>
          </cell>
        </row>
        <row r="11">
          <cell r="AH11">
            <v>4299.9999999992724</v>
          </cell>
          <cell r="AI11">
            <v>6568.71</v>
          </cell>
          <cell r="AJ11">
            <v>23728.71</v>
          </cell>
        </row>
        <row r="12">
          <cell r="AH12">
            <v>3200.0000000007276</v>
          </cell>
          <cell r="AI12">
            <v>4644.51</v>
          </cell>
          <cell r="AJ12">
            <v>16804.510000000002</v>
          </cell>
        </row>
        <row r="13">
          <cell r="AH13">
            <v>3199.9999999989086</v>
          </cell>
          <cell r="AI13">
            <v>4579.51</v>
          </cell>
          <cell r="AJ13">
            <v>16739.510000000002</v>
          </cell>
        </row>
        <row r="14">
          <cell r="AH14">
            <v>4600.0000000003638</v>
          </cell>
          <cell r="AI14">
            <v>6823.23</v>
          </cell>
          <cell r="AJ14">
            <v>24983.23</v>
          </cell>
        </row>
        <row r="15">
          <cell r="AH15">
            <v>4500</v>
          </cell>
          <cell r="AI15">
            <v>8542.5499999999993</v>
          </cell>
          <cell r="AJ15">
            <v>25702.55</v>
          </cell>
        </row>
        <row r="16">
          <cell r="AH16">
            <v>4300.0000000010914</v>
          </cell>
          <cell r="AI16">
            <v>7317.16</v>
          </cell>
          <cell r="AJ16">
            <v>25477.16</v>
          </cell>
        </row>
        <row r="17">
          <cell r="AH17">
            <v>3899.9999999996362</v>
          </cell>
          <cell r="AI17">
            <v>8406.8700000000008</v>
          </cell>
          <cell r="AJ17">
            <v>25566.87</v>
          </cell>
        </row>
        <row r="18">
          <cell r="AH18">
            <v>4500</v>
          </cell>
          <cell r="AI18">
            <v>6653.89</v>
          </cell>
          <cell r="AJ18">
            <v>23813.89</v>
          </cell>
        </row>
        <row r="19">
          <cell r="AH19">
            <v>4899.9999999996362</v>
          </cell>
          <cell r="AI19">
            <v>7362.89</v>
          </cell>
          <cell r="AJ19">
            <v>25522.89</v>
          </cell>
        </row>
        <row r="20">
          <cell r="AH20">
            <v>4399.9999999996362</v>
          </cell>
          <cell r="AI20">
            <v>7132.3</v>
          </cell>
          <cell r="AJ20">
            <v>25292.3</v>
          </cell>
        </row>
        <row r="21">
          <cell r="AH21">
            <v>4100.0000000003638</v>
          </cell>
          <cell r="AI21">
            <v>7141.85</v>
          </cell>
          <cell r="AJ21">
            <v>24301.85</v>
          </cell>
        </row>
        <row r="22">
          <cell r="AH22">
            <v>4399.9999999996362</v>
          </cell>
          <cell r="AI22">
            <v>7223.4</v>
          </cell>
          <cell r="AJ22">
            <v>26383.4</v>
          </cell>
        </row>
        <row r="23">
          <cell r="AH23">
            <v>1200.0000000007276</v>
          </cell>
          <cell r="AI23">
            <v>1684.03</v>
          </cell>
          <cell r="AJ23">
            <v>8844.0299999999988</v>
          </cell>
        </row>
        <row r="24">
          <cell r="AH24">
            <v>699.99999999890861</v>
          </cell>
          <cell r="AI24">
            <v>1025.6400000000001</v>
          </cell>
          <cell r="AJ24">
            <v>4185.6400000000003</v>
          </cell>
        </row>
        <row r="25">
          <cell r="AH25">
            <v>600.0000000003638</v>
          </cell>
          <cell r="AI25">
            <v>452.58000000000004</v>
          </cell>
          <cell r="AJ25">
            <v>2612.58</v>
          </cell>
        </row>
        <row r="26">
          <cell r="AH26">
            <v>300.00000000109139</v>
          </cell>
          <cell r="AI26">
            <v>1027.49</v>
          </cell>
          <cell r="AJ26">
            <v>4687.49</v>
          </cell>
        </row>
        <row r="27">
          <cell r="AH27">
            <v>399.9999999996362</v>
          </cell>
          <cell r="AI27">
            <v>633.27</v>
          </cell>
          <cell r="AJ27">
            <v>4293.2700000000004</v>
          </cell>
        </row>
        <row r="28">
          <cell r="AH28">
            <v>600.0000000003638</v>
          </cell>
          <cell r="AI28">
            <v>410.15</v>
          </cell>
          <cell r="AJ28">
            <v>3570.15</v>
          </cell>
        </row>
        <row r="29">
          <cell r="AH29">
            <v>599.99999999854481</v>
          </cell>
          <cell r="AI29">
            <v>497.01000000036379</v>
          </cell>
          <cell r="AJ29">
            <v>4557.01</v>
          </cell>
        </row>
        <row r="30">
          <cell r="AH30">
            <v>4100.0000000003638</v>
          </cell>
          <cell r="AI30">
            <v>6583.8299999996361</v>
          </cell>
          <cell r="AJ30">
            <v>23843.83</v>
          </cell>
        </row>
        <row r="31">
          <cell r="AH31">
            <v>4700.0000000007276</v>
          </cell>
          <cell r="AI31">
            <v>6422.01</v>
          </cell>
          <cell r="AJ31">
            <v>23582.01</v>
          </cell>
        </row>
        <row r="32">
          <cell r="AH32">
            <v>4299.9999999992724</v>
          </cell>
          <cell r="AI32">
            <v>7284.3</v>
          </cell>
          <cell r="AJ32">
            <v>25444.3</v>
          </cell>
        </row>
        <row r="33">
          <cell r="AH33">
            <v>4500</v>
          </cell>
          <cell r="AI33">
            <v>5929.48</v>
          </cell>
          <cell r="AJ33">
            <v>25089.48</v>
          </cell>
        </row>
        <row r="34">
          <cell r="AH34">
            <v>4399.9999999996362</v>
          </cell>
          <cell r="AI34">
            <v>6929.54</v>
          </cell>
          <cell r="AJ34">
            <v>24089.54</v>
          </cell>
        </row>
        <row r="35">
          <cell r="AH35">
            <v>4400.0000000014552</v>
          </cell>
          <cell r="AI35">
            <v>6616.26</v>
          </cell>
          <cell r="AJ35">
            <v>25776.26</v>
          </cell>
        </row>
        <row r="36">
          <cell r="AH36">
            <v>4599.9999999985448</v>
          </cell>
          <cell r="AI36">
            <v>8009.54</v>
          </cell>
          <cell r="AJ36">
            <v>25169.54</v>
          </cell>
        </row>
        <row r="37">
          <cell r="AH37">
            <v>4500</v>
          </cell>
          <cell r="AI37">
            <v>7283.9</v>
          </cell>
          <cell r="AJ37">
            <v>24443.9</v>
          </cell>
        </row>
      </sheetData>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65536"/>
  <sheetViews>
    <sheetView zoomScaleNormal="100" workbookViewId="0">
      <pane xSplit="3" ySplit="8" topLeftCell="P30" activePane="bottomRight" state="frozen"/>
      <selection pane="topRight" activeCell="E1" sqref="E1"/>
      <selection pane="bottomLeft" activeCell="A9" sqref="A9"/>
      <selection pane="bottomRight" activeCell="AW46" sqref="AW46"/>
    </sheetView>
  </sheetViews>
  <sheetFormatPr defaultColWidth="9.140625" defaultRowHeight="12.75"/>
  <cols>
    <col min="1" max="1" width="7.5703125" style="275" customWidth="1"/>
    <col min="2" max="2" width="12" style="274" customWidth="1"/>
    <col min="3" max="3" width="12.28515625" style="274" bestFit="1" customWidth="1"/>
    <col min="4" max="4" width="8.28515625" style="274" customWidth="1"/>
    <col min="5" max="5" width="8" style="274" customWidth="1"/>
    <col min="6" max="6" width="6.85546875" style="274" customWidth="1"/>
    <col min="7" max="11" width="8.7109375" style="274" customWidth="1"/>
    <col min="12" max="12" width="8.7109375" style="276" customWidth="1"/>
    <col min="13" max="15" width="8.7109375" style="277" customWidth="1"/>
    <col min="16" max="16" width="8.7109375" style="276" customWidth="1"/>
    <col min="17" max="17" width="8.7109375" style="277" customWidth="1"/>
    <col min="18" max="18" width="8.7109375" style="276" customWidth="1"/>
    <col min="19" max="19" width="8.7109375" style="278" customWidth="1"/>
    <col min="20" max="20" width="10.7109375" style="278" bestFit="1" customWidth="1"/>
    <col min="21" max="21" width="10.140625" style="278" bestFit="1" customWidth="1"/>
    <col min="22" max="25" width="8.7109375" style="278" customWidth="1"/>
    <col min="26" max="27" width="7.7109375" style="278" customWidth="1"/>
    <col min="28" max="29" width="7.7109375" style="279" customWidth="1"/>
    <col min="30" max="30" width="7.7109375" style="278" customWidth="1"/>
    <col min="31" max="31" width="7.7109375" style="279" customWidth="1"/>
    <col min="32" max="32" width="8.85546875" style="278" customWidth="1"/>
    <col min="33" max="33" width="11.140625" style="278" customWidth="1"/>
    <col min="34" max="37" width="7.5703125" style="279" customWidth="1"/>
    <col min="38" max="38" width="10.140625" bestFit="1" customWidth="1"/>
    <col min="42" max="42" width="10.28515625" style="448" bestFit="1" customWidth="1"/>
    <col min="43" max="43" width="9.7109375" style="472" bestFit="1" customWidth="1"/>
    <col min="50" max="52" width="9.5703125" bestFit="1" customWidth="1"/>
    <col min="53" max="53" width="8.7109375" style="276" customWidth="1"/>
    <col min="54" max="54" width="8.7109375" style="277" customWidth="1"/>
    <col min="55" max="56" width="8.7109375" style="274" customWidth="1"/>
  </cols>
  <sheetData>
    <row r="1" spans="1:56" ht="12.75" customHeight="1">
      <c r="A1" s="273"/>
    </row>
    <row r="2" spans="1:56">
      <c r="A2" s="273"/>
    </row>
    <row r="3" spans="1:56" ht="12.75" customHeight="1">
      <c r="A3" s="599" t="s">
        <v>183</v>
      </c>
      <c r="B3" s="599"/>
      <c r="C3" s="599"/>
      <c r="D3" s="599"/>
      <c r="E3" s="599"/>
      <c r="F3" s="599"/>
      <c r="G3" s="599"/>
      <c r="H3" s="599"/>
      <c r="I3" s="599"/>
      <c r="J3" s="599"/>
      <c r="K3" s="599"/>
      <c r="L3" s="599"/>
      <c r="M3" s="599"/>
      <c r="N3" s="599"/>
      <c r="O3" s="599"/>
      <c r="P3" s="599"/>
      <c r="Q3" s="599"/>
      <c r="R3" s="599"/>
      <c r="S3" s="599"/>
      <c r="T3" s="599"/>
      <c r="U3" s="599"/>
      <c r="V3" s="599"/>
      <c r="W3" s="599"/>
      <c r="X3" s="599"/>
      <c r="Y3" s="599"/>
      <c r="Z3" s="599"/>
      <c r="AA3" s="599"/>
      <c r="AB3" s="599"/>
      <c r="AC3" s="599"/>
      <c r="AD3" s="599"/>
      <c r="AE3" s="599"/>
      <c r="AF3" s="599"/>
      <c r="AG3" s="599"/>
      <c r="AH3" s="599"/>
      <c r="AI3" s="599"/>
      <c r="AJ3" s="599"/>
      <c r="AK3" s="599"/>
      <c r="BA3"/>
      <c r="BB3"/>
      <c r="BC3"/>
      <c r="BD3"/>
    </row>
    <row r="4" spans="1:56" ht="12.75" customHeight="1">
      <c r="A4" s="599"/>
      <c r="B4" s="599"/>
      <c r="C4" s="599"/>
      <c r="D4" s="599"/>
      <c r="E4" s="599"/>
      <c r="F4" s="599"/>
      <c r="G4" s="599"/>
      <c r="H4" s="599"/>
      <c r="I4" s="599"/>
      <c r="J4" s="599"/>
      <c r="K4" s="599"/>
      <c r="L4" s="599"/>
      <c r="M4" s="599"/>
      <c r="N4" s="599"/>
      <c r="O4" s="599"/>
      <c r="P4" s="599"/>
      <c r="Q4" s="599"/>
      <c r="R4" s="599"/>
      <c r="S4" s="599"/>
      <c r="T4" s="599"/>
      <c r="U4" s="599"/>
      <c r="V4" s="599"/>
      <c r="W4" s="599"/>
      <c r="X4" s="599"/>
      <c r="Y4" s="599"/>
      <c r="Z4" s="599"/>
      <c r="AA4" s="599"/>
      <c r="AB4" s="599"/>
      <c r="AC4" s="599"/>
      <c r="AD4" s="599"/>
      <c r="AE4" s="599"/>
      <c r="AF4" s="599"/>
      <c r="AG4" s="599"/>
      <c r="AH4" s="599"/>
      <c r="AI4" s="599"/>
      <c r="AJ4" s="599"/>
      <c r="AK4" s="599"/>
      <c r="AL4" s="446"/>
      <c r="AM4" s="447"/>
      <c r="AN4" s="447"/>
      <c r="BA4"/>
      <c r="BB4"/>
      <c r="BC4"/>
      <c r="BD4"/>
    </row>
    <row r="5" spans="1:56">
      <c r="H5" s="276"/>
      <c r="I5" s="277"/>
      <c r="J5" s="277"/>
      <c r="K5" s="277"/>
      <c r="BC5" s="277"/>
      <c r="BD5" s="277"/>
    </row>
    <row r="6" spans="1:56" ht="22.7" customHeight="1">
      <c r="A6" s="602" t="s">
        <v>8</v>
      </c>
      <c r="B6" s="601" t="s">
        <v>9</v>
      </c>
      <c r="C6" s="601" t="s">
        <v>5</v>
      </c>
      <c r="D6" s="601" t="s">
        <v>176</v>
      </c>
      <c r="E6" s="601" t="s">
        <v>177</v>
      </c>
      <c r="F6" s="601" t="s">
        <v>173</v>
      </c>
      <c r="G6" s="601" t="s">
        <v>172</v>
      </c>
      <c r="H6" s="601" t="s">
        <v>174</v>
      </c>
      <c r="I6" s="601" t="s">
        <v>175</v>
      </c>
      <c r="J6" s="605" t="s">
        <v>179</v>
      </c>
      <c r="K6" s="606"/>
      <c r="L6" s="609" t="s">
        <v>178</v>
      </c>
      <c r="M6" s="609"/>
      <c r="N6" s="609" t="s">
        <v>180</v>
      </c>
      <c r="O6" s="609"/>
      <c r="P6" s="611" t="s">
        <v>30</v>
      </c>
      <c r="Q6" s="611"/>
      <c r="R6" s="600" t="s">
        <v>23</v>
      </c>
      <c r="S6" s="600"/>
      <c r="T6" s="600" t="s">
        <v>31</v>
      </c>
      <c r="U6" s="600"/>
      <c r="V6" s="600"/>
      <c r="W6" s="600"/>
      <c r="X6" s="600"/>
      <c r="Y6" s="600"/>
      <c r="Z6" s="600" t="s">
        <v>32</v>
      </c>
      <c r="AA6" s="600"/>
      <c r="AB6" s="600"/>
      <c r="AC6" s="600"/>
      <c r="AD6" s="600"/>
      <c r="AE6" s="600"/>
      <c r="AF6" s="600" t="s">
        <v>33</v>
      </c>
      <c r="AG6" s="600"/>
      <c r="AH6" s="600"/>
      <c r="AI6" s="600"/>
      <c r="AJ6" s="600"/>
      <c r="AK6" s="600"/>
      <c r="BA6" s="609" t="s">
        <v>374</v>
      </c>
      <c r="BB6" s="609"/>
      <c r="BC6" s="605" t="s">
        <v>375</v>
      </c>
      <c r="BD6" s="606"/>
    </row>
    <row r="7" spans="1:56" ht="22.7" customHeight="1">
      <c r="A7" s="603"/>
      <c r="B7" s="601"/>
      <c r="C7" s="601"/>
      <c r="D7" s="601"/>
      <c r="E7" s="601"/>
      <c r="F7" s="601"/>
      <c r="G7" s="601"/>
      <c r="H7" s="601"/>
      <c r="I7" s="601"/>
      <c r="J7" s="607"/>
      <c r="K7" s="608"/>
      <c r="L7" s="609"/>
      <c r="M7" s="609"/>
      <c r="N7" s="609"/>
      <c r="O7" s="609"/>
      <c r="P7" s="611"/>
      <c r="Q7" s="611"/>
      <c r="R7" s="600"/>
      <c r="S7" s="600"/>
      <c r="T7" s="600" t="s">
        <v>36</v>
      </c>
      <c r="U7" s="600"/>
      <c r="V7" s="600" t="s">
        <v>34</v>
      </c>
      <c r="W7" s="600"/>
      <c r="X7" s="600" t="s">
        <v>35</v>
      </c>
      <c r="Y7" s="600"/>
      <c r="Z7" s="600" t="s">
        <v>36</v>
      </c>
      <c r="AA7" s="600"/>
      <c r="AB7" s="610" t="s">
        <v>34</v>
      </c>
      <c r="AC7" s="610"/>
      <c r="AD7" s="600" t="s">
        <v>35</v>
      </c>
      <c r="AE7" s="600"/>
      <c r="AF7" s="600" t="s">
        <v>36</v>
      </c>
      <c r="AG7" s="600"/>
      <c r="AH7" s="600" t="s">
        <v>26</v>
      </c>
      <c r="AI7" s="600"/>
      <c r="AJ7" s="600" t="s">
        <v>27</v>
      </c>
      <c r="AK7" s="600"/>
      <c r="AL7" s="617" t="s">
        <v>269</v>
      </c>
      <c r="AM7" s="618"/>
      <c r="AN7" s="618"/>
      <c r="AO7" s="619" t="s">
        <v>224</v>
      </c>
      <c r="AP7" s="473" t="s">
        <v>270</v>
      </c>
      <c r="AQ7" s="474" t="s">
        <v>135</v>
      </c>
      <c r="AR7" s="612" t="s">
        <v>271</v>
      </c>
      <c r="AS7" s="613"/>
      <c r="AT7" s="613"/>
      <c r="AU7" s="614" t="s">
        <v>272</v>
      </c>
      <c r="AV7" s="615"/>
      <c r="AW7" s="615"/>
      <c r="AX7" s="616" t="s">
        <v>286</v>
      </c>
      <c r="AY7" s="616"/>
      <c r="AZ7" s="616"/>
      <c r="BA7" s="609"/>
      <c r="BB7" s="609"/>
      <c r="BC7" s="607"/>
      <c r="BD7" s="608"/>
    </row>
    <row r="8" spans="1:56" s="1" customFormat="1">
      <c r="A8" s="604"/>
      <c r="B8" s="601"/>
      <c r="C8" s="601"/>
      <c r="D8" s="601"/>
      <c r="E8" s="601"/>
      <c r="F8" s="601"/>
      <c r="G8" s="601"/>
      <c r="H8" s="601"/>
      <c r="I8" s="601"/>
      <c r="J8" s="419" t="s">
        <v>37</v>
      </c>
      <c r="K8" s="417" t="s">
        <v>38</v>
      </c>
      <c r="L8" s="280" t="s">
        <v>37</v>
      </c>
      <c r="M8" s="281" t="s">
        <v>38</v>
      </c>
      <c r="N8" s="280" t="s">
        <v>37</v>
      </c>
      <c r="O8" s="281" t="s">
        <v>38</v>
      </c>
      <c r="P8" s="280" t="s">
        <v>37</v>
      </c>
      <c r="Q8" s="281" t="s">
        <v>38</v>
      </c>
      <c r="R8" s="280" t="s">
        <v>37</v>
      </c>
      <c r="S8" s="282" t="s">
        <v>38</v>
      </c>
      <c r="T8" s="285" t="s">
        <v>37</v>
      </c>
      <c r="U8" s="281" t="s">
        <v>38</v>
      </c>
      <c r="V8" s="286" t="s">
        <v>37</v>
      </c>
      <c r="W8" s="281" t="s">
        <v>38</v>
      </c>
      <c r="X8" s="286" t="s">
        <v>37</v>
      </c>
      <c r="Y8" s="281" t="s">
        <v>38</v>
      </c>
      <c r="Z8" s="283" t="s">
        <v>37</v>
      </c>
      <c r="AA8" s="282" t="s">
        <v>38</v>
      </c>
      <c r="AB8" s="284" t="s">
        <v>37</v>
      </c>
      <c r="AC8" s="287" t="s">
        <v>38</v>
      </c>
      <c r="AD8" s="283" t="s">
        <v>37</v>
      </c>
      <c r="AE8" s="287" t="s">
        <v>38</v>
      </c>
      <c r="AF8" s="283" t="s">
        <v>37</v>
      </c>
      <c r="AG8" s="282" t="s">
        <v>38</v>
      </c>
      <c r="AH8" s="284" t="s">
        <v>37</v>
      </c>
      <c r="AI8" s="287" t="s">
        <v>38</v>
      </c>
      <c r="AJ8" s="284" t="s">
        <v>37</v>
      </c>
      <c r="AK8" s="287" t="s">
        <v>38</v>
      </c>
      <c r="AL8" s="1">
        <v>14</v>
      </c>
      <c r="AM8" s="1">
        <v>15</v>
      </c>
      <c r="AN8" s="1">
        <v>17</v>
      </c>
      <c r="AO8" s="619"/>
      <c r="AP8" s="475" t="s">
        <v>273</v>
      </c>
      <c r="AQ8" s="476"/>
      <c r="AU8" s="1">
        <v>14</v>
      </c>
      <c r="AV8" s="1">
        <v>15</v>
      </c>
      <c r="AW8" s="1">
        <v>17</v>
      </c>
      <c r="AX8" s="1">
        <v>14</v>
      </c>
      <c r="AY8" s="1">
        <v>15</v>
      </c>
      <c r="AZ8" s="1">
        <v>17</v>
      </c>
      <c r="BA8" s="280" t="s">
        <v>37</v>
      </c>
      <c r="BB8" s="281" t="s">
        <v>38</v>
      </c>
      <c r="BC8" s="419" t="s">
        <v>37</v>
      </c>
      <c r="BD8" s="417" t="s">
        <v>38</v>
      </c>
    </row>
    <row r="9" spans="1:56" s="392" customFormat="1" ht="12.75" customHeight="1">
      <c r="A9" s="406">
        <v>46082</v>
      </c>
      <c r="B9" s="415" t="s">
        <v>7</v>
      </c>
      <c r="C9" s="393" t="s">
        <v>386</v>
      </c>
      <c r="D9" s="385">
        <f>+'1'!F42</f>
        <v>1174.6805555555557</v>
      </c>
      <c r="E9" s="385">
        <f>+'1'!G42</f>
        <v>873.01041666666663</v>
      </c>
      <c r="F9" s="45">
        <f t="shared" ref="F9:F39" si="0">1-(E9/D9)</f>
        <v>0.25681036215519593</v>
      </c>
      <c r="G9" s="411">
        <f>+P9/N9</f>
        <v>0.89828660859185105</v>
      </c>
      <c r="H9" s="407">
        <f>+P9/L9</f>
        <v>0.83891053321871945</v>
      </c>
      <c r="I9" s="407">
        <f>+R9/P9</f>
        <v>1.0143190875360726</v>
      </c>
      <c r="J9" s="412">
        <f>+R9/L9</f>
        <v>0.85092296657881161</v>
      </c>
      <c r="K9" s="412">
        <f>+S9/M9</f>
        <v>0.85092296657881161</v>
      </c>
      <c r="L9" s="386">
        <f>+Efficiency1!K6</f>
        <v>43.371728639999994</v>
      </c>
      <c r="M9" s="387">
        <f>L9</f>
        <v>43.371728639999994</v>
      </c>
      <c r="N9" s="386">
        <f>+Efficiency1!C6</f>
        <v>40.5048897</v>
      </c>
      <c r="O9" s="387">
        <f>N9</f>
        <v>40.5048897</v>
      </c>
      <c r="P9" s="387">
        <f>'1'!I38</f>
        <v>36.384999999999998</v>
      </c>
      <c r="Q9" s="387">
        <f>P9</f>
        <v>36.384999999999998</v>
      </c>
      <c r="R9" s="387">
        <f>'1'!I40</f>
        <v>36.905999999999999</v>
      </c>
      <c r="S9" s="387">
        <f>R9</f>
        <v>36.905999999999999</v>
      </c>
      <c r="T9" s="94">
        <f t="shared" ref="T9:T39" si="1">+AX9</f>
        <v>4546.1086951657062</v>
      </c>
      <c r="U9" s="288">
        <f>T9</f>
        <v>4546.1086951657062</v>
      </c>
      <c r="V9" s="288">
        <f>T9/P9</f>
        <v>124.94458417385479</v>
      </c>
      <c r="W9" s="288">
        <f>U9/Q9</f>
        <v>124.94458417385479</v>
      </c>
      <c r="X9" s="289">
        <f>IF(AND(R9&gt;0,T9&gt;0),(T9/(R9*1000))*1000,0)</f>
        <v>123.18074825680665</v>
      </c>
      <c r="Y9" s="288">
        <f>IF(AND(S9&gt;0,U9&gt;0),U9/S9,0)</f>
        <v>123.18074825680665</v>
      </c>
      <c r="Z9" s="389">
        <v>47.2</v>
      </c>
      <c r="AA9" s="390">
        <f>Z9</f>
        <v>47.2</v>
      </c>
      <c r="AB9" s="391">
        <f t="shared" ref="AB9:AB39" si="2">Z9/(P9)</f>
        <v>1.2972378727497598</v>
      </c>
      <c r="AC9" s="391">
        <f t="shared" ref="AC9:AC39" si="3">AA9/(Q9)</f>
        <v>1.2972378727497598</v>
      </c>
      <c r="AD9" s="386">
        <f t="shared" ref="AD9:AD39" si="4">IF(AND(R9&gt;0,Z9&gt;0),Z9/(R9),0)</f>
        <v>1.2789248360700158</v>
      </c>
      <c r="AE9" s="391">
        <f t="shared" ref="AE9:AE39" si="5">IF(AND(S9&gt;0,AA9&gt;0),AA9/(S9),0)</f>
        <v>1.2789248360700158</v>
      </c>
      <c r="AF9" s="390">
        <f>'1'!I46</f>
        <v>36530.9</v>
      </c>
      <c r="AG9" s="390">
        <f>AF9</f>
        <v>36530.9</v>
      </c>
      <c r="AH9" s="391">
        <f t="shared" ref="AH9:AH39" si="6">IF(AND(L9&gt;0,AF9&gt;0),(AF9/(P9*1000)*1000),0)</f>
        <v>1004.0098941871652</v>
      </c>
      <c r="AI9" s="391">
        <f t="shared" ref="AI9:AI39" si="7">IF(AND(M9&gt;0,AG9&gt;0),(AG9/(Q9*1000)*1000),0)</f>
        <v>1004.0098941871652</v>
      </c>
      <c r="AJ9" s="391">
        <f t="shared" ref="AJ9:AJ39" si="8">IF(AND(R9&gt;0,AF9&gt;0),(AF9/(R9*1000)*1000),0)</f>
        <v>989.83634097436732</v>
      </c>
      <c r="AK9" s="391">
        <f t="shared" ref="AK9:AK39" si="9">IF(AND(S9&gt;0,AG9&gt;0),(AG9/(S9*1000)*1000),0)</f>
        <v>989.83634097436732</v>
      </c>
      <c r="AL9" s="477">
        <v>4876.5</v>
      </c>
      <c r="AM9" s="478">
        <v>4523.3</v>
      </c>
      <c r="AN9" s="447">
        <v>4006.5</v>
      </c>
      <c r="AO9" s="447">
        <f>SUM(AL9:AN9)</f>
        <v>13406.3</v>
      </c>
      <c r="AP9" s="533">
        <f>+[1]Mar!N4</f>
        <v>12498</v>
      </c>
      <c r="AQ9" s="479">
        <f t="shared" ref="AQ9:AQ39" si="10">+AP9-AO9</f>
        <v>-908.29999999999927</v>
      </c>
      <c r="AR9" s="450">
        <f t="shared" ref="AR9:AR37" si="11">+AL9/AO9</f>
        <v>0.36374689511647512</v>
      </c>
      <c r="AS9" s="450">
        <f t="shared" ref="AS9:AS37" si="12">+AM9/AO9</f>
        <v>0.33740107263003216</v>
      </c>
      <c r="AT9" s="450">
        <f>1-AR9-AS9</f>
        <v>0.29885203225349277</v>
      </c>
      <c r="AU9" s="450">
        <f>+AR9*AQ9</f>
        <v>-330.39130483429409</v>
      </c>
      <c r="AV9" s="450">
        <f>+AS9*AQ9</f>
        <v>-306.46139426985798</v>
      </c>
      <c r="AW9" s="450">
        <f>+AT9*AQ9</f>
        <v>-271.44730089584726</v>
      </c>
      <c r="AX9" s="392">
        <f t="shared" ref="AX9:AX12" si="13">+AL9+AU9</f>
        <v>4546.1086951657062</v>
      </c>
      <c r="AY9" s="392">
        <f t="shared" ref="AY9:AY12" si="14">+AM9+AV9</f>
        <v>4216.8386057301423</v>
      </c>
      <c r="AZ9" s="392">
        <f t="shared" ref="AZ9:AZ12" si="15">+AN9+AW9</f>
        <v>3735.0526991041529</v>
      </c>
      <c r="BA9" s="386">
        <f>+Efficiency2!K6</f>
        <v>43.371728639999994</v>
      </c>
      <c r="BB9" s="387">
        <f>BA9</f>
        <v>43.371728639999994</v>
      </c>
      <c r="BC9" s="412">
        <f>+R9/BA9</f>
        <v>0.85092296657881161</v>
      </c>
      <c r="BD9" s="412">
        <f>+S9/BB9</f>
        <v>0.85092296657881161</v>
      </c>
    </row>
    <row r="10" spans="1:56" s="392" customFormat="1" ht="12.75" customHeight="1">
      <c r="A10" s="406">
        <f t="shared" ref="A10:A38" si="16">A9+1</f>
        <v>46083</v>
      </c>
      <c r="B10" s="415" t="s">
        <v>7</v>
      </c>
      <c r="C10" s="393" t="s">
        <v>434</v>
      </c>
      <c r="D10" s="385">
        <f>+'2'!F42</f>
        <v>1189.0069444444443</v>
      </c>
      <c r="E10" s="385">
        <f>+'2'!G42</f>
        <v>891.41180555555559</v>
      </c>
      <c r="F10" s="45">
        <f t="shared" si="0"/>
        <v>0.25028881477890619</v>
      </c>
      <c r="G10" s="411">
        <f t="shared" ref="G10:G41" si="17">+P10/N10</f>
        <v>0.86019755531752262</v>
      </c>
      <c r="H10" s="407">
        <f t="shared" ref="H10:H41" si="18">+P10/L10</f>
        <v>0.856543906498207</v>
      </c>
      <c r="I10" s="407">
        <f t="shared" ref="I10:I41" si="19">+R10/P10</f>
        <v>1.0459028422211192</v>
      </c>
      <c r="J10" s="412">
        <f t="shared" ref="J10:J41" si="20">+R10/L10</f>
        <v>0.89586170629365514</v>
      </c>
      <c r="K10" s="412">
        <f t="shared" ref="K10:K39" si="21">+S10/M10</f>
        <v>0.875864953031251</v>
      </c>
      <c r="L10" s="386">
        <f>+SUM(Efficiency1!K11:K13)</f>
        <v>54.097635449230765</v>
      </c>
      <c r="M10" s="387">
        <f t="shared" ref="M10:O38" si="22">M9+L10</f>
        <v>97.469364089230766</v>
      </c>
      <c r="N10" s="386">
        <f>+SUM(Efficiency1!C11:C13)</f>
        <v>53.867858276923073</v>
      </c>
      <c r="O10" s="387">
        <f t="shared" si="22"/>
        <v>94.37274797692308</v>
      </c>
      <c r="P10" s="387">
        <f>'2'!I38</f>
        <v>46.337000000000003</v>
      </c>
      <c r="Q10" s="387">
        <f t="shared" ref="Q10:Q38" si="23">Q9+P10</f>
        <v>82.722000000000008</v>
      </c>
      <c r="R10" s="387">
        <f>'2'!I40</f>
        <v>48.463999999999999</v>
      </c>
      <c r="S10" s="387">
        <f t="shared" ref="S10:S38" si="24">S9+R10</f>
        <v>85.37</v>
      </c>
      <c r="T10" s="94">
        <f t="shared" si="1"/>
        <v>4967.2757501896658</v>
      </c>
      <c r="U10" s="12">
        <f t="shared" ref="U10:U38" si="25">T10+U9</f>
        <v>9513.384445355372</v>
      </c>
      <c r="V10" s="288">
        <f t="shared" ref="V10:V39" si="26">T10/P10</f>
        <v>107.1989069251282</v>
      </c>
      <c r="W10" s="288">
        <f t="shared" ref="W10:W39" si="27">U10/Q10</f>
        <v>115.00428477739139</v>
      </c>
      <c r="X10" s="289">
        <f t="shared" ref="X10:X39" si="28">IF(AND(R10&gt;0,T10&gt;0),(T10/(R10*1000))*1000,0)</f>
        <v>102.49413482563688</v>
      </c>
      <c r="Y10" s="288">
        <f t="shared" ref="Y10:Y39" si="29">IF(AND(S10&gt;0,U10&gt;0),U10/S10,0)</f>
        <v>111.43709084403622</v>
      </c>
      <c r="Z10" s="389">
        <v>54.3</v>
      </c>
      <c r="AA10" s="388">
        <f t="shared" ref="AA10:AA38" si="30">Z10+AA9</f>
        <v>101.5</v>
      </c>
      <c r="AB10" s="391">
        <f t="shared" si="2"/>
        <v>1.1718497097352008</v>
      </c>
      <c r="AC10" s="391">
        <f t="shared" si="3"/>
        <v>1.2270012814003528</v>
      </c>
      <c r="AD10" s="386">
        <f t="shared" si="4"/>
        <v>1.1204192802905248</v>
      </c>
      <c r="AE10" s="391">
        <f t="shared" si="5"/>
        <v>1.1889422513763617</v>
      </c>
      <c r="AF10" s="390">
        <f>'2'!I46</f>
        <v>34471.700000001088</v>
      </c>
      <c r="AG10" s="388">
        <f t="shared" ref="AG10:AG38" si="31">AF10+AG9</f>
        <v>71002.600000001083</v>
      </c>
      <c r="AH10" s="391">
        <f t="shared" si="6"/>
        <v>743.93465265341058</v>
      </c>
      <c r="AI10" s="391">
        <f t="shared" si="7"/>
        <v>858.3278934261873</v>
      </c>
      <c r="AJ10" s="391">
        <f t="shared" si="8"/>
        <v>711.284664905932</v>
      </c>
      <c r="AK10" s="391">
        <f t="shared" si="9"/>
        <v>831.70434578893151</v>
      </c>
      <c r="AL10" s="446">
        <v>5034.3999999999996</v>
      </c>
      <c r="AM10" s="447">
        <v>3355.8</v>
      </c>
      <c r="AN10" s="447">
        <v>4000</v>
      </c>
      <c r="AO10" s="447">
        <f t="shared" ref="AO10:AO11" si="32">SUM(AL10:AN10)</f>
        <v>12390.2</v>
      </c>
      <c r="AP10" s="597">
        <f>+[1]Mar!N5</f>
        <v>12225</v>
      </c>
      <c r="AQ10" s="479">
        <f t="shared" si="10"/>
        <v>-165.20000000000073</v>
      </c>
      <c r="AR10" s="450">
        <f t="shared" si="11"/>
        <v>0.40632112475989085</v>
      </c>
      <c r="AS10" s="450">
        <f t="shared" si="12"/>
        <v>0.27084308566447679</v>
      </c>
      <c r="AT10" s="450">
        <f t="shared" ref="AT10:AT37" si="33">1-AR10-AS10</f>
        <v>0.32283578957563241</v>
      </c>
      <c r="AU10" s="450">
        <f t="shared" ref="AU10:AU37" si="34">+AR10*AQ10</f>
        <v>-67.124249810334263</v>
      </c>
      <c r="AV10" s="450">
        <f t="shared" ref="AV10:AV37" si="35">+AS10*AQ10</f>
        <v>-44.743277751771764</v>
      </c>
      <c r="AW10" s="450">
        <f>+AT10*AQ10</f>
        <v>-53.332472437894708</v>
      </c>
      <c r="AX10" s="392">
        <f t="shared" si="13"/>
        <v>4967.2757501896658</v>
      </c>
      <c r="AY10" s="392">
        <f t="shared" si="14"/>
        <v>3311.0567222482282</v>
      </c>
      <c r="AZ10" s="392">
        <f t="shared" si="15"/>
        <v>3946.6675275621051</v>
      </c>
      <c r="BA10" s="386">
        <f>+SUM(Efficiency2!K11:K13)</f>
        <v>54.097635449230765</v>
      </c>
      <c r="BB10" s="387">
        <f t="shared" ref="BB10:BB38" si="36">BB9+BA10</f>
        <v>97.469364089230766</v>
      </c>
      <c r="BC10" s="412">
        <f t="shared" ref="BC10:BC41" si="37">+R10/BA10</f>
        <v>0.89586170629365514</v>
      </c>
      <c r="BD10" s="412">
        <f t="shared" ref="BD10:BD39" si="38">+S10/BB10</f>
        <v>0.875864953031251</v>
      </c>
    </row>
    <row r="11" spans="1:56" s="392" customFormat="1" ht="12.75" customHeight="1">
      <c r="A11" s="406">
        <f t="shared" si="16"/>
        <v>46084</v>
      </c>
      <c r="B11" s="415" t="s">
        <v>7</v>
      </c>
      <c r="C11" s="393" t="s">
        <v>454</v>
      </c>
      <c r="D11" s="385">
        <f>+'3'!F42</f>
        <v>1105.5694444444443</v>
      </c>
      <c r="E11" s="385">
        <f>+'3'!G42</f>
        <v>829.17708333333337</v>
      </c>
      <c r="F11" s="45">
        <f t="shared" si="0"/>
        <v>0.24999999999999989</v>
      </c>
      <c r="G11" s="411">
        <f t="shared" si="17"/>
        <v>0.88573689961835778</v>
      </c>
      <c r="H11" s="407">
        <f>+P11/L11</f>
        <v>0.88573689961835778</v>
      </c>
      <c r="I11" s="407">
        <f t="shared" si="19"/>
        <v>0.88079513360851613</v>
      </c>
      <c r="J11" s="412">
        <f t="shared" si="20"/>
        <v>0.78015275084134428</v>
      </c>
      <c r="K11" s="412">
        <f t="shared" si="21"/>
        <v>0.84258028221488179</v>
      </c>
      <c r="L11" s="386">
        <f>+SUM(Efficiency1!K16:K17)</f>
        <v>51.968027999999997</v>
      </c>
      <c r="M11" s="387">
        <f t="shared" si="22"/>
        <v>149.43739208923077</v>
      </c>
      <c r="N11" s="386">
        <f>+SUM(Efficiency1!C16:C17)</f>
        <v>51.968027999999997</v>
      </c>
      <c r="O11" s="387">
        <f t="shared" si="22"/>
        <v>146.34077597692308</v>
      </c>
      <c r="P11" s="387">
        <f>'3'!I38</f>
        <v>46.03</v>
      </c>
      <c r="Q11" s="387">
        <f t="shared" si="23"/>
        <v>128.75200000000001</v>
      </c>
      <c r="R11" s="387">
        <f>'3'!I40</f>
        <v>40.542999999999999</v>
      </c>
      <c r="S11" s="387">
        <f t="shared" si="24"/>
        <v>125.91300000000001</v>
      </c>
      <c r="T11" s="94">
        <f t="shared" si="1"/>
        <v>4610.1847343891432</v>
      </c>
      <c r="U11" s="12">
        <f t="shared" si="25"/>
        <v>14123.569179744514</v>
      </c>
      <c r="V11" s="288">
        <f t="shared" si="26"/>
        <v>100.15608808144999</v>
      </c>
      <c r="W11" s="288">
        <f t="shared" si="27"/>
        <v>109.69592068274289</v>
      </c>
      <c r="X11" s="289">
        <f t="shared" si="28"/>
        <v>113.71099164810555</v>
      </c>
      <c r="Y11" s="288">
        <f t="shared" si="29"/>
        <v>112.16926909647545</v>
      </c>
      <c r="Z11" s="389">
        <v>51.2</v>
      </c>
      <c r="AA11" s="388">
        <f t="shared" si="30"/>
        <v>152.69999999999999</v>
      </c>
      <c r="AB11" s="391">
        <f t="shared" si="2"/>
        <v>1.1123180534434065</v>
      </c>
      <c r="AC11" s="391">
        <f t="shared" si="3"/>
        <v>1.1860009941593139</v>
      </c>
      <c r="AD11" s="386">
        <f t="shared" si="4"/>
        <v>1.262856720025652</v>
      </c>
      <c r="AE11" s="391">
        <f t="shared" si="5"/>
        <v>1.2127421314717304</v>
      </c>
      <c r="AF11" s="390">
        <f>'3'!I46</f>
        <v>33956.979999999276</v>
      </c>
      <c r="AG11" s="388">
        <f t="shared" si="31"/>
        <v>104959.58000000037</v>
      </c>
      <c r="AH11" s="391">
        <f t="shared" si="6"/>
        <v>737.71409950031011</v>
      </c>
      <c r="AI11" s="391">
        <f t="shared" si="7"/>
        <v>815.20737541941367</v>
      </c>
      <c r="AJ11" s="391">
        <f t="shared" si="8"/>
        <v>837.5546950151512</v>
      </c>
      <c r="AK11" s="391">
        <f t="shared" si="9"/>
        <v>833.58811242683714</v>
      </c>
      <c r="AL11" s="446">
        <v>4915.8999999999996</v>
      </c>
      <c r="AM11" s="447">
        <v>4575.3</v>
      </c>
      <c r="AN11" s="447">
        <v>3876.1</v>
      </c>
      <c r="AO11" s="447">
        <f t="shared" si="32"/>
        <v>13367.300000000001</v>
      </c>
      <c r="AP11" s="597">
        <f>+[1]Mar!N6</f>
        <v>12536</v>
      </c>
      <c r="AQ11" s="479">
        <f t="shared" si="10"/>
        <v>-831.30000000000109</v>
      </c>
      <c r="AR11" s="450">
        <f t="shared" si="11"/>
        <v>0.36775564250072934</v>
      </c>
      <c r="AS11" s="450">
        <f t="shared" si="12"/>
        <v>0.34227555302865947</v>
      </c>
      <c r="AT11" s="450">
        <f t="shared" si="33"/>
        <v>0.28996880447061119</v>
      </c>
      <c r="AU11" s="450">
        <f t="shared" si="34"/>
        <v>-305.7152656108567</v>
      </c>
      <c r="AV11" s="450">
        <f t="shared" si="35"/>
        <v>-284.53366723272501</v>
      </c>
      <c r="AW11" s="450">
        <f t="shared" ref="AW11:AW37" si="39">+AT11*AQ11</f>
        <v>-241.05106715641941</v>
      </c>
      <c r="AX11" s="392">
        <f t="shared" si="13"/>
        <v>4610.1847343891432</v>
      </c>
      <c r="AY11" s="392">
        <f t="shared" si="14"/>
        <v>4290.7663327672753</v>
      </c>
      <c r="AZ11" s="392">
        <f t="shared" si="15"/>
        <v>3635.0489328435806</v>
      </c>
      <c r="BA11" s="386">
        <f>+SUM(Efficiency2!K16:K17)</f>
        <v>51.968027999999997</v>
      </c>
      <c r="BB11" s="387">
        <f t="shared" si="36"/>
        <v>149.43739208923077</v>
      </c>
      <c r="BC11" s="412">
        <f t="shared" si="37"/>
        <v>0.78015275084134428</v>
      </c>
      <c r="BD11" s="412">
        <f t="shared" si="38"/>
        <v>0.84258028221488179</v>
      </c>
    </row>
    <row r="12" spans="1:56" s="392" customFormat="1" ht="12.75" customHeight="1">
      <c r="A12" s="406">
        <f t="shared" si="16"/>
        <v>46085</v>
      </c>
      <c r="B12" s="415" t="s">
        <v>7</v>
      </c>
      <c r="C12" s="393" t="s">
        <v>465</v>
      </c>
      <c r="D12" s="385">
        <f>+'4'!F42</f>
        <v>1196.7777777777778</v>
      </c>
      <c r="E12" s="385">
        <f>+'4'!G42</f>
        <v>897.58333333333337</v>
      </c>
      <c r="F12" s="45">
        <f t="shared" si="0"/>
        <v>0.25</v>
      </c>
      <c r="G12" s="411">
        <f t="shared" si="17"/>
        <v>0.90212645337517672</v>
      </c>
      <c r="H12" s="407">
        <f t="shared" si="18"/>
        <v>0.90212645337517672</v>
      </c>
      <c r="I12" s="407">
        <f t="shared" si="19"/>
        <v>0.93666800179063692</v>
      </c>
      <c r="J12" s="412">
        <f t="shared" si="20"/>
        <v>0.844992982445401</v>
      </c>
      <c r="K12" s="412">
        <f t="shared" si="21"/>
        <v>0.84315799549993586</v>
      </c>
      <c r="L12" s="386">
        <f>+Efficiency1!K21</f>
        <v>47.047727999999999</v>
      </c>
      <c r="M12" s="387">
        <f t="shared" si="22"/>
        <v>196.48512008923078</v>
      </c>
      <c r="N12" s="386">
        <f>+Efficiency1!C21</f>
        <v>47.047727999999999</v>
      </c>
      <c r="O12" s="387">
        <f t="shared" si="22"/>
        <v>193.38850397692309</v>
      </c>
      <c r="P12" s="387">
        <f>'4'!I38</f>
        <v>42.442999999999998</v>
      </c>
      <c r="Q12" s="387">
        <f t="shared" si="23"/>
        <v>171.19499999999999</v>
      </c>
      <c r="R12" s="387">
        <f>'4'!I40</f>
        <v>39.755000000000003</v>
      </c>
      <c r="S12" s="387">
        <f t="shared" si="24"/>
        <v>165.66800000000001</v>
      </c>
      <c r="T12" s="94">
        <f t="shared" si="1"/>
        <v>5068.7436907437386</v>
      </c>
      <c r="U12" s="12">
        <f t="shared" si="25"/>
        <v>19192.312870488255</v>
      </c>
      <c r="V12" s="288">
        <f t="shared" si="26"/>
        <v>119.42472706320804</v>
      </c>
      <c r="W12" s="288">
        <f t="shared" si="27"/>
        <v>112.10790543233304</v>
      </c>
      <c r="X12" s="289">
        <f t="shared" si="28"/>
        <v>127.49952687067636</v>
      </c>
      <c r="Y12" s="288">
        <f t="shared" si="29"/>
        <v>115.84803867064402</v>
      </c>
      <c r="Z12" s="389">
        <v>52</v>
      </c>
      <c r="AA12" s="388">
        <f t="shared" si="30"/>
        <v>204.7</v>
      </c>
      <c r="AB12" s="391">
        <f t="shared" si="2"/>
        <v>1.2251725844073229</v>
      </c>
      <c r="AC12" s="391">
        <f t="shared" si="3"/>
        <v>1.1957124916031425</v>
      </c>
      <c r="AD12" s="386">
        <f t="shared" si="4"/>
        <v>1.3080115708715885</v>
      </c>
      <c r="AE12" s="391">
        <f t="shared" si="5"/>
        <v>1.2356037375956732</v>
      </c>
      <c r="AF12" s="390">
        <f>'4'!I46</f>
        <v>36603.360000000364</v>
      </c>
      <c r="AG12" s="388">
        <f t="shared" si="31"/>
        <v>141562.94000000073</v>
      </c>
      <c r="AH12" s="391">
        <f t="shared" si="6"/>
        <v>862.41217633061672</v>
      </c>
      <c r="AI12" s="391">
        <f t="shared" si="7"/>
        <v>826.91048219866661</v>
      </c>
      <c r="AJ12" s="391">
        <f t="shared" si="8"/>
        <v>920.72343101497586</v>
      </c>
      <c r="AK12" s="391">
        <f t="shared" si="9"/>
        <v>854.49779076225173</v>
      </c>
      <c r="AL12" s="446">
        <v>5260.4</v>
      </c>
      <c r="AM12" s="447">
        <v>3916.8</v>
      </c>
      <c r="AN12" s="447">
        <v>3237.1</v>
      </c>
      <c r="AO12" s="447">
        <f>SUM(AL12:AN12)</f>
        <v>12414.300000000001</v>
      </c>
      <c r="AP12" s="597">
        <f>+[1]Mar!N7</f>
        <v>11962</v>
      </c>
      <c r="AQ12" s="479">
        <f t="shared" si="10"/>
        <v>-452.30000000000109</v>
      </c>
      <c r="AR12" s="450">
        <f t="shared" si="11"/>
        <v>0.42373714184448574</v>
      </c>
      <c r="AS12" s="450">
        <f t="shared" si="12"/>
        <v>0.31550711679273097</v>
      </c>
      <c r="AT12" s="450">
        <f t="shared" si="33"/>
        <v>0.26075574136278329</v>
      </c>
      <c r="AU12" s="450">
        <f t="shared" si="34"/>
        <v>-191.65630925626135</v>
      </c>
      <c r="AV12" s="450">
        <f t="shared" si="35"/>
        <v>-142.70386892535257</v>
      </c>
      <c r="AW12" s="450">
        <f t="shared" si="39"/>
        <v>-117.93982181838716</v>
      </c>
      <c r="AX12" s="392">
        <f t="shared" si="13"/>
        <v>5068.7436907437386</v>
      </c>
      <c r="AY12" s="392">
        <f t="shared" si="14"/>
        <v>3774.0961310746475</v>
      </c>
      <c r="AZ12" s="392">
        <f t="shared" si="15"/>
        <v>3119.1601781816125</v>
      </c>
      <c r="BA12" s="386">
        <f>+SUM(Efficiency2!K21)</f>
        <v>47.047727999999999</v>
      </c>
      <c r="BB12" s="387">
        <f t="shared" si="36"/>
        <v>196.48512008923078</v>
      </c>
      <c r="BC12" s="412">
        <f t="shared" si="37"/>
        <v>0.844992982445401</v>
      </c>
      <c r="BD12" s="412">
        <f t="shared" si="38"/>
        <v>0.84315799549993586</v>
      </c>
    </row>
    <row r="13" spans="1:56" s="392" customFormat="1" ht="12.75" customHeight="1">
      <c r="A13" s="406">
        <f t="shared" si="16"/>
        <v>46086</v>
      </c>
      <c r="B13" s="415" t="s">
        <v>7</v>
      </c>
      <c r="C13" s="393" t="s">
        <v>479</v>
      </c>
      <c r="D13" s="385">
        <f>+'5'!F42</f>
        <v>1159.3943284022955</v>
      </c>
      <c r="E13" s="385">
        <f>+'5'!G42</f>
        <v>877.79401019061038</v>
      </c>
      <c r="F13" s="45">
        <f t="shared" si="0"/>
        <v>0.24288571309447815</v>
      </c>
      <c r="G13" s="411">
        <f t="shared" si="17"/>
        <v>0.92203133337117127</v>
      </c>
      <c r="H13" s="407">
        <f t="shared" si="18"/>
        <v>0.90832137771703636</v>
      </c>
      <c r="I13" s="407">
        <f t="shared" si="19"/>
        <v>0.90526732304541113</v>
      </c>
      <c r="J13" s="412">
        <f t="shared" si="20"/>
        <v>0.82227366207082131</v>
      </c>
      <c r="K13" s="412">
        <f t="shared" si="21"/>
        <v>0.83910599334952851</v>
      </c>
      <c r="L13" s="386">
        <f>+SUM(Efficiency1!K26:K28)</f>
        <v>47.29933815714287</v>
      </c>
      <c r="M13" s="387">
        <f t="shared" si="22"/>
        <v>243.78445824637365</v>
      </c>
      <c r="N13" s="386">
        <f>+SUM(Efficiency1!C26:C28)</f>
        <v>46.596030357142858</v>
      </c>
      <c r="O13" s="387">
        <f t="shared" si="22"/>
        <v>239.98453433406596</v>
      </c>
      <c r="P13" s="387">
        <f>'5'!I38</f>
        <v>42.963000000000001</v>
      </c>
      <c r="Q13" s="387">
        <f t="shared" si="23"/>
        <v>214.15799999999999</v>
      </c>
      <c r="R13" s="387">
        <f>'5'!I40</f>
        <v>38.893000000000001</v>
      </c>
      <c r="S13" s="387">
        <f t="shared" si="24"/>
        <v>204.56100000000001</v>
      </c>
      <c r="T13" s="94">
        <f t="shared" si="1"/>
        <v>4994.4935647965949</v>
      </c>
      <c r="U13" s="12">
        <f t="shared" si="25"/>
        <v>24186.806435284849</v>
      </c>
      <c r="V13" s="288">
        <f t="shared" si="26"/>
        <v>116.25104310212497</v>
      </c>
      <c r="W13" s="288">
        <f t="shared" si="27"/>
        <v>112.93907505339446</v>
      </c>
      <c r="X13" s="289">
        <f t="shared" si="28"/>
        <v>128.41625909023719</v>
      </c>
      <c r="Y13" s="288">
        <f t="shared" si="29"/>
        <v>118.23762317980871</v>
      </c>
      <c r="Z13" s="389">
        <v>50.5</v>
      </c>
      <c r="AA13" s="388">
        <f t="shared" si="30"/>
        <v>255.2</v>
      </c>
      <c r="AB13" s="391">
        <f t="shared" si="2"/>
        <v>1.1754300211810162</v>
      </c>
      <c r="AC13" s="391">
        <f t="shared" si="3"/>
        <v>1.1916435528908562</v>
      </c>
      <c r="AD13" s="386">
        <f t="shared" si="4"/>
        <v>1.2984341655310725</v>
      </c>
      <c r="AE13" s="391">
        <f t="shared" si="5"/>
        <v>1.2475496306725133</v>
      </c>
      <c r="AF13" s="390">
        <f>'5'!I46</f>
        <v>34597.419999999271</v>
      </c>
      <c r="AG13" s="388">
        <f t="shared" si="31"/>
        <v>176160.36</v>
      </c>
      <c r="AH13" s="391">
        <f t="shared" si="6"/>
        <v>805.28408165163682</v>
      </c>
      <c r="AI13" s="391">
        <f t="shared" si="7"/>
        <v>822.57193287199163</v>
      </c>
      <c r="AJ13" s="391">
        <f t="shared" si="8"/>
        <v>889.55390430152647</v>
      </c>
      <c r="AK13" s="391">
        <f t="shared" si="9"/>
        <v>861.16297828031725</v>
      </c>
      <c r="AL13" s="446">
        <v>5308.4</v>
      </c>
      <c r="AM13" s="447">
        <v>4348.6000000000004</v>
      </c>
      <c r="AN13" s="447">
        <v>4064.4</v>
      </c>
      <c r="AO13" s="447">
        <f t="shared" ref="AO13:AO39" si="40">SUM(AL13:AN13)</f>
        <v>13721.4</v>
      </c>
      <c r="AP13" s="597">
        <f>+[1]Mar!N8</f>
        <v>12910</v>
      </c>
      <c r="AQ13" s="479">
        <f t="shared" si="10"/>
        <v>-811.39999999999964</v>
      </c>
      <c r="AR13" s="450">
        <f t="shared" si="11"/>
        <v>0.38687014444590201</v>
      </c>
      <c r="AS13" s="450">
        <f t="shared" si="12"/>
        <v>0.31692101389071087</v>
      </c>
      <c r="AT13" s="450">
        <f t="shared" si="33"/>
        <v>0.29620884166338718</v>
      </c>
      <c r="AU13" s="450">
        <f t="shared" si="34"/>
        <v>-313.90643520340473</v>
      </c>
      <c r="AV13" s="450">
        <f t="shared" si="35"/>
        <v>-257.14971067092267</v>
      </c>
      <c r="AW13" s="450">
        <f t="shared" si="39"/>
        <v>-240.34385412567224</v>
      </c>
      <c r="AX13" s="576">
        <f>IFERROR(+AL13+AU13,"-")</f>
        <v>4994.4935647965949</v>
      </c>
      <c r="AY13" s="576">
        <f>IFERROR(+AM13+AV13,"-")</f>
        <v>4091.4502893290778</v>
      </c>
      <c r="AZ13" s="576">
        <f>IFERROR(+AN13+AW13,"-")</f>
        <v>3824.0561458743277</v>
      </c>
      <c r="BA13" s="386">
        <f>+SUM(Efficiency2!K26:K28)</f>
        <v>47.29933815714287</v>
      </c>
      <c r="BB13" s="387">
        <f t="shared" si="36"/>
        <v>243.78445824637365</v>
      </c>
      <c r="BC13" s="412">
        <f t="shared" si="37"/>
        <v>0.82227366207082131</v>
      </c>
      <c r="BD13" s="412">
        <f t="shared" si="38"/>
        <v>0.83910599334952851</v>
      </c>
    </row>
    <row r="14" spans="1:56" s="392" customFormat="1" ht="12.75" customHeight="1">
      <c r="A14" s="406">
        <f t="shared" si="16"/>
        <v>46087</v>
      </c>
      <c r="B14" s="415" t="s">
        <v>7</v>
      </c>
      <c r="C14" s="393" t="s">
        <v>494</v>
      </c>
      <c r="D14" s="385">
        <f>+'6'!F42</f>
        <v>1121.1111111111111</v>
      </c>
      <c r="E14" s="385">
        <f>+'6'!G42</f>
        <v>860.72222222222217</v>
      </c>
      <c r="F14" s="45">
        <f t="shared" si="0"/>
        <v>0.23225966303270573</v>
      </c>
      <c r="G14" s="411">
        <f t="shared" si="17"/>
        <v>0.60752377630726906</v>
      </c>
      <c r="H14" s="407">
        <f t="shared" si="18"/>
        <v>0.59063965757351844</v>
      </c>
      <c r="I14" s="407">
        <f t="shared" si="19"/>
        <v>0.98923071526291795</v>
      </c>
      <c r="J14" s="412">
        <f t="shared" si="20"/>
        <v>0.58427889092409657</v>
      </c>
      <c r="K14" s="412">
        <f t="shared" si="21"/>
        <v>0.79699275049455498</v>
      </c>
      <c r="L14" s="386">
        <f>+SUM(Efficiency1!K31:K32)</f>
        <v>48.264622320000001</v>
      </c>
      <c r="M14" s="387">
        <f t="shared" si="22"/>
        <v>292.04908056637362</v>
      </c>
      <c r="N14" s="386">
        <f>+SUM(Efficiency1!C31:C32)</f>
        <v>46.923266400000003</v>
      </c>
      <c r="O14" s="387">
        <f t="shared" si="22"/>
        <v>286.90780073406597</v>
      </c>
      <c r="P14" s="387">
        <f>'6'!I38</f>
        <v>28.506999999999998</v>
      </c>
      <c r="Q14" s="387">
        <f t="shared" si="23"/>
        <v>242.66499999999999</v>
      </c>
      <c r="R14" s="387">
        <f>'6'!I40</f>
        <v>28.2</v>
      </c>
      <c r="S14" s="387">
        <f t="shared" si="24"/>
        <v>232.761</v>
      </c>
      <c r="T14" s="94">
        <f t="shared" si="1"/>
        <v>3033.4509003836101</v>
      </c>
      <c r="U14" s="12">
        <f t="shared" si="25"/>
        <v>27220.257335668459</v>
      </c>
      <c r="V14" s="288">
        <f t="shared" si="26"/>
        <v>106.41073772700075</v>
      </c>
      <c r="W14" s="288">
        <f t="shared" si="27"/>
        <v>112.17216053270336</v>
      </c>
      <c r="X14" s="289">
        <f t="shared" si="28"/>
        <v>107.56918086466703</v>
      </c>
      <c r="Y14" s="288">
        <f t="shared" si="29"/>
        <v>116.94509533671216</v>
      </c>
      <c r="Z14" s="389">
        <v>38.5</v>
      </c>
      <c r="AA14" s="388">
        <f t="shared" si="30"/>
        <v>293.7</v>
      </c>
      <c r="AB14" s="391">
        <f t="shared" si="2"/>
        <v>1.3505454800575298</v>
      </c>
      <c r="AC14" s="391">
        <f t="shared" si="3"/>
        <v>1.2103105103743845</v>
      </c>
      <c r="AD14" s="386">
        <f t="shared" si="4"/>
        <v>1.3652482269503547</v>
      </c>
      <c r="AE14" s="391">
        <f t="shared" si="5"/>
        <v>1.261809323726913</v>
      </c>
      <c r="AF14" s="390">
        <f>'6'!I46</f>
        <v>24649.020000000732</v>
      </c>
      <c r="AG14" s="388">
        <f t="shared" si="31"/>
        <v>200809.3800000007</v>
      </c>
      <c r="AH14" s="391">
        <f t="shared" si="6"/>
        <v>864.66552074931542</v>
      </c>
      <c r="AI14" s="391">
        <f t="shared" si="7"/>
        <v>827.51686481363481</v>
      </c>
      <c r="AJ14" s="391">
        <f t="shared" si="8"/>
        <v>874.07872340428128</v>
      </c>
      <c r="AK14" s="391">
        <f t="shared" si="9"/>
        <v>862.72777656050926</v>
      </c>
      <c r="AL14" s="446">
        <v>3354.5</v>
      </c>
      <c r="AM14" s="447">
        <v>2543.3000000000002</v>
      </c>
      <c r="AN14" s="447">
        <v>2287.6</v>
      </c>
      <c r="AO14" s="447">
        <f t="shared" si="40"/>
        <v>8185.4</v>
      </c>
      <c r="AP14" s="597">
        <f>+[1]Mar!N9</f>
        <v>7402</v>
      </c>
      <c r="AQ14" s="479">
        <f t="shared" si="10"/>
        <v>-783.39999999999964</v>
      </c>
      <c r="AR14" s="450">
        <f t="shared" si="11"/>
        <v>0.40981503652845314</v>
      </c>
      <c r="AS14" s="450">
        <f t="shared" si="12"/>
        <v>0.31071175507611115</v>
      </c>
      <c r="AT14" s="450">
        <f>1-AR14-AS14</f>
        <v>0.27947320839543566</v>
      </c>
      <c r="AU14" s="450">
        <f t="shared" si="34"/>
        <v>-321.04909961639004</v>
      </c>
      <c r="AV14" s="450">
        <f t="shared" si="35"/>
        <v>-243.41158892662537</v>
      </c>
      <c r="AW14" s="450">
        <f t="shared" si="39"/>
        <v>-218.9393114569842</v>
      </c>
      <c r="AX14" s="576">
        <f t="shared" ref="AX14:AX39" si="41">IFERROR(+AL14+AU14,"-")</f>
        <v>3033.4509003836101</v>
      </c>
      <c r="AY14" s="576">
        <f t="shared" ref="AY14:AY39" si="42">IFERROR(+AM14+AV14,"-")</f>
        <v>2299.8884110733748</v>
      </c>
      <c r="AZ14" s="576">
        <f t="shared" ref="AZ14:AZ39" si="43">IFERROR(+AN14+AW14,"-")</f>
        <v>2068.6606885430156</v>
      </c>
      <c r="BA14" s="386">
        <f>+SUM(Efficiency2!K31:K32)</f>
        <v>38.364183564000001</v>
      </c>
      <c r="BB14" s="387">
        <f t="shared" si="36"/>
        <v>282.14864181037365</v>
      </c>
      <c r="BC14" s="412">
        <f t="shared" si="37"/>
        <v>0.73506060549825381</v>
      </c>
      <c r="BD14" s="412">
        <f t="shared" si="38"/>
        <v>0.8249587823868878</v>
      </c>
    </row>
    <row r="15" spans="1:56" s="392" customFormat="1" ht="12.75" customHeight="1">
      <c r="A15" s="406">
        <f t="shared" si="16"/>
        <v>46088</v>
      </c>
      <c r="B15" s="415" t="s">
        <v>548</v>
      </c>
      <c r="C15" s="393" t="s">
        <v>549</v>
      </c>
      <c r="D15" s="385">
        <f>+'7'!F42</f>
        <v>1150.8476658476659</v>
      </c>
      <c r="E15" s="385">
        <f>+'7'!G42</f>
        <v>870.86842751842755</v>
      </c>
      <c r="F15" s="45">
        <f t="shared" si="0"/>
        <v>0.24328088472336384</v>
      </c>
      <c r="G15" s="411">
        <f t="shared" si="17"/>
        <v>0.49277197152689955</v>
      </c>
      <c r="H15" s="407">
        <f t="shared" si="18"/>
        <v>0.47939983845630357</v>
      </c>
      <c r="I15" s="407">
        <f t="shared" si="19"/>
        <v>0.7900036449790413</v>
      </c>
      <c r="J15" s="412">
        <f t="shared" si="20"/>
        <v>0.37872761978284342</v>
      </c>
      <c r="K15" s="412">
        <f t="shared" si="21"/>
        <v>0.74031027437844177</v>
      </c>
      <c r="L15" s="386">
        <f>+SUM(Efficiency1!K37:K38)</f>
        <v>45.782243211999997</v>
      </c>
      <c r="M15" s="387">
        <f t="shared" si="22"/>
        <v>337.83132377837364</v>
      </c>
      <c r="N15" s="386">
        <f>+SUM(Efficiency1!C37:C38)</f>
        <v>44.539870910255082</v>
      </c>
      <c r="O15" s="387">
        <f t="shared" si="22"/>
        <v>331.44767164432108</v>
      </c>
      <c r="P15" s="387">
        <f>'7'!I38</f>
        <v>21.948</v>
      </c>
      <c r="Q15" s="387">
        <f t="shared" si="23"/>
        <v>264.613</v>
      </c>
      <c r="R15" s="387">
        <f>'7'!I40</f>
        <v>17.338999999999999</v>
      </c>
      <c r="S15" s="387">
        <f t="shared" si="24"/>
        <v>250.1</v>
      </c>
      <c r="T15" s="94">
        <f t="shared" si="1"/>
        <v>3661.6640395910567</v>
      </c>
      <c r="U15" s="12">
        <f t="shared" si="25"/>
        <v>30881.921375259517</v>
      </c>
      <c r="V15" s="288">
        <f t="shared" si="26"/>
        <v>166.83360851061857</v>
      </c>
      <c r="W15" s="288">
        <f t="shared" si="27"/>
        <v>116.70598714069043</v>
      </c>
      <c r="X15" s="289">
        <f t="shared" si="28"/>
        <v>211.18080855822464</v>
      </c>
      <c r="Y15" s="288">
        <f t="shared" si="29"/>
        <v>123.47829418336472</v>
      </c>
      <c r="Z15" s="389">
        <v>44.3</v>
      </c>
      <c r="AA15" s="388">
        <f t="shared" si="30"/>
        <v>338</v>
      </c>
      <c r="AB15" s="391">
        <f t="shared" si="2"/>
        <v>2.0184071441589211</v>
      </c>
      <c r="AC15" s="391">
        <f t="shared" si="3"/>
        <v>1.2773370922819363</v>
      </c>
      <c r="AD15" s="386">
        <f t="shared" si="4"/>
        <v>2.5549339638964184</v>
      </c>
      <c r="AE15" s="391">
        <f t="shared" si="5"/>
        <v>1.3514594162335067</v>
      </c>
      <c r="AF15" s="390">
        <f>'7'!I46</f>
        <v>24519.019999998913</v>
      </c>
      <c r="AG15" s="388">
        <f t="shared" si="31"/>
        <v>225328.39999999962</v>
      </c>
      <c r="AH15" s="391">
        <f t="shared" si="6"/>
        <v>1117.1414251867557</v>
      </c>
      <c r="AI15" s="391">
        <f t="shared" si="7"/>
        <v>851.53941794242769</v>
      </c>
      <c r="AJ15" s="391">
        <f t="shared" si="8"/>
        <v>1414.0965453601079</v>
      </c>
      <c r="AK15" s="391">
        <f t="shared" si="9"/>
        <v>900.95321871251349</v>
      </c>
      <c r="AL15" s="446">
        <v>3462.3</v>
      </c>
      <c r="AM15" s="447">
        <v>4113.6000000000004</v>
      </c>
      <c r="AN15" s="447">
        <v>3780.2</v>
      </c>
      <c r="AO15" s="447">
        <f t="shared" si="40"/>
        <v>11356.1</v>
      </c>
      <c r="AP15" s="597">
        <f>+[1]Mar!N10</f>
        <v>12010</v>
      </c>
      <c r="AQ15" s="479">
        <f t="shared" si="10"/>
        <v>653.89999999999964</v>
      </c>
      <c r="AR15" s="450">
        <f t="shared" si="11"/>
        <v>0.30488459946636609</v>
      </c>
      <c r="AS15" s="450">
        <f t="shared" si="12"/>
        <v>0.36223703560201126</v>
      </c>
      <c r="AT15" s="450">
        <f>1-AR15-AS15</f>
        <v>0.33287836493162271</v>
      </c>
      <c r="AU15" s="450">
        <f t="shared" si="34"/>
        <v>199.36403959105667</v>
      </c>
      <c r="AV15" s="450">
        <f t="shared" si="35"/>
        <v>236.86679758015504</v>
      </c>
      <c r="AW15" s="450">
        <f t="shared" si="39"/>
        <v>217.66916282878796</v>
      </c>
      <c r="AX15" s="576">
        <f t="shared" si="41"/>
        <v>3661.6640395910567</v>
      </c>
      <c r="AY15" s="576">
        <f t="shared" si="42"/>
        <v>4350.4667975801558</v>
      </c>
      <c r="AZ15" s="576">
        <f t="shared" si="43"/>
        <v>3997.8691628287879</v>
      </c>
      <c r="BA15" s="386">
        <f>+SUM(Efficiency2!K37:K38)</f>
        <v>32.675967819999997</v>
      </c>
      <c r="BB15" s="387">
        <f t="shared" si="36"/>
        <v>314.82460963037363</v>
      </c>
      <c r="BC15" s="412">
        <f t="shared" si="37"/>
        <v>0.53063462712150511</v>
      </c>
      <c r="BD15" s="412">
        <f t="shared" si="38"/>
        <v>0.79441057766619672</v>
      </c>
    </row>
    <row r="16" spans="1:56" s="392" customFormat="1" ht="12.75" customHeight="1">
      <c r="A16" s="406">
        <f t="shared" si="16"/>
        <v>46089</v>
      </c>
      <c r="B16" s="415" t="s">
        <v>7</v>
      </c>
      <c r="C16" s="393" t="s">
        <v>550</v>
      </c>
      <c r="D16" s="385">
        <f>+'8'!F42</f>
        <v>1197.4360795454545</v>
      </c>
      <c r="E16" s="385">
        <f>+'8'!G42</f>
        <v>908.30426136363633</v>
      </c>
      <c r="F16" s="45">
        <f t="shared" si="0"/>
        <v>0.24145908338720867</v>
      </c>
      <c r="G16" s="411">
        <f t="shared" si="17"/>
        <v>0.91459257491427592</v>
      </c>
      <c r="H16" s="407">
        <f t="shared" si="18"/>
        <v>0.88879471841851565</v>
      </c>
      <c r="I16" s="407">
        <f t="shared" si="19"/>
        <v>0.96398413683330186</v>
      </c>
      <c r="J16" s="412">
        <f t="shared" si="20"/>
        <v>0.85678400945667033</v>
      </c>
      <c r="K16" s="412">
        <f t="shared" si="21"/>
        <v>0.75310882720560235</v>
      </c>
      <c r="L16" s="386">
        <f>+SUM(Efficiency1!K45:K46)</f>
        <v>41.704793279999997</v>
      </c>
      <c r="M16" s="387">
        <f t="shared" si="22"/>
        <v>379.53611705837363</v>
      </c>
      <c r="N16" s="386">
        <f>+SUM(Efficiency1!C45:C46)</f>
        <v>40.528428741589401</v>
      </c>
      <c r="O16" s="387">
        <f t="shared" si="22"/>
        <v>371.97610038591046</v>
      </c>
      <c r="P16" s="387">
        <f>'8'!I38</f>
        <v>37.067</v>
      </c>
      <c r="Q16" s="387">
        <f t="shared" si="23"/>
        <v>301.68</v>
      </c>
      <c r="R16" s="387">
        <f>'8'!I40</f>
        <v>35.731999999999999</v>
      </c>
      <c r="S16" s="387">
        <f t="shared" si="24"/>
        <v>285.83199999999999</v>
      </c>
      <c r="T16" s="94">
        <f t="shared" si="1"/>
        <v>4586.0855906264587</v>
      </c>
      <c r="U16" s="12">
        <f t="shared" si="25"/>
        <v>35468.006965885972</v>
      </c>
      <c r="V16" s="288">
        <f t="shared" si="26"/>
        <v>123.72421805450828</v>
      </c>
      <c r="W16" s="288">
        <f t="shared" si="27"/>
        <v>117.56830736504233</v>
      </c>
      <c r="X16" s="289">
        <f t="shared" si="28"/>
        <v>128.34673655620895</v>
      </c>
      <c r="Y16" s="288">
        <f t="shared" si="29"/>
        <v>124.08690057756294</v>
      </c>
      <c r="Z16" s="389">
        <v>53.3</v>
      </c>
      <c r="AA16" s="388">
        <f t="shared" si="30"/>
        <v>391.3</v>
      </c>
      <c r="AB16" s="391">
        <f t="shared" si="2"/>
        <v>1.4379367092022552</v>
      </c>
      <c r="AC16" s="391">
        <f t="shared" si="3"/>
        <v>1.2970697427738</v>
      </c>
      <c r="AD16" s="386">
        <f t="shared" si="4"/>
        <v>1.4916601365722602</v>
      </c>
      <c r="AE16" s="391">
        <f t="shared" si="5"/>
        <v>1.3689859777771558</v>
      </c>
      <c r="AF16" s="390">
        <f>'8'!I46</f>
        <v>36406.460000000363</v>
      </c>
      <c r="AG16" s="388">
        <f t="shared" si="31"/>
        <v>261734.86</v>
      </c>
      <c r="AH16" s="391">
        <f t="shared" si="6"/>
        <v>982.17983651227132</v>
      </c>
      <c r="AI16" s="391">
        <f t="shared" si="7"/>
        <v>867.59102360116685</v>
      </c>
      <c r="AJ16" s="391">
        <f t="shared" si="8"/>
        <v>1018.8755177432096</v>
      </c>
      <c r="AK16" s="391">
        <f t="shared" si="9"/>
        <v>915.69474376556855</v>
      </c>
      <c r="AL16" s="446">
        <v>5112.8999999999996</v>
      </c>
      <c r="AM16" s="447">
        <v>4411.6000000000004</v>
      </c>
      <c r="AN16" s="447">
        <v>3968.8</v>
      </c>
      <c r="AO16" s="447">
        <f t="shared" si="40"/>
        <v>13493.3</v>
      </c>
      <c r="AP16" s="597">
        <f>+[1]Mar!N11</f>
        <v>12103</v>
      </c>
      <c r="AQ16" s="479">
        <f t="shared" si="10"/>
        <v>-1390.2999999999993</v>
      </c>
      <c r="AR16" s="450">
        <f t="shared" si="11"/>
        <v>0.37892139061608354</v>
      </c>
      <c r="AS16" s="450">
        <f t="shared" si="12"/>
        <v>0.32694744799270753</v>
      </c>
      <c r="AT16" s="450">
        <f>1-AR16-AS16</f>
        <v>0.29413116139120893</v>
      </c>
      <c r="AU16" s="450">
        <f>+AR16*AQ16</f>
        <v>-526.81440937354068</v>
      </c>
      <c r="AV16" s="450">
        <f t="shared" si="35"/>
        <v>-454.55503694426102</v>
      </c>
      <c r="AW16" s="450">
        <f t="shared" si="39"/>
        <v>-408.93055368219757</v>
      </c>
      <c r="AX16" s="576">
        <f t="shared" si="41"/>
        <v>4586.0855906264587</v>
      </c>
      <c r="AY16" s="576">
        <f t="shared" si="42"/>
        <v>3957.0449630557396</v>
      </c>
      <c r="AZ16" s="576">
        <f t="shared" si="43"/>
        <v>3559.8694463178026</v>
      </c>
      <c r="BA16" s="386">
        <f>+SUM(Efficiency2!K45:K46)</f>
        <v>41.704793279999997</v>
      </c>
      <c r="BB16" s="387">
        <f t="shared" si="36"/>
        <v>356.52940291037362</v>
      </c>
      <c r="BC16" s="412">
        <f t="shared" si="37"/>
        <v>0.85678400945667033</v>
      </c>
      <c r="BD16" s="412">
        <f t="shared" si="38"/>
        <v>0.80170666897802556</v>
      </c>
    </row>
    <row r="17" spans="1:56" s="392" customFormat="1" ht="12.75" customHeight="1">
      <c r="A17" s="406">
        <f t="shared" si="16"/>
        <v>46090</v>
      </c>
      <c r="B17" s="415" t="s">
        <v>7</v>
      </c>
      <c r="C17" s="393" t="s">
        <v>571</v>
      </c>
      <c r="D17" s="385">
        <f>+'9'!F42</f>
        <v>1230</v>
      </c>
      <c r="E17" s="385">
        <f>+'9'!G42</f>
        <v>934.8</v>
      </c>
      <c r="F17" s="45">
        <f t="shared" si="0"/>
        <v>0.24</v>
      </c>
      <c r="G17" s="411">
        <f t="shared" si="17"/>
        <v>0.88174399506395862</v>
      </c>
      <c r="H17" s="407">
        <f t="shared" si="18"/>
        <v>0.88174399506395862</v>
      </c>
      <c r="I17" s="407">
        <f t="shared" si="19"/>
        <v>1.1156245816039629</v>
      </c>
      <c r="J17" s="412">
        <f t="shared" si="20"/>
        <v>0.98369527557503567</v>
      </c>
      <c r="K17" s="412">
        <f t="shared" si="21"/>
        <v>0.77625743255456203</v>
      </c>
      <c r="L17" s="386">
        <f>+SUM(Efficiency1!K52:K53)</f>
        <v>42.353563175999994</v>
      </c>
      <c r="M17" s="387">
        <f t="shared" si="22"/>
        <v>421.8896802343736</v>
      </c>
      <c r="N17" s="386">
        <f>+SUM(Efficiency1!C52:C53)</f>
        <v>42.353563175999994</v>
      </c>
      <c r="O17" s="387">
        <f t="shared" si="22"/>
        <v>414.32966356191048</v>
      </c>
      <c r="P17" s="387">
        <f>'9'!I38</f>
        <v>37.344999999999999</v>
      </c>
      <c r="Q17" s="387">
        <f t="shared" si="23"/>
        <v>339.02499999999998</v>
      </c>
      <c r="R17" s="387">
        <f>'9'!I40</f>
        <v>41.662999999999997</v>
      </c>
      <c r="S17" s="387">
        <f t="shared" si="24"/>
        <v>327.495</v>
      </c>
      <c r="T17" s="94">
        <f t="shared" si="1"/>
        <v>4861.1350938787973</v>
      </c>
      <c r="U17" s="12">
        <f t="shared" si="25"/>
        <v>40329.142059764767</v>
      </c>
      <c r="V17" s="288">
        <f t="shared" si="26"/>
        <v>130.16829813572895</v>
      </c>
      <c r="W17" s="288">
        <f t="shared" si="27"/>
        <v>118.95624824058629</v>
      </c>
      <c r="X17" s="289">
        <f t="shared" si="28"/>
        <v>116.67750987396005</v>
      </c>
      <c r="Y17" s="288">
        <f t="shared" si="29"/>
        <v>123.14429856872553</v>
      </c>
      <c r="Z17" s="389">
        <v>55.8</v>
      </c>
      <c r="AA17" s="388">
        <f t="shared" si="30"/>
        <v>447.1</v>
      </c>
      <c r="AB17" s="391">
        <f t="shared" si="2"/>
        <v>1.4941759271656179</v>
      </c>
      <c r="AC17" s="391">
        <f t="shared" si="3"/>
        <v>1.318781800752157</v>
      </c>
      <c r="AD17" s="386">
        <f t="shared" si="4"/>
        <v>1.3393178599716775</v>
      </c>
      <c r="AE17" s="391">
        <f t="shared" si="5"/>
        <v>1.3652116826211087</v>
      </c>
      <c r="AF17" s="390">
        <f>'9'!I46</f>
        <v>38745.1</v>
      </c>
      <c r="AG17" s="388">
        <f t="shared" si="31"/>
        <v>300479.95999999996</v>
      </c>
      <c r="AH17" s="391">
        <f t="shared" si="6"/>
        <v>1037.4909626456017</v>
      </c>
      <c r="AI17" s="391">
        <f t="shared" si="7"/>
        <v>886.30620160755086</v>
      </c>
      <c r="AJ17" s="391">
        <f t="shared" si="8"/>
        <v>929.96423685284299</v>
      </c>
      <c r="AK17" s="391">
        <f t="shared" si="9"/>
        <v>917.51006885601294</v>
      </c>
      <c r="AL17" s="446">
        <v>5073.6000000000004</v>
      </c>
      <c r="AM17" s="447">
        <v>4663.6000000000004</v>
      </c>
      <c r="AN17" s="447">
        <v>4019.9</v>
      </c>
      <c r="AO17" s="447">
        <f t="shared" si="40"/>
        <v>13757.1</v>
      </c>
      <c r="AP17" s="597">
        <f>+[1]Mar!N12</f>
        <v>13181</v>
      </c>
      <c r="AQ17" s="479">
        <f t="shared" si="10"/>
        <v>-576.10000000000036</v>
      </c>
      <c r="AR17" s="450">
        <f t="shared" si="11"/>
        <v>0.3687986566936346</v>
      </c>
      <c r="AS17" s="450">
        <f t="shared" si="12"/>
        <v>0.33899586395388565</v>
      </c>
      <c r="AT17" s="450">
        <f>1-AR17-AS17</f>
        <v>0.29220547935247981</v>
      </c>
      <c r="AU17" s="450">
        <f>+AR17*AQ17</f>
        <v>-212.46490612120303</v>
      </c>
      <c r="AV17" s="450">
        <f>+AS17*AQ17</f>
        <v>-195.29551722383366</v>
      </c>
      <c r="AW17" s="450">
        <f t="shared" si="39"/>
        <v>-168.33957665496374</v>
      </c>
      <c r="AX17" s="576">
        <f t="shared" si="41"/>
        <v>4861.1350938787973</v>
      </c>
      <c r="AY17" s="576">
        <f t="shared" si="42"/>
        <v>4468.3044827761669</v>
      </c>
      <c r="AZ17" s="576">
        <f t="shared" si="43"/>
        <v>3851.5604233450363</v>
      </c>
      <c r="BA17" s="386">
        <f>+SUM(Efficiency2!K52:K53)</f>
        <v>42.353563175999994</v>
      </c>
      <c r="BB17" s="387">
        <f t="shared" si="36"/>
        <v>398.88296608637359</v>
      </c>
      <c r="BC17" s="412">
        <f t="shared" si="37"/>
        <v>0.98369527557503567</v>
      </c>
      <c r="BD17" s="412">
        <f t="shared" si="38"/>
        <v>0.82103029671386041</v>
      </c>
    </row>
    <row r="18" spans="1:56" s="392" customFormat="1" ht="12.75" customHeight="1">
      <c r="A18" s="406">
        <f t="shared" si="16"/>
        <v>46091</v>
      </c>
      <c r="B18" s="415" t="s">
        <v>7</v>
      </c>
      <c r="C18" s="393" t="s">
        <v>386</v>
      </c>
      <c r="D18" s="385">
        <f>+'10'!F42</f>
        <v>1230</v>
      </c>
      <c r="E18" s="385">
        <f>+'10'!G42</f>
        <v>934.8</v>
      </c>
      <c r="F18" s="45">
        <f t="shared" si="0"/>
        <v>0.24</v>
      </c>
      <c r="G18" s="411">
        <f t="shared" si="17"/>
        <v>0.89690407137989525</v>
      </c>
      <c r="H18" s="407">
        <f t="shared" si="18"/>
        <v>0.89690407137989525</v>
      </c>
      <c r="I18" s="407">
        <f>+R18/P18</f>
        <v>1.0295667888158226</v>
      </c>
      <c r="J18" s="412">
        <f t="shared" si="20"/>
        <v>0.92342264464643609</v>
      </c>
      <c r="K18" s="412">
        <f t="shared" si="21"/>
        <v>0.79027666658250262</v>
      </c>
      <c r="L18" s="386">
        <f>+Efficiency1!K56</f>
        <v>44.42169599999999</v>
      </c>
      <c r="M18" s="387">
        <f t="shared" si="22"/>
        <v>466.3113762343736</v>
      </c>
      <c r="N18" s="386">
        <f>+Efficiency1!C56</f>
        <v>44.42169599999999</v>
      </c>
      <c r="O18" s="387">
        <f t="shared" si="22"/>
        <v>458.75135956191048</v>
      </c>
      <c r="P18" s="387">
        <f>'10'!I38</f>
        <v>39.841999999999999</v>
      </c>
      <c r="Q18" s="387">
        <f t="shared" si="23"/>
        <v>378.86699999999996</v>
      </c>
      <c r="R18" s="387">
        <f>'10'!I40</f>
        <v>41.02</v>
      </c>
      <c r="S18" s="387">
        <f t="shared" si="24"/>
        <v>368.51499999999999</v>
      </c>
      <c r="T18" s="94">
        <f t="shared" si="1"/>
        <v>4821.601937645687</v>
      </c>
      <c r="U18" s="12">
        <f t="shared" si="25"/>
        <v>45150.743997410456</v>
      </c>
      <c r="V18" s="288">
        <f t="shared" si="26"/>
        <v>121.01806981691901</v>
      </c>
      <c r="W18" s="288">
        <f t="shared" si="27"/>
        <v>119.17307128203423</v>
      </c>
      <c r="X18" s="289">
        <f t="shared" si="28"/>
        <v>117.54270935264961</v>
      </c>
      <c r="Y18" s="288">
        <f t="shared" si="29"/>
        <v>122.52077662350368</v>
      </c>
      <c r="Z18" s="389">
        <v>55.8</v>
      </c>
      <c r="AA18" s="388">
        <f t="shared" si="30"/>
        <v>502.90000000000003</v>
      </c>
      <c r="AB18" s="391">
        <f t="shared" si="2"/>
        <v>1.4005321018021184</v>
      </c>
      <c r="AC18" s="391">
        <f t="shared" si="3"/>
        <v>1.3273787371293886</v>
      </c>
      <c r="AD18" s="386">
        <f t="shared" si="4"/>
        <v>1.3603120429058995</v>
      </c>
      <c r="AE18" s="391">
        <f t="shared" si="5"/>
        <v>1.3646662958088547</v>
      </c>
      <c r="AF18" s="390">
        <f>'10'!I46</f>
        <v>37094.320000001091</v>
      </c>
      <c r="AG18" s="388">
        <f t="shared" si="31"/>
        <v>337574.28000000108</v>
      </c>
      <c r="AH18" s="391">
        <f t="shared" si="6"/>
        <v>931.03559058282951</v>
      </c>
      <c r="AI18" s="391">
        <f t="shared" si="7"/>
        <v>891.00998503432902</v>
      </c>
      <c r="AJ18" s="391">
        <f t="shared" si="8"/>
        <v>904.29839102879305</v>
      </c>
      <c r="AK18" s="391">
        <f t="shared" si="9"/>
        <v>916.03945565309709</v>
      </c>
      <c r="AL18" s="446">
        <v>5083.3999999999996</v>
      </c>
      <c r="AM18" s="447">
        <v>4677</v>
      </c>
      <c r="AN18" s="447">
        <v>3967.6</v>
      </c>
      <c r="AO18" s="447">
        <f t="shared" si="40"/>
        <v>13728</v>
      </c>
      <c r="AP18" s="597">
        <f>+[1]Mar!N13</f>
        <v>13021</v>
      </c>
      <c r="AQ18" s="479">
        <f t="shared" si="10"/>
        <v>-707</v>
      </c>
      <c r="AR18" s="450">
        <f t="shared" si="11"/>
        <v>0.37029428904428902</v>
      </c>
      <c r="AS18" s="450">
        <f t="shared" si="12"/>
        <v>0.34069055944055943</v>
      </c>
      <c r="AT18" s="450">
        <f t="shared" si="33"/>
        <v>0.2890151515151515</v>
      </c>
      <c r="AU18" s="450">
        <f t="shared" si="34"/>
        <v>-261.79806235431232</v>
      </c>
      <c r="AV18" s="450">
        <f t="shared" si="35"/>
        <v>-240.86822552447552</v>
      </c>
      <c r="AW18" s="450">
        <f t="shared" si="39"/>
        <v>-204.3337121212121</v>
      </c>
      <c r="AX18" s="576">
        <f t="shared" si="41"/>
        <v>4821.601937645687</v>
      </c>
      <c r="AY18" s="576">
        <f t="shared" si="42"/>
        <v>4436.1317744755243</v>
      </c>
      <c r="AZ18" s="576">
        <f t="shared" si="43"/>
        <v>3763.2662878787878</v>
      </c>
      <c r="BA18" s="386">
        <f>+Efficiency2!K56</f>
        <v>44.42169599999999</v>
      </c>
      <c r="BB18" s="387">
        <f t="shared" si="36"/>
        <v>443.30466208637358</v>
      </c>
      <c r="BC18" s="412">
        <f t="shared" si="37"/>
        <v>0.92342264464643609</v>
      </c>
      <c r="BD18" s="412">
        <f t="shared" si="38"/>
        <v>0.8312906033192099</v>
      </c>
    </row>
    <row r="19" spans="1:56" s="392" customFormat="1" ht="12.75" customHeight="1">
      <c r="A19" s="406">
        <f t="shared" si="16"/>
        <v>46092</v>
      </c>
      <c r="B19" s="415" t="s">
        <v>7</v>
      </c>
      <c r="C19" s="393" t="s">
        <v>588</v>
      </c>
      <c r="D19" s="385">
        <f>+'11'!F42</f>
        <v>1228.0486111111111</v>
      </c>
      <c r="E19" s="385">
        <f>+'11'!G42</f>
        <v>933.3169444444444</v>
      </c>
      <c r="F19" s="45">
        <f t="shared" si="0"/>
        <v>0.24</v>
      </c>
      <c r="G19" s="411">
        <f t="shared" si="17"/>
        <v>0.91371891177515052</v>
      </c>
      <c r="H19" s="407">
        <f t="shared" si="18"/>
        <v>0.91229881775049981</v>
      </c>
      <c r="I19" s="407">
        <f t="shared" si="19"/>
        <v>0.9586177896507373</v>
      </c>
      <c r="J19" s="412">
        <f t="shared" si="20"/>
        <v>0.87454587617296486</v>
      </c>
      <c r="K19" s="412">
        <f t="shared" si="21"/>
        <v>0.79758993153495805</v>
      </c>
      <c r="L19" s="386">
        <f>+SUM(Efficiency1!K60:K61)</f>
        <v>44.314427699999996</v>
      </c>
      <c r="M19" s="387">
        <f t="shared" si="22"/>
        <v>510.62580393437361</v>
      </c>
      <c r="N19" s="386">
        <f>+SUM(Efficiency1!C60:C61)</f>
        <v>44.245554599999991</v>
      </c>
      <c r="O19" s="387">
        <f t="shared" si="22"/>
        <v>502.99691416191047</v>
      </c>
      <c r="P19" s="387">
        <f>'11'!I38</f>
        <v>40.427999999999997</v>
      </c>
      <c r="Q19" s="387">
        <f t="shared" si="23"/>
        <v>419.29499999999996</v>
      </c>
      <c r="R19" s="387">
        <f>'11'!I40</f>
        <v>38.755000000000003</v>
      </c>
      <c r="S19" s="387">
        <f t="shared" si="24"/>
        <v>407.27</v>
      </c>
      <c r="T19" s="94">
        <f t="shared" si="1"/>
        <v>4807.0687045467985</v>
      </c>
      <c r="U19" s="12">
        <f t="shared" si="25"/>
        <v>49957.812701957257</v>
      </c>
      <c r="V19" s="288">
        <f t="shared" si="26"/>
        <v>118.90444010455127</v>
      </c>
      <c r="W19" s="288">
        <f t="shared" si="27"/>
        <v>119.1471701354828</v>
      </c>
      <c r="X19" s="289">
        <f t="shared" si="28"/>
        <v>124.03738110042055</v>
      </c>
      <c r="Y19" s="288">
        <f t="shared" si="29"/>
        <v>122.66509367730808</v>
      </c>
      <c r="Z19" s="389">
        <v>56.5</v>
      </c>
      <c r="AA19" s="388">
        <f t="shared" si="30"/>
        <v>559.40000000000009</v>
      </c>
      <c r="AB19" s="391">
        <f t="shared" si="2"/>
        <v>1.3975462550707431</v>
      </c>
      <c r="AC19" s="391">
        <f t="shared" si="3"/>
        <v>1.334144218271146</v>
      </c>
      <c r="AD19" s="386">
        <f t="shared" si="4"/>
        <v>1.4578764030447684</v>
      </c>
      <c r="AE19" s="391">
        <f t="shared" si="5"/>
        <v>1.3735359834998897</v>
      </c>
      <c r="AF19" s="390">
        <f>'11'!I46</f>
        <v>37873.739999999634</v>
      </c>
      <c r="AG19" s="388">
        <f t="shared" si="31"/>
        <v>375448.02000000072</v>
      </c>
      <c r="AH19" s="391">
        <f t="shared" si="6"/>
        <v>936.81953101809722</v>
      </c>
      <c r="AI19" s="391">
        <f t="shared" si="7"/>
        <v>895.42689514542451</v>
      </c>
      <c r="AJ19" s="391">
        <f t="shared" si="8"/>
        <v>977.26074054959713</v>
      </c>
      <c r="AK19" s="391">
        <f t="shared" si="9"/>
        <v>921.86515088270858</v>
      </c>
      <c r="AL19" s="446">
        <v>5041.2</v>
      </c>
      <c r="AM19" s="447">
        <v>4638.3</v>
      </c>
      <c r="AN19" s="447">
        <v>3850.9</v>
      </c>
      <c r="AO19" s="447">
        <f t="shared" si="40"/>
        <v>13530.4</v>
      </c>
      <c r="AP19" s="597">
        <f>+[1]Mar!N14</f>
        <v>12902</v>
      </c>
      <c r="AQ19" s="479">
        <f t="shared" si="10"/>
        <v>-628.39999999999964</v>
      </c>
      <c r="AR19" s="450">
        <f t="shared" si="11"/>
        <v>0.37258322000827765</v>
      </c>
      <c r="AS19" s="450">
        <f t="shared" si="12"/>
        <v>0.34280582983503816</v>
      </c>
      <c r="AT19" s="450">
        <f>1-AR19-AS19</f>
        <v>0.28461095015668414</v>
      </c>
      <c r="AU19" s="450">
        <f t="shared" si="34"/>
        <v>-234.13129545320155</v>
      </c>
      <c r="AV19" s="450">
        <f t="shared" si="35"/>
        <v>-215.41918346833785</v>
      </c>
      <c r="AW19" s="450">
        <f>+AT19*AQ19</f>
        <v>-178.84952107846021</v>
      </c>
      <c r="AX19" s="576">
        <f t="shared" si="41"/>
        <v>4807.0687045467985</v>
      </c>
      <c r="AY19" s="576">
        <f t="shared" si="42"/>
        <v>4422.8808165316623</v>
      </c>
      <c r="AZ19" s="576">
        <f t="shared" si="43"/>
        <v>3672.0504789215397</v>
      </c>
      <c r="BA19" s="386">
        <f>+SUM(Efficiency2!K60:K61)</f>
        <v>44.314427699999996</v>
      </c>
      <c r="BB19" s="387">
        <f t="shared" si="36"/>
        <v>487.61908978637359</v>
      </c>
      <c r="BC19" s="412">
        <f t="shared" si="37"/>
        <v>0.87454587617296486</v>
      </c>
      <c r="BD19" s="412">
        <f t="shared" si="38"/>
        <v>0.83522160746090846</v>
      </c>
    </row>
    <row r="20" spans="1:56" s="392" customFormat="1" ht="12.75" customHeight="1">
      <c r="A20" s="406">
        <f t="shared" si="16"/>
        <v>46093</v>
      </c>
      <c r="B20" s="415" t="s">
        <v>596</v>
      </c>
      <c r="C20" s="393" t="s">
        <v>597</v>
      </c>
      <c r="D20" s="385">
        <f>+'12'!F42</f>
        <v>1187.8541666666667</v>
      </c>
      <c r="E20" s="385">
        <f>+'12'!G42</f>
        <v>882.20006944444447</v>
      </c>
      <c r="F20" s="45">
        <f t="shared" si="0"/>
        <v>0.25731618055433758</v>
      </c>
      <c r="G20" s="411">
        <f t="shared" si="17"/>
        <v>0.94684280411050303</v>
      </c>
      <c r="H20" s="407">
        <f t="shared" si="18"/>
        <v>0.93474697116217653</v>
      </c>
      <c r="I20" s="407">
        <f t="shared" si="19"/>
        <v>0.936924886418671</v>
      </c>
      <c r="J20" s="412">
        <f t="shared" si="20"/>
        <v>0.87578769978631898</v>
      </c>
      <c r="K20" s="412">
        <f t="shared" si="21"/>
        <v>0.80410222043846813</v>
      </c>
      <c r="L20" s="386">
        <f>+SUM(Efficiency1!K64:K66)</f>
        <v>46.387954535000006</v>
      </c>
      <c r="M20" s="387">
        <f t="shared" si="22"/>
        <v>557.01375846937367</v>
      </c>
      <c r="N20" s="386">
        <f>+SUM(Efficiency1!C64:C66)</f>
        <v>45.795352524999998</v>
      </c>
      <c r="O20" s="387">
        <f t="shared" si="22"/>
        <v>548.79226668691047</v>
      </c>
      <c r="P20" s="387">
        <f>'12'!I38</f>
        <v>43.361000000000004</v>
      </c>
      <c r="Q20" s="387">
        <f t="shared" si="23"/>
        <v>462.65599999999995</v>
      </c>
      <c r="R20" s="387">
        <f>'12'!I40</f>
        <v>40.625999999999998</v>
      </c>
      <c r="S20" s="387">
        <f t="shared" si="24"/>
        <v>447.89599999999996</v>
      </c>
      <c r="T20" s="94">
        <f t="shared" si="1"/>
        <v>5126.5100929065538</v>
      </c>
      <c r="U20" s="12">
        <f t="shared" si="25"/>
        <v>55084.322794863809</v>
      </c>
      <c r="V20" s="288">
        <f t="shared" si="26"/>
        <v>118.22859465663969</v>
      </c>
      <c r="W20" s="288">
        <f t="shared" si="27"/>
        <v>119.06107949505424</v>
      </c>
      <c r="X20" s="289">
        <f t="shared" si="28"/>
        <v>126.18791150757036</v>
      </c>
      <c r="Y20" s="288">
        <f t="shared" si="29"/>
        <v>122.98462766995868</v>
      </c>
      <c r="Z20" s="389">
        <v>56.2</v>
      </c>
      <c r="AA20" s="388">
        <f t="shared" si="30"/>
        <v>615.60000000000014</v>
      </c>
      <c r="AB20" s="391">
        <f t="shared" si="2"/>
        <v>1.2960955697516201</v>
      </c>
      <c r="AC20" s="391">
        <f t="shared" si="3"/>
        <v>1.3305782265873569</v>
      </c>
      <c r="AD20" s="386">
        <f t="shared" si="4"/>
        <v>1.3833505636784327</v>
      </c>
      <c r="AE20" s="391">
        <f t="shared" si="5"/>
        <v>1.3744262060835555</v>
      </c>
      <c r="AF20" s="390">
        <f>'12'!I46</f>
        <v>34967.78</v>
      </c>
      <c r="AG20" s="388">
        <f t="shared" si="31"/>
        <v>410415.80000000075</v>
      </c>
      <c r="AH20" s="391">
        <f t="shared" si="6"/>
        <v>806.43389220728295</v>
      </c>
      <c r="AI20" s="391">
        <f t="shared" si="7"/>
        <v>887.08630170148183</v>
      </c>
      <c r="AJ20" s="391">
        <f t="shared" si="8"/>
        <v>860.72416678974048</v>
      </c>
      <c r="AK20" s="391">
        <f t="shared" si="9"/>
        <v>916.31941343526353</v>
      </c>
      <c r="AL20" s="446">
        <v>5443.7</v>
      </c>
      <c r="AM20" s="447">
        <v>4611.1000000000004</v>
      </c>
      <c r="AN20" s="447">
        <f>1306.13+1278.79+1333.46</f>
        <v>3918.38</v>
      </c>
      <c r="AO20" s="447">
        <f t="shared" si="40"/>
        <v>13973.18</v>
      </c>
      <c r="AP20" s="597">
        <f>+[1]Mar!N15</f>
        <v>13159</v>
      </c>
      <c r="AQ20" s="479">
        <f t="shared" si="10"/>
        <v>-814.18000000000029</v>
      </c>
      <c r="AR20" s="450">
        <f t="shared" si="11"/>
        <v>0.38958204216935582</v>
      </c>
      <c r="AS20" s="450">
        <f t="shared" si="12"/>
        <v>0.32999646465586219</v>
      </c>
      <c r="AT20" s="450">
        <f t="shared" si="33"/>
        <v>0.28042149317478193</v>
      </c>
      <c r="AU20" s="450">
        <f t="shared" si="34"/>
        <v>-317.18990709344627</v>
      </c>
      <c r="AV20" s="450">
        <f t="shared" si="35"/>
        <v>-268.67652159350996</v>
      </c>
      <c r="AW20" s="450">
        <f t="shared" si="39"/>
        <v>-228.31357131304404</v>
      </c>
      <c r="AX20" s="576">
        <f t="shared" si="41"/>
        <v>5126.5100929065538</v>
      </c>
      <c r="AY20" s="576">
        <f t="shared" si="42"/>
        <v>4342.4234784064902</v>
      </c>
      <c r="AZ20" s="576">
        <f t="shared" si="43"/>
        <v>3690.066428686956</v>
      </c>
      <c r="BA20" s="386">
        <f>+SUM(Efficiency2!K64:K66)</f>
        <v>46.387954535000006</v>
      </c>
      <c r="BB20" s="387">
        <f t="shared" si="36"/>
        <v>534.00704432137354</v>
      </c>
      <c r="BC20" s="412">
        <f t="shared" si="37"/>
        <v>0.87578769978631898</v>
      </c>
      <c r="BD20" s="412">
        <f t="shared" si="38"/>
        <v>0.83874548990115816</v>
      </c>
    </row>
    <row r="21" spans="1:56" s="392" customFormat="1" ht="12.75" customHeight="1">
      <c r="A21" s="406">
        <f t="shared" si="16"/>
        <v>46094</v>
      </c>
      <c r="B21" s="415" t="s">
        <v>551</v>
      </c>
      <c r="C21" s="393" t="s">
        <v>619</v>
      </c>
      <c r="D21" s="385">
        <f>+'13'!F42</f>
        <v>1193.3333333333333</v>
      </c>
      <c r="E21" s="385">
        <f>+'13'!G42</f>
        <v>918.86666666666667</v>
      </c>
      <c r="F21" s="45">
        <f t="shared" si="0"/>
        <v>0.22999999999999998</v>
      </c>
      <c r="G21" s="411">
        <f t="shared" si="17"/>
        <v>0.94375772429182259</v>
      </c>
      <c r="H21" s="407">
        <f t="shared" si="18"/>
        <v>0.91563283345243107</v>
      </c>
      <c r="I21" s="407">
        <f t="shared" si="19"/>
        <v>0.96642041638683673</v>
      </c>
      <c r="J21" s="412">
        <f t="shared" si="20"/>
        <v>0.88488626416255767</v>
      </c>
      <c r="K21" s="412">
        <f t="shared" si="21"/>
        <v>0.81000484610582857</v>
      </c>
      <c r="L21" s="386">
        <f>+SUM(Efficiency1!K68:K69)</f>
        <v>43.907337669852822</v>
      </c>
      <c r="M21" s="387">
        <f t="shared" si="22"/>
        <v>600.92109613922651</v>
      </c>
      <c r="N21" s="386">
        <f>+SUM(Efficiency1!C68:C69)</f>
        <v>42.598856640000008</v>
      </c>
      <c r="O21" s="387">
        <f t="shared" si="22"/>
        <v>591.39112332691047</v>
      </c>
      <c r="P21" s="387">
        <f>'13'!I38</f>
        <v>40.203000000000003</v>
      </c>
      <c r="Q21" s="387">
        <f t="shared" si="23"/>
        <v>502.85899999999992</v>
      </c>
      <c r="R21" s="387">
        <f>'13'!I40</f>
        <v>38.853000000000002</v>
      </c>
      <c r="S21" s="387">
        <f t="shared" si="24"/>
        <v>486.74899999999997</v>
      </c>
      <c r="T21" s="94">
        <f t="shared" si="1"/>
        <v>5376.9994899168778</v>
      </c>
      <c r="U21" s="12">
        <f t="shared" si="25"/>
        <v>60461.32228478069</v>
      </c>
      <c r="V21" s="288">
        <f t="shared" si="26"/>
        <v>133.746225155259</v>
      </c>
      <c r="W21" s="288">
        <f t="shared" si="27"/>
        <v>120.23514003881942</v>
      </c>
      <c r="X21" s="289">
        <f t="shared" si="28"/>
        <v>138.39341852410053</v>
      </c>
      <c r="Y21" s="288">
        <f t="shared" si="29"/>
        <v>124.21457935153579</v>
      </c>
      <c r="Z21" s="389">
        <v>57.8</v>
      </c>
      <c r="AA21" s="388">
        <f t="shared" si="30"/>
        <v>673.40000000000009</v>
      </c>
      <c r="AB21" s="391">
        <f t="shared" si="2"/>
        <v>1.4377036539561723</v>
      </c>
      <c r="AC21" s="391">
        <f t="shared" si="3"/>
        <v>1.3391427815749548</v>
      </c>
      <c r="AD21" s="386">
        <f t="shared" si="4"/>
        <v>1.4876586106606953</v>
      </c>
      <c r="AE21" s="391">
        <f t="shared" si="5"/>
        <v>1.3834645782528574</v>
      </c>
      <c r="AF21" s="390">
        <f>'13'!I46</f>
        <v>37785.779999999635</v>
      </c>
      <c r="AG21" s="388">
        <f t="shared" si="31"/>
        <v>448201.58000000037</v>
      </c>
      <c r="AH21" s="391">
        <f t="shared" si="6"/>
        <v>939.87463622116843</v>
      </c>
      <c r="AI21" s="391">
        <f t="shared" si="7"/>
        <v>891.30666846969109</v>
      </c>
      <c r="AJ21" s="391">
        <f t="shared" si="8"/>
        <v>972.53185082232096</v>
      </c>
      <c r="AK21" s="391">
        <f t="shared" si="9"/>
        <v>920.80637042911314</v>
      </c>
      <c r="AL21" s="446">
        <v>5667</v>
      </c>
      <c r="AM21" s="447">
        <v>4599.2</v>
      </c>
      <c r="AN21" s="447">
        <v>3653.1</v>
      </c>
      <c r="AO21" s="447">
        <f t="shared" si="40"/>
        <v>13919.300000000001</v>
      </c>
      <c r="AP21" s="597">
        <f>+[1]Mar!N16</f>
        <v>13207</v>
      </c>
      <c r="AQ21" s="479">
        <f t="shared" si="10"/>
        <v>-712.30000000000109</v>
      </c>
      <c r="AR21" s="450">
        <f t="shared" si="11"/>
        <v>0.4071325425847564</v>
      </c>
      <c r="AS21" s="450">
        <f t="shared" si="12"/>
        <v>0.33041891474427587</v>
      </c>
      <c r="AT21" s="450">
        <f t="shared" si="33"/>
        <v>0.26244854267096773</v>
      </c>
      <c r="AU21" s="450">
        <f t="shared" si="34"/>
        <v>-290.00051008312244</v>
      </c>
      <c r="AV21" s="450">
        <f t="shared" si="35"/>
        <v>-235.35739297234807</v>
      </c>
      <c r="AW21" s="450">
        <f t="shared" si="39"/>
        <v>-186.94209694453059</v>
      </c>
      <c r="AX21" s="576">
        <f t="shared" si="41"/>
        <v>5376.9994899168778</v>
      </c>
      <c r="AY21" s="576">
        <f t="shared" si="42"/>
        <v>4363.8426070276519</v>
      </c>
      <c r="AZ21" s="576">
        <f t="shared" si="43"/>
        <v>3466.1579030554694</v>
      </c>
      <c r="BA21" s="386">
        <f>+SUM(Efficiency2!K68:K69)</f>
        <v>43.907337669852822</v>
      </c>
      <c r="BB21" s="387">
        <f t="shared" si="36"/>
        <v>577.91438199122638</v>
      </c>
      <c r="BC21" s="412">
        <f t="shared" si="37"/>
        <v>0.88488626416255767</v>
      </c>
      <c r="BD21" s="412">
        <f t="shared" si="38"/>
        <v>0.84225105857875948</v>
      </c>
    </row>
    <row r="22" spans="1:56" s="392" customFormat="1" ht="12.75" customHeight="1">
      <c r="A22" s="406">
        <f t="shared" si="16"/>
        <v>46095</v>
      </c>
      <c r="B22" s="415" t="s">
        <v>551</v>
      </c>
      <c r="C22" s="393" t="s">
        <v>654</v>
      </c>
      <c r="D22" s="385">
        <f>+'14'!F42</f>
        <v>1169.5416666666667</v>
      </c>
      <c r="E22" s="385">
        <f>+'14'!G42</f>
        <v>939.25541666666675</v>
      </c>
      <c r="F22" s="45">
        <f t="shared" si="0"/>
        <v>0.19690298906266701</v>
      </c>
      <c r="G22" s="411">
        <f t="shared" si="17"/>
        <v>0.90737416746072352</v>
      </c>
      <c r="H22" s="407">
        <f t="shared" si="18"/>
        <v>0.86272902622794589</v>
      </c>
      <c r="I22" s="407">
        <f t="shared" si="19"/>
        <v>0.98559423769507803</v>
      </c>
      <c r="J22" s="412">
        <f t="shared" si="20"/>
        <v>0.85030075694254925</v>
      </c>
      <c r="K22" s="412">
        <f t="shared" si="21"/>
        <v>0.81294585803529129</v>
      </c>
      <c r="L22" s="386">
        <f>+SUM(Efficiency1!K72:K73)</f>
        <v>47.311494987553068</v>
      </c>
      <c r="M22" s="387">
        <f t="shared" si="22"/>
        <v>648.23259112677954</v>
      </c>
      <c r="N22" s="386">
        <f>+SUM(Efficiency1!C72:C73)</f>
        <v>44.983647830999992</v>
      </c>
      <c r="O22" s="387">
        <f t="shared" si="22"/>
        <v>636.37477115791046</v>
      </c>
      <c r="P22" s="387">
        <f>'14'!I38</f>
        <v>40.817</v>
      </c>
      <c r="Q22" s="387">
        <f t="shared" si="23"/>
        <v>543.67599999999993</v>
      </c>
      <c r="R22" s="387">
        <f>'14'!I40</f>
        <v>40.228999999999999</v>
      </c>
      <c r="S22" s="387">
        <f t="shared" si="24"/>
        <v>526.97799999999995</v>
      </c>
      <c r="T22" s="94">
        <f t="shared" si="1"/>
        <v>5754.612900264784</v>
      </c>
      <c r="U22" s="12">
        <f t="shared" si="25"/>
        <v>66215.93518504547</v>
      </c>
      <c r="V22" s="288">
        <f t="shared" si="26"/>
        <v>140.98568979260563</v>
      </c>
      <c r="W22" s="288">
        <f t="shared" si="27"/>
        <v>121.79300757260846</v>
      </c>
      <c r="X22" s="289">
        <f t="shared" si="28"/>
        <v>143.04638196984226</v>
      </c>
      <c r="Y22" s="288">
        <f t="shared" si="29"/>
        <v>125.65218127710355</v>
      </c>
      <c r="Z22" s="389">
        <v>57.5</v>
      </c>
      <c r="AA22" s="388">
        <f t="shared" si="30"/>
        <v>730.90000000000009</v>
      </c>
      <c r="AB22" s="391">
        <f t="shared" si="2"/>
        <v>1.4087267560085259</v>
      </c>
      <c r="AC22" s="391">
        <f t="shared" si="3"/>
        <v>1.344366865559635</v>
      </c>
      <c r="AD22" s="386">
        <f t="shared" si="4"/>
        <v>1.4293171592632181</v>
      </c>
      <c r="AE22" s="391">
        <f t="shared" si="5"/>
        <v>1.3869649207367294</v>
      </c>
      <c r="AF22" s="390">
        <f>'14'!I46</f>
        <v>36824.599999999635</v>
      </c>
      <c r="AG22" s="388">
        <f t="shared" si="31"/>
        <v>485026.18</v>
      </c>
      <c r="AH22" s="391">
        <f t="shared" si="6"/>
        <v>902.18781390106176</v>
      </c>
      <c r="AI22" s="391">
        <f t="shared" si="7"/>
        <v>892.12358095630509</v>
      </c>
      <c r="AJ22" s="391">
        <f t="shared" si="8"/>
        <v>915.37448109571778</v>
      </c>
      <c r="AK22" s="391">
        <f t="shared" si="9"/>
        <v>920.39170515657202</v>
      </c>
      <c r="AL22" s="446">
        <v>5973.3</v>
      </c>
      <c r="AM22" s="447">
        <v>4556.3</v>
      </c>
      <c r="AN22" s="447">
        <v>3632.9</v>
      </c>
      <c r="AO22" s="447">
        <f t="shared" si="40"/>
        <v>14162.5</v>
      </c>
      <c r="AP22" s="597">
        <f>+[1]Mar!N17</f>
        <v>13644</v>
      </c>
      <c r="AQ22" s="479">
        <f t="shared" si="10"/>
        <v>-518.5</v>
      </c>
      <c r="AR22" s="450">
        <f t="shared" si="11"/>
        <v>0.42176875551632836</v>
      </c>
      <c r="AS22" s="450">
        <f t="shared" si="12"/>
        <v>0.32171579876434248</v>
      </c>
      <c r="AT22" s="450">
        <f t="shared" si="33"/>
        <v>0.25651544571932922</v>
      </c>
      <c r="AU22" s="450">
        <f t="shared" si="34"/>
        <v>-218.68709973521626</v>
      </c>
      <c r="AV22" s="450">
        <f t="shared" si="35"/>
        <v>-166.80964165931158</v>
      </c>
      <c r="AW22" s="450">
        <f t="shared" si="39"/>
        <v>-133.00325860547221</v>
      </c>
      <c r="AX22" s="576">
        <f t="shared" si="41"/>
        <v>5754.612900264784</v>
      </c>
      <c r="AY22" s="576">
        <f t="shared" si="42"/>
        <v>4389.4903583406885</v>
      </c>
      <c r="AZ22" s="576">
        <f t="shared" si="43"/>
        <v>3499.8967413945279</v>
      </c>
      <c r="BA22" s="386">
        <f>+SUM(Efficiency2!K72:K73)</f>
        <v>47.311494987553068</v>
      </c>
      <c r="BB22" s="387">
        <f t="shared" si="36"/>
        <v>625.22587697877941</v>
      </c>
      <c r="BC22" s="412">
        <f t="shared" si="37"/>
        <v>0.85030075694254925</v>
      </c>
      <c r="BD22" s="412">
        <f t="shared" si="38"/>
        <v>0.84286018765964466</v>
      </c>
    </row>
    <row r="23" spans="1:56" s="392" customFormat="1" ht="12.75" customHeight="1">
      <c r="A23" s="406">
        <f t="shared" si="16"/>
        <v>46096</v>
      </c>
      <c r="B23" s="415" t="s">
        <v>551</v>
      </c>
      <c r="C23" s="393" t="s">
        <v>655</v>
      </c>
      <c r="D23" s="385">
        <f>+'15'!F42</f>
        <v>1183.3333333333333</v>
      </c>
      <c r="E23" s="385">
        <f>+'15'!G42</f>
        <v>953.93333333333328</v>
      </c>
      <c r="F23" s="45">
        <f t="shared" si="0"/>
        <v>0.1938591549295775</v>
      </c>
      <c r="G23" s="411">
        <f t="shared" si="17"/>
        <v>0.90235033155266164</v>
      </c>
      <c r="H23" s="407">
        <f t="shared" si="18"/>
        <v>0.86811481761841425</v>
      </c>
      <c r="I23" s="407">
        <f t="shared" si="19"/>
        <v>0.98608826091164226</v>
      </c>
      <c r="J23" s="412">
        <f t="shared" si="20"/>
        <v>0.8560378307769696</v>
      </c>
      <c r="K23" s="412">
        <f t="shared" si="21"/>
        <v>0.81589430868500057</v>
      </c>
      <c r="L23" s="386">
        <f>+Efficiency1!K77</f>
        <v>47.611213587380284</v>
      </c>
      <c r="M23" s="387">
        <f t="shared" si="22"/>
        <v>695.84380471415977</v>
      </c>
      <c r="N23" s="386">
        <f>+Efficiency1!C77</f>
        <v>45.804826079999998</v>
      </c>
      <c r="O23" s="387">
        <f t="shared" si="22"/>
        <v>682.17959723791046</v>
      </c>
      <c r="P23" s="387">
        <f>'15'!I38</f>
        <v>41.332000000000001</v>
      </c>
      <c r="Q23" s="387">
        <f t="shared" si="23"/>
        <v>585.00799999999992</v>
      </c>
      <c r="R23" s="387">
        <f>'15'!I40</f>
        <v>40.756999999999998</v>
      </c>
      <c r="S23" s="387">
        <f t="shared" si="24"/>
        <v>567.7349999999999</v>
      </c>
      <c r="T23" s="94">
        <f t="shared" si="1"/>
        <v>5476.8081640073278</v>
      </c>
      <c r="U23" s="12">
        <f t="shared" si="25"/>
        <v>71692.743349052791</v>
      </c>
      <c r="V23" s="288">
        <f t="shared" si="26"/>
        <v>132.5076977646213</v>
      </c>
      <c r="W23" s="288">
        <f t="shared" si="27"/>
        <v>122.5500221348303</v>
      </c>
      <c r="X23" s="289">
        <f t="shared" si="28"/>
        <v>134.37711715796863</v>
      </c>
      <c r="Y23" s="288">
        <f t="shared" si="29"/>
        <v>126.27853373326077</v>
      </c>
      <c r="Z23" s="389">
        <v>56.8</v>
      </c>
      <c r="AA23" s="388">
        <f t="shared" si="30"/>
        <v>787.7</v>
      </c>
      <c r="AB23" s="391">
        <f t="shared" si="2"/>
        <v>1.3742378786412464</v>
      </c>
      <c r="AC23" s="391">
        <f t="shared" si="3"/>
        <v>1.3464773131307608</v>
      </c>
      <c r="AD23" s="386">
        <f t="shared" si="4"/>
        <v>1.3936256348602694</v>
      </c>
      <c r="AE23" s="391">
        <f t="shared" si="5"/>
        <v>1.3874430852422348</v>
      </c>
      <c r="AF23" s="390">
        <f>'15'!I46</f>
        <v>35543.700000000361</v>
      </c>
      <c r="AG23" s="388">
        <f t="shared" si="31"/>
        <v>520569.88000000035</v>
      </c>
      <c r="AH23" s="391">
        <f t="shared" si="6"/>
        <v>859.95596632150296</v>
      </c>
      <c r="AI23" s="391">
        <f t="shared" si="7"/>
        <v>889.85087383420478</v>
      </c>
      <c r="AJ23" s="391">
        <f t="shared" si="8"/>
        <v>872.08823024266655</v>
      </c>
      <c r="AK23" s="391">
        <f t="shared" si="9"/>
        <v>916.92405787911696</v>
      </c>
      <c r="AL23" s="446">
        <v>5920.5</v>
      </c>
      <c r="AM23" s="447">
        <v>4728.8</v>
      </c>
      <c r="AN23" s="447">
        <v>3652.5</v>
      </c>
      <c r="AO23" s="447">
        <f t="shared" si="40"/>
        <v>14301.8</v>
      </c>
      <c r="AP23" s="597">
        <f>+[1]Mar!N18</f>
        <v>13230</v>
      </c>
      <c r="AQ23" s="479">
        <f t="shared" si="10"/>
        <v>-1071.7999999999993</v>
      </c>
      <c r="AR23" s="450">
        <f t="shared" si="11"/>
        <v>0.4139688710511964</v>
      </c>
      <c r="AS23" s="450">
        <f t="shared" si="12"/>
        <v>0.33064369519920572</v>
      </c>
      <c r="AT23" s="450">
        <f t="shared" si="33"/>
        <v>0.25538743374959788</v>
      </c>
      <c r="AU23" s="450">
        <f t="shared" si="34"/>
        <v>-443.691835992672</v>
      </c>
      <c r="AV23" s="450">
        <f t="shared" si="35"/>
        <v>-354.38391251450844</v>
      </c>
      <c r="AW23" s="450">
        <f t="shared" si="39"/>
        <v>-273.72425149281884</v>
      </c>
      <c r="AX23" s="576">
        <f t="shared" si="41"/>
        <v>5476.8081640073278</v>
      </c>
      <c r="AY23" s="576">
        <f t="shared" si="42"/>
        <v>4374.4160874854915</v>
      </c>
      <c r="AZ23" s="576">
        <f t="shared" si="43"/>
        <v>3378.7757485071811</v>
      </c>
      <c r="BA23" s="386">
        <f>+Efficiency2!K77</f>
        <v>47.611213587380284</v>
      </c>
      <c r="BB23" s="387">
        <f t="shared" si="36"/>
        <v>672.83709056615965</v>
      </c>
      <c r="BC23" s="412">
        <f t="shared" si="37"/>
        <v>0.8560378307769696</v>
      </c>
      <c r="BD23" s="412">
        <f t="shared" si="38"/>
        <v>0.84379266238470674</v>
      </c>
    </row>
    <row r="24" spans="1:56" s="392" customFormat="1" ht="12.75" customHeight="1">
      <c r="A24" s="406">
        <f t="shared" si="16"/>
        <v>46097</v>
      </c>
      <c r="B24" s="415" t="s">
        <v>551</v>
      </c>
      <c r="C24" s="393" t="s">
        <v>619</v>
      </c>
      <c r="D24" s="385">
        <f>+'16'!F42</f>
        <v>1190</v>
      </c>
      <c r="E24" s="385">
        <f>+'16'!G42</f>
        <v>940.98125000000005</v>
      </c>
      <c r="F24" s="45">
        <f t="shared" si="0"/>
        <v>0.20925945378151256</v>
      </c>
      <c r="G24" s="411">
        <f t="shared" si="17"/>
        <v>0.93293530541464553</v>
      </c>
      <c r="H24" s="407">
        <f t="shared" si="18"/>
        <v>0.90210538937621809</v>
      </c>
      <c r="I24" s="407">
        <f t="shared" si="19"/>
        <v>0.94511567815871955</v>
      </c>
      <c r="J24" s="412">
        <f t="shared" si="20"/>
        <v>0.85259394685094025</v>
      </c>
      <c r="K24" s="412">
        <f t="shared" si="21"/>
        <v>0.81818540000803031</v>
      </c>
      <c r="L24" s="386">
        <f>+SUM(Efficiency1!K82:K83)</f>
        <v>46.332723972419132</v>
      </c>
      <c r="M24" s="387">
        <f t="shared" si="22"/>
        <v>742.17652868657888</v>
      </c>
      <c r="N24" s="386">
        <f>+SUM(Efficiency1!C82:C83)</f>
        <v>44.801606024999998</v>
      </c>
      <c r="O24" s="387">
        <f t="shared" si="22"/>
        <v>726.98120326291041</v>
      </c>
      <c r="P24" s="387">
        <f>'16'!I38</f>
        <v>41.796999999999997</v>
      </c>
      <c r="Q24" s="387">
        <f t="shared" si="23"/>
        <v>626.80499999999995</v>
      </c>
      <c r="R24" s="387">
        <f>'16'!I40</f>
        <v>39.503</v>
      </c>
      <c r="S24" s="387">
        <f t="shared" si="24"/>
        <v>607.23799999999994</v>
      </c>
      <c r="T24" s="94">
        <f t="shared" si="1"/>
        <v>4975.5711569339992</v>
      </c>
      <c r="U24" s="12">
        <f t="shared" si="25"/>
        <v>76668.314505986797</v>
      </c>
      <c r="V24" s="288">
        <f t="shared" si="26"/>
        <v>119.04134643476803</v>
      </c>
      <c r="W24" s="288">
        <f t="shared" si="27"/>
        <v>122.31605444434362</v>
      </c>
      <c r="X24" s="289">
        <f t="shared" si="28"/>
        <v>125.95426061144721</v>
      </c>
      <c r="Y24" s="288">
        <f t="shared" si="29"/>
        <v>126.25743860889273</v>
      </c>
      <c r="Z24" s="389">
        <v>56.4</v>
      </c>
      <c r="AA24" s="388">
        <f t="shared" si="30"/>
        <v>844.1</v>
      </c>
      <c r="AB24" s="391">
        <f t="shared" si="2"/>
        <v>1.3493791420436874</v>
      </c>
      <c r="AC24" s="391">
        <f t="shared" si="3"/>
        <v>1.3466708146871835</v>
      </c>
      <c r="AD24" s="386">
        <f t="shared" si="4"/>
        <v>1.4277396653418728</v>
      </c>
      <c r="AE24" s="391">
        <f t="shared" si="5"/>
        <v>1.3900645216537835</v>
      </c>
      <c r="AF24" s="390">
        <f>'16'!I46</f>
        <v>38006.799999999639</v>
      </c>
      <c r="AG24" s="388">
        <f t="shared" si="31"/>
        <v>558576.67999999993</v>
      </c>
      <c r="AH24" s="391">
        <f t="shared" si="6"/>
        <v>909.31885063520451</v>
      </c>
      <c r="AI24" s="391">
        <f t="shared" si="7"/>
        <v>891.14904954491419</v>
      </c>
      <c r="AJ24" s="391">
        <f t="shared" si="8"/>
        <v>962.12439561551378</v>
      </c>
      <c r="AK24" s="391">
        <f t="shared" si="9"/>
        <v>919.86450123345367</v>
      </c>
      <c r="AL24" s="446">
        <v>5958.6</v>
      </c>
      <c r="AM24" s="447">
        <v>4629.7</v>
      </c>
      <c r="AN24" s="447">
        <v>3611.3</v>
      </c>
      <c r="AO24" s="447">
        <f t="shared" si="40"/>
        <v>14199.599999999999</v>
      </c>
      <c r="AP24" s="597">
        <f>+[1]Mar!N19</f>
        <v>11857</v>
      </c>
      <c r="AQ24" s="479">
        <f t="shared" si="10"/>
        <v>-2342.5999999999985</v>
      </c>
      <c r="AR24" s="450">
        <f t="shared" si="11"/>
        <v>0.41963153891658928</v>
      </c>
      <c r="AS24" s="450">
        <f t="shared" si="12"/>
        <v>0.32604439561677795</v>
      </c>
      <c r="AT24" s="450">
        <f t="shared" si="33"/>
        <v>0.25432406546663283</v>
      </c>
      <c r="AU24" s="450">
        <f t="shared" si="34"/>
        <v>-983.0288430660014</v>
      </c>
      <c r="AV24" s="450">
        <f t="shared" si="35"/>
        <v>-763.79160117186359</v>
      </c>
      <c r="AW24" s="450">
        <f t="shared" si="39"/>
        <v>-595.77955576213367</v>
      </c>
      <c r="AX24" s="576">
        <f t="shared" si="41"/>
        <v>4975.5711569339992</v>
      </c>
      <c r="AY24" s="576">
        <f t="shared" si="42"/>
        <v>3865.9083988281363</v>
      </c>
      <c r="AZ24" s="576">
        <f t="shared" si="43"/>
        <v>3015.5204442378663</v>
      </c>
      <c r="BA24" s="386">
        <f>+SUM(Efficiency2!K82:K83)</f>
        <v>46.332723972419132</v>
      </c>
      <c r="BB24" s="387">
        <f t="shared" si="36"/>
        <v>719.16981453857875</v>
      </c>
      <c r="BC24" s="412">
        <f t="shared" si="37"/>
        <v>0.85259394685094025</v>
      </c>
      <c r="BD24" s="412">
        <f t="shared" si="38"/>
        <v>0.84435968769018133</v>
      </c>
    </row>
    <row r="25" spans="1:56" s="392" customFormat="1" ht="12.75" customHeight="1">
      <c r="A25" s="406">
        <f t="shared" si="16"/>
        <v>46098</v>
      </c>
      <c r="B25" s="415" t="s">
        <v>551</v>
      </c>
      <c r="C25" s="393" t="s">
        <v>678</v>
      </c>
      <c r="D25" s="385">
        <f>+'17'!F42</f>
        <v>1230</v>
      </c>
      <c r="E25" s="385">
        <f>+'17'!G42</f>
        <v>959.4</v>
      </c>
      <c r="F25" s="45">
        <f t="shared" si="0"/>
        <v>0.21999999999999997</v>
      </c>
      <c r="G25" s="411">
        <f t="shared" si="17"/>
        <v>0.12167137534889268</v>
      </c>
      <c r="H25" s="407">
        <f t="shared" si="18"/>
        <v>0.12167137534889268</v>
      </c>
      <c r="I25" s="407">
        <f t="shared" si="19"/>
        <v>1.085</v>
      </c>
      <c r="J25" s="412">
        <f t="shared" si="20"/>
        <v>0.13201344225354855</v>
      </c>
      <c r="K25" s="412">
        <f t="shared" si="21"/>
        <v>0.77946789620444568</v>
      </c>
      <c r="L25" s="386">
        <f>+Efficiency1!K87</f>
        <v>44.381844000000001</v>
      </c>
      <c r="M25" s="387">
        <f t="shared" si="22"/>
        <v>786.55837268657888</v>
      </c>
      <c r="N25" s="386">
        <f>+Efficiency1!C87</f>
        <v>44.381844000000001</v>
      </c>
      <c r="O25" s="387">
        <f t="shared" si="22"/>
        <v>771.36304726291041</v>
      </c>
      <c r="P25" s="387">
        <f>'17'!I38</f>
        <v>5.4</v>
      </c>
      <c r="Q25" s="387">
        <f t="shared" si="23"/>
        <v>632.20499999999993</v>
      </c>
      <c r="R25" s="387">
        <f>'17'!I40</f>
        <v>5.859</v>
      </c>
      <c r="S25" s="387">
        <f t="shared" si="24"/>
        <v>613.09699999999998</v>
      </c>
      <c r="T25" s="94">
        <f t="shared" si="1"/>
        <v>502.64249922052466</v>
      </c>
      <c r="U25" s="12">
        <f t="shared" si="25"/>
        <v>77170.957005207325</v>
      </c>
      <c r="V25" s="288">
        <f t="shared" si="26"/>
        <v>93.081944300097149</v>
      </c>
      <c r="W25" s="288">
        <f t="shared" si="27"/>
        <v>122.06635032182177</v>
      </c>
      <c r="X25" s="289">
        <f t="shared" si="28"/>
        <v>85.789810414836097</v>
      </c>
      <c r="Y25" s="288">
        <f t="shared" si="29"/>
        <v>125.87071377809275</v>
      </c>
      <c r="Z25" s="389">
        <v>8.6</v>
      </c>
      <c r="AA25" s="388">
        <f t="shared" si="30"/>
        <v>852.7</v>
      </c>
      <c r="AB25" s="391">
        <f t="shared" si="2"/>
        <v>1.5925925925925923</v>
      </c>
      <c r="AC25" s="391">
        <f t="shared" si="3"/>
        <v>1.348771363719047</v>
      </c>
      <c r="AD25" s="386">
        <f t="shared" si="4"/>
        <v>1.4678272742788872</v>
      </c>
      <c r="AE25" s="391">
        <f t="shared" si="5"/>
        <v>1.3908076536013063</v>
      </c>
      <c r="AF25" s="390">
        <f>'17'!I46</f>
        <v>11728.060000000725</v>
      </c>
      <c r="AG25" s="388">
        <f t="shared" si="31"/>
        <v>570304.74000000069</v>
      </c>
      <c r="AH25" s="391">
        <f t="shared" si="6"/>
        <v>2171.8629629630973</v>
      </c>
      <c r="AI25" s="391">
        <f t="shared" si="7"/>
        <v>902.08830996275071</v>
      </c>
      <c r="AJ25" s="391">
        <f t="shared" si="8"/>
        <v>2001.7170165558503</v>
      </c>
      <c r="AK25" s="391">
        <f t="shared" si="9"/>
        <v>930.2031163094922</v>
      </c>
      <c r="AL25" s="446">
        <v>395.3</v>
      </c>
      <c r="AM25" s="447">
        <v>4837.3</v>
      </c>
      <c r="AN25" s="447">
        <v>3747.8</v>
      </c>
      <c r="AO25" s="447">
        <f t="shared" si="40"/>
        <v>8980.4000000000015</v>
      </c>
      <c r="AP25" s="597">
        <f>+[1]Mar!N20</f>
        <v>11419</v>
      </c>
      <c r="AQ25" s="479">
        <f t="shared" si="10"/>
        <v>2438.5999999999985</v>
      </c>
      <c r="AR25" s="450">
        <f t="shared" si="11"/>
        <v>4.4018083827001016E-2</v>
      </c>
      <c r="AS25" s="450">
        <f t="shared" si="12"/>
        <v>0.5386508396062536</v>
      </c>
      <c r="AT25" s="450">
        <f t="shared" si="33"/>
        <v>0.4173310765667454</v>
      </c>
      <c r="AU25" s="450">
        <f t="shared" si="34"/>
        <v>107.34249922052462</v>
      </c>
      <c r="AV25" s="450">
        <f>+AS25*AQ25</f>
        <v>1313.5539374638092</v>
      </c>
      <c r="AW25" s="450">
        <f t="shared" si="39"/>
        <v>1017.7035633156647</v>
      </c>
      <c r="AX25" s="576">
        <f t="shared" si="41"/>
        <v>502.64249922052466</v>
      </c>
      <c r="AY25" s="576">
        <f t="shared" si="42"/>
        <v>6150.8539374638094</v>
      </c>
      <c r="AZ25" s="576">
        <f t="shared" si="43"/>
        <v>4765.5035633156649</v>
      </c>
      <c r="BA25" s="386">
        <f>+Efficiency2!K87</f>
        <v>5.3936268749999998</v>
      </c>
      <c r="BB25" s="387">
        <f t="shared" si="36"/>
        <v>724.56344141357874</v>
      </c>
      <c r="BC25" s="412">
        <f t="shared" si="37"/>
        <v>1.0862820391149137</v>
      </c>
      <c r="BD25" s="412">
        <f t="shared" si="38"/>
        <v>0.84616054986694533</v>
      </c>
    </row>
    <row r="26" spans="1:56" s="392" customFormat="1" ht="12.75" customHeight="1">
      <c r="A26" s="406">
        <f t="shared" si="16"/>
        <v>46099</v>
      </c>
      <c r="B26" s="415" t="s">
        <v>551</v>
      </c>
      <c r="C26" s="393" t="s">
        <v>678</v>
      </c>
      <c r="D26" s="385">
        <f>+'18'!F42</f>
        <v>0</v>
      </c>
      <c r="E26" s="385">
        <f>+'18'!G42</f>
        <v>0</v>
      </c>
      <c r="F26" s="45" t="e">
        <f t="shared" si="0"/>
        <v>#DIV/0!</v>
      </c>
      <c r="G26" s="411">
        <f t="shared" si="17"/>
        <v>0</v>
      </c>
      <c r="H26" s="407">
        <f t="shared" si="18"/>
        <v>0</v>
      </c>
      <c r="I26" s="407" t="e">
        <f t="shared" si="19"/>
        <v>#DIV/0!</v>
      </c>
      <c r="J26" s="412">
        <f t="shared" si="20"/>
        <v>0</v>
      </c>
      <c r="K26" s="412">
        <f t="shared" si="21"/>
        <v>0.73798864517640017</v>
      </c>
      <c r="L26" s="386">
        <f>+Efficiency1!K92</f>
        <v>44.209152000000003</v>
      </c>
      <c r="M26" s="387">
        <f t="shared" si="22"/>
        <v>830.76752468657889</v>
      </c>
      <c r="N26" s="386">
        <f>+Efficiency1!C92</f>
        <v>44.209152000000003</v>
      </c>
      <c r="O26" s="387">
        <f t="shared" si="22"/>
        <v>815.57219926291043</v>
      </c>
      <c r="P26" s="387">
        <f>'18'!I38</f>
        <v>0</v>
      </c>
      <c r="Q26" s="387">
        <f t="shared" si="23"/>
        <v>632.20499999999993</v>
      </c>
      <c r="R26" s="387">
        <f>'18'!I40</f>
        <v>0</v>
      </c>
      <c r="S26" s="387">
        <f t="shared" si="24"/>
        <v>613.09699999999998</v>
      </c>
      <c r="T26" s="94">
        <f t="shared" si="1"/>
        <v>0</v>
      </c>
      <c r="U26" s="12">
        <f t="shared" si="25"/>
        <v>77170.957005207325</v>
      </c>
      <c r="V26" s="288" t="e">
        <f t="shared" si="26"/>
        <v>#DIV/0!</v>
      </c>
      <c r="W26" s="288">
        <f t="shared" si="27"/>
        <v>122.06635032182177</v>
      </c>
      <c r="X26" s="289">
        <f t="shared" si="28"/>
        <v>0</v>
      </c>
      <c r="Y26" s="288">
        <f t="shared" si="29"/>
        <v>125.87071377809275</v>
      </c>
      <c r="Z26" s="389">
        <v>2.1</v>
      </c>
      <c r="AA26" s="388">
        <f t="shared" si="30"/>
        <v>854.80000000000007</v>
      </c>
      <c r="AB26" s="391" t="e">
        <f t="shared" si="2"/>
        <v>#DIV/0!</v>
      </c>
      <c r="AC26" s="391">
        <f t="shared" si="3"/>
        <v>1.3520930710766288</v>
      </c>
      <c r="AD26" s="386">
        <f t="shared" si="4"/>
        <v>0</v>
      </c>
      <c r="AE26" s="391">
        <f t="shared" si="5"/>
        <v>1.3942328864763653</v>
      </c>
      <c r="AF26" s="390">
        <f>'18'!I46</f>
        <v>5911.2799999989093</v>
      </c>
      <c r="AG26" s="388">
        <f t="shared" si="31"/>
        <v>576216.01999999955</v>
      </c>
      <c r="AH26" s="391" t="e">
        <f t="shared" si="6"/>
        <v>#DIV/0!</v>
      </c>
      <c r="AI26" s="391">
        <f t="shared" si="7"/>
        <v>911.43856818595179</v>
      </c>
      <c r="AJ26" s="391">
        <f t="shared" si="8"/>
        <v>0</v>
      </c>
      <c r="AK26" s="391">
        <f t="shared" si="9"/>
        <v>939.84478801886087</v>
      </c>
      <c r="AL26" s="446">
        <v>0</v>
      </c>
      <c r="AM26" s="447">
        <v>5129.8999999999996</v>
      </c>
      <c r="AN26" s="447">
        <v>3830.8</v>
      </c>
      <c r="AO26" s="447">
        <f t="shared" si="40"/>
        <v>8960.7000000000007</v>
      </c>
      <c r="AP26" s="597">
        <f>+[1]Mar!N21</f>
        <v>9202</v>
      </c>
      <c r="AQ26" s="479">
        <f t="shared" si="10"/>
        <v>241.29999999999927</v>
      </c>
      <c r="AR26" s="450">
        <f t="shared" si="11"/>
        <v>0</v>
      </c>
      <c r="AS26" s="450">
        <f t="shared" si="12"/>
        <v>0.57248875645875874</v>
      </c>
      <c r="AT26" s="450">
        <f t="shared" si="33"/>
        <v>0.42751124354124126</v>
      </c>
      <c r="AU26" s="450">
        <f t="shared" si="34"/>
        <v>0</v>
      </c>
      <c r="AV26" s="450">
        <f t="shared" si="35"/>
        <v>138.14153693349806</v>
      </c>
      <c r="AW26" s="450">
        <f t="shared" si="39"/>
        <v>103.1584630665012</v>
      </c>
      <c r="AX26" s="576">
        <f t="shared" si="41"/>
        <v>0</v>
      </c>
      <c r="AY26" s="576">
        <f t="shared" si="42"/>
        <v>5268.0415369334978</v>
      </c>
      <c r="AZ26" s="576">
        <f t="shared" si="43"/>
        <v>3933.9584630665013</v>
      </c>
      <c r="BA26" s="386">
        <f>+Efficiency2!K92</f>
        <v>0</v>
      </c>
      <c r="BB26" s="387">
        <f t="shared" si="36"/>
        <v>724.56344141357874</v>
      </c>
      <c r="BC26" s="412" t="e">
        <f t="shared" si="37"/>
        <v>#DIV/0!</v>
      </c>
      <c r="BD26" s="412">
        <f t="shared" si="38"/>
        <v>0.84616054986694533</v>
      </c>
    </row>
    <row r="27" spans="1:56" s="392" customFormat="1" ht="12.75" customHeight="1">
      <c r="A27" s="406">
        <f t="shared" si="16"/>
        <v>46100</v>
      </c>
      <c r="B27" s="415" t="s">
        <v>551</v>
      </c>
      <c r="C27" s="393" t="s">
        <v>678</v>
      </c>
      <c r="D27" s="385">
        <f>+'19'!F42</f>
        <v>0</v>
      </c>
      <c r="E27" s="385">
        <f>+'19'!G42</f>
        <v>0</v>
      </c>
      <c r="F27" s="45" t="e">
        <f t="shared" si="0"/>
        <v>#DIV/0!</v>
      </c>
      <c r="G27" s="411">
        <f t="shared" si="17"/>
        <v>0</v>
      </c>
      <c r="H27" s="407">
        <f t="shared" si="18"/>
        <v>0</v>
      </c>
      <c r="I27" s="407" t="e">
        <f t="shared" si="19"/>
        <v>#DIV/0!</v>
      </c>
      <c r="J27" s="412">
        <f t="shared" si="20"/>
        <v>0</v>
      </c>
      <c r="K27" s="412">
        <f t="shared" si="21"/>
        <v>0.70070096304934359</v>
      </c>
      <c r="L27" s="386">
        <f>+Efficiency1!K97</f>
        <v>44.209152000000003</v>
      </c>
      <c r="M27" s="387">
        <f t="shared" si="22"/>
        <v>874.97667668657891</v>
      </c>
      <c r="N27" s="386">
        <f>+Efficiency1!C97</f>
        <v>44.209152000000003</v>
      </c>
      <c r="O27" s="387">
        <f t="shared" si="22"/>
        <v>859.78135126291045</v>
      </c>
      <c r="P27" s="387">
        <f>'19'!I38</f>
        <v>0</v>
      </c>
      <c r="Q27" s="387">
        <f t="shared" si="23"/>
        <v>632.20499999999993</v>
      </c>
      <c r="R27" s="387">
        <f>'19'!I40</f>
        <v>0</v>
      </c>
      <c r="S27" s="387">
        <f t="shared" si="24"/>
        <v>613.09699999999998</v>
      </c>
      <c r="T27" s="94">
        <f t="shared" si="1"/>
        <v>0</v>
      </c>
      <c r="U27" s="12">
        <f t="shared" si="25"/>
        <v>77170.957005207325</v>
      </c>
      <c r="V27" s="288" t="e">
        <f t="shared" si="26"/>
        <v>#DIV/0!</v>
      </c>
      <c r="W27" s="288">
        <f t="shared" si="27"/>
        <v>122.06635032182177</v>
      </c>
      <c r="X27" s="289">
        <f t="shared" si="28"/>
        <v>0</v>
      </c>
      <c r="Y27" s="288">
        <f t="shared" si="29"/>
        <v>125.87071377809275</v>
      </c>
      <c r="Z27" s="389">
        <v>3.2</v>
      </c>
      <c r="AA27" s="388">
        <f t="shared" si="30"/>
        <v>858.00000000000011</v>
      </c>
      <c r="AB27" s="391" t="e">
        <f t="shared" si="2"/>
        <v>#DIV/0!</v>
      </c>
      <c r="AC27" s="391">
        <f t="shared" si="3"/>
        <v>1.3571547203834202</v>
      </c>
      <c r="AD27" s="386">
        <f t="shared" si="4"/>
        <v>0</v>
      </c>
      <c r="AE27" s="391">
        <f t="shared" si="5"/>
        <v>1.3994522889526455</v>
      </c>
      <c r="AF27" s="390">
        <f>'19'!I46</f>
        <v>3665.1600000003637</v>
      </c>
      <c r="AG27" s="388">
        <f t="shared" si="31"/>
        <v>579881.17999999993</v>
      </c>
      <c r="AH27" s="391" t="e">
        <f t="shared" si="6"/>
        <v>#DIV/0!</v>
      </c>
      <c r="AI27" s="391">
        <f t="shared" si="7"/>
        <v>917.23599149010215</v>
      </c>
      <c r="AJ27" s="391">
        <f t="shared" si="8"/>
        <v>0</v>
      </c>
      <c r="AK27" s="391">
        <f t="shared" si="9"/>
        <v>945.8228958876</v>
      </c>
      <c r="AL27" s="446">
        <v>0</v>
      </c>
      <c r="AM27" s="447">
        <v>5487.3</v>
      </c>
      <c r="AN27" s="447">
        <v>3886.9</v>
      </c>
      <c r="AO27" s="447">
        <f t="shared" si="40"/>
        <v>9374.2000000000007</v>
      </c>
      <c r="AP27" s="597">
        <f>+[1]Mar!N22</f>
        <v>9050</v>
      </c>
      <c r="AQ27" s="479">
        <f t="shared" si="10"/>
        <v>-324.20000000000073</v>
      </c>
      <c r="AR27" s="450">
        <f t="shared" si="11"/>
        <v>0</v>
      </c>
      <c r="AS27" s="450">
        <f t="shared" si="12"/>
        <v>0.58536195088647558</v>
      </c>
      <c r="AT27" s="450">
        <f t="shared" si="33"/>
        <v>0.41463804911352442</v>
      </c>
      <c r="AU27" s="450">
        <f t="shared" si="34"/>
        <v>0</v>
      </c>
      <c r="AV27" s="450">
        <f t="shared" si="35"/>
        <v>-189.7743444773958</v>
      </c>
      <c r="AW27" s="450">
        <f>+AT27*AQ27</f>
        <v>-134.42565552260493</v>
      </c>
      <c r="AX27" s="576">
        <f t="shared" si="41"/>
        <v>0</v>
      </c>
      <c r="AY27" s="576">
        <f t="shared" si="42"/>
        <v>5297.5256555226042</v>
      </c>
      <c r="AZ27" s="576">
        <f t="shared" si="43"/>
        <v>3752.4743444773953</v>
      </c>
      <c r="BA27" s="386">
        <f>+Efficiency2!K97</f>
        <v>0</v>
      </c>
      <c r="BB27" s="387">
        <f t="shared" si="36"/>
        <v>724.56344141357874</v>
      </c>
      <c r="BC27" s="412" t="e">
        <f t="shared" si="37"/>
        <v>#DIV/0!</v>
      </c>
      <c r="BD27" s="412">
        <f t="shared" si="38"/>
        <v>0.84616054986694533</v>
      </c>
    </row>
    <row r="28" spans="1:56" s="392" customFormat="1" ht="12.75" customHeight="1">
      <c r="A28" s="406">
        <f t="shared" si="16"/>
        <v>46101</v>
      </c>
      <c r="B28" s="415" t="s">
        <v>551</v>
      </c>
      <c r="C28" s="393" t="s">
        <v>678</v>
      </c>
      <c r="D28" s="385">
        <f>+'20'!F42</f>
        <v>0</v>
      </c>
      <c r="E28" s="385">
        <f>+'20'!G42</f>
        <v>0</v>
      </c>
      <c r="F28" s="45" t="e">
        <f t="shared" si="0"/>
        <v>#DIV/0!</v>
      </c>
      <c r="G28" s="411">
        <f t="shared" si="17"/>
        <v>0</v>
      </c>
      <c r="H28" s="407">
        <f t="shared" si="18"/>
        <v>0</v>
      </c>
      <c r="I28" s="407" t="e">
        <f t="shared" si="19"/>
        <v>#DIV/0!</v>
      </c>
      <c r="J28" s="412">
        <f t="shared" si="20"/>
        <v>0</v>
      </c>
      <c r="K28" s="412">
        <f t="shared" si="21"/>
        <v>0.6670000568612463</v>
      </c>
      <c r="L28" s="386">
        <f>+Efficiency1!K102</f>
        <v>44.209152000000003</v>
      </c>
      <c r="M28" s="387">
        <f t="shared" si="22"/>
        <v>919.18582868657893</v>
      </c>
      <c r="N28" s="386">
        <f>+Efficiency1!C102</f>
        <v>44.209152000000003</v>
      </c>
      <c r="O28" s="387">
        <f t="shared" si="22"/>
        <v>903.99050326291047</v>
      </c>
      <c r="P28" s="387">
        <f>'20'!I38</f>
        <v>0</v>
      </c>
      <c r="Q28" s="387">
        <f t="shared" si="23"/>
        <v>632.20499999999993</v>
      </c>
      <c r="R28" s="387">
        <f>'20'!I40</f>
        <v>0</v>
      </c>
      <c r="S28" s="387">
        <f t="shared" si="24"/>
        <v>613.09699999999998</v>
      </c>
      <c r="T28" s="94">
        <f t="shared" si="1"/>
        <v>0</v>
      </c>
      <c r="U28" s="12">
        <f t="shared" si="25"/>
        <v>77170.957005207325</v>
      </c>
      <c r="V28" s="288" t="e">
        <f t="shared" si="26"/>
        <v>#DIV/0!</v>
      </c>
      <c r="W28" s="288">
        <f t="shared" si="27"/>
        <v>122.06635032182177</v>
      </c>
      <c r="X28" s="289">
        <f t="shared" si="28"/>
        <v>0</v>
      </c>
      <c r="Y28" s="288">
        <f t="shared" si="29"/>
        <v>125.87071377809275</v>
      </c>
      <c r="Z28" s="389">
        <v>4</v>
      </c>
      <c r="AA28" s="388">
        <f t="shared" si="30"/>
        <v>862.00000000000011</v>
      </c>
      <c r="AB28" s="391" t="e">
        <f t="shared" si="2"/>
        <v>#DIV/0!</v>
      </c>
      <c r="AC28" s="391">
        <f t="shared" si="3"/>
        <v>1.3634817820169094</v>
      </c>
      <c r="AD28" s="386">
        <f t="shared" si="4"/>
        <v>0</v>
      </c>
      <c r="AE28" s="391">
        <f t="shared" si="5"/>
        <v>1.4059765420479959</v>
      </c>
      <c r="AF28" s="390">
        <f>'20'!I46</f>
        <v>6014.980000001091</v>
      </c>
      <c r="AG28" s="388">
        <f t="shared" si="31"/>
        <v>585896.16000000108</v>
      </c>
      <c r="AH28" s="391" t="e">
        <f t="shared" si="6"/>
        <v>#DIV/0!</v>
      </c>
      <c r="AI28" s="391">
        <f t="shared" si="7"/>
        <v>926.75027878615515</v>
      </c>
      <c r="AJ28" s="391">
        <f t="shared" si="8"/>
        <v>0</v>
      </c>
      <c r="AK28" s="391">
        <f t="shared" si="9"/>
        <v>955.6337088584695</v>
      </c>
      <c r="AL28" s="446">
        <v>0</v>
      </c>
      <c r="AM28" s="481">
        <v>5476.9</v>
      </c>
      <c r="AN28" s="447">
        <v>3877.3</v>
      </c>
      <c r="AO28" s="447">
        <f t="shared" si="40"/>
        <v>9354.2000000000007</v>
      </c>
      <c r="AP28" s="597">
        <f>+[1]Mar!N23</f>
        <v>9530</v>
      </c>
      <c r="AQ28" s="479">
        <f t="shared" si="10"/>
        <v>175.79999999999927</v>
      </c>
      <c r="AR28" s="450">
        <f t="shared" si="11"/>
        <v>0</v>
      </c>
      <c r="AS28" s="450">
        <f t="shared" si="12"/>
        <v>0.58550169977122568</v>
      </c>
      <c r="AT28" s="450">
        <f t="shared" si="33"/>
        <v>0.41449830022877432</v>
      </c>
      <c r="AU28" s="450">
        <f t="shared" si="34"/>
        <v>0</v>
      </c>
      <c r="AV28" s="450">
        <f t="shared" si="35"/>
        <v>102.93119881978105</v>
      </c>
      <c r="AW28" s="450">
        <f t="shared" si="39"/>
        <v>72.868801180218227</v>
      </c>
      <c r="AX28" s="576">
        <f t="shared" si="41"/>
        <v>0</v>
      </c>
      <c r="AY28" s="576">
        <f t="shared" si="42"/>
        <v>5579.8311988197811</v>
      </c>
      <c r="AZ28" s="576">
        <f t="shared" si="43"/>
        <v>3950.1688011802185</v>
      </c>
      <c r="BA28" s="386">
        <f>+Efficiency2!K102</f>
        <v>0</v>
      </c>
      <c r="BB28" s="387">
        <f t="shared" si="36"/>
        <v>724.56344141357874</v>
      </c>
      <c r="BC28" s="412" t="e">
        <f t="shared" si="37"/>
        <v>#DIV/0!</v>
      </c>
      <c r="BD28" s="412">
        <f t="shared" si="38"/>
        <v>0.84616054986694533</v>
      </c>
    </row>
    <row r="29" spans="1:56" s="392" customFormat="1" ht="12.75" customHeight="1">
      <c r="A29" s="406">
        <f t="shared" si="16"/>
        <v>46102</v>
      </c>
      <c r="B29" s="415" t="s">
        <v>551</v>
      </c>
      <c r="C29" s="393" t="s">
        <v>678</v>
      </c>
      <c r="D29" s="385">
        <f>+'21'!F42</f>
        <v>0</v>
      </c>
      <c r="E29" s="385">
        <f>+'21'!G42</f>
        <v>0</v>
      </c>
      <c r="F29" s="45" t="e">
        <f t="shared" si="0"/>
        <v>#DIV/0!</v>
      </c>
      <c r="G29" s="411">
        <f t="shared" si="17"/>
        <v>0</v>
      </c>
      <c r="H29" s="407">
        <f t="shared" si="18"/>
        <v>0</v>
      </c>
      <c r="I29" s="407" t="e">
        <f t="shared" si="19"/>
        <v>#DIV/0!</v>
      </c>
      <c r="J29" s="412">
        <f t="shared" si="20"/>
        <v>0</v>
      </c>
      <c r="K29" s="412">
        <f t="shared" si="21"/>
        <v>0.63639214682545531</v>
      </c>
      <c r="L29" s="386">
        <f>+Efficiency1!K107</f>
        <v>44.209152000000003</v>
      </c>
      <c r="M29" s="387">
        <f t="shared" si="22"/>
        <v>963.39498068657895</v>
      </c>
      <c r="N29" s="386">
        <f>+Efficiency1!C107</f>
        <v>44.209152000000003</v>
      </c>
      <c r="O29" s="387">
        <f t="shared" si="22"/>
        <v>948.19965526291048</v>
      </c>
      <c r="P29" s="387">
        <f>'21'!I38</f>
        <v>0</v>
      </c>
      <c r="Q29" s="387">
        <f t="shared" si="23"/>
        <v>632.20499999999993</v>
      </c>
      <c r="R29" s="387">
        <f>'21'!I40</f>
        <v>0</v>
      </c>
      <c r="S29" s="387">
        <f t="shared" si="24"/>
        <v>613.09699999999998</v>
      </c>
      <c r="T29" s="94">
        <f t="shared" si="1"/>
        <v>0</v>
      </c>
      <c r="U29" s="12">
        <f t="shared" si="25"/>
        <v>77170.957005207325</v>
      </c>
      <c r="V29" s="288" t="e">
        <f t="shared" si="26"/>
        <v>#DIV/0!</v>
      </c>
      <c r="W29" s="288">
        <f t="shared" si="27"/>
        <v>122.06635032182177</v>
      </c>
      <c r="X29" s="289">
        <f t="shared" si="28"/>
        <v>0</v>
      </c>
      <c r="Y29" s="288">
        <f t="shared" si="29"/>
        <v>125.87071377809275</v>
      </c>
      <c r="Z29" s="389">
        <v>5</v>
      </c>
      <c r="AA29" s="388">
        <f t="shared" si="30"/>
        <v>867.00000000000011</v>
      </c>
      <c r="AB29" s="391" t="e">
        <f t="shared" si="2"/>
        <v>#DIV/0!</v>
      </c>
      <c r="AC29" s="391">
        <f t="shared" si="3"/>
        <v>1.3713906090587709</v>
      </c>
      <c r="AD29" s="386">
        <f t="shared" si="4"/>
        <v>0</v>
      </c>
      <c r="AE29" s="391">
        <f t="shared" si="5"/>
        <v>1.4141318584171838</v>
      </c>
      <c r="AF29" s="390">
        <f>'21'!I46</f>
        <v>5326.5399999996371</v>
      </c>
      <c r="AG29" s="388">
        <f t="shared" si="31"/>
        <v>591222.70000000077</v>
      </c>
      <c r="AH29" s="391" t="e">
        <f t="shared" si="6"/>
        <v>#DIV/0!</v>
      </c>
      <c r="AI29" s="391">
        <f t="shared" si="7"/>
        <v>935.1756155044659</v>
      </c>
      <c r="AJ29" s="391">
        <f t="shared" si="8"/>
        <v>0</v>
      </c>
      <c r="AK29" s="391">
        <f t="shared" si="9"/>
        <v>964.32163262909592</v>
      </c>
      <c r="AL29" s="446">
        <v>0</v>
      </c>
      <c r="AM29" s="481">
        <v>5527.2</v>
      </c>
      <c r="AN29" s="481">
        <v>3886.5</v>
      </c>
      <c r="AO29" s="447">
        <f t="shared" si="40"/>
        <v>9413.7000000000007</v>
      </c>
      <c r="AP29" s="597">
        <f>+[1]Mar!N24</f>
        <v>9711</v>
      </c>
      <c r="AQ29" s="479">
        <f t="shared" si="10"/>
        <v>297.29999999999927</v>
      </c>
      <c r="AR29" s="450">
        <f t="shared" si="11"/>
        <v>0</v>
      </c>
      <c r="AS29" s="450">
        <f t="shared" si="12"/>
        <v>0.58714426845979784</v>
      </c>
      <c r="AT29" s="450">
        <f t="shared" si="33"/>
        <v>0.41285573154020216</v>
      </c>
      <c r="AU29" s="450">
        <f t="shared" si="34"/>
        <v>0</v>
      </c>
      <c r="AV29" s="450">
        <f t="shared" si="35"/>
        <v>174.55799101309748</v>
      </c>
      <c r="AW29" s="450">
        <f t="shared" si="39"/>
        <v>122.74200898690181</v>
      </c>
      <c r="AX29" s="576">
        <f t="shared" si="41"/>
        <v>0</v>
      </c>
      <c r="AY29" s="576">
        <f t="shared" si="42"/>
        <v>5701.7579910130971</v>
      </c>
      <c r="AZ29" s="576">
        <f t="shared" si="43"/>
        <v>4009.242008986902</v>
      </c>
      <c r="BA29" s="386">
        <f>+Efficiency2!K107</f>
        <v>0</v>
      </c>
      <c r="BB29" s="387">
        <f t="shared" si="36"/>
        <v>724.56344141357874</v>
      </c>
      <c r="BC29" s="412" t="e">
        <f t="shared" si="37"/>
        <v>#DIV/0!</v>
      </c>
      <c r="BD29" s="412">
        <f t="shared" si="38"/>
        <v>0.84616054986694533</v>
      </c>
    </row>
    <row r="30" spans="1:56" s="392" customFormat="1" ht="12.75" customHeight="1">
      <c r="A30" s="406">
        <f t="shared" si="16"/>
        <v>46103</v>
      </c>
      <c r="B30" s="415" t="s">
        <v>551</v>
      </c>
      <c r="C30" s="393" t="s">
        <v>678</v>
      </c>
      <c r="D30" s="385">
        <f>+'22'!F42</f>
        <v>0</v>
      </c>
      <c r="E30" s="385">
        <f>+'22'!G42</f>
        <v>0</v>
      </c>
      <c r="F30" s="45" t="e">
        <f t="shared" si="0"/>
        <v>#DIV/0!</v>
      </c>
      <c r="G30" s="411">
        <f t="shared" si="17"/>
        <v>0</v>
      </c>
      <c r="H30" s="407">
        <f t="shared" si="18"/>
        <v>0</v>
      </c>
      <c r="I30" s="407" t="e">
        <f t="shared" si="19"/>
        <v>#DIV/0!</v>
      </c>
      <c r="J30" s="412">
        <f t="shared" si="20"/>
        <v>0</v>
      </c>
      <c r="K30" s="412">
        <f t="shared" si="21"/>
        <v>0.60847011252851546</v>
      </c>
      <c r="L30" s="386">
        <f>+Efficiency1!K112</f>
        <v>44.209152000000003</v>
      </c>
      <c r="M30" s="387">
        <f t="shared" si="22"/>
        <v>1007.604132686579</v>
      </c>
      <c r="N30" s="386">
        <f>+Efficiency1!C112</f>
        <v>44.209152000000003</v>
      </c>
      <c r="O30" s="387">
        <f t="shared" si="22"/>
        <v>992.4088072629105</v>
      </c>
      <c r="P30" s="387">
        <f>'22'!I38</f>
        <v>0</v>
      </c>
      <c r="Q30" s="387">
        <f t="shared" si="23"/>
        <v>632.20499999999993</v>
      </c>
      <c r="R30" s="387">
        <f>'22'!I40</f>
        <v>0</v>
      </c>
      <c r="S30" s="387">
        <f t="shared" si="24"/>
        <v>613.09699999999998</v>
      </c>
      <c r="T30" s="94">
        <f t="shared" si="1"/>
        <v>0</v>
      </c>
      <c r="U30" s="12">
        <f t="shared" si="25"/>
        <v>77170.957005207325</v>
      </c>
      <c r="V30" s="288" t="e">
        <f t="shared" si="26"/>
        <v>#DIV/0!</v>
      </c>
      <c r="W30" s="288">
        <f t="shared" si="27"/>
        <v>122.06635032182177</v>
      </c>
      <c r="X30" s="289">
        <f t="shared" si="28"/>
        <v>0</v>
      </c>
      <c r="Y30" s="288">
        <f t="shared" si="29"/>
        <v>125.87071377809275</v>
      </c>
      <c r="Z30" s="389">
        <v>4.5</v>
      </c>
      <c r="AA30" s="388">
        <f t="shared" si="30"/>
        <v>871.50000000000011</v>
      </c>
      <c r="AB30" s="391" t="e">
        <f t="shared" si="2"/>
        <v>#DIV/0!</v>
      </c>
      <c r="AC30" s="391">
        <f t="shared" si="3"/>
        <v>1.3785085533964461</v>
      </c>
      <c r="AD30" s="386">
        <f t="shared" si="4"/>
        <v>0</v>
      </c>
      <c r="AE30" s="391">
        <f t="shared" si="5"/>
        <v>1.421471643149453</v>
      </c>
      <c r="AF30" s="390">
        <f>'22'!I46</f>
        <v>4580.300000000364</v>
      </c>
      <c r="AG30" s="388">
        <f t="shared" si="31"/>
        <v>595803.00000000116</v>
      </c>
      <c r="AH30" s="391" t="e">
        <f t="shared" si="6"/>
        <v>#DIV/0!</v>
      </c>
      <c r="AI30" s="391">
        <f t="shared" si="7"/>
        <v>942.42057560443413</v>
      </c>
      <c r="AJ30" s="391">
        <f t="shared" si="8"/>
        <v>0</v>
      </c>
      <c r="AK30" s="391">
        <f t="shared" si="9"/>
        <v>971.79239174225472</v>
      </c>
      <c r="AL30" s="446">
        <v>0</v>
      </c>
      <c r="AM30" s="447">
        <v>5500.8</v>
      </c>
      <c r="AN30" s="447">
        <v>3883.9</v>
      </c>
      <c r="AO30" s="447">
        <f t="shared" si="40"/>
        <v>9384.7000000000007</v>
      </c>
      <c r="AP30" s="597">
        <f>+[1]Mar!N25</f>
        <v>9715</v>
      </c>
      <c r="AQ30" s="479">
        <f t="shared" si="10"/>
        <v>330.29999999999927</v>
      </c>
      <c r="AR30" s="450">
        <f>+AL30/AO30</f>
        <v>0</v>
      </c>
      <c r="AS30" s="450">
        <f t="shared" si="12"/>
        <v>0.58614553475337516</v>
      </c>
      <c r="AT30" s="450">
        <f t="shared" si="33"/>
        <v>0.41385446524662484</v>
      </c>
      <c r="AU30" s="450">
        <f t="shared" si="34"/>
        <v>0</v>
      </c>
      <c r="AV30" s="450">
        <f t="shared" si="35"/>
        <v>193.60387012903939</v>
      </c>
      <c r="AW30" s="450">
        <f t="shared" si="39"/>
        <v>136.69612987095988</v>
      </c>
      <c r="AX30" s="576">
        <f t="shared" si="41"/>
        <v>0</v>
      </c>
      <c r="AY30" s="576">
        <f t="shared" si="42"/>
        <v>5694.4038701290392</v>
      </c>
      <c r="AZ30" s="576">
        <f t="shared" si="43"/>
        <v>4020.5961298709599</v>
      </c>
      <c r="BA30" s="386">
        <f>+Efficiency2!K112</f>
        <v>0</v>
      </c>
      <c r="BB30" s="387">
        <f t="shared" si="36"/>
        <v>724.56344141357874</v>
      </c>
      <c r="BC30" s="412" t="e">
        <f t="shared" si="37"/>
        <v>#DIV/0!</v>
      </c>
      <c r="BD30" s="412">
        <f t="shared" si="38"/>
        <v>0.84616054986694533</v>
      </c>
    </row>
    <row r="31" spans="1:56" s="392" customFormat="1" ht="12.75" customHeight="1">
      <c r="A31" s="406">
        <f t="shared" si="16"/>
        <v>46104</v>
      </c>
      <c r="B31" s="415" t="s">
        <v>551</v>
      </c>
      <c r="C31" s="393" t="s">
        <v>678</v>
      </c>
      <c r="D31" s="385">
        <f>+'23'!F42</f>
        <v>0</v>
      </c>
      <c r="E31" s="385">
        <f>+'23'!G42</f>
        <v>0</v>
      </c>
      <c r="F31" s="45" t="e">
        <f t="shared" si="0"/>
        <v>#DIV/0!</v>
      </c>
      <c r="G31" s="411">
        <f t="shared" si="17"/>
        <v>0</v>
      </c>
      <c r="H31" s="407">
        <f t="shared" si="18"/>
        <v>0</v>
      </c>
      <c r="I31" s="407" t="e">
        <f t="shared" si="19"/>
        <v>#DIV/0!</v>
      </c>
      <c r="J31" s="412">
        <f t="shared" si="20"/>
        <v>0</v>
      </c>
      <c r="K31" s="412">
        <f t="shared" si="21"/>
        <v>0.58289528086982811</v>
      </c>
      <c r="L31" s="386">
        <f>+Efficiency1!K117</f>
        <v>44.209152000000003</v>
      </c>
      <c r="M31" s="387">
        <f t="shared" si="22"/>
        <v>1051.813284686579</v>
      </c>
      <c r="N31" s="386">
        <f>+Efficiency1!C117</f>
        <v>44.209152000000003</v>
      </c>
      <c r="O31" s="387">
        <f t="shared" si="22"/>
        <v>1036.6179592629105</v>
      </c>
      <c r="P31" s="387">
        <f>'23'!I38</f>
        <v>0</v>
      </c>
      <c r="Q31" s="387">
        <f t="shared" si="23"/>
        <v>632.20499999999993</v>
      </c>
      <c r="R31" s="387">
        <f>'23'!I40</f>
        <v>0</v>
      </c>
      <c r="S31" s="387">
        <f t="shared" si="24"/>
        <v>613.09699999999998</v>
      </c>
      <c r="T31" s="94">
        <f t="shared" si="1"/>
        <v>8.3748172092665278</v>
      </c>
      <c r="U31" s="12">
        <f t="shared" si="25"/>
        <v>77179.331822416585</v>
      </c>
      <c r="V31" s="288" t="e">
        <f t="shared" si="26"/>
        <v>#DIV/0!</v>
      </c>
      <c r="W31" s="288">
        <f t="shared" si="27"/>
        <v>122.07959731798482</v>
      </c>
      <c r="X31" s="289">
        <f t="shared" si="28"/>
        <v>0</v>
      </c>
      <c r="Y31" s="288">
        <f t="shared" si="29"/>
        <v>125.88437363486787</v>
      </c>
      <c r="Z31" s="389">
        <v>12.3</v>
      </c>
      <c r="AA31" s="388">
        <f t="shared" si="30"/>
        <v>883.80000000000007</v>
      </c>
      <c r="AB31" s="391" t="e">
        <f t="shared" si="2"/>
        <v>#DIV/0!</v>
      </c>
      <c r="AC31" s="391">
        <f t="shared" si="3"/>
        <v>1.3979642679194251</v>
      </c>
      <c r="AD31" s="386">
        <f t="shared" si="4"/>
        <v>0</v>
      </c>
      <c r="AE31" s="391">
        <f t="shared" si="5"/>
        <v>1.4415337214176551</v>
      </c>
      <c r="AF31" s="390">
        <f>'23'!I46</f>
        <v>5654.019999998909</v>
      </c>
      <c r="AG31" s="388">
        <f t="shared" si="31"/>
        <v>601457.02</v>
      </c>
      <c r="AH31" s="391" t="e">
        <f t="shared" si="6"/>
        <v>#DIV/0!</v>
      </c>
      <c r="AI31" s="391">
        <f t="shared" si="7"/>
        <v>951.36390885867741</v>
      </c>
      <c r="AJ31" s="391">
        <f t="shared" si="8"/>
        <v>0</v>
      </c>
      <c r="AK31" s="391">
        <f t="shared" si="9"/>
        <v>981.01445611379597</v>
      </c>
      <c r="AL31" s="446">
        <v>8.1999999999999993</v>
      </c>
      <c r="AM31" s="447">
        <v>5258.4</v>
      </c>
      <c r="AN31" s="447">
        <v>3828.5</v>
      </c>
      <c r="AO31" s="447">
        <f>SUM(AL31:AN31)</f>
        <v>9095.0999999999985</v>
      </c>
      <c r="AP31" s="597">
        <f>+[1]Mar!N26</f>
        <v>9289</v>
      </c>
      <c r="AQ31" s="479">
        <f t="shared" si="10"/>
        <v>193.90000000000146</v>
      </c>
      <c r="AR31" s="450">
        <f>+AL31/AO31</f>
        <v>9.0158436960561183E-4</v>
      </c>
      <c r="AS31" s="450">
        <f t="shared" si="12"/>
        <v>0.57815746940660362</v>
      </c>
      <c r="AT31" s="450">
        <f t="shared" si="33"/>
        <v>0.42094094622379075</v>
      </c>
      <c r="AU31" s="450">
        <f t="shared" si="34"/>
        <v>0.17481720926652944</v>
      </c>
      <c r="AV31" s="450">
        <f t="shared" si="35"/>
        <v>112.10473331794128</v>
      </c>
      <c r="AW31" s="450">
        <f t="shared" si="39"/>
        <v>81.620449472793638</v>
      </c>
      <c r="AX31" s="576">
        <f t="shared" si="41"/>
        <v>8.3748172092665278</v>
      </c>
      <c r="AY31" s="576">
        <f t="shared" si="42"/>
        <v>5370.5047333179409</v>
      </c>
      <c r="AZ31" s="576">
        <f t="shared" si="43"/>
        <v>3910.1204494727936</v>
      </c>
      <c r="BA31" s="386">
        <f>+Efficiency2!K117</f>
        <v>0</v>
      </c>
      <c r="BB31" s="387">
        <f t="shared" si="36"/>
        <v>724.56344141357874</v>
      </c>
      <c r="BC31" s="412" t="e">
        <f t="shared" si="37"/>
        <v>#DIV/0!</v>
      </c>
      <c r="BD31" s="412">
        <f t="shared" si="38"/>
        <v>0.84616054986694533</v>
      </c>
    </row>
    <row r="32" spans="1:56" s="392" customFormat="1" ht="12.75" customHeight="1">
      <c r="A32" s="406">
        <f t="shared" si="16"/>
        <v>46105</v>
      </c>
      <c r="B32" s="415" t="s">
        <v>551</v>
      </c>
      <c r="C32" s="393" t="s">
        <v>719</v>
      </c>
      <c r="D32" s="385">
        <f>+'24'!F42</f>
        <v>1130.7064017660043</v>
      </c>
      <c r="E32" s="385">
        <f>+'24'!G42</f>
        <v>868.59205298013251</v>
      </c>
      <c r="F32" s="45">
        <f t="shared" si="0"/>
        <v>0.23181468538294825</v>
      </c>
      <c r="G32" s="411">
        <f t="shared" si="17"/>
        <v>0.84219107339044796</v>
      </c>
      <c r="H32" s="407">
        <f t="shared" si="18"/>
        <v>0.71891646413424803</v>
      </c>
      <c r="I32" s="407">
        <f t="shared" si="19"/>
        <v>0.72941005942890269</v>
      </c>
      <c r="J32" s="412">
        <f t="shared" si="20"/>
        <v>0.52438490082857836</v>
      </c>
      <c r="K32" s="412">
        <f t="shared" si="21"/>
        <v>0.58034258654627202</v>
      </c>
      <c r="L32" s="386">
        <f>+SUM(Efficiency1!K122:K123)</f>
        <v>47.98193075399999</v>
      </c>
      <c r="M32" s="387">
        <f t="shared" si="22"/>
        <v>1099.7952154405789</v>
      </c>
      <c r="N32" s="386">
        <f>+SUM(Efficiency1!C122:C123)</f>
        <v>40.958638828991468</v>
      </c>
      <c r="O32" s="387">
        <f t="shared" si="22"/>
        <v>1077.576598091902</v>
      </c>
      <c r="P32" s="387">
        <f>'24'!I38</f>
        <v>34.495000000000005</v>
      </c>
      <c r="Q32" s="387">
        <f t="shared" si="23"/>
        <v>666.69999999999993</v>
      </c>
      <c r="R32" s="387">
        <f>'24'!I40</f>
        <v>25.161000000000001</v>
      </c>
      <c r="S32" s="387">
        <f t="shared" si="24"/>
        <v>638.25800000000004</v>
      </c>
      <c r="T32" s="94">
        <f t="shared" si="1"/>
        <v>5296.876230746816</v>
      </c>
      <c r="U32" s="12">
        <f t="shared" si="25"/>
        <v>82476.208053163398</v>
      </c>
      <c r="V32" s="288">
        <f t="shared" si="26"/>
        <v>153.5548987026182</v>
      </c>
      <c r="W32" s="288">
        <f t="shared" si="27"/>
        <v>123.70812667341144</v>
      </c>
      <c r="X32" s="289">
        <f t="shared" si="28"/>
        <v>210.5193049062762</v>
      </c>
      <c r="Y32" s="288">
        <f t="shared" si="29"/>
        <v>129.22079794246744</v>
      </c>
      <c r="Z32" s="389">
        <v>58.3</v>
      </c>
      <c r="AA32" s="388">
        <f t="shared" si="30"/>
        <v>942.1</v>
      </c>
      <c r="AB32" s="391">
        <f t="shared" si="2"/>
        <v>1.6901000144948539</v>
      </c>
      <c r="AC32" s="391">
        <f t="shared" si="3"/>
        <v>1.4130793460326985</v>
      </c>
      <c r="AD32" s="386">
        <f t="shared" si="4"/>
        <v>2.3170780175668693</v>
      </c>
      <c r="AE32" s="391">
        <f t="shared" si="5"/>
        <v>1.476048870519445</v>
      </c>
      <c r="AF32" s="390">
        <f>+'24'!I46</f>
        <v>34527.660000000003</v>
      </c>
      <c r="AG32" s="388">
        <f t="shared" si="31"/>
        <v>635984.68000000005</v>
      </c>
      <c r="AH32" s="391">
        <f t="shared" si="6"/>
        <v>1000.9468038846207</v>
      </c>
      <c r="AI32" s="391">
        <f t="shared" si="7"/>
        <v>953.92932353382355</v>
      </c>
      <c r="AJ32" s="391">
        <f t="shared" si="8"/>
        <v>1372.2689877190892</v>
      </c>
      <c r="AK32" s="391">
        <f t="shared" si="9"/>
        <v>996.43824284223626</v>
      </c>
      <c r="AL32" s="446">
        <v>5600.2</v>
      </c>
      <c r="AM32" s="447">
        <v>5330.5</v>
      </c>
      <c r="AN32" s="447">
        <v>3826.6</v>
      </c>
      <c r="AO32" s="447">
        <f t="shared" si="40"/>
        <v>14757.300000000001</v>
      </c>
      <c r="AP32" s="597">
        <f>+[1]Mar!N27</f>
        <v>13958</v>
      </c>
      <c r="AQ32" s="479">
        <f t="shared" si="10"/>
        <v>-799.30000000000109</v>
      </c>
      <c r="AR32" s="450">
        <f t="shared" si="11"/>
        <v>0.3794867624836521</v>
      </c>
      <c r="AS32" s="450">
        <f t="shared" si="12"/>
        <v>0.36121106164406763</v>
      </c>
      <c r="AT32" s="450">
        <f t="shared" si="33"/>
        <v>0.25930217587228027</v>
      </c>
      <c r="AU32" s="450">
        <f t="shared" si="34"/>
        <v>-303.32376925318351</v>
      </c>
      <c r="AV32" s="450">
        <f t="shared" si="35"/>
        <v>-288.71600157210366</v>
      </c>
      <c r="AW32" s="450">
        <f t="shared" si="39"/>
        <v>-207.26022917471391</v>
      </c>
      <c r="AX32" s="576">
        <f t="shared" si="41"/>
        <v>5296.876230746816</v>
      </c>
      <c r="AY32" s="576">
        <f t="shared" si="42"/>
        <v>5041.7839984278962</v>
      </c>
      <c r="AZ32" s="576">
        <f t="shared" si="43"/>
        <v>3619.339770825286</v>
      </c>
      <c r="BA32" s="386">
        <f>+SUM(Efficiency2!K122:K123)</f>
        <v>41.506907681999991</v>
      </c>
      <c r="BB32" s="387">
        <f t="shared" si="36"/>
        <v>766.07034909557876</v>
      </c>
      <c r="BC32" s="412">
        <f t="shared" si="37"/>
        <v>0.60618825648896502</v>
      </c>
      <c r="BD32" s="412">
        <f t="shared" si="38"/>
        <v>0.83315847004589882</v>
      </c>
    </row>
    <row r="33" spans="1:56" s="392" customFormat="1" ht="12.75" customHeight="1">
      <c r="A33" s="406">
        <f t="shared" si="16"/>
        <v>46106</v>
      </c>
      <c r="B33" s="415" t="s">
        <v>551</v>
      </c>
      <c r="C33" s="393" t="s">
        <v>678</v>
      </c>
      <c r="D33" s="385">
        <f>+'25'!F42</f>
        <v>1146.0416666666667</v>
      </c>
      <c r="E33" s="385">
        <f>+'25'!G42</f>
        <v>878.55208333333337</v>
      </c>
      <c r="F33" s="45">
        <f t="shared" si="0"/>
        <v>0.23340301763315763</v>
      </c>
      <c r="G33" s="411">
        <f t="shared" si="17"/>
        <v>0.93381834787920193</v>
      </c>
      <c r="H33" s="407">
        <f t="shared" si="18"/>
        <v>0.87007702094910067</v>
      </c>
      <c r="I33" s="407">
        <f t="shared" si="19"/>
        <v>1.0086218261396893</v>
      </c>
      <c r="J33" s="412">
        <f t="shared" si="20"/>
        <v>0.87757867375186271</v>
      </c>
      <c r="K33" s="412">
        <f t="shared" si="21"/>
        <v>0.59167440495896306</v>
      </c>
      <c r="L33" s="386">
        <f>+Efficiency1!K130</f>
        <v>43.590393823558664</v>
      </c>
      <c r="M33" s="387">
        <f t="shared" si="22"/>
        <v>1143.3856092641377</v>
      </c>
      <c r="N33" s="386">
        <f>+Efficiency1!C130</f>
        <v>40.614965518867926</v>
      </c>
      <c r="O33" s="387">
        <f t="shared" si="22"/>
        <v>1118.1915636107699</v>
      </c>
      <c r="P33" s="387">
        <f>'25'!I38</f>
        <v>37.927</v>
      </c>
      <c r="Q33" s="387">
        <f t="shared" si="23"/>
        <v>704.62699999999995</v>
      </c>
      <c r="R33" s="387">
        <f>'25'!I40</f>
        <v>38.253999999999998</v>
      </c>
      <c r="S33" s="387">
        <f t="shared" si="24"/>
        <v>676.51200000000006</v>
      </c>
      <c r="T33" s="94">
        <f t="shared" si="1"/>
        <v>5296.4760316350139</v>
      </c>
      <c r="U33" s="12">
        <f t="shared" si="25"/>
        <v>87772.684084798413</v>
      </c>
      <c r="V33" s="288">
        <f t="shared" si="26"/>
        <v>139.64922170577725</v>
      </c>
      <c r="W33" s="288">
        <f t="shared" si="27"/>
        <v>124.56616633310733</v>
      </c>
      <c r="X33" s="289">
        <f t="shared" si="28"/>
        <v>138.45548260665589</v>
      </c>
      <c r="Y33" s="288">
        <f t="shared" si="29"/>
        <v>129.74298177238305</v>
      </c>
      <c r="Z33" s="389">
        <v>58.7</v>
      </c>
      <c r="AA33" s="388">
        <f t="shared" si="30"/>
        <v>1000.8000000000001</v>
      </c>
      <c r="AB33" s="391">
        <f t="shared" si="2"/>
        <v>1.5477100746170276</v>
      </c>
      <c r="AC33" s="391">
        <f t="shared" si="3"/>
        <v>1.4203259313083378</v>
      </c>
      <c r="AD33" s="386">
        <f t="shared" si="4"/>
        <v>1.534480054373399</v>
      </c>
      <c r="AE33" s="391">
        <f t="shared" si="5"/>
        <v>1.4793529161345254</v>
      </c>
      <c r="AF33" s="390">
        <f>+'25'!I46</f>
        <v>34704.020000000724</v>
      </c>
      <c r="AG33" s="388">
        <f t="shared" si="31"/>
        <v>670688.70000000077</v>
      </c>
      <c r="AH33" s="391">
        <f t="shared" si="6"/>
        <v>915.0214886492663</v>
      </c>
      <c r="AI33" s="391">
        <f t="shared" si="7"/>
        <v>951.83508437797695</v>
      </c>
      <c r="AJ33" s="391">
        <f t="shared" si="8"/>
        <v>907.19976995871605</v>
      </c>
      <c r="AK33" s="391">
        <f t="shared" si="9"/>
        <v>991.39217042713324</v>
      </c>
      <c r="AL33" s="446">
        <v>5593.5</v>
      </c>
      <c r="AM33" s="447">
        <v>5453.3</v>
      </c>
      <c r="AN33" s="447">
        <v>3822.8</v>
      </c>
      <c r="AO33" s="447">
        <f t="shared" si="40"/>
        <v>14869.599999999999</v>
      </c>
      <c r="AP33" s="597">
        <f>+[1]Mar!N28</f>
        <v>14080</v>
      </c>
      <c r="AQ33" s="479">
        <f t="shared" si="10"/>
        <v>-789.59999999999854</v>
      </c>
      <c r="AR33" s="450">
        <f t="shared" si="11"/>
        <v>0.37617017270135045</v>
      </c>
      <c r="AS33" s="450">
        <f t="shared" si="12"/>
        <v>0.36674153978587187</v>
      </c>
      <c r="AT33" s="450">
        <f t="shared" si="33"/>
        <v>0.25708828751277768</v>
      </c>
      <c r="AU33" s="450">
        <f t="shared" si="34"/>
        <v>-297.02396836498576</v>
      </c>
      <c r="AV33" s="450">
        <f t="shared" si="35"/>
        <v>-289.5791198149239</v>
      </c>
      <c r="AW33" s="450">
        <f>+AT33*AQ33</f>
        <v>-202.99691182008888</v>
      </c>
      <c r="AX33" s="576">
        <f t="shared" si="41"/>
        <v>5296.4760316350139</v>
      </c>
      <c r="AY33" s="576">
        <f t="shared" si="42"/>
        <v>5163.7208801850766</v>
      </c>
      <c r="AZ33" s="576">
        <f t="shared" si="43"/>
        <v>3619.8030881799114</v>
      </c>
      <c r="BA33" s="386">
        <f>+Efficiency2!K130</f>
        <v>43.590393823558664</v>
      </c>
      <c r="BB33" s="387">
        <f t="shared" si="36"/>
        <v>809.66074291913742</v>
      </c>
      <c r="BC33" s="412">
        <f t="shared" si="37"/>
        <v>0.87757867375186271</v>
      </c>
      <c r="BD33" s="412">
        <f t="shared" si="38"/>
        <v>0.83554995832070966</v>
      </c>
    </row>
    <row r="34" spans="1:56" s="392" customFormat="1" ht="12.75" customHeight="1">
      <c r="A34" s="406">
        <f t="shared" si="16"/>
        <v>46107</v>
      </c>
      <c r="B34" s="415" t="s">
        <v>551</v>
      </c>
      <c r="C34" s="410" t="s">
        <v>654</v>
      </c>
      <c r="D34" s="385">
        <f>+'26'!F42</f>
        <v>1152.5416666666667</v>
      </c>
      <c r="E34" s="385">
        <f>+'26'!G42</f>
        <v>897.16166666666675</v>
      </c>
      <c r="F34" s="45">
        <f t="shared" si="0"/>
        <v>0.22157984165431477</v>
      </c>
      <c r="G34" s="411">
        <f t="shared" si="17"/>
        <v>0.89766352025762275</v>
      </c>
      <c r="H34" s="407">
        <f t="shared" si="18"/>
        <v>0.84114341507363044</v>
      </c>
      <c r="I34" s="407">
        <f t="shared" si="19"/>
        <v>1.0529701686121917</v>
      </c>
      <c r="J34" s="412">
        <f t="shared" si="20"/>
        <v>0.88569892359711555</v>
      </c>
      <c r="K34" s="412">
        <f t="shared" si="21"/>
        <v>0.60300563632301551</v>
      </c>
      <c r="L34" s="386">
        <f>+SUM(Efficiency1!K135:K136)</f>
        <v>45.830472317999998</v>
      </c>
      <c r="M34" s="387">
        <f t="shared" si="22"/>
        <v>1189.2160815821376</v>
      </c>
      <c r="N34" s="386">
        <f>+SUM(Efficiency1!C135:C136)</f>
        <v>42.944821896000008</v>
      </c>
      <c r="O34" s="387">
        <f t="shared" si="22"/>
        <v>1161.1363855067698</v>
      </c>
      <c r="P34" s="387">
        <f>'26'!I38</f>
        <v>38.550000000000004</v>
      </c>
      <c r="Q34" s="387">
        <f t="shared" si="23"/>
        <v>743.17699999999991</v>
      </c>
      <c r="R34" s="387">
        <f>'26'!I40</f>
        <v>40.591999999999999</v>
      </c>
      <c r="S34" s="387">
        <f t="shared" si="24"/>
        <v>717.10400000000004</v>
      </c>
      <c r="T34" s="94">
        <f t="shared" si="1"/>
        <v>5482.2038475102972</v>
      </c>
      <c r="U34" s="12">
        <f t="shared" si="25"/>
        <v>93254.887932308717</v>
      </c>
      <c r="V34" s="288">
        <f t="shared" si="26"/>
        <v>142.21021653723207</v>
      </c>
      <c r="W34" s="288">
        <f t="shared" si="27"/>
        <v>125.48139666904214</v>
      </c>
      <c r="X34" s="289">
        <f t="shared" si="28"/>
        <v>135.05626348813308</v>
      </c>
      <c r="Y34" s="288">
        <f t="shared" si="29"/>
        <v>130.04374251476594</v>
      </c>
      <c r="Z34" s="389">
        <v>60.5</v>
      </c>
      <c r="AA34" s="388">
        <f t="shared" si="30"/>
        <v>1061.3000000000002</v>
      </c>
      <c r="AB34" s="391">
        <f t="shared" si="2"/>
        <v>1.5693904020752267</v>
      </c>
      <c r="AC34" s="391">
        <f t="shared" si="3"/>
        <v>1.4280581880225038</v>
      </c>
      <c r="AD34" s="386">
        <f t="shared" si="4"/>
        <v>1.4904414662987782</v>
      </c>
      <c r="AE34" s="391">
        <f t="shared" si="5"/>
        <v>1.4799805885896609</v>
      </c>
      <c r="AF34" s="390">
        <f>'26'!I46</f>
        <v>37028.599999999271</v>
      </c>
      <c r="AG34" s="388">
        <f t="shared" si="31"/>
        <v>707717.3</v>
      </c>
      <c r="AH34" s="391">
        <f t="shared" si="6"/>
        <v>960.53437094680316</v>
      </c>
      <c r="AI34" s="391">
        <f t="shared" si="7"/>
        <v>952.28633286552213</v>
      </c>
      <c r="AJ34" s="391">
        <f t="shared" si="8"/>
        <v>912.2142294047909</v>
      </c>
      <c r="AK34" s="391">
        <f t="shared" si="9"/>
        <v>986.91026685111228</v>
      </c>
      <c r="AL34" s="446">
        <v>5775.8</v>
      </c>
      <c r="AM34" s="447">
        <v>5473.8</v>
      </c>
      <c r="AN34" s="447">
        <v>3778.3</v>
      </c>
      <c r="AO34" s="447">
        <f t="shared" si="40"/>
        <v>15027.900000000001</v>
      </c>
      <c r="AP34" s="597">
        <f>+[1]Mar!N29</f>
        <v>14264</v>
      </c>
      <c r="AQ34" s="479">
        <f t="shared" si="10"/>
        <v>-763.90000000000146</v>
      </c>
      <c r="AR34" s="450">
        <f t="shared" si="11"/>
        <v>0.38433846379068265</v>
      </c>
      <c r="AS34" s="450">
        <f t="shared" si="12"/>
        <v>0.36424250893338389</v>
      </c>
      <c r="AT34" s="450">
        <f t="shared" si="33"/>
        <v>0.25141902727593352</v>
      </c>
      <c r="AU34" s="450">
        <f t="shared" si="34"/>
        <v>-293.59615248970306</v>
      </c>
      <c r="AV34" s="450">
        <f t="shared" si="35"/>
        <v>-278.24485257421247</v>
      </c>
      <c r="AW34" s="450">
        <f>+AT34*AQ34</f>
        <v>-192.05899493608598</v>
      </c>
      <c r="AX34" s="576">
        <f t="shared" si="41"/>
        <v>5482.2038475102972</v>
      </c>
      <c r="AY34" s="576">
        <f t="shared" si="42"/>
        <v>5195.5551474257882</v>
      </c>
      <c r="AZ34" s="576">
        <f t="shared" si="43"/>
        <v>3586.2410050639141</v>
      </c>
      <c r="BA34" s="386">
        <f>+SUM(Efficiency2!K135:K136)</f>
        <v>45.830472317999998</v>
      </c>
      <c r="BB34" s="387">
        <f t="shared" si="36"/>
        <v>855.49121523713745</v>
      </c>
      <c r="BC34" s="412">
        <f t="shared" si="37"/>
        <v>0.88569892359711555</v>
      </c>
      <c r="BD34" s="412">
        <f t="shared" si="38"/>
        <v>0.83823654437085338</v>
      </c>
    </row>
    <row r="35" spans="1:56" s="392" customFormat="1" ht="12.75" customHeight="1">
      <c r="A35" s="406">
        <f t="shared" si="16"/>
        <v>46108</v>
      </c>
      <c r="B35" s="415" t="s">
        <v>551</v>
      </c>
      <c r="C35" s="393" t="s">
        <v>655</v>
      </c>
      <c r="D35" s="385">
        <f>+'27'!F42</f>
        <v>1140</v>
      </c>
      <c r="E35" s="385">
        <f>+'27'!G42</f>
        <v>889.2</v>
      </c>
      <c r="F35" s="45">
        <f t="shared" si="0"/>
        <v>0.21999999999999997</v>
      </c>
      <c r="G35" s="411">
        <f t="shared" si="17"/>
        <v>0.95027075418275864</v>
      </c>
      <c r="H35" s="407">
        <f t="shared" si="18"/>
        <v>0.88073874777914218</v>
      </c>
      <c r="I35" s="407">
        <f t="shared" si="19"/>
        <v>1.0048417776240706</v>
      </c>
      <c r="J35" s="412">
        <f t="shared" si="20"/>
        <v>0.88500308894079116</v>
      </c>
      <c r="K35" s="412">
        <f t="shared" si="21"/>
        <v>0.61349911643623667</v>
      </c>
      <c r="L35" s="386">
        <f>+Efficiency1!K139</f>
        <v>45.962551439999991</v>
      </c>
      <c r="M35" s="387">
        <f t="shared" si="22"/>
        <v>1235.1786330221375</v>
      </c>
      <c r="N35" s="386">
        <f>+Efficiency1!C139</f>
        <v>42.599437919999993</v>
      </c>
      <c r="O35" s="387">
        <f t="shared" si="22"/>
        <v>1203.7358234267697</v>
      </c>
      <c r="P35" s="387">
        <f>'27'!I38</f>
        <v>40.481000000000002</v>
      </c>
      <c r="Q35" s="387">
        <f t="shared" si="23"/>
        <v>783.6579999999999</v>
      </c>
      <c r="R35" s="387">
        <f>'27'!I40</f>
        <v>40.677</v>
      </c>
      <c r="S35" s="387">
        <f t="shared" si="24"/>
        <v>757.78100000000006</v>
      </c>
      <c r="T35" s="94">
        <f t="shared" si="1"/>
        <v>5535.0343583158747</v>
      </c>
      <c r="U35" s="12">
        <f t="shared" si="25"/>
        <v>98789.922290624585</v>
      </c>
      <c r="V35" s="288">
        <f t="shared" si="26"/>
        <v>136.73166073752807</v>
      </c>
      <c r="W35" s="288">
        <f t="shared" si="27"/>
        <v>126.06254551172144</v>
      </c>
      <c r="X35" s="289">
        <f t="shared" si="28"/>
        <v>136.07282637155825</v>
      </c>
      <c r="Y35" s="288">
        <f t="shared" si="29"/>
        <v>130.36737829349715</v>
      </c>
      <c r="Z35" s="389">
        <v>58.8</v>
      </c>
      <c r="AA35" s="388">
        <f t="shared" si="30"/>
        <v>1120.1000000000001</v>
      </c>
      <c r="AB35" s="391">
        <f t="shared" si="2"/>
        <v>1.4525332872211654</v>
      </c>
      <c r="AC35" s="391">
        <f t="shared" si="3"/>
        <v>1.4293224850636379</v>
      </c>
      <c r="AD35" s="386">
        <f t="shared" si="4"/>
        <v>1.4455343314403717</v>
      </c>
      <c r="AE35" s="391">
        <f t="shared" si="5"/>
        <v>1.4781315446019365</v>
      </c>
      <c r="AF35" s="390">
        <f>'27'!I46</f>
        <v>35518.959999999999</v>
      </c>
      <c r="AG35" s="388">
        <f t="shared" si="31"/>
        <v>743236.26</v>
      </c>
      <c r="AH35" s="391">
        <f t="shared" si="6"/>
        <v>877.42298856253558</v>
      </c>
      <c r="AI35" s="391">
        <f t="shared" si="7"/>
        <v>948.41915733649125</v>
      </c>
      <c r="AJ35" s="391">
        <f t="shared" si="8"/>
        <v>873.19517171866164</v>
      </c>
      <c r="AK35" s="391">
        <f t="shared" si="9"/>
        <v>980.80614319968413</v>
      </c>
      <c r="AL35" s="477">
        <v>5834.3</v>
      </c>
      <c r="AM35" s="447">
        <v>5120.7</v>
      </c>
      <c r="AN35" s="447">
        <v>3842</v>
      </c>
      <c r="AO35" s="447">
        <f t="shared" si="40"/>
        <v>14797</v>
      </c>
      <c r="AP35" s="597">
        <f>+[1]Mar!N30</f>
        <v>14038</v>
      </c>
      <c r="AQ35" s="479">
        <f t="shared" si="10"/>
        <v>-759</v>
      </c>
      <c r="AR35" s="450">
        <f t="shared" si="11"/>
        <v>0.39428938298303712</v>
      </c>
      <c r="AS35" s="450">
        <f t="shared" si="12"/>
        <v>0.3460633912279516</v>
      </c>
      <c r="AT35" s="450">
        <f t="shared" si="33"/>
        <v>0.25964722578901123</v>
      </c>
      <c r="AU35" s="450">
        <f t="shared" si="34"/>
        <v>-299.26564168412517</v>
      </c>
      <c r="AV35" s="450">
        <f t="shared" si="35"/>
        <v>-262.66211394201525</v>
      </c>
      <c r="AW35" s="450">
        <f>+AT35*AQ35</f>
        <v>-197.07224437385952</v>
      </c>
      <c r="AX35" s="576">
        <f t="shared" si="41"/>
        <v>5535.0343583158747</v>
      </c>
      <c r="AY35" s="576">
        <f t="shared" si="42"/>
        <v>4858.0378860579849</v>
      </c>
      <c r="AZ35" s="576">
        <f t="shared" si="43"/>
        <v>3644.9277556261404</v>
      </c>
      <c r="BA35" s="386">
        <f>+Efficiency2!K139</f>
        <v>45.962551439999991</v>
      </c>
      <c r="BB35" s="387">
        <f t="shared" si="36"/>
        <v>901.45376667713742</v>
      </c>
      <c r="BC35" s="412">
        <f t="shared" si="37"/>
        <v>0.88500308894079116</v>
      </c>
      <c r="BD35" s="412">
        <f t="shared" si="38"/>
        <v>0.84062103683172595</v>
      </c>
    </row>
    <row r="36" spans="1:56" s="392" customFormat="1" ht="12.75" customHeight="1">
      <c r="A36" s="406">
        <f t="shared" si="16"/>
        <v>46109</v>
      </c>
      <c r="B36" s="415" t="s">
        <v>551</v>
      </c>
      <c r="C36" s="393" t="s">
        <v>655</v>
      </c>
      <c r="D36" s="385">
        <f>+'28'!F42</f>
        <v>1146.6666666666667</v>
      </c>
      <c r="E36" s="385">
        <f>+'28'!G42</f>
        <v>894.4</v>
      </c>
      <c r="F36" s="45">
        <f t="shared" si="0"/>
        <v>0.22000000000000008</v>
      </c>
      <c r="G36" s="411">
        <f t="shared" si="17"/>
        <v>0.96276213134585975</v>
      </c>
      <c r="H36" s="407">
        <f t="shared" si="18"/>
        <v>0.89753434466931081</v>
      </c>
      <c r="I36" s="407">
        <f t="shared" si="19"/>
        <v>0.95382978208818059</v>
      </c>
      <c r="J36" s="412">
        <f t="shared" si="20"/>
        <v>0.85609498839258669</v>
      </c>
      <c r="K36" s="412">
        <f t="shared" si="21"/>
        <v>0.62222167368707126</v>
      </c>
      <c r="L36" s="386">
        <f>+Efficiency1!K143</f>
        <v>46.067317920000001</v>
      </c>
      <c r="M36" s="387">
        <f t="shared" si="22"/>
        <v>1281.2459509421376</v>
      </c>
      <c r="N36" s="386">
        <f>+Efficiency1!C143</f>
        <v>42.946225919999996</v>
      </c>
      <c r="O36" s="387">
        <f t="shared" si="22"/>
        <v>1246.6820493467696</v>
      </c>
      <c r="P36" s="387">
        <f>'28'!I38</f>
        <v>41.347000000000001</v>
      </c>
      <c r="Q36" s="387">
        <f t="shared" si="23"/>
        <v>825.00499999999988</v>
      </c>
      <c r="R36" s="387">
        <f>'28'!I40</f>
        <v>39.438000000000002</v>
      </c>
      <c r="S36" s="387">
        <f t="shared" si="24"/>
        <v>797.21900000000005</v>
      </c>
      <c r="T36" s="94">
        <f t="shared" si="1"/>
        <v>5487.2414507495005</v>
      </c>
      <c r="U36" s="12">
        <f t="shared" si="25"/>
        <v>104277.16374137408</v>
      </c>
      <c r="V36" s="288">
        <f t="shared" si="26"/>
        <v>132.71196098264687</v>
      </c>
      <c r="W36" s="288">
        <f t="shared" si="27"/>
        <v>126.39579607562875</v>
      </c>
      <c r="X36" s="289">
        <f t="shared" si="28"/>
        <v>139.13589560194484</v>
      </c>
      <c r="Y36" s="288">
        <f t="shared" si="29"/>
        <v>130.80115218199023</v>
      </c>
      <c r="Z36" s="389">
        <v>59.6</v>
      </c>
      <c r="AA36" s="388">
        <f t="shared" si="30"/>
        <v>1179.7</v>
      </c>
      <c r="AB36" s="391">
        <f t="shared" si="2"/>
        <v>1.4414588724695867</v>
      </c>
      <c r="AC36" s="391">
        <f t="shared" si="3"/>
        <v>1.4299307276925597</v>
      </c>
      <c r="AD36" s="386">
        <f t="shared" si="4"/>
        <v>1.5112328211369745</v>
      </c>
      <c r="AE36" s="391">
        <f t="shared" si="5"/>
        <v>1.4797690471501557</v>
      </c>
      <c r="AF36" s="390">
        <f>'28'!I46</f>
        <v>35419.079999999638</v>
      </c>
      <c r="AG36" s="388">
        <f t="shared" si="31"/>
        <v>778655.33999999962</v>
      </c>
      <c r="AH36" s="391">
        <f t="shared" si="6"/>
        <v>856.62998524680484</v>
      </c>
      <c r="AI36" s="391">
        <f t="shared" si="7"/>
        <v>943.8189344307001</v>
      </c>
      <c r="AJ36" s="391">
        <f t="shared" si="8"/>
        <v>898.09523809522898</v>
      </c>
      <c r="AK36" s="391">
        <f t="shared" si="9"/>
        <v>976.71447870660336</v>
      </c>
      <c r="AL36" s="446">
        <v>5782.2</v>
      </c>
      <c r="AM36" s="481">
        <v>5216.1000000000004</v>
      </c>
      <c r="AN36" s="447">
        <v>3965</v>
      </c>
      <c r="AO36" s="447">
        <f t="shared" si="40"/>
        <v>14963.3</v>
      </c>
      <c r="AP36" s="597">
        <f>+[1]Mar!N31</f>
        <v>14200</v>
      </c>
      <c r="AQ36" s="479">
        <f t="shared" si="10"/>
        <v>-763.29999999999927</v>
      </c>
      <c r="AR36" s="450">
        <f t="shared" si="11"/>
        <v>0.38642545427813385</v>
      </c>
      <c r="AS36" s="450">
        <f t="shared" si="12"/>
        <v>0.34859289060568194</v>
      </c>
      <c r="AT36" s="450">
        <f t="shared" si="33"/>
        <v>0.26498165511618427</v>
      </c>
      <c r="AU36" s="450">
        <f>+AR36*AQ36</f>
        <v>-294.95854925049929</v>
      </c>
      <c r="AV36" s="450">
        <f t="shared" si="35"/>
        <v>-266.0809533993168</v>
      </c>
      <c r="AW36" s="450">
        <f>+AT36*AQ36</f>
        <v>-202.26049735018327</v>
      </c>
      <c r="AX36" s="576">
        <f t="shared" si="41"/>
        <v>5487.2414507495005</v>
      </c>
      <c r="AY36" s="576">
        <f t="shared" si="42"/>
        <v>4950.0190466006834</v>
      </c>
      <c r="AZ36" s="576">
        <f t="shared" si="43"/>
        <v>3762.7395026498166</v>
      </c>
      <c r="BA36" s="386">
        <f>+Efficiency2!K143</f>
        <v>46.067317920000001</v>
      </c>
      <c r="BB36" s="387">
        <f t="shared" si="36"/>
        <v>947.52108459713747</v>
      </c>
      <c r="BC36" s="412">
        <f t="shared" si="37"/>
        <v>0.85609498839258669</v>
      </c>
      <c r="BD36" s="412">
        <f t="shared" si="38"/>
        <v>0.84137336145818631</v>
      </c>
    </row>
    <row r="37" spans="1:56" s="392" customFormat="1" ht="12.75" customHeight="1">
      <c r="A37" s="406">
        <f t="shared" si="16"/>
        <v>46110</v>
      </c>
      <c r="B37" s="415" t="s">
        <v>551</v>
      </c>
      <c r="C37" s="393" t="s">
        <v>655</v>
      </c>
      <c r="D37" s="385">
        <f>+'29'!F42</f>
        <v>1127.0833333333333</v>
      </c>
      <c r="E37" s="385">
        <f>+'29'!G42</f>
        <v>879.125</v>
      </c>
      <c r="F37" s="45">
        <f t="shared" si="0"/>
        <v>0.21999999999999997</v>
      </c>
      <c r="G37" s="411">
        <f t="shared" si="17"/>
        <v>0.94362442124828805</v>
      </c>
      <c r="H37" s="407">
        <f t="shared" si="18"/>
        <v>0.8646693968416731</v>
      </c>
      <c r="I37" s="407">
        <f t="shared" si="19"/>
        <v>0.95468581327040392</v>
      </c>
      <c r="J37" s="412">
        <f t="shared" si="20"/>
        <v>0.82548760633382234</v>
      </c>
      <c r="K37" s="412">
        <f t="shared" si="21"/>
        <v>0.62927646366108436</v>
      </c>
      <c r="L37" s="386">
        <f>+Efficiency1!K147</f>
        <v>46.067317920000001</v>
      </c>
      <c r="M37" s="387">
        <f t="shared" si="22"/>
        <v>1327.3132688621376</v>
      </c>
      <c r="N37" s="386">
        <f>+Efficiency1!C147</f>
        <v>42.212769299999998</v>
      </c>
      <c r="O37" s="387">
        <f t="shared" si="22"/>
        <v>1288.8948186467696</v>
      </c>
      <c r="P37" s="387">
        <f>'29'!I38</f>
        <v>39.832999999999998</v>
      </c>
      <c r="Q37" s="387">
        <f t="shared" si="23"/>
        <v>864.83799999999985</v>
      </c>
      <c r="R37" s="387">
        <f>'29'!I40</f>
        <v>38.027999999999999</v>
      </c>
      <c r="S37" s="387">
        <f t="shared" si="24"/>
        <v>835.24700000000007</v>
      </c>
      <c r="T37" s="94">
        <f t="shared" si="1"/>
        <v>5408.0459468505251</v>
      </c>
      <c r="U37" s="12">
        <f t="shared" si="25"/>
        <v>109685.20968822461</v>
      </c>
      <c r="V37" s="288">
        <f t="shared" si="26"/>
        <v>135.76797998771184</v>
      </c>
      <c r="W37" s="288">
        <f t="shared" si="27"/>
        <v>126.82746328008787</v>
      </c>
      <c r="X37" s="289">
        <f t="shared" si="28"/>
        <v>142.21221065663525</v>
      </c>
      <c r="Y37" s="288">
        <f t="shared" si="29"/>
        <v>131.3206868007004</v>
      </c>
      <c r="Z37" s="389">
        <v>56.4</v>
      </c>
      <c r="AA37" s="388">
        <f t="shared" si="30"/>
        <v>1236.1000000000001</v>
      </c>
      <c r="AB37" s="391">
        <f t="shared" si="2"/>
        <v>1.4159114302211735</v>
      </c>
      <c r="AC37" s="391">
        <f t="shared" si="3"/>
        <v>1.4292850221660014</v>
      </c>
      <c r="AD37" s="386">
        <f t="shared" si="4"/>
        <v>1.4831177027453455</v>
      </c>
      <c r="AE37" s="391">
        <f t="shared" si="5"/>
        <v>1.4799215082484583</v>
      </c>
      <c r="AF37" s="390">
        <f>'29'!I46</f>
        <v>36792.520000001452</v>
      </c>
      <c r="AG37" s="388">
        <f t="shared" si="31"/>
        <v>815447.86000000103</v>
      </c>
      <c r="AH37" s="391">
        <f t="shared" si="6"/>
        <v>923.66931940856716</v>
      </c>
      <c r="AI37" s="391">
        <f t="shared" si="7"/>
        <v>942.89087667285798</v>
      </c>
      <c r="AJ37" s="391">
        <f t="shared" si="8"/>
        <v>967.51130745770092</v>
      </c>
      <c r="AK37" s="391">
        <f t="shared" si="9"/>
        <v>976.2954670893771</v>
      </c>
      <c r="AL37" s="446">
        <v>5692.7</v>
      </c>
      <c r="AM37" s="447">
        <v>5286.6</v>
      </c>
      <c r="AN37" s="447">
        <v>3959.7</v>
      </c>
      <c r="AO37" s="447">
        <f t="shared" si="40"/>
        <v>14939</v>
      </c>
      <c r="AP37" s="597">
        <f>+[1]Mar!N32</f>
        <v>14192</v>
      </c>
      <c r="AQ37" s="479">
        <f t="shared" si="10"/>
        <v>-747</v>
      </c>
      <c r="AR37" s="450">
        <f t="shared" si="11"/>
        <v>0.38106298949059508</v>
      </c>
      <c r="AS37" s="450">
        <f t="shared" si="12"/>
        <v>0.35387910837405451</v>
      </c>
      <c r="AT37" s="450">
        <f t="shared" si="33"/>
        <v>0.26505790213535046</v>
      </c>
      <c r="AU37" s="450">
        <f t="shared" si="34"/>
        <v>-284.65405314947452</v>
      </c>
      <c r="AV37" s="450">
        <f t="shared" si="35"/>
        <v>-264.34769395541872</v>
      </c>
      <c r="AW37" s="450">
        <f t="shared" si="39"/>
        <v>-197.99825289510679</v>
      </c>
      <c r="AX37" s="576">
        <f t="shared" si="41"/>
        <v>5408.0459468505251</v>
      </c>
      <c r="AY37" s="576">
        <f t="shared" si="42"/>
        <v>5022.2523060445819</v>
      </c>
      <c r="AZ37" s="576">
        <f t="shared" si="43"/>
        <v>3761.701747104893</v>
      </c>
      <c r="BA37" s="386">
        <f>+Efficiency2!K147</f>
        <v>46.067317920000001</v>
      </c>
      <c r="BB37" s="387">
        <f t="shared" si="36"/>
        <v>993.58840251713752</v>
      </c>
      <c r="BC37" s="412">
        <f t="shared" si="37"/>
        <v>0.82548760633382234</v>
      </c>
      <c r="BD37" s="412">
        <f t="shared" si="38"/>
        <v>0.84063682495085645</v>
      </c>
    </row>
    <row r="38" spans="1:56" s="392" customFormat="1" ht="12.75" customHeight="1">
      <c r="A38" s="406">
        <f t="shared" si="16"/>
        <v>46111</v>
      </c>
      <c r="B38" s="415" t="s">
        <v>548</v>
      </c>
      <c r="C38" s="410" t="s">
        <v>550</v>
      </c>
      <c r="D38" s="385">
        <f>+'30'!F42</f>
        <v>1189.5416666666667</v>
      </c>
      <c r="E38" s="385">
        <f>+'30'!G42</f>
        <v>910.72118055555552</v>
      </c>
      <c r="F38" s="45">
        <f t="shared" si="0"/>
        <v>0.23439320700082911</v>
      </c>
      <c r="G38" s="411">
        <f t="shared" si="17"/>
        <v>0.92745755677286834</v>
      </c>
      <c r="H38" s="407">
        <f t="shared" si="18"/>
        <v>0.8905606586668865</v>
      </c>
      <c r="I38" s="407">
        <f t="shared" si="19"/>
        <v>0.92521587578230213</v>
      </c>
      <c r="J38" s="412">
        <f t="shared" si="20"/>
        <v>0.82396085974574729</v>
      </c>
      <c r="K38" s="412">
        <f t="shared" si="21"/>
        <v>0.63531988571789788</v>
      </c>
      <c r="L38" s="386">
        <f>+SUM(Efficiency1!K151:K152)</f>
        <v>42.522650906999999</v>
      </c>
      <c r="M38" s="387">
        <f t="shared" si="22"/>
        <v>1369.8359197691377</v>
      </c>
      <c r="N38" s="386">
        <f>+SUM(Efficiency1!C151:C152)</f>
        <v>40.83097897413974</v>
      </c>
      <c r="O38" s="387">
        <f t="shared" si="22"/>
        <v>1329.7257976209094</v>
      </c>
      <c r="P38" s="387">
        <f>'30'!I38</f>
        <v>37.869</v>
      </c>
      <c r="Q38" s="387">
        <f t="shared" si="23"/>
        <v>902.70699999999988</v>
      </c>
      <c r="R38" s="387">
        <f>'30'!I40</f>
        <v>35.036999999999999</v>
      </c>
      <c r="S38" s="387">
        <f t="shared" si="24"/>
        <v>870.28400000000011</v>
      </c>
      <c r="T38" s="94">
        <f t="shared" si="1"/>
        <v>5181.0148823437739</v>
      </c>
      <c r="U38" s="12">
        <f t="shared" si="25"/>
        <v>114866.22457056839</v>
      </c>
      <c r="V38" s="288">
        <f t="shared" si="26"/>
        <v>136.81414566911653</v>
      </c>
      <c r="W38" s="288">
        <f t="shared" si="27"/>
        <v>127.24640948897971</v>
      </c>
      <c r="X38" s="289">
        <f t="shared" si="28"/>
        <v>147.87267409720505</v>
      </c>
      <c r="Y38" s="288">
        <f t="shared" si="29"/>
        <v>131.98705775421399</v>
      </c>
      <c r="Z38" s="389">
        <v>55.4</v>
      </c>
      <c r="AA38" s="388">
        <f t="shared" si="30"/>
        <v>1291.5000000000002</v>
      </c>
      <c r="AB38" s="391">
        <f t="shared" si="2"/>
        <v>1.4629380231851909</v>
      </c>
      <c r="AC38" s="391">
        <f t="shared" si="3"/>
        <v>1.4306967820123255</v>
      </c>
      <c r="AD38" s="386">
        <f t="shared" si="4"/>
        <v>1.5811856037902789</v>
      </c>
      <c r="AE38" s="391">
        <f t="shared" si="5"/>
        <v>1.483998326982916</v>
      </c>
      <c r="AF38" s="390">
        <f>'30'!I46</f>
        <v>37779.079999998547</v>
      </c>
      <c r="AG38" s="388">
        <f t="shared" si="31"/>
        <v>853226.93999999959</v>
      </c>
      <c r="AH38" s="391">
        <f t="shared" si="6"/>
        <v>997.62549842875558</v>
      </c>
      <c r="AI38" s="391">
        <f t="shared" si="7"/>
        <v>945.18702081627782</v>
      </c>
      <c r="AJ38" s="391">
        <f t="shared" si="8"/>
        <v>1078.2624083111725</v>
      </c>
      <c r="AK38" s="391">
        <f t="shared" si="9"/>
        <v>980.4005818790182</v>
      </c>
      <c r="AL38" s="446">
        <v>5380.1</v>
      </c>
      <c r="AM38" s="447">
        <v>4883.3</v>
      </c>
      <c r="AN38" s="447">
        <v>3854</v>
      </c>
      <c r="AO38" s="447">
        <f t="shared" si="40"/>
        <v>14117.400000000001</v>
      </c>
      <c r="AP38" s="597">
        <f>+[1]Mar!N33</f>
        <v>13595</v>
      </c>
      <c r="AQ38" s="479">
        <f t="shared" si="10"/>
        <v>-522.40000000000146</v>
      </c>
      <c r="AR38" s="450">
        <f t="shared" ref="AR38:AR39" si="44">+AL38/AO38</f>
        <v>0.38109708586566932</v>
      </c>
      <c r="AS38" s="450">
        <f t="shared" ref="AS38:AS39" si="45">+AM38/AO38</f>
        <v>0.34590647002989217</v>
      </c>
      <c r="AT38" s="450">
        <f t="shared" ref="AT38:AT39" si="46">1-AR38-AS38</f>
        <v>0.27299644410443857</v>
      </c>
      <c r="AU38" s="450">
        <f t="shared" ref="AU38:AU39" si="47">+AR38*AQ38</f>
        <v>-199.0851176562262</v>
      </c>
      <c r="AV38" s="450">
        <f t="shared" ref="AV38:AV39" si="48">+AS38*AQ38</f>
        <v>-180.70153994361618</v>
      </c>
      <c r="AW38" s="450">
        <f t="shared" ref="AW38:AW39" si="49">+AT38*AQ38</f>
        <v>-142.6133424001591</v>
      </c>
      <c r="AX38" s="576">
        <f t="shared" si="41"/>
        <v>5181.0148823437739</v>
      </c>
      <c r="AY38" s="576">
        <f t="shared" si="42"/>
        <v>4702.5984600563843</v>
      </c>
      <c r="AZ38" s="576">
        <f t="shared" si="43"/>
        <v>3711.3866575998409</v>
      </c>
      <c r="BA38" s="386">
        <f>+SUM(Efficiency2!K151:K152)</f>
        <v>42.522650906999999</v>
      </c>
      <c r="BB38" s="387">
        <f t="shared" si="36"/>
        <v>1036.1110534241375</v>
      </c>
      <c r="BC38" s="412">
        <f t="shared" si="37"/>
        <v>0.82396085974574729</v>
      </c>
      <c r="BD38" s="412">
        <f t="shared" si="38"/>
        <v>0.83995243282453891</v>
      </c>
    </row>
    <row r="39" spans="1:56" s="392" customFormat="1" ht="12.75" customHeight="1">
      <c r="A39" s="406">
        <f>A38+1</f>
        <v>46112</v>
      </c>
      <c r="B39" s="415" t="s">
        <v>7</v>
      </c>
      <c r="C39" s="410" t="s">
        <v>791</v>
      </c>
      <c r="D39" s="385">
        <f>+'31'!F42</f>
        <v>1208.2492581602373</v>
      </c>
      <c r="E39" s="385">
        <f>+'31'!G42</f>
        <v>918.26943620178042</v>
      </c>
      <c r="F39" s="45">
        <f t="shared" si="0"/>
        <v>0.24</v>
      </c>
      <c r="G39" s="411">
        <f t="shared" si="17"/>
        <v>0.89598359392790428</v>
      </c>
      <c r="H39" s="407">
        <f t="shared" si="18"/>
        <v>0.88013944120905185</v>
      </c>
      <c r="I39" s="407">
        <f t="shared" si="19"/>
        <v>0.99274322609127519</v>
      </c>
      <c r="J39" s="412">
        <f t="shared" si="20"/>
        <v>0.87375246827604636</v>
      </c>
      <c r="K39" s="412">
        <f t="shared" si="21"/>
        <v>0.6422780569348121</v>
      </c>
      <c r="L39" s="386">
        <f>+Efficiency1!K155</f>
        <v>41.177566079999998</v>
      </c>
      <c r="M39" s="387">
        <f>M38+L39</f>
        <v>1411.0134858491376</v>
      </c>
      <c r="N39" s="386">
        <f>+Efficiency1!C155</f>
        <v>40.449401356913945</v>
      </c>
      <c r="O39" s="387">
        <f>O38+N39</f>
        <v>1370.1751989778234</v>
      </c>
      <c r="P39" s="387">
        <f>'31'!I38</f>
        <v>36.242000000000004</v>
      </c>
      <c r="Q39" s="387">
        <f>Q38+P39</f>
        <v>938.94899999999984</v>
      </c>
      <c r="R39" s="387">
        <f>'31'!I40</f>
        <v>35.978999999999999</v>
      </c>
      <c r="S39" s="387">
        <f>S38+R39</f>
        <v>906.26300000000015</v>
      </c>
      <c r="T39" s="94">
        <f t="shared" si="1"/>
        <v>4831.2756456073839</v>
      </c>
      <c r="U39" s="12">
        <f>T39+U38</f>
        <v>119697.50021617577</v>
      </c>
      <c r="V39" s="288">
        <f t="shared" si="26"/>
        <v>133.30598878669454</v>
      </c>
      <c r="W39" s="288">
        <f t="shared" si="27"/>
        <v>127.48030001222196</v>
      </c>
      <c r="X39" s="289">
        <f t="shared" si="28"/>
        <v>134.28043151859094</v>
      </c>
      <c r="Y39" s="288">
        <f t="shared" si="29"/>
        <v>132.078105600886</v>
      </c>
      <c r="Z39" s="389">
        <v>53.7</v>
      </c>
      <c r="AA39" s="388">
        <f>Z39+AA38</f>
        <v>1345.2000000000003</v>
      </c>
      <c r="AB39" s="391">
        <f t="shared" si="2"/>
        <v>1.4817063075989183</v>
      </c>
      <c r="AC39" s="391">
        <f t="shared" si="3"/>
        <v>1.432665671937454</v>
      </c>
      <c r="AD39" s="386">
        <f t="shared" si="4"/>
        <v>1.4925373134328359</v>
      </c>
      <c r="AE39" s="391">
        <f t="shared" si="5"/>
        <v>1.4843373281266035</v>
      </c>
      <c r="AF39" s="390">
        <f>'31'!I46</f>
        <v>36227.800000000003</v>
      </c>
      <c r="AG39" s="388">
        <f>AF39+AG38</f>
        <v>889454.73999999964</v>
      </c>
      <c r="AH39" s="391">
        <f t="shared" si="6"/>
        <v>999.60818939352123</v>
      </c>
      <c r="AI39" s="391">
        <f t="shared" si="7"/>
        <v>947.2875949598963</v>
      </c>
      <c r="AJ39" s="391">
        <f t="shared" si="8"/>
        <v>1006.9151449456629</v>
      </c>
      <c r="AK39" s="391">
        <f t="shared" si="9"/>
        <v>981.45322053311179</v>
      </c>
      <c r="AL39" s="446">
        <v>4936.2</v>
      </c>
      <c r="AM39" s="447">
        <v>3974.2</v>
      </c>
      <c r="AN39" s="447">
        <v>3961.2</v>
      </c>
      <c r="AO39" s="447">
        <f t="shared" si="40"/>
        <v>12871.599999999999</v>
      </c>
      <c r="AP39" s="597">
        <f>+[1]Mar!N34</f>
        <v>12598</v>
      </c>
      <c r="AQ39" s="479">
        <f t="shared" si="10"/>
        <v>-273.59999999999854</v>
      </c>
      <c r="AR39" s="450">
        <f t="shared" si="44"/>
        <v>0.38349544734143387</v>
      </c>
      <c r="AS39" s="450">
        <f t="shared" si="45"/>
        <v>0.30875726405419684</v>
      </c>
      <c r="AT39" s="450">
        <f t="shared" si="46"/>
        <v>0.30774728860436934</v>
      </c>
      <c r="AU39" s="450">
        <f t="shared" si="47"/>
        <v>-104.92435439261575</v>
      </c>
      <c r="AV39" s="450">
        <f t="shared" si="48"/>
        <v>-84.475987445227801</v>
      </c>
      <c r="AW39" s="450">
        <f t="shared" si="49"/>
        <v>-84.199658162155004</v>
      </c>
      <c r="AX39" s="576">
        <f t="shared" si="41"/>
        <v>4831.2756456073839</v>
      </c>
      <c r="AY39" s="576">
        <f t="shared" si="42"/>
        <v>3889.7240125547719</v>
      </c>
      <c r="AZ39" s="576">
        <f t="shared" si="43"/>
        <v>3877.0003418378446</v>
      </c>
      <c r="BA39" s="386">
        <f>+Efficiency2!K155</f>
        <v>41.177566079999998</v>
      </c>
      <c r="BB39" s="387">
        <f>BB38+BA39</f>
        <v>1077.2886195041374</v>
      </c>
      <c r="BC39" s="412">
        <f t="shared" si="37"/>
        <v>0.87375246827604636</v>
      </c>
      <c r="BD39" s="412">
        <f t="shared" si="38"/>
        <v>0.84124438297430615</v>
      </c>
    </row>
    <row r="40" spans="1:56" s="392" customFormat="1" ht="12.75" customHeight="1" thickBot="1">
      <c r="A40" s="406"/>
      <c r="B40" s="394"/>
      <c r="C40" s="394"/>
      <c r="D40" s="394"/>
      <c r="E40" s="394"/>
      <c r="F40" s="408"/>
      <c r="G40" s="411"/>
      <c r="H40" s="407"/>
      <c r="I40" s="407"/>
      <c r="J40" s="412"/>
      <c r="K40" s="418"/>
      <c r="L40" s="395"/>
      <c r="M40" s="396"/>
      <c r="N40" s="396"/>
      <c r="O40" s="396"/>
      <c r="P40" s="396"/>
      <c r="Q40" s="396"/>
      <c r="R40" s="396"/>
      <c r="S40" s="396"/>
      <c r="T40" s="291"/>
      <c r="U40" s="290"/>
      <c r="V40" s="292"/>
      <c r="W40" s="292"/>
      <c r="X40" s="289"/>
      <c r="Y40" s="292"/>
      <c r="Z40" s="397"/>
      <c r="AA40" s="397"/>
      <c r="AB40" s="398"/>
      <c r="AC40" s="398"/>
      <c r="AD40" s="395"/>
      <c r="AE40" s="398"/>
      <c r="AF40" s="397"/>
      <c r="AG40" s="397"/>
      <c r="AH40" s="398"/>
      <c r="AI40" s="398"/>
      <c r="AJ40" s="398"/>
      <c r="AK40" s="398"/>
      <c r="AP40" s="449"/>
      <c r="AQ40" s="480"/>
      <c r="AX40" s="450"/>
      <c r="AY40" s="450"/>
      <c r="AZ40" s="450"/>
      <c r="BA40" s="395"/>
      <c r="BB40" s="396"/>
      <c r="BC40" s="412"/>
      <c r="BD40" s="418"/>
    </row>
    <row r="41" spans="1:56" s="392" customFormat="1" ht="12.75" customHeight="1" thickTop="1" thickBot="1">
      <c r="A41" s="399"/>
      <c r="B41" s="400"/>
      <c r="C41" s="400"/>
      <c r="D41" s="400"/>
      <c r="E41" s="400"/>
      <c r="F41" s="409"/>
      <c r="G41" s="411">
        <f t="shared" si="17"/>
        <v>0.68527659871560487</v>
      </c>
      <c r="H41" s="407">
        <f t="shared" si="18"/>
        <v>0.66544296664531677</v>
      </c>
      <c r="I41" s="407">
        <f t="shared" si="19"/>
        <v>0.96518873762046742</v>
      </c>
      <c r="J41" s="412">
        <f t="shared" si="20"/>
        <v>0.6422780569348121</v>
      </c>
      <c r="K41" s="418"/>
      <c r="L41" s="401">
        <f>SUM(L9:L39)</f>
        <v>1411.0134858491376</v>
      </c>
      <c r="M41" s="402"/>
      <c r="N41" s="401">
        <f>SUM(N9:N39)</f>
        <v>1370.1751989778234</v>
      </c>
      <c r="O41" s="402"/>
      <c r="P41" s="401">
        <f>SUM(P9:P39)</f>
        <v>938.94899999999984</v>
      </c>
      <c r="Q41" s="402"/>
      <c r="R41" s="401">
        <f>SUM(R9:R39)</f>
        <v>906.26300000000015</v>
      </c>
      <c r="S41" s="402"/>
      <c r="T41" s="293">
        <f>SUM(T9:T39)</f>
        <v>119697.50021617577</v>
      </c>
      <c r="U41" s="293"/>
      <c r="V41" s="294">
        <f>T41/P41</f>
        <v>127.48030001222196</v>
      </c>
      <c r="W41" s="294"/>
      <c r="X41" s="289">
        <f>IF(AND(R41&gt;0,T41&gt;0),(T41/(R41*1000))*1000,0)</f>
        <v>132.078105600886</v>
      </c>
      <c r="Y41" s="294"/>
      <c r="Z41" s="403">
        <f>SUM(Z9:Z40)</f>
        <v>1345.2000000000003</v>
      </c>
      <c r="AA41" s="403"/>
      <c r="AB41" s="404">
        <f>Z41/P41</f>
        <v>1.432665671937454</v>
      </c>
      <c r="AC41" s="404"/>
      <c r="AD41" s="405">
        <f>Z41/R41</f>
        <v>1.4843373281266035</v>
      </c>
      <c r="AE41" s="404"/>
      <c r="AF41" s="403">
        <f>SUM(AF9:AF39)</f>
        <v>889454.73999999964</v>
      </c>
      <c r="AG41" s="403"/>
      <c r="AH41" s="404">
        <f>AF41/P41</f>
        <v>947.28759495989641</v>
      </c>
      <c r="AI41" s="404"/>
      <c r="AJ41" s="404">
        <f>AF41/R41</f>
        <v>981.45322053311179</v>
      </c>
      <c r="AK41" s="404"/>
      <c r="AP41" s="449">
        <f>SUM(AP9:AP40)</f>
        <v>376688</v>
      </c>
      <c r="AQ41" s="480"/>
      <c r="AX41" s="450">
        <f>SUM(AX9:AX39)</f>
        <v>119697.50021617577</v>
      </c>
      <c r="AY41" s="450">
        <f>SUM(AY9:AY39)</f>
        <v>142841.61691728342</v>
      </c>
      <c r="AZ41" s="450">
        <f>SUM(AZ9:AZ39)</f>
        <v>114148.88286654081</v>
      </c>
      <c r="BA41" s="401">
        <f>SUM(BA9:BA39)</f>
        <v>1077.2886195041374</v>
      </c>
      <c r="BB41" s="402"/>
      <c r="BC41" s="412">
        <f t="shared" si="37"/>
        <v>0.84124438297430615</v>
      </c>
      <c r="BD41" s="418"/>
    </row>
    <row r="42" spans="1:56" ht="12.75" customHeight="1" thickTop="1">
      <c r="S42" s="277"/>
      <c r="T42" s="277"/>
      <c r="U42" s="277"/>
      <c r="V42" s="277"/>
      <c r="W42" s="277"/>
      <c r="X42" s="277"/>
      <c r="Y42" s="277"/>
      <c r="Z42" s="277"/>
      <c r="AA42" s="277"/>
      <c r="AD42" s="277"/>
      <c r="AF42" s="277"/>
      <c r="AG42" s="277"/>
      <c r="AP42" s="448">
        <f>+AP41-[1]Mar!$N$38</f>
        <v>0</v>
      </c>
    </row>
    <row r="43" spans="1:56" ht="12.75" customHeight="1">
      <c r="S43" s="277"/>
      <c r="T43" s="277"/>
      <c r="U43" s="277"/>
      <c r="V43" s="277"/>
      <c r="W43" s="277"/>
      <c r="X43" s="277"/>
      <c r="Y43" s="277"/>
      <c r="Z43" s="277"/>
      <c r="AA43" s="277"/>
      <c r="AD43" s="277"/>
      <c r="AF43" s="277"/>
      <c r="AG43" s="277"/>
      <c r="AY43" s="3">
        <f>SUM(AX41:AZ41)</f>
        <v>376688</v>
      </c>
    </row>
    <row r="44" spans="1:56">
      <c r="S44" s="277"/>
      <c r="T44" s="277"/>
      <c r="U44" s="277"/>
      <c r="V44" s="277"/>
      <c r="W44" s="277"/>
      <c r="X44" s="277"/>
      <c r="Y44" s="277"/>
      <c r="Z44" s="277"/>
      <c r="AA44" s="277"/>
      <c r="AD44" s="277"/>
      <c r="AF44" s="277"/>
      <c r="AG44" s="277"/>
    </row>
    <row r="45" spans="1:56">
      <c r="R45" s="295"/>
      <c r="S45" s="296"/>
      <c r="T45" s="296"/>
      <c r="U45" s="296"/>
      <c r="V45" s="296"/>
      <c r="W45" s="296"/>
      <c r="X45" s="296"/>
      <c r="Y45" s="296"/>
    </row>
    <row r="46" spans="1:56">
      <c r="R46" s="297"/>
    </row>
    <row r="47" spans="1:56">
      <c r="R47" s="297"/>
    </row>
    <row r="48" spans="1:56">
      <c r="R48" s="297"/>
    </row>
    <row r="49" spans="18:56">
      <c r="R49" s="297"/>
      <c r="BC49"/>
      <c r="BD49"/>
    </row>
    <row r="50" spans="18:56">
      <c r="R50" s="297"/>
      <c r="BC50"/>
      <c r="BD50"/>
    </row>
    <row r="51" spans="18:56">
      <c r="R51" s="297"/>
      <c r="BC51"/>
      <c r="BD51"/>
    </row>
    <row r="52" spans="18:56">
      <c r="R52" s="297"/>
      <c r="BC52"/>
      <c r="BD52"/>
    </row>
    <row r="53" spans="18:56">
      <c r="R53" s="297"/>
      <c r="BC53"/>
      <c r="BD53"/>
    </row>
    <row r="54" spans="18:56">
      <c r="R54" s="297"/>
      <c r="BC54"/>
      <c r="BD54"/>
    </row>
    <row r="55" spans="18:56">
      <c r="R55" s="297"/>
      <c r="BC55"/>
      <c r="BD55"/>
    </row>
    <row r="56" spans="18:56">
      <c r="R56" s="297"/>
      <c r="BC56"/>
      <c r="BD56"/>
    </row>
    <row r="57" spans="18:56">
      <c r="R57" s="297"/>
      <c r="BC57"/>
      <c r="BD57"/>
    </row>
    <row r="58" spans="18:56">
      <c r="R58" s="297"/>
      <c r="BC58"/>
      <c r="BD58"/>
    </row>
    <row r="59" spans="18:56">
      <c r="R59" s="297"/>
      <c r="BC59"/>
      <c r="BD59"/>
    </row>
    <row r="60" spans="18:56">
      <c r="BC60"/>
      <c r="BD60"/>
    </row>
    <row r="65536" spans="3:54">
      <c r="C65536" s="298"/>
      <c r="BA65536"/>
      <c r="BB65536"/>
    </row>
  </sheetData>
  <mergeCells count="34">
    <mergeCell ref="AL7:AN7"/>
    <mergeCell ref="AO7:AO8"/>
    <mergeCell ref="F6:F8"/>
    <mergeCell ref="G6:G8"/>
    <mergeCell ref="BA6:BB7"/>
    <mergeCell ref="BC6:BD7"/>
    <mergeCell ref="N6:O7"/>
    <mergeCell ref="Z7:AA7"/>
    <mergeCell ref="AB7:AC7"/>
    <mergeCell ref="AD7:AE7"/>
    <mergeCell ref="Z6:AE6"/>
    <mergeCell ref="P6:Q7"/>
    <mergeCell ref="R6:S7"/>
    <mergeCell ref="T6:Y6"/>
    <mergeCell ref="T7:U7"/>
    <mergeCell ref="V7:W7"/>
    <mergeCell ref="X7:Y7"/>
    <mergeCell ref="AF6:AK6"/>
    <mergeCell ref="AR7:AT7"/>
    <mergeCell ref="AU7:AW7"/>
    <mergeCell ref="AX7:AZ7"/>
    <mergeCell ref="A3:AK4"/>
    <mergeCell ref="AF7:AG7"/>
    <mergeCell ref="AH7:AI7"/>
    <mergeCell ref="AJ7:AK7"/>
    <mergeCell ref="D6:D8"/>
    <mergeCell ref="A6:A8"/>
    <mergeCell ref="B6:B8"/>
    <mergeCell ref="C6:C8"/>
    <mergeCell ref="J6:K7"/>
    <mergeCell ref="L6:M7"/>
    <mergeCell ref="H6:H8"/>
    <mergeCell ref="I6:I8"/>
    <mergeCell ref="E6:E8"/>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4" sqref="B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W44"/>
  <sheetViews>
    <sheetView zoomScaleNormal="100" workbookViewId="0">
      <pane xSplit="3" ySplit="6" topLeftCell="D7" activePane="bottomRight" state="frozen"/>
      <selection pane="topRight" activeCell="D1" sqref="D1"/>
      <selection pane="bottomLeft" activeCell="A7" sqref="A7"/>
      <selection pane="bottomRight" activeCell="J17" sqref="J17"/>
    </sheetView>
  </sheetViews>
  <sheetFormatPr defaultColWidth="9.140625" defaultRowHeight="12.75"/>
  <cols>
    <col min="1" max="3" width="10.85546875" customWidth="1"/>
    <col min="4" max="4" width="18.85546875" customWidth="1"/>
    <col min="5" max="5" width="12.85546875" customWidth="1"/>
    <col min="6" max="6" width="11.5703125" customWidth="1"/>
    <col min="7" max="7" width="12" customWidth="1"/>
    <col min="8" max="8" width="12.28515625" customWidth="1"/>
    <col min="9" max="9" width="13" customWidth="1"/>
    <col min="10" max="11" width="11" customWidth="1"/>
    <col min="12" max="12" width="13.5703125" customWidth="1"/>
    <col min="13" max="13" width="12.42578125" customWidth="1"/>
    <col min="14" max="15" width="13.140625" customWidth="1"/>
    <col min="16" max="16" width="16.28515625" bestFit="1" customWidth="1"/>
    <col min="17" max="18" width="10.85546875" bestFit="1" customWidth="1"/>
    <col min="21" max="21" width="39" bestFit="1" customWidth="1"/>
  </cols>
  <sheetData>
    <row r="2" spans="1:23" ht="24.75" customHeight="1">
      <c r="A2" s="620" t="s">
        <v>21</v>
      </c>
      <c r="B2" s="620"/>
      <c r="C2" s="620"/>
      <c r="D2" s="620"/>
      <c r="E2" s="620"/>
      <c r="F2" s="620"/>
      <c r="G2" s="620"/>
      <c r="H2" s="620"/>
      <c r="I2" s="620"/>
      <c r="J2" s="620"/>
      <c r="K2" s="620"/>
      <c r="L2" s="620"/>
      <c r="M2" s="620"/>
      <c r="N2" s="620"/>
      <c r="O2" s="620"/>
      <c r="P2" s="620"/>
      <c r="Q2" s="299"/>
      <c r="R2" s="299"/>
      <c r="S2" s="299"/>
      <c r="T2" s="299"/>
      <c r="U2" s="299"/>
    </row>
    <row r="3" spans="1:23" ht="12.75" customHeight="1">
      <c r="A3" s="299"/>
      <c r="B3" s="299"/>
      <c r="C3" s="299"/>
      <c r="D3" s="300"/>
      <c r="E3" s="301"/>
      <c r="F3" s="301"/>
      <c r="G3" s="301"/>
      <c r="H3" s="302"/>
      <c r="I3" s="301"/>
      <c r="J3" s="301"/>
      <c r="K3" s="301"/>
      <c r="L3" s="303"/>
      <c r="M3" s="301"/>
      <c r="N3" s="301"/>
      <c r="O3" s="301"/>
      <c r="P3" s="301"/>
      <c r="Q3" s="5"/>
      <c r="R3" s="5"/>
      <c r="S3" s="299"/>
      <c r="T3" s="299"/>
      <c r="U3" s="299"/>
    </row>
    <row r="4" spans="1:23">
      <c r="A4" s="628" t="s">
        <v>8</v>
      </c>
      <c r="B4" s="631" t="s">
        <v>22</v>
      </c>
      <c r="C4" s="631" t="s">
        <v>23</v>
      </c>
      <c r="D4" s="621"/>
      <c r="E4" s="621"/>
      <c r="F4" s="621"/>
      <c r="G4" s="621"/>
      <c r="H4" s="621"/>
      <c r="I4" s="621"/>
      <c r="J4" s="621"/>
      <c r="K4" s="621"/>
      <c r="L4" s="621"/>
      <c r="M4" s="621"/>
      <c r="N4" s="621"/>
      <c r="O4" s="621"/>
      <c r="P4" s="622" t="s">
        <v>184</v>
      </c>
      <c r="Q4" s="623"/>
      <c r="R4" s="624"/>
      <c r="U4" s="362" t="s">
        <v>0</v>
      </c>
    </row>
    <row r="5" spans="1:23" ht="14.25" customHeight="1">
      <c r="A5" s="629"/>
      <c r="B5" s="632"/>
      <c r="C5" s="632"/>
      <c r="D5" s="634" t="s">
        <v>302</v>
      </c>
      <c r="E5" s="635"/>
      <c r="F5" s="635"/>
      <c r="G5" s="636"/>
      <c r="H5" s="637" t="s">
        <v>303</v>
      </c>
      <c r="I5" s="638"/>
      <c r="J5" s="638"/>
      <c r="K5" s="639"/>
      <c r="L5" s="640" t="s">
        <v>302</v>
      </c>
      <c r="M5" s="641"/>
      <c r="N5" s="641"/>
      <c r="O5" s="642"/>
      <c r="P5" s="625"/>
      <c r="Q5" s="626"/>
      <c r="R5" s="627"/>
    </row>
    <row r="6" spans="1:23" ht="14.25" customHeight="1">
      <c r="A6" s="630"/>
      <c r="B6" s="633"/>
      <c r="C6" s="633"/>
      <c r="D6" s="505" t="s">
        <v>24</v>
      </c>
      <c r="E6" s="370" t="s">
        <v>25</v>
      </c>
      <c r="F6" s="371" t="s">
        <v>26</v>
      </c>
      <c r="G6" s="371" t="s">
        <v>27</v>
      </c>
      <c r="H6" s="506" t="s">
        <v>24</v>
      </c>
      <c r="I6" s="372" t="s">
        <v>25</v>
      </c>
      <c r="J6" s="373" t="s">
        <v>26</v>
      </c>
      <c r="K6" s="373" t="s">
        <v>27</v>
      </c>
      <c r="L6" s="507" t="s">
        <v>24</v>
      </c>
      <c r="M6" s="374" t="s">
        <v>25</v>
      </c>
      <c r="N6" s="375" t="s">
        <v>26</v>
      </c>
      <c r="O6" s="375" t="s">
        <v>27</v>
      </c>
      <c r="P6" s="376" t="s">
        <v>25</v>
      </c>
      <c r="Q6" s="377" t="s">
        <v>26</v>
      </c>
      <c r="R6" s="377" t="s">
        <v>27</v>
      </c>
      <c r="T6" s="362"/>
    </row>
    <row r="7" spans="1:23">
      <c r="A7" s="304">
        <v>46081</v>
      </c>
      <c r="B7" s="305">
        <v>0</v>
      </c>
      <c r="C7" s="305">
        <v>0</v>
      </c>
      <c r="D7" s="97"/>
      <c r="E7" s="97"/>
      <c r="F7" s="97"/>
      <c r="G7" s="97"/>
      <c r="H7" s="97"/>
      <c r="I7" s="97"/>
      <c r="J7" s="97"/>
      <c r="K7" s="97"/>
      <c r="L7" s="97"/>
      <c r="M7" s="97"/>
      <c r="N7" s="97"/>
      <c r="O7" s="97"/>
      <c r="P7" s="308"/>
      <c r="Q7" s="97"/>
      <c r="R7" s="97"/>
    </row>
    <row r="8" spans="1:23" ht="15">
      <c r="A8" s="304">
        <v>46082</v>
      </c>
      <c r="B8" s="305">
        <f>+Report1!P9</f>
        <v>36.384999999999998</v>
      </c>
      <c r="C8" s="305">
        <f>+Report1!R9</f>
        <v>36.905999999999999</v>
      </c>
      <c r="D8" s="312">
        <f t="shared" ref="D8" si="0">+D7+E8</f>
        <v>4500</v>
      </c>
      <c r="E8" s="312">
        <f>+[3]Dailymar!AH7</f>
        <v>4500</v>
      </c>
      <c r="F8" s="312">
        <f t="shared" ref="F8:F38" si="1">E8/B8</f>
        <v>123.67733956300674</v>
      </c>
      <c r="G8" s="312">
        <f t="shared" ref="G8:G38" si="2">E8/C8</f>
        <v>121.9313932693871</v>
      </c>
      <c r="H8" s="312">
        <f t="shared" ref="H8" si="3">+H7+I8</f>
        <v>7435.45</v>
      </c>
      <c r="I8" s="312">
        <f>+[3]Dailymar!AI7</f>
        <v>7435.45</v>
      </c>
      <c r="J8" s="312">
        <f t="shared" ref="J8:J38" si="4">I8/B8</f>
        <v>204.35481654527965</v>
      </c>
      <c r="K8" s="312">
        <f t="shared" ref="K8:K38" si="5">I8/C8</f>
        <v>201.46995068552539</v>
      </c>
      <c r="L8" s="312">
        <f t="shared" ref="L8" si="6">+L7+M8</f>
        <v>24595.45</v>
      </c>
      <c r="M8" s="312">
        <f>+[3]Dailymar!AJ7</f>
        <v>24595.45</v>
      </c>
      <c r="N8" s="312">
        <f t="shared" ref="N8:N38" si="7">M8/B8</f>
        <v>675.9777380788787</v>
      </c>
      <c r="O8" s="312">
        <f t="shared" ref="O8:O38" si="8">M8/C8</f>
        <v>666.43499701945484</v>
      </c>
      <c r="P8" s="312">
        <f t="shared" ref="P8" si="9">+E8+I8+M8</f>
        <v>36530.9</v>
      </c>
      <c r="Q8" s="6">
        <f t="shared" ref="Q8:Q38" si="10">P8/B8</f>
        <v>1004.0098941871652</v>
      </c>
      <c r="R8" s="310">
        <f t="shared" ref="R8:R38" si="11">P8/C8</f>
        <v>989.83634097436743</v>
      </c>
      <c r="V8" s="380" t="s">
        <v>169</v>
      </c>
      <c r="W8" s="380" t="s">
        <v>170</v>
      </c>
    </row>
    <row r="9" spans="1:23" ht="15">
      <c r="A9" s="304">
        <v>46083</v>
      </c>
      <c r="B9" s="305">
        <f>+Report1!P10</f>
        <v>46.337000000000003</v>
      </c>
      <c r="C9" s="305">
        <f>+Report1!R10</f>
        <v>48.463999999999999</v>
      </c>
      <c r="D9" s="312">
        <f t="shared" ref="D9" si="12">+D8+E9</f>
        <v>8800.0000000010914</v>
      </c>
      <c r="E9" s="312">
        <f>+[3]Dailymar!AH8</f>
        <v>4300.0000000010914</v>
      </c>
      <c r="F9" s="312">
        <f t="shared" ref="F9" si="13">E9/B9</f>
        <v>92.798411636512739</v>
      </c>
      <c r="G9" s="312">
        <f t="shared" ref="G9" si="14">E9/C9</f>
        <v>88.72565203039558</v>
      </c>
      <c r="H9" s="312">
        <f t="shared" ref="H9" si="15">+H8+I9</f>
        <v>13941.3</v>
      </c>
      <c r="I9" s="312">
        <f>+[3]Dailymar!AI8</f>
        <v>6505.85</v>
      </c>
      <c r="J9" s="312">
        <f t="shared" ref="J9" si="16">I9/B9</f>
        <v>140.40291775471005</v>
      </c>
      <c r="K9" s="312">
        <f t="shared" ref="K9" si="17">I9/C9</f>
        <v>134.2408798283262</v>
      </c>
      <c r="L9" s="312">
        <f t="shared" ref="L9" si="18">+L8+M9</f>
        <v>48261.3</v>
      </c>
      <c r="M9" s="312">
        <f>+[3]Dailymar!AJ8</f>
        <v>23665.85</v>
      </c>
      <c r="N9" s="312">
        <f t="shared" ref="N9" si="19">M9/B9</f>
        <v>510.73332326218781</v>
      </c>
      <c r="O9" s="312">
        <f t="shared" ref="O9" si="20">M9/C9</f>
        <v>488.31813304721027</v>
      </c>
      <c r="P9" s="312">
        <f t="shared" ref="P9" si="21">+E9+I9+M9</f>
        <v>34471.700000001088</v>
      </c>
      <c r="Q9" s="6">
        <f t="shared" ref="Q9" si="22">P9/B9</f>
        <v>743.93465265341058</v>
      </c>
      <c r="R9" s="310">
        <f t="shared" ref="R9" si="23">P9/C9</f>
        <v>711.284664905932</v>
      </c>
      <c r="V9" s="380" t="s">
        <v>169</v>
      </c>
      <c r="W9" s="380" t="s">
        <v>170</v>
      </c>
    </row>
    <row r="10" spans="1:23" ht="15">
      <c r="A10" s="304">
        <v>46084</v>
      </c>
      <c r="B10" s="305">
        <f>+Report1!P11</f>
        <v>46.03</v>
      </c>
      <c r="C10" s="305">
        <f>+Report1!R11</f>
        <v>40.542999999999999</v>
      </c>
      <c r="D10" s="312">
        <f t="shared" ref="D10" si="24">+D9+E10</f>
        <v>13100.000000000364</v>
      </c>
      <c r="E10" s="312">
        <f>+[3]Dailymar!AH9</f>
        <v>4299.9999999992724</v>
      </c>
      <c r="F10" s="312">
        <f t="shared" ref="F10" si="25">E10/B10</f>
        <v>93.417336519645275</v>
      </c>
      <c r="G10" s="312">
        <f t="shared" ref="G10" si="26">E10/C10</f>
        <v>106.0602323458864</v>
      </c>
      <c r="H10" s="312">
        <f t="shared" ref="H10" si="27">+H9+I10</f>
        <v>20189.79</v>
      </c>
      <c r="I10" s="312">
        <f>+[3]Dailymar!AI9</f>
        <v>6248.49</v>
      </c>
      <c r="J10" s="312">
        <f t="shared" ref="J10" si="28">I10/B10</f>
        <v>135.74820769063652</v>
      </c>
      <c r="K10" s="312">
        <f t="shared" ref="K10" si="29">I10/C10</f>
        <v>154.12007004908369</v>
      </c>
      <c r="L10" s="312">
        <f t="shared" ref="L10" si="30">+L9+M10</f>
        <v>71669.790000000008</v>
      </c>
      <c r="M10" s="312">
        <f>+[3]Dailymar!AJ9</f>
        <v>23408.49</v>
      </c>
      <c r="N10" s="312">
        <f t="shared" ref="N10" si="31">M10/B10</f>
        <v>508.54855529002828</v>
      </c>
      <c r="O10" s="312">
        <f t="shared" ref="O10" si="32">M10/C10</f>
        <v>577.37439262018108</v>
      </c>
      <c r="P10" s="312">
        <f t="shared" ref="P10" si="33">+E10+I10+M10</f>
        <v>33956.979999999276</v>
      </c>
      <c r="Q10" s="6">
        <f t="shared" ref="Q10" si="34">P10/B10</f>
        <v>737.71409950031011</v>
      </c>
      <c r="R10" s="310">
        <f t="shared" ref="R10" si="35">P10/C10</f>
        <v>837.5546950151512</v>
      </c>
      <c r="V10" s="380" t="s">
        <v>169</v>
      </c>
      <c r="W10" s="380" t="s">
        <v>170</v>
      </c>
    </row>
    <row r="11" spans="1:23" ht="15">
      <c r="A11" s="304">
        <v>46085</v>
      </c>
      <c r="B11" s="305">
        <f>+Report1!P12</f>
        <v>42.442999999999998</v>
      </c>
      <c r="C11" s="305">
        <f>+Report1!R12</f>
        <v>39.755000000000003</v>
      </c>
      <c r="D11" s="312">
        <f t="shared" ref="D11" si="36">+D10+E11</f>
        <v>17700.000000000728</v>
      </c>
      <c r="E11" s="312">
        <f>+[3]Dailymar!AH10</f>
        <v>4600.0000000003638</v>
      </c>
      <c r="F11" s="312">
        <f t="shared" ref="F11" si="37">E11/B11</f>
        <v>108.38065169757944</v>
      </c>
      <c r="G11" s="312">
        <f t="shared" ref="G11" si="38">E11/C11</f>
        <v>115.70871588480351</v>
      </c>
      <c r="H11" s="312">
        <f t="shared" ref="H11" si="39">+H10+I11</f>
        <v>28111.47</v>
      </c>
      <c r="I11" s="312">
        <f>+[3]Dailymar!AI10</f>
        <v>7921.68</v>
      </c>
      <c r="J11" s="312">
        <f t="shared" ref="J11" si="40">I11/B11</f>
        <v>186.64279150861157</v>
      </c>
      <c r="K11" s="312">
        <f t="shared" ref="K11" si="41">I11/C11</f>
        <v>199.26248270657777</v>
      </c>
      <c r="L11" s="312">
        <f t="shared" ref="L11" si="42">+L10+M11</f>
        <v>95751.47</v>
      </c>
      <c r="M11" s="312">
        <f>+[3]Dailymar!AJ10</f>
        <v>24081.68</v>
      </c>
      <c r="N11" s="312">
        <f t="shared" ref="N11" si="43">M11/B11</f>
        <v>567.3887331244257</v>
      </c>
      <c r="O11" s="312">
        <f t="shared" ref="O11" si="44">M11/C11</f>
        <v>605.75223242359448</v>
      </c>
      <c r="P11" s="312">
        <f t="shared" ref="P11" si="45">+E11+I11+M11</f>
        <v>36603.360000000364</v>
      </c>
      <c r="Q11" s="6">
        <f t="shared" ref="Q11" si="46">P11/B11</f>
        <v>862.41217633061672</v>
      </c>
      <c r="R11" s="310">
        <f t="shared" ref="R11" si="47">P11/C11</f>
        <v>920.72343101497574</v>
      </c>
      <c r="V11" s="380" t="s">
        <v>169</v>
      </c>
      <c r="W11" s="380" t="s">
        <v>170</v>
      </c>
    </row>
    <row r="12" spans="1:23" ht="15">
      <c r="A12" s="304">
        <v>46086</v>
      </c>
      <c r="B12" s="305">
        <f>+Report1!P13</f>
        <v>42.963000000000001</v>
      </c>
      <c r="C12" s="305">
        <f>+Report1!R13</f>
        <v>38.893000000000001</v>
      </c>
      <c r="D12" s="312">
        <f t="shared" ref="D12" si="48">+D11+E12</f>
        <v>22000</v>
      </c>
      <c r="E12" s="312">
        <f>+[3]Dailymar!AH11</f>
        <v>4299.9999999992724</v>
      </c>
      <c r="F12" s="312">
        <f t="shared" ref="F12" si="49">E12/B12</f>
        <v>100.08612061539633</v>
      </c>
      <c r="G12" s="312">
        <f t="shared" ref="G12" si="50">E12/C12</f>
        <v>110.55974082737954</v>
      </c>
      <c r="H12" s="312">
        <f t="shared" ref="H12" si="51">+H11+I12</f>
        <v>34680.18</v>
      </c>
      <c r="I12" s="312">
        <f>+[3]Dailymar!AI11</f>
        <v>6568.71</v>
      </c>
      <c r="J12" s="312">
        <f t="shared" ref="J12" si="52">I12/B12</f>
        <v>152.89225612736541</v>
      </c>
      <c r="K12" s="312">
        <f t="shared" ref="K12" si="53">I12/C12</f>
        <v>168.8918314349626</v>
      </c>
      <c r="L12" s="312">
        <f t="shared" ref="L12" si="54">+L11+M12</f>
        <v>119480.18</v>
      </c>
      <c r="M12" s="312">
        <f>+[3]Dailymar!AJ11</f>
        <v>23728.71</v>
      </c>
      <c r="N12" s="312">
        <f t="shared" ref="N12" si="55">M12/B12</f>
        <v>552.3057049088751</v>
      </c>
      <c r="O12" s="312">
        <f t="shared" ref="O12" si="56">M12/C12</f>
        <v>610.10233203918438</v>
      </c>
      <c r="P12" s="312">
        <f t="shared" ref="P12" si="57">+E12+I12+M12</f>
        <v>34597.419999999271</v>
      </c>
      <c r="Q12" s="6">
        <f t="shared" ref="Q12" si="58">P12/B12</f>
        <v>805.28408165163671</v>
      </c>
      <c r="R12" s="310">
        <f t="shared" ref="R12" si="59">P12/C12</f>
        <v>889.55390430152647</v>
      </c>
      <c r="V12" s="380" t="s">
        <v>169</v>
      </c>
      <c r="W12" s="380" t="s">
        <v>170</v>
      </c>
    </row>
    <row r="13" spans="1:23" ht="15">
      <c r="A13" s="304">
        <v>46087</v>
      </c>
      <c r="B13" s="305">
        <f>+Report1!P14</f>
        <v>28.506999999999998</v>
      </c>
      <c r="C13" s="305">
        <f>+Report1!R14</f>
        <v>28.2</v>
      </c>
      <c r="D13" s="312">
        <f t="shared" ref="D13" si="60">+D12+E13</f>
        <v>25200.000000000728</v>
      </c>
      <c r="E13" s="312">
        <f>+[3]Dailymar!AH12</f>
        <v>3200.0000000007276</v>
      </c>
      <c r="F13" s="312">
        <f t="shared" ref="F13" si="61">E13/B13</f>
        <v>112.25313081000203</v>
      </c>
      <c r="G13" s="312">
        <f t="shared" ref="G13" si="62">E13/C13</f>
        <v>113.47517730499034</v>
      </c>
      <c r="H13" s="312">
        <f t="shared" ref="H13" si="63">+H12+I13</f>
        <v>39324.69</v>
      </c>
      <c r="I13" s="312">
        <f>+[3]Dailymar!AI12</f>
        <v>4644.51</v>
      </c>
      <c r="J13" s="312">
        <f t="shared" ref="J13" si="64">I13/B13</f>
        <v>162.92524643070126</v>
      </c>
      <c r="K13" s="312">
        <f t="shared" ref="K13" si="65">I13/C13</f>
        <v>164.69893617021279</v>
      </c>
      <c r="L13" s="312">
        <f t="shared" ref="L13" si="66">+L12+M13</f>
        <v>136284.69</v>
      </c>
      <c r="M13" s="312">
        <f>+[3]Dailymar!AJ12</f>
        <v>16804.510000000002</v>
      </c>
      <c r="N13" s="312">
        <f t="shared" ref="N13" si="67">M13/B13</f>
        <v>589.48714350861201</v>
      </c>
      <c r="O13" s="312">
        <f t="shared" ref="O13" si="68">M13/C13</f>
        <v>595.90460992907811</v>
      </c>
      <c r="P13" s="312">
        <f t="shared" ref="P13" si="69">+E13+I13+M13</f>
        <v>24649.020000000732</v>
      </c>
      <c r="Q13" s="6">
        <f t="shared" ref="Q13" si="70">P13/B13</f>
        <v>864.66552074931542</v>
      </c>
      <c r="R13" s="310">
        <f t="shared" ref="R13" si="71">P13/C13</f>
        <v>874.07872340428128</v>
      </c>
      <c r="V13" s="380" t="s">
        <v>169</v>
      </c>
      <c r="W13" s="380" t="s">
        <v>170</v>
      </c>
    </row>
    <row r="14" spans="1:23" ht="15">
      <c r="A14" s="304">
        <v>46088</v>
      </c>
      <c r="B14" s="305">
        <f>+Report1!P15</f>
        <v>21.948</v>
      </c>
      <c r="C14" s="305">
        <f>+Report1!R15</f>
        <v>17.338999999999999</v>
      </c>
      <c r="D14" s="312">
        <f t="shared" ref="D14" si="72">+D13+E14</f>
        <v>28399.999999999636</v>
      </c>
      <c r="E14" s="312">
        <f>+[3]Dailymar!AH13</f>
        <v>3199.9999999989086</v>
      </c>
      <c r="F14" s="312">
        <f t="shared" ref="F14" si="73">E14/B14</f>
        <v>145.79916165477076</v>
      </c>
      <c r="G14" s="312">
        <f t="shared" ref="G14" si="74">E14/C14</f>
        <v>184.55504931073932</v>
      </c>
      <c r="H14" s="312">
        <f t="shared" ref="H14" si="75">+H13+I14</f>
        <v>43904.200000000004</v>
      </c>
      <c r="I14" s="312">
        <f>+[3]Dailymar!AI13</f>
        <v>4579.51</v>
      </c>
      <c r="J14" s="312">
        <f t="shared" ref="J14" si="76">I14/B14</f>
        <v>208.65272462183344</v>
      </c>
      <c r="K14" s="312">
        <f t="shared" ref="K14" si="77">I14/C14</f>
        <v>264.11615433416</v>
      </c>
      <c r="L14" s="312">
        <f t="shared" ref="L14" si="78">+L13+M14</f>
        <v>153024.20000000001</v>
      </c>
      <c r="M14" s="312">
        <f>+[3]Dailymar!AJ13</f>
        <v>16739.510000000002</v>
      </c>
      <c r="N14" s="312">
        <f t="shared" ref="N14" si="79">M14/B14</f>
        <v>762.68953891015133</v>
      </c>
      <c r="O14" s="312">
        <f t="shared" ref="O14" si="80">M14/C14</f>
        <v>965.42534171520867</v>
      </c>
      <c r="P14" s="312">
        <f t="shared" ref="P14" si="81">+E14+I14+M14</f>
        <v>24519.019999998913</v>
      </c>
      <c r="Q14" s="6">
        <f t="shared" ref="Q14" si="82">P14/B14</f>
        <v>1117.1414251867557</v>
      </c>
      <c r="R14" s="310">
        <f t="shared" ref="R14" si="83">P14/C14</f>
        <v>1414.0965453601082</v>
      </c>
      <c r="V14" s="380" t="s">
        <v>169</v>
      </c>
      <c r="W14" s="380" t="s">
        <v>170</v>
      </c>
    </row>
    <row r="15" spans="1:23" ht="15">
      <c r="A15" s="304">
        <v>46089</v>
      </c>
      <c r="B15" s="305">
        <f>+Report1!P16</f>
        <v>37.067</v>
      </c>
      <c r="C15" s="305">
        <f>+Report1!R16</f>
        <v>35.731999999999999</v>
      </c>
      <c r="D15" s="312">
        <f t="shared" ref="D15" si="84">+D14+E15</f>
        <v>33000</v>
      </c>
      <c r="E15" s="312">
        <f>+[3]Dailymar!AH14</f>
        <v>4600.0000000003638</v>
      </c>
      <c r="F15" s="312">
        <f t="shared" ref="F15" si="85">E15/B15</f>
        <v>124.09960342084236</v>
      </c>
      <c r="G15" s="312">
        <f t="shared" ref="G15" si="86">E15/C15</f>
        <v>128.73614687116211</v>
      </c>
      <c r="H15" s="312">
        <f t="shared" ref="H15" si="87">+H14+I15</f>
        <v>50727.430000000008</v>
      </c>
      <c r="I15" s="312">
        <f>+[3]Dailymar!AI14</f>
        <v>6823.23</v>
      </c>
      <c r="J15" s="312">
        <f t="shared" ref="J15" si="88">I15/B15</f>
        <v>184.07829066285373</v>
      </c>
      <c r="K15" s="312">
        <f t="shared" ref="K15" si="89">I15/C15</f>
        <v>190.95572595992388</v>
      </c>
      <c r="L15" s="312">
        <f t="shared" ref="L15" si="90">+L14+M15</f>
        <v>178007.43000000002</v>
      </c>
      <c r="M15" s="312">
        <f>+[3]Dailymar!AJ14</f>
        <v>24983.23</v>
      </c>
      <c r="N15" s="312">
        <f t="shared" ref="N15" si="91">M15/B15</f>
        <v>674.00194242857526</v>
      </c>
      <c r="O15" s="312">
        <f t="shared" ref="O15" si="92">M15/C15</f>
        <v>699.18364491212355</v>
      </c>
      <c r="P15" s="312">
        <f t="shared" ref="P15" si="93">+E15+I15+M15</f>
        <v>36406.460000000363</v>
      </c>
      <c r="Q15" s="6">
        <f t="shared" ref="Q15" si="94">P15/B15</f>
        <v>982.17983651227132</v>
      </c>
      <c r="R15" s="310">
        <f t="shared" ref="R15" si="95">P15/C15</f>
        <v>1018.8755177432096</v>
      </c>
      <c r="V15" s="380" t="s">
        <v>169</v>
      </c>
      <c r="W15" s="380" t="s">
        <v>170</v>
      </c>
    </row>
    <row r="16" spans="1:23" ht="15">
      <c r="A16" s="304">
        <v>46090</v>
      </c>
      <c r="B16" s="305">
        <f>+Report1!P17</f>
        <v>37.344999999999999</v>
      </c>
      <c r="C16" s="305">
        <f>+Report1!R17</f>
        <v>41.662999999999997</v>
      </c>
      <c r="D16" s="312">
        <f t="shared" ref="D16" si="96">+D15+E16</f>
        <v>37500</v>
      </c>
      <c r="E16" s="312">
        <f>+[3]Dailymar!AH15</f>
        <v>4500</v>
      </c>
      <c r="F16" s="312">
        <f t="shared" ref="F16" si="97">E16/B16</f>
        <v>120.49805864238854</v>
      </c>
      <c r="G16" s="312">
        <f t="shared" ref="G16" si="98">E16/C16</f>
        <v>108.00950483642562</v>
      </c>
      <c r="H16" s="312">
        <f t="shared" ref="H16" si="99">+H15+I16</f>
        <v>59269.98000000001</v>
      </c>
      <c r="I16" s="312">
        <f>+[3]Dailymar!AI15</f>
        <v>8542.5499999999993</v>
      </c>
      <c r="J16" s="312">
        <f t="shared" ref="J16" si="100">I16/B16</f>
        <v>228.74682019011914</v>
      </c>
      <c r="K16" s="312">
        <f t="shared" ref="K16" si="101">I16/C16</f>
        <v>205.03924345342389</v>
      </c>
      <c r="L16" s="312">
        <f t="shared" ref="L16" si="102">+L15+M16</f>
        <v>203709.98</v>
      </c>
      <c r="M16" s="312">
        <f>+[3]Dailymar!AJ15</f>
        <v>25702.55</v>
      </c>
      <c r="N16" s="312">
        <f t="shared" ref="N16" si="103">M16/B16</f>
        <v>688.24608381309417</v>
      </c>
      <c r="O16" s="312">
        <f t="shared" ref="O16" si="104">M16/C16</f>
        <v>616.91548856299357</v>
      </c>
      <c r="P16" s="312">
        <f t="shared" ref="P16" si="105">+E16+I16+M16</f>
        <v>38745.1</v>
      </c>
      <c r="Q16" s="6">
        <f t="shared" ref="Q16" si="106">P16/B16</f>
        <v>1037.4909626456017</v>
      </c>
      <c r="R16" s="310">
        <f t="shared" ref="R16" si="107">P16/C16</f>
        <v>929.9642368528431</v>
      </c>
      <c r="V16" s="380" t="s">
        <v>169</v>
      </c>
      <c r="W16" s="380" t="s">
        <v>170</v>
      </c>
    </row>
    <row r="17" spans="1:23" ht="15">
      <c r="A17" s="304">
        <v>46091</v>
      </c>
      <c r="B17" s="305">
        <f>+Report1!P18</f>
        <v>39.841999999999999</v>
      </c>
      <c r="C17" s="305">
        <f>+Report1!R18</f>
        <v>41.02</v>
      </c>
      <c r="D17" s="312">
        <f t="shared" ref="D17" si="108">+D16+E17</f>
        <v>41800.000000001091</v>
      </c>
      <c r="E17" s="312">
        <f>+[3]Dailymar!AH16</f>
        <v>4300.0000000010914</v>
      </c>
      <c r="F17" s="312">
        <f t="shared" ref="F17" si="109">E17/B17</f>
        <v>107.92630892026233</v>
      </c>
      <c r="G17" s="312">
        <f t="shared" ref="G17" si="110">E17/C17</f>
        <v>104.82691370066044</v>
      </c>
      <c r="H17" s="312">
        <f t="shared" ref="H17" si="111">+H16+I17</f>
        <v>66587.140000000014</v>
      </c>
      <c r="I17" s="312">
        <f>+[3]Dailymar!AI16</f>
        <v>7317.16</v>
      </c>
      <c r="J17" s="312">
        <f t="shared" ref="J17" si="112">I17/B17</f>
        <v>183.65443501832237</v>
      </c>
      <c r="K17" s="312">
        <f t="shared" ref="K17" si="113">I17/C17</f>
        <v>178.38030229156507</v>
      </c>
      <c r="L17" s="312">
        <f t="shared" ref="L17" si="114">+L16+M17</f>
        <v>229187.14</v>
      </c>
      <c r="M17" s="312">
        <f>+[3]Dailymar!AJ16</f>
        <v>25477.16</v>
      </c>
      <c r="N17" s="312">
        <f t="shared" ref="N17" si="115">M17/B17</f>
        <v>639.45484664424475</v>
      </c>
      <c r="O17" s="312">
        <f t="shared" ref="O17" si="116">M17/C17</f>
        <v>621.09117503656751</v>
      </c>
      <c r="P17" s="312">
        <f t="shared" ref="P17" si="117">+E17+I17+M17</f>
        <v>37094.320000001091</v>
      </c>
      <c r="Q17" s="6">
        <f t="shared" ref="Q17" si="118">P17/B17</f>
        <v>931.03559058282951</v>
      </c>
      <c r="R17" s="310">
        <f t="shared" ref="R17" si="119">P17/C17</f>
        <v>904.29839102879293</v>
      </c>
      <c r="V17" s="380" t="s">
        <v>169</v>
      </c>
      <c r="W17" s="380" t="s">
        <v>170</v>
      </c>
    </row>
    <row r="18" spans="1:23" ht="15">
      <c r="A18" s="304">
        <v>46092</v>
      </c>
      <c r="B18" s="305">
        <f>+Report1!P19</f>
        <v>40.427999999999997</v>
      </c>
      <c r="C18" s="305">
        <f>+Report1!R19</f>
        <v>38.755000000000003</v>
      </c>
      <c r="D18" s="312">
        <f t="shared" ref="D18" si="120">+D17+E18</f>
        <v>45700.000000000728</v>
      </c>
      <c r="E18" s="312">
        <f>+[3]Dailymar!AH17</f>
        <v>3899.9999999996362</v>
      </c>
      <c r="F18" s="312">
        <f t="shared" ref="F18" si="121">E18/B18</f>
        <v>96.467794597794509</v>
      </c>
      <c r="G18" s="312">
        <f t="shared" ref="G18" si="122">E18/C18</f>
        <v>100.63217649334631</v>
      </c>
      <c r="H18" s="312">
        <f t="shared" ref="H18" si="123">+H17+I18</f>
        <v>74994.010000000009</v>
      </c>
      <c r="I18" s="312">
        <f>+[3]Dailymar!AI17</f>
        <v>8406.8700000000008</v>
      </c>
      <c r="J18" s="312">
        <f t="shared" ref="J18" si="124">I18/B18</f>
        <v>207.9467200949837</v>
      </c>
      <c r="K18" s="312">
        <f t="shared" ref="K18" si="125">I18/C18</f>
        <v>216.92349374274289</v>
      </c>
      <c r="L18" s="312">
        <f t="shared" ref="L18" si="126">+L17+M18</f>
        <v>254754.01</v>
      </c>
      <c r="M18" s="312">
        <f>+[3]Dailymar!AJ17</f>
        <v>25566.87</v>
      </c>
      <c r="N18" s="312">
        <f t="shared" ref="N18" si="127">M18/B18</f>
        <v>632.40501632531914</v>
      </c>
      <c r="O18" s="312">
        <f t="shared" ref="O18" si="128">M18/C18</f>
        <v>659.70507031350792</v>
      </c>
      <c r="P18" s="312">
        <f t="shared" ref="P18" si="129">+E18+I18+M18</f>
        <v>37873.739999999634</v>
      </c>
      <c r="Q18" s="6">
        <f t="shared" ref="Q18" si="130">P18/B18</f>
        <v>936.81953101809722</v>
      </c>
      <c r="R18" s="310">
        <f t="shared" ref="R18" si="131">P18/C18</f>
        <v>977.26074054959702</v>
      </c>
      <c r="V18" s="380" t="s">
        <v>169</v>
      </c>
      <c r="W18" s="380" t="s">
        <v>170</v>
      </c>
    </row>
    <row r="19" spans="1:23" ht="15">
      <c r="A19" s="304">
        <v>46093</v>
      </c>
      <c r="B19" s="305">
        <f>+Report1!P20</f>
        <v>43.361000000000004</v>
      </c>
      <c r="C19" s="305">
        <f>+Report1!R20</f>
        <v>40.625999999999998</v>
      </c>
      <c r="D19" s="312">
        <f t="shared" ref="D19" si="132">+D18+E19</f>
        <v>50200.000000000728</v>
      </c>
      <c r="E19" s="312">
        <f>+[3]Dailymar!AH18</f>
        <v>4500</v>
      </c>
      <c r="F19" s="312">
        <f t="shared" ref="F19" si="133">E19/B19</f>
        <v>103.77989437512971</v>
      </c>
      <c r="G19" s="312">
        <f t="shared" ref="G19" si="134">E19/C19</f>
        <v>110.76650420912716</v>
      </c>
      <c r="H19" s="312">
        <f t="shared" ref="H19" si="135">+H18+I19</f>
        <v>81647.900000000009</v>
      </c>
      <c r="I19" s="312">
        <f>+[3]Dailymar!AI18</f>
        <v>6653.89</v>
      </c>
      <c r="J19" s="312">
        <f t="shared" ref="J19" si="136">I19/B19</f>
        <v>153.4533336408293</v>
      </c>
      <c r="K19" s="312">
        <f t="shared" ref="K19" si="137">I19/C19</f>
        <v>163.78402993157093</v>
      </c>
      <c r="L19" s="312">
        <f t="shared" ref="L19" si="138">+L18+M19</f>
        <v>278567.90000000002</v>
      </c>
      <c r="M19" s="312">
        <f>+[3]Dailymar!AJ18</f>
        <v>23813.89</v>
      </c>
      <c r="N19" s="312">
        <f t="shared" ref="N19" si="139">M19/B19</f>
        <v>549.20066419132388</v>
      </c>
      <c r="O19" s="312">
        <f t="shared" ref="O19" si="140">M19/C19</f>
        <v>586.17363264904247</v>
      </c>
      <c r="P19" s="312">
        <f t="shared" ref="P19" si="141">+E19+I19+M19</f>
        <v>34967.78</v>
      </c>
      <c r="Q19" s="6">
        <f t="shared" ref="Q19" si="142">P19/B19</f>
        <v>806.43389220728295</v>
      </c>
      <c r="R19" s="310">
        <f t="shared" ref="R19" si="143">P19/C19</f>
        <v>860.72416678974059</v>
      </c>
      <c r="V19" s="380" t="s">
        <v>169</v>
      </c>
      <c r="W19" s="380" t="s">
        <v>170</v>
      </c>
    </row>
    <row r="20" spans="1:23" ht="15">
      <c r="A20" s="304">
        <v>46094</v>
      </c>
      <c r="B20" s="305">
        <f>+Report1!P21</f>
        <v>40.203000000000003</v>
      </c>
      <c r="C20" s="305">
        <f>+Report1!R21</f>
        <v>38.853000000000002</v>
      </c>
      <c r="D20" s="312">
        <f t="shared" ref="D20" si="144">+D19+E20</f>
        <v>55100.000000000364</v>
      </c>
      <c r="E20" s="312">
        <f>+[3]Dailymar!AH19</f>
        <v>4899.9999999996362</v>
      </c>
      <c r="F20" s="312">
        <f t="shared" ref="F20" si="145">E20/B20</f>
        <v>121.88145163295366</v>
      </c>
      <c r="G20" s="312">
        <f t="shared" ref="G20" si="146">E20/C20</f>
        <v>126.11638740894232</v>
      </c>
      <c r="H20" s="312">
        <f t="shared" ref="H20" si="147">+H19+I20</f>
        <v>89010.790000000008</v>
      </c>
      <c r="I20" s="312">
        <f>+[3]Dailymar!AI19</f>
        <v>7362.89</v>
      </c>
      <c r="J20" s="312">
        <f t="shared" ref="J20" si="148">I20/B20</f>
        <v>183.14280028853568</v>
      </c>
      <c r="K20" s="312">
        <f t="shared" ref="K20" si="149">I20/C20</f>
        <v>189.50634442642783</v>
      </c>
      <c r="L20" s="312">
        <f t="shared" ref="L20" si="150">+L19+M20</f>
        <v>304090.79000000004</v>
      </c>
      <c r="M20" s="312">
        <f>+[3]Dailymar!AJ19</f>
        <v>25522.89</v>
      </c>
      <c r="N20" s="312">
        <f t="shared" ref="N20" si="151">M20/B20</f>
        <v>634.85038429967904</v>
      </c>
      <c r="O20" s="312">
        <f t="shared" ref="O20" si="152">M20/C20</f>
        <v>656.90911898695083</v>
      </c>
      <c r="P20" s="312">
        <f t="shared" ref="P20" si="153">+E20+I20+M20</f>
        <v>37785.779999999635</v>
      </c>
      <c r="Q20" s="6">
        <f t="shared" ref="Q20" si="154">P20/B20</f>
        <v>939.87463622116843</v>
      </c>
      <c r="R20" s="310">
        <f t="shared" ref="R20" si="155">P20/C20</f>
        <v>972.53185082232085</v>
      </c>
      <c r="V20" s="380" t="s">
        <v>169</v>
      </c>
      <c r="W20" s="380" t="s">
        <v>170</v>
      </c>
    </row>
    <row r="21" spans="1:23" ht="15">
      <c r="A21" s="304">
        <v>46095</v>
      </c>
      <c r="B21" s="305">
        <f>+Report1!P22</f>
        <v>40.817</v>
      </c>
      <c r="C21" s="305">
        <f>+Report1!R22</f>
        <v>40.228999999999999</v>
      </c>
      <c r="D21" s="312">
        <f t="shared" ref="D21" si="156">+D20+E21</f>
        <v>59500</v>
      </c>
      <c r="E21" s="312">
        <f>+[3]Dailymar!AH20</f>
        <v>4399.9999999996362</v>
      </c>
      <c r="F21" s="312">
        <f t="shared" ref="F21" si="157">E21/B21</f>
        <v>107.79822132933916</v>
      </c>
      <c r="G21" s="312">
        <f t="shared" ref="G21" si="158">E21/C21</f>
        <v>109.37383479578504</v>
      </c>
      <c r="H21" s="312">
        <f t="shared" ref="H21" si="159">+H20+I21</f>
        <v>96143.090000000011</v>
      </c>
      <c r="I21" s="312">
        <f>+[3]Dailymar!AI20</f>
        <v>7132.3</v>
      </c>
      <c r="J21" s="312">
        <f t="shared" ref="J21" si="160">I21/B21</f>
        <v>174.73846681529756</v>
      </c>
      <c r="K21" s="312">
        <f t="shared" ref="K21" si="161">I21/C21</f>
        <v>177.29250043500957</v>
      </c>
      <c r="L21" s="312">
        <f t="shared" ref="L21" si="162">+L20+M21</f>
        <v>329383.09000000003</v>
      </c>
      <c r="M21" s="312">
        <f>+[3]Dailymar!AJ20</f>
        <v>25292.3</v>
      </c>
      <c r="N21" s="312">
        <f t="shared" ref="N21" si="163">M21/B21</f>
        <v>619.65112575642502</v>
      </c>
      <c r="O21" s="312">
        <f t="shared" ref="O21" si="164">M21/C21</f>
        <v>628.70814586492327</v>
      </c>
      <c r="P21" s="312">
        <f t="shared" ref="P21" si="165">+E21+I21+M21</f>
        <v>36824.599999999635</v>
      </c>
      <c r="Q21" s="6">
        <f t="shared" ref="Q21" si="166">P21/B21</f>
        <v>902.18781390106165</v>
      </c>
      <c r="R21" s="310">
        <f t="shared" ref="R21" si="167">P21/C21</f>
        <v>915.3744810957179</v>
      </c>
      <c r="V21" s="380" t="s">
        <v>169</v>
      </c>
      <c r="W21" s="380" t="s">
        <v>170</v>
      </c>
    </row>
    <row r="22" spans="1:23" ht="15">
      <c r="A22" s="304">
        <v>46096</v>
      </c>
      <c r="B22" s="305">
        <f>+Report1!P23</f>
        <v>41.332000000000001</v>
      </c>
      <c r="C22" s="305">
        <f>+Report1!R23</f>
        <v>40.756999999999998</v>
      </c>
      <c r="D22" s="312">
        <f t="shared" ref="D22" si="168">+D21+E22</f>
        <v>63600.000000000364</v>
      </c>
      <c r="E22" s="312">
        <f>+[3]Dailymar!AH21</f>
        <v>4100.0000000003638</v>
      </c>
      <c r="F22" s="312">
        <f t="shared" ref="F22" si="169">E22/B22</f>
        <v>99.196748282211445</v>
      </c>
      <c r="G22" s="312">
        <f t="shared" ref="G22" si="170">E22/C22</f>
        <v>100.59621660083823</v>
      </c>
      <c r="H22" s="312">
        <f t="shared" ref="H22" si="171">+H21+I22</f>
        <v>103284.94000000002</v>
      </c>
      <c r="I22" s="312">
        <f>+[3]Dailymar!AI21</f>
        <v>7141.85</v>
      </c>
      <c r="J22" s="312">
        <f t="shared" ref="J22" si="172">I22/B22</f>
        <v>172.79226749249978</v>
      </c>
      <c r="K22" s="312">
        <f t="shared" ref="K22" si="173">I22/C22</f>
        <v>175.23002183673972</v>
      </c>
      <c r="L22" s="312">
        <f t="shared" ref="L22" si="174">+L21+M22</f>
        <v>353684.94</v>
      </c>
      <c r="M22" s="312">
        <f>+[3]Dailymar!AJ21</f>
        <v>24301.85</v>
      </c>
      <c r="N22" s="312">
        <f t="shared" ref="N22" si="175">M22/B22</f>
        <v>587.96695054679174</v>
      </c>
      <c r="O22" s="312">
        <f t="shared" ref="O22" si="176">M22/C22</f>
        <v>596.26199180508866</v>
      </c>
      <c r="P22" s="312">
        <f t="shared" ref="P22" si="177">+E22+I22+M22</f>
        <v>35543.700000000361</v>
      </c>
      <c r="Q22" s="6">
        <f t="shared" ref="Q22" si="178">P22/B22</f>
        <v>859.95596632150296</v>
      </c>
      <c r="R22" s="310">
        <f t="shared" ref="R22" si="179">P22/C22</f>
        <v>872.08823024266655</v>
      </c>
      <c r="V22" s="380" t="s">
        <v>169</v>
      </c>
      <c r="W22" s="380" t="s">
        <v>170</v>
      </c>
    </row>
    <row r="23" spans="1:23" ht="15">
      <c r="A23" s="304">
        <v>46097</v>
      </c>
      <c r="B23" s="305">
        <f>+Report1!P24</f>
        <v>41.796999999999997</v>
      </c>
      <c r="C23" s="305">
        <f>+Report1!R24</f>
        <v>39.503</v>
      </c>
      <c r="D23" s="312">
        <f t="shared" ref="D23" si="180">+D22+E23</f>
        <v>68000</v>
      </c>
      <c r="E23" s="312">
        <f>+[3]Dailymar!AH22</f>
        <v>4399.9999999996362</v>
      </c>
      <c r="F23" s="312">
        <f t="shared" ref="F23" si="181">E23/B23</f>
        <v>105.27071320907329</v>
      </c>
      <c r="G23" s="312">
        <f t="shared" ref="G23" si="182">E23/C23</f>
        <v>111.38394552311561</v>
      </c>
      <c r="H23" s="312">
        <f t="shared" ref="H23" si="183">+H22+I23</f>
        <v>110508.34000000001</v>
      </c>
      <c r="I23" s="312">
        <f>+[3]Dailymar!AI22</f>
        <v>7223.4</v>
      </c>
      <c r="J23" s="312">
        <f t="shared" ref="J23" si="184">I23/B23</f>
        <v>172.82101586238247</v>
      </c>
      <c r="K23" s="312">
        <f t="shared" ref="K23" si="185">I23/C23</f>
        <v>182.85699820266814</v>
      </c>
      <c r="L23" s="312">
        <f t="shared" ref="L23" si="186">+L22+M23</f>
        <v>380068.34</v>
      </c>
      <c r="M23" s="312">
        <f>+[3]Dailymar!AJ22</f>
        <v>26383.4</v>
      </c>
      <c r="N23" s="312">
        <f t="shared" ref="N23" si="187">M23/B23</f>
        <v>631.22712156374871</v>
      </c>
      <c r="O23" s="312">
        <f t="shared" ref="O23" si="188">M23/C23</f>
        <v>667.88345188972994</v>
      </c>
      <c r="P23" s="312">
        <f t="shared" ref="P23" si="189">+E23+I23+M23</f>
        <v>38006.799999999639</v>
      </c>
      <c r="Q23" s="6">
        <f t="shared" ref="Q23" si="190">P23/B23</f>
        <v>909.31885063520451</v>
      </c>
      <c r="R23" s="310">
        <f t="shared" ref="R23" si="191">P23/C23</f>
        <v>962.12439561551378</v>
      </c>
      <c r="V23" s="380" t="s">
        <v>169</v>
      </c>
      <c r="W23" s="380" t="s">
        <v>170</v>
      </c>
    </row>
    <row r="24" spans="1:23" ht="15">
      <c r="A24" s="304">
        <v>46098</v>
      </c>
      <c r="B24" s="305">
        <f>+Report1!P25</f>
        <v>5.4</v>
      </c>
      <c r="C24" s="305">
        <f>+Report1!R25</f>
        <v>5.859</v>
      </c>
      <c r="D24" s="312">
        <f t="shared" ref="D24" si="192">+D23+E24</f>
        <v>69200.000000000728</v>
      </c>
      <c r="E24" s="312">
        <f>+[3]Dailymar!AH23</f>
        <v>1200.0000000007276</v>
      </c>
      <c r="F24" s="312">
        <f t="shared" ref="F24" si="193">E24/B24</f>
        <v>222.22222222235695</v>
      </c>
      <c r="G24" s="312">
        <f t="shared" ref="G24" si="194">E24/C24</f>
        <v>204.81310803903867</v>
      </c>
      <c r="H24" s="312">
        <f t="shared" ref="H24" si="195">+H23+I24</f>
        <v>112192.37000000001</v>
      </c>
      <c r="I24" s="312">
        <f>+[3]Dailymar!AI23</f>
        <v>1684.03</v>
      </c>
      <c r="J24" s="312">
        <f t="shared" ref="J24" si="196">I24/B24</f>
        <v>311.85740740740738</v>
      </c>
      <c r="K24" s="312">
        <f t="shared" ref="K24" si="197">I24/C24</f>
        <v>287.42618194231096</v>
      </c>
      <c r="L24" s="312">
        <f t="shared" ref="L24" si="198">+L23+M24</f>
        <v>388912.37</v>
      </c>
      <c r="M24" s="312">
        <f>+[3]Dailymar!AJ23</f>
        <v>8844.0299999999988</v>
      </c>
      <c r="N24" s="312">
        <f t="shared" ref="N24" si="199">M24/B24</f>
        <v>1637.7833333333331</v>
      </c>
      <c r="O24" s="312">
        <f t="shared" ref="O24" si="200">M24/C24</f>
        <v>1509.4777265745006</v>
      </c>
      <c r="P24" s="312">
        <f t="shared" ref="P24" si="201">+E24+I24+M24</f>
        <v>11728.060000000725</v>
      </c>
      <c r="Q24" s="6">
        <f t="shared" ref="Q24" si="202">P24/B24</f>
        <v>2171.8629629630973</v>
      </c>
      <c r="R24" s="310">
        <f t="shared" ref="R24" si="203">P24/C24</f>
        <v>2001.71701655585</v>
      </c>
      <c r="V24" s="380" t="s">
        <v>169</v>
      </c>
      <c r="W24" s="380" t="s">
        <v>170</v>
      </c>
    </row>
    <row r="25" spans="1:23" ht="15">
      <c r="A25" s="304">
        <v>46099</v>
      </c>
      <c r="B25" s="305">
        <f>+Report1!P26</f>
        <v>0</v>
      </c>
      <c r="C25" s="305">
        <f>+Report1!R26</f>
        <v>0</v>
      </c>
      <c r="D25" s="312">
        <f t="shared" ref="D25" si="204">+D24+E25</f>
        <v>69899.999999999636</v>
      </c>
      <c r="E25" s="312">
        <f>+[3]Dailymar!AH24</f>
        <v>699.99999999890861</v>
      </c>
      <c r="F25" s="312" t="e">
        <f t="shared" ref="F25" si="205">E25/B25</f>
        <v>#DIV/0!</v>
      </c>
      <c r="G25" s="312" t="e">
        <f t="shared" ref="G25" si="206">E25/C25</f>
        <v>#DIV/0!</v>
      </c>
      <c r="H25" s="312">
        <f t="shared" ref="H25" si="207">+H24+I25</f>
        <v>113218.01000000001</v>
      </c>
      <c r="I25" s="312">
        <f>+[3]Dailymar!AI24</f>
        <v>1025.6400000000001</v>
      </c>
      <c r="J25" s="312" t="e">
        <f t="shared" ref="J25" si="208">I25/B25</f>
        <v>#DIV/0!</v>
      </c>
      <c r="K25" s="312" t="e">
        <f t="shared" ref="K25" si="209">I25/C25</f>
        <v>#DIV/0!</v>
      </c>
      <c r="L25" s="312">
        <f t="shared" ref="L25" si="210">+L24+M25</f>
        <v>393098.01</v>
      </c>
      <c r="M25" s="312">
        <f>+[3]Dailymar!AJ24</f>
        <v>4185.6400000000003</v>
      </c>
      <c r="N25" s="312" t="e">
        <f t="shared" ref="N25" si="211">M25/B25</f>
        <v>#DIV/0!</v>
      </c>
      <c r="O25" s="312" t="e">
        <f t="shared" ref="O25" si="212">M25/C25</f>
        <v>#DIV/0!</v>
      </c>
      <c r="P25" s="312">
        <f t="shared" ref="P25" si="213">+E25+I25+M25</f>
        <v>5911.2799999989093</v>
      </c>
      <c r="Q25" s="6" t="e">
        <f t="shared" ref="Q25" si="214">P25/B25</f>
        <v>#DIV/0!</v>
      </c>
      <c r="R25" s="310" t="e">
        <f t="shared" ref="R25" si="215">P25/C25</f>
        <v>#DIV/0!</v>
      </c>
      <c r="V25" s="380" t="s">
        <v>169</v>
      </c>
      <c r="W25" s="380" t="s">
        <v>170</v>
      </c>
    </row>
    <row r="26" spans="1:23" ht="15">
      <c r="A26" s="304">
        <v>46100</v>
      </c>
      <c r="B26" s="305">
        <f>+Report1!P27</f>
        <v>0</v>
      </c>
      <c r="C26" s="305">
        <f>+Report1!R27</f>
        <v>0</v>
      </c>
      <c r="D26" s="312">
        <f t="shared" ref="D26" si="216">+D25+E26</f>
        <v>70500</v>
      </c>
      <c r="E26" s="312">
        <f>+[3]Dailymar!AH25</f>
        <v>600.0000000003638</v>
      </c>
      <c r="F26" s="312" t="e">
        <f t="shared" ref="F26" si="217">E26/B26</f>
        <v>#DIV/0!</v>
      </c>
      <c r="G26" s="312" t="e">
        <f t="shared" ref="G26" si="218">E26/C26</f>
        <v>#DIV/0!</v>
      </c>
      <c r="H26" s="312">
        <f t="shared" ref="H26" si="219">+H25+I26</f>
        <v>113670.59000000001</v>
      </c>
      <c r="I26" s="312">
        <f>+[3]Dailymar!AI25</f>
        <v>452.58000000000004</v>
      </c>
      <c r="J26" s="312" t="e">
        <f t="shared" ref="J26" si="220">I26/B26</f>
        <v>#DIV/0!</v>
      </c>
      <c r="K26" s="312" t="e">
        <f t="shared" ref="K26" si="221">I26/C26</f>
        <v>#DIV/0!</v>
      </c>
      <c r="L26" s="312">
        <f t="shared" ref="L26" si="222">+L25+M26</f>
        <v>395710.59</v>
      </c>
      <c r="M26" s="312">
        <f>+[3]Dailymar!AJ25</f>
        <v>2612.58</v>
      </c>
      <c r="N26" s="312" t="e">
        <f t="shared" ref="N26" si="223">M26/B26</f>
        <v>#DIV/0!</v>
      </c>
      <c r="O26" s="312" t="e">
        <f t="shared" ref="O26" si="224">M26/C26</f>
        <v>#DIV/0!</v>
      </c>
      <c r="P26" s="312">
        <f t="shared" ref="P26" si="225">+E26+I26+M26</f>
        <v>3665.1600000003637</v>
      </c>
      <c r="Q26" s="6" t="e">
        <f t="shared" ref="Q26" si="226">P26/B26</f>
        <v>#DIV/0!</v>
      </c>
      <c r="R26" s="310" t="e">
        <f t="shared" ref="R26" si="227">P26/C26</f>
        <v>#DIV/0!</v>
      </c>
      <c r="V26" s="380" t="s">
        <v>169</v>
      </c>
      <c r="W26" s="380" t="s">
        <v>170</v>
      </c>
    </row>
    <row r="27" spans="1:23" ht="15">
      <c r="A27" s="304">
        <v>46101</v>
      </c>
      <c r="B27" s="305">
        <f>+Report1!P28</f>
        <v>0</v>
      </c>
      <c r="C27" s="305">
        <f>+Report1!R28</f>
        <v>0</v>
      </c>
      <c r="D27" s="312">
        <f t="shared" ref="D27" si="228">+D26+E27</f>
        <v>70800.000000001091</v>
      </c>
      <c r="E27" s="312">
        <f>+[3]Dailymar!AH26</f>
        <v>300.00000000109139</v>
      </c>
      <c r="F27" s="312" t="e">
        <f t="shared" ref="F27" si="229">E27/B27</f>
        <v>#DIV/0!</v>
      </c>
      <c r="G27" s="312" t="e">
        <f t="shared" ref="G27" si="230">E27/C27</f>
        <v>#DIV/0!</v>
      </c>
      <c r="H27" s="312">
        <f t="shared" ref="H27" si="231">+H26+I27</f>
        <v>114698.08000000002</v>
      </c>
      <c r="I27" s="312">
        <f>+[3]Dailymar!AI26</f>
        <v>1027.49</v>
      </c>
      <c r="J27" s="312" t="e">
        <f t="shared" ref="J27" si="232">I27/B27</f>
        <v>#DIV/0!</v>
      </c>
      <c r="K27" s="312" t="e">
        <f t="shared" ref="K27" si="233">I27/C27</f>
        <v>#DIV/0!</v>
      </c>
      <c r="L27" s="312">
        <f t="shared" ref="L27" si="234">+L26+M27</f>
        <v>400398.08000000002</v>
      </c>
      <c r="M27" s="312">
        <f>+[3]Dailymar!AJ26</f>
        <v>4687.49</v>
      </c>
      <c r="N27" s="312" t="e">
        <f t="shared" ref="N27" si="235">M27/B27</f>
        <v>#DIV/0!</v>
      </c>
      <c r="O27" s="312" t="e">
        <f t="shared" ref="O27" si="236">M27/C27</f>
        <v>#DIV/0!</v>
      </c>
      <c r="P27" s="312">
        <f t="shared" ref="P27" si="237">+E27+I27+M27</f>
        <v>6014.980000001091</v>
      </c>
      <c r="Q27" s="6" t="e">
        <f t="shared" ref="Q27" si="238">P27/B27</f>
        <v>#DIV/0!</v>
      </c>
      <c r="R27" s="310" t="e">
        <f t="shared" ref="R27" si="239">P27/C27</f>
        <v>#DIV/0!</v>
      </c>
      <c r="V27" s="380" t="s">
        <v>169</v>
      </c>
      <c r="W27" s="380" t="s">
        <v>170</v>
      </c>
    </row>
    <row r="28" spans="1:23" ht="15">
      <c r="A28" s="304">
        <v>46102</v>
      </c>
      <c r="B28" s="305">
        <f>+Report1!P29</f>
        <v>0</v>
      </c>
      <c r="C28" s="305">
        <f>+Report1!R29</f>
        <v>0</v>
      </c>
      <c r="D28" s="312">
        <f t="shared" ref="D28" si="240">+D27+E28</f>
        <v>71200.000000000728</v>
      </c>
      <c r="E28" s="312">
        <f>+[3]Dailymar!AH27</f>
        <v>399.9999999996362</v>
      </c>
      <c r="F28" s="312" t="e">
        <f t="shared" ref="F28" si="241">E28/B28</f>
        <v>#DIV/0!</v>
      </c>
      <c r="G28" s="312" t="e">
        <f t="shared" ref="G28" si="242">E28/C28</f>
        <v>#DIV/0!</v>
      </c>
      <c r="H28" s="312">
        <f t="shared" ref="H28" si="243">+H27+I28</f>
        <v>115331.35000000002</v>
      </c>
      <c r="I28" s="312">
        <f>+[3]Dailymar!AI27</f>
        <v>633.27</v>
      </c>
      <c r="J28" s="312" t="e">
        <f t="shared" ref="J28" si="244">I28/B28</f>
        <v>#DIV/0!</v>
      </c>
      <c r="K28" s="312" t="e">
        <f t="shared" ref="K28" si="245">I28/C28</f>
        <v>#DIV/0!</v>
      </c>
      <c r="L28" s="312">
        <f t="shared" ref="L28" si="246">+L27+M28</f>
        <v>404691.35000000003</v>
      </c>
      <c r="M28" s="312">
        <f>+[3]Dailymar!AJ27</f>
        <v>4293.2700000000004</v>
      </c>
      <c r="N28" s="312" t="e">
        <f t="shared" ref="N28" si="247">M28/B28</f>
        <v>#DIV/0!</v>
      </c>
      <c r="O28" s="312" t="e">
        <f t="shared" ref="O28" si="248">M28/C28</f>
        <v>#DIV/0!</v>
      </c>
      <c r="P28" s="312">
        <f t="shared" ref="P28" si="249">+E28+I28+M28</f>
        <v>5326.5399999996371</v>
      </c>
      <c r="Q28" s="6" t="e">
        <f t="shared" ref="Q28" si="250">P28/B28</f>
        <v>#DIV/0!</v>
      </c>
      <c r="R28" s="310" t="e">
        <f t="shared" ref="R28" si="251">P28/C28</f>
        <v>#DIV/0!</v>
      </c>
      <c r="V28" s="380" t="s">
        <v>169</v>
      </c>
      <c r="W28" s="380" t="s">
        <v>170</v>
      </c>
    </row>
    <row r="29" spans="1:23" ht="15">
      <c r="A29" s="304">
        <v>46103</v>
      </c>
      <c r="B29" s="305">
        <f>+Report1!P30</f>
        <v>0</v>
      </c>
      <c r="C29" s="305">
        <f>+Report1!R30</f>
        <v>0</v>
      </c>
      <c r="D29" s="312">
        <f t="shared" ref="D29" si="252">+D28+E29</f>
        <v>71800.000000001091</v>
      </c>
      <c r="E29" s="312">
        <f>+[3]Dailymar!AH28</f>
        <v>600.0000000003638</v>
      </c>
      <c r="F29" s="312" t="e">
        <f t="shared" ref="F29" si="253">E29/B29</f>
        <v>#DIV/0!</v>
      </c>
      <c r="G29" s="312" t="e">
        <f t="shared" ref="G29" si="254">E29/C29</f>
        <v>#DIV/0!</v>
      </c>
      <c r="H29" s="312">
        <f t="shared" ref="H29" si="255">+H28+I29</f>
        <v>115741.50000000001</v>
      </c>
      <c r="I29" s="312">
        <f>+[3]Dailymar!AI28</f>
        <v>410.15</v>
      </c>
      <c r="J29" s="312" t="e">
        <f t="shared" ref="J29" si="256">I29/B29</f>
        <v>#DIV/0!</v>
      </c>
      <c r="K29" s="312" t="e">
        <f t="shared" ref="K29" si="257">I29/C29</f>
        <v>#DIV/0!</v>
      </c>
      <c r="L29" s="312">
        <f t="shared" ref="L29" si="258">+L28+M29</f>
        <v>408261.50000000006</v>
      </c>
      <c r="M29" s="312">
        <f>+[3]Dailymar!AJ28</f>
        <v>3570.15</v>
      </c>
      <c r="N29" s="312" t="e">
        <f t="shared" ref="N29" si="259">M29/B29</f>
        <v>#DIV/0!</v>
      </c>
      <c r="O29" s="312" t="e">
        <f t="shared" ref="O29" si="260">M29/C29</f>
        <v>#DIV/0!</v>
      </c>
      <c r="P29" s="312">
        <f t="shared" ref="P29" si="261">+E29+I29+M29</f>
        <v>4580.300000000364</v>
      </c>
      <c r="Q29" s="6" t="e">
        <f t="shared" ref="Q29" si="262">P29/B29</f>
        <v>#DIV/0!</v>
      </c>
      <c r="R29" s="310" t="e">
        <f t="shared" ref="R29" si="263">P29/C29</f>
        <v>#DIV/0!</v>
      </c>
      <c r="V29" s="380" t="s">
        <v>169</v>
      </c>
      <c r="W29" s="380" t="s">
        <v>170</v>
      </c>
    </row>
    <row r="30" spans="1:23" ht="15">
      <c r="A30" s="304">
        <v>46104</v>
      </c>
      <c r="B30" s="305">
        <f>+Report1!P31</f>
        <v>0</v>
      </c>
      <c r="C30" s="305">
        <f>+Report1!R31</f>
        <v>0</v>
      </c>
      <c r="D30" s="312">
        <f t="shared" ref="D30" si="264">+D29+E30</f>
        <v>72399.999999999636</v>
      </c>
      <c r="E30" s="312">
        <f>+[3]Dailymar!AH29</f>
        <v>599.99999999854481</v>
      </c>
      <c r="F30" s="312" t="e">
        <f t="shared" ref="F30" si="265">E30/B30</f>
        <v>#DIV/0!</v>
      </c>
      <c r="G30" s="312" t="e">
        <f t="shared" ref="G30" si="266">E30/C30</f>
        <v>#DIV/0!</v>
      </c>
      <c r="H30" s="312">
        <f t="shared" ref="H30" si="267">+H29+I30</f>
        <v>116238.51000000037</v>
      </c>
      <c r="I30" s="312">
        <f>+[3]Dailymar!AI29</f>
        <v>497.01000000036379</v>
      </c>
      <c r="J30" s="312" t="e">
        <f t="shared" ref="J30" si="268">I30/B30</f>
        <v>#DIV/0!</v>
      </c>
      <c r="K30" s="312" t="e">
        <f t="shared" ref="K30" si="269">I30/C30</f>
        <v>#DIV/0!</v>
      </c>
      <c r="L30" s="312">
        <f t="shared" ref="L30" si="270">+L29+M30</f>
        <v>412818.51000000007</v>
      </c>
      <c r="M30" s="312">
        <f>+[3]Dailymar!AJ29</f>
        <v>4557.01</v>
      </c>
      <c r="N30" s="312" t="e">
        <f t="shared" ref="N30" si="271">M30/B30</f>
        <v>#DIV/0!</v>
      </c>
      <c r="O30" s="312" t="e">
        <f t="shared" ref="O30" si="272">M30/C30</f>
        <v>#DIV/0!</v>
      </c>
      <c r="P30" s="312">
        <f t="shared" ref="P30" si="273">+E30+I30+M30</f>
        <v>5654.019999998909</v>
      </c>
      <c r="Q30" s="6" t="e">
        <f t="shared" ref="Q30" si="274">P30/B30</f>
        <v>#DIV/0!</v>
      </c>
      <c r="R30" s="310" t="e">
        <f t="shared" ref="R30" si="275">P30/C30</f>
        <v>#DIV/0!</v>
      </c>
      <c r="V30" s="380" t="s">
        <v>169</v>
      </c>
      <c r="W30" s="380" t="s">
        <v>170</v>
      </c>
    </row>
    <row r="31" spans="1:23" ht="15">
      <c r="A31" s="304">
        <v>46105</v>
      </c>
      <c r="B31" s="305">
        <f>+Report1!P32</f>
        <v>34.495000000000005</v>
      </c>
      <c r="C31" s="305">
        <f>+Report1!R32</f>
        <v>25.161000000000001</v>
      </c>
      <c r="D31" s="312">
        <f t="shared" ref="D31" si="276">+D30+E31</f>
        <v>76500</v>
      </c>
      <c r="E31" s="312">
        <f>+[3]Dailymar!AH30</f>
        <v>4100.0000000003638</v>
      </c>
      <c r="F31" s="312">
        <f t="shared" ref="F31" si="277">E31/B31</f>
        <v>118.85780547906546</v>
      </c>
      <c r="G31" s="312">
        <f t="shared" ref="G31" si="278">E31/C31</f>
        <v>162.9505981479418</v>
      </c>
      <c r="H31" s="312">
        <f t="shared" ref="H31" si="279">+H30+I31</f>
        <v>122822.34000000001</v>
      </c>
      <c r="I31" s="312">
        <f>+[3]Dailymar!AI30</f>
        <v>6583.8299999996361</v>
      </c>
      <c r="J31" s="312">
        <f t="shared" ref="J31" si="280">I31/B31</f>
        <v>190.8633135236885</v>
      </c>
      <c r="K31" s="312">
        <f t="shared" ref="K31" si="281">I31/C31</f>
        <v>261.66805770834372</v>
      </c>
      <c r="L31" s="312">
        <f t="shared" ref="L31" si="282">+L30+M31</f>
        <v>436662.34000000008</v>
      </c>
      <c r="M31" s="312">
        <f>+[3]Dailymar!AJ30</f>
        <v>23843.83</v>
      </c>
      <c r="N31" s="312">
        <f t="shared" ref="N31" si="283">M31/B31</f>
        <v>691.22568488186687</v>
      </c>
      <c r="O31" s="312">
        <f t="shared" ref="O31" si="284">M31/C31</f>
        <v>947.65033186280357</v>
      </c>
      <c r="P31" s="312">
        <f t="shared" ref="P31" si="285">+E31+I31+M31</f>
        <v>34527.660000000003</v>
      </c>
      <c r="Q31" s="6">
        <f t="shared" ref="Q31" si="286">P31/B31</f>
        <v>1000.946803884621</v>
      </c>
      <c r="R31" s="310">
        <f t="shared" ref="R31" si="287">P31/C31</f>
        <v>1372.2689877190892</v>
      </c>
      <c r="V31" s="380" t="s">
        <v>169</v>
      </c>
      <c r="W31" s="380" t="s">
        <v>170</v>
      </c>
    </row>
    <row r="32" spans="1:23" ht="15">
      <c r="A32" s="304">
        <v>46106</v>
      </c>
      <c r="B32" s="305">
        <f>+Report1!P33</f>
        <v>37.927</v>
      </c>
      <c r="C32" s="305">
        <f>+Report1!R33</f>
        <v>38.253999999999998</v>
      </c>
      <c r="D32" s="312">
        <f t="shared" ref="D32" si="288">+D31+E32</f>
        <v>81200.000000000728</v>
      </c>
      <c r="E32" s="312">
        <f>+[3]Dailymar!AH31</f>
        <v>4700.0000000007276</v>
      </c>
      <c r="F32" s="312">
        <f t="shared" ref="F32" si="289">E32/B32</f>
        <v>123.92227173255802</v>
      </c>
      <c r="G32" s="312">
        <f t="shared" ref="G32" si="290">E32/C32</f>
        <v>122.86296857846834</v>
      </c>
      <c r="H32" s="312">
        <f t="shared" ref="H32" si="291">+H31+I32</f>
        <v>129244.35</v>
      </c>
      <c r="I32" s="312">
        <f>+[3]Dailymar!AI31</f>
        <v>6422.01</v>
      </c>
      <c r="J32" s="312">
        <f t="shared" ref="J32" si="292">I32/B32</f>
        <v>169.32554644448547</v>
      </c>
      <c r="K32" s="312">
        <f t="shared" ref="K32" si="293">I32/C32</f>
        <v>167.87813039159306</v>
      </c>
      <c r="L32" s="312">
        <f t="shared" ref="L32" si="294">+L31+M32</f>
        <v>460244.35000000009</v>
      </c>
      <c r="M32" s="312">
        <f>+[3]Dailymar!AJ31</f>
        <v>23582.01</v>
      </c>
      <c r="N32" s="312">
        <f t="shared" ref="N32" si="295">M32/B32</f>
        <v>621.77367047222288</v>
      </c>
      <c r="O32" s="312">
        <f t="shared" ref="O32" si="296">M32/C32</f>
        <v>616.45867098865483</v>
      </c>
      <c r="P32" s="312">
        <f t="shared" ref="P32" si="297">+E32+I32+M32</f>
        <v>34704.020000000724</v>
      </c>
      <c r="Q32" s="6">
        <f t="shared" ref="Q32" si="298">P32/B32</f>
        <v>915.0214886492663</v>
      </c>
      <c r="R32" s="310">
        <f t="shared" ref="R32" si="299">P32/C32</f>
        <v>907.19976995871616</v>
      </c>
      <c r="V32" s="380" t="s">
        <v>169</v>
      </c>
      <c r="W32" s="380" t="s">
        <v>170</v>
      </c>
    </row>
    <row r="33" spans="1:23" ht="15">
      <c r="A33" s="304">
        <v>46107</v>
      </c>
      <c r="B33" s="305">
        <f>+Report1!P34</f>
        <v>38.550000000000004</v>
      </c>
      <c r="C33" s="305">
        <f>+Report1!R34</f>
        <v>40.591999999999999</v>
      </c>
      <c r="D33" s="312">
        <f t="shared" ref="D33" si="300">+D32+E33</f>
        <v>85500</v>
      </c>
      <c r="E33" s="312">
        <f>+[3]Dailymar!AH32</f>
        <v>4299.9999999992724</v>
      </c>
      <c r="F33" s="312">
        <f t="shared" ref="F33" si="301">E33/B33</f>
        <v>111.54345006483196</v>
      </c>
      <c r="G33" s="312">
        <f t="shared" ref="G33" si="302">E33/C33</f>
        <v>105.93220338981259</v>
      </c>
      <c r="H33" s="312">
        <f t="shared" ref="H33" si="303">+H32+I33</f>
        <v>136528.65</v>
      </c>
      <c r="I33" s="312">
        <f>+[3]Dailymar!AI32</f>
        <v>7284.3</v>
      </c>
      <c r="J33" s="312">
        <f t="shared" ref="J33" si="304">I33/B33</f>
        <v>188.95719844357976</v>
      </c>
      <c r="K33" s="312">
        <f t="shared" ref="K33" si="305">I33/C33</f>
        <v>179.4516160819866</v>
      </c>
      <c r="L33" s="312">
        <f t="shared" ref="L33" si="306">+L32+M33</f>
        <v>485688.65000000008</v>
      </c>
      <c r="M33" s="312">
        <f>+[3]Dailymar!AJ32</f>
        <v>25444.3</v>
      </c>
      <c r="N33" s="312">
        <f t="shared" ref="N33" si="307">M33/B33</f>
        <v>660.03372243839158</v>
      </c>
      <c r="O33" s="312">
        <f t="shared" ref="O33" si="308">M33/C33</f>
        <v>626.83040993299176</v>
      </c>
      <c r="P33" s="312">
        <f t="shared" ref="P33" si="309">+E33+I33+M33</f>
        <v>37028.599999999271</v>
      </c>
      <c r="Q33" s="6">
        <f t="shared" ref="Q33" si="310">P33/B33</f>
        <v>960.53437094680328</v>
      </c>
      <c r="R33" s="310">
        <f t="shared" ref="R33" si="311">P33/C33</f>
        <v>912.2142294047909</v>
      </c>
      <c r="V33" s="380" t="s">
        <v>169</v>
      </c>
      <c r="W33" s="380" t="s">
        <v>170</v>
      </c>
    </row>
    <row r="34" spans="1:23">
      <c r="A34" s="304">
        <v>46108</v>
      </c>
      <c r="B34" s="305">
        <f>+Report1!P35</f>
        <v>40.481000000000002</v>
      </c>
      <c r="C34" s="305">
        <f>+Report1!R35</f>
        <v>40.677</v>
      </c>
      <c r="D34" s="312">
        <f t="shared" ref="D34:D38" si="312">+D33+E34</f>
        <v>90000</v>
      </c>
      <c r="E34" s="312">
        <f>+[3]Dailymar!AH33</f>
        <v>4500</v>
      </c>
      <c r="F34" s="306">
        <f t="shared" si="1"/>
        <v>111.16326177713</v>
      </c>
      <c r="G34" s="306">
        <f t="shared" si="2"/>
        <v>110.62762740615089</v>
      </c>
      <c r="H34" s="312">
        <f t="shared" ref="H34:H38" si="313">+H33+I34</f>
        <v>142458.13</v>
      </c>
      <c r="I34" s="312">
        <f>+[3]Dailymar!AI33</f>
        <v>5929.48</v>
      </c>
      <c r="J34" s="306">
        <f t="shared" si="4"/>
        <v>146.47563054272374</v>
      </c>
      <c r="K34" s="306">
        <f t="shared" si="5"/>
        <v>145.7698453671608</v>
      </c>
      <c r="L34" s="312">
        <f t="shared" ref="L34:L38" si="314">+L33+M34</f>
        <v>510778.13000000006</v>
      </c>
      <c r="M34" s="312">
        <f>+[3]Dailymar!AJ33</f>
        <v>25089.48</v>
      </c>
      <c r="N34" s="306">
        <f t="shared" si="7"/>
        <v>619.7840962426817</v>
      </c>
      <c r="O34" s="306">
        <f t="shared" si="8"/>
        <v>616.79769894534991</v>
      </c>
      <c r="P34" s="312">
        <f t="shared" ref="P34:P40" si="315">+E34+I34+M34</f>
        <v>35518.959999999999</v>
      </c>
      <c r="Q34" s="309">
        <f t="shared" si="10"/>
        <v>877.42298856253547</v>
      </c>
      <c r="R34" s="310">
        <f t="shared" si="11"/>
        <v>873.19517171866164</v>
      </c>
    </row>
    <row r="35" spans="1:23">
      <c r="A35" s="304">
        <v>46109</v>
      </c>
      <c r="B35" s="305">
        <f>+Report1!P36</f>
        <v>41.347000000000001</v>
      </c>
      <c r="C35" s="305">
        <f>+Report1!R36</f>
        <v>39.438000000000002</v>
      </c>
      <c r="D35" s="312">
        <f t="shared" ref="D35" si="316">+D34+E35</f>
        <v>94399.999999999636</v>
      </c>
      <c r="E35" s="312">
        <f>+[3]Dailymar!AH34</f>
        <v>4399.9999999996362</v>
      </c>
      <c r="F35" s="306">
        <f t="shared" ref="F35" si="317">E35/B35</f>
        <v>106.41642682660498</v>
      </c>
      <c r="G35" s="306">
        <f t="shared" ref="G35" si="318">E35/C35</f>
        <v>111.56752370808955</v>
      </c>
      <c r="H35" s="312">
        <f t="shared" ref="H35" si="319">+H34+I35</f>
        <v>149387.67000000001</v>
      </c>
      <c r="I35" s="312">
        <f>+[3]Dailymar!AI34</f>
        <v>6929.54</v>
      </c>
      <c r="J35" s="306">
        <f t="shared" ref="J35" si="320">I35/B35</f>
        <v>167.594746898203</v>
      </c>
      <c r="K35" s="306">
        <f t="shared" ref="K35" si="321">I35/C35</f>
        <v>175.707185962777</v>
      </c>
      <c r="L35" s="312">
        <f t="shared" ref="L35" si="322">+L34+M35</f>
        <v>534867.67000000004</v>
      </c>
      <c r="M35" s="312">
        <f>+[3]Dailymar!AJ34</f>
        <v>24089.54</v>
      </c>
      <c r="N35" s="306">
        <f t="shared" ref="N35" si="323">M35/B35</f>
        <v>582.6188115219968</v>
      </c>
      <c r="O35" s="306">
        <f t="shared" ref="O35" si="324">M35/C35</f>
        <v>610.82052842436224</v>
      </c>
      <c r="P35" s="312">
        <f t="shared" ref="P35" si="325">+E35+I35+M35</f>
        <v>35419.079999999638</v>
      </c>
      <c r="Q35" s="309">
        <f t="shared" ref="Q35" si="326">P35/B35</f>
        <v>856.62998524680472</v>
      </c>
      <c r="R35" s="310">
        <f t="shared" ref="R35" si="327">P35/C35</f>
        <v>898.09523809522886</v>
      </c>
    </row>
    <row r="36" spans="1:23">
      <c r="A36" s="304">
        <v>46110</v>
      </c>
      <c r="B36" s="305">
        <f>+Report1!P37</f>
        <v>39.832999999999998</v>
      </c>
      <c r="C36" s="305">
        <f>+Report1!R37</f>
        <v>38.027999999999999</v>
      </c>
      <c r="D36" s="312">
        <f t="shared" ref="D36" si="328">+D35+E36</f>
        <v>98800.000000001091</v>
      </c>
      <c r="E36" s="312">
        <f>+[3]Dailymar!AH35</f>
        <v>4400.0000000014552</v>
      </c>
      <c r="F36" s="306">
        <f t="shared" ref="F36" si="329">E36/B36</f>
        <v>110.46117540736212</v>
      </c>
      <c r="G36" s="306">
        <f t="shared" ref="G36" si="330">E36/C36</f>
        <v>115.70421794471062</v>
      </c>
      <c r="H36" s="312">
        <f t="shared" ref="H36" si="331">+H35+I36</f>
        <v>156003.93000000002</v>
      </c>
      <c r="I36" s="312">
        <f>+[3]Dailymar!AI35</f>
        <v>6616.26</v>
      </c>
      <c r="J36" s="306">
        <f t="shared" ref="J36" si="332">I36/B36</f>
        <v>166.09996736374364</v>
      </c>
      <c r="K36" s="306">
        <f t="shared" ref="K36" si="333">I36/C36</f>
        <v>173.98390659514044</v>
      </c>
      <c r="L36" s="312">
        <f t="shared" ref="L36" si="334">+L35+M36</f>
        <v>560643.93000000005</v>
      </c>
      <c r="M36" s="312">
        <f>+[3]Dailymar!AJ35</f>
        <v>25776.26</v>
      </c>
      <c r="N36" s="306">
        <f t="shared" ref="N36" si="335">M36/B36</f>
        <v>647.10817663746138</v>
      </c>
      <c r="O36" s="306">
        <f t="shared" ref="O36" si="336">M36/C36</f>
        <v>677.82318291784998</v>
      </c>
      <c r="P36" s="312">
        <f t="shared" ref="P36" si="337">+E36+I36+M36</f>
        <v>36792.520000001452</v>
      </c>
      <c r="Q36" s="309">
        <f t="shared" ref="Q36" si="338">P36/B36</f>
        <v>923.66931940856705</v>
      </c>
      <c r="R36" s="310">
        <f t="shared" ref="R36" si="339">P36/C36</f>
        <v>967.51130745770104</v>
      </c>
    </row>
    <row r="37" spans="1:23">
      <c r="A37" s="304">
        <v>46111</v>
      </c>
      <c r="B37" s="305">
        <f>+Report1!P38</f>
        <v>37.869</v>
      </c>
      <c r="C37" s="305">
        <f>+Report1!R38</f>
        <v>35.036999999999999</v>
      </c>
      <c r="D37" s="312">
        <f t="shared" si="312"/>
        <v>103399.99999999964</v>
      </c>
      <c r="E37" s="312">
        <f>+[3]Dailymar!AH36</f>
        <v>4599.9999999985448</v>
      </c>
      <c r="F37" s="306">
        <f t="shared" si="1"/>
        <v>121.47138820667419</v>
      </c>
      <c r="G37" s="306">
        <f t="shared" si="2"/>
        <v>131.2897793760466</v>
      </c>
      <c r="H37" s="312">
        <f t="shared" si="313"/>
        <v>164013.47000000003</v>
      </c>
      <c r="I37" s="312">
        <f>+[3]Dailymar!AI36</f>
        <v>8009.54</v>
      </c>
      <c r="J37" s="306">
        <f t="shared" si="4"/>
        <v>211.50650928199846</v>
      </c>
      <c r="K37" s="306">
        <f t="shared" si="5"/>
        <v>228.60233467477238</v>
      </c>
      <c r="L37" s="312">
        <f t="shared" si="314"/>
        <v>585813.47000000009</v>
      </c>
      <c r="M37" s="312">
        <f>+[3]Dailymar!AJ36</f>
        <v>25169.54</v>
      </c>
      <c r="N37" s="306">
        <f t="shared" si="7"/>
        <v>664.64760094008295</v>
      </c>
      <c r="O37" s="306">
        <f t="shared" si="8"/>
        <v>718.37029426035338</v>
      </c>
      <c r="P37" s="312">
        <f t="shared" si="315"/>
        <v>37779.079999998547</v>
      </c>
      <c r="Q37" s="309">
        <f t="shared" si="10"/>
        <v>997.62549842875558</v>
      </c>
      <c r="R37" s="310">
        <f t="shared" si="11"/>
        <v>1078.2624083111723</v>
      </c>
    </row>
    <row r="38" spans="1:23">
      <c r="A38" s="304">
        <v>46112</v>
      </c>
      <c r="B38" s="305">
        <f>+Report1!P39</f>
        <v>36.242000000000004</v>
      </c>
      <c r="C38" s="305">
        <f>+Report1!R39</f>
        <v>35.978999999999999</v>
      </c>
      <c r="D38" s="312">
        <f t="shared" si="312"/>
        <v>107899.99999999964</v>
      </c>
      <c r="E38" s="312">
        <f>+[3]Dailymar!AH37</f>
        <v>4500</v>
      </c>
      <c r="F38" s="306">
        <f t="shared" si="1"/>
        <v>124.16533303901549</v>
      </c>
      <c r="G38" s="306">
        <f t="shared" si="2"/>
        <v>125.07295922621529</v>
      </c>
      <c r="H38" s="312">
        <f t="shared" si="313"/>
        <v>171297.37000000002</v>
      </c>
      <c r="I38" s="312">
        <f>+[3]Dailymar!AI37</f>
        <v>7283.9</v>
      </c>
      <c r="J38" s="306">
        <f t="shared" si="4"/>
        <v>200.97952651619664</v>
      </c>
      <c r="K38" s="306">
        <f t="shared" si="5"/>
        <v>202.4486506017399</v>
      </c>
      <c r="L38" s="312">
        <f t="shared" si="314"/>
        <v>610257.37000000011</v>
      </c>
      <c r="M38" s="312">
        <f>+[3]Dailymar!AJ37</f>
        <v>24443.9</v>
      </c>
      <c r="N38" s="307">
        <f t="shared" si="7"/>
        <v>674.46332983830905</v>
      </c>
      <c r="O38" s="307">
        <f t="shared" si="8"/>
        <v>679.39353511770764</v>
      </c>
      <c r="P38" s="312">
        <f t="shared" si="315"/>
        <v>36227.800000000003</v>
      </c>
      <c r="Q38" s="309">
        <f t="shared" si="10"/>
        <v>999.60818939352134</v>
      </c>
      <c r="R38" s="310">
        <f t="shared" si="11"/>
        <v>1006.9151449456629</v>
      </c>
    </row>
    <row r="39" spans="1:23">
      <c r="A39" s="304"/>
      <c r="B39" s="311"/>
      <c r="C39" s="311"/>
      <c r="D39" s="300"/>
      <c r="E39" s="312"/>
      <c r="F39" s="306"/>
      <c r="G39" s="306"/>
      <c r="H39" s="302"/>
      <c r="I39" s="312"/>
      <c r="J39" s="306"/>
      <c r="K39" s="306"/>
      <c r="L39" s="303"/>
      <c r="M39" s="312"/>
      <c r="N39" s="307"/>
      <c r="O39" s="307"/>
      <c r="P39" s="308"/>
      <c r="Q39" s="309"/>
      <c r="R39" s="310"/>
    </row>
    <row r="40" spans="1:23">
      <c r="A40" s="313" t="s">
        <v>28</v>
      </c>
      <c r="B40" s="314">
        <f>SUM(B8:B38)</f>
        <v>938.94899999999984</v>
      </c>
      <c r="C40" s="314">
        <f>SUM(C8:C38)</f>
        <v>906.26300000000015</v>
      </c>
      <c r="D40" s="316"/>
      <c r="E40" s="312">
        <f>SUM(E8:E39)</f>
        <v>107899.99999999964</v>
      </c>
      <c r="F40" s="315">
        <f>E40/B40</f>
        <v>114.91571959712365</v>
      </c>
      <c r="G40" s="315">
        <f>E40/C40</f>
        <v>119.06036106516498</v>
      </c>
      <c r="H40" s="317"/>
      <c r="I40" s="312">
        <f>SUM(I8:I39)</f>
        <v>171297.37000000002</v>
      </c>
      <c r="J40" s="315">
        <f>I40/B40</f>
        <v>182.43522278632818</v>
      </c>
      <c r="K40" s="315">
        <f>I40/C40</f>
        <v>189.01507619752763</v>
      </c>
      <c r="L40" s="318"/>
      <c r="M40" s="312">
        <f>SUM(M8:M39)</f>
        <v>610257.37000000011</v>
      </c>
      <c r="N40" s="315">
        <f>M40/B40</f>
        <v>649.93665257644477</v>
      </c>
      <c r="O40" s="315">
        <f>M40/C40</f>
        <v>673.37778327041929</v>
      </c>
      <c r="P40" s="312">
        <f t="shared" si="315"/>
        <v>889454.73999999976</v>
      </c>
      <c r="Q40" s="379">
        <f>P40/B40</f>
        <v>947.28759495989652</v>
      </c>
      <c r="R40" s="317">
        <f>P40/C40</f>
        <v>981.4532205331119</v>
      </c>
    </row>
    <row r="42" spans="1:23">
      <c r="P42" s="4">
        <v>-1320860.8400000001</v>
      </c>
    </row>
    <row r="43" spans="1:23">
      <c r="D43" s="320"/>
    </row>
    <row r="44" spans="1:23">
      <c r="E44" s="319"/>
      <c r="H44" s="319"/>
    </row>
  </sheetData>
  <mergeCells count="9">
    <mergeCell ref="A2:P2"/>
    <mergeCell ref="D4:O4"/>
    <mergeCell ref="P4:R5"/>
    <mergeCell ref="A4:A6"/>
    <mergeCell ref="B4:B6"/>
    <mergeCell ref="C4:C6"/>
    <mergeCell ref="D5:G5"/>
    <mergeCell ref="H5:K5"/>
    <mergeCell ref="L5:O5"/>
  </mergeCells>
  <phoneticPr fontId="32"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5"/>
  <sheetViews>
    <sheetView topLeftCell="A7" workbookViewId="0">
      <selection activeCell="L74" sqref="L74"/>
    </sheetView>
  </sheetViews>
  <sheetFormatPr defaultRowHeight="12.75"/>
  <cols>
    <col min="1" max="1" width="10.140625" bestFit="1" customWidth="1"/>
    <col min="2" max="2" width="10.140625" customWidth="1"/>
    <col min="3" max="3" width="3.7109375" bestFit="1" customWidth="1"/>
    <col min="4" max="4" width="22.28515625" customWidth="1"/>
    <col min="6" max="6" width="11" bestFit="1" customWidth="1"/>
  </cols>
  <sheetData>
    <row r="1" spans="1:9">
      <c r="A1" s="416" t="s">
        <v>185</v>
      </c>
      <c r="B1" s="325">
        <f>+Report1!A9</f>
        <v>46082</v>
      </c>
      <c r="C1" s="91"/>
      <c r="G1" s="92"/>
      <c r="H1" s="93"/>
    </row>
    <row r="2" spans="1:9" ht="13.5" thickBot="1">
      <c r="A2" s="90"/>
      <c r="B2" s="91"/>
      <c r="C2" s="91"/>
      <c r="G2" s="92"/>
      <c r="H2" s="93"/>
    </row>
    <row r="3" spans="1:9" ht="26.25" thickBot="1">
      <c r="A3" s="378" t="s">
        <v>120</v>
      </c>
      <c r="B3" s="364" t="s">
        <v>9</v>
      </c>
      <c r="C3" s="364" t="s">
        <v>93</v>
      </c>
      <c r="D3" s="364" t="s">
        <v>121</v>
      </c>
      <c r="E3" s="364" t="s">
        <v>122</v>
      </c>
      <c r="F3" s="364" t="s">
        <v>123</v>
      </c>
      <c r="G3" s="365" t="s">
        <v>124</v>
      </c>
      <c r="H3" s="366" t="s">
        <v>125</v>
      </c>
      <c r="I3" s="558" t="s">
        <v>394</v>
      </c>
    </row>
    <row r="4" spans="1:9">
      <c r="A4" s="329">
        <f>+B1</f>
        <v>46082</v>
      </c>
      <c r="B4" s="381" t="s">
        <v>388</v>
      </c>
      <c r="C4" s="330">
        <v>1</v>
      </c>
      <c r="D4" s="363" t="s">
        <v>416</v>
      </c>
      <c r="E4" s="363">
        <f>146+122.5</f>
        <v>268.5</v>
      </c>
      <c r="F4" s="363">
        <f>134/2</f>
        <v>67</v>
      </c>
      <c r="G4" s="330">
        <f>+E4*F4</f>
        <v>17989.5</v>
      </c>
      <c r="H4" s="383">
        <f>+SUM(G4/F4)</f>
        <v>268.5</v>
      </c>
      <c r="I4" s="559">
        <f>+'1'!I38</f>
        <v>36.384999999999998</v>
      </c>
    </row>
    <row r="5" spans="1:9" ht="13.5" thickBot="1">
      <c r="A5" s="367"/>
      <c r="B5" s="382"/>
      <c r="C5" s="368"/>
      <c r="D5" s="369"/>
      <c r="E5" s="368"/>
      <c r="F5" s="368"/>
      <c r="G5" s="368"/>
      <c r="H5" s="384"/>
      <c r="I5" s="384"/>
    </row>
    <row r="6" spans="1:9">
      <c r="A6" s="329">
        <f>+A4+1</f>
        <v>46083</v>
      </c>
      <c r="B6" s="381" t="s">
        <v>429</v>
      </c>
      <c r="C6" s="330">
        <v>1</v>
      </c>
      <c r="D6" s="363" t="s">
        <v>437</v>
      </c>
      <c r="E6" s="330">
        <f>275*1</f>
        <v>275</v>
      </c>
      <c r="F6" s="363">
        <f>3+7+9</f>
        <v>19</v>
      </c>
      <c r="G6" s="330">
        <f t="shared" ref="G6:G8" si="0">+E6*F6</f>
        <v>5225</v>
      </c>
      <c r="H6" s="562">
        <f>+SUM(G6/F6)</f>
        <v>275</v>
      </c>
      <c r="I6" s="559">
        <f>+'2'!I38</f>
        <v>46.337000000000003</v>
      </c>
    </row>
    <row r="7" spans="1:9">
      <c r="A7" s="561"/>
      <c r="B7" s="563" t="s">
        <v>388</v>
      </c>
      <c r="C7" s="564">
        <v>1</v>
      </c>
      <c r="D7" s="560" t="s">
        <v>438</v>
      </c>
      <c r="E7" s="564">
        <f>130*2</f>
        <v>260</v>
      </c>
      <c r="F7" s="565">
        <v>8</v>
      </c>
      <c r="G7" s="564">
        <f t="shared" si="0"/>
        <v>2080</v>
      </c>
      <c r="H7" s="566">
        <f>+SUM(F7*E7+F8*E8)/SUM(F7:F8)</f>
        <v>263.26923076923077</v>
      </c>
      <c r="I7" s="566"/>
    </row>
    <row r="8" spans="1:9">
      <c r="A8" s="561"/>
      <c r="B8" s="563" t="s">
        <v>388</v>
      </c>
      <c r="C8" s="564">
        <v>1</v>
      </c>
      <c r="D8" s="560" t="s">
        <v>416</v>
      </c>
      <c r="E8" s="564">
        <f>146+122.5</f>
        <v>268.5</v>
      </c>
      <c r="F8" s="560">
        <v>5</v>
      </c>
      <c r="G8" s="564">
        <f t="shared" si="0"/>
        <v>1342.5</v>
      </c>
      <c r="H8" s="566"/>
      <c r="I8" s="566"/>
    </row>
    <row r="9" spans="1:9">
      <c r="A9" s="561"/>
      <c r="B9" s="563" t="s">
        <v>428</v>
      </c>
      <c r="C9" s="564">
        <v>1</v>
      </c>
      <c r="D9" s="560" t="s">
        <v>439</v>
      </c>
      <c r="E9" s="564">
        <f>120+140</f>
        <v>260</v>
      </c>
      <c r="F9" s="560">
        <f>2+6</f>
        <v>8</v>
      </c>
      <c r="G9" s="564">
        <f t="shared" ref="G9" si="1">+E9*F9</f>
        <v>2080</v>
      </c>
      <c r="H9" s="566">
        <f>+SUM(G9/F9)</f>
        <v>260</v>
      </c>
      <c r="I9" s="566"/>
    </row>
    <row r="10" spans="1:9" ht="13.5" thickBot="1">
      <c r="A10" s="367"/>
      <c r="B10" s="567"/>
      <c r="C10" s="368"/>
      <c r="D10" s="568"/>
      <c r="E10" s="368"/>
      <c r="F10" s="568"/>
      <c r="G10" s="368"/>
      <c r="H10" s="569"/>
      <c r="I10" s="569"/>
    </row>
    <row r="11" spans="1:9">
      <c r="A11" s="329">
        <f>+A6+1</f>
        <v>46084</v>
      </c>
      <c r="B11" s="381" t="s">
        <v>429</v>
      </c>
      <c r="C11" s="330">
        <v>1</v>
      </c>
      <c r="D11" s="363" t="s">
        <v>437</v>
      </c>
      <c r="E11" s="330">
        <f>275*1</f>
        <v>275</v>
      </c>
      <c r="F11" s="363">
        <v>23</v>
      </c>
      <c r="G11" s="330">
        <f t="shared" ref="G11:G12" si="2">+E11*F11</f>
        <v>6325</v>
      </c>
      <c r="H11" s="562">
        <f>+SUM(G11/F11)</f>
        <v>275</v>
      </c>
      <c r="I11" s="559">
        <f>+'3'!I38</f>
        <v>46.03</v>
      </c>
    </row>
    <row r="12" spans="1:9">
      <c r="A12" s="570"/>
      <c r="B12" s="571" t="s">
        <v>428</v>
      </c>
      <c r="C12" s="572">
        <v>1</v>
      </c>
      <c r="D12" s="560" t="s">
        <v>439</v>
      </c>
      <c r="E12" s="564">
        <f>120+140</f>
        <v>260</v>
      </c>
      <c r="F12" s="560">
        <v>0</v>
      </c>
      <c r="G12" s="572">
        <f t="shared" si="2"/>
        <v>0</v>
      </c>
      <c r="H12" s="566">
        <f>+E12</f>
        <v>260</v>
      </c>
      <c r="I12" s="559"/>
    </row>
    <row r="13" spans="1:9" ht="13.5" thickBot="1">
      <c r="A13" s="367"/>
      <c r="B13" s="382"/>
      <c r="C13" s="368"/>
      <c r="D13" s="369"/>
      <c r="E13" s="368"/>
      <c r="F13" s="368"/>
      <c r="G13" s="368"/>
      <c r="H13" s="384"/>
      <c r="I13" s="384"/>
    </row>
    <row r="14" spans="1:9">
      <c r="A14" s="329">
        <f>+A11+1</f>
        <v>46085</v>
      </c>
      <c r="B14" s="571" t="s">
        <v>428</v>
      </c>
      <c r="C14" s="572">
        <v>1</v>
      </c>
      <c r="D14" s="560" t="s">
        <v>439</v>
      </c>
      <c r="E14" s="564">
        <f>120+140</f>
        <v>260</v>
      </c>
      <c r="F14" s="363">
        <f>114/2</f>
        <v>57</v>
      </c>
      <c r="G14" s="330">
        <f>+E14*F14</f>
        <v>14820</v>
      </c>
      <c r="H14" s="383">
        <f>+SUM(G14/F14)</f>
        <v>260</v>
      </c>
      <c r="I14" s="559">
        <f>+'4'!I38</f>
        <v>42.442999999999998</v>
      </c>
    </row>
    <row r="15" spans="1:9" ht="13.5" thickBot="1">
      <c r="A15" s="367"/>
      <c r="B15" s="382"/>
      <c r="C15" s="368"/>
      <c r="D15" s="369"/>
      <c r="E15" s="368"/>
      <c r="F15" s="368"/>
      <c r="G15" s="368"/>
      <c r="H15" s="384"/>
      <c r="I15" s="384"/>
    </row>
    <row r="16" spans="1:9">
      <c r="A16" s="329">
        <f>+A14+1</f>
        <v>46086</v>
      </c>
      <c r="B16" s="571" t="s">
        <v>428</v>
      </c>
      <c r="C16" s="572">
        <v>1</v>
      </c>
      <c r="D16" s="560" t="s">
        <v>439</v>
      </c>
      <c r="E16" s="560">
        <f>120+140</f>
        <v>260</v>
      </c>
      <c r="F16" s="363">
        <f>13+13+6+13+3</f>
        <v>48</v>
      </c>
      <c r="G16" s="330">
        <f>+E16*F16</f>
        <v>12480</v>
      </c>
      <c r="H16" s="566">
        <f>+SUM(F16*E16+F17*E17)/SUM(F16:F17)</f>
        <v>260.19387755102042</v>
      </c>
      <c r="I16" s="559">
        <f>+'3'!I43</f>
        <v>51.2</v>
      </c>
    </row>
    <row r="17" spans="1:9">
      <c r="A17" s="570"/>
      <c r="B17" s="563" t="s">
        <v>428</v>
      </c>
      <c r="C17" s="564">
        <v>1</v>
      </c>
      <c r="D17" s="560" t="s">
        <v>483</v>
      </c>
      <c r="E17" s="560">
        <f>126*2+17.5</f>
        <v>269.5</v>
      </c>
      <c r="F17" s="560">
        <v>1</v>
      </c>
      <c r="G17" s="564">
        <f t="shared" ref="G17" si="3">+E17*F17</f>
        <v>269.5</v>
      </c>
      <c r="H17" s="566"/>
      <c r="I17" s="559"/>
    </row>
    <row r="18" spans="1:9">
      <c r="A18" s="570"/>
      <c r="B18" s="571" t="s">
        <v>475</v>
      </c>
      <c r="C18" s="572">
        <v>1</v>
      </c>
      <c r="D18" s="560" t="s">
        <v>439</v>
      </c>
      <c r="E18" s="560">
        <f>120+140</f>
        <v>260</v>
      </c>
      <c r="F18" s="560">
        <f>13+5+2</f>
        <v>20</v>
      </c>
      <c r="G18" s="572">
        <f>+E18*F18</f>
        <v>5200</v>
      </c>
      <c r="H18" s="566">
        <f>+SUM(G18/F18)</f>
        <v>260</v>
      </c>
      <c r="I18" s="559"/>
    </row>
    <row r="19" spans="1:9">
      <c r="A19" s="570"/>
      <c r="B19" s="571" t="s">
        <v>429</v>
      </c>
      <c r="C19" s="572">
        <v>1</v>
      </c>
      <c r="D19" s="560" t="s">
        <v>484</v>
      </c>
      <c r="E19" s="560">
        <f>45*4+40*2</f>
        <v>260</v>
      </c>
      <c r="F19" s="560">
        <v>4</v>
      </c>
      <c r="G19" s="572">
        <f>+E19*F19</f>
        <v>1040</v>
      </c>
      <c r="H19" s="566">
        <f>+SUM(G19/F19)</f>
        <v>260</v>
      </c>
      <c r="I19" s="559"/>
    </row>
    <row r="20" spans="1:9" ht="13.5" thickBot="1">
      <c r="A20" s="367"/>
      <c r="B20" s="382"/>
      <c r="C20" s="368"/>
      <c r="D20" s="369"/>
      <c r="E20" s="368"/>
      <c r="F20" s="368"/>
      <c r="G20" s="368"/>
      <c r="H20" s="384"/>
      <c r="I20" s="384"/>
    </row>
    <row r="21" spans="1:9">
      <c r="A21" s="329">
        <v>46087</v>
      </c>
      <c r="B21" s="571" t="s">
        <v>429</v>
      </c>
      <c r="C21" s="572">
        <v>1</v>
      </c>
      <c r="D21" s="560" t="s">
        <v>500</v>
      </c>
      <c r="E21" s="560">
        <f>40*2+60*3</f>
        <v>260</v>
      </c>
      <c r="F21" s="560">
        <f>4+6+6</f>
        <v>16</v>
      </c>
      <c r="G21" s="572">
        <f>+E21*F21</f>
        <v>4160</v>
      </c>
      <c r="H21" s="566">
        <f>+SUM(F21*E21+F22*E22+F23*E23+F24*E24)/SUM(F21:F24)</f>
        <v>256.5</v>
      </c>
      <c r="I21" s="559">
        <f>+'6'!I38</f>
        <v>28.506999999999998</v>
      </c>
    </row>
    <row r="22" spans="1:9">
      <c r="A22" s="570"/>
      <c r="B22" s="563" t="s">
        <v>429</v>
      </c>
      <c r="C22" s="564">
        <v>1</v>
      </c>
      <c r="D22" s="560" t="s">
        <v>501</v>
      </c>
      <c r="E22" s="560">
        <f>40*4+45+60</f>
        <v>265</v>
      </c>
      <c r="F22" s="560">
        <f>5+5+5+2</f>
        <v>17</v>
      </c>
      <c r="G22" s="564">
        <f t="shared" ref="G22" si="4">+E22*F22</f>
        <v>4505</v>
      </c>
      <c r="H22" s="566"/>
      <c r="I22" s="559"/>
    </row>
    <row r="23" spans="1:9">
      <c r="A23" s="570"/>
      <c r="B23" s="571" t="s">
        <v>429</v>
      </c>
      <c r="C23" s="572">
        <v>1</v>
      </c>
      <c r="D23" s="560" t="s">
        <v>502</v>
      </c>
      <c r="E23" s="560">
        <f>45*3+40*2</f>
        <v>215</v>
      </c>
      <c r="F23" s="560">
        <v>5</v>
      </c>
      <c r="G23" s="572">
        <f>+E23*F23</f>
        <v>1075</v>
      </c>
      <c r="H23" s="566"/>
      <c r="I23" s="559"/>
    </row>
    <row r="24" spans="1:9">
      <c r="A24" s="570"/>
      <c r="B24" s="571" t="s">
        <v>429</v>
      </c>
      <c r="C24" s="572">
        <v>1</v>
      </c>
      <c r="D24" s="560" t="s">
        <v>484</v>
      </c>
      <c r="E24" s="560">
        <f>45*4+40*2</f>
        <v>260</v>
      </c>
      <c r="F24" s="560">
        <v>2</v>
      </c>
      <c r="G24" s="572">
        <f>+E24*F24</f>
        <v>520</v>
      </c>
      <c r="H24" s="566"/>
      <c r="I24" s="559"/>
    </row>
    <row r="25" spans="1:9">
      <c r="A25" s="570"/>
      <c r="B25" s="571" t="s">
        <v>489</v>
      </c>
      <c r="C25" s="572">
        <v>1</v>
      </c>
      <c r="D25" s="560" t="s">
        <v>503</v>
      </c>
      <c r="E25" s="560">
        <f>116*2+25</f>
        <v>257</v>
      </c>
      <c r="F25" s="560">
        <f>3+1</f>
        <v>4</v>
      </c>
      <c r="G25" s="572">
        <f>+E25*F25</f>
        <v>1028</v>
      </c>
      <c r="H25" s="566">
        <f>+SUM(G25/F25)</f>
        <v>257</v>
      </c>
      <c r="I25" s="559"/>
    </row>
    <row r="26" spans="1:9" ht="13.5" thickBot="1">
      <c r="A26" s="367"/>
      <c r="B26" s="382"/>
      <c r="C26" s="368"/>
      <c r="D26" s="369"/>
      <c r="E26" s="368"/>
      <c r="F26" s="368"/>
      <c r="G26" s="368"/>
      <c r="H26" s="384"/>
      <c r="I26" s="384"/>
    </row>
    <row r="27" spans="1:9">
      <c r="A27" s="329">
        <v>46088</v>
      </c>
      <c r="B27" s="571" t="s">
        <v>532</v>
      </c>
      <c r="C27" s="572">
        <v>1</v>
      </c>
      <c r="D27" s="560" t="s">
        <v>554</v>
      </c>
      <c r="E27" s="560">
        <f>133*2</f>
        <v>266</v>
      </c>
      <c r="F27" s="560">
        <f>12+1</f>
        <v>13</v>
      </c>
      <c r="G27" s="572">
        <f>+E27*F27</f>
        <v>3458</v>
      </c>
      <c r="H27" s="566">
        <f>+SUM(G27/F27)</f>
        <v>266</v>
      </c>
      <c r="I27" s="559">
        <f>+'7'!I38</f>
        <v>21.948</v>
      </c>
    </row>
    <row r="28" spans="1:9">
      <c r="A28" s="570"/>
      <c r="B28" s="571" t="s">
        <v>489</v>
      </c>
      <c r="C28" s="572">
        <v>1</v>
      </c>
      <c r="D28" s="560" t="s">
        <v>503</v>
      </c>
      <c r="E28" s="560">
        <f>116*2+25</f>
        <v>257</v>
      </c>
      <c r="F28" s="560">
        <f>6+2+4</f>
        <v>12</v>
      </c>
      <c r="G28" s="572">
        <f>+E28*F28</f>
        <v>3084</v>
      </c>
      <c r="H28" s="566">
        <f>+SUM(G28/F28)</f>
        <v>257</v>
      </c>
      <c r="I28" s="559"/>
    </row>
    <row r="29" spans="1:9" ht="13.5" thickBot="1">
      <c r="A29" s="367"/>
      <c r="B29" s="382"/>
      <c r="C29" s="368"/>
      <c r="D29" s="369"/>
      <c r="E29" s="368"/>
      <c r="F29" s="368"/>
      <c r="G29" s="368"/>
      <c r="H29" s="384"/>
      <c r="I29" s="384"/>
    </row>
    <row r="30" spans="1:9">
      <c r="A30" s="329">
        <v>46089</v>
      </c>
      <c r="B30" s="571" t="s">
        <v>489</v>
      </c>
      <c r="C30" s="572">
        <v>1</v>
      </c>
      <c r="D30" s="560" t="s">
        <v>503</v>
      </c>
      <c r="E30" s="560">
        <f>116*2+25</f>
        <v>257</v>
      </c>
      <c r="F30" s="560">
        <f>10+10</f>
        <v>20</v>
      </c>
      <c r="G30" s="572">
        <f>+E30*F30</f>
        <v>5140</v>
      </c>
      <c r="H30" s="566">
        <f>+SUM(G30/F30)</f>
        <v>257</v>
      </c>
      <c r="I30" s="559">
        <f>+'8'!I38</f>
        <v>37.067</v>
      </c>
    </row>
    <row r="31" spans="1:9">
      <c r="A31" s="570"/>
      <c r="B31" s="571" t="s">
        <v>536</v>
      </c>
      <c r="C31" s="572">
        <v>1</v>
      </c>
      <c r="D31" s="560" t="s">
        <v>554</v>
      </c>
      <c r="E31" s="560">
        <f>133*2</f>
        <v>266</v>
      </c>
      <c r="F31" s="560">
        <f>5+13+5+13+7</f>
        <v>43</v>
      </c>
      <c r="G31" s="572">
        <f>+E31*F31</f>
        <v>11438</v>
      </c>
      <c r="H31" s="566">
        <f>+SUM(G31/F31)</f>
        <v>266</v>
      </c>
      <c r="I31" s="559"/>
    </row>
    <row r="32" spans="1:9" ht="13.5" thickBot="1">
      <c r="A32" s="367"/>
      <c r="B32" s="382"/>
      <c r="C32" s="368"/>
      <c r="D32" s="369"/>
      <c r="E32" s="368"/>
      <c r="F32" s="368"/>
      <c r="G32" s="368"/>
      <c r="H32" s="384"/>
      <c r="I32" s="384"/>
    </row>
    <row r="33" spans="1:9">
      <c r="A33" s="570">
        <v>46090</v>
      </c>
      <c r="B33" s="571" t="s">
        <v>536</v>
      </c>
      <c r="C33" s="572">
        <v>1</v>
      </c>
      <c r="D33" s="560" t="s">
        <v>554</v>
      </c>
      <c r="E33" s="560">
        <f>133*2</f>
        <v>266</v>
      </c>
      <c r="F33" s="560">
        <f>13+7+13+9+5</f>
        <v>47</v>
      </c>
      <c r="G33" s="572">
        <f>+E33*F33</f>
        <v>12502</v>
      </c>
      <c r="H33" s="566">
        <f>+SUM(G33/F33)</f>
        <v>266</v>
      </c>
      <c r="I33" s="559">
        <f>+'9'!I38</f>
        <v>37.344999999999999</v>
      </c>
    </row>
    <row r="34" spans="1:9">
      <c r="A34" s="570"/>
      <c r="B34" s="571" t="s">
        <v>388</v>
      </c>
      <c r="C34" s="572">
        <v>1</v>
      </c>
      <c r="D34" s="560" t="s">
        <v>437</v>
      </c>
      <c r="E34" s="560">
        <f>275*1</f>
        <v>275</v>
      </c>
      <c r="F34" s="560">
        <v>8</v>
      </c>
      <c r="G34" s="572">
        <f>+E34*F34</f>
        <v>2200</v>
      </c>
      <c r="H34" s="566">
        <f>+SUM(G34/F34)</f>
        <v>275</v>
      </c>
      <c r="I34" s="559"/>
    </row>
    <row r="35" spans="1:9" ht="13.5" thickBot="1">
      <c r="A35" s="367"/>
      <c r="B35" s="382"/>
      <c r="C35" s="368"/>
      <c r="D35" s="369"/>
      <c r="E35" s="368"/>
      <c r="F35" s="368"/>
      <c r="G35" s="368"/>
      <c r="H35" s="384"/>
      <c r="I35" s="384"/>
    </row>
    <row r="36" spans="1:9">
      <c r="A36" s="570">
        <v>46091</v>
      </c>
      <c r="B36" s="571" t="s">
        <v>388</v>
      </c>
      <c r="C36" s="572">
        <v>1</v>
      </c>
      <c r="D36" s="560" t="s">
        <v>437</v>
      </c>
      <c r="E36" s="560">
        <f>275*1</f>
        <v>275</v>
      </c>
      <c r="F36" s="560">
        <v>25</v>
      </c>
      <c r="G36" s="572">
        <f>+E36*F36</f>
        <v>6875</v>
      </c>
      <c r="H36" s="566">
        <f>+SUM(G36/F36)</f>
        <v>275</v>
      </c>
      <c r="I36" s="559">
        <f>+'10'!I38</f>
        <v>39.841999999999999</v>
      </c>
    </row>
    <row r="37" spans="1:9" ht="13.5" thickBot="1">
      <c r="A37" s="367"/>
      <c r="B37" s="382"/>
      <c r="C37" s="368"/>
      <c r="D37" s="369"/>
      <c r="E37" s="368"/>
      <c r="F37" s="368"/>
      <c r="G37" s="368"/>
      <c r="H37" s="384"/>
      <c r="I37" s="384"/>
    </row>
    <row r="38" spans="1:9">
      <c r="A38" s="570">
        <v>46092</v>
      </c>
      <c r="B38" s="571" t="s">
        <v>388</v>
      </c>
      <c r="C38" s="572">
        <v>1</v>
      </c>
      <c r="D38" s="560" t="s">
        <v>437</v>
      </c>
      <c r="E38" s="560">
        <f>275*1</f>
        <v>275</v>
      </c>
      <c r="F38" s="560">
        <f>7+9+7</f>
        <v>23</v>
      </c>
      <c r="G38" s="572">
        <f>+E38*F38</f>
        <v>6325</v>
      </c>
      <c r="H38" s="566">
        <f>+SUM(G38/F38)</f>
        <v>275</v>
      </c>
      <c r="I38" s="559">
        <f>+'11'!I38</f>
        <v>40.427999999999997</v>
      </c>
    </row>
    <row r="39" spans="1:9">
      <c r="A39" s="570"/>
      <c r="B39" s="571" t="s">
        <v>585</v>
      </c>
      <c r="C39" s="572">
        <v>1</v>
      </c>
      <c r="D39" s="560" t="s">
        <v>590</v>
      </c>
      <c r="E39" s="560">
        <f>120*2+18</f>
        <v>258</v>
      </c>
      <c r="F39" s="560">
        <v>3</v>
      </c>
      <c r="G39" s="572">
        <f>+E39*F39</f>
        <v>774</v>
      </c>
      <c r="H39" s="566">
        <f>+SUM(G39/F39)</f>
        <v>258</v>
      </c>
      <c r="I39" s="559"/>
    </row>
    <row r="40" spans="1:9" ht="13.5" thickBot="1">
      <c r="A40" s="367"/>
      <c r="B40" s="382"/>
      <c r="C40" s="368"/>
      <c r="D40" s="369"/>
      <c r="E40" s="368"/>
      <c r="F40" s="368"/>
      <c r="G40" s="368"/>
      <c r="H40" s="384"/>
      <c r="I40" s="384"/>
    </row>
    <row r="41" spans="1:9">
      <c r="A41" s="570">
        <v>46093</v>
      </c>
      <c r="B41" s="571" t="s">
        <v>585</v>
      </c>
      <c r="C41" s="572">
        <v>1</v>
      </c>
      <c r="D41" s="560" t="s">
        <v>590</v>
      </c>
      <c r="E41" s="560">
        <f>120*2+18</f>
        <v>258</v>
      </c>
      <c r="F41" s="560">
        <f>10+9</f>
        <v>19</v>
      </c>
      <c r="G41" s="572">
        <f>+E41*F41</f>
        <v>4902</v>
      </c>
      <c r="H41" s="566">
        <f>+SUM(G41/F41)</f>
        <v>258</v>
      </c>
      <c r="I41" s="559">
        <f>+'12'!I38</f>
        <v>43.361000000000004</v>
      </c>
    </row>
    <row r="42" spans="1:9">
      <c r="A42" s="570"/>
      <c r="B42" s="571" t="s">
        <v>428</v>
      </c>
      <c r="C42" s="572">
        <v>1</v>
      </c>
      <c r="D42" s="560" t="s">
        <v>437</v>
      </c>
      <c r="E42" s="560">
        <f>275*1</f>
        <v>275</v>
      </c>
      <c r="F42" s="560">
        <f>3+9</f>
        <v>12</v>
      </c>
      <c r="G42" s="572">
        <f>+E42*F42</f>
        <v>3300</v>
      </c>
      <c r="H42" s="566">
        <f>+SUM(G42/F42)</f>
        <v>275</v>
      </c>
      <c r="I42" s="559"/>
    </row>
    <row r="43" spans="1:9">
      <c r="A43" s="570"/>
      <c r="B43" s="571" t="s">
        <v>532</v>
      </c>
      <c r="C43" s="572">
        <v>1</v>
      </c>
      <c r="D43" s="560" t="s">
        <v>554</v>
      </c>
      <c r="E43" s="560">
        <f>133*2</f>
        <v>266</v>
      </c>
      <c r="F43" s="560">
        <v>6</v>
      </c>
      <c r="G43" s="572">
        <f t="shared" ref="G43:G47" si="5">+E43*F43</f>
        <v>1596</v>
      </c>
      <c r="H43" s="566">
        <f>+(F43*E43+F44*E44)/SUM(F43:F44)</f>
        <v>265</v>
      </c>
      <c r="I43" s="559"/>
    </row>
    <row r="44" spans="1:9">
      <c r="A44" s="570"/>
      <c r="B44" s="571" t="s">
        <v>595</v>
      </c>
      <c r="C44" s="572">
        <v>1</v>
      </c>
      <c r="D44" s="560" t="s">
        <v>605</v>
      </c>
      <c r="E44" s="560">
        <f>132*2</f>
        <v>264</v>
      </c>
      <c r="F44" s="560">
        <f>4+2</f>
        <v>6</v>
      </c>
      <c r="G44" s="572">
        <f t="shared" si="5"/>
        <v>1584</v>
      </c>
      <c r="H44" s="566"/>
      <c r="I44" s="559"/>
    </row>
    <row r="45" spans="1:9" ht="13.5" thickBot="1">
      <c r="A45" s="367"/>
      <c r="B45" s="382"/>
      <c r="C45" s="368"/>
      <c r="D45" s="369"/>
      <c r="E45" s="368"/>
      <c r="F45" s="368"/>
      <c r="G45" s="368"/>
      <c r="H45" s="384"/>
      <c r="I45" s="384"/>
    </row>
    <row r="46" spans="1:9">
      <c r="A46" s="570">
        <v>46094</v>
      </c>
      <c r="B46" s="571" t="s">
        <v>595</v>
      </c>
      <c r="C46" s="572">
        <v>1</v>
      </c>
      <c r="D46" s="560" t="s">
        <v>605</v>
      </c>
      <c r="E46" s="560">
        <f>132*2</f>
        <v>264</v>
      </c>
      <c r="F46" s="560">
        <v>5</v>
      </c>
      <c r="G46" s="572">
        <f t="shared" si="5"/>
        <v>1320</v>
      </c>
      <c r="H46" s="566">
        <f>+SUM(G46/F46)</f>
        <v>264</v>
      </c>
      <c r="I46" s="559">
        <f>+'13'!I38</f>
        <v>40.203000000000003</v>
      </c>
    </row>
    <row r="47" spans="1:9">
      <c r="A47" s="570"/>
      <c r="B47" s="571" t="s">
        <v>614</v>
      </c>
      <c r="C47" s="572">
        <v>1</v>
      </c>
      <c r="D47" s="560" t="s">
        <v>622</v>
      </c>
      <c r="E47" s="560">
        <f>257*1</f>
        <v>257</v>
      </c>
      <c r="F47" s="560">
        <f>19+10+19</f>
        <v>48</v>
      </c>
      <c r="G47" s="572">
        <f t="shared" si="5"/>
        <v>12336</v>
      </c>
      <c r="H47" s="566">
        <f>+SUM(G47/F47)</f>
        <v>257</v>
      </c>
      <c r="I47" s="559"/>
    </row>
    <row r="48" spans="1:9" ht="13.5" thickBot="1">
      <c r="A48" s="367"/>
      <c r="B48" s="382"/>
      <c r="C48" s="368"/>
      <c r="D48" s="369"/>
      <c r="E48" s="368"/>
      <c r="F48" s="368"/>
      <c r="G48" s="368"/>
      <c r="H48" s="384"/>
      <c r="I48" s="384"/>
    </row>
    <row r="49" spans="1:9">
      <c r="A49" s="570">
        <v>46095</v>
      </c>
      <c r="B49" s="571" t="s">
        <v>595</v>
      </c>
      <c r="C49" s="572">
        <v>1</v>
      </c>
      <c r="D49" s="560" t="s">
        <v>658</v>
      </c>
      <c r="E49" s="560">
        <f>256.5*1</f>
        <v>256.5</v>
      </c>
      <c r="F49" s="560">
        <f>8+4+7</f>
        <v>19</v>
      </c>
      <c r="G49" s="572">
        <f t="shared" ref="G49:G50" si="6">+E49*F49</f>
        <v>4873.5</v>
      </c>
      <c r="H49" s="566">
        <f>+SUM(G49/F49)</f>
        <v>256.5</v>
      </c>
      <c r="I49" s="559">
        <f>+'14'!I38</f>
        <v>40.817</v>
      </c>
    </row>
    <row r="50" spans="1:9">
      <c r="A50" s="570"/>
      <c r="B50" s="571" t="s">
        <v>614</v>
      </c>
      <c r="C50" s="572">
        <v>1</v>
      </c>
      <c r="D50" s="560" t="s">
        <v>622</v>
      </c>
      <c r="E50" s="560">
        <f>257*1</f>
        <v>257</v>
      </c>
      <c r="F50" s="560">
        <v>8</v>
      </c>
      <c r="G50" s="572">
        <f t="shared" si="6"/>
        <v>2056</v>
      </c>
      <c r="H50" s="566">
        <f>+SUM(G50/F50)</f>
        <v>257</v>
      </c>
      <c r="I50" s="559"/>
    </row>
    <row r="51" spans="1:9" ht="13.5" thickBot="1">
      <c r="A51" s="367"/>
      <c r="B51" s="382"/>
      <c r="C51" s="368"/>
      <c r="D51" s="369"/>
      <c r="E51" s="368"/>
      <c r="F51" s="368"/>
      <c r="G51" s="368"/>
      <c r="H51" s="384"/>
      <c r="I51" s="384"/>
    </row>
    <row r="52" spans="1:9">
      <c r="A52" s="570">
        <v>46096</v>
      </c>
      <c r="B52" s="571" t="s">
        <v>595</v>
      </c>
      <c r="C52" s="572">
        <v>1</v>
      </c>
      <c r="D52" s="560" t="s">
        <v>658</v>
      </c>
      <c r="E52" s="560">
        <f>256.5*1</f>
        <v>256.5</v>
      </c>
      <c r="F52" s="560">
        <v>23</v>
      </c>
      <c r="G52" s="572">
        <f t="shared" ref="G52" si="7">+E52*F52</f>
        <v>5899.5</v>
      </c>
      <c r="H52" s="566">
        <f>+SUM(G52/F52)</f>
        <v>256.5</v>
      </c>
      <c r="I52" s="559">
        <f>+'15'!I38</f>
        <v>41.332000000000001</v>
      </c>
    </row>
    <row r="53" spans="1:9" ht="13.5" thickBot="1">
      <c r="A53" s="367"/>
      <c r="B53" s="382"/>
      <c r="C53" s="368"/>
      <c r="D53" s="369"/>
      <c r="E53" s="368"/>
      <c r="F53" s="368"/>
      <c r="G53" s="368"/>
      <c r="H53" s="384"/>
      <c r="I53" s="384"/>
    </row>
    <row r="54" spans="1:9">
      <c r="A54" s="570">
        <v>46097</v>
      </c>
      <c r="B54" s="571" t="s">
        <v>595</v>
      </c>
      <c r="C54" s="572">
        <v>1</v>
      </c>
      <c r="D54" s="560" t="s">
        <v>658</v>
      </c>
      <c r="E54" s="560">
        <f>256.5*1</f>
        <v>256.5</v>
      </c>
      <c r="F54" s="560">
        <f>3+8+8</f>
        <v>19</v>
      </c>
      <c r="G54" s="572">
        <f t="shared" ref="G54:G55" si="8">+E54*F54</f>
        <v>4873.5</v>
      </c>
      <c r="H54" s="566">
        <f>+SUM(G54/F54)</f>
        <v>256.5</v>
      </c>
      <c r="I54" s="559">
        <f>+'16'!I38</f>
        <v>41.796999999999997</v>
      </c>
    </row>
    <row r="55" spans="1:9">
      <c r="A55" s="570"/>
      <c r="B55" s="571" t="s">
        <v>614</v>
      </c>
      <c r="C55" s="572">
        <v>1</v>
      </c>
      <c r="D55" s="560" t="s">
        <v>622</v>
      </c>
      <c r="E55" s="560">
        <f>257*1</f>
        <v>257</v>
      </c>
      <c r="F55" s="560">
        <v>8</v>
      </c>
      <c r="G55" s="572">
        <f t="shared" si="8"/>
        <v>2056</v>
      </c>
      <c r="H55" s="566">
        <f>+SUM(G55/F55)</f>
        <v>257</v>
      </c>
      <c r="I55" s="559"/>
    </row>
    <row r="56" spans="1:9" ht="13.5" thickBot="1">
      <c r="A56" s="367"/>
      <c r="B56" s="382"/>
      <c r="C56" s="368"/>
      <c r="D56" s="369"/>
      <c r="E56" s="368"/>
      <c r="F56" s="368"/>
      <c r="G56" s="368"/>
      <c r="H56" s="384"/>
      <c r="I56" s="384"/>
    </row>
    <row r="57" spans="1:9">
      <c r="A57" s="570">
        <v>46098</v>
      </c>
      <c r="B57" s="571" t="s">
        <v>614</v>
      </c>
      <c r="C57" s="572">
        <v>1</v>
      </c>
      <c r="D57" s="560" t="s">
        <v>622</v>
      </c>
      <c r="E57" s="560">
        <f>257*1</f>
        <v>257</v>
      </c>
      <c r="F57" s="560">
        <v>8</v>
      </c>
      <c r="G57" s="572">
        <f t="shared" ref="G57" si="9">+E57*F57</f>
        <v>2056</v>
      </c>
      <c r="H57" s="566">
        <f>+SUM(G57/F57)</f>
        <v>257</v>
      </c>
      <c r="I57" s="559">
        <f>+'17'!I38</f>
        <v>5.4</v>
      </c>
    </row>
    <row r="58" spans="1:9" ht="13.5" thickBot="1">
      <c r="A58" s="367"/>
      <c r="B58" s="382"/>
      <c r="C58" s="368"/>
      <c r="D58" s="369"/>
      <c r="E58" s="368"/>
      <c r="F58" s="368"/>
      <c r="G58" s="368"/>
      <c r="H58" s="384"/>
      <c r="I58" s="384"/>
    </row>
    <row r="59" spans="1:9">
      <c r="A59" s="570">
        <v>46099</v>
      </c>
      <c r="B59" s="571" t="s">
        <v>614</v>
      </c>
      <c r="C59" s="572">
        <v>1</v>
      </c>
      <c r="D59" s="560" t="s">
        <v>688</v>
      </c>
      <c r="E59" s="560">
        <f>256*1</f>
        <v>256</v>
      </c>
      <c r="F59" s="560">
        <v>0</v>
      </c>
      <c r="G59" s="572">
        <f t="shared" ref="G59" si="10">+E59*F59</f>
        <v>0</v>
      </c>
      <c r="H59" s="566">
        <f>+E59</f>
        <v>256</v>
      </c>
      <c r="I59" s="559" t="s">
        <v>491</v>
      </c>
    </row>
    <row r="60" spans="1:9" ht="13.5" thickBot="1">
      <c r="A60" s="367"/>
      <c r="B60" s="382"/>
      <c r="C60" s="368"/>
      <c r="D60" s="369"/>
      <c r="E60" s="368"/>
      <c r="F60" s="368"/>
      <c r="G60" s="368"/>
      <c r="H60" s="384"/>
      <c r="I60" s="384"/>
    </row>
    <row r="61" spans="1:9">
      <c r="A61" s="570">
        <v>46100</v>
      </c>
      <c r="B61" s="571" t="s">
        <v>614</v>
      </c>
      <c r="C61" s="572">
        <v>1</v>
      </c>
      <c r="D61" s="560" t="s">
        <v>688</v>
      </c>
      <c r="E61" s="560">
        <f>256*1</f>
        <v>256</v>
      </c>
      <c r="F61" s="560">
        <v>0</v>
      </c>
      <c r="G61" s="572">
        <f t="shared" ref="G61" si="11">+E61*F61</f>
        <v>0</v>
      </c>
      <c r="H61" s="566">
        <f>+E61</f>
        <v>256</v>
      </c>
      <c r="I61" s="559" t="s">
        <v>491</v>
      </c>
    </row>
    <row r="62" spans="1:9" ht="13.5" thickBot="1">
      <c r="A62" s="367"/>
      <c r="B62" s="382"/>
      <c r="C62" s="368"/>
      <c r="D62" s="369"/>
      <c r="E62" s="368"/>
      <c r="F62" s="368"/>
      <c r="G62" s="368"/>
      <c r="H62" s="384"/>
      <c r="I62" s="384"/>
    </row>
    <row r="63" spans="1:9">
      <c r="A63" s="570">
        <v>46101</v>
      </c>
      <c r="B63" s="571" t="s">
        <v>614</v>
      </c>
      <c r="C63" s="572">
        <v>1</v>
      </c>
      <c r="D63" s="560" t="s">
        <v>688</v>
      </c>
      <c r="E63" s="560">
        <f>256*1</f>
        <v>256</v>
      </c>
      <c r="F63" s="560">
        <v>0</v>
      </c>
      <c r="G63" s="572">
        <f t="shared" ref="G63" si="12">+E63*F63</f>
        <v>0</v>
      </c>
      <c r="H63" s="566">
        <f>+E63</f>
        <v>256</v>
      </c>
      <c r="I63" s="559" t="s">
        <v>491</v>
      </c>
    </row>
    <row r="64" spans="1:9" ht="13.5" thickBot="1">
      <c r="A64" s="367"/>
      <c r="B64" s="382"/>
      <c r="C64" s="368"/>
      <c r="D64" s="369"/>
      <c r="E64" s="368"/>
      <c r="F64" s="368"/>
      <c r="G64" s="368"/>
      <c r="H64" s="384"/>
      <c r="I64" s="384"/>
    </row>
    <row r="65" spans="1:9">
      <c r="A65" s="570">
        <v>46102</v>
      </c>
      <c r="B65" s="571" t="s">
        <v>614</v>
      </c>
      <c r="C65" s="572">
        <v>1</v>
      </c>
      <c r="D65" s="560" t="s">
        <v>688</v>
      </c>
      <c r="E65" s="560">
        <f>256*1</f>
        <v>256</v>
      </c>
      <c r="F65" s="560">
        <v>0</v>
      </c>
      <c r="G65" s="572">
        <f t="shared" ref="G65" si="13">+E65*F65</f>
        <v>0</v>
      </c>
      <c r="H65" s="566">
        <f>+E65</f>
        <v>256</v>
      </c>
      <c r="I65" s="559" t="s">
        <v>491</v>
      </c>
    </row>
    <row r="66" spans="1:9" ht="13.5" thickBot="1">
      <c r="A66" s="367"/>
      <c r="B66" s="382"/>
      <c r="C66" s="368"/>
      <c r="D66" s="369"/>
      <c r="E66" s="368"/>
      <c r="F66" s="368"/>
      <c r="G66" s="368"/>
      <c r="H66" s="384"/>
      <c r="I66" s="384"/>
    </row>
    <row r="67" spans="1:9">
      <c r="A67" s="570">
        <v>46103</v>
      </c>
      <c r="B67" s="571" t="s">
        <v>614</v>
      </c>
      <c r="C67" s="572">
        <v>1</v>
      </c>
      <c r="D67" s="560" t="s">
        <v>688</v>
      </c>
      <c r="E67" s="560">
        <f>256*1</f>
        <v>256</v>
      </c>
      <c r="F67" s="560">
        <v>0</v>
      </c>
      <c r="G67" s="572">
        <f t="shared" ref="G67" si="14">+E67*F67</f>
        <v>0</v>
      </c>
      <c r="H67" s="566">
        <f>+E67</f>
        <v>256</v>
      </c>
      <c r="I67" s="559" t="s">
        <v>491</v>
      </c>
    </row>
    <row r="68" spans="1:9" ht="13.5" thickBot="1">
      <c r="A68" s="367"/>
      <c r="B68" s="382"/>
      <c r="C68" s="368"/>
      <c r="D68" s="369"/>
      <c r="E68" s="368"/>
      <c r="F68" s="368"/>
      <c r="G68" s="368"/>
      <c r="H68" s="384"/>
      <c r="I68" s="384"/>
    </row>
    <row r="69" spans="1:9">
      <c r="A69" s="570">
        <v>46104</v>
      </c>
      <c r="B69" s="571" t="s">
        <v>614</v>
      </c>
      <c r="C69" s="572">
        <v>1</v>
      </c>
      <c r="D69" s="560" t="s">
        <v>688</v>
      </c>
      <c r="E69" s="560">
        <f>256*1</f>
        <v>256</v>
      </c>
      <c r="F69" s="560">
        <v>0</v>
      </c>
      <c r="G69" s="572">
        <f t="shared" ref="G69" si="15">+E69*F69</f>
        <v>0</v>
      </c>
      <c r="H69" s="566">
        <f>+E69</f>
        <v>256</v>
      </c>
      <c r="I69" s="559" t="s">
        <v>491</v>
      </c>
    </row>
    <row r="70" spans="1:9" ht="13.5" thickBot="1">
      <c r="A70" s="367"/>
      <c r="B70" s="382"/>
      <c r="C70" s="368"/>
      <c r="D70" s="369"/>
      <c r="E70" s="368"/>
      <c r="F70" s="368"/>
      <c r="G70" s="368"/>
      <c r="H70" s="384"/>
      <c r="I70" s="384"/>
    </row>
    <row r="71" spans="1:9">
      <c r="A71" s="570">
        <v>46105</v>
      </c>
      <c r="B71" s="571" t="s">
        <v>532</v>
      </c>
      <c r="C71" s="572">
        <v>1</v>
      </c>
      <c r="D71" s="560" t="s">
        <v>554</v>
      </c>
      <c r="E71" s="560">
        <f>133*2</f>
        <v>266</v>
      </c>
      <c r="F71" s="560">
        <v>23</v>
      </c>
      <c r="G71" s="572">
        <f t="shared" ref="G71:G72" si="16">+E71*F71</f>
        <v>6118</v>
      </c>
      <c r="H71" s="566">
        <f>+SUM(G71/F71)</f>
        <v>266</v>
      </c>
      <c r="I71" s="559">
        <f>+'24'!I38</f>
        <v>34.495000000000005</v>
      </c>
    </row>
    <row r="72" spans="1:9">
      <c r="A72" s="570"/>
      <c r="B72" s="571" t="s">
        <v>614</v>
      </c>
      <c r="C72" s="572">
        <v>1</v>
      </c>
      <c r="D72" s="560" t="s">
        <v>622</v>
      </c>
      <c r="E72" s="560">
        <f>257*1</f>
        <v>257</v>
      </c>
      <c r="F72" s="560">
        <v>10</v>
      </c>
      <c r="G72" s="572">
        <f t="shared" si="16"/>
        <v>2570</v>
      </c>
      <c r="H72" s="566">
        <f>+SUM(G72/F72)</f>
        <v>257</v>
      </c>
      <c r="I72" s="559"/>
    </row>
    <row r="73" spans="1:9" ht="13.5" thickBot="1">
      <c r="A73" s="367"/>
      <c r="B73" s="382"/>
      <c r="C73" s="368"/>
      <c r="D73" s="369"/>
      <c r="E73" s="368"/>
      <c r="F73" s="368"/>
      <c r="G73" s="368"/>
      <c r="H73" s="384"/>
      <c r="I73" s="384"/>
    </row>
    <row r="74" spans="1:9">
      <c r="A74" s="595">
        <v>46106</v>
      </c>
      <c r="B74" s="571" t="s">
        <v>614</v>
      </c>
      <c r="C74" s="572">
        <v>1</v>
      </c>
      <c r="D74" s="560" t="s">
        <v>622</v>
      </c>
      <c r="E74" s="560">
        <f>257*1</f>
        <v>257</v>
      </c>
      <c r="F74" s="560">
        <f>18+17+9</f>
        <v>44</v>
      </c>
      <c r="G74" s="572">
        <f t="shared" ref="G74:G75" si="17">+E74*F74</f>
        <v>11308</v>
      </c>
      <c r="H74" s="566">
        <f>+SUM(F74*E74+F75*E75)/SUM(F74:F75)</f>
        <v>256.83018867924528</v>
      </c>
      <c r="I74" s="559">
        <f>+'25'!I38</f>
        <v>37.927</v>
      </c>
    </row>
    <row r="75" spans="1:9">
      <c r="A75" s="595"/>
      <c r="B75" s="571" t="s">
        <v>614</v>
      </c>
      <c r="C75" s="572">
        <v>1</v>
      </c>
      <c r="D75" s="560" t="s">
        <v>688</v>
      </c>
      <c r="E75" s="560">
        <f>256*1</f>
        <v>256</v>
      </c>
      <c r="F75" s="560">
        <v>9</v>
      </c>
      <c r="G75" s="572">
        <f t="shared" si="17"/>
        <v>2304</v>
      </c>
      <c r="H75" s="559"/>
      <c r="I75" s="559"/>
    </row>
    <row r="76" spans="1:9" ht="13.5" thickBot="1">
      <c r="A76" s="367"/>
      <c r="B76" s="382"/>
      <c r="C76" s="368"/>
      <c r="D76" s="369"/>
      <c r="E76" s="368"/>
      <c r="F76" s="368"/>
      <c r="G76" s="368"/>
      <c r="H76" s="384"/>
      <c r="I76" s="384"/>
    </row>
    <row r="77" spans="1:9">
      <c r="A77" s="570">
        <v>46107</v>
      </c>
      <c r="B77" s="571" t="s">
        <v>614</v>
      </c>
      <c r="C77" s="572">
        <v>1</v>
      </c>
      <c r="D77" s="560" t="s">
        <v>688</v>
      </c>
      <c r="E77" s="560">
        <f>256*1</f>
        <v>256</v>
      </c>
      <c r="F77" s="560">
        <v>8</v>
      </c>
      <c r="G77" s="572">
        <f t="shared" ref="G77" si="18">+E77*F77</f>
        <v>2048</v>
      </c>
      <c r="H77" s="566">
        <f>+SUM(G77/F77)</f>
        <v>256</v>
      </c>
      <c r="I77" s="559">
        <f>+'26'!I38</f>
        <v>38.550000000000004</v>
      </c>
    </row>
    <row r="78" spans="1:9">
      <c r="A78" s="570"/>
      <c r="B78" s="571" t="s">
        <v>595</v>
      </c>
      <c r="C78" s="572">
        <v>1</v>
      </c>
      <c r="D78" s="560" t="s">
        <v>658</v>
      </c>
      <c r="E78" s="560">
        <f>256.5*1</f>
        <v>256.5</v>
      </c>
      <c r="F78" s="560">
        <f>4+8+7</f>
        <v>19</v>
      </c>
      <c r="G78" s="572">
        <f t="shared" ref="G78" si="19">+E78*F78</f>
        <v>4873.5</v>
      </c>
      <c r="H78" s="566">
        <f>+SUM(G78/F78)</f>
        <v>256.5</v>
      </c>
      <c r="I78" s="559"/>
    </row>
    <row r="79" spans="1:9" ht="13.5" thickBot="1">
      <c r="A79" s="367"/>
      <c r="B79" s="382"/>
      <c r="C79" s="368"/>
      <c r="D79" s="369"/>
      <c r="E79" s="368"/>
      <c r="F79" s="368"/>
      <c r="G79" s="368"/>
      <c r="H79" s="384"/>
      <c r="I79" s="384"/>
    </row>
    <row r="80" spans="1:9">
      <c r="A80" s="595">
        <v>46108</v>
      </c>
      <c r="B80" s="571" t="s">
        <v>595</v>
      </c>
      <c r="C80" s="572">
        <v>1</v>
      </c>
      <c r="D80" s="560" t="s">
        <v>658</v>
      </c>
      <c r="E80" s="560">
        <f>256.5*1</f>
        <v>256.5</v>
      </c>
      <c r="F80" s="560">
        <f>7+7+8</f>
        <v>22</v>
      </c>
      <c r="G80" s="572">
        <f t="shared" ref="G80:G82" si="20">+E80*F80</f>
        <v>5643</v>
      </c>
      <c r="H80" s="566">
        <f>+SUM(F80*E80+F81*E81)/SUM(F80:F81)</f>
        <v>255.91666666666666</v>
      </c>
      <c r="I80" s="559">
        <f>+'27'!I38</f>
        <v>40.481000000000002</v>
      </c>
    </row>
    <row r="81" spans="1:10">
      <c r="A81" s="595"/>
      <c r="B81" s="571" t="s">
        <v>595</v>
      </c>
      <c r="C81" s="572">
        <v>1</v>
      </c>
      <c r="D81" s="560" t="s">
        <v>777</v>
      </c>
      <c r="E81" s="560">
        <f>249.5*1</f>
        <v>249.5</v>
      </c>
      <c r="F81" s="560">
        <v>2</v>
      </c>
      <c r="G81" s="572">
        <f t="shared" si="20"/>
        <v>499</v>
      </c>
      <c r="H81" s="559"/>
      <c r="I81" s="559"/>
    </row>
    <row r="82" spans="1:10">
      <c r="A82" s="595"/>
      <c r="B82" s="571" t="s">
        <v>595</v>
      </c>
      <c r="C82" s="572">
        <v>1</v>
      </c>
      <c r="D82" s="560" t="s">
        <v>622</v>
      </c>
      <c r="E82" s="560">
        <f>257*1</f>
        <v>257</v>
      </c>
      <c r="F82" s="560">
        <f>5+5</f>
        <v>10</v>
      </c>
      <c r="G82" s="572">
        <f t="shared" si="20"/>
        <v>2570</v>
      </c>
      <c r="H82" s="559">
        <f>+SUM(G82/F82)</f>
        <v>257</v>
      </c>
      <c r="I82" s="559"/>
      <c r="J82" t="s">
        <v>776</v>
      </c>
    </row>
    <row r="83" spans="1:10" ht="13.5" thickBot="1">
      <c r="A83" s="367"/>
      <c r="B83" s="382"/>
      <c r="C83" s="368"/>
      <c r="D83" s="369"/>
      <c r="E83" s="368"/>
      <c r="F83" s="368"/>
      <c r="G83" s="368"/>
      <c r="H83" s="384"/>
      <c r="I83" s="384"/>
    </row>
    <row r="84" spans="1:10">
      <c r="A84" s="595">
        <v>46109</v>
      </c>
      <c r="B84" s="571" t="s">
        <v>595</v>
      </c>
      <c r="C84" s="572">
        <v>1</v>
      </c>
      <c r="D84" s="560" t="s">
        <v>658</v>
      </c>
      <c r="E84" s="560">
        <f>256.5*1</f>
        <v>256.5</v>
      </c>
      <c r="F84" s="560">
        <f>7+6+9</f>
        <v>22</v>
      </c>
      <c r="G84" s="572">
        <f t="shared" ref="G84" si="21">+E84*F84</f>
        <v>5643</v>
      </c>
      <c r="H84" s="566">
        <f>+SUM(G84/F84)</f>
        <v>256.5</v>
      </c>
      <c r="I84" s="559">
        <f>+'28'!I38</f>
        <v>41.347000000000001</v>
      </c>
    </row>
    <row r="85" spans="1:10">
      <c r="A85" s="595"/>
      <c r="B85" s="571" t="s">
        <v>595</v>
      </c>
      <c r="C85" s="572">
        <v>1</v>
      </c>
      <c r="D85" s="560" t="s">
        <v>622</v>
      </c>
      <c r="E85" s="560">
        <f>257*1</f>
        <v>257</v>
      </c>
      <c r="F85" s="560">
        <f>4+5+6</f>
        <v>15</v>
      </c>
      <c r="G85" s="572">
        <f t="shared" ref="G85" si="22">+E85*F85</f>
        <v>3855</v>
      </c>
      <c r="H85" s="559">
        <f>+SUM(G85/F85)</f>
        <v>257</v>
      </c>
      <c r="I85" s="559"/>
      <c r="J85" t="s">
        <v>776</v>
      </c>
    </row>
    <row r="86" spans="1:10" ht="13.5" thickBot="1">
      <c r="A86" s="367"/>
      <c r="B86" s="382"/>
      <c r="C86" s="368"/>
      <c r="D86" s="369"/>
      <c r="E86" s="368"/>
      <c r="F86" s="368"/>
      <c r="G86" s="368"/>
      <c r="H86" s="384"/>
      <c r="I86" s="384"/>
    </row>
    <row r="87" spans="1:10">
      <c r="A87" s="595">
        <v>46110</v>
      </c>
      <c r="B87" s="571" t="s">
        <v>595</v>
      </c>
      <c r="C87" s="572">
        <v>1</v>
      </c>
      <c r="D87" s="560" t="s">
        <v>658</v>
      </c>
      <c r="E87" s="560">
        <f>256.5*1</f>
        <v>256.5</v>
      </c>
      <c r="F87" s="560">
        <f>7+8+7</f>
        <v>22</v>
      </c>
      <c r="G87" s="572">
        <f t="shared" ref="G87" si="23">+E87*F87</f>
        <v>5643</v>
      </c>
      <c r="H87" s="566">
        <f>+SUM(G87/F87)</f>
        <v>256.5</v>
      </c>
      <c r="I87" s="559">
        <f>+'29'!I38</f>
        <v>39.832999999999998</v>
      </c>
    </row>
    <row r="88" spans="1:10">
      <c r="A88" s="595"/>
      <c r="B88" s="571" t="s">
        <v>595</v>
      </c>
      <c r="C88" s="572">
        <v>1</v>
      </c>
      <c r="D88" s="560" t="s">
        <v>622</v>
      </c>
      <c r="E88" s="560">
        <f>257*1</f>
        <v>257</v>
      </c>
      <c r="F88" s="560">
        <f>2+6</f>
        <v>8</v>
      </c>
      <c r="G88" s="572">
        <f t="shared" ref="G88" si="24">+E88*F88</f>
        <v>2056</v>
      </c>
      <c r="H88" s="559">
        <f>+SUM(G88/F88)</f>
        <v>257</v>
      </c>
      <c r="I88" s="559"/>
      <c r="J88" t="s">
        <v>776</v>
      </c>
    </row>
    <row r="89" spans="1:10" ht="13.5" thickBot="1">
      <c r="A89" s="367"/>
      <c r="B89" s="382"/>
      <c r="C89" s="368"/>
      <c r="D89" s="369"/>
      <c r="E89" s="368"/>
      <c r="F89" s="368"/>
      <c r="G89" s="368"/>
      <c r="H89" s="384"/>
      <c r="I89" s="384"/>
    </row>
    <row r="90" spans="1:10">
      <c r="A90" s="595">
        <v>46111</v>
      </c>
      <c r="B90" s="571" t="s">
        <v>595</v>
      </c>
      <c r="C90" s="572">
        <v>1</v>
      </c>
      <c r="D90" s="560" t="s">
        <v>658</v>
      </c>
      <c r="E90" s="560">
        <f>256.5*1</f>
        <v>256.5</v>
      </c>
      <c r="F90" s="560">
        <v>4</v>
      </c>
      <c r="G90" s="572">
        <f t="shared" ref="G90:G92" si="25">+E90*F90</f>
        <v>1026</v>
      </c>
      <c r="H90" s="566">
        <f>+SUM(F90*E90+F91*E91)/SUM(F90:F91)</f>
        <v>253</v>
      </c>
      <c r="I90" s="559">
        <f>+'30'!I38</f>
        <v>37.869</v>
      </c>
    </row>
    <row r="91" spans="1:10">
      <c r="A91" s="595"/>
      <c r="B91" s="571" t="s">
        <v>595</v>
      </c>
      <c r="C91" s="572">
        <v>1</v>
      </c>
      <c r="D91" s="560" t="s">
        <v>777</v>
      </c>
      <c r="E91" s="560">
        <f>249.5*1</f>
        <v>249.5</v>
      </c>
      <c r="F91" s="560">
        <v>4</v>
      </c>
      <c r="G91" s="572">
        <f t="shared" si="25"/>
        <v>998</v>
      </c>
      <c r="H91" s="559"/>
      <c r="I91" s="559"/>
    </row>
    <row r="92" spans="1:10">
      <c r="A92" s="595"/>
      <c r="B92" s="571" t="s">
        <v>536</v>
      </c>
      <c r="C92" s="572">
        <v>1</v>
      </c>
      <c r="D92" s="560" t="s">
        <v>554</v>
      </c>
      <c r="E92" s="560">
        <f>133*2</f>
        <v>266</v>
      </c>
      <c r="F92" s="560">
        <f>78/2</f>
        <v>39</v>
      </c>
      <c r="G92" s="572">
        <f t="shared" si="25"/>
        <v>10374</v>
      </c>
      <c r="H92" s="559">
        <f>+SUM(G92/F92)</f>
        <v>266</v>
      </c>
      <c r="I92" s="559"/>
    </row>
    <row r="93" spans="1:10" ht="13.5" thickBot="1">
      <c r="A93" s="367"/>
      <c r="B93" s="382"/>
      <c r="C93" s="368"/>
      <c r="D93" s="369"/>
      <c r="E93" s="368"/>
      <c r="F93" s="368"/>
      <c r="G93" s="368"/>
      <c r="H93" s="384"/>
      <c r="I93" s="384"/>
    </row>
    <row r="94" spans="1:10">
      <c r="A94" s="595">
        <v>46112</v>
      </c>
      <c r="B94" s="571" t="s">
        <v>536</v>
      </c>
      <c r="C94" s="572">
        <v>1</v>
      </c>
      <c r="D94" s="560" t="s">
        <v>554</v>
      </c>
      <c r="E94" s="560">
        <f>133*2</f>
        <v>266</v>
      </c>
      <c r="F94" s="560">
        <f>110/2</f>
        <v>55</v>
      </c>
      <c r="G94" s="572">
        <f t="shared" ref="G94" si="26">+E94*F94</f>
        <v>14630</v>
      </c>
      <c r="H94" s="559">
        <f>+SUM(G94/F94)</f>
        <v>266</v>
      </c>
      <c r="I94" s="559">
        <f>+'31'!I38</f>
        <v>36.242000000000004</v>
      </c>
    </row>
    <row r="95" spans="1:10" ht="13.5" thickBot="1">
      <c r="A95" s="367"/>
      <c r="B95" s="382"/>
      <c r="C95" s="368"/>
      <c r="D95" s="369"/>
      <c r="E95" s="368"/>
      <c r="F95" s="368"/>
      <c r="G95" s="368"/>
      <c r="H95" s="384"/>
      <c r="I95" s="384"/>
    </row>
  </sheetData>
  <phoneticPr fontId="32"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95"/>
  <sheetViews>
    <sheetView zoomScale="90" zoomScaleNormal="90" workbookViewId="0">
      <pane xSplit="6" ySplit="6" topLeftCell="AD145" activePane="bottomRight" state="frozen"/>
      <selection pane="topRight" activeCell="F1" sqref="F1"/>
      <selection pane="bottomLeft" activeCell="A7" sqref="A7"/>
      <selection pane="bottomRight" activeCell="BD6" sqref="BD6:BF156"/>
    </sheetView>
  </sheetViews>
  <sheetFormatPr defaultColWidth="10.28515625" defaultRowHeight="12"/>
  <cols>
    <col min="1" max="1" width="12.28515625" style="28" customWidth="1"/>
    <col min="2" max="3" width="14.140625" style="28" customWidth="1"/>
    <col min="4" max="4" width="10.28515625" style="28" customWidth="1"/>
    <col min="5" max="5" width="7.5703125" style="28" bestFit="1" customWidth="1"/>
    <col min="6" max="6" width="7" style="53" customWidth="1"/>
    <col min="7" max="9" width="10.28515625" style="28" customWidth="1"/>
    <col min="10" max="11" width="10.28515625" style="82" customWidth="1"/>
    <col min="12" max="13" width="12.7109375" style="54" customWidth="1"/>
    <col min="14" max="15" width="10.28515625" style="28" customWidth="1"/>
    <col min="16" max="16" width="16.85546875" style="28" bestFit="1" customWidth="1"/>
    <col min="17" max="17" width="12.7109375" style="331" customWidth="1"/>
    <col min="18" max="18" width="12.7109375" style="28" bestFit="1" customWidth="1"/>
    <col min="19" max="19" width="12" style="28" bestFit="1" customWidth="1"/>
    <col min="20" max="20" width="10.7109375" style="28" customWidth="1"/>
    <col min="21" max="21" width="11.85546875" style="28" customWidth="1"/>
    <col min="22" max="22" width="12.28515625" style="28" customWidth="1"/>
    <col min="23" max="23" width="13" style="28" customWidth="1"/>
    <col min="24" max="24" width="10.28515625" style="28" customWidth="1"/>
    <col min="25" max="25" width="10.140625" style="28" customWidth="1"/>
    <col min="26" max="28" width="10.28515625" style="28" customWidth="1"/>
    <col min="29" max="29" width="18.42578125" style="28" bestFit="1" customWidth="1"/>
    <col min="30" max="30" width="11.42578125" style="28" bestFit="1" customWidth="1"/>
    <col min="31" max="31" width="41.42578125" style="28" customWidth="1"/>
    <col min="32" max="38" width="10.28515625" style="28" hidden="1" customWidth="1"/>
    <col min="39" max="39" width="11.7109375" style="28" hidden="1" customWidth="1"/>
    <col min="40" max="41" width="10.28515625" style="28" hidden="1" customWidth="1"/>
    <col min="42" max="43" width="12.42578125" style="28" hidden="1" customWidth="1"/>
    <col min="44" max="44" width="29.7109375" style="28" hidden="1" customWidth="1"/>
    <col min="45" max="47" width="10.28515625" style="28" hidden="1" customWidth="1"/>
    <col min="48" max="49" width="10.28515625" style="28" customWidth="1"/>
    <col min="50" max="53" width="10.28515625" style="28" hidden="1" customWidth="1"/>
    <col min="54" max="16384" width="10.28515625" style="28"/>
  </cols>
  <sheetData>
    <row r="1" spans="1:58" s="21" customFormat="1" ht="15.75">
      <c r="A1" s="20" t="s">
        <v>186</v>
      </c>
      <c r="G1" s="22"/>
      <c r="H1" s="22"/>
      <c r="I1" s="22"/>
      <c r="J1" s="79"/>
      <c r="K1" s="79"/>
      <c r="L1" s="23"/>
      <c r="M1" s="23"/>
      <c r="O1" s="22"/>
      <c r="P1" s="24"/>
      <c r="Q1" s="22"/>
      <c r="R1" s="24"/>
      <c r="S1" s="24"/>
      <c r="W1" s="24"/>
      <c r="X1" s="25"/>
      <c r="Y1" s="25"/>
      <c r="Z1" s="24"/>
      <c r="AF1" s="24"/>
      <c r="AG1" s="24"/>
      <c r="AH1" s="24"/>
      <c r="AI1" s="24"/>
      <c r="AJ1" s="24"/>
      <c r="AK1" s="24"/>
      <c r="AL1" s="24"/>
      <c r="AM1" s="24"/>
      <c r="AN1" s="24"/>
      <c r="AO1" s="24"/>
      <c r="AP1" s="24"/>
      <c r="AQ1" s="24"/>
      <c r="AR1" s="24"/>
      <c r="AS1" s="24"/>
      <c r="AT1" s="24"/>
      <c r="AU1" s="24"/>
      <c r="AV1" s="24"/>
      <c r="AW1" s="24"/>
      <c r="AX1" s="24"/>
      <c r="AY1" s="24"/>
      <c r="AZ1" s="24"/>
      <c r="BA1" s="24"/>
    </row>
    <row r="2" spans="1:58" s="21" customFormat="1">
      <c r="A2" s="89"/>
      <c r="G2" s="22"/>
      <c r="H2" s="22"/>
      <c r="I2" s="22"/>
      <c r="J2" s="79"/>
      <c r="K2" s="79"/>
      <c r="L2" s="23"/>
      <c r="M2" s="23"/>
      <c r="O2" s="22"/>
      <c r="P2" s="24"/>
      <c r="Q2" s="22"/>
      <c r="R2" s="24"/>
      <c r="S2" s="24"/>
      <c r="W2" s="24"/>
      <c r="X2" s="25"/>
      <c r="Y2" s="25"/>
      <c r="Z2" s="24"/>
      <c r="AF2" s="24"/>
      <c r="AG2" s="24"/>
      <c r="AH2" s="24"/>
      <c r="AI2" s="24"/>
      <c r="AJ2" s="24"/>
      <c r="AK2" s="24"/>
      <c r="AL2" s="24"/>
      <c r="AM2" s="24"/>
      <c r="AN2" s="24"/>
      <c r="AO2" s="24"/>
      <c r="AP2" s="24"/>
      <c r="AQ2" s="24"/>
      <c r="AR2" s="24"/>
      <c r="AS2" s="24"/>
      <c r="AT2" s="24"/>
      <c r="AU2" s="24"/>
      <c r="AV2" s="24"/>
      <c r="AW2" s="24"/>
      <c r="AX2" s="24"/>
      <c r="AY2" s="24"/>
      <c r="AZ2" s="24"/>
      <c r="BA2" s="24"/>
    </row>
    <row r="3" spans="1:58" ht="24" customHeight="1">
      <c r="A3" s="645" t="s">
        <v>8</v>
      </c>
      <c r="B3" s="645" t="s">
        <v>9</v>
      </c>
      <c r="C3" s="645" t="s">
        <v>181</v>
      </c>
      <c r="D3" s="645" t="s">
        <v>91</v>
      </c>
      <c r="E3" s="645" t="s">
        <v>92</v>
      </c>
      <c r="F3" s="645" t="s">
        <v>93</v>
      </c>
      <c r="G3" s="674" t="s">
        <v>94</v>
      </c>
      <c r="H3" s="675"/>
      <c r="I3" s="675"/>
      <c r="J3" s="675"/>
      <c r="K3" s="676"/>
      <c r="L3" s="680" t="s">
        <v>95</v>
      </c>
      <c r="M3" s="681"/>
      <c r="N3" s="682"/>
      <c r="O3" s="670" t="s">
        <v>96</v>
      </c>
      <c r="P3" s="655" t="s">
        <v>108</v>
      </c>
      <c r="Q3" s="670" t="s">
        <v>97</v>
      </c>
      <c r="R3" s="662" t="s">
        <v>98</v>
      </c>
      <c r="S3" s="662" t="s">
        <v>99</v>
      </c>
      <c r="T3" s="645" t="s">
        <v>153</v>
      </c>
      <c r="U3" s="645" t="s">
        <v>152</v>
      </c>
      <c r="V3" s="645" t="s">
        <v>154</v>
      </c>
      <c r="W3" s="662" t="s">
        <v>144</v>
      </c>
      <c r="X3" s="698" t="s">
        <v>101</v>
      </c>
      <c r="Y3" s="698" t="s">
        <v>293</v>
      </c>
      <c r="Z3" s="662" t="s">
        <v>102</v>
      </c>
      <c r="AA3" s="645" t="s">
        <v>155</v>
      </c>
      <c r="AB3" s="645" t="s">
        <v>166</v>
      </c>
      <c r="AC3" s="645" t="s">
        <v>164</v>
      </c>
      <c r="AD3" s="645" t="s">
        <v>126</v>
      </c>
      <c r="AE3" s="645" t="s">
        <v>127</v>
      </c>
      <c r="AF3" s="673" t="s">
        <v>128</v>
      </c>
      <c r="AG3" s="673"/>
      <c r="AH3" s="673"/>
      <c r="AI3" s="673"/>
      <c r="AJ3" s="673"/>
      <c r="AK3" s="673"/>
      <c r="AL3" s="673"/>
      <c r="AM3" s="667" t="s">
        <v>129</v>
      </c>
      <c r="AN3" s="651" t="s">
        <v>103</v>
      </c>
      <c r="AO3" s="651"/>
      <c r="AP3" s="651"/>
      <c r="AQ3" s="651"/>
      <c r="AR3" s="651"/>
      <c r="AS3" s="652" t="s">
        <v>104</v>
      </c>
      <c r="AT3" s="663" t="s">
        <v>289</v>
      </c>
      <c r="AU3" s="664"/>
      <c r="AV3" s="647" t="s">
        <v>130</v>
      </c>
      <c r="AW3" s="648"/>
      <c r="AX3" s="649" t="s">
        <v>130</v>
      </c>
      <c r="AY3" s="650"/>
      <c r="AZ3" s="656" t="s">
        <v>305</v>
      </c>
      <c r="BA3" s="661" t="s">
        <v>105</v>
      </c>
      <c r="BB3" s="693" t="s">
        <v>106</v>
      </c>
      <c r="BC3" s="693" t="s">
        <v>107</v>
      </c>
      <c r="BD3" s="687" t="s">
        <v>396</v>
      </c>
      <c r="BE3" s="690" t="s">
        <v>397</v>
      </c>
      <c r="BF3" s="693" t="s">
        <v>398</v>
      </c>
    </row>
    <row r="4" spans="1:58" ht="12" customHeight="1">
      <c r="A4" s="646"/>
      <c r="B4" s="646"/>
      <c r="C4" s="646"/>
      <c r="D4" s="646"/>
      <c r="E4" s="646"/>
      <c r="F4" s="646"/>
      <c r="G4" s="677"/>
      <c r="H4" s="678"/>
      <c r="I4" s="678"/>
      <c r="J4" s="678"/>
      <c r="K4" s="679"/>
      <c r="L4" s="683"/>
      <c r="M4" s="684"/>
      <c r="N4" s="685"/>
      <c r="O4" s="671"/>
      <c r="P4" s="643"/>
      <c r="Q4" s="671"/>
      <c r="R4" s="686"/>
      <c r="S4" s="686"/>
      <c r="T4" s="646"/>
      <c r="U4" s="646"/>
      <c r="V4" s="646"/>
      <c r="W4" s="686"/>
      <c r="X4" s="699"/>
      <c r="Y4" s="699"/>
      <c r="Z4" s="686"/>
      <c r="AA4" s="646"/>
      <c r="AB4" s="646"/>
      <c r="AC4" s="646"/>
      <c r="AD4" s="646"/>
      <c r="AE4" s="646"/>
      <c r="AF4" s="695" t="s">
        <v>131</v>
      </c>
      <c r="AG4" s="696"/>
      <c r="AH4" s="697"/>
      <c r="AI4" s="643" t="s">
        <v>379</v>
      </c>
      <c r="AJ4" s="643" t="s">
        <v>15</v>
      </c>
      <c r="AK4" s="643" t="s">
        <v>132</v>
      </c>
      <c r="AL4" s="643" t="s">
        <v>18</v>
      </c>
      <c r="AM4" s="668"/>
      <c r="AN4" s="654" t="s">
        <v>109</v>
      </c>
      <c r="AO4" s="654" t="s">
        <v>15</v>
      </c>
      <c r="AP4" s="654" t="s">
        <v>110</v>
      </c>
      <c r="AQ4" s="654" t="s">
        <v>18</v>
      </c>
      <c r="AR4" s="661" t="s">
        <v>111</v>
      </c>
      <c r="AS4" s="652"/>
      <c r="AT4" s="665"/>
      <c r="AU4" s="666"/>
      <c r="AV4" s="511" t="s">
        <v>6</v>
      </c>
      <c r="AW4" s="511" t="s">
        <v>133</v>
      </c>
      <c r="AX4" s="512" t="s">
        <v>6</v>
      </c>
      <c r="AY4" s="513" t="s">
        <v>133</v>
      </c>
      <c r="AZ4" s="657"/>
      <c r="BA4" s="661"/>
      <c r="BB4" s="693"/>
      <c r="BC4" s="693"/>
      <c r="BD4" s="688"/>
      <c r="BE4" s="691"/>
      <c r="BF4" s="693"/>
    </row>
    <row r="5" spans="1:58" s="31" customFormat="1" ht="48">
      <c r="A5" s="646"/>
      <c r="B5" s="646"/>
      <c r="C5" s="672"/>
      <c r="D5" s="646"/>
      <c r="E5" s="646"/>
      <c r="F5" s="646"/>
      <c r="G5" s="492" t="s">
        <v>112</v>
      </c>
      <c r="H5" s="491" t="s">
        <v>113</v>
      </c>
      <c r="I5" s="29" t="s">
        <v>114</v>
      </c>
      <c r="J5" s="80" t="s">
        <v>115</v>
      </c>
      <c r="K5" s="80" t="s">
        <v>100</v>
      </c>
      <c r="L5" s="30" t="s">
        <v>116</v>
      </c>
      <c r="M5" s="30" t="s">
        <v>117</v>
      </c>
      <c r="N5" s="491" t="s">
        <v>118</v>
      </c>
      <c r="O5" s="671"/>
      <c r="P5" s="644"/>
      <c r="Q5" s="671"/>
      <c r="R5" s="686"/>
      <c r="S5" s="686"/>
      <c r="T5" s="646"/>
      <c r="U5" s="646"/>
      <c r="V5" s="646"/>
      <c r="W5" s="686"/>
      <c r="X5" s="699"/>
      <c r="Y5" s="700"/>
      <c r="Z5" s="686"/>
      <c r="AA5" s="646"/>
      <c r="AB5" s="672"/>
      <c r="AC5" s="646"/>
      <c r="AD5" s="672"/>
      <c r="AE5" s="646"/>
      <c r="AF5" s="442" t="s">
        <v>294</v>
      </c>
      <c r="AG5" s="516" t="s">
        <v>295</v>
      </c>
      <c r="AH5" s="516" t="s">
        <v>296</v>
      </c>
      <c r="AI5" s="644"/>
      <c r="AJ5" s="644"/>
      <c r="AK5" s="644"/>
      <c r="AL5" s="644"/>
      <c r="AM5" s="669"/>
      <c r="AN5" s="655"/>
      <c r="AO5" s="655"/>
      <c r="AP5" s="655"/>
      <c r="AQ5" s="655"/>
      <c r="AR5" s="662"/>
      <c r="AS5" s="653"/>
      <c r="AT5" s="515" t="s">
        <v>290</v>
      </c>
      <c r="AU5" s="515" t="s">
        <v>291</v>
      </c>
      <c r="AV5" s="514" t="s">
        <v>292</v>
      </c>
      <c r="AW5" s="514" t="s">
        <v>292</v>
      </c>
      <c r="AX5" s="512" t="s">
        <v>17</v>
      </c>
      <c r="AY5" s="512" t="s">
        <v>17</v>
      </c>
      <c r="AZ5" s="658"/>
      <c r="BA5" s="662"/>
      <c r="BB5" s="645"/>
      <c r="BC5" s="645"/>
      <c r="BD5" s="689"/>
      <c r="BE5" s="692"/>
      <c r="BF5" s="694"/>
    </row>
    <row r="6" spans="1:58" ht="12.75" customHeight="1">
      <c r="A6" s="39">
        <f>+Report1!A9</f>
        <v>46082</v>
      </c>
      <c r="B6" s="40" t="s">
        <v>7</v>
      </c>
      <c r="C6" s="413">
        <f>(M6*E6*O6*Q6)/100000000</f>
        <v>40.5048897</v>
      </c>
      <c r="D6" s="40" t="s">
        <v>301</v>
      </c>
      <c r="E6" s="41">
        <v>12</v>
      </c>
      <c r="F6" s="41">
        <v>1</v>
      </c>
      <c r="G6" s="497">
        <v>1230</v>
      </c>
      <c r="H6" s="43">
        <v>0.24</v>
      </c>
      <c r="I6" s="44">
        <v>0.88</v>
      </c>
      <c r="J6" s="81">
        <f>E6*G6*(1-H6)*1440/1000000*2.74</f>
        <v>44.260162560000005</v>
      </c>
      <c r="K6" s="81">
        <f>(IF(G6&lt;L6,L6,G6)*(1-IF(H6&lt;N6,H6,N6))*E6*O6*Q6)/100000000</f>
        <v>43.371728639999994</v>
      </c>
      <c r="L6" s="34">
        <v>1174.6805555555557</v>
      </c>
      <c r="M6" s="34">
        <v>873.01041666666663</v>
      </c>
      <c r="N6" s="45">
        <f>1-(M6/L6)</f>
        <v>0.25681036215519593</v>
      </c>
      <c r="O6" s="46">
        <f>+'Trim Rwd'!H4</f>
        <v>268.5</v>
      </c>
      <c r="P6" s="47">
        <f>O6*(Q6-R6-S6)</f>
        <v>363817.5</v>
      </c>
      <c r="Q6" s="46">
        <v>1440</v>
      </c>
      <c r="R6" s="498">
        <v>0</v>
      </c>
      <c r="S6" s="498">
        <v>85</v>
      </c>
      <c r="T6" s="36">
        <f>E6*M6*O6*Q6/100000000</f>
        <v>40.5048897</v>
      </c>
      <c r="U6" s="36">
        <f>E6*M6*O6*(Q6-R6-S6)/100000000</f>
        <v>38.113976071875001</v>
      </c>
      <c r="V6" s="36">
        <f>E6*G6*(1-N6)*O6/100*(R6+S6)/1000000</f>
        <v>2.5035093572336451</v>
      </c>
      <c r="W6" s="36">
        <f>+'1'!C34/1000</f>
        <v>36.905999999999999</v>
      </c>
      <c r="X6" s="499">
        <f>SUM(W6:W10)/SUM(K6:K10)</f>
        <v>0.85092296657881161</v>
      </c>
      <c r="Y6" s="210">
        <v>0</v>
      </c>
      <c r="Z6" s="36">
        <f>+'1'!D34/1000</f>
        <v>0.54</v>
      </c>
      <c r="AA6" s="48">
        <f>SUM(U6:U10)-SUM(W6:W10)-SUM(Z6:Z10)-SUM(Y6:Y10)</f>
        <v>0.6679760718750023</v>
      </c>
      <c r="AB6" s="48">
        <f>(SUM(K6:K10)-SUM(W6:W10)-SUM(Y6:Y10)-SUM(Z6:Z10)-SUM(AC6:AC10)-SUM(V6:V10))-AA6</f>
        <v>-0.11259572910864657</v>
      </c>
      <c r="AC6" s="36">
        <f>K6-T6</f>
        <v>2.8668389399999938</v>
      </c>
      <c r="AD6" s="36">
        <f>+AM6+BA6</f>
        <v>25</v>
      </c>
      <c r="AE6" s="229" t="s">
        <v>415</v>
      </c>
      <c r="AF6" s="36">
        <v>25</v>
      </c>
      <c r="AG6" s="36"/>
      <c r="AH6" s="36"/>
      <c r="AI6" s="500"/>
      <c r="AJ6" s="36"/>
      <c r="AK6" s="36"/>
      <c r="AL6" s="36"/>
      <c r="AM6" s="36">
        <f t="shared" ref="AM6:AM9" si="0">SUM(AF6:AL6)+AT6+AV6+AX6</f>
        <v>25</v>
      </c>
      <c r="AN6" s="36"/>
      <c r="AO6" s="36"/>
      <c r="AP6" s="36"/>
      <c r="AQ6" s="36"/>
      <c r="AR6" s="36">
        <f>SUM(AN6:AQ6)</f>
        <v>0</v>
      </c>
      <c r="AS6" s="36"/>
      <c r="AT6" s="36"/>
      <c r="AU6" s="36"/>
      <c r="AV6" s="36"/>
      <c r="AW6" s="36"/>
      <c r="AX6" s="36"/>
      <c r="AY6" s="36"/>
      <c r="AZ6" s="36"/>
      <c r="BA6" s="36">
        <f>+AR6+AS6+AU6+AW6+AY6+AZ6</f>
        <v>0</v>
      </c>
      <c r="BB6" s="32">
        <v>7</v>
      </c>
      <c r="BC6" s="50"/>
      <c r="BD6" s="50"/>
      <c r="BE6" s="32"/>
      <c r="BF6" s="50"/>
    </row>
    <row r="7" spans="1:58" ht="12.95" customHeight="1">
      <c r="A7" s="39"/>
      <c r="B7" s="40"/>
      <c r="C7" s="413"/>
      <c r="D7" s="40"/>
      <c r="E7" s="41"/>
      <c r="F7" s="41"/>
      <c r="G7" s="497"/>
      <c r="H7" s="43"/>
      <c r="I7" s="44"/>
      <c r="J7" s="81"/>
      <c r="K7" s="81"/>
      <c r="L7" s="34"/>
      <c r="M7" s="34"/>
      <c r="N7" s="45"/>
      <c r="O7" s="46"/>
      <c r="P7" s="47"/>
      <c r="Q7" s="46"/>
      <c r="R7" s="498"/>
      <c r="S7" s="498"/>
      <c r="T7" s="36"/>
      <c r="U7" s="36"/>
      <c r="V7" s="36"/>
      <c r="W7" s="36"/>
      <c r="X7" s="37"/>
      <c r="Y7" s="210"/>
      <c r="Z7" s="36"/>
      <c r="AA7" s="36"/>
      <c r="AB7" s="36"/>
      <c r="AC7" s="36"/>
      <c r="AD7" s="36">
        <f>+AM7+BA7</f>
        <v>3</v>
      </c>
      <c r="AE7" s="229" t="s">
        <v>414</v>
      </c>
      <c r="AF7" s="36"/>
      <c r="AG7" s="36">
        <v>3</v>
      </c>
      <c r="AH7" s="36"/>
      <c r="AI7" s="500"/>
      <c r="AJ7" s="36"/>
      <c r="AK7" s="36"/>
      <c r="AL7" s="36"/>
      <c r="AM7" s="36">
        <f t="shared" si="0"/>
        <v>3</v>
      </c>
      <c r="AN7" s="82"/>
      <c r="AO7" s="36"/>
      <c r="AP7" s="36"/>
      <c r="AQ7" s="36"/>
      <c r="AR7" s="36">
        <f t="shared" ref="AR7:AR9" si="1">SUM(AN7:AQ7)</f>
        <v>0</v>
      </c>
      <c r="AS7" s="36"/>
      <c r="AT7" s="36"/>
      <c r="AU7" s="36"/>
      <c r="AV7" s="36"/>
      <c r="AW7" s="36"/>
      <c r="AX7" s="36"/>
      <c r="AY7" s="36"/>
      <c r="AZ7" s="36"/>
      <c r="BA7" s="36">
        <f>+AR7+AS7+AU7+AW7+AY7+AZ7</f>
        <v>0</v>
      </c>
      <c r="BB7" s="49"/>
      <c r="BC7" s="50">
        <v>1</v>
      </c>
      <c r="BD7" s="50"/>
      <c r="BE7" s="49"/>
      <c r="BF7" s="50"/>
    </row>
    <row r="8" spans="1:58" ht="12.95" customHeight="1">
      <c r="A8" s="39"/>
      <c r="B8" s="40"/>
      <c r="C8" s="413"/>
      <c r="D8" s="40"/>
      <c r="E8" s="41"/>
      <c r="F8" s="41"/>
      <c r="G8" s="42"/>
      <c r="H8" s="43"/>
      <c r="I8" s="44"/>
      <c r="J8" s="81"/>
      <c r="K8" s="81"/>
      <c r="L8" s="34"/>
      <c r="M8" s="34"/>
      <c r="N8" s="45"/>
      <c r="O8" s="46"/>
      <c r="P8" s="47"/>
      <c r="Q8" s="46"/>
      <c r="R8" s="498"/>
      <c r="S8" s="498"/>
      <c r="T8" s="36"/>
      <c r="U8" s="36"/>
      <c r="V8" s="36"/>
      <c r="W8" s="36"/>
      <c r="X8" s="37"/>
      <c r="Y8" s="210"/>
      <c r="Z8" s="36"/>
      <c r="AA8" s="36"/>
      <c r="AB8" s="36"/>
      <c r="AC8" s="36"/>
      <c r="AD8" s="36">
        <f>+AM8+BA8</f>
        <v>57</v>
      </c>
      <c r="AE8" s="229" t="s">
        <v>387</v>
      </c>
      <c r="AF8" s="32"/>
      <c r="AG8" s="32"/>
      <c r="AH8" s="32">
        <v>57</v>
      </c>
      <c r="AJ8" s="36"/>
      <c r="AK8" s="36"/>
      <c r="AL8" s="36"/>
      <c r="AM8" s="36">
        <f t="shared" si="0"/>
        <v>57</v>
      </c>
      <c r="AN8" s="36"/>
      <c r="AO8" s="36"/>
      <c r="AP8" s="36"/>
      <c r="AQ8" s="36"/>
      <c r="AR8" s="36">
        <f t="shared" si="1"/>
        <v>0</v>
      </c>
      <c r="AS8" s="36"/>
      <c r="AT8" s="36"/>
      <c r="AU8" s="36"/>
      <c r="AV8" s="36"/>
      <c r="AW8" s="36"/>
      <c r="AX8" s="36"/>
      <c r="AY8" s="36"/>
      <c r="AZ8" s="36"/>
      <c r="BA8" s="36">
        <f>+AR8+AS8+AU8+AW8+AY8+AZ8</f>
        <v>0</v>
      </c>
      <c r="BB8" s="32"/>
      <c r="BC8" s="501"/>
      <c r="BD8" s="501"/>
      <c r="BE8" s="32"/>
      <c r="BF8" s="501"/>
    </row>
    <row r="9" spans="1:58" ht="12.95" customHeight="1">
      <c r="A9" s="39"/>
      <c r="B9" s="40"/>
      <c r="C9" s="413"/>
      <c r="D9" s="40"/>
      <c r="E9" s="41"/>
      <c r="F9" s="41"/>
      <c r="G9" s="42"/>
      <c r="H9" s="43"/>
      <c r="I9" s="44"/>
      <c r="J9" s="81"/>
      <c r="K9" s="81"/>
      <c r="L9" s="34"/>
      <c r="M9" s="34"/>
      <c r="N9" s="45"/>
      <c r="O9" s="46"/>
      <c r="P9" s="47"/>
      <c r="Q9" s="33"/>
      <c r="R9" s="498"/>
      <c r="S9" s="498"/>
      <c r="T9" s="36"/>
      <c r="U9" s="36"/>
      <c r="V9" s="36"/>
      <c r="W9" s="36"/>
      <c r="X9" s="37"/>
      <c r="Y9" s="210"/>
      <c r="Z9" s="36"/>
      <c r="AA9" s="36"/>
      <c r="AB9" s="36"/>
      <c r="AC9" s="36"/>
      <c r="AD9" s="36">
        <f>+AM9+BA9</f>
        <v>0</v>
      </c>
      <c r="AE9" s="232" t="s">
        <v>377</v>
      </c>
      <c r="AF9" s="36"/>
      <c r="AG9" s="36"/>
      <c r="AH9" s="36"/>
      <c r="AI9" s="500">
        <v>0</v>
      </c>
      <c r="AJ9" s="36"/>
      <c r="AK9" s="36"/>
      <c r="AL9" s="36"/>
      <c r="AM9" s="36">
        <f t="shared" si="0"/>
        <v>0</v>
      </c>
      <c r="AN9" s="36"/>
      <c r="AO9" s="36"/>
      <c r="AP9" s="36"/>
      <c r="AQ9" s="36"/>
      <c r="AR9" s="36">
        <f t="shared" si="1"/>
        <v>0</v>
      </c>
      <c r="AS9" s="36"/>
      <c r="AT9" s="36"/>
      <c r="AU9" s="36"/>
      <c r="AV9" s="36"/>
      <c r="AW9" s="36"/>
      <c r="AX9" s="36"/>
      <c r="AY9" s="36"/>
      <c r="AZ9" s="36"/>
      <c r="BA9" s="36">
        <f>+AR9+AS9+AU9+AW9+AY9+AZ9</f>
        <v>0</v>
      </c>
      <c r="BB9" s="49"/>
      <c r="BC9" s="50"/>
      <c r="BD9" s="50"/>
      <c r="BE9" s="49"/>
      <c r="BF9" s="50"/>
    </row>
    <row r="10" spans="1:58" ht="12.75" customHeight="1">
      <c r="A10" s="39"/>
      <c r="B10" s="40"/>
      <c r="C10" s="413"/>
      <c r="D10" s="40"/>
      <c r="E10" s="41"/>
      <c r="F10" s="41"/>
      <c r="G10" s="42"/>
      <c r="H10" s="43"/>
      <c r="I10" s="44"/>
      <c r="J10" s="81"/>
      <c r="K10" s="81"/>
      <c r="L10" s="34"/>
      <c r="M10" s="34"/>
      <c r="N10" s="45"/>
      <c r="O10" s="46"/>
      <c r="P10" s="47"/>
      <c r="Q10" s="33"/>
      <c r="R10" s="498"/>
      <c r="S10" s="498"/>
      <c r="T10" s="36"/>
      <c r="U10" s="36"/>
      <c r="V10" s="36"/>
      <c r="W10" s="36"/>
      <c r="X10" s="37"/>
      <c r="Y10" s="210"/>
      <c r="Z10" s="36"/>
      <c r="AA10" s="36"/>
      <c r="AB10" s="36"/>
      <c r="AC10" s="36"/>
      <c r="AD10" s="36"/>
      <c r="AE10" s="232"/>
      <c r="AF10" s="36"/>
      <c r="AG10" s="36"/>
      <c r="AH10" s="36"/>
      <c r="AI10" s="500"/>
      <c r="AJ10" s="36"/>
      <c r="AK10" s="36"/>
      <c r="AL10" s="36"/>
      <c r="AM10" s="36"/>
      <c r="AN10" s="36"/>
      <c r="AO10" s="36"/>
      <c r="AP10" s="36"/>
      <c r="AQ10" s="36"/>
      <c r="AR10" s="36"/>
      <c r="AS10" s="36"/>
      <c r="AT10" s="36"/>
      <c r="AU10" s="36"/>
      <c r="AV10" s="36"/>
      <c r="AW10" s="36"/>
      <c r="AX10" s="36"/>
      <c r="AY10" s="36"/>
      <c r="AZ10" s="36"/>
      <c r="BA10" s="36"/>
      <c r="BB10" s="49"/>
      <c r="BC10" s="50"/>
      <c r="BD10" s="50"/>
      <c r="BE10" s="32"/>
      <c r="BF10" s="50"/>
    </row>
    <row r="11" spans="1:58" ht="12.75" customHeight="1">
      <c r="A11" s="39">
        <v>46083</v>
      </c>
      <c r="B11" s="40" t="s">
        <v>7</v>
      </c>
      <c r="C11" s="413">
        <f>(M11*E11*O11*Q11)/100000000</f>
        <v>5.9425130769230767</v>
      </c>
      <c r="D11" s="40" t="s">
        <v>301</v>
      </c>
      <c r="E11" s="41">
        <v>12</v>
      </c>
      <c r="F11" s="41">
        <v>1</v>
      </c>
      <c r="G11" s="497">
        <v>1230</v>
      </c>
      <c r="H11" s="43">
        <v>0.24</v>
      </c>
      <c r="I11" s="44">
        <v>0.88</v>
      </c>
      <c r="J11" s="81">
        <f>E11*G11*(1-H11)*1440/1000000*2.74</f>
        <v>44.260162560000005</v>
      </c>
      <c r="K11" s="81">
        <f>(IF(G11&lt;L11,L11,G11)*(1-IF(H11&lt;N11,H11,N11))*E11*O11*Q11)/100000000</f>
        <v>6.1722902492307687</v>
      </c>
      <c r="L11" s="34">
        <v>1200</v>
      </c>
      <c r="M11" s="34">
        <v>900</v>
      </c>
      <c r="N11" s="45">
        <f>1-(M11/L11)</f>
        <v>0.25</v>
      </c>
      <c r="O11" s="46">
        <f>+'Trim Rwd'!H7</f>
        <v>263.26923076923077</v>
      </c>
      <c r="P11" s="47">
        <f>O11*(Q11-R11-S11)</f>
        <v>51074.230769230773</v>
      </c>
      <c r="Q11" s="46">
        <v>209</v>
      </c>
      <c r="R11" s="498">
        <v>0</v>
      </c>
      <c r="S11" s="498">
        <v>15</v>
      </c>
      <c r="T11" s="36">
        <f>E11*M11*O11*Q11/100000000</f>
        <v>5.9425130769230767</v>
      </c>
      <c r="U11" s="36">
        <f>E11*M11*O11*(Q11-R11-S11)/100000000</f>
        <v>5.5160169230769229</v>
      </c>
      <c r="V11" s="36">
        <f>E11*G11*(1-N11)*O11/100*(R11+S11)/1000000</f>
        <v>0.4371585576923076</v>
      </c>
      <c r="W11" s="36">
        <f>+'2'!K7/1000</f>
        <v>8.1690000000000005</v>
      </c>
      <c r="X11" s="499">
        <f>SUM(W11:W15)/SUM(K11:K15)</f>
        <v>0.89586170629365514</v>
      </c>
      <c r="Y11" s="210">
        <v>0</v>
      </c>
      <c r="Z11" s="36">
        <v>0</v>
      </c>
      <c r="AA11" s="48">
        <f>SUM(U11:U15)-SUM(W11:W15)-SUM(Z11:Z15)-SUM(Y11:Y15)</f>
        <v>2.8862109230769235</v>
      </c>
      <c r="AB11" s="48">
        <f>(SUM(K11:K15)-SUM(W11:W15)-SUM(Y11:Y15)-SUM(Z11:Z15)-SUM(AC11:AC15)-SUM(V11:V15))-AA11</f>
        <v>-1.0662403846156909E-2</v>
      </c>
      <c r="AC11" s="36">
        <f>K11-T11</f>
        <v>0.22977717230769201</v>
      </c>
      <c r="AD11" s="36">
        <f>+AM11+BA11</f>
        <v>18</v>
      </c>
      <c r="AE11" s="229" t="s">
        <v>435</v>
      </c>
      <c r="AF11" s="36">
        <v>18</v>
      </c>
      <c r="AG11" s="36"/>
      <c r="AH11" s="36"/>
      <c r="AI11" s="500"/>
      <c r="AJ11" s="36"/>
      <c r="AK11" s="36"/>
      <c r="AL11" s="36"/>
      <c r="AM11" s="36">
        <f t="shared" ref="AM11:AM14" si="2">SUM(AF11:AL11)+AT11+AV11+AX11</f>
        <v>18</v>
      </c>
      <c r="AN11" s="36"/>
      <c r="AO11" s="36"/>
      <c r="AP11" s="36"/>
      <c r="AQ11" s="36"/>
      <c r="AR11" s="36">
        <f>SUM(AN11:AQ11)</f>
        <v>0</v>
      </c>
      <c r="AS11" s="36"/>
      <c r="AT11" s="36"/>
      <c r="AU11" s="36"/>
      <c r="AV11" s="36"/>
      <c r="AW11" s="36"/>
      <c r="AX11" s="36"/>
      <c r="AY11" s="36"/>
      <c r="AZ11" s="36"/>
      <c r="BA11" s="36">
        <f>+AR11+AS11+AU11+AW11+AY11+AZ11</f>
        <v>0</v>
      </c>
      <c r="BB11" s="32">
        <v>6</v>
      </c>
      <c r="BC11" s="50"/>
      <c r="BD11" s="50"/>
      <c r="BE11" s="32"/>
      <c r="BF11" s="50"/>
    </row>
    <row r="12" spans="1:58" ht="12.95" customHeight="1">
      <c r="A12" s="39"/>
      <c r="B12" s="40" t="s">
        <v>7</v>
      </c>
      <c r="C12" s="413">
        <f t="shared" ref="C12:C13" si="3">(M12*E12*O12*Q12)/100000000</f>
        <v>1.3319852000000001</v>
      </c>
      <c r="D12" s="40" t="s">
        <v>301</v>
      </c>
      <c r="E12" s="41">
        <v>14</v>
      </c>
      <c r="F12" s="41">
        <v>1</v>
      </c>
      <c r="G12" s="497">
        <f>+L12</f>
        <v>1150</v>
      </c>
      <c r="H12" s="43">
        <f t="shared" ref="H12:H13" si="4">+N12</f>
        <v>0.26</v>
      </c>
      <c r="I12" s="44">
        <v>0.88</v>
      </c>
      <c r="J12" s="81">
        <f t="shared" ref="J12:J13" si="5">E12*G12*(1-H12)*1440/1000000*2.74</f>
        <v>47.007878400000003</v>
      </c>
      <c r="K12" s="81">
        <f t="shared" ref="K12:K13" si="6">(IF(G12&lt;L12,L12,G12)*(1-IF(H12&lt;N12,H12,N12))*E12*O12*Q12)/100000000</f>
        <v>1.3319852000000001</v>
      </c>
      <c r="L12" s="34">
        <v>1150</v>
      </c>
      <c r="M12" s="34">
        <v>851</v>
      </c>
      <c r="N12" s="45">
        <f t="shared" ref="N12:N13" si="7">1-(M12/L12)</f>
        <v>0.26</v>
      </c>
      <c r="O12" s="46">
        <f>+'Trim Rwd'!H9</f>
        <v>260</v>
      </c>
      <c r="P12" s="47">
        <f t="shared" ref="P12:P13" si="8">O12*(Q12-R12-S12)</f>
        <v>9100</v>
      </c>
      <c r="Q12" s="46">
        <v>43</v>
      </c>
      <c r="R12" s="498">
        <v>0</v>
      </c>
      <c r="S12" s="498">
        <v>8</v>
      </c>
      <c r="T12" s="36">
        <f t="shared" ref="T12:T13" si="9">E12*M12*O12*Q12/100000000</f>
        <v>1.3319852000000001</v>
      </c>
      <c r="U12" s="36">
        <f t="shared" ref="U12:U13" si="10">E12*M12*O12*(Q12-R12-S12)/100000000</f>
        <v>1.084174</v>
      </c>
      <c r="V12" s="36">
        <f t="shared" ref="V12:V13" si="11">E12*G12*(1-N12)*O12/100*(R12+S12)/1000000</f>
        <v>0.24781120000000001</v>
      </c>
      <c r="W12" s="36">
        <f>+'2'!K8/1000</f>
        <v>4.7130000000000001</v>
      </c>
      <c r="X12" s="37"/>
      <c r="Y12" s="210"/>
      <c r="Z12" s="36"/>
      <c r="AA12" s="36"/>
      <c r="AB12" s="36"/>
      <c r="AC12" s="36">
        <f>K12-T12</f>
        <v>0</v>
      </c>
      <c r="AD12" s="36">
        <f>+AM12+BA12</f>
        <v>2</v>
      </c>
      <c r="AE12" s="229" t="s">
        <v>414</v>
      </c>
      <c r="AF12" s="36"/>
      <c r="AG12" s="36">
        <v>2</v>
      </c>
      <c r="AH12" s="36"/>
      <c r="AI12" s="500"/>
      <c r="AJ12" s="36"/>
      <c r="AK12" s="36"/>
      <c r="AL12" s="36"/>
      <c r="AM12" s="36">
        <f t="shared" si="2"/>
        <v>2</v>
      </c>
      <c r="AN12" s="82"/>
      <c r="AO12" s="36"/>
      <c r="AP12" s="36"/>
      <c r="AQ12" s="36"/>
      <c r="AR12" s="36">
        <f t="shared" ref="AR12:AR14" si="12">SUM(AN12:AQ12)</f>
        <v>0</v>
      </c>
      <c r="AS12" s="36"/>
      <c r="AT12" s="36"/>
      <c r="AU12" s="36"/>
      <c r="AV12" s="36"/>
      <c r="AW12" s="36"/>
      <c r="AX12" s="36"/>
      <c r="AY12" s="36"/>
      <c r="AZ12" s="36"/>
      <c r="BA12" s="36">
        <f>+AR12+AS12+AU12+AW12+AY12+AZ12</f>
        <v>0</v>
      </c>
      <c r="BB12" s="49"/>
      <c r="BC12" s="50">
        <v>1</v>
      </c>
      <c r="BD12" s="50"/>
      <c r="BE12" s="49"/>
      <c r="BF12" s="50"/>
    </row>
    <row r="13" spans="1:58" ht="12.95" customHeight="1">
      <c r="A13" s="39"/>
      <c r="B13" s="40" t="s">
        <v>7</v>
      </c>
      <c r="C13" s="413">
        <f t="shared" si="3"/>
        <v>46.593359999999997</v>
      </c>
      <c r="D13" s="40" t="s">
        <v>301</v>
      </c>
      <c r="E13" s="41">
        <v>16</v>
      </c>
      <c r="F13" s="41">
        <v>1</v>
      </c>
      <c r="G13" s="497">
        <f>+L13</f>
        <v>1188.4848484848485</v>
      </c>
      <c r="H13" s="43">
        <f t="shared" si="4"/>
        <v>0.25</v>
      </c>
      <c r="I13" s="44">
        <v>0.88</v>
      </c>
      <c r="J13" s="81">
        <f t="shared" si="5"/>
        <v>56.271429818181829</v>
      </c>
      <c r="K13" s="81">
        <f t="shared" si="6"/>
        <v>46.593359999999997</v>
      </c>
      <c r="L13" s="34">
        <v>1188.4848484848485</v>
      </c>
      <c r="M13" s="34">
        <v>891.36363636363637</v>
      </c>
      <c r="N13" s="45">
        <f t="shared" si="7"/>
        <v>0.25</v>
      </c>
      <c r="O13" s="46">
        <f>+'Trim Rwd'!H6</f>
        <v>275</v>
      </c>
      <c r="P13" s="47">
        <f t="shared" si="8"/>
        <v>313775</v>
      </c>
      <c r="Q13" s="46">
        <v>1188</v>
      </c>
      <c r="R13" s="498">
        <v>0</v>
      </c>
      <c r="S13" s="498">
        <f>70-S11-S12</f>
        <v>47</v>
      </c>
      <c r="T13" s="36">
        <f t="shared" si="9"/>
        <v>46.593359999999997</v>
      </c>
      <c r="U13" s="36">
        <f t="shared" si="10"/>
        <v>44.750019999999999</v>
      </c>
      <c r="V13" s="36">
        <f t="shared" si="11"/>
        <v>1.84334</v>
      </c>
      <c r="W13" s="36">
        <f>+'2'!K9/1000</f>
        <v>35.582000000000001</v>
      </c>
      <c r="X13" s="37"/>
      <c r="Y13" s="210"/>
      <c r="Z13" s="36"/>
      <c r="AA13" s="36"/>
      <c r="AB13" s="36"/>
      <c r="AC13" s="36">
        <f>K13-T13</f>
        <v>0</v>
      </c>
      <c r="AD13" s="36">
        <f>+AM13+BA13</f>
        <v>50</v>
      </c>
      <c r="AE13" s="229" t="s">
        <v>436</v>
      </c>
      <c r="AF13" s="32"/>
      <c r="AG13" s="32"/>
      <c r="AH13" s="32">
        <v>50</v>
      </c>
      <c r="AJ13" s="36"/>
      <c r="AK13" s="36"/>
      <c r="AL13" s="36"/>
      <c r="AM13" s="36">
        <f t="shared" si="2"/>
        <v>50</v>
      </c>
      <c r="AN13" s="36"/>
      <c r="AO13" s="36"/>
      <c r="AP13" s="36"/>
      <c r="AQ13" s="36"/>
      <c r="AR13" s="36">
        <f t="shared" si="12"/>
        <v>0</v>
      </c>
      <c r="AS13" s="36"/>
      <c r="AT13" s="36"/>
      <c r="AU13" s="36"/>
      <c r="AV13" s="36"/>
      <c r="AW13" s="36"/>
      <c r="AX13" s="36"/>
      <c r="AY13" s="36"/>
      <c r="AZ13" s="36"/>
      <c r="BA13" s="36">
        <f>+AR13+AS13+AU13+AW13+AY13+AZ13</f>
        <v>0</v>
      </c>
      <c r="BB13" s="32"/>
      <c r="BC13" s="501"/>
      <c r="BD13" s="501"/>
      <c r="BE13" s="32"/>
      <c r="BF13" s="501"/>
    </row>
    <row r="14" spans="1:58" ht="12.95" customHeight="1">
      <c r="A14" s="39"/>
      <c r="B14" s="40"/>
      <c r="C14" s="413"/>
      <c r="D14" s="40"/>
      <c r="E14" s="41"/>
      <c r="F14" s="41"/>
      <c r="G14" s="42"/>
      <c r="H14" s="43"/>
      <c r="I14" s="44"/>
      <c r="J14" s="81"/>
      <c r="K14" s="81"/>
      <c r="L14" s="34"/>
      <c r="M14" s="34"/>
      <c r="N14" s="45"/>
      <c r="O14" s="46"/>
      <c r="P14" s="47"/>
      <c r="Q14" s="33"/>
      <c r="R14" s="498"/>
      <c r="S14" s="498"/>
      <c r="T14" s="36"/>
      <c r="U14" s="36"/>
      <c r="V14" s="36"/>
      <c r="W14" s="36"/>
      <c r="X14" s="37"/>
      <c r="Y14" s="210"/>
      <c r="Z14" s="36"/>
      <c r="AA14" s="36"/>
      <c r="AB14" s="36"/>
      <c r="AC14" s="36"/>
      <c r="AD14" s="36">
        <f>+AM14+BA14</f>
        <v>0</v>
      </c>
      <c r="AE14" s="232" t="s">
        <v>377</v>
      </c>
      <c r="AF14" s="36"/>
      <c r="AG14" s="36"/>
      <c r="AH14" s="36"/>
      <c r="AI14" s="500">
        <v>0</v>
      </c>
      <c r="AJ14" s="36"/>
      <c r="AK14" s="36"/>
      <c r="AL14" s="36"/>
      <c r="AM14" s="36">
        <f t="shared" si="2"/>
        <v>0</v>
      </c>
      <c r="AN14" s="36"/>
      <c r="AO14" s="36"/>
      <c r="AP14" s="36"/>
      <c r="AQ14" s="36"/>
      <c r="AR14" s="36">
        <f t="shared" si="12"/>
        <v>0</v>
      </c>
      <c r="AS14" s="36"/>
      <c r="AT14" s="36"/>
      <c r="AU14" s="36"/>
      <c r="AV14" s="36"/>
      <c r="AW14" s="36"/>
      <c r="AX14" s="36"/>
      <c r="AY14" s="36"/>
      <c r="AZ14" s="36"/>
      <c r="BA14" s="36">
        <f>+AR14+AS14+AU14+AW14+AY14+AZ14</f>
        <v>0</v>
      </c>
      <c r="BB14" s="49"/>
      <c r="BC14" s="50"/>
      <c r="BD14" s="50"/>
      <c r="BE14" s="49"/>
      <c r="BF14" s="50"/>
    </row>
    <row r="15" spans="1:58" ht="12.95" customHeight="1">
      <c r="A15" s="39"/>
      <c r="B15" s="40"/>
      <c r="C15" s="413"/>
      <c r="D15" s="40"/>
      <c r="E15" s="41"/>
      <c r="F15" s="41"/>
      <c r="G15" s="42"/>
      <c r="H15" s="43"/>
      <c r="I15" s="44"/>
      <c r="J15" s="81"/>
      <c r="K15" s="81"/>
      <c r="L15" s="34"/>
      <c r="M15" s="34"/>
      <c r="N15" s="45"/>
      <c r="O15" s="46"/>
      <c r="P15" s="47"/>
      <c r="Q15" s="33"/>
      <c r="R15" s="498"/>
      <c r="S15" s="498"/>
      <c r="T15" s="36"/>
      <c r="U15" s="36"/>
      <c r="V15" s="36"/>
      <c r="W15" s="36"/>
      <c r="X15" s="37"/>
      <c r="Y15" s="210"/>
      <c r="Z15" s="36"/>
      <c r="AA15" s="36"/>
      <c r="AB15" s="36"/>
      <c r="AC15" s="36"/>
      <c r="AD15" s="36"/>
      <c r="AE15" s="232"/>
      <c r="AF15" s="36"/>
      <c r="AG15" s="36"/>
      <c r="AH15" s="36"/>
      <c r="AI15" s="500"/>
      <c r="AJ15" s="36"/>
      <c r="AK15" s="36"/>
      <c r="AL15" s="36"/>
      <c r="AM15" s="36"/>
      <c r="AN15" s="36"/>
      <c r="AO15" s="36"/>
      <c r="AP15" s="36"/>
      <c r="AQ15" s="36"/>
      <c r="AR15" s="36"/>
      <c r="AS15" s="36"/>
      <c r="AT15" s="36"/>
      <c r="AU15" s="36"/>
      <c r="AV15" s="36"/>
      <c r="AW15" s="36"/>
      <c r="AX15" s="36"/>
      <c r="AY15" s="36"/>
      <c r="AZ15" s="36"/>
      <c r="BA15" s="36"/>
      <c r="BB15" s="49"/>
      <c r="BC15" s="50"/>
      <c r="BD15" s="50"/>
      <c r="BE15" s="49"/>
      <c r="BF15" s="50"/>
    </row>
    <row r="16" spans="1:58" ht="12.75" customHeight="1">
      <c r="A16" s="39">
        <v>46084</v>
      </c>
      <c r="B16" s="40" t="s">
        <v>7</v>
      </c>
      <c r="C16" s="413">
        <f t="shared" ref="C16" si="13">(M16*E16*O16*Q16)/100000000</f>
        <v>49.244579999999999</v>
      </c>
      <c r="D16" s="40" t="s">
        <v>301</v>
      </c>
      <c r="E16" s="41">
        <v>16</v>
      </c>
      <c r="F16" s="41">
        <v>1</v>
      </c>
      <c r="G16" s="497">
        <f>+L16</f>
        <v>1102.1122599704579</v>
      </c>
      <c r="H16" s="43">
        <f t="shared" ref="H16" si="14">+N16</f>
        <v>0.25</v>
      </c>
      <c r="I16" s="44">
        <v>0.88</v>
      </c>
      <c r="J16" s="81">
        <f t="shared" ref="J16" si="15">E16*G16*(1-H16)*1440/1000000*2.74</f>
        <v>52.181929595273267</v>
      </c>
      <c r="K16" s="81">
        <f t="shared" ref="K16" si="16">(IF(G16&lt;L16,L16,G16)*(1-IF(H16&lt;N16,H16,N16))*E16*O16*Q16)/100000000</f>
        <v>49.244579999999999</v>
      </c>
      <c r="L16" s="34">
        <v>1102.1122599704579</v>
      </c>
      <c r="M16" s="34">
        <v>826.58419497784348</v>
      </c>
      <c r="N16" s="45">
        <f t="shared" ref="N16" si="17">1-(M16/L16)</f>
        <v>0.25</v>
      </c>
      <c r="O16" s="46">
        <f>+'Trim Rwd'!H11</f>
        <v>275</v>
      </c>
      <c r="P16" s="47">
        <f t="shared" ref="P16" si="18">O16*(Q16-R16-S16)</f>
        <v>354200</v>
      </c>
      <c r="Q16" s="46">
        <v>1354</v>
      </c>
      <c r="R16" s="498">
        <v>0</v>
      </c>
      <c r="S16" s="498">
        <v>66</v>
      </c>
      <c r="T16" s="36">
        <f t="shared" ref="T16" si="19">E16*M16*O16*Q16/100000000</f>
        <v>49.244579999999999</v>
      </c>
      <c r="U16" s="36">
        <f t="shared" ref="U16" si="20">E16*M16*O16*(Q16-R16-S16)/100000000</f>
        <v>46.844179497784346</v>
      </c>
      <c r="V16" s="36">
        <f t="shared" ref="V16" si="21">E16*G16*(1-N16)*O16/100*(R16+S16)/1000000</f>
        <v>2.4004005022156574</v>
      </c>
      <c r="W16" s="36">
        <f>+'3'!K9/1000</f>
        <v>40.542999999999999</v>
      </c>
      <c r="X16" s="499">
        <f>SUM(W16:W20)/SUM(K16:K20)</f>
        <v>0.78015275084134428</v>
      </c>
      <c r="Y16" s="210">
        <v>0</v>
      </c>
      <c r="Z16" s="36">
        <v>0</v>
      </c>
      <c r="AA16" s="48">
        <f>SUM(U16:U20)-SUM(W16:W20)-SUM(Z16:Z20)-SUM(Y16:Y20)</f>
        <v>8.7079474977843461</v>
      </c>
      <c r="AB16" s="48">
        <f>(SUM(K16:K20)-SUM(W16:W20)-SUM(Y16:Y20)-SUM(Z16:Z20)-SUM(AC16:AC20)-SUM(V16:V20))-AA16</f>
        <v>0</v>
      </c>
      <c r="AC16" s="36">
        <f>K16-T16</f>
        <v>0</v>
      </c>
      <c r="AD16" s="36">
        <f>+AM16+BA16</f>
        <v>21</v>
      </c>
      <c r="AE16" s="229" t="s">
        <v>435</v>
      </c>
      <c r="AF16" s="36">
        <v>21</v>
      </c>
      <c r="AG16" s="36"/>
      <c r="AH16" s="36"/>
      <c r="AI16" s="500"/>
      <c r="AJ16" s="36"/>
      <c r="AK16" s="36"/>
      <c r="AL16" s="36"/>
      <c r="AM16" s="36">
        <f t="shared" ref="AM16:AM19" si="22">SUM(AF16:AL16)+AT16+AV16+AX16</f>
        <v>21</v>
      </c>
      <c r="AN16" s="36"/>
      <c r="AO16" s="36"/>
      <c r="AP16" s="36"/>
      <c r="AQ16" s="36"/>
      <c r="AR16" s="36">
        <f>SUM(AN16:AQ16)</f>
        <v>0</v>
      </c>
      <c r="AS16" s="36"/>
      <c r="AT16" s="36"/>
      <c r="AU16" s="36"/>
      <c r="AV16" s="36"/>
      <c r="AW16" s="36"/>
      <c r="AX16" s="36"/>
      <c r="AY16" s="36"/>
      <c r="AZ16" s="36"/>
      <c r="BA16" s="36">
        <f>+AR16+AS16+AU16+AW16+AY16+AZ16</f>
        <v>0</v>
      </c>
      <c r="BB16" s="32">
        <v>6</v>
      </c>
      <c r="BC16" s="50"/>
      <c r="BD16" s="50"/>
      <c r="BE16" s="32"/>
      <c r="BF16" s="50"/>
    </row>
    <row r="17" spans="1:58" ht="12.95" customHeight="1">
      <c r="A17" s="39"/>
      <c r="B17" s="40" t="s">
        <v>7</v>
      </c>
      <c r="C17" s="413">
        <f t="shared" ref="C17" si="23">(M17*E17*O17*Q17)/100000000</f>
        <v>2.7234479999999999</v>
      </c>
      <c r="D17" s="40" t="s">
        <v>301</v>
      </c>
      <c r="E17" s="41">
        <v>14</v>
      </c>
      <c r="F17" s="41">
        <v>1</v>
      </c>
      <c r="G17" s="497">
        <f>+L17</f>
        <v>1160</v>
      </c>
      <c r="H17" s="43">
        <f t="shared" ref="H17" si="24">+N17</f>
        <v>0.25</v>
      </c>
      <c r="I17" s="44">
        <v>0.88</v>
      </c>
      <c r="J17" s="81">
        <f t="shared" ref="J17" si="25">E17*G17*(1-H17)*1440/1000000*2.74</f>
        <v>48.057408000000009</v>
      </c>
      <c r="K17" s="81">
        <f t="shared" ref="K17" si="26">(IF(G17&lt;L17,L17,G17)*(1-IF(H17&lt;N17,H17,N17))*E17*O17*Q17)/100000000</f>
        <v>2.7234479999999999</v>
      </c>
      <c r="L17" s="34">
        <v>1160</v>
      </c>
      <c r="M17" s="34">
        <v>870</v>
      </c>
      <c r="N17" s="45">
        <f t="shared" ref="N17" si="27">1-(M17/L17)</f>
        <v>0.25</v>
      </c>
      <c r="O17" s="46">
        <f>+'Trim Rwd'!H12</f>
        <v>260</v>
      </c>
      <c r="P17" s="47">
        <f t="shared" ref="P17" si="28">O17*(Q17-R17-S17)</f>
        <v>19760</v>
      </c>
      <c r="Q17" s="46">
        <v>86</v>
      </c>
      <c r="R17" s="498">
        <v>0</v>
      </c>
      <c r="S17" s="498">
        <v>10</v>
      </c>
      <c r="T17" s="36">
        <f t="shared" ref="T17" si="29">E17*M17*O17*Q17/100000000</f>
        <v>2.7234479999999999</v>
      </c>
      <c r="U17" s="36">
        <f t="shared" ref="U17" si="30">E17*M17*O17*(Q17-R17-S17)/100000000</f>
        <v>2.406768</v>
      </c>
      <c r="V17" s="36">
        <f t="shared" ref="V17" si="31">E17*G17*(1-N17)*O17/100*(R17+S17)/1000000</f>
        <v>0.31668000000000002</v>
      </c>
      <c r="W17" s="36">
        <f>+'2'!K13/1000</f>
        <v>0</v>
      </c>
      <c r="X17" s="37"/>
      <c r="Y17" s="210"/>
      <c r="Z17" s="36"/>
      <c r="AA17" s="36"/>
      <c r="AB17" s="36"/>
      <c r="AC17" s="36">
        <f>K17-T17</f>
        <v>0</v>
      </c>
      <c r="AD17" s="36">
        <f>+AM17+BA17</f>
        <v>6</v>
      </c>
      <c r="AE17" s="229" t="s">
        <v>414</v>
      </c>
      <c r="AF17" s="36"/>
      <c r="AG17" s="36">
        <v>6</v>
      </c>
      <c r="AH17" s="36"/>
      <c r="AI17" s="500"/>
      <c r="AJ17" s="36"/>
      <c r="AK17" s="36"/>
      <c r="AL17" s="36"/>
      <c r="AM17" s="36">
        <f t="shared" si="22"/>
        <v>6</v>
      </c>
      <c r="AN17" s="82"/>
      <c r="AO17" s="36"/>
      <c r="AP17" s="36"/>
      <c r="AQ17" s="36"/>
      <c r="AR17" s="36">
        <f t="shared" ref="AR17:AR19" si="32">SUM(AN17:AQ17)</f>
        <v>0</v>
      </c>
      <c r="AS17" s="36"/>
      <c r="AT17" s="36"/>
      <c r="AU17" s="36"/>
      <c r="AV17" s="36"/>
      <c r="AW17" s="36"/>
      <c r="AX17" s="36"/>
      <c r="AY17" s="36"/>
      <c r="AZ17" s="36"/>
      <c r="BA17" s="36">
        <f>+AR17+AS17+AU17+AW17+AY17+AZ17</f>
        <v>0</v>
      </c>
      <c r="BB17" s="49"/>
      <c r="BC17" s="50">
        <v>1</v>
      </c>
      <c r="BD17" s="50"/>
      <c r="BE17" s="49"/>
      <c r="BF17" s="50"/>
    </row>
    <row r="18" spans="1:58" ht="12.95" customHeight="1">
      <c r="A18" s="39"/>
      <c r="B18" s="40"/>
      <c r="C18" s="413"/>
      <c r="D18" s="40"/>
      <c r="E18" s="41"/>
      <c r="F18" s="41"/>
      <c r="G18" s="497"/>
      <c r="H18" s="43"/>
      <c r="I18" s="44"/>
      <c r="J18" s="81"/>
      <c r="K18" s="81"/>
      <c r="L18" s="34"/>
      <c r="M18" s="34"/>
      <c r="N18" s="45"/>
      <c r="O18" s="46"/>
      <c r="P18" s="47"/>
      <c r="Q18" s="46"/>
      <c r="R18" s="498"/>
      <c r="S18" s="498"/>
      <c r="T18" s="36"/>
      <c r="U18" s="36"/>
      <c r="V18" s="36"/>
      <c r="W18" s="36"/>
      <c r="X18" s="37"/>
      <c r="Y18" s="210"/>
      <c r="Z18" s="36"/>
      <c r="AA18" s="36"/>
      <c r="AB18" s="36"/>
      <c r="AC18" s="36"/>
      <c r="AD18" s="36">
        <f>+AM18+BA18</f>
        <v>49</v>
      </c>
      <c r="AE18" s="229" t="s">
        <v>456</v>
      </c>
      <c r="AF18" s="32"/>
      <c r="AG18" s="32"/>
      <c r="AH18" s="32">
        <v>49</v>
      </c>
      <c r="AJ18" s="36"/>
      <c r="AK18" s="36"/>
      <c r="AL18" s="36"/>
      <c r="AM18" s="36">
        <f t="shared" si="22"/>
        <v>49</v>
      </c>
      <c r="AN18" s="36"/>
      <c r="AO18" s="36"/>
      <c r="AP18" s="36"/>
      <c r="AQ18" s="36"/>
      <c r="AR18" s="36">
        <f t="shared" si="32"/>
        <v>0</v>
      </c>
      <c r="AS18" s="36"/>
      <c r="AT18" s="36"/>
      <c r="AU18" s="36"/>
      <c r="AV18" s="36"/>
      <c r="AW18" s="36"/>
      <c r="AX18" s="36"/>
      <c r="AY18" s="36"/>
      <c r="AZ18" s="36"/>
      <c r="BA18" s="36">
        <f>+AR18+AS18+AU18+AW18+AY18+AZ18</f>
        <v>0</v>
      </c>
      <c r="BB18" s="32"/>
      <c r="BC18" s="501"/>
      <c r="BD18" s="501"/>
      <c r="BE18" s="32"/>
      <c r="BF18" s="501"/>
    </row>
    <row r="19" spans="1:58" ht="12.95" customHeight="1">
      <c r="A19" s="39"/>
      <c r="B19" s="40"/>
      <c r="C19" s="413"/>
      <c r="D19" s="40"/>
      <c r="E19" s="41"/>
      <c r="F19" s="41"/>
      <c r="G19" s="42"/>
      <c r="H19" s="43"/>
      <c r="I19" s="44"/>
      <c r="J19" s="81"/>
      <c r="K19" s="81"/>
      <c r="L19" s="34"/>
      <c r="M19" s="34"/>
      <c r="N19" s="45"/>
      <c r="O19" s="46"/>
      <c r="P19" s="47"/>
      <c r="Q19" s="33"/>
      <c r="R19" s="498"/>
      <c r="S19" s="498"/>
      <c r="T19" s="36"/>
      <c r="U19" s="36"/>
      <c r="V19" s="36"/>
      <c r="W19" s="36"/>
      <c r="X19" s="37"/>
      <c r="Y19" s="210"/>
      <c r="Z19" s="36"/>
      <c r="AA19" s="36"/>
      <c r="AB19" s="36"/>
      <c r="AC19" s="36"/>
      <c r="AD19" s="36">
        <f>+AM19+BA19</f>
        <v>0</v>
      </c>
      <c r="AE19" s="232" t="s">
        <v>377</v>
      </c>
      <c r="AF19" s="36"/>
      <c r="AG19" s="36"/>
      <c r="AH19" s="36"/>
      <c r="AI19" s="500">
        <v>0</v>
      </c>
      <c r="AJ19" s="36"/>
      <c r="AK19" s="36"/>
      <c r="AL19" s="36"/>
      <c r="AM19" s="36">
        <f t="shared" si="22"/>
        <v>0</v>
      </c>
      <c r="AN19" s="36"/>
      <c r="AO19" s="36"/>
      <c r="AP19" s="36"/>
      <c r="AQ19" s="36"/>
      <c r="AR19" s="36">
        <f t="shared" si="32"/>
        <v>0</v>
      </c>
      <c r="AS19" s="36"/>
      <c r="AT19" s="36"/>
      <c r="AU19" s="36"/>
      <c r="AV19" s="36"/>
      <c r="AW19" s="36"/>
      <c r="AX19" s="36"/>
      <c r="AY19" s="36"/>
      <c r="AZ19" s="36"/>
      <c r="BA19" s="36">
        <f>+AR19+AS19+AU19+AW19+AY19+AZ19</f>
        <v>0</v>
      </c>
      <c r="BB19" s="49"/>
      <c r="BC19" s="50"/>
      <c r="BD19" s="50"/>
      <c r="BE19" s="49"/>
      <c r="BF19" s="50"/>
    </row>
    <row r="20" spans="1:58" ht="12.95" customHeight="1">
      <c r="A20" s="39"/>
      <c r="B20" s="40"/>
      <c r="C20" s="413"/>
      <c r="D20" s="40"/>
      <c r="E20" s="41"/>
      <c r="F20" s="41"/>
      <c r="G20" s="497"/>
      <c r="H20" s="43"/>
      <c r="I20" s="44"/>
      <c r="J20" s="81"/>
      <c r="K20" s="81"/>
      <c r="L20" s="34"/>
      <c r="M20" s="34"/>
      <c r="N20" s="45"/>
      <c r="O20" s="46"/>
      <c r="P20" s="47"/>
      <c r="Q20" s="46"/>
      <c r="R20" s="498"/>
      <c r="S20" s="498"/>
      <c r="T20" s="36"/>
      <c r="U20" s="36"/>
      <c r="V20" s="36"/>
      <c r="W20" s="36"/>
      <c r="X20" s="37"/>
      <c r="Y20" s="210"/>
      <c r="Z20" s="36"/>
      <c r="AA20" s="36"/>
      <c r="AB20" s="36"/>
      <c r="AC20" s="36"/>
      <c r="AD20" s="36"/>
      <c r="AE20" s="229"/>
      <c r="AF20" s="32"/>
      <c r="AG20" s="32"/>
      <c r="AH20" s="32"/>
      <c r="AJ20" s="36"/>
      <c r="AK20" s="36"/>
      <c r="AL20" s="36"/>
      <c r="AM20" s="36"/>
      <c r="AN20" s="36"/>
      <c r="AO20" s="36"/>
      <c r="AP20" s="36"/>
      <c r="AQ20" s="36"/>
      <c r="AR20" s="36"/>
      <c r="AS20" s="36"/>
      <c r="AT20" s="36"/>
      <c r="AU20" s="36"/>
      <c r="AV20" s="36"/>
      <c r="AW20" s="36"/>
      <c r="AX20" s="36"/>
      <c r="AY20" s="36"/>
      <c r="AZ20" s="36"/>
      <c r="BA20" s="36"/>
      <c r="BB20" s="32"/>
      <c r="BC20" s="501"/>
      <c r="BD20" s="501"/>
      <c r="BE20" s="32"/>
      <c r="BF20" s="501"/>
    </row>
    <row r="21" spans="1:58" ht="12.75" customHeight="1">
      <c r="A21" s="39">
        <v>46085</v>
      </c>
      <c r="B21" s="40" t="s">
        <v>7</v>
      </c>
      <c r="C21" s="413">
        <f t="shared" ref="C21" si="33">(M21*E21*O21*Q21)/100000000</f>
        <v>47.047727999999999</v>
      </c>
      <c r="D21" s="40" t="s">
        <v>301</v>
      </c>
      <c r="E21" s="41">
        <v>14</v>
      </c>
      <c r="F21" s="41">
        <v>1</v>
      </c>
      <c r="G21" s="497">
        <f>+L21</f>
        <v>1196.7777777777778</v>
      </c>
      <c r="H21" s="43">
        <f t="shared" ref="H21" si="34">+N21</f>
        <v>0.25</v>
      </c>
      <c r="I21" s="44">
        <v>0.88</v>
      </c>
      <c r="J21" s="81">
        <f t="shared" ref="J21" si="35">E21*G21*(1-H21)*1440/1000000*2.74</f>
        <v>49.5810672</v>
      </c>
      <c r="K21" s="81">
        <f t="shared" ref="K21" si="36">(IF(G21&lt;L21,L21,G21)*(1-IF(H21&lt;N21,H21,N21))*E21*O21*Q21)/100000000</f>
        <v>47.047727999999999</v>
      </c>
      <c r="L21" s="34">
        <v>1196.7777777777778</v>
      </c>
      <c r="M21" s="34">
        <v>897.58333333333337</v>
      </c>
      <c r="N21" s="45">
        <f t="shared" ref="N21" si="37">1-(M21/L21)</f>
        <v>0.25</v>
      </c>
      <c r="O21" s="46">
        <f>+'Trim Rwd'!H14</f>
        <v>260</v>
      </c>
      <c r="P21" s="47">
        <f t="shared" ref="P21" si="38">O21*(Q21-R21-S21)</f>
        <v>352040</v>
      </c>
      <c r="Q21" s="46">
        <v>1440</v>
      </c>
      <c r="R21" s="498">
        <v>0</v>
      </c>
      <c r="S21" s="498">
        <v>86</v>
      </c>
      <c r="T21" s="36">
        <f t="shared" ref="T21" si="39">E21*M21*O21*Q21/100000000</f>
        <v>47.047727999999999</v>
      </c>
      <c r="U21" s="36">
        <f t="shared" ref="U21" si="40">E21*M21*O21*(Q21-R21-S21)/100000000</f>
        <v>44.237933133333343</v>
      </c>
      <c r="V21" s="36">
        <f t="shared" ref="V21" si="41">E21*G21*(1-N21)*O21/100*(R21+S21)/1000000</f>
        <v>2.809794866666667</v>
      </c>
      <c r="W21" s="36">
        <f>+'4'!K8/1000</f>
        <v>39.755000000000003</v>
      </c>
      <c r="X21" s="499">
        <f>SUM(W21:W25)/SUM(K21:K25)</f>
        <v>0.844992982445401</v>
      </c>
      <c r="Y21" s="210">
        <v>0</v>
      </c>
      <c r="Z21" s="36">
        <v>0</v>
      </c>
      <c r="AA21" s="48">
        <f>SUM(U21:U25)-SUM(W21:W25)-SUM(Z21:Z25)-SUM(Y21:Y25)</f>
        <v>4.48293313333334</v>
      </c>
      <c r="AB21" s="48">
        <f>(SUM(K21:K25)-SUM(W21:W25)-SUM(Y21:Y25)-SUM(Z21:Z25)-SUM(AC21:AC25)-SUM(V21:V25))-AA21</f>
        <v>-1.0658141036401503E-14</v>
      </c>
      <c r="AC21" s="36">
        <f>K21-T21</f>
        <v>0</v>
      </c>
      <c r="AD21" s="36">
        <f>+AM21+BA21</f>
        <v>23</v>
      </c>
      <c r="AE21" s="229" t="s">
        <v>468</v>
      </c>
      <c r="AF21" s="36">
        <v>23</v>
      </c>
      <c r="AG21" s="36"/>
      <c r="AH21" s="36"/>
      <c r="AI21" s="500"/>
      <c r="AJ21" s="36"/>
      <c r="AK21" s="36"/>
      <c r="AL21" s="36"/>
      <c r="AM21" s="36">
        <f t="shared" ref="AM21:AM24" si="42">SUM(AF21:AL21)+AT21+AV21+AX21</f>
        <v>23</v>
      </c>
      <c r="AN21" s="36"/>
      <c r="AO21" s="36"/>
      <c r="AP21" s="36"/>
      <c r="AQ21" s="36"/>
      <c r="AR21" s="36">
        <f>SUM(AN21:AQ21)</f>
        <v>0</v>
      </c>
      <c r="AS21" s="36"/>
      <c r="AT21" s="36"/>
      <c r="AU21" s="36"/>
      <c r="AV21" s="36"/>
      <c r="AW21" s="36"/>
      <c r="AX21" s="36"/>
      <c r="AY21" s="36"/>
      <c r="AZ21" s="36"/>
      <c r="BA21" s="36">
        <f>+AR21+AS21+AU21+AW21+AY21+AZ21</f>
        <v>0</v>
      </c>
      <c r="BB21" s="32">
        <v>8</v>
      </c>
      <c r="BC21" s="50"/>
      <c r="BD21" s="50"/>
      <c r="BE21" s="32"/>
      <c r="BF21" s="50"/>
    </row>
    <row r="22" spans="1:58" ht="12.95" customHeight="1">
      <c r="A22" s="39"/>
      <c r="B22" s="40"/>
      <c r="C22" s="413"/>
      <c r="D22" s="40"/>
      <c r="E22" s="41"/>
      <c r="F22" s="41"/>
      <c r="G22" s="497"/>
      <c r="H22" s="43"/>
      <c r="I22" s="44"/>
      <c r="J22" s="81"/>
      <c r="K22" s="81"/>
      <c r="L22" s="34"/>
      <c r="M22" s="34"/>
      <c r="N22" s="45"/>
      <c r="O22" s="46"/>
      <c r="P22" s="47"/>
      <c r="Q22" s="46"/>
      <c r="R22" s="498"/>
      <c r="S22" s="498"/>
      <c r="T22" s="36"/>
      <c r="U22" s="36"/>
      <c r="V22" s="36"/>
      <c r="W22" s="36"/>
      <c r="X22" s="37"/>
      <c r="Y22" s="210"/>
      <c r="Z22" s="36"/>
      <c r="AA22" s="36"/>
      <c r="AB22" s="36"/>
      <c r="AC22" s="36"/>
      <c r="AD22" s="36">
        <f>+AM22+BA22</f>
        <v>0</v>
      </c>
      <c r="AE22" s="229" t="s">
        <v>283</v>
      </c>
      <c r="AF22" s="36"/>
      <c r="AG22" s="36">
        <v>0</v>
      </c>
      <c r="AH22" s="36"/>
      <c r="AI22" s="500"/>
      <c r="AJ22" s="36"/>
      <c r="AK22" s="36"/>
      <c r="AL22" s="36"/>
      <c r="AM22" s="36">
        <f t="shared" si="42"/>
        <v>0</v>
      </c>
      <c r="AN22" s="82"/>
      <c r="AO22" s="36"/>
      <c r="AP22" s="36"/>
      <c r="AQ22" s="36"/>
      <c r="AR22" s="36">
        <f t="shared" ref="AR22:AR24" si="43">SUM(AN22:AQ22)</f>
        <v>0</v>
      </c>
      <c r="AS22" s="36"/>
      <c r="AT22" s="36"/>
      <c r="AU22" s="36"/>
      <c r="AV22" s="36"/>
      <c r="AW22" s="36"/>
      <c r="AX22" s="36"/>
      <c r="AY22" s="36"/>
      <c r="AZ22" s="36"/>
      <c r="BA22" s="36">
        <f>+AR22+AS22+AU22+AW22+AY22+AZ22</f>
        <v>0</v>
      </c>
      <c r="BB22" s="49"/>
      <c r="BC22" s="50">
        <v>0</v>
      </c>
      <c r="BD22" s="50"/>
      <c r="BE22" s="49"/>
      <c r="BF22" s="50"/>
    </row>
    <row r="23" spans="1:58" ht="12.95" customHeight="1">
      <c r="A23" s="39"/>
      <c r="B23" s="40"/>
      <c r="C23" s="413"/>
      <c r="D23" s="40"/>
      <c r="E23" s="41"/>
      <c r="F23" s="41"/>
      <c r="G23" s="497"/>
      <c r="H23" s="43"/>
      <c r="I23" s="44"/>
      <c r="J23" s="81"/>
      <c r="K23" s="81"/>
      <c r="L23" s="34"/>
      <c r="M23" s="34"/>
      <c r="N23" s="45"/>
      <c r="O23" s="46"/>
      <c r="P23" s="47"/>
      <c r="Q23" s="46"/>
      <c r="R23" s="498"/>
      <c r="S23" s="498"/>
      <c r="T23" s="36"/>
      <c r="U23" s="36"/>
      <c r="V23" s="36"/>
      <c r="W23" s="36"/>
      <c r="X23" s="37"/>
      <c r="Y23" s="210"/>
      <c r="Z23" s="36"/>
      <c r="AA23" s="36"/>
      <c r="AB23" s="36"/>
      <c r="AC23" s="36"/>
      <c r="AD23" s="36">
        <f>+AM23+BA23</f>
        <v>63</v>
      </c>
      <c r="AE23" s="229" t="s">
        <v>436</v>
      </c>
      <c r="AF23" s="32"/>
      <c r="AG23" s="32"/>
      <c r="AH23" s="32">
        <v>63</v>
      </c>
      <c r="AJ23" s="36"/>
      <c r="AK23" s="36"/>
      <c r="AL23" s="36"/>
      <c r="AM23" s="36">
        <f t="shared" si="42"/>
        <v>63</v>
      </c>
      <c r="AN23" s="36"/>
      <c r="AO23" s="36"/>
      <c r="AP23" s="36"/>
      <c r="AQ23" s="36"/>
      <c r="AR23" s="36">
        <f t="shared" si="43"/>
        <v>0</v>
      </c>
      <c r="AS23" s="36"/>
      <c r="AT23" s="36"/>
      <c r="AU23" s="36"/>
      <c r="AV23" s="36"/>
      <c r="AW23" s="36"/>
      <c r="AX23" s="36"/>
      <c r="AY23" s="36"/>
      <c r="AZ23" s="36"/>
      <c r="BA23" s="36">
        <f>+AR23+AS23+AU23+AW23+AY23+AZ23</f>
        <v>0</v>
      </c>
      <c r="BB23" s="32"/>
      <c r="BC23" s="501"/>
      <c r="BD23" s="501"/>
      <c r="BE23" s="32"/>
      <c r="BF23" s="501"/>
    </row>
    <row r="24" spans="1:58" ht="12.95" customHeight="1">
      <c r="A24" s="39"/>
      <c r="B24" s="40"/>
      <c r="C24" s="413"/>
      <c r="D24" s="40"/>
      <c r="E24" s="41"/>
      <c r="F24" s="41"/>
      <c r="G24" s="42"/>
      <c r="H24" s="43"/>
      <c r="I24" s="44"/>
      <c r="J24" s="81"/>
      <c r="K24" s="81"/>
      <c r="L24" s="34"/>
      <c r="M24" s="34"/>
      <c r="N24" s="45"/>
      <c r="O24" s="46"/>
      <c r="P24" s="47"/>
      <c r="Q24" s="33"/>
      <c r="R24" s="498"/>
      <c r="S24" s="498"/>
      <c r="T24" s="36"/>
      <c r="U24" s="36"/>
      <c r="V24" s="36"/>
      <c r="W24" s="36"/>
      <c r="X24" s="37"/>
      <c r="Y24" s="210"/>
      <c r="Z24" s="36"/>
      <c r="AA24" s="36"/>
      <c r="AB24" s="36"/>
      <c r="AC24" s="36"/>
      <c r="AD24" s="36">
        <f>+AM24+BA24</f>
        <v>0</v>
      </c>
      <c r="AE24" s="232" t="s">
        <v>377</v>
      </c>
      <c r="AF24" s="36"/>
      <c r="AG24" s="36"/>
      <c r="AH24" s="36"/>
      <c r="AI24" s="500">
        <v>0</v>
      </c>
      <c r="AJ24" s="36"/>
      <c r="AK24" s="36"/>
      <c r="AL24" s="36"/>
      <c r="AM24" s="36">
        <f t="shared" si="42"/>
        <v>0</v>
      </c>
      <c r="AN24" s="36"/>
      <c r="AO24" s="36"/>
      <c r="AP24" s="36"/>
      <c r="AQ24" s="36"/>
      <c r="AR24" s="36">
        <f t="shared" si="43"/>
        <v>0</v>
      </c>
      <c r="AS24" s="36"/>
      <c r="AT24" s="36"/>
      <c r="AU24" s="36"/>
      <c r="AV24" s="36"/>
      <c r="AW24" s="36"/>
      <c r="AX24" s="36"/>
      <c r="AY24" s="36"/>
      <c r="AZ24" s="36"/>
      <c r="BA24" s="36">
        <f>+AR24+AS24+AU24+AW24+AY24+AZ24</f>
        <v>0</v>
      </c>
      <c r="BB24" s="49"/>
      <c r="BC24" s="50"/>
      <c r="BD24" s="50"/>
      <c r="BE24" s="49"/>
      <c r="BF24" s="50"/>
    </row>
    <row r="25" spans="1:58" ht="12.95" customHeight="1">
      <c r="A25" s="39"/>
      <c r="B25" s="40"/>
      <c r="C25" s="413"/>
      <c r="D25" s="40"/>
      <c r="E25" s="41"/>
      <c r="F25" s="41"/>
      <c r="G25" s="42"/>
      <c r="H25" s="43"/>
      <c r="I25" s="44"/>
      <c r="J25" s="81"/>
      <c r="K25" s="81"/>
      <c r="L25" s="34"/>
      <c r="M25" s="34"/>
      <c r="N25" s="45"/>
      <c r="O25" s="46"/>
      <c r="P25" s="47"/>
      <c r="Q25" s="46"/>
      <c r="R25" s="498"/>
      <c r="S25" s="498"/>
      <c r="T25" s="36"/>
      <c r="U25" s="36"/>
      <c r="V25" s="36"/>
      <c r="W25" s="36"/>
      <c r="X25" s="37"/>
      <c r="Y25" s="210"/>
      <c r="Z25" s="36"/>
      <c r="AA25" s="36"/>
      <c r="AB25" s="36"/>
      <c r="AC25" s="36"/>
      <c r="AD25" s="36"/>
      <c r="AE25" s="229"/>
      <c r="AF25" s="32"/>
      <c r="AG25" s="32"/>
      <c r="AH25" s="32"/>
      <c r="AJ25" s="36"/>
      <c r="AK25" s="36"/>
      <c r="AL25" s="36"/>
      <c r="AM25" s="36"/>
      <c r="AN25" s="36"/>
      <c r="AO25" s="36"/>
      <c r="AP25" s="36"/>
      <c r="AQ25" s="36"/>
      <c r="AR25" s="36"/>
      <c r="AS25" s="36"/>
      <c r="AT25" s="36"/>
      <c r="AU25" s="36"/>
      <c r="AV25" s="36"/>
      <c r="AW25" s="36"/>
      <c r="AX25" s="36"/>
      <c r="AY25" s="36"/>
      <c r="AZ25" s="36"/>
      <c r="BA25" s="36"/>
      <c r="BB25" s="32"/>
      <c r="BC25" s="501"/>
      <c r="BD25" s="50"/>
      <c r="BE25" s="50"/>
      <c r="BF25" s="50"/>
    </row>
    <row r="26" spans="1:58" ht="12.75" customHeight="1">
      <c r="A26" s="39">
        <v>46086</v>
      </c>
      <c r="B26" s="40" t="s">
        <v>7</v>
      </c>
      <c r="C26" s="413">
        <f t="shared" ref="C26" si="44">(M26*E26*O26*Q26)/100000000</f>
        <v>25.577318357142858</v>
      </c>
      <c r="D26" s="40" t="s">
        <v>301</v>
      </c>
      <c r="E26" s="41">
        <v>14</v>
      </c>
      <c r="F26" s="41">
        <v>1</v>
      </c>
      <c r="G26" s="497">
        <f>+L26</f>
        <v>1155.8024691358025</v>
      </c>
      <c r="H26" s="43">
        <f t="shared" ref="H26" si="45">+N26</f>
        <v>0.25</v>
      </c>
      <c r="I26" s="44">
        <v>0.88</v>
      </c>
      <c r="J26" s="81">
        <f t="shared" ref="J26" si="46">E26*G26*(1-H26)*1440/1000000*2.74</f>
        <v>47.883509333333336</v>
      </c>
      <c r="K26" s="81">
        <f t="shared" ref="K26" si="47">(IF(G26&lt;L26,L26,G26)*(1-IF(H26&lt;N26,H26,N26))*E26*O26*Q26)/100000000</f>
        <v>25.577318357142865</v>
      </c>
      <c r="L26" s="34">
        <v>1155.8024691358025</v>
      </c>
      <c r="M26" s="34">
        <v>866.85185185185185</v>
      </c>
      <c r="N26" s="45">
        <f t="shared" ref="N26" si="48">1-(M26/L26)</f>
        <v>0.25</v>
      </c>
      <c r="O26" s="46">
        <f>+'Trim Rwd'!H16</f>
        <v>260.19387755102042</v>
      </c>
      <c r="P26" s="47">
        <f t="shared" ref="P26" si="49">O26*(Q26-R26-S26)</f>
        <v>200869.67346938775</v>
      </c>
      <c r="Q26" s="46">
        <v>810</v>
      </c>
      <c r="R26" s="498">
        <v>0</v>
      </c>
      <c r="S26" s="498">
        <v>38</v>
      </c>
      <c r="T26" s="36">
        <f t="shared" ref="T26" si="50">E26*M26*O26*Q26/100000000</f>
        <v>25.577318357142858</v>
      </c>
      <c r="U26" s="36">
        <f t="shared" ref="U26" si="51">E26*M26*O26*(Q26-R26-S26)/100000000</f>
        <v>24.377394779894182</v>
      </c>
      <c r="V26" s="36">
        <f t="shared" ref="V26" si="52">E26*G26*(1-N26)*O26/100*(R26+S26)/1000000</f>
        <v>1.1999235772486776</v>
      </c>
      <c r="W26" s="36">
        <f>+'5'!K8/1000</f>
        <v>25.388000000000002</v>
      </c>
      <c r="X26" s="499">
        <f>SUM(W26:W30)/SUM(K26:K30)</f>
        <v>0.82227366207082131</v>
      </c>
      <c r="Y26" s="210">
        <v>0</v>
      </c>
      <c r="Z26" s="36">
        <f>+'5'!D16/1000</f>
        <v>0.28999999999999998</v>
      </c>
      <c r="AA26" s="48">
        <f>SUM(U26:U30)-SUM(W26:W30)-SUM(Z26:Z30)-SUM(Y26:Y30)</f>
        <v>5.008017179894181</v>
      </c>
      <c r="AB26" s="48">
        <f>(SUM(K26:K30)-SUM(W26:W30)-SUM(Y26:Y30)-SUM(Z26:Z30)-SUM(AC26:AC30)-SUM(V26:V30))-AA26</f>
        <v>-4.1508999999988028E-2</v>
      </c>
      <c r="AC26" s="36">
        <f>K26-T26</f>
        <v>0</v>
      </c>
      <c r="AD26" s="36">
        <f>+AM26+BA26</f>
        <v>17</v>
      </c>
      <c r="AE26" s="229" t="s">
        <v>435</v>
      </c>
      <c r="AF26" s="36">
        <v>17</v>
      </c>
      <c r="AG26" s="36"/>
      <c r="AH26" s="36"/>
      <c r="AI26" s="500"/>
      <c r="AJ26" s="36"/>
      <c r="AK26" s="36"/>
      <c r="AL26" s="36"/>
      <c r="AM26" s="36">
        <f t="shared" ref="AM26:AM29" si="53">SUM(AF26:AL26)+AT26+AV26+AX26</f>
        <v>17</v>
      </c>
      <c r="AN26" s="36"/>
      <c r="AO26" s="36"/>
      <c r="AP26" s="36"/>
      <c r="AQ26" s="36"/>
      <c r="AR26" s="36">
        <f>SUM(AN26:AQ26)</f>
        <v>0</v>
      </c>
      <c r="AS26" s="36"/>
      <c r="AT26" s="36"/>
      <c r="AU26" s="36"/>
      <c r="AV26" s="36"/>
      <c r="AW26" s="36"/>
      <c r="AX26" s="36"/>
      <c r="AY26" s="36"/>
      <c r="AZ26" s="36"/>
      <c r="BA26" s="36">
        <f>+AR26+AS26+AU26+AW26+AY26+AZ26</f>
        <v>0</v>
      </c>
      <c r="BB26" s="32">
        <v>6</v>
      </c>
      <c r="BC26" s="50"/>
      <c r="BD26" s="50"/>
      <c r="BE26" s="32"/>
      <c r="BF26" s="50"/>
    </row>
    <row r="27" spans="1:58" ht="12.95" customHeight="1">
      <c r="A27" s="39"/>
      <c r="B27" s="40" t="s">
        <v>7</v>
      </c>
      <c r="C27" s="413">
        <f t="shared" ref="C27:C28" si="54">(M27*E27*O27*Q27)/100000000</f>
        <v>12.324312000000001</v>
      </c>
      <c r="D27" s="40" t="s">
        <v>301</v>
      </c>
      <c r="E27" s="41">
        <v>13.5</v>
      </c>
      <c r="F27" s="41">
        <v>1</v>
      </c>
      <c r="G27" s="497">
        <v>1230</v>
      </c>
      <c r="H27" s="43">
        <f t="shared" ref="H27:H28" si="55">+N27</f>
        <v>0.22999999999999998</v>
      </c>
      <c r="I27" s="44">
        <v>0.88</v>
      </c>
      <c r="J27" s="81">
        <f t="shared" ref="J27:J28" si="56">E27*G27*(1-H27)*1440/1000000*2.74</f>
        <v>50.447849760000004</v>
      </c>
      <c r="K27" s="81">
        <f t="shared" ref="K27:K28" si="57">(IF(G27&lt;L27,L27,G27)*(1-IF(H27&lt;N27,H27,N27))*E27*O27*Q27)/100000000</f>
        <v>12.632419799999999</v>
      </c>
      <c r="L27" s="34">
        <v>1200</v>
      </c>
      <c r="M27" s="34">
        <v>924</v>
      </c>
      <c r="N27" s="45">
        <f t="shared" ref="N27:N28" si="58">1-(M27/L27)</f>
        <v>0.22999999999999998</v>
      </c>
      <c r="O27" s="46">
        <f>+'Trim Rwd'!H18</f>
        <v>260</v>
      </c>
      <c r="P27" s="47">
        <f t="shared" ref="P27:P28" si="59">O27*(Q27-R27-S27)</f>
        <v>93600</v>
      </c>
      <c r="Q27" s="46">
        <v>380</v>
      </c>
      <c r="R27" s="498">
        <v>0</v>
      </c>
      <c r="S27" s="498">
        <f>74-S26-S28</f>
        <v>20</v>
      </c>
      <c r="T27" s="36">
        <f t="shared" ref="T27:T28" si="60">E27*M27*O27*Q27/100000000</f>
        <v>12.324312000000001</v>
      </c>
      <c r="U27" s="36">
        <f t="shared" ref="U27:U28" si="61">E27*M27*O27*(Q27-R27-S27)/100000000</f>
        <v>11.675663999999999</v>
      </c>
      <c r="V27" s="36">
        <f t="shared" ref="V27:V28" si="62">E27*G27*(1-N27)*O27/100*(R27+S27)/1000000</f>
        <v>0.66486419999999991</v>
      </c>
      <c r="W27" s="36">
        <f>+'5'!K10/1000</f>
        <v>10.827</v>
      </c>
      <c r="X27" s="37"/>
      <c r="Y27" s="210"/>
      <c r="Z27" s="36"/>
      <c r="AA27" s="36"/>
      <c r="AB27" s="36"/>
      <c r="AC27" s="36">
        <f t="shared" ref="AC27:AC28" si="63">K27-T27</f>
        <v>0.30810779999999838</v>
      </c>
      <c r="AD27" s="36">
        <f>+AM27+BA27</f>
        <v>0</v>
      </c>
      <c r="AE27" s="229" t="s">
        <v>283</v>
      </c>
      <c r="AF27" s="36"/>
      <c r="AG27" s="36">
        <v>0</v>
      </c>
      <c r="AH27" s="36"/>
      <c r="AI27" s="500"/>
      <c r="AJ27" s="36"/>
      <c r="AK27" s="36"/>
      <c r="AL27" s="36"/>
      <c r="AM27" s="36">
        <f t="shared" si="53"/>
        <v>0</v>
      </c>
      <c r="AN27" s="82"/>
      <c r="AO27" s="36"/>
      <c r="AP27" s="36"/>
      <c r="AQ27" s="36"/>
      <c r="AR27" s="36">
        <f t="shared" ref="AR27:AR29" si="64">SUM(AN27:AQ27)</f>
        <v>0</v>
      </c>
      <c r="AS27" s="36"/>
      <c r="AT27" s="36"/>
      <c r="AU27" s="36"/>
      <c r="AV27" s="36"/>
      <c r="AW27" s="36"/>
      <c r="AX27" s="36"/>
      <c r="AY27" s="36"/>
      <c r="AZ27" s="36"/>
      <c r="BA27" s="36">
        <f>+AR27+AS27+AU27+AW27+AY27+AZ27</f>
        <v>0</v>
      </c>
      <c r="BB27" s="49"/>
      <c r="BC27" s="50">
        <v>0</v>
      </c>
      <c r="BD27" s="50"/>
      <c r="BE27" s="49"/>
      <c r="BF27" s="50"/>
    </row>
    <row r="28" spans="1:58" ht="12.95" customHeight="1">
      <c r="A28" s="39"/>
      <c r="B28" s="40" t="s">
        <v>7</v>
      </c>
      <c r="C28" s="413">
        <f t="shared" si="54"/>
        <v>8.6943999999999999</v>
      </c>
      <c r="D28" s="40" t="s">
        <v>301</v>
      </c>
      <c r="E28" s="41">
        <v>16</v>
      </c>
      <c r="F28" s="41">
        <v>1</v>
      </c>
      <c r="G28" s="497">
        <v>1150</v>
      </c>
      <c r="H28" s="43">
        <f t="shared" si="55"/>
        <v>0.24</v>
      </c>
      <c r="I28" s="44">
        <v>0.88</v>
      </c>
      <c r="J28" s="81">
        <f t="shared" si="56"/>
        <v>55.175270400000002</v>
      </c>
      <c r="K28" s="81">
        <f t="shared" si="57"/>
        <v>9.0896000000000008</v>
      </c>
      <c r="L28" s="34">
        <v>1100</v>
      </c>
      <c r="M28" s="34">
        <v>836</v>
      </c>
      <c r="N28" s="45">
        <f t="shared" si="58"/>
        <v>0.24</v>
      </c>
      <c r="O28" s="46">
        <f>+'Trim Rwd'!H19</f>
        <v>260</v>
      </c>
      <c r="P28" s="47">
        <f t="shared" si="59"/>
        <v>60840</v>
      </c>
      <c r="Q28" s="46">
        <v>250</v>
      </c>
      <c r="R28" s="498">
        <v>0</v>
      </c>
      <c r="S28" s="498">
        <v>16</v>
      </c>
      <c r="T28" s="36">
        <f t="shared" si="60"/>
        <v>8.6943999999999999</v>
      </c>
      <c r="U28" s="36">
        <f t="shared" si="61"/>
        <v>8.1379584000000005</v>
      </c>
      <c r="V28" s="36">
        <f t="shared" si="62"/>
        <v>0.58173439999999998</v>
      </c>
      <c r="W28" s="36">
        <f>+'5'!K9/1000</f>
        <v>2.6779999999999999</v>
      </c>
      <c r="X28" s="37"/>
      <c r="Y28" s="210"/>
      <c r="Z28" s="36"/>
      <c r="AA28" s="36"/>
      <c r="AB28" s="36"/>
      <c r="AC28" s="36">
        <f t="shared" si="63"/>
        <v>0.39520000000000088</v>
      </c>
      <c r="AD28" s="36">
        <f>+AM28+BA28</f>
        <v>57</v>
      </c>
      <c r="AE28" s="229" t="s">
        <v>456</v>
      </c>
      <c r="AF28" s="32"/>
      <c r="AG28" s="32"/>
      <c r="AH28" s="32">
        <v>57</v>
      </c>
      <c r="AJ28" s="36"/>
      <c r="AK28" s="36"/>
      <c r="AL28" s="36"/>
      <c r="AM28" s="36">
        <f t="shared" si="53"/>
        <v>57</v>
      </c>
      <c r="AN28" s="36"/>
      <c r="AO28" s="36"/>
      <c r="AP28" s="36"/>
      <c r="AQ28" s="36"/>
      <c r="AR28" s="36">
        <f t="shared" si="64"/>
        <v>0</v>
      </c>
      <c r="AS28" s="36"/>
      <c r="AT28" s="36"/>
      <c r="AU28" s="36"/>
      <c r="AV28" s="36"/>
      <c r="AW28" s="36"/>
      <c r="AX28" s="36"/>
      <c r="AY28" s="36"/>
      <c r="AZ28" s="36"/>
      <c r="BA28" s="36">
        <f>+AR28+AS28+AU28+AW28+AY28+AZ28</f>
        <v>0</v>
      </c>
      <c r="BB28" s="32"/>
      <c r="BC28" s="501"/>
      <c r="BD28" s="501"/>
      <c r="BE28" s="32"/>
      <c r="BF28" s="501"/>
    </row>
    <row r="29" spans="1:58" ht="12.95" customHeight="1">
      <c r="A29" s="39"/>
      <c r="B29" s="40"/>
      <c r="C29" s="413"/>
      <c r="D29" s="40"/>
      <c r="E29" s="41"/>
      <c r="F29" s="41"/>
      <c r="G29" s="42"/>
      <c r="H29" s="43"/>
      <c r="I29" s="44"/>
      <c r="J29" s="81"/>
      <c r="K29" s="81"/>
      <c r="L29" s="34"/>
      <c r="M29" s="34"/>
      <c r="N29" s="45"/>
      <c r="O29" s="46"/>
      <c r="P29" s="47"/>
      <c r="Q29" s="33"/>
      <c r="R29" s="498"/>
      <c r="S29" s="498"/>
      <c r="T29" s="36"/>
      <c r="U29" s="36"/>
      <c r="V29" s="36"/>
      <c r="W29" s="36"/>
      <c r="X29" s="37"/>
      <c r="Y29" s="210"/>
      <c r="Z29" s="36"/>
      <c r="AA29" s="36"/>
      <c r="AB29" s="36"/>
      <c r="AC29" s="36"/>
      <c r="AD29" s="36">
        <f>+AM29+BA29</f>
        <v>0</v>
      </c>
      <c r="AE29" s="232" t="s">
        <v>377</v>
      </c>
      <c r="AF29" s="36"/>
      <c r="AG29" s="36"/>
      <c r="AH29" s="36"/>
      <c r="AI29" s="500">
        <v>0</v>
      </c>
      <c r="AJ29" s="36"/>
      <c r="AK29" s="36"/>
      <c r="AL29" s="36"/>
      <c r="AM29" s="36">
        <f t="shared" si="53"/>
        <v>0</v>
      </c>
      <c r="AN29" s="36"/>
      <c r="AO29" s="36"/>
      <c r="AP29" s="36"/>
      <c r="AQ29" s="36"/>
      <c r="AR29" s="36">
        <f t="shared" si="64"/>
        <v>0</v>
      </c>
      <c r="AS29" s="36"/>
      <c r="AT29" s="36"/>
      <c r="AU29" s="36"/>
      <c r="AV29" s="36"/>
      <c r="AW29" s="36"/>
      <c r="AX29" s="36"/>
      <c r="AY29" s="36"/>
      <c r="AZ29" s="36"/>
      <c r="BA29" s="36">
        <f>+AR29+AS29+AU29+AW29+AY29+AZ29</f>
        <v>0</v>
      </c>
      <c r="BB29" s="49"/>
      <c r="BC29" s="50"/>
      <c r="BD29" s="50"/>
      <c r="BE29" s="49"/>
      <c r="BF29" s="50"/>
    </row>
    <row r="30" spans="1:58" ht="12.95" customHeight="1">
      <c r="A30" s="39"/>
      <c r="B30" s="40"/>
      <c r="C30" s="413"/>
      <c r="D30" s="40"/>
      <c r="E30" s="41"/>
      <c r="F30" s="41"/>
      <c r="G30" s="42"/>
      <c r="H30" s="43"/>
      <c r="I30" s="44"/>
      <c r="J30" s="81"/>
      <c r="K30" s="81"/>
      <c r="L30" s="34"/>
      <c r="M30" s="34"/>
      <c r="N30" s="45"/>
      <c r="O30" s="46"/>
      <c r="P30" s="47"/>
      <c r="Q30" s="46"/>
      <c r="R30" s="498"/>
      <c r="S30" s="498"/>
      <c r="T30" s="36"/>
      <c r="U30" s="36"/>
      <c r="V30" s="36"/>
      <c r="W30" s="36"/>
      <c r="X30" s="37"/>
      <c r="Y30" s="210"/>
      <c r="Z30" s="36"/>
      <c r="AA30" s="36"/>
      <c r="AB30" s="36"/>
      <c r="AC30" s="36"/>
      <c r="AD30" s="36"/>
      <c r="AE30" s="229"/>
      <c r="AF30" s="32"/>
      <c r="AG30" s="32"/>
      <c r="AH30" s="32"/>
      <c r="AJ30" s="36"/>
      <c r="AK30" s="36"/>
      <c r="AL30" s="36"/>
      <c r="AM30" s="36"/>
      <c r="AN30" s="36"/>
      <c r="AO30" s="36"/>
      <c r="AP30" s="36"/>
      <c r="AQ30" s="36"/>
      <c r="AR30" s="36"/>
      <c r="AS30" s="36"/>
      <c r="AT30" s="36"/>
      <c r="AU30" s="36"/>
      <c r="AV30" s="36"/>
      <c r="AW30" s="36"/>
      <c r="AX30" s="36"/>
      <c r="AY30" s="36"/>
      <c r="AZ30" s="36"/>
      <c r="BA30" s="36"/>
      <c r="BB30" s="32"/>
      <c r="BC30" s="501"/>
      <c r="BD30" s="50"/>
      <c r="BE30" s="49"/>
      <c r="BF30" s="50"/>
    </row>
    <row r="31" spans="1:58" ht="12.75" customHeight="1">
      <c r="A31" s="39">
        <v>46087</v>
      </c>
      <c r="B31" s="40" t="s">
        <v>7</v>
      </c>
      <c r="C31" s="413">
        <f t="shared" ref="C31" si="65">(M31*E31*O31*Q31)/100000000</f>
        <v>24.680224800000001</v>
      </c>
      <c r="D31" s="40" t="s">
        <v>301</v>
      </c>
      <c r="E31" s="41">
        <v>16</v>
      </c>
      <c r="F31" s="41">
        <v>1</v>
      </c>
      <c r="G31" s="497">
        <v>1135</v>
      </c>
      <c r="H31" s="43">
        <f t="shared" ref="H31" si="66">+N31</f>
        <v>0.22999999999999998</v>
      </c>
      <c r="I31" s="44">
        <v>0.88</v>
      </c>
      <c r="J31" s="81">
        <f t="shared" ref="J31" si="67">E31*G31*(1-H31)*1440/1000000*2.74</f>
        <v>55.172113920000008</v>
      </c>
      <c r="K31" s="81">
        <f t="shared" ref="K31" si="68">(IF(G31&lt;L31,L31,G31)*(1-IF(H31&lt;N31,H31,N31))*E31*O31*Q31)/100000000</f>
        <v>25.465504679999999</v>
      </c>
      <c r="L31" s="34">
        <v>1100</v>
      </c>
      <c r="M31" s="34">
        <v>847</v>
      </c>
      <c r="N31" s="45">
        <f t="shared" ref="N31" si="69">1-(M31/L31)</f>
        <v>0.22999999999999998</v>
      </c>
      <c r="O31" s="46">
        <f>+'Trim Rwd'!H21</f>
        <v>256.5</v>
      </c>
      <c r="P31" s="47">
        <f t="shared" ref="P31" si="70">O31*(Q31-R31-S31)</f>
        <v>176472</v>
      </c>
      <c r="Q31" s="46">
        <v>710</v>
      </c>
      <c r="R31" s="498">
        <v>0</v>
      </c>
      <c r="S31" s="498">
        <v>22</v>
      </c>
      <c r="T31" s="36">
        <f t="shared" ref="T31" si="71">E31*M31*O31*Q31/100000000</f>
        <v>24.680224800000001</v>
      </c>
      <c r="U31" s="36">
        <f t="shared" ref="U31" si="72">E31*M31*O31*(Q31-R31-S31)/100000000</f>
        <v>23.915485440000001</v>
      </c>
      <c r="V31" s="36">
        <f t="shared" ref="V31" si="73">E31*G31*(1-N31)*O31/100*(R31+S31)/1000000</f>
        <v>0.78907197600000001</v>
      </c>
      <c r="W31" s="36">
        <f>+'6'!K9/1000</f>
        <v>25.922999999999998</v>
      </c>
      <c r="X31" s="499">
        <f>SUM(W31:W35)/SUM(K31:K35)</f>
        <v>0.58427889092409657</v>
      </c>
      <c r="Y31" s="210">
        <v>0</v>
      </c>
      <c r="Z31" s="36">
        <v>0</v>
      </c>
      <c r="AA31" s="48">
        <f>SUM(U31:U35)-SUM(W31:W35)-SUM(Z31:Z35)-SUM(Y31:Y35)</f>
        <v>0.80396208000000158</v>
      </c>
      <c r="AB31" s="48">
        <f>(SUM(K31:K35)-SUM(W31:W35)-SUM(Y31:Y35)-SUM(Z31:Z35)-SUM(AC31:AC35)-SUM(V31:V35))-AA31</f>
        <v>-0.4531967399999921</v>
      </c>
      <c r="AC31" s="36">
        <f>K31-T31</f>
        <v>0.78527987999999738</v>
      </c>
      <c r="AD31" s="36">
        <f>+AM31+BA31</f>
        <v>15</v>
      </c>
      <c r="AE31" s="229" t="s">
        <v>497</v>
      </c>
      <c r="AF31" s="36">
        <v>15</v>
      </c>
      <c r="AG31" s="36"/>
      <c r="AH31" s="36"/>
      <c r="AI31" s="500"/>
      <c r="AJ31" s="36"/>
      <c r="AK31" s="36"/>
      <c r="AL31" s="36"/>
      <c r="AM31" s="36">
        <f t="shared" ref="AM31:AM34" si="74">SUM(AF31:AL31)+AT31+AV31+AX31</f>
        <v>15</v>
      </c>
      <c r="AN31" s="36"/>
      <c r="AO31" s="36"/>
      <c r="AP31" s="36"/>
      <c r="AQ31" s="36"/>
      <c r="AR31" s="36">
        <f>SUM(AN31:AQ31)</f>
        <v>0</v>
      </c>
      <c r="AS31" s="36"/>
      <c r="AT31" s="36"/>
      <c r="AU31" s="36"/>
      <c r="AV31" s="36"/>
      <c r="AW31" s="36"/>
      <c r="AX31" s="36"/>
      <c r="AY31" s="36"/>
      <c r="AZ31" s="36"/>
      <c r="BA31" s="36">
        <f>+AR31+AS31+AU31+AW31+AY31+AZ31</f>
        <v>0</v>
      </c>
      <c r="BB31" s="32">
        <v>5</v>
      </c>
      <c r="BC31" s="50"/>
      <c r="BD31" s="50">
        <v>1</v>
      </c>
      <c r="BE31" s="32"/>
      <c r="BF31" s="50"/>
    </row>
    <row r="32" spans="1:58" ht="12.95" customHeight="1">
      <c r="A32" s="39"/>
      <c r="B32" s="40" t="s">
        <v>7</v>
      </c>
      <c r="C32" s="413">
        <f t="shared" ref="C32" si="75">(M32*E32*O32*Q32)/100000000</f>
        <v>22.243041600000002</v>
      </c>
      <c r="D32" s="40" t="s">
        <v>301</v>
      </c>
      <c r="E32" s="41">
        <v>13</v>
      </c>
      <c r="F32" s="41">
        <v>1</v>
      </c>
      <c r="G32" s="497">
        <v>1230</v>
      </c>
      <c r="H32" s="43">
        <f t="shared" ref="H32" si="76">+N32</f>
        <v>0.24</v>
      </c>
      <c r="I32" s="44">
        <v>0.88</v>
      </c>
      <c r="J32" s="81">
        <f t="shared" ref="J32" si="77">E32*G32*(1-H32)*1440/1000000*2.74</f>
        <v>47.948509440000002</v>
      </c>
      <c r="K32" s="81">
        <f t="shared" ref="K32" si="78">(IF(G32&lt;L32,L32,G32)*(1-IF(H32&lt;N32,H32,N32))*E32*O32*Q32)/100000000</f>
        <v>22.799117639999999</v>
      </c>
      <c r="L32" s="34">
        <v>1200</v>
      </c>
      <c r="M32" s="34">
        <v>912</v>
      </c>
      <c r="N32" s="45">
        <f t="shared" ref="N32" si="79">1-(M32/L32)</f>
        <v>0.24</v>
      </c>
      <c r="O32" s="46">
        <f>+'Trim Rwd'!H25</f>
        <v>257</v>
      </c>
      <c r="P32" s="47">
        <f t="shared" ref="P32" si="80">O32*(Q32-R32-S32)</f>
        <v>42919</v>
      </c>
      <c r="Q32" s="46">
        <f>190+540</f>
        <v>730</v>
      </c>
      <c r="R32" s="498">
        <v>540</v>
      </c>
      <c r="S32" s="498">
        <v>23</v>
      </c>
      <c r="T32" s="36">
        <f t="shared" ref="T32" si="81">E32*M32*O32*Q32/100000000</f>
        <v>22.243041600000002</v>
      </c>
      <c r="U32" s="36">
        <f t="shared" ref="U32" si="82">E32*M32*O32*(Q32-R32-S32)/100000000</f>
        <v>5.0884766399999997</v>
      </c>
      <c r="V32" s="36">
        <f t="shared" ref="V32" si="83">E32*G32*(1-N32)*O32/100*(R32+S32)/1000000</f>
        <v>17.583429083999999</v>
      </c>
      <c r="W32" s="36">
        <f>+'6'!K11/1000</f>
        <v>2.2770000000000001</v>
      </c>
      <c r="X32" s="37"/>
      <c r="Y32" s="210"/>
      <c r="Z32" s="36"/>
      <c r="AA32" s="36"/>
      <c r="AB32" s="36"/>
      <c r="AC32" s="36">
        <f t="shared" ref="AC32" si="84">K32-T32</f>
        <v>0.55607603999999711</v>
      </c>
      <c r="AD32" s="36">
        <f>+AM32+BA32</f>
        <v>0</v>
      </c>
      <c r="AE32" s="229" t="s">
        <v>283</v>
      </c>
      <c r="AF32" s="36"/>
      <c r="AG32" s="36">
        <v>0</v>
      </c>
      <c r="AH32" s="36"/>
      <c r="AI32" s="500"/>
      <c r="AJ32" s="36"/>
      <c r="AK32" s="36"/>
      <c r="AL32" s="36"/>
      <c r="AM32" s="36">
        <f t="shared" si="74"/>
        <v>0</v>
      </c>
      <c r="AN32" s="82"/>
      <c r="AO32" s="36"/>
      <c r="AP32" s="36"/>
      <c r="AQ32" s="36"/>
      <c r="AR32" s="36">
        <f t="shared" ref="AR32:AR34" si="85">SUM(AN32:AQ32)</f>
        <v>0</v>
      </c>
      <c r="AS32" s="36"/>
      <c r="AT32" s="36"/>
      <c r="AU32" s="36"/>
      <c r="AV32" s="36"/>
      <c r="AW32" s="36"/>
      <c r="AX32" s="36"/>
      <c r="AY32" s="36"/>
      <c r="AZ32" s="36"/>
      <c r="BA32" s="36">
        <f>+AR32+AS32+AU32+AW32+AY32+AZ32</f>
        <v>0</v>
      </c>
      <c r="BB32" s="49"/>
      <c r="BC32" s="50">
        <v>0</v>
      </c>
      <c r="BD32" s="50"/>
      <c r="BE32" s="49"/>
      <c r="BF32" s="50"/>
    </row>
    <row r="33" spans="1:58" ht="12.95" customHeight="1">
      <c r="A33" s="39"/>
      <c r="B33" s="40"/>
      <c r="C33" s="413"/>
      <c r="D33" s="40"/>
      <c r="E33" s="41"/>
      <c r="F33" s="41"/>
      <c r="G33" s="497"/>
      <c r="H33" s="43"/>
      <c r="I33" s="44"/>
      <c r="J33" s="81"/>
      <c r="K33" s="81"/>
      <c r="L33" s="34"/>
      <c r="M33" s="34"/>
      <c r="N33" s="45"/>
      <c r="O33" s="46"/>
      <c r="P33" s="47"/>
      <c r="Q33" s="46"/>
      <c r="R33" s="498"/>
      <c r="S33" s="498"/>
      <c r="T33" s="36"/>
      <c r="U33" s="36"/>
      <c r="V33" s="36"/>
      <c r="W33" s="36"/>
      <c r="X33" s="37"/>
      <c r="Y33" s="210"/>
      <c r="Z33" s="36"/>
      <c r="AA33" s="36"/>
      <c r="AB33" s="36"/>
      <c r="AC33" s="36"/>
      <c r="AD33" s="36">
        <f>+AM33+BA33</f>
        <v>30</v>
      </c>
      <c r="AE33" s="229" t="s">
        <v>498</v>
      </c>
      <c r="AF33" s="32"/>
      <c r="AG33" s="32"/>
      <c r="AH33" s="32">
        <v>30</v>
      </c>
      <c r="AJ33" s="36"/>
      <c r="AK33" s="36"/>
      <c r="AL33" s="36"/>
      <c r="AM33" s="36">
        <f t="shared" si="74"/>
        <v>30</v>
      </c>
      <c r="AN33" s="36"/>
      <c r="AO33" s="36"/>
      <c r="AP33" s="36"/>
      <c r="AQ33" s="36"/>
      <c r="AR33" s="36">
        <f t="shared" si="85"/>
        <v>0</v>
      </c>
      <c r="AS33" s="36"/>
      <c r="AT33" s="36"/>
      <c r="AU33" s="36"/>
      <c r="AV33" s="36"/>
      <c r="AW33" s="36"/>
      <c r="AX33" s="36"/>
      <c r="AY33" s="36"/>
      <c r="AZ33" s="36"/>
      <c r="BA33" s="36">
        <f>+AR33+AS33+AU33+AW33+AY33+AZ33</f>
        <v>0</v>
      </c>
      <c r="BB33" s="32"/>
      <c r="BC33" s="501"/>
      <c r="BD33" s="501"/>
      <c r="BE33" s="32"/>
      <c r="BF33" s="501"/>
    </row>
    <row r="34" spans="1:58" ht="12.95" customHeight="1">
      <c r="A34" s="39"/>
      <c r="B34" s="40"/>
      <c r="C34" s="413"/>
      <c r="D34" s="40"/>
      <c r="E34" s="41"/>
      <c r="F34" s="41"/>
      <c r="G34" s="42"/>
      <c r="H34" s="43"/>
      <c r="I34" s="44"/>
      <c r="J34" s="81"/>
      <c r="K34" s="81"/>
      <c r="L34" s="34"/>
      <c r="M34" s="34"/>
      <c r="N34" s="45"/>
      <c r="O34" s="46"/>
      <c r="P34" s="47"/>
      <c r="Q34" s="33"/>
      <c r="R34" s="498"/>
      <c r="S34" s="498"/>
      <c r="T34" s="36"/>
      <c r="U34" s="36"/>
      <c r="V34" s="36"/>
      <c r="W34" s="36"/>
      <c r="X34" s="37"/>
      <c r="Y34" s="210"/>
      <c r="Z34" s="36"/>
      <c r="AA34" s="36"/>
      <c r="AB34" s="36"/>
      <c r="AC34" s="36"/>
      <c r="AD34" s="36">
        <f>+AM34+BA34</f>
        <v>0</v>
      </c>
      <c r="AE34" s="232" t="s">
        <v>377</v>
      </c>
      <c r="AF34" s="36"/>
      <c r="AG34" s="36"/>
      <c r="AH34" s="36"/>
      <c r="AI34" s="500">
        <v>0</v>
      </c>
      <c r="AJ34" s="36"/>
      <c r="AK34" s="36"/>
      <c r="AL34" s="36"/>
      <c r="AM34" s="36">
        <f t="shared" si="74"/>
        <v>0</v>
      </c>
      <c r="AN34" s="36"/>
      <c r="AO34" s="36"/>
      <c r="AP34" s="36"/>
      <c r="AQ34" s="36"/>
      <c r="AR34" s="36">
        <f t="shared" si="85"/>
        <v>0</v>
      </c>
      <c r="AS34" s="36"/>
      <c r="AT34" s="36"/>
      <c r="AU34" s="36"/>
      <c r="AV34" s="36"/>
      <c r="AW34" s="36"/>
      <c r="AX34" s="36"/>
      <c r="AY34" s="36"/>
      <c r="AZ34" s="36"/>
      <c r="BA34" s="36">
        <f>+AR34+AS34+AU34+AW34+AY34+AZ34</f>
        <v>0</v>
      </c>
      <c r="BB34" s="49"/>
      <c r="BC34" s="50"/>
      <c r="BD34" s="50"/>
      <c r="BE34" s="49"/>
      <c r="BF34" s="50"/>
    </row>
    <row r="35" spans="1:58" ht="12.95" customHeight="1">
      <c r="A35" s="39"/>
      <c r="B35" s="40"/>
      <c r="C35" s="413"/>
      <c r="D35" s="40"/>
      <c r="E35" s="41"/>
      <c r="F35" s="41"/>
      <c r="G35" s="42"/>
      <c r="H35" s="43"/>
      <c r="I35" s="44"/>
      <c r="J35" s="81"/>
      <c r="K35" s="81"/>
      <c r="L35" s="34"/>
      <c r="M35" s="34"/>
      <c r="N35" s="45"/>
      <c r="O35" s="46"/>
      <c r="P35" s="47"/>
      <c r="Q35" s="33"/>
      <c r="R35" s="498"/>
      <c r="S35" s="498"/>
      <c r="T35" s="36"/>
      <c r="U35" s="36"/>
      <c r="V35" s="36"/>
      <c r="W35" s="36"/>
      <c r="X35" s="37"/>
      <c r="Y35" s="210"/>
      <c r="Z35" s="36"/>
      <c r="AA35" s="36"/>
      <c r="AB35" s="36"/>
      <c r="AC35" s="36"/>
      <c r="AD35" s="36">
        <f>+AM35+BA35</f>
        <v>540</v>
      </c>
      <c r="AE35" s="232" t="s">
        <v>499</v>
      </c>
      <c r="AF35" s="36"/>
      <c r="AG35" s="36"/>
      <c r="AH35" s="36"/>
      <c r="AI35" s="500">
        <v>0</v>
      </c>
      <c r="AJ35" s="36"/>
      <c r="AK35" s="36"/>
      <c r="AL35" s="36"/>
      <c r="AM35" s="36">
        <f t="shared" ref="AM35" si="86">SUM(AF35:AL35)+AT35+AV35+AX35</f>
        <v>0</v>
      </c>
      <c r="AN35" s="36"/>
      <c r="AO35" s="36"/>
      <c r="AP35" s="36"/>
      <c r="AQ35" s="36"/>
      <c r="AR35" s="36">
        <f t="shared" ref="AR35" si="87">SUM(AN35:AQ35)</f>
        <v>0</v>
      </c>
      <c r="AS35" s="36"/>
      <c r="AT35" s="36"/>
      <c r="AU35" s="36"/>
      <c r="AV35" s="36"/>
      <c r="AW35" s="36">
        <v>540</v>
      </c>
      <c r="AX35" s="36"/>
      <c r="AY35" s="36"/>
      <c r="AZ35" s="36"/>
      <c r="BA35" s="36">
        <f>+AR35+AS35+AU35+AW35+AY35+AZ35</f>
        <v>540</v>
      </c>
      <c r="BB35" s="49"/>
      <c r="BC35" s="50"/>
      <c r="BD35" s="50"/>
      <c r="BE35" s="49"/>
      <c r="BF35" s="50"/>
    </row>
    <row r="36" spans="1:58" ht="12.95" customHeight="1">
      <c r="A36" s="39"/>
      <c r="B36" s="40"/>
      <c r="C36" s="413"/>
      <c r="D36" s="40"/>
      <c r="E36" s="41"/>
      <c r="F36" s="41"/>
      <c r="G36" s="42"/>
      <c r="H36" s="43"/>
      <c r="I36" s="44"/>
      <c r="J36" s="81"/>
      <c r="K36" s="81"/>
      <c r="L36" s="34"/>
      <c r="M36" s="34"/>
      <c r="N36" s="45"/>
      <c r="O36" s="46"/>
      <c r="P36" s="47"/>
      <c r="Q36" s="33"/>
      <c r="R36" s="498"/>
      <c r="S36" s="498"/>
      <c r="T36" s="36"/>
      <c r="U36" s="36"/>
      <c r="V36" s="36"/>
      <c r="W36" s="36"/>
      <c r="X36" s="37"/>
      <c r="Y36" s="210"/>
      <c r="Z36" s="36"/>
      <c r="AA36" s="36"/>
      <c r="AB36" s="36"/>
      <c r="AC36" s="36"/>
      <c r="AD36" s="36"/>
      <c r="AE36" s="232"/>
      <c r="AF36" s="36"/>
      <c r="AG36" s="36"/>
      <c r="AH36" s="36"/>
      <c r="AI36" s="500"/>
      <c r="AJ36" s="36"/>
      <c r="AK36" s="36"/>
      <c r="AL36" s="36"/>
      <c r="AM36" s="36"/>
      <c r="AN36" s="36"/>
      <c r="AO36" s="36"/>
      <c r="AP36" s="36"/>
      <c r="AQ36" s="36"/>
      <c r="AR36" s="36"/>
      <c r="AS36" s="36"/>
      <c r="AT36" s="36"/>
      <c r="AU36" s="36"/>
      <c r="AV36" s="36"/>
      <c r="AW36" s="36"/>
      <c r="AX36" s="36"/>
      <c r="AY36" s="36"/>
      <c r="AZ36" s="36"/>
      <c r="BA36" s="36"/>
      <c r="BB36" s="49"/>
      <c r="BC36" s="50"/>
      <c r="BD36" s="501"/>
      <c r="BE36" s="32"/>
      <c r="BF36" s="501"/>
    </row>
    <row r="37" spans="1:58" ht="12.75" customHeight="1">
      <c r="A37" s="39">
        <v>46088</v>
      </c>
      <c r="B37" s="40" t="s">
        <v>551</v>
      </c>
      <c r="C37" s="413">
        <f t="shared" ref="C37:C38" si="88">(M37*E37*O37*Q37)/100000000</f>
        <v>28.656889715005082</v>
      </c>
      <c r="D37" s="40" t="s">
        <v>301</v>
      </c>
      <c r="E37" s="41">
        <v>14</v>
      </c>
      <c r="F37" s="41">
        <v>1</v>
      </c>
      <c r="G37" s="497">
        <v>1135</v>
      </c>
      <c r="H37" s="43">
        <f t="shared" ref="H37" si="89">+N37</f>
        <v>0.24</v>
      </c>
      <c r="I37" s="44">
        <v>0.88</v>
      </c>
      <c r="J37" s="81">
        <f t="shared" ref="J37:J38" si="90">E37*G37*(1-H37)*1440/1000000*2.74</f>
        <v>47.648643839999998</v>
      </c>
      <c r="K37" s="81">
        <f t="shared" ref="K37:K38" si="91">(IF(G37&lt;L37,L37,G37)*(1-IF(H37&lt;N37,H37,N37))*E37*O37*Q37)/100000000</f>
        <v>29.135764167999998</v>
      </c>
      <c r="L37" s="34">
        <v>1116.3451776649747</v>
      </c>
      <c r="M37" s="34">
        <v>848.42233502538079</v>
      </c>
      <c r="N37" s="45">
        <f t="shared" ref="N37:N38" si="92">1-(M37/L37)</f>
        <v>0.24</v>
      </c>
      <c r="O37" s="46">
        <f>+'Trim Rwd'!H27</f>
        <v>266</v>
      </c>
      <c r="P37" s="47">
        <f t="shared" ref="P37:P38" si="93">O37*(Q37-R37-S37)</f>
        <v>93366</v>
      </c>
      <c r="Q37" s="46">
        <f>394+513</f>
        <v>907</v>
      </c>
      <c r="R37" s="498">
        <v>513</v>
      </c>
      <c r="S37" s="498">
        <f>25+18</f>
        <v>43</v>
      </c>
      <c r="T37" s="36">
        <f t="shared" ref="T37:T38" si="94">E37*M37*O37*Q37/100000000</f>
        <v>28.656889715005082</v>
      </c>
      <c r="U37" s="36">
        <f t="shared" ref="U37:U38" si="95">E37*M37*O37*(Q37-R37-S37)/100000000</f>
        <v>11.089931962477159</v>
      </c>
      <c r="V37" s="36">
        <f t="shared" ref="V37:V38" si="96">E37*G37*(1-N37)*O37/100*(R37+S37)/1000000</f>
        <v>17.860512543999999</v>
      </c>
      <c r="W37" s="36">
        <f>+'7'!K12/1000</f>
        <v>10.448</v>
      </c>
      <c r="X37" s="499">
        <f>SUM(W37:W41)/SUM(K37:K41)</f>
        <v>0.37872761978284342</v>
      </c>
      <c r="Y37" s="210">
        <v>0</v>
      </c>
      <c r="Z37" s="36">
        <v>0</v>
      </c>
      <c r="AA37" s="48">
        <f>SUM(U37:U41)-SUM(W37:W41)-SUM(Z37:Z41)-SUM(Y37:Y41)</f>
        <v>5.968609804977163</v>
      </c>
      <c r="AB37" s="48">
        <f>(SUM(K37:K41)-SUM(W37:W41)-SUM(Y37:Y41)-SUM(Z37:Z41)-SUM(AC37:AC41)-SUM(V37:V41))-AA37</f>
        <v>-0.43848528927173192</v>
      </c>
      <c r="AC37" s="36">
        <f>K37-T37</f>
        <v>0.4788744529949156</v>
      </c>
      <c r="AD37" s="36">
        <f t="shared" ref="AD37:AD42" si="97">+AM37+BA37</f>
        <v>0</v>
      </c>
      <c r="AE37" s="229" t="s">
        <v>384</v>
      </c>
      <c r="AF37" s="36">
        <v>0</v>
      </c>
      <c r="AG37" s="36"/>
      <c r="AH37" s="36"/>
      <c r="AI37" s="500"/>
      <c r="AJ37" s="36"/>
      <c r="AK37" s="36"/>
      <c r="AL37" s="36"/>
      <c r="AM37" s="36">
        <f t="shared" ref="AM37:AM40" si="98">SUM(AF37:AL37)+AT37+AV37+AX37</f>
        <v>0</v>
      </c>
      <c r="AN37" s="36"/>
      <c r="AO37" s="36"/>
      <c r="AP37" s="36"/>
      <c r="AQ37" s="36"/>
      <c r="AR37" s="36">
        <f>SUM(AN37:AQ37)</f>
        <v>0</v>
      </c>
      <c r="AS37" s="36"/>
      <c r="AT37" s="36"/>
      <c r="AU37" s="36"/>
      <c r="AV37" s="36"/>
      <c r="AW37" s="36"/>
      <c r="AX37" s="36"/>
      <c r="AY37" s="36"/>
      <c r="AZ37" s="36"/>
      <c r="BA37" s="36">
        <f t="shared" ref="BA37:BA42" si="99">+AR37+AS37+AU37+AW37+AY37+AZ37</f>
        <v>0</v>
      </c>
      <c r="BB37" s="32">
        <v>0</v>
      </c>
      <c r="BC37" s="50"/>
      <c r="BD37" s="50">
        <v>1</v>
      </c>
      <c r="BE37" s="32"/>
      <c r="BF37" s="50">
        <v>1</v>
      </c>
    </row>
    <row r="38" spans="1:58" ht="12.95" customHeight="1">
      <c r="A38" s="39"/>
      <c r="B38" s="40" t="s">
        <v>7</v>
      </c>
      <c r="C38" s="413">
        <f t="shared" si="88"/>
        <v>15.882981195249998</v>
      </c>
      <c r="D38" s="40" t="s">
        <v>301</v>
      </c>
      <c r="E38" s="41">
        <v>13</v>
      </c>
      <c r="F38" s="41">
        <v>1</v>
      </c>
      <c r="G38" s="497">
        <v>1230</v>
      </c>
      <c r="H38" s="43">
        <v>0.24</v>
      </c>
      <c r="I38" s="44">
        <v>0.88</v>
      </c>
      <c r="J38" s="81">
        <f t="shared" si="90"/>
        <v>47.948509440000002</v>
      </c>
      <c r="K38" s="81">
        <f t="shared" si="91"/>
        <v>16.646479043999999</v>
      </c>
      <c r="L38" s="34">
        <v>1183.2142857142858</v>
      </c>
      <c r="M38" s="34">
        <v>891.92499999999995</v>
      </c>
      <c r="N38" s="45">
        <f t="shared" si="92"/>
        <v>0.24618472683368553</v>
      </c>
      <c r="O38" s="46">
        <f>+'Trim Rwd'!H28</f>
        <v>257</v>
      </c>
      <c r="P38" s="47">
        <f t="shared" si="93"/>
        <v>105370</v>
      </c>
      <c r="Q38" s="46">
        <f>420+113</f>
        <v>533</v>
      </c>
      <c r="R38" s="498">
        <v>113</v>
      </c>
      <c r="S38" s="498">
        <v>10</v>
      </c>
      <c r="T38" s="36">
        <f t="shared" si="94"/>
        <v>15.882981195249998</v>
      </c>
      <c r="U38" s="36">
        <f t="shared" si="95"/>
        <v>12.217677842500001</v>
      </c>
      <c r="V38" s="36">
        <f t="shared" si="96"/>
        <v>3.8102338505496531</v>
      </c>
      <c r="W38" s="36">
        <f>+'7'!K11/1000</f>
        <v>6.891</v>
      </c>
      <c r="X38" s="37"/>
      <c r="Y38" s="210"/>
      <c r="Z38" s="36"/>
      <c r="AA38" s="36"/>
      <c r="AB38" s="36"/>
      <c r="AC38" s="36">
        <f t="shared" ref="AC38" si="100">K38-T38</f>
        <v>0.76349784875000104</v>
      </c>
      <c r="AD38" s="36">
        <f t="shared" si="97"/>
        <v>15</v>
      </c>
      <c r="AE38" s="229" t="s">
        <v>552</v>
      </c>
      <c r="AF38" s="36"/>
      <c r="AG38" s="36">
        <v>15</v>
      </c>
      <c r="AH38" s="36"/>
      <c r="AI38" s="500"/>
      <c r="AJ38" s="36"/>
      <c r="AK38" s="36"/>
      <c r="AL38" s="36"/>
      <c r="AM38" s="36">
        <f t="shared" si="98"/>
        <v>15</v>
      </c>
      <c r="AN38" s="82"/>
      <c r="AO38" s="36"/>
      <c r="AP38" s="36"/>
      <c r="AQ38" s="36"/>
      <c r="AR38" s="36">
        <f t="shared" ref="AR38:AR40" si="101">SUM(AN38:AQ38)</f>
        <v>0</v>
      </c>
      <c r="AS38" s="36"/>
      <c r="AT38" s="36"/>
      <c r="AU38" s="36"/>
      <c r="AV38" s="36"/>
      <c r="AW38" s="36"/>
      <c r="AX38" s="36"/>
      <c r="AY38" s="36"/>
      <c r="AZ38" s="36"/>
      <c r="BA38" s="36">
        <f t="shared" si="99"/>
        <v>0</v>
      </c>
      <c r="BB38" s="49"/>
      <c r="BC38" s="50">
        <v>6</v>
      </c>
      <c r="BD38" s="50"/>
      <c r="BE38" s="49"/>
      <c r="BF38" s="50"/>
    </row>
    <row r="39" spans="1:58" ht="12.95" customHeight="1">
      <c r="A39" s="39"/>
      <c r="B39" s="40"/>
      <c r="C39" s="413"/>
      <c r="D39" s="40"/>
      <c r="E39" s="41"/>
      <c r="F39" s="41"/>
      <c r="G39" s="497"/>
      <c r="H39" s="43"/>
      <c r="I39" s="44"/>
      <c r="J39" s="81"/>
      <c r="K39" s="81"/>
      <c r="L39" s="34"/>
      <c r="M39" s="34"/>
      <c r="N39" s="45"/>
      <c r="O39" s="46"/>
      <c r="P39" s="47"/>
      <c r="Q39" s="46"/>
      <c r="R39" s="498"/>
      <c r="S39" s="498"/>
      <c r="T39" s="36"/>
      <c r="U39" s="36"/>
      <c r="V39" s="36"/>
      <c r="W39" s="36"/>
      <c r="X39" s="37"/>
      <c r="Y39" s="210"/>
      <c r="Z39" s="36"/>
      <c r="AA39" s="36"/>
      <c r="AB39" s="36"/>
      <c r="AC39" s="36"/>
      <c r="AD39" s="36">
        <f t="shared" si="97"/>
        <v>20</v>
      </c>
      <c r="AE39" s="229" t="s">
        <v>498</v>
      </c>
      <c r="AF39" s="32"/>
      <c r="AG39" s="32"/>
      <c r="AH39" s="32">
        <v>20</v>
      </c>
      <c r="AJ39" s="36"/>
      <c r="AK39" s="36"/>
      <c r="AL39" s="36"/>
      <c r="AM39" s="36">
        <f t="shared" si="98"/>
        <v>20</v>
      </c>
      <c r="AN39" s="36"/>
      <c r="AO39" s="36"/>
      <c r="AP39" s="36"/>
      <c r="AQ39" s="36"/>
      <c r="AR39" s="36">
        <f t="shared" si="101"/>
        <v>0</v>
      </c>
      <c r="AS39" s="36"/>
      <c r="AT39" s="36"/>
      <c r="AU39" s="36"/>
      <c r="AV39" s="36"/>
      <c r="AW39" s="36"/>
      <c r="AX39" s="36"/>
      <c r="AY39" s="36"/>
      <c r="AZ39" s="36"/>
      <c r="BA39" s="36">
        <f t="shared" si="99"/>
        <v>0</v>
      </c>
      <c r="BB39" s="32"/>
      <c r="BC39" s="501"/>
      <c r="BD39" s="501"/>
      <c r="BE39" s="32"/>
      <c r="BF39" s="501"/>
    </row>
    <row r="40" spans="1:58" ht="12.95" customHeight="1">
      <c r="A40" s="39"/>
      <c r="B40" s="40"/>
      <c r="C40" s="413"/>
      <c r="D40" s="40"/>
      <c r="E40" s="41"/>
      <c r="F40" s="41"/>
      <c r="G40" s="42"/>
      <c r="H40" s="43"/>
      <c r="I40" s="44"/>
      <c r="J40" s="81"/>
      <c r="K40" s="81"/>
      <c r="L40" s="34"/>
      <c r="M40" s="34"/>
      <c r="N40" s="45"/>
      <c r="O40" s="46"/>
      <c r="P40" s="47"/>
      <c r="Q40" s="33"/>
      <c r="R40" s="498"/>
      <c r="S40" s="498"/>
      <c r="T40" s="36"/>
      <c r="U40" s="36"/>
      <c r="V40" s="36"/>
      <c r="W40" s="36"/>
      <c r="X40" s="37"/>
      <c r="Y40" s="210"/>
      <c r="Z40" s="36"/>
      <c r="AA40" s="36"/>
      <c r="AB40" s="36"/>
      <c r="AC40" s="36"/>
      <c r="AD40" s="36">
        <f t="shared" si="97"/>
        <v>408</v>
      </c>
      <c r="AE40" s="232" t="s">
        <v>557</v>
      </c>
      <c r="AF40" s="36"/>
      <c r="AG40" s="36"/>
      <c r="AH40" s="36"/>
      <c r="AI40" s="500"/>
      <c r="AJ40" s="36"/>
      <c r="AK40" s="36"/>
      <c r="AL40" s="36"/>
      <c r="AM40" s="36">
        <f t="shared" si="98"/>
        <v>0</v>
      </c>
      <c r="AN40" s="36"/>
      <c r="AO40" s="36"/>
      <c r="AP40" s="36"/>
      <c r="AQ40" s="36"/>
      <c r="AR40" s="36">
        <f t="shared" si="101"/>
        <v>0</v>
      </c>
      <c r="AS40" s="36"/>
      <c r="AT40" s="36"/>
      <c r="AU40" s="36"/>
      <c r="AV40" s="36"/>
      <c r="AW40" s="36">
        <v>408</v>
      </c>
      <c r="AX40" s="36"/>
      <c r="AY40" s="36"/>
      <c r="AZ40" s="36"/>
      <c r="BA40" s="36">
        <f t="shared" si="99"/>
        <v>408</v>
      </c>
      <c r="BB40" s="49"/>
      <c r="BC40" s="50"/>
      <c r="BD40" s="50"/>
      <c r="BE40" s="49"/>
      <c r="BF40" s="50"/>
    </row>
    <row r="41" spans="1:58" ht="12.95" customHeight="1">
      <c r="A41" s="39"/>
      <c r="B41" s="40"/>
      <c r="C41" s="413"/>
      <c r="D41" s="40"/>
      <c r="E41" s="41"/>
      <c r="F41" s="41"/>
      <c r="G41" s="42"/>
      <c r="H41" s="43"/>
      <c r="I41" s="44"/>
      <c r="J41" s="81"/>
      <c r="K41" s="81"/>
      <c r="L41" s="34"/>
      <c r="M41" s="34"/>
      <c r="N41" s="45"/>
      <c r="O41" s="46"/>
      <c r="P41" s="47"/>
      <c r="Q41" s="33"/>
      <c r="R41" s="498"/>
      <c r="S41" s="498"/>
      <c r="T41" s="36"/>
      <c r="U41" s="36"/>
      <c r="V41" s="36"/>
      <c r="W41" s="36"/>
      <c r="X41" s="37"/>
      <c r="Y41" s="210"/>
      <c r="Z41" s="36"/>
      <c r="AA41" s="36"/>
      <c r="AB41" s="36"/>
      <c r="AC41" s="36"/>
      <c r="AD41" s="36">
        <f t="shared" si="97"/>
        <v>113</v>
      </c>
      <c r="AE41" s="232" t="s">
        <v>558</v>
      </c>
      <c r="AF41" s="36"/>
      <c r="AG41" s="36"/>
      <c r="AH41" s="36"/>
      <c r="AI41" s="500">
        <v>0</v>
      </c>
      <c r="AJ41" s="36"/>
      <c r="AK41" s="36"/>
      <c r="AL41" s="36"/>
      <c r="AM41" s="36">
        <f t="shared" ref="AM41" si="102">SUM(AF41:AL41)+AT41+AV41+AX41</f>
        <v>0</v>
      </c>
      <c r="AN41" s="36"/>
      <c r="AO41" s="36"/>
      <c r="AP41" s="36">
        <v>113</v>
      </c>
      <c r="AQ41" s="36"/>
      <c r="AR41" s="36">
        <f t="shared" ref="AR41" si="103">SUM(AN41:AQ41)</f>
        <v>113</v>
      </c>
      <c r="AS41" s="36"/>
      <c r="AT41" s="36"/>
      <c r="AU41" s="36"/>
      <c r="AV41" s="36"/>
      <c r="AW41" s="36"/>
      <c r="AX41" s="36"/>
      <c r="AY41" s="36"/>
      <c r="AZ41" s="36"/>
      <c r="BA41" s="36">
        <f t="shared" si="99"/>
        <v>113</v>
      </c>
      <c r="BB41" s="49"/>
      <c r="BC41" s="50"/>
      <c r="BD41" s="50"/>
      <c r="BE41" s="49"/>
      <c r="BF41" s="50"/>
    </row>
    <row r="42" spans="1:58" ht="12.95" customHeight="1">
      <c r="A42" s="39"/>
      <c r="B42" s="40"/>
      <c r="C42" s="413"/>
      <c r="D42" s="40"/>
      <c r="E42" s="41"/>
      <c r="F42" s="41"/>
      <c r="G42" s="42"/>
      <c r="H42" s="43"/>
      <c r="I42" s="44"/>
      <c r="J42" s="81"/>
      <c r="K42" s="81"/>
      <c r="L42" s="34"/>
      <c r="M42" s="34"/>
      <c r="N42" s="45"/>
      <c r="O42" s="46"/>
      <c r="P42" s="47"/>
      <c r="Q42" s="33"/>
      <c r="R42" s="498"/>
      <c r="S42" s="498"/>
      <c r="T42" s="36"/>
      <c r="U42" s="36"/>
      <c r="V42" s="36"/>
      <c r="W42" s="36"/>
      <c r="X42" s="37"/>
      <c r="Y42" s="210"/>
      <c r="Z42" s="36"/>
      <c r="AA42" s="36"/>
      <c r="AB42" s="36"/>
      <c r="AC42" s="36"/>
      <c r="AD42" s="36">
        <f t="shared" si="97"/>
        <v>105</v>
      </c>
      <c r="AE42" s="232" t="s">
        <v>559</v>
      </c>
      <c r="AF42" s="36"/>
      <c r="AG42" s="36"/>
      <c r="AH42" s="36"/>
      <c r="AI42" s="500"/>
      <c r="AJ42" s="36"/>
      <c r="AK42" s="36"/>
      <c r="AL42" s="36"/>
      <c r="AM42" s="36">
        <f t="shared" ref="AM42" si="104">SUM(AF42:AL42)+AT42+AV42+AX42</f>
        <v>0</v>
      </c>
      <c r="AN42" s="36">
        <v>105</v>
      </c>
      <c r="AO42" s="36"/>
      <c r="AP42" s="36"/>
      <c r="AQ42" s="36"/>
      <c r="AR42" s="36">
        <f t="shared" ref="AR42" si="105">SUM(AN42:AQ42)</f>
        <v>105</v>
      </c>
      <c r="AS42" s="36"/>
      <c r="AT42" s="36"/>
      <c r="AU42" s="36"/>
      <c r="AV42" s="36"/>
      <c r="AW42" s="36"/>
      <c r="AX42" s="36"/>
      <c r="AY42" s="36"/>
      <c r="AZ42" s="36"/>
      <c r="BA42" s="36">
        <f t="shared" si="99"/>
        <v>105</v>
      </c>
      <c r="BB42" s="49"/>
      <c r="BC42" s="50"/>
      <c r="BD42" s="50"/>
      <c r="BE42" s="49"/>
      <c r="BF42" s="50"/>
    </row>
    <row r="43" spans="1:58" ht="12.95" customHeight="1">
      <c r="A43" s="39"/>
      <c r="B43" s="40"/>
      <c r="C43" s="413"/>
      <c r="D43" s="40"/>
      <c r="E43" s="41"/>
      <c r="F43" s="41"/>
      <c r="G43" s="42"/>
      <c r="H43" s="43"/>
      <c r="I43" s="44"/>
      <c r="J43" s="81"/>
      <c r="K43" s="81"/>
      <c r="L43" s="34"/>
      <c r="M43" s="34"/>
      <c r="N43" s="45"/>
      <c r="O43" s="46"/>
      <c r="P43" s="47"/>
      <c r="Q43" s="33"/>
      <c r="R43" s="498"/>
      <c r="S43" s="498"/>
      <c r="T43" s="36"/>
      <c r="U43" s="36"/>
      <c r="V43" s="36"/>
      <c r="W43" s="36"/>
      <c r="X43" s="37"/>
      <c r="Y43" s="210"/>
      <c r="Z43" s="36"/>
      <c r="AA43" s="36"/>
      <c r="AB43" s="36"/>
      <c r="AC43" s="36"/>
      <c r="AD43" s="36">
        <f t="shared" ref="AD43" si="106">+AM43+BA43</f>
        <v>18</v>
      </c>
      <c r="AE43" s="232" t="s">
        <v>564</v>
      </c>
      <c r="AF43" s="36"/>
      <c r="AG43" s="36"/>
      <c r="AH43" s="36"/>
      <c r="AI43" s="500"/>
      <c r="AJ43" s="36"/>
      <c r="AK43" s="36">
        <v>18</v>
      </c>
      <c r="AL43" s="36"/>
      <c r="AM43" s="36">
        <f t="shared" ref="AM43" si="107">SUM(AF43:AL43)+AT43+AV43+AX43</f>
        <v>18</v>
      </c>
      <c r="AN43" s="36"/>
      <c r="AO43" s="36"/>
      <c r="AP43" s="36"/>
      <c r="AQ43" s="36"/>
      <c r="AR43" s="36">
        <f t="shared" ref="AR43" si="108">SUM(AN43:AQ43)</f>
        <v>0</v>
      </c>
      <c r="AS43" s="36"/>
      <c r="AT43" s="36"/>
      <c r="AU43" s="36"/>
      <c r="AV43" s="36"/>
      <c r="AW43" s="36"/>
      <c r="AX43" s="36"/>
      <c r="AY43" s="36"/>
      <c r="AZ43" s="36"/>
      <c r="BA43" s="36">
        <f t="shared" ref="BA43" si="109">+AR43+AS43+AU43+AW43+AY43+AZ43</f>
        <v>0</v>
      </c>
      <c r="BB43" s="49"/>
      <c r="BC43" s="50"/>
      <c r="BD43" s="50"/>
      <c r="BE43" s="49"/>
      <c r="BF43" s="50"/>
    </row>
    <row r="44" spans="1:58" ht="12.95" customHeight="1">
      <c r="A44" s="39"/>
      <c r="B44" s="40"/>
      <c r="C44" s="413"/>
      <c r="D44" s="40"/>
      <c r="E44" s="41"/>
      <c r="F44" s="41"/>
      <c r="G44" s="42"/>
      <c r="H44" s="43"/>
      <c r="I44" s="44"/>
      <c r="J44" s="81"/>
      <c r="K44" s="81"/>
      <c r="L44" s="34"/>
      <c r="M44" s="34"/>
      <c r="N44" s="45"/>
      <c r="O44" s="46"/>
      <c r="P44" s="47"/>
      <c r="Q44" s="33"/>
      <c r="R44" s="498"/>
      <c r="S44" s="498"/>
      <c r="T44" s="36"/>
      <c r="U44" s="36"/>
      <c r="V44" s="36"/>
      <c r="W44" s="36"/>
      <c r="X44" s="37"/>
      <c r="Y44" s="210"/>
      <c r="Z44" s="36"/>
      <c r="AA44" s="36"/>
      <c r="AB44" s="36"/>
      <c r="AC44" s="36"/>
      <c r="AD44" s="36"/>
      <c r="AE44" s="232"/>
      <c r="AF44" s="36"/>
      <c r="AG44" s="36"/>
      <c r="AH44" s="36"/>
      <c r="AI44" s="500"/>
      <c r="AJ44" s="36"/>
      <c r="AK44" s="36"/>
      <c r="AL44" s="36"/>
      <c r="AM44" s="36"/>
      <c r="AN44" s="36"/>
      <c r="AO44" s="36"/>
      <c r="AP44" s="36"/>
      <c r="AQ44" s="36"/>
      <c r="AR44" s="36"/>
      <c r="AS44" s="36"/>
      <c r="AT44" s="36"/>
      <c r="AU44" s="36"/>
      <c r="AV44" s="36"/>
      <c r="AW44" s="36"/>
      <c r="AX44" s="36"/>
      <c r="AY44" s="36"/>
      <c r="AZ44" s="36"/>
      <c r="BA44" s="36"/>
      <c r="BB44" s="49"/>
      <c r="BC44" s="50"/>
      <c r="BD44" s="50"/>
      <c r="BE44" s="50"/>
      <c r="BF44" s="50"/>
    </row>
    <row r="45" spans="1:58" ht="12.75" customHeight="1">
      <c r="A45" s="39">
        <v>46089</v>
      </c>
      <c r="B45" s="40" t="s">
        <v>7</v>
      </c>
      <c r="C45" s="413">
        <f t="shared" ref="C45:C46" si="110">(M45*E45*O45*Q45)/100000000</f>
        <v>6.1641450000000004</v>
      </c>
      <c r="D45" s="40" t="s">
        <v>301</v>
      </c>
      <c r="E45" s="41">
        <v>13</v>
      </c>
      <c r="F45" s="41">
        <v>1</v>
      </c>
      <c r="G45" s="497">
        <v>1230</v>
      </c>
      <c r="H45" s="43">
        <v>0.24</v>
      </c>
      <c r="I45" s="44">
        <v>0.88</v>
      </c>
      <c r="J45" s="81">
        <f t="shared" ref="J45:J46" si="111">E45*G45*(1-H45)*1440/1000000*2.74</f>
        <v>47.948509440000002</v>
      </c>
      <c r="K45" s="81">
        <f t="shared" ref="K45:K46" si="112">(IF(G45&lt;L45,L45,G45)*(1-IF(H45&lt;N45,H45,N45))*E45*O45*Q45)/100000000</f>
        <v>6.2463335999999998</v>
      </c>
      <c r="L45" s="34">
        <v>1230</v>
      </c>
      <c r="M45" s="34">
        <v>922.5</v>
      </c>
      <c r="N45" s="45">
        <f t="shared" ref="N45:N46" si="113">1-(M45/L45)</f>
        <v>0.25</v>
      </c>
      <c r="O45" s="46">
        <f>+'Trim Rwd'!H30</f>
        <v>257</v>
      </c>
      <c r="P45" s="47">
        <f t="shared" ref="P45:P46" si="114">O45*(Q45-R45-S45)</f>
        <v>43690</v>
      </c>
      <c r="Q45" s="46">
        <v>200</v>
      </c>
      <c r="R45" s="498">
        <v>0</v>
      </c>
      <c r="S45" s="498">
        <v>30</v>
      </c>
      <c r="T45" s="36">
        <f t="shared" ref="T45:T46" si="115">E45*M45*O45*Q45/100000000</f>
        <v>6.1641450000000004</v>
      </c>
      <c r="U45" s="36">
        <f t="shared" ref="U45:U46" si="116">E45*M45*O45*(Q45-R45-S45)/100000000</f>
        <v>5.2395232500000004</v>
      </c>
      <c r="V45" s="36">
        <f t="shared" ref="V45:V46" si="117">E45*G45*(1-N45)*O45/100*(R45+S45)/1000000</f>
        <v>0.92462175000000002</v>
      </c>
      <c r="W45" s="36">
        <f>+'8'!K11/1000</f>
        <v>10.664</v>
      </c>
      <c r="X45" s="499">
        <f>SUM(W45:W50)/SUM(K45:K50)</f>
        <v>0.85678400945667033</v>
      </c>
      <c r="Y45" s="210">
        <v>0</v>
      </c>
      <c r="Z45" s="36">
        <v>0</v>
      </c>
      <c r="AA45" s="48">
        <f>SUM(U45:U50)-SUM(W45:W50)-SUM(Z45:Z50)-SUM(Y45:Y50)</f>
        <v>-0.78399919275496899</v>
      </c>
      <c r="AB45" s="48">
        <f>(SUM(K45:K50)-SUM(W45:W50)-SUM(Y45:Y50)-SUM(Z45:Z50)-SUM(AC45:AC50)-SUM(V45:V50))-AA45</f>
        <v>-0.14824319165562549</v>
      </c>
      <c r="AC45" s="36">
        <f>K45-T45</f>
        <v>8.218859999999939E-2</v>
      </c>
      <c r="AD45" s="36">
        <f>+AM45+BA45</f>
        <v>12</v>
      </c>
      <c r="AE45" s="229" t="s">
        <v>435</v>
      </c>
      <c r="AF45" s="36">
        <v>12</v>
      </c>
      <c r="AG45" s="36"/>
      <c r="AH45" s="36"/>
      <c r="AI45" s="500"/>
      <c r="AJ45" s="36"/>
      <c r="AK45" s="36"/>
      <c r="AL45" s="36"/>
      <c r="AM45" s="36">
        <f t="shared" ref="AM45:AM49" si="118">SUM(AF45:AL45)+AT45+AV45+AX45</f>
        <v>12</v>
      </c>
      <c r="AN45" s="36"/>
      <c r="AO45" s="36"/>
      <c r="AP45" s="36"/>
      <c r="AQ45" s="36"/>
      <c r="AR45" s="36">
        <f>SUM(AN45:AQ45)</f>
        <v>0</v>
      </c>
      <c r="AS45" s="36"/>
      <c r="AT45" s="36"/>
      <c r="AU45" s="36"/>
      <c r="AV45" s="36"/>
      <c r="AW45" s="36"/>
      <c r="AX45" s="36"/>
      <c r="AY45" s="36"/>
      <c r="AZ45" s="36"/>
      <c r="BA45" s="36">
        <f>+AR45+AS45+AU45+AW45+AY45+AZ45</f>
        <v>0</v>
      </c>
      <c r="BB45" s="32">
        <v>6</v>
      </c>
      <c r="BC45" s="50"/>
      <c r="BD45" s="50"/>
      <c r="BE45" s="32"/>
      <c r="BF45" s="50"/>
    </row>
    <row r="46" spans="1:58" ht="12.95" customHeight="1">
      <c r="A46" s="39"/>
      <c r="B46" s="40" t="s">
        <v>7</v>
      </c>
      <c r="C46" s="413">
        <f t="shared" si="110"/>
        <v>34.364283741589404</v>
      </c>
      <c r="D46" s="40" t="s">
        <v>301</v>
      </c>
      <c r="E46" s="41">
        <v>11.5</v>
      </c>
      <c r="F46" s="41">
        <v>1</v>
      </c>
      <c r="G46" s="497">
        <v>1230</v>
      </c>
      <c r="H46" s="43">
        <f t="shared" ref="H46" si="119">+N46</f>
        <v>0.2400000000000001</v>
      </c>
      <c r="I46" s="44">
        <v>0.88</v>
      </c>
      <c r="J46" s="81">
        <f t="shared" si="111"/>
        <v>42.415989119999999</v>
      </c>
      <c r="K46" s="81">
        <f t="shared" si="112"/>
        <v>35.458459679999997</v>
      </c>
      <c r="L46" s="34">
        <v>1192.0447019867549</v>
      </c>
      <c r="M46" s="34">
        <v>905.95397350993369</v>
      </c>
      <c r="N46" s="45">
        <f t="shared" si="113"/>
        <v>0.2400000000000001</v>
      </c>
      <c r="O46" s="46">
        <f>+'Trim Rwd'!H31</f>
        <v>266</v>
      </c>
      <c r="P46" s="47">
        <f t="shared" si="114"/>
        <v>285152</v>
      </c>
      <c r="Q46" s="46">
        <f>1208+32</f>
        <v>1240</v>
      </c>
      <c r="R46" s="498">
        <v>32</v>
      </c>
      <c r="S46" s="498">
        <f>166-S45</f>
        <v>136</v>
      </c>
      <c r="T46" s="36">
        <f t="shared" si="115"/>
        <v>34.364283741589404</v>
      </c>
      <c r="U46" s="36">
        <f t="shared" si="116"/>
        <v>29.708477557245029</v>
      </c>
      <c r="V46" s="36">
        <f t="shared" si="117"/>
        <v>4.8040493759999991</v>
      </c>
      <c r="W46" s="36">
        <f>+'8'!K13/1000</f>
        <v>25.068000000000001</v>
      </c>
      <c r="X46" s="37"/>
      <c r="Y46" s="210"/>
      <c r="Z46" s="36"/>
      <c r="AA46" s="36"/>
      <c r="AB46" s="36"/>
      <c r="AC46" s="36">
        <f t="shared" ref="AC46" si="120">K46-T46</f>
        <v>1.0941759384105936</v>
      </c>
      <c r="AD46" s="36">
        <f>+AM46+BA46</f>
        <v>8</v>
      </c>
      <c r="AE46" s="229" t="s">
        <v>541</v>
      </c>
      <c r="AF46" s="36"/>
      <c r="AG46" s="36">
        <v>8</v>
      </c>
      <c r="AH46" s="36"/>
      <c r="AI46" s="500"/>
      <c r="AJ46" s="36"/>
      <c r="AK46" s="36"/>
      <c r="AL46" s="36"/>
      <c r="AM46" s="36">
        <f t="shared" si="118"/>
        <v>8</v>
      </c>
      <c r="AN46" s="82"/>
      <c r="AO46" s="36"/>
      <c r="AP46" s="36"/>
      <c r="AQ46" s="36"/>
      <c r="AR46" s="36">
        <f t="shared" ref="AR46:AR49" si="121">SUM(AN46:AQ46)</f>
        <v>0</v>
      </c>
      <c r="AS46" s="36"/>
      <c r="AT46" s="36"/>
      <c r="AU46" s="36"/>
      <c r="AV46" s="36"/>
      <c r="AW46" s="36"/>
      <c r="AX46" s="36"/>
      <c r="AY46" s="36"/>
      <c r="AZ46" s="36"/>
      <c r="BA46" s="36">
        <f>+AR46+AS46+AU46+AW46+AY46+AZ46</f>
        <v>0</v>
      </c>
      <c r="BB46" s="49"/>
      <c r="BC46" s="50">
        <v>4</v>
      </c>
      <c r="BD46" s="50"/>
      <c r="BE46" s="49"/>
      <c r="BF46" s="50"/>
    </row>
    <row r="47" spans="1:58" ht="12.95" customHeight="1">
      <c r="A47" s="39"/>
      <c r="B47" s="40"/>
      <c r="C47" s="413"/>
      <c r="D47" s="40"/>
      <c r="E47" s="41"/>
      <c r="F47" s="41"/>
      <c r="G47" s="497"/>
      <c r="H47" s="43"/>
      <c r="I47" s="44"/>
      <c r="J47" s="81"/>
      <c r="K47" s="81"/>
      <c r="L47" s="34"/>
      <c r="M47" s="34"/>
      <c r="N47" s="45"/>
      <c r="O47" s="46"/>
      <c r="P47" s="47"/>
      <c r="Q47" s="46"/>
      <c r="R47" s="498"/>
      <c r="S47" s="498"/>
      <c r="T47" s="36"/>
      <c r="U47" s="36"/>
      <c r="V47" s="36"/>
      <c r="W47" s="36"/>
      <c r="X47" s="37"/>
      <c r="Y47" s="210"/>
      <c r="Z47" s="36"/>
      <c r="AA47" s="36"/>
      <c r="AB47" s="36"/>
      <c r="AC47" s="36"/>
      <c r="AD47" s="36">
        <f>+AM47+BA47</f>
        <v>47</v>
      </c>
      <c r="AE47" s="229" t="s">
        <v>553</v>
      </c>
      <c r="AF47" s="32"/>
      <c r="AG47" s="32"/>
      <c r="AH47" s="32">
        <v>47</v>
      </c>
      <c r="AJ47" s="36"/>
      <c r="AK47" s="36"/>
      <c r="AL47" s="36"/>
      <c r="AM47" s="36">
        <f t="shared" si="118"/>
        <v>47</v>
      </c>
      <c r="AN47" s="36"/>
      <c r="AO47" s="36"/>
      <c r="AP47" s="36"/>
      <c r="AQ47" s="36"/>
      <c r="AR47" s="36">
        <f t="shared" si="121"/>
        <v>0</v>
      </c>
      <c r="AS47" s="36"/>
      <c r="AT47" s="36"/>
      <c r="AU47" s="36"/>
      <c r="AV47" s="36"/>
      <c r="AW47" s="36"/>
      <c r="AX47" s="36"/>
      <c r="AY47" s="36"/>
      <c r="AZ47" s="36"/>
      <c r="BA47" s="36">
        <f>+AR47+AS47+AU47+AW47+AY47+AZ47</f>
        <v>0</v>
      </c>
      <c r="BB47" s="32"/>
      <c r="BC47" s="501"/>
      <c r="BD47" s="501"/>
      <c r="BE47" s="32"/>
      <c r="BF47" s="501"/>
    </row>
    <row r="48" spans="1:58" ht="12.95" customHeight="1">
      <c r="A48" s="39"/>
      <c r="B48" s="40"/>
      <c r="C48" s="413"/>
      <c r="D48" s="40"/>
      <c r="E48" s="41"/>
      <c r="F48" s="41"/>
      <c r="G48" s="42"/>
      <c r="H48" s="43"/>
      <c r="I48" s="44"/>
      <c r="J48" s="81"/>
      <c r="K48" s="81"/>
      <c r="L48" s="34"/>
      <c r="M48" s="34"/>
      <c r="N48" s="45"/>
      <c r="O48" s="46"/>
      <c r="P48" s="47"/>
      <c r="Q48" s="33"/>
      <c r="R48" s="498"/>
      <c r="S48" s="498"/>
      <c r="T48" s="36"/>
      <c r="U48" s="36"/>
      <c r="V48" s="36"/>
      <c r="W48" s="36"/>
      <c r="X48" s="37"/>
      <c r="Y48" s="210"/>
      <c r="Z48" s="36"/>
      <c r="AA48" s="36"/>
      <c r="AB48" s="36"/>
      <c r="AC48" s="36"/>
      <c r="AD48" s="36">
        <f>+AM48+BA48</f>
        <v>32</v>
      </c>
      <c r="AE48" s="232" t="s">
        <v>560</v>
      </c>
      <c r="AF48" s="36"/>
      <c r="AG48" s="36"/>
      <c r="AH48" s="36"/>
      <c r="AI48" s="500"/>
      <c r="AJ48" s="36"/>
      <c r="AK48" s="36"/>
      <c r="AL48" s="36"/>
      <c r="AM48" s="36">
        <f t="shared" si="118"/>
        <v>0</v>
      </c>
      <c r="AN48" s="36"/>
      <c r="AO48" s="36"/>
      <c r="AP48" s="36">
        <v>32</v>
      </c>
      <c r="AQ48" s="36"/>
      <c r="AR48" s="36">
        <f t="shared" si="121"/>
        <v>32</v>
      </c>
      <c r="AS48" s="36"/>
      <c r="AT48" s="36"/>
      <c r="AU48" s="36"/>
      <c r="AV48" s="36"/>
      <c r="AW48" s="36"/>
      <c r="AX48" s="36"/>
      <c r="AY48" s="36"/>
      <c r="AZ48" s="36"/>
      <c r="BA48" s="36">
        <f>+AR48+AS48+AU48+AW48+AY48+AZ48</f>
        <v>32</v>
      </c>
      <c r="BB48" s="49"/>
      <c r="BC48" s="50"/>
      <c r="BD48" s="50"/>
      <c r="BE48" s="49"/>
      <c r="BF48" s="50"/>
    </row>
    <row r="49" spans="1:58" ht="12.95" customHeight="1">
      <c r="A49" s="39"/>
      <c r="B49" s="40"/>
      <c r="C49" s="413"/>
      <c r="D49" s="40"/>
      <c r="E49" s="41"/>
      <c r="F49" s="41"/>
      <c r="G49" s="42"/>
      <c r="H49" s="43"/>
      <c r="I49" s="44"/>
      <c r="J49" s="81"/>
      <c r="K49" s="81"/>
      <c r="L49" s="34"/>
      <c r="M49" s="34"/>
      <c r="N49" s="45"/>
      <c r="O49" s="46"/>
      <c r="P49" s="47"/>
      <c r="Q49" s="33"/>
      <c r="R49" s="498"/>
      <c r="S49" s="498"/>
      <c r="T49" s="36"/>
      <c r="U49" s="36"/>
      <c r="V49" s="36"/>
      <c r="W49" s="36"/>
      <c r="X49" s="37"/>
      <c r="Y49" s="210"/>
      <c r="Z49" s="36"/>
      <c r="AA49" s="36"/>
      <c r="AB49" s="36"/>
      <c r="AC49" s="36"/>
      <c r="AD49" s="36">
        <f>+AM49+BA49</f>
        <v>76</v>
      </c>
      <c r="AE49" s="232" t="s">
        <v>566</v>
      </c>
      <c r="AF49" s="36"/>
      <c r="AG49" s="36"/>
      <c r="AH49" s="36"/>
      <c r="AI49" s="500"/>
      <c r="AJ49" s="36"/>
      <c r="AK49" s="36">
        <v>76</v>
      </c>
      <c r="AL49" s="36"/>
      <c r="AM49" s="36">
        <f t="shared" si="118"/>
        <v>76</v>
      </c>
      <c r="AN49" s="36"/>
      <c r="AO49" s="36"/>
      <c r="AP49" s="36"/>
      <c r="AQ49" s="36"/>
      <c r="AR49" s="36">
        <f t="shared" si="121"/>
        <v>0</v>
      </c>
      <c r="AS49" s="36"/>
      <c r="AT49" s="36"/>
      <c r="AU49" s="36"/>
      <c r="AV49" s="36"/>
      <c r="AW49" s="36"/>
      <c r="AX49" s="36"/>
      <c r="AY49" s="36"/>
      <c r="AZ49" s="36"/>
      <c r="BA49" s="36">
        <f>+AR49+AS49+AU49+AW49+AY49+AZ49</f>
        <v>0</v>
      </c>
      <c r="BB49" s="49"/>
      <c r="BC49" s="50"/>
      <c r="BD49" s="50"/>
      <c r="BE49" s="49"/>
      <c r="BF49" s="50"/>
    </row>
    <row r="50" spans="1:58" ht="12.95" customHeight="1">
      <c r="A50" s="39"/>
      <c r="B50" s="40"/>
      <c r="C50" s="413"/>
      <c r="D50" s="40"/>
      <c r="E50" s="41"/>
      <c r="F50" s="41"/>
      <c r="G50" s="42"/>
      <c r="H50" s="43"/>
      <c r="I50" s="44"/>
      <c r="J50" s="81"/>
      <c r="K50" s="81"/>
      <c r="L50" s="34"/>
      <c r="M50" s="34"/>
      <c r="N50" s="45"/>
      <c r="O50" s="46"/>
      <c r="P50" s="47"/>
      <c r="Q50" s="33"/>
      <c r="R50" s="498"/>
      <c r="S50" s="498"/>
      <c r="T50" s="36"/>
      <c r="U50" s="36"/>
      <c r="V50" s="36"/>
      <c r="W50" s="36"/>
      <c r="X50" s="37"/>
      <c r="Y50" s="210"/>
      <c r="Z50" s="36"/>
      <c r="AA50" s="36"/>
      <c r="AB50" s="36"/>
      <c r="AC50" s="36"/>
      <c r="AD50" s="36">
        <f t="shared" ref="AD50" si="122">+AM50+BA50</f>
        <v>23</v>
      </c>
      <c r="AE50" s="232" t="s">
        <v>565</v>
      </c>
      <c r="AF50" s="36"/>
      <c r="AG50" s="36"/>
      <c r="AH50" s="36"/>
      <c r="AI50" s="500"/>
      <c r="AJ50" s="36"/>
      <c r="AK50" s="36">
        <v>23</v>
      </c>
      <c r="AL50" s="36"/>
      <c r="AM50" s="36">
        <f t="shared" ref="AM50" si="123">SUM(AF50:AL50)+AT50+AV50+AX50</f>
        <v>23</v>
      </c>
      <c r="AN50" s="36"/>
      <c r="AO50" s="36"/>
      <c r="AP50" s="36"/>
      <c r="AQ50" s="36"/>
      <c r="AR50" s="36">
        <f t="shared" ref="AR50" si="124">SUM(AN50:AQ50)</f>
        <v>0</v>
      </c>
      <c r="AS50" s="36"/>
      <c r="AT50" s="36"/>
      <c r="AU50" s="36"/>
      <c r="AV50" s="36"/>
      <c r="AW50" s="36"/>
      <c r="AX50" s="36"/>
      <c r="AY50" s="36"/>
      <c r="AZ50" s="36"/>
      <c r="BA50" s="36">
        <f t="shared" ref="BA50" si="125">+AR50+AS50+AU50+AW50+AY50+AZ50</f>
        <v>0</v>
      </c>
      <c r="BB50" s="49"/>
      <c r="BC50" s="50"/>
      <c r="BD50" s="50"/>
      <c r="BE50" s="49"/>
      <c r="BF50" s="50"/>
    </row>
    <row r="51" spans="1:58" ht="12.95" customHeight="1">
      <c r="A51" s="39"/>
      <c r="B51" s="40"/>
      <c r="C51" s="413"/>
      <c r="D51" s="40"/>
      <c r="E51" s="41"/>
      <c r="F51" s="41"/>
      <c r="G51" s="42"/>
      <c r="H51" s="43"/>
      <c r="I51" s="44"/>
      <c r="J51" s="81"/>
      <c r="K51" s="81"/>
      <c r="L51" s="34"/>
      <c r="M51" s="34"/>
      <c r="N51" s="45"/>
      <c r="O51" s="46"/>
      <c r="P51" s="47"/>
      <c r="Q51" s="46"/>
      <c r="R51" s="498"/>
      <c r="S51" s="498"/>
      <c r="T51" s="36"/>
      <c r="U51" s="36"/>
      <c r="V51" s="36"/>
      <c r="W51" s="36"/>
      <c r="X51" s="37"/>
      <c r="Y51" s="210"/>
      <c r="Z51" s="36"/>
      <c r="AA51" s="36"/>
      <c r="AB51" s="36"/>
      <c r="AC51" s="36"/>
      <c r="AD51" s="36"/>
      <c r="AE51" s="229"/>
      <c r="AF51" s="36"/>
      <c r="AG51" s="36"/>
      <c r="AH51" s="36"/>
      <c r="AI51" s="36"/>
      <c r="AJ51" s="36"/>
      <c r="AK51" s="36"/>
      <c r="AL51" s="36"/>
      <c r="AM51" s="36"/>
      <c r="AN51" s="36"/>
      <c r="AO51" s="36"/>
      <c r="AP51" s="36"/>
      <c r="AQ51" s="36"/>
      <c r="AR51" s="36"/>
      <c r="AS51" s="36"/>
      <c r="AT51" s="36"/>
      <c r="AU51" s="36"/>
      <c r="AV51" s="36"/>
      <c r="AW51" s="36"/>
      <c r="AX51" s="36"/>
      <c r="AY51" s="36"/>
      <c r="AZ51" s="36"/>
      <c r="BA51" s="36"/>
      <c r="BB51" s="49"/>
      <c r="BC51" s="50"/>
      <c r="BD51" s="50"/>
      <c r="BE51" s="50"/>
      <c r="BF51" s="50"/>
    </row>
    <row r="52" spans="1:58" ht="12.75" customHeight="1">
      <c r="A52" s="39">
        <v>46090</v>
      </c>
      <c r="B52" s="40" t="s">
        <v>7</v>
      </c>
      <c r="C52" s="413">
        <f t="shared" ref="C52" si="126">(M52*E52*O52*Q52)/100000000</f>
        <v>26.250698375999999</v>
      </c>
      <c r="D52" s="40" t="s">
        <v>301</v>
      </c>
      <c r="E52" s="41">
        <v>11.5</v>
      </c>
      <c r="F52" s="41">
        <v>1</v>
      </c>
      <c r="G52" s="497">
        <v>1230</v>
      </c>
      <c r="H52" s="43">
        <f t="shared" ref="H52" si="127">+N52</f>
        <v>0.24</v>
      </c>
      <c r="I52" s="44">
        <v>0.88</v>
      </c>
      <c r="J52" s="81">
        <f t="shared" ref="J52" si="128">E52*G52*(1-H52)*1440/1000000*2.74</f>
        <v>42.415989120000006</v>
      </c>
      <c r="K52" s="81">
        <f t="shared" ref="K52" si="129">(IF(G52&lt;L52,L52,G52)*(1-IF(H52&lt;N52,H52,N52))*E52*O52*Q52)/100000000</f>
        <v>26.250698375999999</v>
      </c>
      <c r="L52" s="34">
        <v>1230</v>
      </c>
      <c r="M52" s="34">
        <v>934.8</v>
      </c>
      <c r="N52" s="45">
        <f t="shared" ref="N52" si="130">1-(M52/L52)</f>
        <v>0.24</v>
      </c>
      <c r="O52" s="46">
        <f>+'Trim Rwd'!H33</f>
        <v>266</v>
      </c>
      <c r="P52" s="47">
        <f t="shared" ref="P52" si="131">O52*(Q52-R52-S52)</f>
        <v>233548</v>
      </c>
      <c r="Q52" s="46">
        <v>918</v>
      </c>
      <c r="R52" s="498">
        <v>0</v>
      </c>
      <c r="S52" s="498">
        <v>40</v>
      </c>
      <c r="T52" s="36">
        <f t="shared" ref="T52:T53" si="132">E52*M52*O52*Q52/100000000</f>
        <v>26.250698375999999</v>
      </c>
      <c r="U52" s="36">
        <f t="shared" ref="U52:U53" si="133">E52*M52*O52*(Q52-R52-S52)/100000000</f>
        <v>25.106877095999998</v>
      </c>
      <c r="V52" s="36">
        <f t="shared" ref="V52:V53" si="134">E52*G52*(1-N52)*O52/100*(R52+S52)/1000000</f>
        <v>1.1438212800000001</v>
      </c>
      <c r="W52" s="36">
        <f>+'9'!K13/1000</f>
        <v>28.863</v>
      </c>
      <c r="X52" s="499">
        <f>SUM(W52:W55)/SUM(K52:K55)</f>
        <v>0.98369527557503567</v>
      </c>
      <c r="Y52" s="210">
        <v>0</v>
      </c>
      <c r="Z52" s="36">
        <v>0</v>
      </c>
      <c r="AA52" s="48">
        <f>SUM(U52:U55)-SUM(W52:W55)-SUM(Z52:Z55)-SUM(Y52:Y55)</f>
        <v>-1.3787101039999996</v>
      </c>
      <c r="AB52" s="48">
        <f>(SUM(K52:K55)-SUM(W52:W55)-SUM(Y52:Y55)-SUM(Z52:Z55)-SUM(AC52:AC55)-SUM(V52:V55))-AA52</f>
        <v>-2.6645352591003757E-15</v>
      </c>
      <c r="AC52" s="36">
        <f>K52-T52</f>
        <v>0</v>
      </c>
      <c r="AD52" s="36">
        <f>+AM52+BA52</f>
        <v>22</v>
      </c>
      <c r="AE52" s="229" t="s">
        <v>572</v>
      </c>
      <c r="AF52" s="36">
        <v>22</v>
      </c>
      <c r="AG52" s="36"/>
      <c r="AH52" s="36"/>
      <c r="AI52" s="500"/>
      <c r="AJ52" s="36"/>
      <c r="AK52" s="36"/>
      <c r="AL52" s="36"/>
      <c r="AM52" s="36">
        <f t="shared" ref="AM52:AM54" si="135">SUM(AF52:AL52)+AT52+AV52+AX52</f>
        <v>22</v>
      </c>
      <c r="AN52" s="36"/>
      <c r="AO52" s="36"/>
      <c r="AP52" s="36"/>
      <c r="AQ52" s="36"/>
      <c r="AR52" s="36">
        <f>SUM(AN52:AQ52)</f>
        <v>0</v>
      </c>
      <c r="AS52" s="36"/>
      <c r="AT52" s="36"/>
      <c r="AU52" s="36"/>
      <c r="AV52" s="36"/>
      <c r="AW52" s="36"/>
      <c r="AX52" s="36"/>
      <c r="AY52" s="36"/>
      <c r="AZ52" s="36"/>
      <c r="BA52" s="36">
        <f>+AR52+AS52+AU52+AW52+AY52+AZ52</f>
        <v>0</v>
      </c>
      <c r="BB52" s="32">
        <v>10</v>
      </c>
      <c r="BC52" s="50"/>
      <c r="BD52" s="50"/>
      <c r="BE52" s="32"/>
      <c r="BF52" s="50"/>
    </row>
    <row r="53" spans="1:58" ht="12.95" customHeight="1">
      <c r="A53" s="39"/>
      <c r="B53" s="40" t="s">
        <v>7</v>
      </c>
      <c r="C53" s="413">
        <f t="shared" ref="C53" si="136">(M53*E53*O53*Q53)/100000000</f>
        <v>16.102864799999999</v>
      </c>
      <c r="D53" s="40" t="s">
        <v>301</v>
      </c>
      <c r="E53" s="41">
        <v>12</v>
      </c>
      <c r="F53" s="41">
        <v>1</v>
      </c>
      <c r="G53" s="497">
        <v>1230</v>
      </c>
      <c r="H53" s="43">
        <f t="shared" ref="H53" si="137">+N53</f>
        <v>0.24</v>
      </c>
      <c r="I53" s="44">
        <v>0.88</v>
      </c>
      <c r="J53" s="81">
        <f t="shared" ref="J53" si="138">E53*G53*(1-H53)*1440/1000000*2.74</f>
        <v>44.260162560000005</v>
      </c>
      <c r="K53" s="81">
        <f t="shared" ref="K53" si="139">(IF(G53&lt;L53,L53,G53)*(1-IF(H53&lt;N53,H53,N53))*E53*O53*Q53)/100000000</f>
        <v>16.102864799999999</v>
      </c>
      <c r="L53" s="34">
        <v>1230</v>
      </c>
      <c r="M53" s="34">
        <v>934.8</v>
      </c>
      <c r="N53" s="45">
        <f t="shared" ref="N53" si="140">1-(M53/L53)</f>
        <v>0.24</v>
      </c>
      <c r="O53" s="46">
        <f>+'Trim Rwd'!H34</f>
        <v>275</v>
      </c>
      <c r="P53" s="47">
        <f t="shared" ref="P53" si="141">O53*(Q53-R53-S53)</f>
        <v>135300</v>
      </c>
      <c r="Q53" s="46">
        <v>522</v>
      </c>
      <c r="R53" s="498">
        <v>0</v>
      </c>
      <c r="S53" s="498">
        <v>30</v>
      </c>
      <c r="T53" s="36">
        <f t="shared" si="132"/>
        <v>16.102864799999999</v>
      </c>
      <c r="U53" s="36">
        <f t="shared" si="133"/>
        <v>15.177412799999997</v>
      </c>
      <c r="V53" s="36">
        <f t="shared" si="134"/>
        <v>0.92545200000000005</v>
      </c>
      <c r="W53" s="36">
        <f>+'9'!K7/1000</f>
        <v>12.8</v>
      </c>
      <c r="X53" s="37"/>
      <c r="Y53" s="210"/>
      <c r="Z53" s="36"/>
      <c r="AA53" s="36"/>
      <c r="AB53" s="36"/>
      <c r="AC53" s="36">
        <f>K53-T53</f>
        <v>0</v>
      </c>
      <c r="AD53" s="36">
        <f>+AM53+BA53</f>
        <v>0</v>
      </c>
      <c r="AE53" s="229" t="s">
        <v>283</v>
      </c>
      <c r="AF53" s="36"/>
      <c r="AG53" s="36">
        <v>0</v>
      </c>
      <c r="AH53" s="36"/>
      <c r="AI53" s="500"/>
      <c r="AJ53" s="36"/>
      <c r="AK53" s="36"/>
      <c r="AL53" s="36"/>
      <c r="AM53" s="36">
        <f t="shared" si="135"/>
        <v>0</v>
      </c>
      <c r="AN53" s="82"/>
      <c r="AO53" s="36"/>
      <c r="AP53" s="36"/>
      <c r="AQ53" s="36"/>
      <c r="AR53" s="36">
        <f t="shared" ref="AR53:AR54" si="142">SUM(AN53:AQ53)</f>
        <v>0</v>
      </c>
      <c r="AS53" s="36"/>
      <c r="AT53" s="36"/>
      <c r="AU53" s="36"/>
      <c r="AV53" s="36"/>
      <c r="AW53" s="36"/>
      <c r="AX53" s="36"/>
      <c r="AY53" s="36"/>
      <c r="AZ53" s="36"/>
      <c r="BA53" s="36">
        <f>+AR53+AS53+AU53+AW53+AY53+AZ53</f>
        <v>0</v>
      </c>
      <c r="BB53" s="49"/>
      <c r="BC53" s="50">
        <v>0</v>
      </c>
      <c r="BD53" s="50"/>
      <c r="BE53" s="49"/>
      <c r="BF53" s="50"/>
    </row>
    <row r="54" spans="1:58" ht="12.95" customHeight="1">
      <c r="A54" s="39"/>
      <c r="B54" s="40"/>
      <c r="C54" s="413"/>
      <c r="D54" s="40"/>
      <c r="E54" s="41"/>
      <c r="F54" s="41"/>
      <c r="G54" s="497"/>
      <c r="H54" s="43"/>
      <c r="I54" s="44"/>
      <c r="J54" s="81"/>
      <c r="K54" s="81"/>
      <c r="L54" s="34"/>
      <c r="M54" s="34"/>
      <c r="N54" s="45"/>
      <c r="O54" s="46"/>
      <c r="P54" s="47"/>
      <c r="Q54" s="46"/>
      <c r="R54" s="498"/>
      <c r="S54" s="498"/>
      <c r="T54" s="36"/>
      <c r="U54" s="36"/>
      <c r="V54" s="36"/>
      <c r="W54" s="36"/>
      <c r="X54" s="37"/>
      <c r="Y54" s="210"/>
      <c r="Z54" s="36"/>
      <c r="AA54" s="36"/>
      <c r="AB54" s="36"/>
      <c r="AC54" s="36"/>
      <c r="AD54" s="36">
        <f>+AM54+BA54</f>
        <v>48</v>
      </c>
      <c r="AE54" s="229" t="s">
        <v>573</v>
      </c>
      <c r="AF54" s="32"/>
      <c r="AG54" s="32"/>
      <c r="AH54" s="32">
        <v>48</v>
      </c>
      <c r="AJ54" s="36"/>
      <c r="AK54" s="36"/>
      <c r="AL54" s="36"/>
      <c r="AM54" s="36">
        <f t="shared" si="135"/>
        <v>48</v>
      </c>
      <c r="AN54" s="36"/>
      <c r="AO54" s="36"/>
      <c r="AP54" s="36"/>
      <c r="AQ54" s="36"/>
      <c r="AR54" s="36">
        <f t="shared" si="142"/>
        <v>0</v>
      </c>
      <c r="AS54" s="36"/>
      <c r="AT54" s="36"/>
      <c r="AU54" s="36"/>
      <c r="AV54" s="36"/>
      <c r="AW54" s="36"/>
      <c r="AX54" s="36"/>
      <c r="AY54" s="36"/>
      <c r="AZ54" s="36"/>
      <c r="BA54" s="36">
        <f>+AR54+AS54+AU54+AW54+AY54+AZ54</f>
        <v>0</v>
      </c>
      <c r="BB54" s="32"/>
      <c r="BC54" s="501"/>
      <c r="BD54" s="501"/>
      <c r="BE54" s="32"/>
      <c r="BF54" s="501"/>
    </row>
    <row r="55" spans="1:58" ht="12.95" customHeight="1">
      <c r="A55" s="39"/>
      <c r="B55" s="40"/>
      <c r="C55" s="413"/>
      <c r="D55" s="40"/>
      <c r="E55" s="41"/>
      <c r="F55" s="41"/>
      <c r="G55" s="42"/>
      <c r="H55" s="43"/>
      <c r="I55" s="44"/>
      <c r="J55" s="81"/>
      <c r="K55" s="81"/>
      <c r="L55" s="34"/>
      <c r="M55" s="34"/>
      <c r="N55" s="45"/>
      <c r="O55" s="46"/>
      <c r="P55" s="47"/>
      <c r="Q55" s="46"/>
      <c r="R55" s="498"/>
      <c r="S55" s="498"/>
      <c r="T55" s="36"/>
      <c r="U55" s="36"/>
      <c r="V55" s="36"/>
      <c r="W55" s="36"/>
      <c r="X55" s="37"/>
      <c r="Y55" s="210"/>
      <c r="Z55" s="36"/>
      <c r="AA55" s="36"/>
      <c r="AB55" s="36"/>
      <c r="AC55" s="36"/>
      <c r="AD55" s="36"/>
      <c r="AE55" s="229"/>
      <c r="AF55" s="32"/>
      <c r="AG55" s="32"/>
      <c r="AH55" s="32"/>
      <c r="AJ55" s="36"/>
      <c r="AK55" s="36"/>
      <c r="AL55" s="36"/>
      <c r="AM55" s="36"/>
      <c r="AN55" s="36"/>
      <c r="AO55" s="36"/>
      <c r="AP55" s="36"/>
      <c r="AQ55" s="36"/>
      <c r="AR55" s="36"/>
      <c r="AS55" s="36"/>
      <c r="AT55" s="36"/>
      <c r="AU55" s="36"/>
      <c r="AV55" s="36"/>
      <c r="AW55" s="36"/>
      <c r="AX55" s="36"/>
      <c r="AY55" s="36"/>
      <c r="AZ55" s="36"/>
      <c r="BA55" s="36"/>
      <c r="BB55" s="32"/>
      <c r="BC55" s="501"/>
      <c r="BD55" s="50"/>
      <c r="BE55" s="49"/>
      <c r="BF55" s="50"/>
    </row>
    <row r="56" spans="1:58" ht="12.75" customHeight="1">
      <c r="A56" s="39">
        <v>46091</v>
      </c>
      <c r="B56" s="40" t="s">
        <v>7</v>
      </c>
      <c r="C56" s="413">
        <f t="shared" ref="C56" si="143">(M56*E56*O56*Q56)/100000000</f>
        <v>44.42169599999999</v>
      </c>
      <c r="D56" s="40" t="s">
        <v>301</v>
      </c>
      <c r="E56" s="41">
        <v>12</v>
      </c>
      <c r="F56" s="41">
        <v>1</v>
      </c>
      <c r="G56" s="497">
        <v>1230</v>
      </c>
      <c r="H56" s="43">
        <f t="shared" ref="H56" si="144">+N56</f>
        <v>0.24</v>
      </c>
      <c r="I56" s="44">
        <v>0.88</v>
      </c>
      <c r="J56" s="81">
        <f t="shared" ref="J56" si="145">E56*G56*(1-H56)*1440/1000000*2.74</f>
        <v>44.260162560000005</v>
      </c>
      <c r="K56" s="81">
        <f t="shared" ref="K56" si="146">(IF(G56&lt;L56,L56,G56)*(1-IF(H56&lt;N56,H56,N56))*E56*O56*Q56)/100000000</f>
        <v>44.42169599999999</v>
      </c>
      <c r="L56" s="34">
        <v>1230</v>
      </c>
      <c r="M56" s="34">
        <v>934.8</v>
      </c>
      <c r="N56" s="45">
        <f t="shared" ref="N56" si="147">1-(M56/L56)</f>
        <v>0.24</v>
      </c>
      <c r="O56" s="46">
        <f>+'Trim Rwd'!H36</f>
        <v>275</v>
      </c>
      <c r="P56" s="47">
        <f t="shared" ref="P56" si="148">O56*(Q56-R56-S56)</f>
        <v>376475</v>
      </c>
      <c r="Q56" s="46">
        <v>1440</v>
      </c>
      <c r="R56" s="498">
        <v>0</v>
      </c>
      <c r="S56" s="498">
        <v>71</v>
      </c>
      <c r="T56" s="36">
        <f t="shared" ref="T56" si="149">E56*M56*O56*Q56/100000000</f>
        <v>44.42169599999999</v>
      </c>
      <c r="U56" s="36">
        <f t="shared" ref="U56" si="150">E56*M56*O56*(Q56-R56-S56)/100000000</f>
        <v>42.231459599999994</v>
      </c>
      <c r="V56" s="36">
        <f t="shared" ref="V56" si="151">E56*G56*(1-N56)*O56/100*(R56+S56)/1000000</f>
        <v>2.1902363999999999</v>
      </c>
      <c r="W56" s="36">
        <f>+'10'!K7/1000</f>
        <v>41.02</v>
      </c>
      <c r="X56" s="499">
        <f>SUM(W56:W59)/SUM(K56:K59)</f>
        <v>0.92342264464643609</v>
      </c>
      <c r="Y56" s="210">
        <v>0</v>
      </c>
      <c r="Z56" s="36">
        <v>0</v>
      </c>
      <c r="AA56" s="48">
        <f>SUM(U56:U59)-SUM(W56:W59)-SUM(Z56:Z59)-SUM(Y56:Y59)</f>
        <v>1.2114595999999906</v>
      </c>
      <c r="AB56" s="48">
        <f>(SUM(K56:K59)-SUM(W56:W59)-SUM(Y56:Y59)-SUM(Z56:Z59)-SUM(AC56:AC59)-SUM(V56:V59))-AA56</f>
        <v>-3.5527136788005009E-15</v>
      </c>
      <c r="AC56" s="36">
        <f>K56-T56</f>
        <v>0</v>
      </c>
      <c r="AD56" s="36">
        <f>+AM56+BA56</f>
        <v>18</v>
      </c>
      <c r="AE56" s="229" t="s">
        <v>435</v>
      </c>
      <c r="AF56" s="36">
        <v>18</v>
      </c>
      <c r="AG56" s="36"/>
      <c r="AH56" s="36"/>
      <c r="AI56" s="500"/>
      <c r="AJ56" s="36"/>
      <c r="AK56" s="36"/>
      <c r="AL56" s="36"/>
      <c r="AM56" s="36">
        <f t="shared" ref="AM56:AM58" si="152">SUM(AF56:AL56)+AT56+AV56+AX56</f>
        <v>18</v>
      </c>
      <c r="AN56" s="36"/>
      <c r="AO56" s="36"/>
      <c r="AP56" s="36"/>
      <c r="AQ56" s="36"/>
      <c r="AR56" s="36">
        <f>SUM(AN56:AQ56)</f>
        <v>0</v>
      </c>
      <c r="AS56" s="36"/>
      <c r="AT56" s="36"/>
      <c r="AU56" s="36"/>
      <c r="AV56" s="36"/>
      <c r="AW56" s="36"/>
      <c r="AX56" s="36"/>
      <c r="AY56" s="36"/>
      <c r="AZ56" s="36"/>
      <c r="BA56" s="36">
        <f>+AR56+AS56+AU56+AW56+AY56+AZ56</f>
        <v>0</v>
      </c>
      <c r="BB56" s="32">
        <v>6</v>
      </c>
      <c r="BC56" s="50"/>
      <c r="BD56" s="50"/>
      <c r="BE56" s="32"/>
      <c r="BF56" s="50"/>
    </row>
    <row r="57" spans="1:58" ht="12.95" customHeight="1">
      <c r="A57" s="39"/>
      <c r="B57" s="40"/>
      <c r="C57" s="413"/>
      <c r="D57" s="40"/>
      <c r="E57" s="41"/>
      <c r="F57" s="41"/>
      <c r="G57" s="497"/>
      <c r="H57" s="43"/>
      <c r="I57" s="44"/>
      <c r="J57" s="81"/>
      <c r="K57" s="81"/>
      <c r="L57" s="34"/>
      <c r="M57" s="34"/>
      <c r="N57" s="45"/>
      <c r="O57" s="46"/>
      <c r="P57" s="47"/>
      <c r="Q57" s="46"/>
      <c r="R57" s="498"/>
      <c r="S57" s="498"/>
      <c r="T57" s="36"/>
      <c r="U57" s="36"/>
      <c r="V57" s="36"/>
      <c r="W57" s="36"/>
      <c r="X57" s="37"/>
      <c r="Y57" s="210"/>
      <c r="Z57" s="36"/>
      <c r="AA57" s="36"/>
      <c r="AB57" s="36"/>
      <c r="AC57" s="36"/>
      <c r="AD57" s="36">
        <f>+AM57+BA57</f>
        <v>9</v>
      </c>
      <c r="AE57" s="229" t="s">
        <v>541</v>
      </c>
      <c r="AF57" s="36"/>
      <c r="AG57" s="36">
        <v>9</v>
      </c>
      <c r="AH57" s="36"/>
      <c r="AI57" s="500"/>
      <c r="AJ57" s="36"/>
      <c r="AK57" s="36"/>
      <c r="AL57" s="36"/>
      <c r="AM57" s="36">
        <f t="shared" si="152"/>
        <v>9</v>
      </c>
      <c r="AN57" s="82"/>
      <c r="AO57" s="36"/>
      <c r="AP57" s="36"/>
      <c r="AQ57" s="36"/>
      <c r="AR57" s="36">
        <f t="shared" ref="AR57:AR58" si="153">SUM(AN57:AQ57)</f>
        <v>0</v>
      </c>
      <c r="AS57" s="36"/>
      <c r="AT57" s="36"/>
      <c r="AU57" s="36"/>
      <c r="AV57" s="36"/>
      <c r="AW57" s="36"/>
      <c r="AX57" s="36"/>
      <c r="AY57" s="36"/>
      <c r="AZ57" s="36"/>
      <c r="BA57" s="36">
        <f>+AR57+AS57+AU57+AW57+AY57+AZ57</f>
        <v>0</v>
      </c>
      <c r="BB57" s="49"/>
      <c r="BC57" s="50">
        <v>4</v>
      </c>
      <c r="BD57" s="50"/>
      <c r="BE57" s="49"/>
      <c r="BF57" s="50"/>
    </row>
    <row r="58" spans="1:58" ht="12.95" customHeight="1">
      <c r="A58" s="39"/>
      <c r="B58" s="40"/>
      <c r="C58" s="413"/>
      <c r="D58" s="40"/>
      <c r="E58" s="41"/>
      <c r="F58" s="41"/>
      <c r="G58" s="497"/>
      <c r="H58" s="43"/>
      <c r="I58" s="44"/>
      <c r="J58" s="81"/>
      <c r="K58" s="81"/>
      <c r="L58" s="34"/>
      <c r="M58" s="34"/>
      <c r="N58" s="45"/>
      <c r="O58" s="46"/>
      <c r="P58" s="47"/>
      <c r="Q58" s="46"/>
      <c r="R58" s="498"/>
      <c r="S58" s="498"/>
      <c r="T58" s="36"/>
      <c r="U58" s="36"/>
      <c r="V58" s="36"/>
      <c r="W58" s="36"/>
      <c r="X58" s="37"/>
      <c r="Y58" s="210"/>
      <c r="Z58" s="36"/>
      <c r="AA58" s="36"/>
      <c r="AB58" s="36"/>
      <c r="AC58" s="36"/>
      <c r="AD58" s="36">
        <f>+AM58+BA58</f>
        <v>44</v>
      </c>
      <c r="AE58" s="229" t="s">
        <v>387</v>
      </c>
      <c r="AF58" s="32"/>
      <c r="AG58" s="32"/>
      <c r="AH58" s="32">
        <v>44</v>
      </c>
      <c r="AJ58" s="36"/>
      <c r="AK58" s="36"/>
      <c r="AL58" s="36"/>
      <c r="AM58" s="36">
        <f t="shared" si="152"/>
        <v>44</v>
      </c>
      <c r="AN58" s="36"/>
      <c r="AO58" s="36"/>
      <c r="AP58" s="36"/>
      <c r="AQ58" s="36"/>
      <c r="AR58" s="36">
        <f t="shared" si="153"/>
        <v>0</v>
      </c>
      <c r="AS58" s="36"/>
      <c r="AT58" s="36"/>
      <c r="AU58" s="36"/>
      <c r="AV58" s="36"/>
      <c r="AW58" s="36"/>
      <c r="AX58" s="36"/>
      <c r="AY58" s="36"/>
      <c r="AZ58" s="36"/>
      <c r="BA58" s="36">
        <f>+AR58+AS58+AU58+AW58+AY58+AZ58</f>
        <v>0</v>
      </c>
      <c r="BB58" s="32"/>
      <c r="BC58" s="501"/>
      <c r="BD58" s="501"/>
      <c r="BE58" s="32"/>
      <c r="BF58" s="501"/>
    </row>
    <row r="59" spans="1:58" ht="12.95" customHeight="1">
      <c r="A59" s="39"/>
      <c r="B59" s="40"/>
      <c r="C59" s="413"/>
      <c r="D59" s="40"/>
      <c r="E59" s="41"/>
      <c r="F59" s="41"/>
      <c r="G59" s="497"/>
      <c r="H59" s="43"/>
      <c r="I59" s="44"/>
      <c r="J59" s="81"/>
      <c r="K59" s="81"/>
      <c r="L59" s="34"/>
      <c r="M59" s="34"/>
      <c r="N59" s="45"/>
      <c r="O59" s="46"/>
      <c r="P59" s="47"/>
      <c r="Q59" s="46"/>
      <c r="R59" s="498"/>
      <c r="S59" s="498"/>
      <c r="T59" s="36"/>
      <c r="U59" s="36"/>
      <c r="V59" s="36"/>
      <c r="W59" s="36"/>
      <c r="X59" s="37"/>
      <c r="Y59" s="210"/>
      <c r="Z59" s="36"/>
      <c r="AA59" s="36"/>
      <c r="AB59" s="36"/>
      <c r="AC59" s="36"/>
      <c r="AD59" s="36"/>
      <c r="AE59" s="229"/>
      <c r="AF59" s="36"/>
      <c r="AG59" s="36"/>
      <c r="AH59" s="36"/>
      <c r="AI59" s="500"/>
      <c r="AJ59" s="36"/>
      <c r="AK59" s="36"/>
      <c r="AL59" s="36"/>
      <c r="AM59" s="36"/>
      <c r="AN59" s="82"/>
      <c r="AO59" s="36"/>
      <c r="AP59" s="36"/>
      <c r="AQ59" s="36"/>
      <c r="AR59" s="36"/>
      <c r="AS59" s="36"/>
      <c r="AT59" s="36"/>
      <c r="AU59" s="36"/>
      <c r="AV59" s="36"/>
      <c r="AW59" s="36"/>
      <c r="AX59" s="36"/>
      <c r="AY59" s="36"/>
      <c r="AZ59" s="36"/>
      <c r="BA59" s="36"/>
      <c r="BB59" s="49"/>
      <c r="BC59" s="50"/>
      <c r="BD59" s="50"/>
      <c r="BE59" s="49"/>
      <c r="BF59" s="50"/>
    </row>
    <row r="60" spans="1:58" ht="12.75" customHeight="1">
      <c r="A60" s="39">
        <v>46092</v>
      </c>
      <c r="B60" s="40" t="s">
        <v>7</v>
      </c>
      <c r="C60" s="413">
        <f t="shared" ref="C60" si="154">(M60*E60*O60*Q60)/100000000</f>
        <v>39.701890799999994</v>
      </c>
      <c r="D60" s="40" t="s">
        <v>301</v>
      </c>
      <c r="E60" s="41">
        <v>12</v>
      </c>
      <c r="F60" s="41">
        <v>1</v>
      </c>
      <c r="G60" s="497">
        <v>1230</v>
      </c>
      <c r="H60" s="43">
        <f t="shared" ref="H60" si="155">+N60</f>
        <v>0.24</v>
      </c>
      <c r="I60" s="44">
        <v>0.88</v>
      </c>
      <c r="J60" s="81">
        <f t="shared" ref="J60" si="156">E60*G60*(1-H60)*1440/1000000*2.74</f>
        <v>44.260162560000005</v>
      </c>
      <c r="K60" s="81">
        <f t="shared" ref="K60" si="157">(IF(G60&lt;L60,L60,G60)*(1-IF(H60&lt;N60,H60,N60))*E60*O60*Q60)/100000000</f>
        <v>39.701890799999994</v>
      </c>
      <c r="L60" s="34">
        <v>1230</v>
      </c>
      <c r="M60" s="34">
        <v>934.8</v>
      </c>
      <c r="N60" s="45">
        <f t="shared" ref="N60" si="158">1-(M60/L60)</f>
        <v>0.24</v>
      </c>
      <c r="O60" s="46">
        <f>+'Trim Rwd'!H38</f>
        <v>275</v>
      </c>
      <c r="P60" s="47">
        <f t="shared" ref="P60" si="159">O60*(Q60-R60-S60)</f>
        <v>337150</v>
      </c>
      <c r="Q60" s="46">
        <v>1287</v>
      </c>
      <c r="R60" s="498">
        <v>0</v>
      </c>
      <c r="S60" s="498">
        <v>61</v>
      </c>
      <c r="T60" s="36">
        <f t="shared" ref="T60" si="160">E60*M60*O60*Q60/100000000</f>
        <v>39.701890799999994</v>
      </c>
      <c r="U60" s="36">
        <f t="shared" ref="U60" si="161">E60*M60*O60*(Q60-R60-S60)/100000000</f>
        <v>37.820138399999998</v>
      </c>
      <c r="V60" s="36">
        <f t="shared" ref="V60" si="162">E60*G60*(1-N60)*O60/100*(R60+S60)/1000000</f>
        <v>1.8817524000000001</v>
      </c>
      <c r="W60" s="36">
        <f>+'11'!K7/1000</f>
        <v>37.627000000000002</v>
      </c>
      <c r="X60" s="499">
        <f>SUM(W60:W63)/SUM(K60:K63)</f>
        <v>0.87454587617296486</v>
      </c>
      <c r="Y60" s="210">
        <v>0</v>
      </c>
      <c r="Z60" s="36">
        <v>0</v>
      </c>
      <c r="AA60" s="48">
        <f>SUM(U60:U63)-SUM(W60:W63)-SUM(Z60:Z63)-SUM(Y60:Y63)</f>
        <v>3.311830709803921</v>
      </c>
      <c r="AB60" s="48">
        <f>(SUM(K60:K63)-SUM(W60:W63)-SUM(Y60:Y63)-SUM(Z60:Z63)-SUM(AC60:AC63)-SUM(V60:V63))-AA60</f>
        <v>-4.5015098039269397E-3</v>
      </c>
      <c r="AC60" s="36">
        <f>K60-T60</f>
        <v>0</v>
      </c>
      <c r="AD60" s="36">
        <f>+AM60+BA60</f>
        <v>18</v>
      </c>
      <c r="AE60" s="229" t="s">
        <v>621</v>
      </c>
      <c r="AF60" s="36">
        <v>18</v>
      </c>
      <c r="AG60" s="36"/>
      <c r="AH60" s="36"/>
      <c r="AI60" s="500"/>
      <c r="AJ60" s="36"/>
      <c r="AK60" s="36"/>
      <c r="AL60" s="36"/>
      <c r="AM60" s="36">
        <f t="shared" ref="AM60:AM62" si="163">SUM(AF60:AL60)+AT60+AV60+AX60</f>
        <v>18</v>
      </c>
      <c r="AN60" s="36"/>
      <c r="AO60" s="36"/>
      <c r="AP60" s="36"/>
      <c r="AQ60" s="36"/>
      <c r="AR60" s="36">
        <f>SUM(AN60:AQ60)</f>
        <v>0</v>
      </c>
      <c r="AS60" s="36"/>
      <c r="AT60" s="36"/>
      <c r="AU60" s="36"/>
      <c r="AV60" s="36"/>
      <c r="AW60" s="36"/>
      <c r="AX60" s="36"/>
      <c r="AY60" s="36"/>
      <c r="AZ60" s="36"/>
      <c r="BA60" s="36">
        <f>+AR60+AS60+AU60+AW60+AY60+AZ60</f>
        <v>0</v>
      </c>
      <c r="BB60" s="32">
        <v>9</v>
      </c>
      <c r="BC60" s="50"/>
      <c r="BD60" s="50"/>
      <c r="BE60" s="32"/>
      <c r="BF60" s="50"/>
    </row>
    <row r="61" spans="1:58" ht="12.95" customHeight="1">
      <c r="A61" s="39"/>
      <c r="B61" s="40" t="s">
        <v>7</v>
      </c>
      <c r="C61" s="413">
        <f t="shared" ref="C61" si="164">(M61*E61*O61*Q61)/100000000</f>
        <v>4.5436638000000009</v>
      </c>
      <c r="D61" s="40" t="s">
        <v>301</v>
      </c>
      <c r="E61" s="41">
        <v>12.5</v>
      </c>
      <c r="F61" s="41">
        <v>1</v>
      </c>
      <c r="G61" s="497">
        <v>1230</v>
      </c>
      <c r="H61" s="43">
        <f t="shared" ref="H61" si="165">+N61</f>
        <v>0.24</v>
      </c>
      <c r="I61" s="44">
        <v>0.88</v>
      </c>
      <c r="J61" s="81">
        <f t="shared" ref="J61" si="166">E61*G61*(1-H61)*1440/1000000*2.74</f>
        <v>46.104336000000004</v>
      </c>
      <c r="K61" s="81">
        <f t="shared" ref="K61" si="167">(IF(G61&lt;L61,L61,G61)*(1-IF(H61&lt;N61,H61,N61))*E61*O61*Q61)/100000000</f>
        <v>4.6125369000000003</v>
      </c>
      <c r="L61" s="34">
        <v>1211.6339869281046</v>
      </c>
      <c r="M61" s="34">
        <v>920.84183006535955</v>
      </c>
      <c r="N61" s="45">
        <f t="shared" ref="N61" si="168">1-(M61/L61)</f>
        <v>0.24</v>
      </c>
      <c r="O61" s="46">
        <f>+'Trim Rwd'!H39</f>
        <v>258</v>
      </c>
      <c r="P61" s="47">
        <f t="shared" ref="P61" si="169">O61*(Q61-R61-S61)</f>
        <v>36894</v>
      </c>
      <c r="Q61" s="46">
        <v>153</v>
      </c>
      <c r="R61" s="498">
        <v>0</v>
      </c>
      <c r="S61" s="498">
        <v>10</v>
      </c>
      <c r="T61" s="36">
        <f t="shared" ref="T61" si="170">E61*M61*O61*Q61/100000000</f>
        <v>4.5436638000000009</v>
      </c>
      <c r="U61" s="36">
        <f t="shared" ref="U61" si="171">E61*M61*O61*(Q61-R61-S61)/100000000</f>
        <v>4.2466923098039224</v>
      </c>
      <c r="V61" s="36">
        <f t="shared" ref="V61" si="172">E61*G61*(1-N61)*O61/100*(R61+S61)/1000000</f>
        <v>0.30147299999999999</v>
      </c>
      <c r="W61" s="36">
        <f>+'11'!K14/1000</f>
        <v>1.1279999999999999</v>
      </c>
      <c r="X61" s="37"/>
      <c r="Y61" s="210"/>
      <c r="Z61" s="36"/>
      <c r="AA61" s="36"/>
      <c r="AB61" s="36"/>
      <c r="AC61" s="36">
        <f t="shared" ref="AC61" si="173">K61-T61</f>
        <v>6.8873099999999354E-2</v>
      </c>
      <c r="AD61" s="36">
        <f>+AM61+BA61</f>
        <v>0</v>
      </c>
      <c r="AE61" s="229" t="s">
        <v>283</v>
      </c>
      <c r="AF61" s="36"/>
      <c r="AG61" s="36">
        <v>0</v>
      </c>
      <c r="AH61" s="36"/>
      <c r="AI61" s="500"/>
      <c r="AJ61" s="36"/>
      <c r="AK61" s="36"/>
      <c r="AL61" s="36"/>
      <c r="AM61" s="36">
        <f t="shared" si="163"/>
        <v>0</v>
      </c>
      <c r="AN61" s="82"/>
      <c r="AO61" s="36"/>
      <c r="AP61" s="36"/>
      <c r="AQ61" s="36"/>
      <c r="AR61" s="36">
        <f t="shared" ref="AR61:AR62" si="174">SUM(AN61:AQ61)</f>
        <v>0</v>
      </c>
      <c r="AS61" s="36"/>
      <c r="AT61" s="36"/>
      <c r="AU61" s="36"/>
      <c r="AV61" s="36"/>
      <c r="AW61" s="36"/>
      <c r="AX61" s="36"/>
      <c r="AY61" s="36"/>
      <c r="AZ61" s="36"/>
      <c r="BA61" s="36">
        <f>+AR61+AS61+AU61+AW61+AY61+AZ61</f>
        <v>0</v>
      </c>
      <c r="BB61" s="49"/>
      <c r="BC61" s="50">
        <v>0</v>
      </c>
      <c r="BD61" s="50"/>
      <c r="BE61" s="49"/>
      <c r="BF61" s="50"/>
    </row>
    <row r="62" spans="1:58" ht="12.95" customHeight="1">
      <c r="A62" s="39"/>
      <c r="B62" s="40"/>
      <c r="C62" s="413"/>
      <c r="D62" s="40"/>
      <c r="E62" s="41"/>
      <c r="F62" s="41"/>
      <c r="G62" s="497"/>
      <c r="H62" s="43"/>
      <c r="I62" s="44"/>
      <c r="J62" s="81"/>
      <c r="K62" s="81"/>
      <c r="L62" s="34"/>
      <c r="M62" s="34"/>
      <c r="N62" s="45"/>
      <c r="O62" s="46"/>
      <c r="P62" s="47"/>
      <c r="Q62" s="46"/>
      <c r="R62" s="498"/>
      <c r="S62" s="498"/>
      <c r="T62" s="36"/>
      <c r="U62" s="36"/>
      <c r="V62" s="36"/>
      <c r="W62" s="36"/>
      <c r="X62" s="37"/>
      <c r="Y62" s="210"/>
      <c r="Z62" s="36"/>
      <c r="AA62" s="36"/>
      <c r="AB62" s="36"/>
      <c r="AC62" s="36"/>
      <c r="AD62" s="36">
        <f>+AM62+BA62</f>
        <v>53</v>
      </c>
      <c r="AE62" s="229" t="s">
        <v>553</v>
      </c>
      <c r="AF62" s="32"/>
      <c r="AG62" s="32"/>
      <c r="AH62" s="32">
        <v>53</v>
      </c>
      <c r="AJ62" s="36"/>
      <c r="AK62" s="36"/>
      <c r="AL62" s="36"/>
      <c r="AM62" s="36">
        <f t="shared" si="163"/>
        <v>53</v>
      </c>
      <c r="AN62" s="36"/>
      <c r="AO62" s="36"/>
      <c r="AP62" s="36"/>
      <c r="AQ62" s="36"/>
      <c r="AR62" s="36">
        <f t="shared" si="174"/>
        <v>0</v>
      </c>
      <c r="AS62" s="36"/>
      <c r="AT62" s="36"/>
      <c r="AU62" s="36"/>
      <c r="AV62" s="36"/>
      <c r="AW62" s="36"/>
      <c r="AX62" s="36"/>
      <c r="AY62" s="36"/>
      <c r="AZ62" s="36"/>
      <c r="BA62" s="36">
        <f>+AR62+AS62+AU62+AW62+AY62+AZ62</f>
        <v>0</v>
      </c>
      <c r="BB62" s="32"/>
      <c r="BC62" s="501"/>
      <c r="BD62" s="501"/>
      <c r="BE62" s="32"/>
      <c r="BF62" s="501"/>
    </row>
    <row r="63" spans="1:58" ht="13.5" customHeight="1">
      <c r="A63" s="39"/>
      <c r="B63" s="40"/>
      <c r="C63" s="413"/>
      <c r="D63" s="40"/>
      <c r="E63" s="41"/>
      <c r="F63" s="41"/>
      <c r="G63" s="497"/>
      <c r="H63" s="43"/>
      <c r="I63" s="44"/>
      <c r="J63" s="81"/>
      <c r="K63" s="81"/>
      <c r="L63" s="34"/>
      <c r="M63" s="34"/>
      <c r="N63" s="45"/>
      <c r="O63" s="46"/>
      <c r="P63" s="47"/>
      <c r="Q63" s="46"/>
      <c r="R63" s="498"/>
      <c r="S63" s="498"/>
      <c r="T63" s="36"/>
      <c r="U63" s="36"/>
      <c r="V63" s="36"/>
      <c r="W63" s="36"/>
      <c r="X63" s="499"/>
      <c r="Y63" s="210"/>
      <c r="Z63" s="36"/>
      <c r="AA63" s="48"/>
      <c r="AB63" s="48"/>
      <c r="AC63" s="36"/>
      <c r="AD63" s="36"/>
      <c r="AE63" s="229"/>
      <c r="AF63" s="36"/>
      <c r="AG63" s="36"/>
      <c r="AH63" s="36"/>
      <c r="AI63" s="500"/>
      <c r="AJ63" s="36"/>
      <c r="AK63" s="36"/>
      <c r="AL63" s="36"/>
      <c r="AM63" s="36"/>
      <c r="AN63" s="36"/>
      <c r="AO63" s="36"/>
      <c r="AP63" s="36"/>
      <c r="AQ63" s="36"/>
      <c r="AR63" s="36"/>
      <c r="AS63" s="36"/>
      <c r="AT63" s="36"/>
      <c r="AU63" s="36"/>
      <c r="AV63" s="36"/>
      <c r="AW63" s="36"/>
      <c r="AX63" s="36"/>
      <c r="AY63" s="36"/>
      <c r="AZ63" s="36"/>
      <c r="BA63" s="36"/>
      <c r="BB63" s="32"/>
      <c r="BC63" s="50"/>
      <c r="BD63" s="50"/>
      <c r="BE63" s="50"/>
      <c r="BF63" s="50"/>
    </row>
    <row r="64" spans="1:58" ht="12.75" customHeight="1">
      <c r="A64" s="39">
        <v>46093</v>
      </c>
      <c r="B64" s="40" t="s">
        <v>7</v>
      </c>
      <c r="C64" s="413">
        <f t="shared" ref="C64:C66" si="175">(M64*E64*O64*Q64)/100000000</f>
        <v>9.0441900000000004</v>
      </c>
      <c r="D64" s="40" t="s">
        <v>301</v>
      </c>
      <c r="E64" s="41">
        <v>12.5</v>
      </c>
      <c r="F64" s="41">
        <v>1</v>
      </c>
      <c r="G64" s="497">
        <v>1230</v>
      </c>
      <c r="H64" s="43">
        <f t="shared" ref="H64:H66" si="176">+N64</f>
        <v>0.24</v>
      </c>
      <c r="I64" s="44">
        <v>0.88</v>
      </c>
      <c r="J64" s="81">
        <f t="shared" ref="J64:J66" si="177">E64*G64*(1-H64)*1440/1000000*2.74</f>
        <v>46.104336000000004</v>
      </c>
      <c r="K64" s="81">
        <f t="shared" ref="K64:K66" si="178">(IF(G64&lt;L64,L64,G64)*(1-IF(H64&lt;N64,H64,N64))*E64*O64*Q64)/100000000</f>
        <v>9.0441900000000004</v>
      </c>
      <c r="L64" s="34">
        <v>1230</v>
      </c>
      <c r="M64" s="34">
        <v>934.8</v>
      </c>
      <c r="N64" s="45">
        <f t="shared" ref="N64:N66" si="179">1-(M64/L64)</f>
        <v>0.24</v>
      </c>
      <c r="O64" s="46">
        <f>+'Trim Rwd'!H41</f>
        <v>258</v>
      </c>
      <c r="P64" s="47">
        <f t="shared" ref="P64:P66" si="180">O64*(Q64-R64-S64)</f>
        <v>72240</v>
      </c>
      <c r="Q64" s="46">
        <v>300</v>
      </c>
      <c r="R64" s="498">
        <v>0</v>
      </c>
      <c r="S64" s="498">
        <v>20</v>
      </c>
      <c r="T64" s="36">
        <f t="shared" ref="T64:T66" si="181">E64*M64*O64*Q64/100000000</f>
        <v>9.0441900000000004</v>
      </c>
      <c r="U64" s="36">
        <f t="shared" ref="U64:U66" si="182">E64*M64*O64*(Q64-R64-S64)/100000000</f>
        <v>8.4412439999999993</v>
      </c>
      <c r="V64" s="36">
        <f t="shared" ref="V64:V66" si="183">E64*G64*(1-N64)*O64/100*(R64+S64)/1000000</f>
        <v>0.60294599999999998</v>
      </c>
      <c r="W64" s="36">
        <f>+'12'!K14/1000</f>
        <v>9.0039999999999996</v>
      </c>
      <c r="X64" s="499">
        <f>SUM(W64:W67)/SUM(K64:K67)</f>
        <v>0.8757876997863191</v>
      </c>
      <c r="Y64" s="210">
        <v>0</v>
      </c>
      <c r="Z64" s="36">
        <f>+'12'!D7/1000</f>
        <v>0.25</v>
      </c>
      <c r="AA64" s="48">
        <f>SUM(U64:U67)-SUM(W64:W67)-SUM(Z64:Z67)-SUM(Y64:Y67)</f>
        <v>2.0185818393947144</v>
      </c>
      <c r="AB64" s="48">
        <f>(SUM(K64:K67)-SUM(W64:W67)-SUM(Y64:Y67)-SUM(Z64:Z67)-SUM(AC64:AC67)-SUM(V64:V67))-AA64</f>
        <v>-3.1774906702409123E-2</v>
      </c>
      <c r="AC64" s="36">
        <f>K64-T64</f>
        <v>0</v>
      </c>
      <c r="AD64" s="36">
        <f>+AM64+BA64</f>
        <v>28</v>
      </c>
      <c r="AE64" s="229" t="s">
        <v>621</v>
      </c>
      <c r="AF64" s="36">
        <v>28</v>
      </c>
      <c r="AG64" s="36"/>
      <c r="AH64" s="36"/>
      <c r="AI64" s="500"/>
      <c r="AJ64" s="36"/>
      <c r="AK64" s="36"/>
      <c r="AL64" s="36"/>
      <c r="AM64" s="36">
        <f t="shared" ref="AM64:AM66" si="184">SUM(AF64:AL64)+AT64+AV64+AX64</f>
        <v>28</v>
      </c>
      <c r="AN64" s="36"/>
      <c r="AO64" s="36"/>
      <c r="AP64" s="36"/>
      <c r="AQ64" s="36"/>
      <c r="AR64" s="36">
        <f>SUM(AN64:AQ64)</f>
        <v>0</v>
      </c>
      <c r="AS64" s="36"/>
      <c r="AT64" s="36"/>
      <c r="AU64" s="36"/>
      <c r="AV64" s="36"/>
      <c r="AW64" s="36"/>
      <c r="AX64" s="36"/>
      <c r="AY64" s="36"/>
      <c r="AZ64" s="36"/>
      <c r="BA64" s="36">
        <f>+AR64+AS64+AU64+AW64+AY64+AZ64</f>
        <v>0</v>
      </c>
      <c r="BB64" s="32">
        <v>9</v>
      </c>
      <c r="BC64" s="50"/>
      <c r="BD64" s="50"/>
      <c r="BE64" s="32"/>
      <c r="BF64" s="50"/>
    </row>
    <row r="65" spans="1:58" ht="12.95" customHeight="1">
      <c r="A65" s="39"/>
      <c r="B65" s="40" t="s">
        <v>7</v>
      </c>
      <c r="C65" s="413">
        <f t="shared" si="175"/>
        <v>25.173671599999999</v>
      </c>
      <c r="D65" s="40" t="s">
        <v>301</v>
      </c>
      <c r="E65" s="41">
        <v>14</v>
      </c>
      <c r="F65" s="41">
        <v>1</v>
      </c>
      <c r="G65" s="497">
        <f>+L65</f>
        <v>1180</v>
      </c>
      <c r="H65" s="43">
        <f t="shared" si="176"/>
        <v>0.27754889178617992</v>
      </c>
      <c r="I65" s="44">
        <v>0.88</v>
      </c>
      <c r="J65" s="81">
        <f t="shared" si="177"/>
        <v>47.090311089230774</v>
      </c>
      <c r="K65" s="81">
        <f t="shared" si="178"/>
        <v>25.173671599999999</v>
      </c>
      <c r="L65" s="34">
        <v>1180</v>
      </c>
      <c r="M65" s="34">
        <v>852.49230769230769</v>
      </c>
      <c r="N65" s="45">
        <f t="shared" si="179"/>
        <v>0.27754889178617992</v>
      </c>
      <c r="O65" s="46">
        <f>+'Trim Rwd'!H42</f>
        <v>275</v>
      </c>
      <c r="P65" s="47">
        <f t="shared" si="180"/>
        <v>197175</v>
      </c>
      <c r="Q65" s="46">
        <v>767</v>
      </c>
      <c r="R65" s="498">
        <v>0</v>
      </c>
      <c r="S65" s="498">
        <v>50</v>
      </c>
      <c r="T65" s="36">
        <f t="shared" si="181"/>
        <v>25.173671599999999</v>
      </c>
      <c r="U65" s="36">
        <f t="shared" si="182"/>
        <v>23.532623907692308</v>
      </c>
      <c r="V65" s="36">
        <f t="shared" si="183"/>
        <v>1.6410476923076922</v>
      </c>
      <c r="W65" s="36">
        <f>+'12'!K8/1000</f>
        <v>19.27</v>
      </c>
      <c r="X65" s="37"/>
      <c r="Y65" s="210"/>
      <c r="Z65" s="36">
        <f>+'12'!D8/1000</f>
        <v>3.5999999999999997E-2</v>
      </c>
      <c r="AA65" s="36"/>
      <c r="AB65" s="36"/>
      <c r="AC65" s="36">
        <f t="shared" ref="AC65:AC66" si="185">K65-T65</f>
        <v>0</v>
      </c>
      <c r="AD65" s="36">
        <f>+AM65+BA65</f>
        <v>0</v>
      </c>
      <c r="AE65" s="229" t="s">
        <v>283</v>
      </c>
      <c r="AF65" s="36"/>
      <c r="AG65" s="36">
        <v>0</v>
      </c>
      <c r="AH65" s="36"/>
      <c r="AI65" s="500"/>
      <c r="AJ65" s="36"/>
      <c r="AK65" s="36"/>
      <c r="AL65" s="36"/>
      <c r="AM65" s="36">
        <f t="shared" si="184"/>
        <v>0</v>
      </c>
      <c r="AN65" s="82"/>
      <c r="AO65" s="36"/>
      <c r="AP65" s="36"/>
      <c r="AQ65" s="36"/>
      <c r="AR65" s="36">
        <f t="shared" ref="AR65:AR66" si="186">SUM(AN65:AQ65)</f>
        <v>0</v>
      </c>
      <c r="AS65" s="36"/>
      <c r="AT65" s="36"/>
      <c r="AU65" s="36"/>
      <c r="AV65" s="36"/>
      <c r="AW65" s="36"/>
      <c r="AX65" s="36"/>
      <c r="AY65" s="36"/>
      <c r="AZ65" s="36"/>
      <c r="BA65" s="36">
        <f>+AR65+AS65+AU65+AW65+AY65+AZ65</f>
        <v>0</v>
      </c>
      <c r="BB65" s="49"/>
      <c r="BC65" s="50">
        <v>0</v>
      </c>
      <c r="BD65" s="50"/>
      <c r="BE65" s="49"/>
      <c r="BF65" s="50"/>
    </row>
    <row r="66" spans="1:58" ht="12.95" customHeight="1">
      <c r="A66" s="39"/>
      <c r="B66" s="40" t="s">
        <v>551</v>
      </c>
      <c r="C66" s="413">
        <f t="shared" si="175"/>
        <v>11.577490924999999</v>
      </c>
      <c r="D66" s="40" t="s">
        <v>301</v>
      </c>
      <c r="E66" s="41">
        <v>13</v>
      </c>
      <c r="F66" s="41">
        <v>1</v>
      </c>
      <c r="G66" s="497">
        <v>1230</v>
      </c>
      <c r="H66" s="43">
        <f t="shared" si="176"/>
        <v>0.22999999999999998</v>
      </c>
      <c r="I66" s="44">
        <v>0.88</v>
      </c>
      <c r="J66" s="81">
        <f t="shared" si="177"/>
        <v>48.579410880000005</v>
      </c>
      <c r="K66" s="81">
        <f t="shared" si="178"/>
        <v>12.170092935000003</v>
      </c>
      <c r="L66" s="34">
        <v>1170.1072386058981</v>
      </c>
      <c r="M66" s="34">
        <v>900.98257372654155</v>
      </c>
      <c r="N66" s="45">
        <f t="shared" si="179"/>
        <v>0.22999999999999998</v>
      </c>
      <c r="O66" s="46">
        <f>+'Trim Rwd'!H43</f>
        <v>265</v>
      </c>
      <c r="P66" s="47">
        <f t="shared" si="180"/>
        <v>93545</v>
      </c>
      <c r="Q66" s="46">
        <v>373</v>
      </c>
      <c r="R66" s="498">
        <v>0</v>
      </c>
      <c r="S66" s="498">
        <v>20</v>
      </c>
      <c r="T66" s="36">
        <f t="shared" si="181"/>
        <v>11.577490924999999</v>
      </c>
      <c r="U66" s="36">
        <f t="shared" si="182"/>
        <v>10.956713931702414</v>
      </c>
      <c r="V66" s="36">
        <f t="shared" si="183"/>
        <v>0.65255190000000018</v>
      </c>
      <c r="W66" s="36">
        <f>+'12'!K15/1000</f>
        <v>12.352</v>
      </c>
      <c r="X66" s="37"/>
      <c r="Y66" s="210"/>
      <c r="Z66" s="36"/>
      <c r="AA66" s="36"/>
      <c r="AB66" s="36"/>
      <c r="AC66" s="36">
        <f t="shared" si="185"/>
        <v>0.59260201000000379</v>
      </c>
      <c r="AD66" s="36">
        <f>+AM66+BA66</f>
        <v>62</v>
      </c>
      <c r="AE66" s="229" t="s">
        <v>604</v>
      </c>
      <c r="AF66" s="32"/>
      <c r="AG66" s="32"/>
      <c r="AH66" s="32">
        <v>62</v>
      </c>
      <c r="AJ66" s="36"/>
      <c r="AK66" s="36"/>
      <c r="AL66" s="36"/>
      <c r="AM66" s="36">
        <f t="shared" si="184"/>
        <v>62</v>
      </c>
      <c r="AN66" s="36"/>
      <c r="AO66" s="36"/>
      <c r="AP66" s="36"/>
      <c r="AQ66" s="36"/>
      <c r="AR66" s="36">
        <f t="shared" si="186"/>
        <v>0</v>
      </c>
      <c r="AS66" s="36"/>
      <c r="AT66" s="36"/>
      <c r="AU66" s="36"/>
      <c r="AV66" s="36"/>
      <c r="AW66" s="36"/>
      <c r="AX66" s="36"/>
      <c r="AY66" s="36"/>
      <c r="AZ66" s="36"/>
      <c r="BA66" s="36">
        <f>+AR66+AS66+AU66+AW66+AY66+AZ66</f>
        <v>0</v>
      </c>
      <c r="BB66" s="32"/>
      <c r="BC66" s="501"/>
      <c r="BD66" s="501"/>
      <c r="BE66" s="32"/>
      <c r="BF66" s="501"/>
    </row>
    <row r="67" spans="1:58" ht="13.5" customHeight="1">
      <c r="A67" s="39"/>
      <c r="B67" s="40"/>
      <c r="C67" s="413"/>
      <c r="D67" s="40"/>
      <c r="E67" s="41"/>
      <c r="F67" s="41"/>
      <c r="G67" s="497"/>
      <c r="H67" s="43"/>
      <c r="I67" s="44"/>
      <c r="J67" s="81"/>
      <c r="K67" s="81"/>
      <c r="L67" s="34"/>
      <c r="M67" s="34"/>
      <c r="N67" s="45"/>
      <c r="O67" s="46"/>
      <c r="P67" s="47"/>
      <c r="Q67" s="46"/>
      <c r="R67" s="498"/>
      <c r="S67" s="498"/>
      <c r="T67" s="36"/>
      <c r="U67" s="36"/>
      <c r="V67" s="36"/>
      <c r="W67" s="36"/>
      <c r="X67" s="499"/>
      <c r="Y67" s="210"/>
      <c r="Z67" s="36"/>
      <c r="AA67" s="48"/>
      <c r="AB67" s="48"/>
      <c r="AC67" s="36"/>
      <c r="AD67" s="36"/>
      <c r="AE67" s="229"/>
      <c r="AF67" s="36"/>
      <c r="AG67" s="36"/>
      <c r="AH67" s="36"/>
      <c r="AI67" s="500"/>
      <c r="AJ67" s="36"/>
      <c r="AK67" s="36"/>
      <c r="AL67" s="36"/>
      <c r="AM67" s="36"/>
      <c r="AN67" s="36"/>
      <c r="AO67" s="36"/>
      <c r="AP67" s="36"/>
      <c r="AQ67" s="36"/>
      <c r="AR67" s="36"/>
      <c r="AS67" s="36"/>
      <c r="AT67" s="36"/>
      <c r="AU67" s="36"/>
      <c r="AV67" s="36"/>
      <c r="AW67" s="36"/>
      <c r="AX67" s="36"/>
      <c r="AY67" s="36"/>
      <c r="AZ67" s="36"/>
      <c r="BA67" s="36"/>
      <c r="BB67" s="32"/>
      <c r="BC67" s="50"/>
      <c r="BD67" s="50"/>
      <c r="BE67" s="50"/>
      <c r="BF67" s="50"/>
    </row>
    <row r="68" spans="1:58" ht="12.75" customHeight="1">
      <c r="A68" s="39">
        <v>46094</v>
      </c>
      <c r="B68" s="40" t="s">
        <v>551</v>
      </c>
      <c r="C68" s="413">
        <f t="shared" ref="C68" si="187">(M68*E68*O68*Q68)/100000000</f>
        <v>1.4397926400000001</v>
      </c>
      <c r="D68" s="40" t="s">
        <v>301</v>
      </c>
      <c r="E68" s="41">
        <v>13</v>
      </c>
      <c r="F68" s="41">
        <v>1</v>
      </c>
      <c r="G68" s="497">
        <v>1230</v>
      </c>
      <c r="H68" s="43">
        <f t="shared" ref="H68" si="188">+N68</f>
        <v>0.24</v>
      </c>
      <c r="I68" s="44">
        <v>0.88</v>
      </c>
      <c r="J68" s="81">
        <f t="shared" ref="J68" si="189">E68*G68*(1-H68)*1440/1000000*2.74</f>
        <v>47.948509440000002</v>
      </c>
      <c r="K68" s="81">
        <f t="shared" ref="K68" si="190">(IF(G68&lt;L68,L68,G68)*(1-IF(H68&lt;N68,H68,N68))*E68*O68*Q68)/100000000</f>
        <v>1.4757874559999999</v>
      </c>
      <c r="L68" s="34">
        <v>1200</v>
      </c>
      <c r="M68" s="34">
        <v>912</v>
      </c>
      <c r="N68" s="45">
        <f t="shared" ref="N68" si="191">1-(M68/L68)</f>
        <v>0.24</v>
      </c>
      <c r="O68" s="46">
        <f>+'Trim Rwd'!H46</f>
        <v>264</v>
      </c>
      <c r="P68" s="47">
        <f t="shared" ref="P68" si="192">O68*(Q68-R68-S68)</f>
        <v>9240</v>
      </c>
      <c r="Q68" s="46">
        <v>46</v>
      </c>
      <c r="R68" s="498">
        <v>0</v>
      </c>
      <c r="S68" s="498">
        <v>11</v>
      </c>
      <c r="T68" s="36">
        <f t="shared" ref="T68" si="193">E68*M68*O68*Q68/100000000</f>
        <v>1.4397926400000001</v>
      </c>
      <c r="U68" s="36">
        <f t="shared" ref="U68" si="194">E68*M68*O68*(Q68-R68-S68)/100000000</f>
        <v>1.0954944</v>
      </c>
      <c r="V68" s="36">
        <f t="shared" ref="V68" si="195">E68*G68*(1-N68)*O68/100*(R68+S68)/1000000</f>
        <v>0.35290569599999999</v>
      </c>
      <c r="W68" s="36">
        <f>+'13'!K15/1000</f>
        <v>3.903</v>
      </c>
      <c r="X68" s="499">
        <f>SUM(W68:W71)/SUM(K68:K71)</f>
        <v>0.88488626416255767</v>
      </c>
      <c r="Y68" s="210">
        <v>0</v>
      </c>
      <c r="Z68" s="36">
        <v>0</v>
      </c>
      <c r="AA68" s="48">
        <f>SUM(U68:U71)-SUM(W68:W71)-SUM(Z68:Z71)-SUM(Y68:Y71)</f>
        <v>1.6300061474892402</v>
      </c>
      <c r="AB68" s="48">
        <f>(SUM(K68:K71)-SUM(W68:W71)-SUM(Y68:Y71)-SUM(Z68:Z71)-SUM(AC68:AC71)-SUM(V68:V71))-AA68</f>
        <v>-6.3377307385338533E-2</v>
      </c>
      <c r="AC68" s="36">
        <f>K68-T68</f>
        <v>3.5994815999999874E-2</v>
      </c>
      <c r="AD68" s="36">
        <f>+AM68+BA68</f>
        <v>6</v>
      </c>
      <c r="AE68" s="229" t="s">
        <v>412</v>
      </c>
      <c r="AF68" s="36">
        <v>6</v>
      </c>
      <c r="AG68" s="36"/>
      <c r="AH68" s="36"/>
      <c r="AI68" s="500"/>
      <c r="AJ68" s="36"/>
      <c r="AK68" s="36"/>
      <c r="AL68" s="36"/>
      <c r="AM68" s="36">
        <f t="shared" ref="AM68:AM70" si="196">SUM(AF68:AL68)+AT68+AV68+AX68</f>
        <v>6</v>
      </c>
      <c r="AN68" s="36"/>
      <c r="AO68" s="36"/>
      <c r="AP68" s="36"/>
      <c r="AQ68" s="36"/>
      <c r="AR68" s="36">
        <f>SUM(AN68:AQ68)</f>
        <v>0</v>
      </c>
      <c r="AS68" s="36"/>
      <c r="AT68" s="36"/>
      <c r="AU68" s="36"/>
      <c r="AV68" s="36"/>
      <c r="AW68" s="36"/>
      <c r="AX68" s="36"/>
      <c r="AY68" s="36"/>
      <c r="AZ68" s="36"/>
      <c r="BA68" s="36">
        <f>+AR68+AS68+AU68+AW68+AY68+AZ68</f>
        <v>0</v>
      </c>
      <c r="BB68" s="32">
        <v>3</v>
      </c>
      <c r="BC68" s="50"/>
      <c r="BD68" s="50"/>
      <c r="BE68" s="32"/>
      <c r="BF68" s="50"/>
    </row>
    <row r="69" spans="1:58" ht="12.95" customHeight="1">
      <c r="A69" s="39"/>
      <c r="B69" s="40" t="s">
        <v>551</v>
      </c>
      <c r="C69" s="413">
        <f t="shared" ref="C69" si="197">(M69*E69*O69*Q69)/100000000</f>
        <v>41.159064000000008</v>
      </c>
      <c r="D69" s="40" t="s">
        <v>301</v>
      </c>
      <c r="E69" s="41">
        <v>12.5</v>
      </c>
      <c r="F69" s="41">
        <v>1</v>
      </c>
      <c r="G69" s="497">
        <v>1230</v>
      </c>
      <c r="H69" s="43">
        <f t="shared" ref="H69" si="198">+N69</f>
        <v>0.22966810966810958</v>
      </c>
      <c r="I69" s="44">
        <v>0.88</v>
      </c>
      <c r="J69" s="81">
        <f t="shared" ref="J69" si="199">E69*G69*(1-H69)*1440/1000000*2.74</f>
        <v>46.731105662337669</v>
      </c>
      <c r="K69" s="81">
        <f t="shared" ref="K69" si="200">(IF(G69&lt;L69,L69,G69)*(1-IF(H69&lt;N69,H69,N69))*E69*O69*Q69)/100000000</f>
        <v>42.431550213852823</v>
      </c>
      <c r="L69" s="34">
        <v>1193.1133428981348</v>
      </c>
      <c r="M69" s="34">
        <v>919.09325681492112</v>
      </c>
      <c r="N69" s="45">
        <f t="shared" ref="N69" si="201">1-(M69/L69)</f>
        <v>0.22966810966810958</v>
      </c>
      <c r="O69" s="46">
        <f>+'Trim Rwd'!H47</f>
        <v>257</v>
      </c>
      <c r="P69" s="47">
        <f t="shared" ref="P69" si="202">O69*(Q69-R69-S69)</f>
        <v>342838</v>
      </c>
      <c r="Q69" s="46">
        <v>1394</v>
      </c>
      <c r="R69" s="498">
        <v>0</v>
      </c>
      <c r="S69" s="498">
        <v>60</v>
      </c>
      <c r="T69" s="36">
        <f t="shared" ref="T69" si="203">E69*M69*O69*Q69/100000000</f>
        <v>41.159064000000008</v>
      </c>
      <c r="U69" s="36">
        <f t="shared" ref="U69" si="204">E69*M69*O69*(Q69-R69-S69)/100000000</f>
        <v>39.387511747489242</v>
      </c>
      <c r="V69" s="36">
        <f t="shared" ref="V69" si="205">E69*G69*(1-N69)*O69/100*(R69+S69)/1000000</f>
        <v>1.8263221038961039</v>
      </c>
      <c r="W69" s="36">
        <f>+'13'!K16/1000</f>
        <v>34.950000000000003</v>
      </c>
      <c r="X69" s="37"/>
      <c r="Y69" s="210"/>
      <c r="Z69" s="36"/>
      <c r="AA69" s="36"/>
      <c r="AB69" s="36"/>
      <c r="AC69" s="36">
        <f t="shared" ref="AC69:AC70" si="206">K69-T69</f>
        <v>1.2724862138528152</v>
      </c>
      <c r="AD69" s="36">
        <f>+AM69+BA69</f>
        <v>21</v>
      </c>
      <c r="AE69" s="229" t="s">
        <v>620</v>
      </c>
      <c r="AF69" s="36"/>
      <c r="AG69" s="36">
        <v>21</v>
      </c>
      <c r="AH69" s="36"/>
      <c r="AI69" s="500"/>
      <c r="AJ69" s="36"/>
      <c r="AK69" s="36"/>
      <c r="AL69" s="36"/>
      <c r="AM69" s="36">
        <f t="shared" si="196"/>
        <v>21</v>
      </c>
      <c r="AN69" s="82"/>
      <c r="AO69" s="36"/>
      <c r="AP69" s="36"/>
      <c r="AQ69" s="36"/>
      <c r="AR69" s="36">
        <f t="shared" ref="AR69:AR70" si="207">SUM(AN69:AQ69)</f>
        <v>0</v>
      </c>
      <c r="AS69" s="36"/>
      <c r="AT69" s="36"/>
      <c r="AU69" s="36"/>
      <c r="AV69" s="36"/>
      <c r="AW69" s="36"/>
      <c r="AX69" s="36"/>
      <c r="AY69" s="36"/>
      <c r="AZ69" s="36"/>
      <c r="BA69" s="36">
        <f>+AR69+AS69+AU69+AW69+AY69+AZ69</f>
        <v>0</v>
      </c>
      <c r="BB69" s="49"/>
      <c r="BC69" s="50">
        <v>8</v>
      </c>
      <c r="BD69" s="50"/>
      <c r="BE69" s="49"/>
      <c r="BF69" s="50"/>
    </row>
    <row r="70" spans="1:58" ht="12.95" customHeight="1">
      <c r="A70" s="39"/>
      <c r="B70" s="40"/>
      <c r="C70" s="413"/>
      <c r="D70" s="40"/>
      <c r="E70" s="41"/>
      <c r="F70" s="41"/>
      <c r="G70" s="497"/>
      <c r="H70" s="43"/>
      <c r="I70" s="44"/>
      <c r="J70" s="81"/>
      <c r="K70" s="81"/>
      <c r="L70" s="34"/>
      <c r="M70" s="34"/>
      <c r="N70" s="45"/>
      <c r="O70" s="46"/>
      <c r="P70" s="47"/>
      <c r="Q70" s="46"/>
      <c r="R70" s="498"/>
      <c r="S70" s="498"/>
      <c r="T70" s="36"/>
      <c r="U70" s="36"/>
      <c r="V70" s="36"/>
      <c r="W70" s="36"/>
      <c r="X70" s="37"/>
      <c r="Y70" s="210"/>
      <c r="Z70" s="36"/>
      <c r="AA70" s="36"/>
      <c r="AB70" s="36"/>
      <c r="AC70" s="36">
        <f t="shared" si="206"/>
        <v>0</v>
      </c>
      <c r="AD70" s="36">
        <f>+AM70+BA70</f>
        <v>44</v>
      </c>
      <c r="AE70" s="229" t="s">
        <v>573</v>
      </c>
      <c r="AF70" s="32"/>
      <c r="AG70" s="32"/>
      <c r="AH70" s="32">
        <v>44</v>
      </c>
      <c r="AJ70" s="36"/>
      <c r="AK70" s="36"/>
      <c r="AL70" s="36"/>
      <c r="AM70" s="36">
        <f t="shared" si="196"/>
        <v>44</v>
      </c>
      <c r="AN70" s="36"/>
      <c r="AO70" s="36"/>
      <c r="AP70" s="36"/>
      <c r="AQ70" s="36"/>
      <c r="AR70" s="36">
        <f t="shared" si="207"/>
        <v>0</v>
      </c>
      <c r="AS70" s="36"/>
      <c r="AT70" s="36"/>
      <c r="AU70" s="36"/>
      <c r="AV70" s="36"/>
      <c r="AW70" s="36"/>
      <c r="AX70" s="36"/>
      <c r="AY70" s="36"/>
      <c r="AZ70" s="36"/>
      <c r="BA70" s="36">
        <f>+AR70+AS70+AU70+AW70+AY70+AZ70</f>
        <v>0</v>
      </c>
      <c r="BB70" s="32"/>
      <c r="BC70" s="501"/>
      <c r="BD70" s="501"/>
      <c r="BE70" s="32"/>
      <c r="BF70" s="501"/>
    </row>
    <row r="71" spans="1:58" ht="12.95" customHeight="1">
      <c r="A71" s="39"/>
      <c r="B71" s="40"/>
      <c r="C71" s="413"/>
      <c r="D71" s="40"/>
      <c r="E71" s="41"/>
      <c r="F71" s="41"/>
      <c r="G71" s="42"/>
      <c r="H71" s="43"/>
      <c r="I71" s="44"/>
      <c r="J71" s="81"/>
      <c r="K71" s="81"/>
      <c r="L71" s="34"/>
      <c r="M71" s="34"/>
      <c r="N71" s="45"/>
      <c r="O71" s="46"/>
      <c r="P71" s="47"/>
      <c r="Q71" s="46"/>
      <c r="R71" s="498"/>
      <c r="S71" s="498"/>
      <c r="T71" s="36"/>
      <c r="U71" s="36"/>
      <c r="V71" s="36"/>
      <c r="W71" s="36"/>
      <c r="X71" s="37"/>
      <c r="Y71" s="210"/>
      <c r="Z71" s="36"/>
      <c r="AA71" s="36"/>
      <c r="AB71" s="36"/>
      <c r="AC71" s="36"/>
      <c r="AD71" s="36"/>
      <c r="AE71" s="229"/>
      <c r="AF71" s="32"/>
      <c r="AG71" s="32"/>
      <c r="AH71" s="32"/>
      <c r="AJ71" s="36"/>
      <c r="AK71" s="36"/>
      <c r="AL71" s="36"/>
      <c r="AM71" s="36"/>
      <c r="AN71" s="36"/>
      <c r="AO71" s="36"/>
      <c r="AP71" s="36"/>
      <c r="AQ71" s="36"/>
      <c r="AR71" s="36"/>
      <c r="AS71" s="36"/>
      <c r="AT71" s="36"/>
      <c r="AU71" s="36"/>
      <c r="AV71" s="36"/>
      <c r="AW71" s="36"/>
      <c r="AX71" s="36"/>
      <c r="AY71" s="36"/>
      <c r="AZ71" s="36"/>
      <c r="BA71" s="36"/>
      <c r="BB71" s="32"/>
      <c r="BC71" s="501"/>
      <c r="BD71" s="50"/>
      <c r="BE71" s="49"/>
      <c r="BF71" s="50"/>
    </row>
    <row r="72" spans="1:58" ht="12.75" customHeight="1">
      <c r="A72" s="39">
        <v>46095</v>
      </c>
      <c r="B72" s="40" t="s">
        <v>551</v>
      </c>
      <c r="C72" s="413">
        <f t="shared" ref="C72:C73" si="208">(M72*E72*O72*Q72)/100000000</f>
        <v>3.0648213749999993</v>
      </c>
      <c r="D72" s="40" t="s">
        <v>301</v>
      </c>
      <c r="E72" s="41">
        <v>12.5</v>
      </c>
      <c r="F72" s="41">
        <v>1</v>
      </c>
      <c r="G72" s="497">
        <v>1230</v>
      </c>
      <c r="H72" s="43">
        <f t="shared" ref="H72:H73" si="209">+N72</f>
        <v>0.23000000000000009</v>
      </c>
      <c r="I72" s="44">
        <v>0.88</v>
      </c>
      <c r="J72" s="81">
        <f t="shared" ref="J72:J73" si="210">E72*G72*(1-H72)*1440/1000000*2.74</f>
        <v>46.710971999999991</v>
      </c>
      <c r="K72" s="81">
        <f t="shared" ref="K72:K73" si="211">(IF(G72&lt;L72,L72,G72)*(1-IF(H72&lt;N72,H72,N72))*E72*O72*Q72)/100000000</f>
        <v>3.1946866874999995</v>
      </c>
      <c r="L72" s="34">
        <v>1180</v>
      </c>
      <c r="M72" s="34">
        <v>908.59999999999991</v>
      </c>
      <c r="N72" s="45">
        <f t="shared" ref="N72:N73" si="212">1-(M72/L72)</f>
        <v>0.23000000000000009</v>
      </c>
      <c r="O72" s="46">
        <f>+'Trim Rwd'!H50</f>
        <v>257</v>
      </c>
      <c r="P72" s="47">
        <f t="shared" ref="P72:P73" si="213">O72*(Q72-R72-S72)</f>
        <v>20560</v>
      </c>
      <c r="Q72" s="46">
        <v>105</v>
      </c>
      <c r="R72" s="498">
        <v>0</v>
      </c>
      <c r="S72" s="498">
        <v>25</v>
      </c>
      <c r="T72" s="36">
        <f t="shared" ref="T72:T73" si="214">E72*M72*O72*Q72/100000000</f>
        <v>3.0648213749999993</v>
      </c>
      <c r="U72" s="36">
        <f t="shared" ref="U72:U73" si="215">E72*M72*O72*(Q72-R72-S72)/100000000</f>
        <v>2.3351019999999996</v>
      </c>
      <c r="V72" s="36">
        <f t="shared" ref="V72:V73" si="216">E72*G72*(1-N72)*O72/100*(R72+S72)/1000000</f>
        <v>0.76063968749999988</v>
      </c>
      <c r="W72" s="36">
        <f>+'14'!K16/1000</f>
        <v>5.8780000000000001</v>
      </c>
      <c r="X72" s="499">
        <f>SUM(W72:W75)/SUM(K72:K75)</f>
        <v>0.85030075694254925</v>
      </c>
      <c r="Y72" s="210">
        <v>0</v>
      </c>
      <c r="Z72" s="36">
        <v>0</v>
      </c>
      <c r="AA72" s="48">
        <f>SUM(U72:U75)-SUM(W72:W75)-SUM(Z72:Z75)-SUM(Y72:Y75)</f>
        <v>1.7327379456719001</v>
      </c>
      <c r="AB72" s="48">
        <f>(SUM(K72:K75)-SUM(W72:W75)-SUM(Y72:Y75)-SUM(Z72:Z75)-SUM(AC72:AC75)-SUM(V72:V75))-AA72</f>
        <v>-0.15110958187518175</v>
      </c>
      <c r="AC72" s="36">
        <f>K72-T72</f>
        <v>0.12986531250000022</v>
      </c>
      <c r="AD72" s="36">
        <f>+AM72+BA72</f>
        <v>30</v>
      </c>
      <c r="AE72" s="229" t="s">
        <v>621</v>
      </c>
      <c r="AF72" s="36">
        <v>30</v>
      </c>
      <c r="AG72" s="36"/>
      <c r="AH72" s="36"/>
      <c r="AI72" s="500"/>
      <c r="AJ72" s="36"/>
      <c r="AK72" s="36"/>
      <c r="AL72" s="36"/>
      <c r="AM72" s="36">
        <f t="shared" ref="AM72:AM74" si="217">SUM(AF72:AL72)+AT72+AV72+AX72</f>
        <v>30</v>
      </c>
      <c r="AN72" s="36"/>
      <c r="AO72" s="36"/>
      <c r="AP72" s="36"/>
      <c r="AQ72" s="36"/>
      <c r="AR72" s="36">
        <f>SUM(AN72:AQ72)</f>
        <v>0</v>
      </c>
      <c r="AS72" s="36"/>
      <c r="AT72" s="36"/>
      <c r="AU72" s="36"/>
      <c r="AV72" s="36"/>
      <c r="AW72" s="36"/>
      <c r="AX72" s="36"/>
      <c r="AY72" s="36"/>
      <c r="AZ72" s="36"/>
      <c r="BA72" s="36">
        <f>+AR72+AS72+AU72+AW72+AY72+AZ72</f>
        <v>0</v>
      </c>
      <c r="BB72" s="32">
        <v>9</v>
      </c>
      <c r="BC72" s="50"/>
      <c r="BD72" s="50"/>
      <c r="BE72" s="32"/>
      <c r="BF72" s="50"/>
    </row>
    <row r="73" spans="1:58" ht="12.95" customHeight="1">
      <c r="A73" s="39"/>
      <c r="B73" s="40" t="s">
        <v>551</v>
      </c>
      <c r="C73" s="413">
        <f t="shared" si="208"/>
        <v>41.918826455999991</v>
      </c>
      <c r="D73" s="40" t="s">
        <v>301</v>
      </c>
      <c r="E73" s="41">
        <v>13</v>
      </c>
      <c r="F73" s="41">
        <v>1</v>
      </c>
      <c r="G73" s="497">
        <v>1230</v>
      </c>
      <c r="H73" s="43">
        <f t="shared" si="209"/>
        <v>0.19427472696508241</v>
      </c>
      <c r="I73" s="44">
        <v>0.88</v>
      </c>
      <c r="J73" s="81">
        <f t="shared" si="210"/>
        <v>50.833323500212273</v>
      </c>
      <c r="K73" s="81">
        <f t="shared" si="211"/>
        <v>44.116808300053066</v>
      </c>
      <c r="L73" s="34">
        <v>1168.7191011235955</v>
      </c>
      <c r="M73" s="34">
        <v>941.66651685393242</v>
      </c>
      <c r="N73" s="45">
        <f t="shared" si="212"/>
        <v>0.19427472696508241</v>
      </c>
      <c r="O73" s="46">
        <f>+'Trim Rwd'!H49</f>
        <v>256.5</v>
      </c>
      <c r="P73" s="47">
        <f t="shared" si="213"/>
        <v>323703</v>
      </c>
      <c r="Q73" s="46">
        <v>1335</v>
      </c>
      <c r="R73" s="498">
        <v>0</v>
      </c>
      <c r="S73" s="498">
        <f>98-S72</f>
        <v>73</v>
      </c>
      <c r="T73" s="36">
        <f t="shared" si="214"/>
        <v>41.918826455999991</v>
      </c>
      <c r="U73" s="36">
        <f t="shared" si="215"/>
        <v>39.6266359456719</v>
      </c>
      <c r="V73" s="36">
        <f t="shared" si="216"/>
        <v>2.4123797797032762</v>
      </c>
      <c r="W73" s="36">
        <f>+'14'!K15/1000</f>
        <v>34.350999999999999</v>
      </c>
      <c r="X73" s="37"/>
      <c r="Y73" s="210"/>
      <c r="Z73" s="36"/>
      <c r="AA73" s="36"/>
      <c r="AB73" s="36"/>
      <c r="AC73" s="36">
        <f t="shared" ref="AC73" si="218">K73-T73</f>
        <v>2.197981844053075</v>
      </c>
      <c r="AD73" s="36">
        <f>+AM73+BA73</f>
        <v>2</v>
      </c>
      <c r="AE73" s="229" t="s">
        <v>414</v>
      </c>
      <c r="AF73" s="36"/>
      <c r="AG73" s="36">
        <v>2</v>
      </c>
      <c r="AH73" s="36"/>
      <c r="AI73" s="500"/>
      <c r="AJ73" s="36"/>
      <c r="AK73" s="36"/>
      <c r="AL73" s="36"/>
      <c r="AM73" s="36">
        <f t="shared" si="217"/>
        <v>2</v>
      </c>
      <c r="AN73" s="82"/>
      <c r="AO73" s="36"/>
      <c r="AP73" s="36"/>
      <c r="AQ73" s="36"/>
      <c r="AR73" s="36">
        <f t="shared" ref="AR73:AR74" si="219">SUM(AN73:AQ73)</f>
        <v>0</v>
      </c>
      <c r="AS73" s="36"/>
      <c r="AT73" s="36"/>
      <c r="AU73" s="36"/>
      <c r="AV73" s="36"/>
      <c r="AW73" s="36"/>
      <c r="AX73" s="36"/>
      <c r="AY73" s="36"/>
      <c r="AZ73" s="36"/>
      <c r="BA73" s="36">
        <f>+AR73+AS73+AU73+AW73+AY73+AZ73</f>
        <v>0</v>
      </c>
      <c r="BB73" s="49"/>
      <c r="BC73" s="50">
        <v>1</v>
      </c>
      <c r="BD73" s="50"/>
      <c r="BE73" s="49"/>
      <c r="BF73" s="50"/>
    </row>
    <row r="74" spans="1:58" ht="12.95" customHeight="1">
      <c r="A74" s="39"/>
      <c r="B74" s="40"/>
      <c r="C74" s="413"/>
      <c r="D74" s="40"/>
      <c r="E74" s="41"/>
      <c r="F74" s="41"/>
      <c r="G74" s="497"/>
      <c r="H74" s="43"/>
      <c r="I74" s="44"/>
      <c r="J74" s="81"/>
      <c r="K74" s="81"/>
      <c r="L74" s="34"/>
      <c r="M74" s="34"/>
      <c r="N74" s="45"/>
      <c r="O74" s="46"/>
      <c r="P74" s="47"/>
      <c r="Q74" s="46"/>
      <c r="R74" s="498"/>
      <c r="S74" s="498"/>
      <c r="T74" s="36"/>
      <c r="U74" s="36"/>
      <c r="V74" s="36"/>
      <c r="W74" s="36"/>
      <c r="X74" s="37"/>
      <c r="Y74" s="210"/>
      <c r="Z74" s="36"/>
      <c r="AA74" s="36"/>
      <c r="AB74" s="36"/>
      <c r="AC74" s="36"/>
      <c r="AD74" s="36">
        <f>+AM74+BA74</f>
        <v>41</v>
      </c>
      <c r="AE74" s="229" t="s">
        <v>387</v>
      </c>
      <c r="AF74" s="32"/>
      <c r="AG74" s="32"/>
      <c r="AH74" s="32">
        <v>41</v>
      </c>
      <c r="AJ74" s="36"/>
      <c r="AK74" s="36"/>
      <c r="AL74" s="36"/>
      <c r="AM74" s="36">
        <f t="shared" si="217"/>
        <v>41</v>
      </c>
      <c r="AN74" s="36"/>
      <c r="AO74" s="36"/>
      <c r="AP74" s="36"/>
      <c r="AQ74" s="36"/>
      <c r="AR74" s="36">
        <f t="shared" si="219"/>
        <v>0</v>
      </c>
      <c r="AS74" s="36"/>
      <c r="AT74" s="36"/>
      <c r="AU74" s="36"/>
      <c r="AV74" s="36"/>
      <c r="AW74" s="36"/>
      <c r="AX74" s="36"/>
      <c r="AY74" s="36"/>
      <c r="AZ74" s="36"/>
      <c r="BA74" s="36">
        <f>+AR74+AS74+AU74+AW74+AY74+AZ74</f>
        <v>0</v>
      </c>
      <c r="BB74" s="32"/>
      <c r="BC74" s="501"/>
      <c r="BD74" s="501"/>
      <c r="BE74" s="32"/>
      <c r="BF74" s="501"/>
    </row>
    <row r="75" spans="1:58" ht="12.95" customHeight="1">
      <c r="A75" s="39"/>
      <c r="B75" s="40"/>
      <c r="C75" s="413"/>
      <c r="D75" s="40"/>
      <c r="E75" s="41"/>
      <c r="F75" s="41"/>
      <c r="G75" s="497"/>
      <c r="H75" s="43"/>
      <c r="I75" s="44"/>
      <c r="J75" s="81"/>
      <c r="K75" s="81"/>
      <c r="L75" s="34"/>
      <c r="M75" s="34"/>
      <c r="N75" s="45"/>
      <c r="O75" s="46"/>
      <c r="P75" s="47"/>
      <c r="Q75" s="46"/>
      <c r="R75" s="498"/>
      <c r="S75" s="498"/>
      <c r="T75" s="36"/>
      <c r="U75" s="36"/>
      <c r="V75" s="36"/>
      <c r="W75" s="36"/>
      <c r="X75" s="37"/>
      <c r="Y75" s="210"/>
      <c r="Z75" s="36"/>
      <c r="AA75" s="36"/>
      <c r="AB75" s="36"/>
      <c r="AC75" s="36"/>
      <c r="AD75" s="36">
        <f>+AM75+BA75</f>
        <v>25</v>
      </c>
      <c r="AE75" s="229" t="s">
        <v>659</v>
      </c>
      <c r="AF75" s="32"/>
      <c r="AG75" s="32"/>
      <c r="AH75" s="32"/>
      <c r="AJ75" s="36"/>
      <c r="AK75" s="36">
        <v>25</v>
      </c>
      <c r="AL75" s="36"/>
      <c r="AM75" s="36">
        <f t="shared" ref="AM75" si="220">SUM(AF75:AL75)+AT75+AV75+AX75</f>
        <v>25</v>
      </c>
      <c r="AN75" s="36"/>
      <c r="AO75" s="36"/>
      <c r="AP75" s="36"/>
      <c r="AQ75" s="36"/>
      <c r="AR75" s="36">
        <f t="shared" ref="AR75" si="221">SUM(AN75:AQ75)</f>
        <v>0</v>
      </c>
      <c r="AS75" s="36"/>
      <c r="AT75" s="36"/>
      <c r="AU75" s="36"/>
      <c r="AV75" s="36"/>
      <c r="AW75" s="36"/>
      <c r="AX75" s="36"/>
      <c r="AY75" s="36"/>
      <c r="AZ75" s="36"/>
      <c r="BA75" s="36">
        <f>+AR75+AS75+AU75+AW75+AY75+AZ75</f>
        <v>0</v>
      </c>
      <c r="BB75" s="32"/>
      <c r="BC75" s="501"/>
      <c r="BD75" s="501"/>
      <c r="BE75" s="32"/>
      <c r="BF75" s="501"/>
    </row>
    <row r="76" spans="1:58" ht="13.5" customHeight="1">
      <c r="A76" s="39"/>
      <c r="B76" s="40"/>
      <c r="C76" s="413"/>
      <c r="D76" s="40"/>
      <c r="E76" s="41"/>
      <c r="F76" s="41"/>
      <c r="G76" s="497"/>
      <c r="H76" s="43"/>
      <c r="I76" s="44"/>
      <c r="J76" s="81"/>
      <c r="K76" s="81"/>
      <c r="L76" s="34"/>
      <c r="M76" s="34"/>
      <c r="N76" s="45"/>
      <c r="O76" s="46"/>
      <c r="P76" s="47"/>
      <c r="Q76" s="46"/>
      <c r="R76" s="498"/>
      <c r="S76" s="498"/>
      <c r="T76" s="36"/>
      <c r="U76" s="36"/>
      <c r="V76" s="36"/>
      <c r="W76" s="36"/>
      <c r="X76" s="499"/>
      <c r="Y76" s="210"/>
      <c r="Z76" s="36"/>
      <c r="AA76" s="48"/>
      <c r="AB76" s="48"/>
      <c r="AC76" s="36"/>
      <c r="AD76" s="36"/>
      <c r="AE76" s="229"/>
      <c r="AF76" s="36"/>
      <c r="AG76" s="36"/>
      <c r="AH76" s="36"/>
      <c r="AI76" s="500"/>
      <c r="AJ76" s="36"/>
      <c r="AK76" s="36"/>
      <c r="AL76" s="36"/>
      <c r="AM76" s="36"/>
      <c r="AN76" s="36"/>
      <c r="AO76" s="36"/>
      <c r="AP76" s="36"/>
      <c r="AQ76" s="36"/>
      <c r="AR76" s="36"/>
      <c r="AS76" s="36"/>
      <c r="AT76" s="36"/>
      <c r="AU76" s="36"/>
      <c r="AV76" s="36"/>
      <c r="AW76" s="36"/>
      <c r="AX76" s="36"/>
      <c r="AY76" s="36"/>
      <c r="AZ76" s="36"/>
      <c r="BA76" s="36"/>
      <c r="BB76" s="32"/>
      <c r="BC76" s="50"/>
      <c r="BD76" s="50"/>
      <c r="BE76" s="50"/>
      <c r="BF76" s="50"/>
    </row>
    <row r="77" spans="1:58" ht="12.75" customHeight="1">
      <c r="A77" s="39">
        <v>46096</v>
      </c>
      <c r="B77" s="40" t="s">
        <v>551</v>
      </c>
      <c r="C77" s="413">
        <f t="shared" ref="C77" si="222">(M77*E77*O77*Q77)/100000000</f>
        <v>45.804826079999998</v>
      </c>
      <c r="D77" s="40" t="s">
        <v>301</v>
      </c>
      <c r="E77" s="41">
        <v>13</v>
      </c>
      <c r="F77" s="41">
        <v>1</v>
      </c>
      <c r="G77" s="497">
        <v>1230</v>
      </c>
      <c r="H77" s="43">
        <f t="shared" ref="H77" si="223">+N77</f>
        <v>0.1938591549295775</v>
      </c>
      <c r="I77" s="44">
        <v>0.88</v>
      </c>
      <c r="J77" s="81">
        <f t="shared" ref="J77" si="224">E77*G77*(1-H77)*1440/1000000*2.74</f>
        <v>50.859541999774649</v>
      </c>
      <c r="K77" s="81">
        <f t="shared" ref="K77" si="225">(IF(G77&lt;L77,L77,G77)*(1-IF(H77&lt;N77,H77,N77))*E77*O77*Q77)/100000000</f>
        <v>47.611213587380284</v>
      </c>
      <c r="L77" s="34">
        <v>1183.3333333333333</v>
      </c>
      <c r="M77" s="34">
        <v>953.93333333333328</v>
      </c>
      <c r="N77" s="45">
        <f t="shared" ref="N77" si="226">1-(M77/L77)</f>
        <v>0.1938591549295775</v>
      </c>
      <c r="O77" s="46">
        <f>+'Trim Rwd'!H52</f>
        <v>256.5</v>
      </c>
      <c r="P77" s="47">
        <f t="shared" ref="P77" si="227">O77*(Q77-R77-S77)</f>
        <v>343710</v>
      </c>
      <c r="Q77" s="46">
        <v>1440</v>
      </c>
      <c r="R77" s="498">
        <v>0</v>
      </c>
      <c r="S77" s="498">
        <v>100</v>
      </c>
      <c r="T77" s="36">
        <f t="shared" ref="T77" si="228">E77*M77*O77*Q77/100000000</f>
        <v>45.804826079999998</v>
      </c>
      <c r="U77" s="36">
        <f t="shared" ref="U77" si="229">E77*M77*O77*(Q77-R77-S77)/100000000</f>
        <v>42.623935380000006</v>
      </c>
      <c r="V77" s="36">
        <f t="shared" ref="V77" si="230">E77*G77*(1-N77)*O77/100*(R77+S77)/1000000</f>
        <v>3.3063342769014081</v>
      </c>
      <c r="W77" s="36">
        <f>+'15'!K15/1000</f>
        <v>40.756999999999998</v>
      </c>
      <c r="X77" s="499">
        <f>SUM(W77:W80)/SUM(K77:K80)</f>
        <v>0.8560378307769696</v>
      </c>
      <c r="Y77" s="210">
        <v>0</v>
      </c>
      <c r="Z77" s="36">
        <v>0</v>
      </c>
      <c r="AA77" s="48">
        <f>SUM(U77:U80)-SUM(W77:W80)-SUM(Z77:Z80)-SUM(Y77:Y80)</f>
        <v>1.8669353800000081</v>
      </c>
      <c r="AB77" s="48">
        <f>(SUM(K77:K80)-SUM(W77:W80)-SUM(Y77:Y80)-SUM(Z77:Z80)-SUM(AC77:AC80)-SUM(V77:V80))-AA77</f>
        <v>-0.12544357690141617</v>
      </c>
      <c r="AC77" s="36">
        <f>K77-T77</f>
        <v>1.8063875073802862</v>
      </c>
      <c r="AD77" s="36">
        <f>+AM77+BA77</f>
        <v>30</v>
      </c>
      <c r="AE77" s="229" t="s">
        <v>621</v>
      </c>
      <c r="AF77" s="36">
        <v>30</v>
      </c>
      <c r="AG77" s="36"/>
      <c r="AH77" s="36"/>
      <c r="AI77" s="500"/>
      <c r="AJ77" s="36"/>
      <c r="AK77" s="36"/>
      <c r="AL77" s="36"/>
      <c r="AM77" s="36">
        <f t="shared" ref="AM77:AM80" si="231">SUM(AF77:AL77)+AT77+AV77+AX77</f>
        <v>30</v>
      </c>
      <c r="AN77" s="36"/>
      <c r="AO77" s="36"/>
      <c r="AP77" s="36"/>
      <c r="AQ77" s="36"/>
      <c r="AR77" s="36">
        <f>SUM(AN77:AQ77)</f>
        <v>0</v>
      </c>
      <c r="AS77" s="36"/>
      <c r="AT77" s="36"/>
      <c r="AU77" s="36"/>
      <c r="AV77" s="36"/>
      <c r="AW77" s="36"/>
      <c r="AX77" s="36"/>
      <c r="AY77" s="36"/>
      <c r="AZ77" s="36"/>
      <c r="BA77" s="36">
        <f>+AR77+AS77+AU77+AW77+AY77+AZ77</f>
        <v>0</v>
      </c>
      <c r="BB77" s="32">
        <v>9</v>
      </c>
      <c r="BC77" s="50"/>
      <c r="BD77" s="50"/>
      <c r="BE77" s="32"/>
      <c r="BF77" s="50"/>
    </row>
    <row r="78" spans="1:58" ht="12.95" customHeight="1">
      <c r="A78" s="39"/>
      <c r="B78" s="40"/>
      <c r="C78" s="413"/>
      <c r="D78" s="40"/>
      <c r="E78" s="41"/>
      <c r="F78" s="41"/>
      <c r="G78" s="497"/>
      <c r="H78" s="43"/>
      <c r="I78" s="44"/>
      <c r="J78" s="81"/>
      <c r="K78" s="81"/>
      <c r="L78" s="34"/>
      <c r="M78" s="34"/>
      <c r="N78" s="45"/>
      <c r="O78" s="46"/>
      <c r="P78" s="47"/>
      <c r="Q78" s="46"/>
      <c r="R78" s="498"/>
      <c r="S78" s="498"/>
      <c r="T78" s="36"/>
      <c r="U78" s="36"/>
      <c r="V78" s="36"/>
      <c r="W78" s="36"/>
      <c r="X78" s="37"/>
      <c r="Y78" s="210"/>
      <c r="Z78" s="36"/>
      <c r="AA78" s="36"/>
      <c r="AB78" s="36"/>
      <c r="AC78" s="36">
        <f t="shared" ref="AC78" si="232">K78-T78</f>
        <v>0</v>
      </c>
      <c r="AD78" s="36">
        <f>+AM78+BA78</f>
        <v>0</v>
      </c>
      <c r="AE78" s="229" t="s">
        <v>283</v>
      </c>
      <c r="AF78" s="36"/>
      <c r="AG78" s="36">
        <v>0</v>
      </c>
      <c r="AH78" s="36"/>
      <c r="AI78" s="500"/>
      <c r="AJ78" s="36"/>
      <c r="AK78" s="36"/>
      <c r="AL78" s="36"/>
      <c r="AM78" s="36">
        <f t="shared" si="231"/>
        <v>0</v>
      </c>
      <c r="AN78" s="82"/>
      <c r="AO78" s="36"/>
      <c r="AP78" s="36"/>
      <c r="AQ78" s="36"/>
      <c r="AR78" s="36">
        <f t="shared" ref="AR78:AR80" si="233">SUM(AN78:AQ78)</f>
        <v>0</v>
      </c>
      <c r="AS78" s="36"/>
      <c r="AT78" s="36"/>
      <c r="AU78" s="36"/>
      <c r="AV78" s="36"/>
      <c r="AW78" s="36"/>
      <c r="AX78" s="36"/>
      <c r="AY78" s="36"/>
      <c r="AZ78" s="36"/>
      <c r="BA78" s="36">
        <f>+AR78+AS78+AU78+AW78+AY78+AZ78</f>
        <v>0</v>
      </c>
      <c r="BB78" s="49"/>
      <c r="BC78" s="50">
        <v>0</v>
      </c>
      <c r="BD78" s="50"/>
      <c r="BE78" s="49"/>
      <c r="BF78" s="50"/>
    </row>
    <row r="79" spans="1:58" ht="12.95" customHeight="1">
      <c r="A79" s="39"/>
      <c r="B79" s="40"/>
      <c r="C79" s="413"/>
      <c r="D79" s="40"/>
      <c r="E79" s="41"/>
      <c r="F79" s="41"/>
      <c r="G79" s="497"/>
      <c r="H79" s="43"/>
      <c r="I79" s="44"/>
      <c r="J79" s="81"/>
      <c r="K79" s="81"/>
      <c r="L79" s="34"/>
      <c r="M79" s="34"/>
      <c r="N79" s="45"/>
      <c r="O79" s="46"/>
      <c r="P79" s="47"/>
      <c r="Q79" s="46"/>
      <c r="R79" s="498"/>
      <c r="S79" s="498"/>
      <c r="T79" s="36"/>
      <c r="U79" s="36"/>
      <c r="V79" s="36"/>
      <c r="W79" s="36"/>
      <c r="X79" s="37"/>
      <c r="Y79" s="210"/>
      <c r="Z79" s="36"/>
      <c r="AA79" s="36"/>
      <c r="AB79" s="36"/>
      <c r="AC79" s="36"/>
      <c r="AD79" s="36">
        <f>+AM79+BA79</f>
        <v>48</v>
      </c>
      <c r="AE79" s="229" t="s">
        <v>656</v>
      </c>
      <c r="AF79" s="32"/>
      <c r="AG79" s="32"/>
      <c r="AH79" s="32">
        <v>48</v>
      </c>
      <c r="AJ79" s="36"/>
      <c r="AK79" s="36"/>
      <c r="AL79" s="36"/>
      <c r="AM79" s="36">
        <f t="shared" si="231"/>
        <v>48</v>
      </c>
      <c r="AN79" s="36"/>
      <c r="AO79" s="36"/>
      <c r="AP79" s="36"/>
      <c r="AQ79" s="36"/>
      <c r="AR79" s="36">
        <f t="shared" si="233"/>
        <v>0</v>
      </c>
      <c r="AS79" s="36"/>
      <c r="AT79" s="36"/>
      <c r="AU79" s="36"/>
      <c r="AV79" s="36"/>
      <c r="AW79" s="36"/>
      <c r="AX79" s="36"/>
      <c r="AY79" s="36"/>
      <c r="AZ79" s="36"/>
      <c r="BA79" s="36">
        <f>+AR79+AS79+AU79+AW79+AY79+AZ79</f>
        <v>0</v>
      </c>
      <c r="BB79" s="32"/>
      <c r="BC79" s="501"/>
      <c r="BD79" s="501"/>
      <c r="BE79" s="32"/>
      <c r="BF79" s="501"/>
    </row>
    <row r="80" spans="1:58" ht="12.95" customHeight="1">
      <c r="A80" s="39"/>
      <c r="B80" s="40"/>
      <c r="C80" s="413"/>
      <c r="D80" s="40"/>
      <c r="E80" s="41"/>
      <c r="F80" s="41"/>
      <c r="G80" s="497"/>
      <c r="H80" s="43"/>
      <c r="I80" s="44"/>
      <c r="J80" s="81"/>
      <c r="K80" s="81"/>
      <c r="L80" s="34"/>
      <c r="M80" s="34"/>
      <c r="N80" s="45"/>
      <c r="O80" s="46"/>
      <c r="P80" s="47"/>
      <c r="Q80" s="46"/>
      <c r="R80" s="498"/>
      <c r="S80" s="498"/>
      <c r="T80" s="36"/>
      <c r="U80" s="36"/>
      <c r="V80" s="36"/>
      <c r="W80" s="36"/>
      <c r="X80" s="37"/>
      <c r="Y80" s="210"/>
      <c r="Z80" s="36"/>
      <c r="AA80" s="36"/>
      <c r="AB80" s="36"/>
      <c r="AC80" s="36"/>
      <c r="AD80" s="36">
        <f>+AM80+BA80</f>
        <v>22</v>
      </c>
      <c r="AE80" s="229" t="s">
        <v>660</v>
      </c>
      <c r="AF80" s="32"/>
      <c r="AG80" s="32"/>
      <c r="AH80" s="32"/>
      <c r="AJ80" s="36"/>
      <c r="AK80" s="36">
        <v>22</v>
      </c>
      <c r="AL80" s="36"/>
      <c r="AM80" s="36">
        <f t="shared" si="231"/>
        <v>22</v>
      </c>
      <c r="AN80" s="36"/>
      <c r="AO80" s="36"/>
      <c r="AP80" s="36"/>
      <c r="AQ80" s="36"/>
      <c r="AR80" s="36">
        <f t="shared" si="233"/>
        <v>0</v>
      </c>
      <c r="AS80" s="36"/>
      <c r="AT80" s="36"/>
      <c r="AU80" s="36"/>
      <c r="AV80" s="36"/>
      <c r="AW80" s="36"/>
      <c r="AX80" s="36"/>
      <c r="AY80" s="36"/>
      <c r="AZ80" s="36"/>
      <c r="BA80" s="36">
        <f>+AR80+AS80+AU80+AW80+AY80+AZ80</f>
        <v>0</v>
      </c>
      <c r="BB80" s="32"/>
      <c r="BC80" s="501"/>
      <c r="BD80" s="501"/>
      <c r="BE80" s="32"/>
      <c r="BF80" s="501"/>
    </row>
    <row r="81" spans="1:58" ht="13.5" customHeight="1">
      <c r="A81" s="39"/>
      <c r="B81" s="40"/>
      <c r="C81" s="413"/>
      <c r="D81" s="40"/>
      <c r="E81" s="41"/>
      <c r="F81" s="41"/>
      <c r="G81" s="497"/>
      <c r="H81" s="43"/>
      <c r="I81" s="44"/>
      <c r="J81" s="81"/>
      <c r="K81" s="81"/>
      <c r="L81" s="34"/>
      <c r="M81" s="34"/>
      <c r="N81" s="45"/>
      <c r="O81" s="46"/>
      <c r="P81" s="47"/>
      <c r="Q81" s="46"/>
      <c r="R81" s="498"/>
      <c r="S81" s="498"/>
      <c r="T81" s="36"/>
      <c r="U81" s="36"/>
      <c r="V81" s="36"/>
      <c r="W81" s="36"/>
      <c r="X81" s="499"/>
      <c r="Y81" s="210"/>
      <c r="Z81" s="36"/>
      <c r="AA81" s="48"/>
      <c r="AB81" s="48"/>
      <c r="AC81" s="36"/>
      <c r="AD81" s="36"/>
      <c r="AE81" s="229"/>
      <c r="AF81" s="36"/>
      <c r="AG81" s="36"/>
      <c r="AH81" s="36"/>
      <c r="AI81" s="500"/>
      <c r="AJ81" s="36"/>
      <c r="AK81" s="36"/>
      <c r="AL81" s="36"/>
      <c r="AM81" s="36"/>
      <c r="AN81" s="36"/>
      <c r="AO81" s="36"/>
      <c r="AP81" s="36"/>
      <c r="AQ81" s="36"/>
      <c r="AR81" s="36"/>
      <c r="AS81" s="36"/>
      <c r="AT81" s="36"/>
      <c r="AU81" s="36"/>
      <c r="AV81" s="36"/>
      <c r="AW81" s="36"/>
      <c r="AX81" s="36"/>
      <c r="AY81" s="36"/>
      <c r="AZ81" s="36"/>
      <c r="BA81" s="36"/>
      <c r="BB81" s="32"/>
      <c r="BC81" s="50"/>
      <c r="BD81" s="50"/>
      <c r="BE81" s="50"/>
      <c r="BF81" s="50"/>
    </row>
    <row r="82" spans="1:58" ht="12.75" customHeight="1">
      <c r="A82" s="39">
        <v>46097</v>
      </c>
      <c r="B82" s="40" t="s">
        <v>551</v>
      </c>
      <c r="C82" s="413">
        <f t="shared" ref="C82" si="234">(M82*E82*O82*Q82)/100000000</f>
        <v>34.761162149999997</v>
      </c>
      <c r="D82" s="40" t="s">
        <v>301</v>
      </c>
      <c r="E82" s="41">
        <v>13</v>
      </c>
      <c r="F82" s="41">
        <v>1</v>
      </c>
      <c r="G82" s="497">
        <v>1230</v>
      </c>
      <c r="H82" s="43">
        <f t="shared" ref="H82" si="235">+N82</f>
        <v>0.20282174810736409</v>
      </c>
      <c r="I82" s="44">
        <v>0.88</v>
      </c>
      <c r="J82" s="81">
        <f t="shared" ref="J82" si="236">E82*G82*(1-H82)*1440/1000000*2.74</f>
        <v>50.294090705574682</v>
      </c>
      <c r="K82" s="81">
        <f t="shared" ref="K82" si="237">(IF(G82&lt;L82,L82,G82)*(1-IF(H82&lt;N82,H82,N82))*E82*O82*Q82)/100000000</f>
        <v>36.29228009741913</v>
      </c>
      <c r="L82" s="34">
        <v>1178.1081081081081</v>
      </c>
      <c r="M82" s="34">
        <v>939.16216216216219</v>
      </c>
      <c r="N82" s="45">
        <f t="shared" ref="N82" si="238">1-(M82/L82)</f>
        <v>0.20282174810736409</v>
      </c>
      <c r="O82" s="46">
        <f>+'Trim Rwd'!H54</f>
        <v>256.5</v>
      </c>
      <c r="P82" s="47">
        <f t="shared" ref="P82" si="239">O82*(Q82-R82-S82)</f>
        <v>264195</v>
      </c>
      <c r="Q82" s="46">
        <f>1440-Q83</f>
        <v>1110</v>
      </c>
      <c r="R82" s="498">
        <v>0</v>
      </c>
      <c r="S82" s="498">
        <v>80</v>
      </c>
      <c r="T82" s="36">
        <f t="shared" ref="T82" si="240">E82*M82*O82*Q82/100000000</f>
        <v>34.761162149999997</v>
      </c>
      <c r="U82" s="36">
        <f t="shared" ref="U82" si="241">E82*M82*O82*(Q82-R82-S82)/100000000</f>
        <v>32.25585316621622</v>
      </c>
      <c r="V82" s="36">
        <f t="shared" ref="V82" si="242">E82*G82*(1-N82)*O82/100*(R82+S82)/1000000</f>
        <v>2.6156598268410187</v>
      </c>
      <c r="W82" s="36">
        <f>+'16'!K15/1000</f>
        <v>33.502000000000002</v>
      </c>
      <c r="X82" s="499">
        <f>SUM(W82:W85)/SUM(K82:K85)</f>
        <v>0.85259394685094025</v>
      </c>
      <c r="Y82" s="210">
        <v>0</v>
      </c>
      <c r="Z82" s="36">
        <v>0</v>
      </c>
      <c r="AA82" s="48">
        <f>SUM(U82:U85)-SUM(W82:W85)-SUM(Z82:Z85)-SUM(Y82:Y85)</f>
        <v>2.0630829412162157</v>
      </c>
      <c r="AB82" s="48">
        <f>(SUM(K82:K85)-SUM(W82:W85)-SUM(Y82:Y85)-SUM(Z82:Z85)-SUM(AC82:AC85)-SUM(V82:V85))-AA82</f>
        <v>-0.11035084305723641</v>
      </c>
      <c r="AC82" s="36">
        <f>K82-T82</f>
        <v>1.5311179474191334</v>
      </c>
      <c r="AD82" s="36">
        <f>+AM82+BA82</f>
        <v>18</v>
      </c>
      <c r="AE82" s="229" t="s">
        <v>435</v>
      </c>
      <c r="AF82" s="36">
        <v>18</v>
      </c>
      <c r="AG82" s="36"/>
      <c r="AH82" s="36"/>
      <c r="AI82" s="500"/>
      <c r="AJ82" s="36"/>
      <c r="AK82" s="36"/>
      <c r="AL82" s="36"/>
      <c r="AM82" s="36">
        <f t="shared" ref="AM82:AM85" si="243">SUM(AF82:AL82)+AT82+AV82+AX82</f>
        <v>18</v>
      </c>
      <c r="AN82" s="36"/>
      <c r="AO82" s="36"/>
      <c r="AP82" s="36"/>
      <c r="AQ82" s="36"/>
      <c r="AR82" s="36">
        <f>SUM(AN82:AQ82)</f>
        <v>0</v>
      </c>
      <c r="AS82" s="36"/>
      <c r="AT82" s="36"/>
      <c r="AU82" s="36"/>
      <c r="AV82" s="36"/>
      <c r="AW82" s="36"/>
      <c r="AX82" s="36"/>
      <c r="AY82" s="36"/>
      <c r="AZ82" s="36"/>
      <c r="BA82" s="36">
        <f>+AR82+AS82+AU82+AW82+AY82+AZ82</f>
        <v>0</v>
      </c>
      <c r="BB82" s="32">
        <v>6</v>
      </c>
      <c r="BC82" s="50"/>
      <c r="BD82" s="50"/>
      <c r="BE82" s="32"/>
      <c r="BF82" s="50"/>
    </row>
    <row r="83" spans="1:58" ht="12.95" customHeight="1">
      <c r="A83" s="39"/>
      <c r="B83" s="40" t="s">
        <v>551</v>
      </c>
      <c r="C83" s="413">
        <f t="shared" ref="C83" si="244">(M83*E83*O83*Q83)/100000000</f>
        <v>10.040443874999999</v>
      </c>
      <c r="D83" s="40" t="s">
        <v>301</v>
      </c>
      <c r="E83" s="41">
        <v>12.5</v>
      </c>
      <c r="F83" s="41">
        <v>1</v>
      </c>
      <c r="G83" s="497">
        <v>1230</v>
      </c>
      <c r="H83" s="43">
        <f t="shared" ref="H83" si="245">+N83</f>
        <v>0.23000000000000009</v>
      </c>
      <c r="I83" s="44">
        <v>0.88</v>
      </c>
      <c r="J83" s="81">
        <f t="shared" ref="J83" si="246">E83*G83*(1-H83)*1440/1000000*2.74</f>
        <v>46.710971999999991</v>
      </c>
      <c r="K83" s="81">
        <f t="shared" ref="K83" si="247">(IF(G83&lt;L83,L83,G83)*(1-IF(H83&lt;N83,H83,N83))*E83*O83*Q83)/100000000</f>
        <v>10.040443874999999</v>
      </c>
      <c r="L83" s="34">
        <v>1230</v>
      </c>
      <c r="M83" s="34">
        <v>947.09999999999991</v>
      </c>
      <c r="N83" s="45">
        <f t="shared" ref="N83" si="248">1-(M83/L83)</f>
        <v>0.23000000000000009</v>
      </c>
      <c r="O83" s="46">
        <f>+'Trim Rwd'!H55</f>
        <v>257</v>
      </c>
      <c r="P83" s="47">
        <f t="shared" ref="P83" si="249">O83*(Q83-R83-S83)</f>
        <v>78642</v>
      </c>
      <c r="Q83" s="46">
        <v>330</v>
      </c>
      <c r="R83" s="498">
        <v>0</v>
      </c>
      <c r="S83" s="498">
        <v>24</v>
      </c>
      <c r="T83" s="36">
        <f t="shared" ref="T83" si="250">E83*M83*O83*Q83/100000000</f>
        <v>10.040443874999999</v>
      </c>
      <c r="U83" s="36">
        <f t="shared" ref="U83" si="251">E83*M83*O83*(Q83-R83-S83)/100000000</f>
        <v>9.310229774999998</v>
      </c>
      <c r="V83" s="36">
        <f t="shared" ref="V83" si="252">E83*G83*(1-N83)*O83/100*(R83+S83)/1000000</f>
        <v>0.73021409999999987</v>
      </c>
      <c r="W83" s="36">
        <f>+'16'!K16/1000</f>
        <v>6.0010000000000003</v>
      </c>
      <c r="X83" s="37"/>
      <c r="Y83" s="210"/>
      <c r="Z83" s="36"/>
      <c r="AA83" s="36"/>
      <c r="AB83" s="36"/>
      <c r="AC83" s="36">
        <f t="shared" ref="AC83" si="253">K83-T83</f>
        <v>0</v>
      </c>
      <c r="AD83" s="36">
        <f>+AM83+BA83</f>
        <v>10</v>
      </c>
      <c r="AE83" s="229" t="s">
        <v>669</v>
      </c>
      <c r="AF83" s="36"/>
      <c r="AG83" s="36">
        <v>10</v>
      </c>
      <c r="AH83" s="36"/>
      <c r="AI83" s="500"/>
      <c r="AJ83" s="36"/>
      <c r="AK83" s="36"/>
      <c r="AL83" s="36"/>
      <c r="AM83" s="36">
        <f t="shared" si="243"/>
        <v>10</v>
      </c>
      <c r="AN83" s="82"/>
      <c r="AO83" s="36"/>
      <c r="AP83" s="36"/>
      <c r="AQ83" s="36"/>
      <c r="AR83" s="36">
        <f t="shared" ref="AR83:AR85" si="254">SUM(AN83:AQ83)</f>
        <v>0</v>
      </c>
      <c r="AS83" s="36"/>
      <c r="AT83" s="36"/>
      <c r="AU83" s="36"/>
      <c r="AV83" s="36"/>
      <c r="AW83" s="36"/>
      <c r="AX83" s="36"/>
      <c r="AY83" s="36"/>
      <c r="AZ83" s="36"/>
      <c r="BA83" s="36">
        <f>+AR83+AS83+AU83+AW83+AY83+AZ83</f>
        <v>0</v>
      </c>
      <c r="BB83" s="49"/>
      <c r="BC83" s="50">
        <v>7</v>
      </c>
      <c r="BD83" s="50"/>
      <c r="BE83" s="49"/>
      <c r="BF83" s="50"/>
    </row>
    <row r="84" spans="1:58" ht="12.95" customHeight="1">
      <c r="A84" s="39"/>
      <c r="B84" s="40"/>
      <c r="C84" s="413"/>
      <c r="D84" s="40"/>
      <c r="E84" s="41"/>
      <c r="F84" s="41"/>
      <c r="G84" s="497"/>
      <c r="H84" s="43"/>
      <c r="I84" s="44"/>
      <c r="J84" s="81"/>
      <c r="K84" s="81"/>
      <c r="L84" s="34"/>
      <c r="M84" s="34"/>
      <c r="N84" s="45"/>
      <c r="O84" s="46"/>
      <c r="P84" s="47"/>
      <c r="Q84" s="46"/>
      <c r="R84" s="498"/>
      <c r="S84" s="498"/>
      <c r="T84" s="36"/>
      <c r="U84" s="36"/>
      <c r="V84" s="36"/>
      <c r="W84" s="36"/>
      <c r="X84" s="37"/>
      <c r="Y84" s="210"/>
      <c r="Z84" s="36"/>
      <c r="AA84" s="36"/>
      <c r="AB84" s="36"/>
      <c r="AC84" s="36"/>
      <c r="AD84" s="36">
        <f>+AM84+BA84</f>
        <v>51</v>
      </c>
      <c r="AE84" s="229" t="s">
        <v>387</v>
      </c>
      <c r="AF84" s="32"/>
      <c r="AG84" s="32"/>
      <c r="AH84" s="32">
        <v>51</v>
      </c>
      <c r="AJ84" s="36"/>
      <c r="AK84" s="36"/>
      <c r="AL84" s="36"/>
      <c r="AM84" s="36">
        <f t="shared" si="243"/>
        <v>51</v>
      </c>
      <c r="AN84" s="36"/>
      <c r="AO84" s="36"/>
      <c r="AP84" s="36"/>
      <c r="AQ84" s="36"/>
      <c r="AR84" s="36">
        <f t="shared" si="254"/>
        <v>0</v>
      </c>
      <c r="AS84" s="36"/>
      <c r="AT84" s="36"/>
      <c r="AU84" s="36"/>
      <c r="AV84" s="36"/>
      <c r="AW84" s="36"/>
      <c r="AX84" s="36"/>
      <c r="AY84" s="36"/>
      <c r="AZ84" s="36"/>
      <c r="BA84" s="36">
        <f>+AR84+AS84+AU84+AW84+AY84+AZ84</f>
        <v>0</v>
      </c>
      <c r="BB84" s="32"/>
      <c r="BC84" s="501"/>
      <c r="BD84" s="501"/>
      <c r="BE84" s="32"/>
      <c r="BF84" s="501"/>
    </row>
    <row r="85" spans="1:58" ht="12.95" customHeight="1">
      <c r="A85" s="39"/>
      <c r="B85" s="40"/>
      <c r="C85" s="413"/>
      <c r="D85" s="40"/>
      <c r="E85" s="41"/>
      <c r="F85" s="41"/>
      <c r="G85" s="497"/>
      <c r="H85" s="43"/>
      <c r="I85" s="44"/>
      <c r="J85" s="81"/>
      <c r="K85" s="81"/>
      <c r="L85" s="34"/>
      <c r="M85" s="34"/>
      <c r="N85" s="45"/>
      <c r="O85" s="46"/>
      <c r="P85" s="47"/>
      <c r="Q85" s="46"/>
      <c r="R85" s="498"/>
      <c r="S85" s="498"/>
      <c r="T85" s="36"/>
      <c r="U85" s="36"/>
      <c r="V85" s="36"/>
      <c r="W85" s="36"/>
      <c r="X85" s="37"/>
      <c r="Y85" s="210"/>
      <c r="Z85" s="36"/>
      <c r="AA85" s="36"/>
      <c r="AB85" s="36"/>
      <c r="AC85" s="36"/>
      <c r="AD85" s="36">
        <f>+AM85+BA85</f>
        <v>25</v>
      </c>
      <c r="AE85" s="229" t="s">
        <v>670</v>
      </c>
      <c r="AF85" s="32"/>
      <c r="AG85" s="32"/>
      <c r="AH85" s="32"/>
      <c r="AJ85" s="36"/>
      <c r="AK85" s="36">
        <v>25</v>
      </c>
      <c r="AL85" s="36"/>
      <c r="AM85" s="36">
        <f t="shared" si="243"/>
        <v>25</v>
      </c>
      <c r="AN85" s="36"/>
      <c r="AO85" s="36"/>
      <c r="AP85" s="36"/>
      <c r="AQ85" s="36"/>
      <c r="AR85" s="36">
        <f t="shared" si="254"/>
        <v>0</v>
      </c>
      <c r="AS85" s="36"/>
      <c r="AT85" s="36"/>
      <c r="AU85" s="36"/>
      <c r="AV85" s="36"/>
      <c r="AW85" s="36"/>
      <c r="AX85" s="36"/>
      <c r="AY85" s="36"/>
      <c r="AZ85" s="36"/>
      <c r="BA85" s="36">
        <f>+AR85+AS85+AU85+AW85+AY85+AZ85</f>
        <v>0</v>
      </c>
      <c r="BB85" s="32"/>
      <c r="BC85" s="501"/>
      <c r="BD85" s="501"/>
      <c r="BE85" s="32"/>
      <c r="BF85" s="501"/>
    </row>
    <row r="86" spans="1:58" ht="13.5" customHeight="1">
      <c r="A86" s="39"/>
      <c r="B86" s="40"/>
      <c r="C86" s="413"/>
      <c r="D86" s="40"/>
      <c r="E86" s="41"/>
      <c r="F86" s="41"/>
      <c r="G86" s="497"/>
      <c r="H86" s="43"/>
      <c r="I86" s="44"/>
      <c r="J86" s="81"/>
      <c r="K86" s="81"/>
      <c r="L86" s="34"/>
      <c r="M86" s="34"/>
      <c r="N86" s="45"/>
      <c r="O86" s="46"/>
      <c r="P86" s="47"/>
      <c r="Q86" s="46"/>
      <c r="R86" s="498"/>
      <c r="S86" s="498"/>
      <c r="T86" s="36"/>
      <c r="U86" s="36"/>
      <c r="V86" s="36"/>
      <c r="W86" s="36"/>
      <c r="X86" s="499"/>
      <c r="Y86" s="210"/>
      <c r="Z86" s="36"/>
      <c r="AA86" s="48"/>
      <c r="AB86" s="48"/>
      <c r="AC86" s="36"/>
      <c r="AD86" s="36"/>
      <c r="AE86" s="229"/>
      <c r="AF86" s="36"/>
      <c r="AG86" s="36"/>
      <c r="AH86" s="36"/>
      <c r="AI86" s="500"/>
      <c r="AJ86" s="36"/>
      <c r="AK86" s="36"/>
      <c r="AL86" s="36"/>
      <c r="AM86" s="36"/>
      <c r="AN86" s="36"/>
      <c r="AO86" s="36"/>
      <c r="AP86" s="36"/>
      <c r="AQ86" s="36"/>
      <c r="AR86" s="36"/>
      <c r="AS86" s="36"/>
      <c r="AT86" s="36"/>
      <c r="AU86" s="36"/>
      <c r="AV86" s="36"/>
      <c r="AW86" s="36"/>
      <c r="AX86" s="36"/>
      <c r="AY86" s="36"/>
      <c r="AZ86" s="36"/>
      <c r="BA86" s="36"/>
      <c r="BB86" s="32"/>
      <c r="BC86" s="50"/>
      <c r="BD86" s="50"/>
      <c r="BE86" s="50"/>
      <c r="BF86" s="50"/>
    </row>
    <row r="87" spans="1:58" ht="12.75" customHeight="1">
      <c r="A87" s="39">
        <v>46098</v>
      </c>
      <c r="B87" s="40" t="s">
        <v>551</v>
      </c>
      <c r="C87" s="413">
        <f t="shared" ref="C87" si="255">(M87*E87*O87*Q87)/100000000</f>
        <v>44.381844000000001</v>
      </c>
      <c r="D87" s="40" t="s">
        <v>301</v>
      </c>
      <c r="E87" s="41">
        <v>12.5</v>
      </c>
      <c r="F87" s="41">
        <v>1</v>
      </c>
      <c r="G87" s="497">
        <v>1230</v>
      </c>
      <c r="H87" s="43">
        <f t="shared" ref="H87" si="256">+N87</f>
        <v>0.21999999999999997</v>
      </c>
      <c r="I87" s="44">
        <v>0.88</v>
      </c>
      <c r="J87" s="81">
        <f t="shared" ref="J87" si="257">E87*G87*(1-H87)*1440/1000000*2.74</f>
        <v>47.317608000000007</v>
      </c>
      <c r="K87" s="81">
        <f t="shared" ref="K87" si="258">(IF(G87&lt;L87,L87,G87)*(1-IF(H87&lt;N87,H87,N87))*E87*O87*Q87)/100000000</f>
        <v>44.381844000000001</v>
      </c>
      <c r="L87" s="34">
        <v>1230</v>
      </c>
      <c r="M87" s="34">
        <v>959.4</v>
      </c>
      <c r="N87" s="45">
        <f t="shared" ref="N87" si="259">1-(M87/L87)</f>
        <v>0.21999999999999997</v>
      </c>
      <c r="O87" s="46">
        <f>+'Trim Rwd'!H57</f>
        <v>257</v>
      </c>
      <c r="P87" s="47">
        <f t="shared" ref="P87" si="260">O87*(Q87-R87-S87)</f>
        <v>41377</v>
      </c>
      <c r="Q87" s="46">
        <v>1440</v>
      </c>
      <c r="R87" s="498">
        <v>1265</v>
      </c>
      <c r="S87" s="498">
        <v>14</v>
      </c>
      <c r="T87" s="36">
        <f t="shared" ref="T87" si="261">E87*M87*O87*Q87/100000000</f>
        <v>44.381844000000001</v>
      </c>
      <c r="U87" s="36">
        <f t="shared" ref="U87" si="262">E87*M87*O87*(Q87-R87-S87)/100000000</f>
        <v>4.9621367249999997</v>
      </c>
      <c r="V87" s="36">
        <f t="shared" ref="V87" si="263">E87*G87*(1-N87)*O87/100*(R87+S87)/1000000</f>
        <v>39.419707275</v>
      </c>
      <c r="W87" s="36">
        <f>+'17'!K16/1000</f>
        <v>5.859</v>
      </c>
      <c r="X87" s="499">
        <f>SUM(W87:W90)/SUM(K87:K90)</f>
        <v>0.13201344225354855</v>
      </c>
      <c r="Y87" s="210">
        <v>0</v>
      </c>
      <c r="Z87" s="36">
        <v>0</v>
      </c>
      <c r="AA87" s="48">
        <f>SUM(U87:U90)-SUM(W87:W90)-SUM(Z87:Z90)-SUM(Y87:Y90)</f>
        <v>-0.89686327500000029</v>
      </c>
      <c r="AB87" s="48">
        <f>(SUM(K87:K90)-SUM(W87:W90)-SUM(Y87:Y90)-SUM(Z87:Z90)-SUM(AC87:AC90)-SUM(V87:V90))-AA87</f>
        <v>-8.8817841970012523E-16</v>
      </c>
      <c r="AC87" s="36">
        <f>K87-T87</f>
        <v>0</v>
      </c>
      <c r="AD87" s="36">
        <f>+AM87+BA87</f>
        <v>6</v>
      </c>
      <c r="AE87" s="229" t="s">
        <v>467</v>
      </c>
      <c r="AF87" s="36">
        <v>6</v>
      </c>
      <c r="AG87" s="36"/>
      <c r="AH87" s="36"/>
      <c r="AI87" s="500"/>
      <c r="AJ87" s="36"/>
      <c r="AK87" s="36"/>
      <c r="AL87" s="36"/>
      <c r="AM87" s="36">
        <f t="shared" ref="AM87:AM90" si="264">SUM(AF87:AL87)+AT87+AV87+AX87</f>
        <v>6</v>
      </c>
      <c r="AN87" s="36"/>
      <c r="AO87" s="36"/>
      <c r="AP87" s="36"/>
      <c r="AQ87" s="36"/>
      <c r="AR87" s="36">
        <f>SUM(AN87:AQ87)</f>
        <v>0</v>
      </c>
      <c r="AS87" s="36"/>
      <c r="AT87" s="36"/>
      <c r="AU87" s="36"/>
      <c r="AV87" s="36"/>
      <c r="AW87" s="36"/>
      <c r="AX87" s="36"/>
      <c r="AY87" s="36"/>
      <c r="AZ87" s="36"/>
      <c r="BA87" s="36">
        <f>+AR87+AS87+AU87+AW87+AY87+AZ87</f>
        <v>0</v>
      </c>
      <c r="BB87" s="32">
        <v>2</v>
      </c>
      <c r="BC87" s="50"/>
      <c r="BD87" s="50"/>
      <c r="BE87" s="32"/>
      <c r="BF87" s="50"/>
    </row>
    <row r="88" spans="1:58" ht="12.95" customHeight="1">
      <c r="A88" s="39"/>
      <c r="B88" s="40"/>
      <c r="C88" s="413"/>
      <c r="D88" s="40"/>
      <c r="E88" s="41"/>
      <c r="F88" s="41"/>
      <c r="G88" s="497"/>
      <c r="H88" s="43"/>
      <c r="I88" s="44"/>
      <c r="J88" s="81"/>
      <c r="K88" s="81"/>
      <c r="L88" s="34"/>
      <c r="M88" s="34"/>
      <c r="N88" s="45"/>
      <c r="O88" s="46"/>
      <c r="P88" s="47"/>
      <c r="Q88" s="46"/>
      <c r="R88" s="498"/>
      <c r="S88" s="498"/>
      <c r="T88" s="36"/>
      <c r="U88" s="36"/>
      <c r="V88" s="36"/>
      <c r="W88" s="36"/>
      <c r="X88" s="37"/>
      <c r="Y88" s="210"/>
      <c r="Z88" s="36"/>
      <c r="AA88" s="36"/>
      <c r="AB88" s="36"/>
      <c r="AC88" s="36"/>
      <c r="AD88" s="36">
        <f>+AM88+BA88</f>
        <v>0</v>
      </c>
      <c r="AE88" s="229" t="s">
        <v>283</v>
      </c>
      <c r="AF88" s="36"/>
      <c r="AG88" s="36">
        <v>0</v>
      </c>
      <c r="AH88" s="36"/>
      <c r="AI88" s="500"/>
      <c r="AJ88" s="36"/>
      <c r="AK88" s="36"/>
      <c r="AL88" s="36"/>
      <c r="AM88" s="36">
        <f t="shared" si="264"/>
        <v>0</v>
      </c>
      <c r="AN88" s="82"/>
      <c r="AO88" s="36"/>
      <c r="AP88" s="36"/>
      <c r="AQ88" s="36"/>
      <c r="AR88" s="36">
        <f t="shared" ref="AR88:AR90" si="265">SUM(AN88:AQ88)</f>
        <v>0</v>
      </c>
      <c r="AS88" s="36"/>
      <c r="AT88" s="36"/>
      <c r="AU88" s="36"/>
      <c r="AV88" s="36"/>
      <c r="AW88" s="36"/>
      <c r="AX88" s="36"/>
      <c r="AY88" s="36"/>
      <c r="AZ88" s="36"/>
      <c r="BA88" s="36">
        <f>+AR88+AS88+AU88+AW88+AY88+AZ88</f>
        <v>0</v>
      </c>
      <c r="BB88" s="49"/>
      <c r="BC88" s="50">
        <v>0</v>
      </c>
      <c r="BD88" s="50"/>
      <c r="BE88" s="49"/>
      <c r="BF88" s="50"/>
    </row>
    <row r="89" spans="1:58" ht="12.95" customHeight="1">
      <c r="A89" s="39"/>
      <c r="B89" s="40"/>
      <c r="C89" s="413"/>
      <c r="D89" s="40"/>
      <c r="E89" s="41"/>
      <c r="F89" s="41"/>
      <c r="G89" s="497"/>
      <c r="H89" s="43"/>
      <c r="I89" s="44"/>
      <c r="J89" s="81"/>
      <c r="K89" s="81"/>
      <c r="L89" s="34"/>
      <c r="M89" s="34"/>
      <c r="N89" s="45"/>
      <c r="O89" s="46"/>
      <c r="P89" s="47"/>
      <c r="Q89" s="46"/>
      <c r="R89" s="498"/>
      <c r="S89" s="498"/>
      <c r="T89" s="36"/>
      <c r="U89" s="36"/>
      <c r="V89" s="36"/>
      <c r="W89" s="36"/>
      <c r="X89" s="37"/>
      <c r="Y89" s="210"/>
      <c r="Z89" s="36"/>
      <c r="AA89" s="36"/>
      <c r="AB89" s="36"/>
      <c r="AC89" s="36"/>
      <c r="AD89" s="36">
        <f>+AM89+BA89</f>
        <v>8</v>
      </c>
      <c r="AE89" s="229" t="s">
        <v>677</v>
      </c>
      <c r="AF89" s="32"/>
      <c r="AG89" s="32"/>
      <c r="AH89" s="32">
        <v>8</v>
      </c>
      <c r="AJ89" s="36"/>
      <c r="AK89" s="36"/>
      <c r="AL89" s="36"/>
      <c r="AM89" s="36">
        <f t="shared" si="264"/>
        <v>8</v>
      </c>
      <c r="AN89" s="36"/>
      <c r="AO89" s="36"/>
      <c r="AP89" s="36"/>
      <c r="AQ89" s="36"/>
      <c r="AR89" s="36">
        <f t="shared" si="265"/>
        <v>0</v>
      </c>
      <c r="AS89" s="36"/>
      <c r="AT89" s="36"/>
      <c r="AU89" s="36"/>
      <c r="AV89" s="36"/>
      <c r="AW89" s="36"/>
      <c r="AX89" s="36"/>
      <c r="AY89" s="36"/>
      <c r="AZ89" s="36"/>
      <c r="BA89" s="36">
        <f>+AR89+AS89+AU89+AW89+AY89+AZ89</f>
        <v>0</v>
      </c>
      <c r="BB89" s="32"/>
      <c r="BC89" s="501"/>
      <c r="BD89" s="501"/>
      <c r="BE89" s="32"/>
      <c r="BF89" s="501"/>
    </row>
    <row r="90" spans="1:58" ht="12.95" customHeight="1">
      <c r="A90" s="39"/>
      <c r="B90" s="40"/>
      <c r="C90" s="413"/>
      <c r="D90" s="40"/>
      <c r="E90" s="41"/>
      <c r="F90" s="41"/>
      <c r="G90" s="497"/>
      <c r="H90" s="43"/>
      <c r="I90" s="44"/>
      <c r="J90" s="81"/>
      <c r="K90" s="81"/>
      <c r="L90" s="34"/>
      <c r="M90" s="34"/>
      <c r="N90" s="45"/>
      <c r="O90" s="46"/>
      <c r="P90" s="47"/>
      <c r="Q90" s="46"/>
      <c r="R90" s="498"/>
      <c r="S90" s="498"/>
      <c r="T90" s="36"/>
      <c r="U90" s="36"/>
      <c r="V90" s="36"/>
      <c r="W90" s="36"/>
      <c r="X90" s="37"/>
      <c r="Y90" s="210"/>
      <c r="Z90" s="36"/>
      <c r="AA90" s="36"/>
      <c r="AB90" s="36"/>
      <c r="AC90" s="36"/>
      <c r="AD90" s="36">
        <f>+AM90+BA90</f>
        <v>1265</v>
      </c>
      <c r="AE90" s="229" t="s">
        <v>679</v>
      </c>
      <c r="AF90" s="32"/>
      <c r="AG90" s="32"/>
      <c r="AH90" s="32"/>
      <c r="AJ90" s="36"/>
      <c r="AK90" s="36"/>
      <c r="AL90" s="36"/>
      <c r="AM90" s="36">
        <f t="shared" si="264"/>
        <v>0</v>
      </c>
      <c r="AN90" s="36"/>
      <c r="AO90" s="36"/>
      <c r="AP90" s="36"/>
      <c r="AQ90" s="36"/>
      <c r="AR90" s="36">
        <f t="shared" si="265"/>
        <v>0</v>
      </c>
      <c r="AS90" s="36"/>
      <c r="AT90" s="36"/>
      <c r="AU90" s="36"/>
      <c r="AV90" s="36"/>
      <c r="AW90" s="36"/>
      <c r="AX90" s="36"/>
      <c r="AY90" s="36"/>
      <c r="AZ90" s="36">
        <v>1265</v>
      </c>
      <c r="BA90" s="36">
        <f>+AR90+AS90+AU90+AW90+AY90+AZ90</f>
        <v>1265</v>
      </c>
      <c r="BB90" s="32"/>
      <c r="BC90" s="501"/>
      <c r="BD90" s="501"/>
      <c r="BE90" s="32"/>
      <c r="BF90" s="501"/>
    </row>
    <row r="91" spans="1:58" ht="13.5" customHeight="1">
      <c r="A91" s="39"/>
      <c r="B91" s="40"/>
      <c r="C91" s="413"/>
      <c r="D91" s="40"/>
      <c r="E91" s="41"/>
      <c r="F91" s="41"/>
      <c r="G91" s="497"/>
      <c r="H91" s="43"/>
      <c r="I91" s="44"/>
      <c r="J91" s="81"/>
      <c r="K91" s="81"/>
      <c r="L91" s="34"/>
      <c r="M91" s="34"/>
      <c r="N91" s="45"/>
      <c r="O91" s="46"/>
      <c r="P91" s="47"/>
      <c r="Q91" s="46"/>
      <c r="R91" s="498"/>
      <c r="S91" s="498"/>
      <c r="T91" s="36"/>
      <c r="U91" s="36"/>
      <c r="V91" s="36"/>
      <c r="W91" s="36"/>
      <c r="X91" s="499"/>
      <c r="Y91" s="210"/>
      <c r="Z91" s="36"/>
      <c r="AA91" s="48"/>
      <c r="AB91" s="48"/>
      <c r="AC91" s="36"/>
      <c r="AD91" s="36"/>
      <c r="AE91" s="229"/>
      <c r="AF91" s="36"/>
      <c r="AG91" s="36"/>
      <c r="AH91" s="36"/>
      <c r="AI91" s="500"/>
      <c r="AJ91" s="36"/>
      <c r="AK91" s="36"/>
      <c r="AL91" s="36"/>
      <c r="AM91" s="36"/>
      <c r="AN91" s="36"/>
      <c r="AO91" s="36"/>
      <c r="AP91" s="36"/>
      <c r="AQ91" s="36"/>
      <c r="AR91" s="36"/>
      <c r="AS91" s="36"/>
      <c r="AT91" s="36"/>
      <c r="AU91" s="36"/>
      <c r="AV91" s="36"/>
      <c r="AW91" s="36"/>
      <c r="AX91" s="36"/>
      <c r="AY91" s="36"/>
      <c r="AZ91" s="36"/>
      <c r="BA91" s="36"/>
      <c r="BB91" s="32"/>
      <c r="BC91" s="50"/>
      <c r="BD91" s="50"/>
      <c r="BE91" s="50"/>
      <c r="BF91" s="50"/>
    </row>
    <row r="92" spans="1:58" ht="12.75" customHeight="1">
      <c r="A92" s="39">
        <v>46099</v>
      </c>
      <c r="B92" s="40" t="s">
        <v>551</v>
      </c>
      <c r="C92" s="413">
        <f t="shared" ref="C92" si="266">(M92*E92*O92*Q92)/100000000</f>
        <v>44.209152000000003</v>
      </c>
      <c r="D92" s="40" t="s">
        <v>301</v>
      </c>
      <c r="E92" s="41">
        <v>12.5</v>
      </c>
      <c r="F92" s="41">
        <v>1</v>
      </c>
      <c r="G92" s="497">
        <v>1230</v>
      </c>
      <c r="H92" s="43">
        <f t="shared" ref="H92" si="267">+N92</f>
        <v>0.21999999999999997</v>
      </c>
      <c r="I92" s="44">
        <v>0.88</v>
      </c>
      <c r="J92" s="81">
        <f t="shared" ref="J92" si="268">E92*G92*(1-H92)*1440/1000000*2.74</f>
        <v>47.317608000000007</v>
      </c>
      <c r="K92" s="81">
        <f t="shared" ref="K92" si="269">(IF(G92&lt;L92,L92,G92)*(1-IF(H92&lt;N92,H92,N92))*E92*O92*Q92)/100000000</f>
        <v>44.209152000000003</v>
      </c>
      <c r="L92" s="34">
        <v>1230</v>
      </c>
      <c r="M92" s="34">
        <v>959.4</v>
      </c>
      <c r="N92" s="45">
        <f t="shared" ref="N92" si="270">1-(M92/L92)</f>
        <v>0.21999999999999997</v>
      </c>
      <c r="O92" s="46">
        <f>+'Trim Rwd'!H59</f>
        <v>256</v>
      </c>
      <c r="P92" s="47">
        <f t="shared" ref="P92" si="271">O92*(Q92-R92-S92)</f>
        <v>0</v>
      </c>
      <c r="Q92" s="46">
        <v>1440</v>
      </c>
      <c r="R92" s="498">
        <v>1440</v>
      </c>
      <c r="S92" s="498">
        <v>0</v>
      </c>
      <c r="T92" s="36">
        <f t="shared" ref="T92" si="272">E92*M92*O92*Q92/100000000</f>
        <v>44.209152000000003</v>
      </c>
      <c r="U92" s="36">
        <f t="shared" ref="U92" si="273">E92*M92*O92*(Q92-R92-S92)/100000000</f>
        <v>0</v>
      </c>
      <c r="V92" s="36">
        <f t="shared" ref="V92" si="274">E92*G92*(1-N92)*O92/100*(R92+S92)/1000000</f>
        <v>44.209152000000003</v>
      </c>
      <c r="W92" s="36">
        <f>+'18'!K34/1000</f>
        <v>0</v>
      </c>
      <c r="X92" s="499">
        <f>SUM(W92:W95)/SUM(K92:K95)</f>
        <v>0</v>
      </c>
      <c r="Y92" s="210">
        <v>0</v>
      </c>
      <c r="Z92" s="36">
        <v>0</v>
      </c>
      <c r="AA92" s="48">
        <f>SUM(U92:U95)-SUM(W92:W95)-SUM(Z92:Z95)-SUM(Y92:Y95)</f>
        <v>0</v>
      </c>
      <c r="AB92" s="48">
        <f>(SUM(K92:K95)-SUM(W92:W95)-SUM(Y92:Y95)-SUM(Z92:Z95)-SUM(AC92:AC95)-SUM(V92:V95))-AA92</f>
        <v>0</v>
      </c>
      <c r="AC92" s="36">
        <f>K92-T92</f>
        <v>0</v>
      </c>
      <c r="AD92" s="36">
        <f>+AM92+BA92</f>
        <v>0</v>
      </c>
      <c r="AE92" s="229" t="s">
        <v>384</v>
      </c>
      <c r="AF92" s="36">
        <v>0</v>
      </c>
      <c r="AG92" s="36"/>
      <c r="AH92" s="36"/>
      <c r="AI92" s="500"/>
      <c r="AJ92" s="36"/>
      <c r="AK92" s="36"/>
      <c r="AL92" s="36"/>
      <c r="AM92" s="36">
        <f t="shared" ref="AM92:AM95" si="275">SUM(AF92:AL92)+AT92+AV92+AX92</f>
        <v>0</v>
      </c>
      <c r="AN92" s="36"/>
      <c r="AO92" s="36"/>
      <c r="AP92" s="36"/>
      <c r="AQ92" s="36"/>
      <c r="AR92" s="36">
        <f>SUM(AN92:AQ92)</f>
        <v>0</v>
      </c>
      <c r="AS92" s="36"/>
      <c r="AT92" s="36"/>
      <c r="AU92" s="36"/>
      <c r="AV92" s="36"/>
      <c r="AW92" s="36"/>
      <c r="AX92" s="36"/>
      <c r="AY92" s="36"/>
      <c r="AZ92" s="36"/>
      <c r="BA92" s="36">
        <f>+AR92+AS92+AU92+AW92+AY92+AZ92</f>
        <v>0</v>
      </c>
      <c r="BB92" s="32">
        <v>0</v>
      </c>
      <c r="BC92" s="50"/>
      <c r="BD92" s="50"/>
      <c r="BE92" s="32"/>
      <c r="BF92" s="50"/>
    </row>
    <row r="93" spans="1:58" ht="12.95" customHeight="1">
      <c r="A93" s="39"/>
      <c r="B93" s="40"/>
      <c r="C93" s="413"/>
      <c r="D93" s="40"/>
      <c r="E93" s="41"/>
      <c r="F93" s="41"/>
      <c r="G93" s="497"/>
      <c r="H93" s="43"/>
      <c r="I93" s="44"/>
      <c r="J93" s="81"/>
      <c r="K93" s="81"/>
      <c r="L93" s="34"/>
      <c r="M93" s="34"/>
      <c r="N93" s="45"/>
      <c r="O93" s="46"/>
      <c r="P93" s="47"/>
      <c r="Q93" s="46"/>
      <c r="R93" s="498"/>
      <c r="S93" s="498"/>
      <c r="T93" s="36"/>
      <c r="U93" s="36"/>
      <c r="V93" s="36"/>
      <c r="W93" s="36"/>
      <c r="X93" s="37"/>
      <c r="Y93" s="210"/>
      <c r="Z93" s="36"/>
      <c r="AA93" s="36"/>
      <c r="AB93" s="36"/>
      <c r="AC93" s="36"/>
      <c r="AD93" s="36">
        <f>+AM93+BA93</f>
        <v>0</v>
      </c>
      <c r="AE93" s="229" t="s">
        <v>283</v>
      </c>
      <c r="AF93" s="36"/>
      <c r="AG93" s="36">
        <v>0</v>
      </c>
      <c r="AH93" s="36"/>
      <c r="AI93" s="500"/>
      <c r="AJ93" s="36"/>
      <c r="AK93" s="36"/>
      <c r="AL93" s="36"/>
      <c r="AM93" s="36">
        <f t="shared" si="275"/>
        <v>0</v>
      </c>
      <c r="AN93" s="82"/>
      <c r="AO93" s="36"/>
      <c r="AP93" s="36"/>
      <c r="AQ93" s="36"/>
      <c r="AR93" s="36">
        <f t="shared" ref="AR93:AR95" si="276">SUM(AN93:AQ93)</f>
        <v>0</v>
      </c>
      <c r="AS93" s="36"/>
      <c r="AT93" s="36"/>
      <c r="AU93" s="36"/>
      <c r="AV93" s="36"/>
      <c r="AW93" s="36"/>
      <c r="AX93" s="36"/>
      <c r="AY93" s="36"/>
      <c r="AZ93" s="36"/>
      <c r="BA93" s="36">
        <f>+AR93+AS93+AU93+AW93+AY93+AZ93</f>
        <v>0</v>
      </c>
      <c r="BB93" s="49"/>
      <c r="BC93" s="50">
        <v>0</v>
      </c>
      <c r="BD93" s="50"/>
      <c r="BE93" s="49"/>
      <c r="BF93" s="50"/>
    </row>
    <row r="94" spans="1:58" ht="12.95" customHeight="1">
      <c r="A94" s="39"/>
      <c r="B94" s="40"/>
      <c r="C94" s="413"/>
      <c r="D94" s="40"/>
      <c r="E94" s="41"/>
      <c r="F94" s="41"/>
      <c r="G94" s="497"/>
      <c r="H94" s="43"/>
      <c r="I94" s="44"/>
      <c r="J94" s="81"/>
      <c r="K94" s="81"/>
      <c r="L94" s="34"/>
      <c r="M94" s="34"/>
      <c r="N94" s="45"/>
      <c r="O94" s="46"/>
      <c r="P94" s="47"/>
      <c r="Q94" s="46"/>
      <c r="R94" s="498"/>
      <c r="S94" s="498"/>
      <c r="T94" s="36"/>
      <c r="U94" s="36"/>
      <c r="V94" s="36"/>
      <c r="W94" s="36"/>
      <c r="X94" s="37"/>
      <c r="Y94" s="210"/>
      <c r="Z94" s="36"/>
      <c r="AA94" s="36"/>
      <c r="AB94" s="36"/>
      <c r="AC94" s="36"/>
      <c r="AD94" s="36">
        <f>+AM94+BA94</f>
        <v>0</v>
      </c>
      <c r="AE94" s="229" t="s">
        <v>496</v>
      </c>
      <c r="AF94" s="32"/>
      <c r="AG94" s="32"/>
      <c r="AH94" s="32">
        <v>0</v>
      </c>
      <c r="AI94" s="500"/>
      <c r="AJ94" s="36"/>
      <c r="AK94" s="36"/>
      <c r="AL94" s="36"/>
      <c r="AM94" s="36">
        <f t="shared" si="275"/>
        <v>0</v>
      </c>
      <c r="AN94" s="36"/>
      <c r="AO94" s="36"/>
      <c r="AP94" s="36"/>
      <c r="AQ94" s="36"/>
      <c r="AR94" s="36">
        <f t="shared" si="276"/>
        <v>0</v>
      </c>
      <c r="AS94" s="36"/>
      <c r="AT94" s="36"/>
      <c r="AU94" s="36"/>
      <c r="AV94" s="36"/>
      <c r="AW94" s="36"/>
      <c r="AX94" s="36"/>
      <c r="AY94" s="36"/>
      <c r="AZ94" s="36"/>
      <c r="BA94" s="36">
        <f>+AR94+AS94+AU94+AW94+AY94+AZ94</f>
        <v>0</v>
      </c>
      <c r="BB94" s="32"/>
      <c r="BC94" s="501"/>
      <c r="BD94" s="501"/>
      <c r="BE94" s="32"/>
      <c r="BF94" s="501"/>
    </row>
    <row r="95" spans="1:58" ht="12.95" customHeight="1">
      <c r="A95" s="39"/>
      <c r="B95" s="40"/>
      <c r="C95" s="413"/>
      <c r="D95" s="40"/>
      <c r="E95" s="41"/>
      <c r="F95" s="41"/>
      <c r="G95" s="497"/>
      <c r="H95" s="43"/>
      <c r="I95" s="44"/>
      <c r="J95" s="81"/>
      <c r="K95" s="81"/>
      <c r="L95" s="34"/>
      <c r="M95" s="34"/>
      <c r="N95" s="45"/>
      <c r="O95" s="46"/>
      <c r="P95" s="47"/>
      <c r="Q95" s="46"/>
      <c r="R95" s="498"/>
      <c r="S95" s="498"/>
      <c r="T95" s="36"/>
      <c r="U95" s="36"/>
      <c r="V95" s="36"/>
      <c r="W95" s="36"/>
      <c r="X95" s="37"/>
      <c r="Y95" s="210"/>
      <c r="Z95" s="36"/>
      <c r="AA95" s="36"/>
      <c r="AB95" s="36"/>
      <c r="AC95" s="36"/>
      <c r="AD95" s="36">
        <f>+AM95+BA95</f>
        <v>1440</v>
      </c>
      <c r="AE95" s="229" t="s">
        <v>685</v>
      </c>
      <c r="AF95" s="32"/>
      <c r="AG95" s="32"/>
      <c r="AH95" s="32"/>
      <c r="AJ95" s="36"/>
      <c r="AK95" s="36"/>
      <c r="AL95" s="36"/>
      <c r="AM95" s="36">
        <f t="shared" si="275"/>
        <v>0</v>
      </c>
      <c r="AN95" s="36"/>
      <c r="AO95" s="36"/>
      <c r="AP95" s="36"/>
      <c r="AQ95" s="36"/>
      <c r="AR95" s="36">
        <f t="shared" si="276"/>
        <v>0</v>
      </c>
      <c r="AS95" s="36"/>
      <c r="AT95" s="36"/>
      <c r="AU95" s="36"/>
      <c r="AV95" s="36"/>
      <c r="AW95" s="36"/>
      <c r="AX95" s="36"/>
      <c r="AY95" s="36"/>
      <c r="AZ95" s="36">
        <v>1440</v>
      </c>
      <c r="BA95" s="36">
        <f>+AR95+AS95+AU95+AW95+AY95+AZ95</f>
        <v>1440</v>
      </c>
      <c r="BB95" s="32"/>
      <c r="BC95" s="501"/>
      <c r="BD95" s="501"/>
      <c r="BE95" s="32"/>
      <c r="BF95" s="501"/>
    </row>
    <row r="96" spans="1:58" ht="13.5" customHeight="1">
      <c r="A96" s="39"/>
      <c r="B96" s="40"/>
      <c r="C96" s="413"/>
      <c r="D96" s="40"/>
      <c r="E96" s="41"/>
      <c r="F96" s="41"/>
      <c r="G96" s="497"/>
      <c r="H96" s="43"/>
      <c r="I96" s="44"/>
      <c r="J96" s="81"/>
      <c r="K96" s="81"/>
      <c r="L96" s="34"/>
      <c r="M96" s="34"/>
      <c r="N96" s="45"/>
      <c r="O96" s="46"/>
      <c r="P96" s="47"/>
      <c r="Q96" s="46"/>
      <c r="R96" s="498"/>
      <c r="S96" s="498"/>
      <c r="T96" s="36"/>
      <c r="U96" s="36"/>
      <c r="V96" s="36"/>
      <c r="W96" s="36"/>
      <c r="X96" s="499"/>
      <c r="Y96" s="210"/>
      <c r="Z96" s="36"/>
      <c r="AA96" s="48"/>
      <c r="AB96" s="48"/>
      <c r="AC96" s="36"/>
      <c r="AD96" s="36"/>
      <c r="AE96" s="229"/>
      <c r="AF96" s="36"/>
      <c r="AG96" s="36"/>
      <c r="AH96" s="36"/>
      <c r="AI96" s="500"/>
      <c r="AJ96" s="36"/>
      <c r="AK96" s="36"/>
      <c r="AL96" s="36"/>
      <c r="AM96" s="36"/>
      <c r="AN96" s="36"/>
      <c r="AO96" s="36"/>
      <c r="AP96" s="36"/>
      <c r="AQ96" s="36"/>
      <c r="AR96" s="36"/>
      <c r="AS96" s="36"/>
      <c r="AT96" s="36"/>
      <c r="AU96" s="36"/>
      <c r="AV96" s="36"/>
      <c r="AW96" s="36"/>
      <c r="AX96" s="36"/>
      <c r="AY96" s="36"/>
      <c r="AZ96" s="36"/>
      <c r="BA96" s="36"/>
      <c r="BB96" s="32"/>
      <c r="BC96" s="50"/>
      <c r="BD96" s="50"/>
      <c r="BE96" s="50"/>
      <c r="BF96" s="50"/>
    </row>
    <row r="97" spans="1:58" ht="12.75" customHeight="1">
      <c r="A97" s="39">
        <v>46100</v>
      </c>
      <c r="B97" s="40" t="s">
        <v>551</v>
      </c>
      <c r="C97" s="413">
        <f t="shared" ref="C97" si="277">(M97*E97*O97*Q97)/100000000</f>
        <v>44.209152000000003</v>
      </c>
      <c r="D97" s="40" t="s">
        <v>301</v>
      </c>
      <c r="E97" s="41">
        <v>12.5</v>
      </c>
      <c r="F97" s="41">
        <v>1</v>
      </c>
      <c r="G97" s="497">
        <v>1230</v>
      </c>
      <c r="H97" s="43">
        <f t="shared" ref="H97" si="278">+N97</f>
        <v>0.21999999999999997</v>
      </c>
      <c r="I97" s="44">
        <v>0.88</v>
      </c>
      <c r="J97" s="81">
        <f t="shared" ref="J97" si="279">E97*G97*(1-H97)*1440/1000000*2.74</f>
        <v>47.317608000000007</v>
      </c>
      <c r="K97" s="81">
        <f t="shared" ref="K97" si="280">(IF(G97&lt;L97,L97,G97)*(1-IF(H97&lt;N97,H97,N97))*E97*O97*Q97)/100000000</f>
        <v>44.209152000000003</v>
      </c>
      <c r="L97" s="34">
        <v>1230</v>
      </c>
      <c r="M97" s="34">
        <v>959.4</v>
      </c>
      <c r="N97" s="45">
        <f t="shared" ref="N97" si="281">1-(M97/L97)</f>
        <v>0.21999999999999997</v>
      </c>
      <c r="O97" s="46">
        <f>+'Trim Rwd'!H61</f>
        <v>256</v>
      </c>
      <c r="P97" s="47">
        <f t="shared" ref="P97" si="282">O97*(Q97-R97-S97)</f>
        <v>0</v>
      </c>
      <c r="Q97" s="46">
        <v>1440</v>
      </c>
      <c r="R97" s="498">
        <v>1440</v>
      </c>
      <c r="S97" s="498">
        <v>0</v>
      </c>
      <c r="T97" s="36">
        <f t="shared" ref="T97" si="283">E97*M97*O97*Q97/100000000</f>
        <v>44.209152000000003</v>
      </c>
      <c r="U97" s="36">
        <f t="shared" ref="U97" si="284">E97*M97*O97*(Q97-R97-S97)/100000000</f>
        <v>0</v>
      </c>
      <c r="V97" s="36">
        <f t="shared" ref="V97" si="285">E97*G97*(1-N97)*O97/100*(R97+S97)/1000000</f>
        <v>44.209152000000003</v>
      </c>
      <c r="W97" s="36">
        <f>+'19'!K34/1000</f>
        <v>0</v>
      </c>
      <c r="X97" s="499">
        <f>SUM(W97:W100)/SUM(K97:K100)</f>
        <v>0</v>
      </c>
      <c r="Y97" s="210">
        <v>0</v>
      </c>
      <c r="Z97" s="36">
        <v>0</v>
      </c>
      <c r="AA97" s="48">
        <f>SUM(U97:U100)-SUM(W97:W100)-SUM(Z97:Z100)-SUM(Y97:Y100)</f>
        <v>0</v>
      </c>
      <c r="AB97" s="48">
        <f>(SUM(K97:K100)-SUM(W97:W100)-SUM(Y97:Y100)-SUM(Z97:Z100)-SUM(AC97:AC100)-SUM(V97:V100))-AA97</f>
        <v>0</v>
      </c>
      <c r="AC97" s="36">
        <f>K97-T97</f>
        <v>0</v>
      </c>
      <c r="AD97" s="36">
        <f>+AM97+BA97</f>
        <v>0</v>
      </c>
      <c r="AE97" s="229" t="s">
        <v>384</v>
      </c>
      <c r="AF97" s="36">
        <v>0</v>
      </c>
      <c r="AG97" s="36"/>
      <c r="AH97" s="36"/>
      <c r="AI97" s="500"/>
      <c r="AJ97" s="36"/>
      <c r="AK97" s="36"/>
      <c r="AL97" s="36"/>
      <c r="AM97" s="36">
        <f t="shared" ref="AM97:AM100" si="286">SUM(AF97:AL97)+AT97+AV97+AX97</f>
        <v>0</v>
      </c>
      <c r="AN97" s="36"/>
      <c r="AO97" s="36"/>
      <c r="AP97" s="36"/>
      <c r="AQ97" s="36"/>
      <c r="AR97" s="36">
        <f>SUM(AN97:AQ97)</f>
        <v>0</v>
      </c>
      <c r="AS97" s="36"/>
      <c r="AT97" s="36"/>
      <c r="AU97" s="36"/>
      <c r="AV97" s="36"/>
      <c r="AW97" s="36"/>
      <c r="AX97" s="36"/>
      <c r="AY97" s="36"/>
      <c r="AZ97" s="36"/>
      <c r="BA97" s="36">
        <f>+AR97+AS97+AU97+AW97+AY97+AZ97</f>
        <v>0</v>
      </c>
      <c r="BB97" s="32">
        <v>0</v>
      </c>
      <c r="BC97" s="50"/>
      <c r="BD97" s="50"/>
      <c r="BE97" s="32"/>
      <c r="BF97" s="50"/>
    </row>
    <row r="98" spans="1:58" ht="12.95" customHeight="1">
      <c r="A98" s="39"/>
      <c r="B98" s="40"/>
      <c r="C98" s="413"/>
      <c r="D98" s="40"/>
      <c r="E98" s="41"/>
      <c r="F98" s="41"/>
      <c r="G98" s="497"/>
      <c r="H98" s="43"/>
      <c r="I98" s="44"/>
      <c r="J98" s="81"/>
      <c r="K98" s="81"/>
      <c r="L98" s="34"/>
      <c r="M98" s="34"/>
      <c r="N98" s="45"/>
      <c r="O98" s="46"/>
      <c r="P98" s="47"/>
      <c r="Q98" s="46"/>
      <c r="R98" s="498"/>
      <c r="S98" s="498"/>
      <c r="T98" s="36"/>
      <c r="U98" s="36"/>
      <c r="V98" s="36"/>
      <c r="W98" s="36"/>
      <c r="X98" s="37"/>
      <c r="Y98" s="210"/>
      <c r="Z98" s="36"/>
      <c r="AA98" s="36"/>
      <c r="AB98" s="36"/>
      <c r="AC98" s="36"/>
      <c r="AD98" s="36">
        <f>+AM98+BA98</f>
        <v>0</v>
      </c>
      <c r="AE98" s="229" t="s">
        <v>283</v>
      </c>
      <c r="AF98" s="36"/>
      <c r="AG98" s="36">
        <v>0</v>
      </c>
      <c r="AH98" s="36"/>
      <c r="AI98" s="500"/>
      <c r="AJ98" s="36"/>
      <c r="AK98" s="36"/>
      <c r="AL98" s="36"/>
      <c r="AM98" s="36">
        <f t="shared" si="286"/>
        <v>0</v>
      </c>
      <c r="AN98" s="82"/>
      <c r="AO98" s="36"/>
      <c r="AP98" s="36"/>
      <c r="AQ98" s="36"/>
      <c r="AR98" s="36">
        <f t="shared" ref="AR98:AR100" si="287">SUM(AN98:AQ98)</f>
        <v>0</v>
      </c>
      <c r="AS98" s="36"/>
      <c r="AT98" s="36"/>
      <c r="AU98" s="36"/>
      <c r="AV98" s="36"/>
      <c r="AW98" s="36"/>
      <c r="AX98" s="36"/>
      <c r="AY98" s="36"/>
      <c r="AZ98" s="36"/>
      <c r="BA98" s="36">
        <f>+AR98+AS98+AU98+AW98+AY98+AZ98</f>
        <v>0</v>
      </c>
      <c r="BB98" s="49"/>
      <c r="BC98" s="50">
        <v>0</v>
      </c>
      <c r="BD98" s="50"/>
      <c r="BE98" s="49"/>
      <c r="BF98" s="50"/>
    </row>
    <row r="99" spans="1:58" ht="12.95" customHeight="1">
      <c r="A99" s="39"/>
      <c r="B99" s="40"/>
      <c r="C99" s="413"/>
      <c r="D99" s="40"/>
      <c r="E99" s="41"/>
      <c r="F99" s="41"/>
      <c r="G99" s="497"/>
      <c r="H99" s="43"/>
      <c r="I99" s="44"/>
      <c r="J99" s="81"/>
      <c r="K99" s="81"/>
      <c r="L99" s="34"/>
      <c r="M99" s="34"/>
      <c r="N99" s="45"/>
      <c r="O99" s="46"/>
      <c r="P99" s="47"/>
      <c r="Q99" s="46"/>
      <c r="R99" s="498"/>
      <c r="S99" s="498"/>
      <c r="T99" s="36"/>
      <c r="U99" s="36"/>
      <c r="V99" s="36"/>
      <c r="W99" s="36"/>
      <c r="X99" s="37"/>
      <c r="Y99" s="210"/>
      <c r="Z99" s="36"/>
      <c r="AA99" s="36"/>
      <c r="AB99" s="36"/>
      <c r="AC99" s="36"/>
      <c r="AD99" s="36">
        <f>+AM99+BA99</f>
        <v>0</v>
      </c>
      <c r="AE99" s="229" t="s">
        <v>496</v>
      </c>
      <c r="AF99" s="32"/>
      <c r="AG99" s="32"/>
      <c r="AH99" s="32">
        <v>0</v>
      </c>
      <c r="AI99" s="500"/>
      <c r="AJ99" s="36"/>
      <c r="AK99" s="36"/>
      <c r="AL99" s="36"/>
      <c r="AM99" s="36">
        <f t="shared" si="286"/>
        <v>0</v>
      </c>
      <c r="AN99" s="36"/>
      <c r="AO99" s="36"/>
      <c r="AP99" s="36"/>
      <c r="AQ99" s="36"/>
      <c r="AR99" s="36">
        <f t="shared" si="287"/>
        <v>0</v>
      </c>
      <c r="AS99" s="36"/>
      <c r="AT99" s="36"/>
      <c r="AU99" s="36"/>
      <c r="AV99" s="36"/>
      <c r="AW99" s="36"/>
      <c r="AX99" s="36"/>
      <c r="AY99" s="36"/>
      <c r="AZ99" s="36"/>
      <c r="BA99" s="36">
        <f>+AR99+AS99+AU99+AW99+AY99+AZ99</f>
        <v>0</v>
      </c>
      <c r="BB99" s="32"/>
      <c r="BC99" s="501"/>
      <c r="BD99" s="501"/>
      <c r="BE99" s="32"/>
      <c r="BF99" s="501"/>
    </row>
    <row r="100" spans="1:58" ht="12.95" customHeight="1">
      <c r="A100" s="39"/>
      <c r="B100" s="40"/>
      <c r="C100" s="413"/>
      <c r="D100" s="40"/>
      <c r="E100" s="41"/>
      <c r="F100" s="41"/>
      <c r="G100" s="497"/>
      <c r="H100" s="43"/>
      <c r="I100" s="44"/>
      <c r="J100" s="81"/>
      <c r="K100" s="81"/>
      <c r="L100" s="34"/>
      <c r="M100" s="34"/>
      <c r="N100" s="45"/>
      <c r="O100" s="46"/>
      <c r="P100" s="47"/>
      <c r="Q100" s="46"/>
      <c r="R100" s="498"/>
      <c r="S100" s="498"/>
      <c r="T100" s="36"/>
      <c r="U100" s="36"/>
      <c r="V100" s="36"/>
      <c r="W100" s="36"/>
      <c r="X100" s="37"/>
      <c r="Y100" s="210"/>
      <c r="Z100" s="36"/>
      <c r="AA100" s="36"/>
      <c r="AB100" s="36"/>
      <c r="AC100" s="36"/>
      <c r="AD100" s="36">
        <f>+AM100+BA100</f>
        <v>1440</v>
      </c>
      <c r="AE100" s="229" t="s">
        <v>685</v>
      </c>
      <c r="AF100" s="32"/>
      <c r="AG100" s="32"/>
      <c r="AH100" s="32"/>
      <c r="AJ100" s="36"/>
      <c r="AK100" s="36"/>
      <c r="AL100" s="36"/>
      <c r="AM100" s="36">
        <f t="shared" si="286"/>
        <v>0</v>
      </c>
      <c r="AN100" s="36"/>
      <c r="AO100" s="36"/>
      <c r="AP100" s="36"/>
      <c r="AQ100" s="36"/>
      <c r="AR100" s="36">
        <f t="shared" si="287"/>
        <v>0</v>
      </c>
      <c r="AS100" s="36"/>
      <c r="AT100" s="36"/>
      <c r="AU100" s="36"/>
      <c r="AV100" s="36"/>
      <c r="AW100" s="36"/>
      <c r="AX100" s="36"/>
      <c r="AY100" s="36"/>
      <c r="AZ100" s="36">
        <v>1440</v>
      </c>
      <c r="BA100" s="36">
        <f>+AR100+AS100+AU100+AW100+AY100+AZ100</f>
        <v>1440</v>
      </c>
      <c r="BB100" s="32"/>
      <c r="BC100" s="501"/>
      <c r="BD100" s="501"/>
      <c r="BE100" s="32"/>
      <c r="BF100" s="501"/>
    </row>
    <row r="101" spans="1:58" ht="13.5" customHeight="1">
      <c r="A101" s="39"/>
      <c r="B101" s="40"/>
      <c r="C101" s="413"/>
      <c r="D101" s="40"/>
      <c r="E101" s="41"/>
      <c r="F101" s="41"/>
      <c r="G101" s="497"/>
      <c r="H101" s="43"/>
      <c r="I101" s="44"/>
      <c r="J101" s="81"/>
      <c r="K101" s="81"/>
      <c r="L101" s="34"/>
      <c r="M101" s="34"/>
      <c r="N101" s="45"/>
      <c r="O101" s="46"/>
      <c r="P101" s="47"/>
      <c r="Q101" s="46"/>
      <c r="R101" s="498"/>
      <c r="S101" s="498"/>
      <c r="T101" s="36"/>
      <c r="U101" s="36"/>
      <c r="V101" s="36"/>
      <c r="W101" s="36"/>
      <c r="X101" s="499"/>
      <c r="Y101" s="210"/>
      <c r="Z101" s="36"/>
      <c r="AA101" s="48"/>
      <c r="AB101" s="48"/>
      <c r="AC101" s="36"/>
      <c r="AD101" s="36"/>
      <c r="AE101" s="229"/>
      <c r="AF101" s="36"/>
      <c r="AG101" s="36"/>
      <c r="AH101" s="36"/>
      <c r="AI101" s="500"/>
      <c r="AJ101" s="36"/>
      <c r="AK101" s="36"/>
      <c r="AL101" s="36"/>
      <c r="AM101" s="36"/>
      <c r="AN101" s="36"/>
      <c r="AO101" s="36"/>
      <c r="AP101" s="36"/>
      <c r="AQ101" s="36"/>
      <c r="AR101" s="36"/>
      <c r="AS101" s="36"/>
      <c r="AT101" s="36"/>
      <c r="AU101" s="36"/>
      <c r="AV101" s="36"/>
      <c r="AW101" s="36"/>
      <c r="AX101" s="36"/>
      <c r="AY101" s="36"/>
      <c r="AZ101" s="36"/>
      <c r="BA101" s="36"/>
      <c r="BB101" s="32"/>
      <c r="BC101" s="50"/>
      <c r="BD101" s="50"/>
      <c r="BE101" s="50"/>
      <c r="BF101" s="50"/>
    </row>
    <row r="102" spans="1:58" ht="12.75" customHeight="1">
      <c r="A102" s="39">
        <v>46101</v>
      </c>
      <c r="B102" s="40" t="s">
        <v>551</v>
      </c>
      <c r="C102" s="413">
        <f t="shared" ref="C102" si="288">(M102*E102*O102*Q102)/100000000</f>
        <v>44.209152000000003</v>
      </c>
      <c r="D102" s="40" t="s">
        <v>301</v>
      </c>
      <c r="E102" s="41">
        <v>12.5</v>
      </c>
      <c r="F102" s="41">
        <v>1</v>
      </c>
      <c r="G102" s="497">
        <v>1230</v>
      </c>
      <c r="H102" s="43">
        <f t="shared" ref="H102" si="289">+N102</f>
        <v>0.21999999999999997</v>
      </c>
      <c r="I102" s="44">
        <v>0.88</v>
      </c>
      <c r="J102" s="81">
        <f t="shared" ref="J102" si="290">E102*G102*(1-H102)*1440/1000000*2.74</f>
        <v>47.317608000000007</v>
      </c>
      <c r="K102" s="81">
        <f t="shared" ref="K102" si="291">(IF(G102&lt;L102,L102,G102)*(1-IF(H102&lt;N102,H102,N102))*E102*O102*Q102)/100000000</f>
        <v>44.209152000000003</v>
      </c>
      <c r="L102" s="34">
        <v>1230</v>
      </c>
      <c r="M102" s="34">
        <v>959.4</v>
      </c>
      <c r="N102" s="45">
        <f t="shared" ref="N102" si="292">1-(M102/L102)</f>
        <v>0.21999999999999997</v>
      </c>
      <c r="O102" s="46">
        <f>+'Trim Rwd'!H63</f>
        <v>256</v>
      </c>
      <c r="P102" s="47">
        <f t="shared" ref="P102" si="293">O102*(Q102-R102-S102)</f>
        <v>0</v>
      </c>
      <c r="Q102" s="46">
        <v>1440</v>
      </c>
      <c r="R102" s="498">
        <v>1440</v>
      </c>
      <c r="S102" s="498">
        <v>0</v>
      </c>
      <c r="T102" s="36">
        <f t="shared" ref="T102" si="294">E102*M102*O102*Q102/100000000</f>
        <v>44.209152000000003</v>
      </c>
      <c r="U102" s="36">
        <f t="shared" ref="U102" si="295">E102*M102*O102*(Q102-R102-S102)/100000000</f>
        <v>0</v>
      </c>
      <c r="V102" s="36">
        <f t="shared" ref="V102" si="296">E102*G102*(1-N102)*O102/100*(R102+S102)/1000000</f>
        <v>44.209152000000003</v>
      </c>
      <c r="W102" s="36">
        <v>0</v>
      </c>
      <c r="X102" s="499">
        <f>SUM(W102:W105)/SUM(K102:K105)</f>
        <v>0</v>
      </c>
      <c r="Y102" s="210">
        <v>0</v>
      </c>
      <c r="Z102" s="36">
        <v>0</v>
      </c>
      <c r="AA102" s="48">
        <f>SUM(U102:U105)-SUM(W102:W105)-SUM(Z102:Z105)-SUM(Y102:Y105)</f>
        <v>0</v>
      </c>
      <c r="AB102" s="48">
        <f>(SUM(K102:K105)-SUM(W102:W105)-SUM(Y102:Y105)-SUM(Z102:Z105)-SUM(AC102:AC105)-SUM(V102:V105))-AA102</f>
        <v>0</v>
      </c>
      <c r="AC102" s="36">
        <f>K102-T102</f>
        <v>0</v>
      </c>
      <c r="AD102" s="36">
        <f>+AM102+BA102</f>
        <v>0</v>
      </c>
      <c r="AE102" s="229" t="s">
        <v>384</v>
      </c>
      <c r="AF102" s="36">
        <v>0</v>
      </c>
      <c r="AG102" s="36"/>
      <c r="AH102" s="36"/>
      <c r="AI102" s="500"/>
      <c r="AJ102" s="36"/>
      <c r="AK102" s="36"/>
      <c r="AL102" s="36"/>
      <c r="AM102" s="36">
        <f t="shared" ref="AM102:AM105" si="297">SUM(AF102:AL102)+AT102+AV102+AX102</f>
        <v>0</v>
      </c>
      <c r="AN102" s="36"/>
      <c r="AO102" s="36"/>
      <c r="AP102" s="36"/>
      <c r="AQ102" s="36"/>
      <c r="AR102" s="36">
        <f>SUM(AN102:AQ102)</f>
        <v>0</v>
      </c>
      <c r="AS102" s="36"/>
      <c r="AT102" s="36"/>
      <c r="AU102" s="36"/>
      <c r="AV102" s="36"/>
      <c r="AW102" s="36"/>
      <c r="AX102" s="36"/>
      <c r="AY102" s="36"/>
      <c r="AZ102" s="36"/>
      <c r="BA102" s="36">
        <f>+AR102+AS102+AU102+AW102+AY102+AZ102</f>
        <v>0</v>
      </c>
      <c r="BB102" s="32">
        <v>0</v>
      </c>
      <c r="BC102" s="50"/>
      <c r="BD102" s="50"/>
      <c r="BE102" s="32"/>
      <c r="BF102" s="50"/>
    </row>
    <row r="103" spans="1:58" ht="12.95" customHeight="1">
      <c r="A103" s="39"/>
      <c r="B103" s="40"/>
      <c r="C103" s="413"/>
      <c r="D103" s="40"/>
      <c r="E103" s="41"/>
      <c r="F103" s="41"/>
      <c r="G103" s="497"/>
      <c r="H103" s="43"/>
      <c r="I103" s="44"/>
      <c r="J103" s="81"/>
      <c r="K103" s="81"/>
      <c r="L103" s="34"/>
      <c r="M103" s="34"/>
      <c r="N103" s="45"/>
      <c r="O103" s="46"/>
      <c r="P103" s="47"/>
      <c r="Q103" s="46"/>
      <c r="R103" s="498"/>
      <c r="S103" s="498"/>
      <c r="T103" s="36"/>
      <c r="U103" s="36"/>
      <c r="V103" s="36"/>
      <c r="W103" s="36"/>
      <c r="X103" s="37"/>
      <c r="Y103" s="210"/>
      <c r="Z103" s="36"/>
      <c r="AA103" s="36"/>
      <c r="AB103" s="36"/>
      <c r="AC103" s="36"/>
      <c r="AD103" s="36">
        <f>+AM103+BA103</f>
        <v>0</v>
      </c>
      <c r="AE103" s="229" t="s">
        <v>283</v>
      </c>
      <c r="AF103" s="36"/>
      <c r="AG103" s="36">
        <v>0</v>
      </c>
      <c r="AH103" s="36"/>
      <c r="AI103" s="500"/>
      <c r="AJ103" s="36"/>
      <c r="AK103" s="36"/>
      <c r="AL103" s="36"/>
      <c r="AM103" s="36">
        <f t="shared" si="297"/>
        <v>0</v>
      </c>
      <c r="AN103" s="82"/>
      <c r="AO103" s="36"/>
      <c r="AP103" s="36"/>
      <c r="AQ103" s="36"/>
      <c r="AR103" s="36">
        <f t="shared" ref="AR103:AR105" si="298">SUM(AN103:AQ103)</f>
        <v>0</v>
      </c>
      <c r="AS103" s="36"/>
      <c r="AT103" s="36"/>
      <c r="AU103" s="36"/>
      <c r="AV103" s="36"/>
      <c r="AW103" s="36"/>
      <c r="AX103" s="36"/>
      <c r="AY103" s="36"/>
      <c r="AZ103" s="36"/>
      <c r="BA103" s="36">
        <f>+AR103+AS103+AU103+AW103+AY103+AZ103</f>
        <v>0</v>
      </c>
      <c r="BB103" s="49"/>
      <c r="BC103" s="50">
        <v>0</v>
      </c>
      <c r="BD103" s="50"/>
      <c r="BE103" s="49"/>
      <c r="BF103" s="50"/>
    </row>
    <row r="104" spans="1:58" ht="12.95" customHeight="1">
      <c r="A104" s="39"/>
      <c r="B104" s="40"/>
      <c r="C104" s="413"/>
      <c r="D104" s="40"/>
      <c r="E104" s="41"/>
      <c r="F104" s="41"/>
      <c r="G104" s="497"/>
      <c r="H104" s="43"/>
      <c r="I104" s="44"/>
      <c r="J104" s="81"/>
      <c r="K104" s="81"/>
      <c r="L104" s="34"/>
      <c r="M104" s="34"/>
      <c r="N104" s="45"/>
      <c r="O104" s="46"/>
      <c r="P104" s="47"/>
      <c r="Q104" s="46"/>
      <c r="R104" s="498"/>
      <c r="S104" s="498"/>
      <c r="T104" s="36"/>
      <c r="U104" s="36"/>
      <c r="V104" s="36"/>
      <c r="W104" s="36"/>
      <c r="X104" s="37"/>
      <c r="Y104" s="210"/>
      <c r="Z104" s="36"/>
      <c r="AA104" s="36"/>
      <c r="AB104" s="36"/>
      <c r="AC104" s="36"/>
      <c r="AD104" s="36">
        <f>+AM104+BA104</f>
        <v>0</v>
      </c>
      <c r="AE104" s="229" t="s">
        <v>496</v>
      </c>
      <c r="AF104" s="32"/>
      <c r="AG104" s="32"/>
      <c r="AH104" s="32">
        <v>0</v>
      </c>
      <c r="AI104" s="500"/>
      <c r="AJ104" s="36"/>
      <c r="AK104" s="36"/>
      <c r="AL104" s="36"/>
      <c r="AM104" s="36">
        <f t="shared" si="297"/>
        <v>0</v>
      </c>
      <c r="AN104" s="36"/>
      <c r="AO104" s="36"/>
      <c r="AP104" s="36"/>
      <c r="AQ104" s="36"/>
      <c r="AR104" s="36">
        <f t="shared" si="298"/>
        <v>0</v>
      </c>
      <c r="AS104" s="36"/>
      <c r="AT104" s="36"/>
      <c r="AU104" s="36"/>
      <c r="AV104" s="36"/>
      <c r="AW104" s="36"/>
      <c r="AX104" s="36"/>
      <c r="AY104" s="36"/>
      <c r="AZ104" s="36"/>
      <c r="BA104" s="36">
        <f>+AR104+AS104+AU104+AW104+AY104+AZ104</f>
        <v>0</v>
      </c>
      <c r="BB104" s="32"/>
      <c r="BC104" s="501"/>
      <c r="BD104" s="501"/>
      <c r="BE104" s="32"/>
      <c r="BF104" s="501"/>
    </row>
    <row r="105" spans="1:58" ht="12.95" customHeight="1">
      <c r="A105" s="39"/>
      <c r="B105" s="40"/>
      <c r="C105" s="413"/>
      <c r="D105" s="40"/>
      <c r="E105" s="41"/>
      <c r="F105" s="41"/>
      <c r="G105" s="497"/>
      <c r="H105" s="43"/>
      <c r="I105" s="44"/>
      <c r="J105" s="81"/>
      <c r="K105" s="81"/>
      <c r="L105" s="34"/>
      <c r="M105" s="34"/>
      <c r="N105" s="45"/>
      <c r="O105" s="46"/>
      <c r="P105" s="47"/>
      <c r="Q105" s="46"/>
      <c r="R105" s="498"/>
      <c r="S105" s="498"/>
      <c r="T105" s="36"/>
      <c r="U105" s="36"/>
      <c r="V105" s="36"/>
      <c r="W105" s="36"/>
      <c r="X105" s="37"/>
      <c r="Y105" s="210"/>
      <c r="Z105" s="36"/>
      <c r="AA105" s="36"/>
      <c r="AB105" s="36"/>
      <c r="AC105" s="36"/>
      <c r="AD105" s="36">
        <f>+AM105+BA105</f>
        <v>1440</v>
      </c>
      <c r="AE105" s="229" t="s">
        <v>685</v>
      </c>
      <c r="AF105" s="32"/>
      <c r="AG105" s="32"/>
      <c r="AH105" s="32"/>
      <c r="AJ105" s="36"/>
      <c r="AK105" s="36"/>
      <c r="AL105" s="36"/>
      <c r="AM105" s="36">
        <f t="shared" si="297"/>
        <v>0</v>
      </c>
      <c r="AN105" s="36"/>
      <c r="AO105" s="36"/>
      <c r="AP105" s="36"/>
      <c r="AQ105" s="36"/>
      <c r="AR105" s="36">
        <f t="shared" si="298"/>
        <v>0</v>
      </c>
      <c r="AS105" s="36"/>
      <c r="AT105" s="36"/>
      <c r="AU105" s="36"/>
      <c r="AV105" s="36"/>
      <c r="AW105" s="36"/>
      <c r="AX105" s="36"/>
      <c r="AY105" s="36"/>
      <c r="AZ105" s="36">
        <v>1440</v>
      </c>
      <c r="BA105" s="36">
        <f>+AR105+AS105+AU105+AW105+AY105+AZ105</f>
        <v>1440</v>
      </c>
      <c r="BB105" s="32"/>
      <c r="BC105" s="501"/>
      <c r="BD105" s="501"/>
      <c r="BE105" s="32"/>
      <c r="BF105" s="501"/>
    </row>
    <row r="106" spans="1:58" ht="13.5" customHeight="1">
      <c r="A106" s="39"/>
      <c r="B106" s="40"/>
      <c r="C106" s="413"/>
      <c r="D106" s="40"/>
      <c r="E106" s="41"/>
      <c r="F106" s="41"/>
      <c r="G106" s="497"/>
      <c r="H106" s="43"/>
      <c r="I106" s="44"/>
      <c r="J106" s="81"/>
      <c r="K106" s="81"/>
      <c r="L106" s="34"/>
      <c r="M106" s="34"/>
      <c r="N106" s="45"/>
      <c r="O106" s="46"/>
      <c r="P106" s="47"/>
      <c r="Q106" s="46"/>
      <c r="R106" s="498"/>
      <c r="S106" s="498"/>
      <c r="T106" s="36"/>
      <c r="U106" s="36"/>
      <c r="V106" s="36"/>
      <c r="W106" s="36"/>
      <c r="X106" s="499"/>
      <c r="Y106" s="210"/>
      <c r="Z106" s="36"/>
      <c r="AA106" s="48"/>
      <c r="AB106" s="48"/>
      <c r="AC106" s="36"/>
      <c r="AD106" s="36"/>
      <c r="AE106" s="229"/>
      <c r="AF106" s="36"/>
      <c r="AG106" s="36"/>
      <c r="AH106" s="36"/>
      <c r="AI106" s="500"/>
      <c r="AJ106" s="36"/>
      <c r="AK106" s="36"/>
      <c r="AL106" s="36"/>
      <c r="AM106" s="36"/>
      <c r="AN106" s="36"/>
      <c r="AO106" s="36"/>
      <c r="AP106" s="36"/>
      <c r="AQ106" s="36"/>
      <c r="AR106" s="36"/>
      <c r="AS106" s="36"/>
      <c r="AT106" s="36"/>
      <c r="AU106" s="36"/>
      <c r="AV106" s="36"/>
      <c r="AW106" s="36"/>
      <c r="AX106" s="36"/>
      <c r="AY106" s="36"/>
      <c r="AZ106" s="36"/>
      <c r="BA106" s="36"/>
      <c r="BB106" s="32"/>
      <c r="BC106" s="50"/>
      <c r="BD106" s="50"/>
      <c r="BE106" s="50"/>
      <c r="BF106" s="50"/>
    </row>
    <row r="107" spans="1:58" ht="12.75" customHeight="1">
      <c r="A107" s="39">
        <v>46102</v>
      </c>
      <c r="B107" s="40" t="s">
        <v>551</v>
      </c>
      <c r="C107" s="413">
        <f t="shared" ref="C107" si="299">(M107*E107*O107*Q107)/100000000</f>
        <v>44.209152000000003</v>
      </c>
      <c r="D107" s="40" t="s">
        <v>301</v>
      </c>
      <c r="E107" s="41">
        <v>12.5</v>
      </c>
      <c r="F107" s="41">
        <v>1</v>
      </c>
      <c r="G107" s="497">
        <v>1230</v>
      </c>
      <c r="H107" s="43">
        <f t="shared" ref="H107" si="300">+N107</f>
        <v>0.21999999999999997</v>
      </c>
      <c r="I107" s="44">
        <v>0.88</v>
      </c>
      <c r="J107" s="81">
        <f t="shared" ref="J107" si="301">E107*G107*(1-H107)*1440/1000000*2.74</f>
        <v>47.317608000000007</v>
      </c>
      <c r="K107" s="81">
        <f t="shared" ref="K107" si="302">(IF(G107&lt;L107,L107,G107)*(1-IF(H107&lt;N107,H107,N107))*E107*O107*Q107)/100000000</f>
        <v>44.209152000000003</v>
      </c>
      <c r="L107" s="34">
        <v>1230</v>
      </c>
      <c r="M107" s="34">
        <v>959.4</v>
      </c>
      <c r="N107" s="45">
        <f t="shared" ref="N107" si="303">1-(M107/L107)</f>
        <v>0.21999999999999997</v>
      </c>
      <c r="O107" s="46">
        <f>+'Trim Rwd'!H65</f>
        <v>256</v>
      </c>
      <c r="P107" s="47">
        <f t="shared" ref="P107" si="304">O107*(Q107-R107-S107)</f>
        <v>0</v>
      </c>
      <c r="Q107" s="46">
        <v>1440</v>
      </c>
      <c r="R107" s="498">
        <v>1440</v>
      </c>
      <c r="S107" s="498">
        <v>0</v>
      </c>
      <c r="T107" s="36">
        <f t="shared" ref="T107" si="305">E107*M107*O107*Q107/100000000</f>
        <v>44.209152000000003</v>
      </c>
      <c r="U107" s="36">
        <f t="shared" ref="U107" si="306">E107*M107*O107*(Q107-R107-S107)/100000000</f>
        <v>0</v>
      </c>
      <c r="V107" s="36">
        <f t="shared" ref="V107" si="307">E107*G107*(1-N107)*O107/100*(R107+S107)/1000000</f>
        <v>44.209152000000003</v>
      </c>
      <c r="W107" s="36">
        <v>0</v>
      </c>
      <c r="X107" s="499">
        <f>SUM(W107:W110)/SUM(K107:K110)</f>
        <v>0</v>
      </c>
      <c r="Y107" s="210">
        <v>0</v>
      </c>
      <c r="Z107" s="36">
        <v>0</v>
      </c>
      <c r="AA107" s="48">
        <f>SUM(U107:U110)-SUM(W107:W110)-SUM(Z107:Z110)-SUM(Y107:Y110)</f>
        <v>0</v>
      </c>
      <c r="AB107" s="48">
        <f>(SUM(K107:K110)-SUM(W107:W110)-SUM(Y107:Y110)-SUM(Z107:Z110)-SUM(AC107:AC110)-SUM(V107:V110))-AA107</f>
        <v>0</v>
      </c>
      <c r="AC107" s="36">
        <f>K107-T107</f>
        <v>0</v>
      </c>
      <c r="AD107" s="36">
        <f>+AM107+BA107</f>
        <v>0</v>
      </c>
      <c r="AE107" s="229" t="s">
        <v>384</v>
      </c>
      <c r="AF107" s="36">
        <v>0</v>
      </c>
      <c r="AG107" s="36"/>
      <c r="AH107" s="36"/>
      <c r="AI107" s="500"/>
      <c r="AJ107" s="36"/>
      <c r="AK107" s="36"/>
      <c r="AL107" s="36"/>
      <c r="AM107" s="36">
        <f t="shared" ref="AM107:AM110" si="308">SUM(AF107:AL107)+AT107+AV107+AX107</f>
        <v>0</v>
      </c>
      <c r="AN107" s="36"/>
      <c r="AO107" s="36"/>
      <c r="AP107" s="36"/>
      <c r="AQ107" s="36"/>
      <c r="AR107" s="36">
        <f>SUM(AN107:AQ107)</f>
        <v>0</v>
      </c>
      <c r="AS107" s="36"/>
      <c r="AT107" s="36"/>
      <c r="AU107" s="36"/>
      <c r="AV107" s="36"/>
      <c r="AW107" s="36"/>
      <c r="AX107" s="36"/>
      <c r="AY107" s="36"/>
      <c r="AZ107" s="36"/>
      <c r="BA107" s="36">
        <f>+AR107+AS107+AU107+AW107+AY107+AZ107</f>
        <v>0</v>
      </c>
      <c r="BB107" s="32">
        <v>0</v>
      </c>
      <c r="BC107" s="50"/>
      <c r="BD107" s="50"/>
      <c r="BE107" s="32"/>
      <c r="BF107" s="50"/>
    </row>
    <row r="108" spans="1:58" ht="12.95" customHeight="1">
      <c r="A108" s="39"/>
      <c r="B108" s="40"/>
      <c r="C108" s="413"/>
      <c r="D108" s="40"/>
      <c r="E108" s="41"/>
      <c r="F108" s="41"/>
      <c r="G108" s="497"/>
      <c r="H108" s="43"/>
      <c r="I108" s="44"/>
      <c r="J108" s="81"/>
      <c r="K108" s="81"/>
      <c r="L108" s="34"/>
      <c r="M108" s="34"/>
      <c r="N108" s="45"/>
      <c r="O108" s="46"/>
      <c r="P108" s="47"/>
      <c r="Q108" s="46"/>
      <c r="R108" s="498"/>
      <c r="S108" s="498"/>
      <c r="T108" s="36"/>
      <c r="U108" s="36"/>
      <c r="V108" s="36"/>
      <c r="W108" s="36"/>
      <c r="X108" s="37"/>
      <c r="Y108" s="210"/>
      <c r="Z108" s="36"/>
      <c r="AA108" s="36"/>
      <c r="AB108" s="36"/>
      <c r="AC108" s="36"/>
      <c r="AD108" s="36">
        <f>+AM108+BA108</f>
        <v>0</v>
      </c>
      <c r="AE108" s="229" t="s">
        <v>283</v>
      </c>
      <c r="AF108" s="36"/>
      <c r="AG108" s="36">
        <v>0</v>
      </c>
      <c r="AH108" s="36"/>
      <c r="AI108" s="500"/>
      <c r="AJ108" s="36"/>
      <c r="AK108" s="36"/>
      <c r="AL108" s="36"/>
      <c r="AM108" s="36">
        <f t="shared" si="308"/>
        <v>0</v>
      </c>
      <c r="AN108" s="82"/>
      <c r="AO108" s="36"/>
      <c r="AP108" s="36"/>
      <c r="AQ108" s="36"/>
      <c r="AR108" s="36">
        <f t="shared" ref="AR108:AR110" si="309">SUM(AN108:AQ108)</f>
        <v>0</v>
      </c>
      <c r="AS108" s="36"/>
      <c r="AT108" s="36"/>
      <c r="AU108" s="36"/>
      <c r="AV108" s="36"/>
      <c r="AW108" s="36"/>
      <c r="AX108" s="36"/>
      <c r="AY108" s="36"/>
      <c r="AZ108" s="36"/>
      <c r="BA108" s="36">
        <f>+AR108+AS108+AU108+AW108+AY108+AZ108</f>
        <v>0</v>
      </c>
      <c r="BB108" s="49"/>
      <c r="BC108" s="50">
        <v>0</v>
      </c>
      <c r="BD108" s="50"/>
      <c r="BE108" s="49"/>
      <c r="BF108" s="50"/>
    </row>
    <row r="109" spans="1:58" ht="12.95" customHeight="1">
      <c r="A109" s="39"/>
      <c r="B109" s="40"/>
      <c r="C109" s="413"/>
      <c r="D109" s="40"/>
      <c r="E109" s="41"/>
      <c r="F109" s="41"/>
      <c r="G109" s="497"/>
      <c r="H109" s="43"/>
      <c r="I109" s="44"/>
      <c r="J109" s="81"/>
      <c r="K109" s="81"/>
      <c r="L109" s="34"/>
      <c r="M109" s="34"/>
      <c r="N109" s="45"/>
      <c r="O109" s="46"/>
      <c r="P109" s="47"/>
      <c r="Q109" s="46"/>
      <c r="R109" s="498"/>
      <c r="S109" s="498"/>
      <c r="T109" s="36"/>
      <c r="U109" s="36"/>
      <c r="V109" s="36"/>
      <c r="W109" s="36"/>
      <c r="X109" s="37"/>
      <c r="Y109" s="210"/>
      <c r="Z109" s="36"/>
      <c r="AA109" s="36"/>
      <c r="AB109" s="36"/>
      <c r="AC109" s="36"/>
      <c r="AD109" s="36">
        <f>+AM109+BA109</f>
        <v>0</v>
      </c>
      <c r="AE109" s="229" t="s">
        <v>496</v>
      </c>
      <c r="AF109" s="32"/>
      <c r="AG109" s="32"/>
      <c r="AH109" s="32">
        <v>0</v>
      </c>
      <c r="AI109" s="500"/>
      <c r="AJ109" s="36"/>
      <c r="AK109" s="36"/>
      <c r="AL109" s="36"/>
      <c r="AM109" s="36">
        <f t="shared" si="308"/>
        <v>0</v>
      </c>
      <c r="AN109" s="36"/>
      <c r="AO109" s="36"/>
      <c r="AP109" s="36"/>
      <c r="AQ109" s="36"/>
      <c r="AR109" s="36">
        <f t="shared" si="309"/>
        <v>0</v>
      </c>
      <c r="AS109" s="36"/>
      <c r="AT109" s="36"/>
      <c r="AU109" s="36"/>
      <c r="AV109" s="36"/>
      <c r="AW109" s="36"/>
      <c r="AX109" s="36"/>
      <c r="AY109" s="36"/>
      <c r="AZ109" s="36"/>
      <c r="BA109" s="36">
        <f>+AR109+AS109+AU109+AW109+AY109+AZ109</f>
        <v>0</v>
      </c>
      <c r="BB109" s="32"/>
      <c r="BC109" s="501"/>
      <c r="BD109" s="501"/>
      <c r="BE109" s="32"/>
      <c r="BF109" s="501"/>
    </row>
    <row r="110" spans="1:58" ht="12.95" customHeight="1">
      <c r="A110" s="39"/>
      <c r="B110" s="40"/>
      <c r="C110" s="413"/>
      <c r="D110" s="40"/>
      <c r="E110" s="41"/>
      <c r="F110" s="41"/>
      <c r="G110" s="497"/>
      <c r="H110" s="43"/>
      <c r="I110" s="44"/>
      <c r="J110" s="81"/>
      <c r="K110" s="81"/>
      <c r="L110" s="34"/>
      <c r="M110" s="34"/>
      <c r="N110" s="45"/>
      <c r="O110" s="46"/>
      <c r="P110" s="47"/>
      <c r="Q110" s="46"/>
      <c r="R110" s="498"/>
      <c r="S110" s="498"/>
      <c r="T110" s="36"/>
      <c r="U110" s="36"/>
      <c r="V110" s="36"/>
      <c r="W110" s="36"/>
      <c r="X110" s="37"/>
      <c r="Y110" s="210"/>
      <c r="Z110" s="36"/>
      <c r="AA110" s="36"/>
      <c r="AB110" s="36"/>
      <c r="AC110" s="36"/>
      <c r="AD110" s="36">
        <f>+AM110+BA110</f>
        <v>1440</v>
      </c>
      <c r="AE110" s="229" t="s">
        <v>685</v>
      </c>
      <c r="AF110" s="32"/>
      <c r="AG110" s="32"/>
      <c r="AH110" s="32"/>
      <c r="AJ110" s="36"/>
      <c r="AK110" s="36"/>
      <c r="AL110" s="36"/>
      <c r="AM110" s="36">
        <f t="shared" si="308"/>
        <v>0</v>
      </c>
      <c r="AN110" s="36"/>
      <c r="AO110" s="36"/>
      <c r="AP110" s="36"/>
      <c r="AQ110" s="36"/>
      <c r="AR110" s="36">
        <f t="shared" si="309"/>
        <v>0</v>
      </c>
      <c r="AS110" s="36"/>
      <c r="AT110" s="36"/>
      <c r="AU110" s="36"/>
      <c r="AV110" s="36"/>
      <c r="AW110" s="36"/>
      <c r="AX110" s="36"/>
      <c r="AY110" s="36"/>
      <c r="AZ110" s="36">
        <v>1440</v>
      </c>
      <c r="BA110" s="36">
        <f>+AR110+AS110+AU110+AW110+AY110+AZ110</f>
        <v>1440</v>
      </c>
      <c r="BB110" s="32"/>
      <c r="BC110" s="501"/>
      <c r="BD110" s="501"/>
      <c r="BE110" s="32"/>
      <c r="BF110" s="501"/>
    </row>
    <row r="111" spans="1:58" ht="16.5" customHeight="1">
      <c r="A111" s="39"/>
      <c r="B111" s="40"/>
      <c r="C111" s="413"/>
      <c r="D111" s="40"/>
      <c r="E111" s="41"/>
      <c r="F111" s="41"/>
      <c r="G111" s="497"/>
      <c r="H111" s="43"/>
      <c r="I111" s="44"/>
      <c r="J111" s="81"/>
      <c r="K111" s="81"/>
      <c r="L111" s="34"/>
      <c r="M111" s="34"/>
      <c r="N111" s="45"/>
      <c r="O111" s="46"/>
      <c r="P111" s="47"/>
      <c r="Q111" s="46"/>
      <c r="R111" s="498"/>
      <c r="S111" s="498"/>
      <c r="T111" s="36"/>
      <c r="U111" s="36"/>
      <c r="V111" s="36"/>
      <c r="W111" s="36"/>
      <c r="X111" s="499"/>
      <c r="Y111" s="210"/>
      <c r="Z111" s="36"/>
      <c r="AA111" s="48"/>
      <c r="AB111" s="48"/>
      <c r="AC111" s="36"/>
      <c r="AD111" s="36"/>
      <c r="AE111" s="229"/>
      <c r="AF111" s="36"/>
      <c r="AG111" s="36"/>
      <c r="AH111" s="36"/>
      <c r="AI111" s="500"/>
      <c r="AJ111" s="36"/>
      <c r="AK111" s="36"/>
      <c r="AL111" s="36"/>
      <c r="AM111" s="36"/>
      <c r="AN111" s="36"/>
      <c r="AO111" s="36"/>
      <c r="AP111" s="36"/>
      <c r="AQ111" s="36"/>
      <c r="AR111" s="36"/>
      <c r="AS111" s="36"/>
      <c r="AT111" s="36"/>
      <c r="AU111" s="36"/>
      <c r="AV111" s="36"/>
      <c r="AW111" s="36"/>
      <c r="AX111" s="36"/>
      <c r="AY111" s="36"/>
      <c r="AZ111" s="36"/>
      <c r="BA111" s="36"/>
      <c r="BB111" s="32"/>
      <c r="BC111" s="50"/>
      <c r="BD111" s="50"/>
      <c r="BE111" s="50"/>
      <c r="BF111" s="50"/>
    </row>
    <row r="112" spans="1:58" ht="12.75" customHeight="1">
      <c r="A112" s="39">
        <v>46103</v>
      </c>
      <c r="B112" s="40" t="s">
        <v>551</v>
      </c>
      <c r="C112" s="413">
        <f t="shared" ref="C112" si="310">(M112*E112*O112*Q112)/100000000</f>
        <v>44.209152000000003</v>
      </c>
      <c r="D112" s="40" t="s">
        <v>301</v>
      </c>
      <c r="E112" s="41">
        <v>12.5</v>
      </c>
      <c r="F112" s="41">
        <v>1</v>
      </c>
      <c r="G112" s="497">
        <v>1230</v>
      </c>
      <c r="H112" s="43">
        <f t="shared" ref="H112" si="311">+N112</f>
        <v>0.21999999999999997</v>
      </c>
      <c r="I112" s="44">
        <v>0.88</v>
      </c>
      <c r="J112" s="81">
        <f t="shared" ref="J112" si="312">E112*G112*(1-H112)*1440/1000000*2.74</f>
        <v>47.317608000000007</v>
      </c>
      <c r="K112" s="81">
        <f t="shared" ref="K112" si="313">(IF(G112&lt;L112,L112,G112)*(1-IF(H112&lt;N112,H112,N112))*E112*O112*Q112)/100000000</f>
        <v>44.209152000000003</v>
      </c>
      <c r="L112" s="34">
        <v>1230</v>
      </c>
      <c r="M112" s="34">
        <v>959.4</v>
      </c>
      <c r="N112" s="45">
        <f t="shared" ref="N112" si="314">1-(M112/L112)</f>
        <v>0.21999999999999997</v>
      </c>
      <c r="O112" s="46">
        <f>+'Trim Rwd'!H67</f>
        <v>256</v>
      </c>
      <c r="P112" s="47">
        <f t="shared" ref="P112" si="315">O112*(Q112-R112-S112)</f>
        <v>0</v>
      </c>
      <c r="Q112" s="46">
        <v>1440</v>
      </c>
      <c r="R112" s="498">
        <v>1440</v>
      </c>
      <c r="S112" s="498">
        <v>0</v>
      </c>
      <c r="T112" s="36">
        <f t="shared" ref="T112" si="316">E112*M112*O112*Q112/100000000</f>
        <v>44.209152000000003</v>
      </c>
      <c r="U112" s="36">
        <f t="shared" ref="U112" si="317">E112*M112*O112*(Q112-R112-S112)/100000000</f>
        <v>0</v>
      </c>
      <c r="V112" s="36">
        <f t="shared" ref="V112" si="318">E112*G112*(1-N112)*O112/100*(R112+S112)/1000000</f>
        <v>44.209152000000003</v>
      </c>
      <c r="W112" s="36">
        <v>0</v>
      </c>
      <c r="X112" s="499">
        <f>SUM(W112:W115)/SUM(K112:K115)</f>
        <v>0</v>
      </c>
      <c r="Y112" s="210">
        <v>0</v>
      </c>
      <c r="Z112" s="36">
        <v>0</v>
      </c>
      <c r="AA112" s="48">
        <f>SUM(U112:U115)-SUM(W112:W115)-SUM(Z112:Z115)-SUM(Y112:Y115)</f>
        <v>0</v>
      </c>
      <c r="AB112" s="48">
        <f>(SUM(K112:K115)-SUM(W112:W115)-SUM(Y112:Y115)-SUM(Z112:Z115)-SUM(AC112:AC115)-SUM(V112:V115))-AA112</f>
        <v>0</v>
      </c>
      <c r="AC112" s="36">
        <f>K112-T112</f>
        <v>0</v>
      </c>
      <c r="AD112" s="36">
        <f>+AM112+BA112</f>
        <v>0</v>
      </c>
      <c r="AE112" s="229" t="s">
        <v>384</v>
      </c>
      <c r="AF112" s="36">
        <v>0</v>
      </c>
      <c r="AG112" s="36"/>
      <c r="AH112" s="36"/>
      <c r="AI112" s="500"/>
      <c r="AJ112" s="36"/>
      <c r="AK112" s="36"/>
      <c r="AL112" s="36"/>
      <c r="AM112" s="36">
        <f t="shared" ref="AM112:AM115" si="319">SUM(AF112:AL112)+AT112+AV112+AX112</f>
        <v>0</v>
      </c>
      <c r="AN112" s="36"/>
      <c r="AO112" s="36"/>
      <c r="AP112" s="36"/>
      <c r="AQ112" s="36"/>
      <c r="AR112" s="36">
        <f>SUM(AN112:AQ112)</f>
        <v>0</v>
      </c>
      <c r="AS112" s="36"/>
      <c r="AT112" s="36"/>
      <c r="AU112" s="36"/>
      <c r="AV112" s="36"/>
      <c r="AW112" s="36"/>
      <c r="AX112" s="36"/>
      <c r="AY112" s="36"/>
      <c r="AZ112" s="36"/>
      <c r="BA112" s="36">
        <f>+AR112+AS112+AU112+AW112+AY112+AZ112</f>
        <v>0</v>
      </c>
      <c r="BB112" s="32">
        <v>0</v>
      </c>
      <c r="BC112" s="50"/>
      <c r="BD112" s="50"/>
      <c r="BE112" s="32"/>
      <c r="BF112" s="50"/>
    </row>
    <row r="113" spans="1:58" ht="12.95" customHeight="1">
      <c r="A113" s="39"/>
      <c r="B113" s="40"/>
      <c r="C113" s="413"/>
      <c r="D113" s="40"/>
      <c r="E113" s="41"/>
      <c r="F113" s="41"/>
      <c r="G113" s="497"/>
      <c r="H113" s="43"/>
      <c r="I113" s="44"/>
      <c r="J113" s="81"/>
      <c r="K113" s="81"/>
      <c r="L113" s="34"/>
      <c r="M113" s="34"/>
      <c r="N113" s="45"/>
      <c r="O113" s="46"/>
      <c r="P113" s="47"/>
      <c r="Q113" s="46"/>
      <c r="R113" s="498"/>
      <c r="S113" s="498"/>
      <c r="T113" s="36"/>
      <c r="U113" s="36"/>
      <c r="V113" s="36"/>
      <c r="W113" s="36"/>
      <c r="X113" s="37"/>
      <c r="Y113" s="210"/>
      <c r="Z113" s="36"/>
      <c r="AA113" s="36"/>
      <c r="AB113" s="36"/>
      <c r="AC113" s="36"/>
      <c r="AD113" s="36">
        <f>+AM113+BA113</f>
        <v>0</v>
      </c>
      <c r="AE113" s="229" t="s">
        <v>283</v>
      </c>
      <c r="AF113" s="36"/>
      <c r="AG113" s="36">
        <v>0</v>
      </c>
      <c r="AH113" s="36"/>
      <c r="AI113" s="500"/>
      <c r="AJ113" s="36"/>
      <c r="AK113" s="36"/>
      <c r="AL113" s="36"/>
      <c r="AM113" s="36">
        <f t="shared" si="319"/>
        <v>0</v>
      </c>
      <c r="AN113" s="82"/>
      <c r="AO113" s="36"/>
      <c r="AP113" s="36"/>
      <c r="AQ113" s="36"/>
      <c r="AR113" s="36">
        <f t="shared" ref="AR113:AR115" si="320">SUM(AN113:AQ113)</f>
        <v>0</v>
      </c>
      <c r="AS113" s="36"/>
      <c r="AT113" s="36"/>
      <c r="AU113" s="36"/>
      <c r="AV113" s="36"/>
      <c r="AW113" s="36"/>
      <c r="AX113" s="36"/>
      <c r="AY113" s="36"/>
      <c r="AZ113" s="36"/>
      <c r="BA113" s="36">
        <f>+AR113+AS113+AU113+AW113+AY113+AZ113</f>
        <v>0</v>
      </c>
      <c r="BB113" s="49"/>
      <c r="BC113" s="50">
        <v>0</v>
      </c>
      <c r="BD113" s="50"/>
      <c r="BE113" s="49"/>
      <c r="BF113" s="50"/>
    </row>
    <row r="114" spans="1:58" ht="12.95" customHeight="1">
      <c r="A114" s="39"/>
      <c r="B114" s="40"/>
      <c r="C114" s="413"/>
      <c r="D114" s="40"/>
      <c r="E114" s="41"/>
      <c r="F114" s="41"/>
      <c r="G114" s="497"/>
      <c r="H114" s="43"/>
      <c r="I114" s="44"/>
      <c r="J114" s="81"/>
      <c r="K114" s="81"/>
      <c r="L114" s="34"/>
      <c r="M114" s="34"/>
      <c r="N114" s="45"/>
      <c r="O114" s="46"/>
      <c r="P114" s="47"/>
      <c r="Q114" s="46"/>
      <c r="R114" s="498"/>
      <c r="S114" s="498"/>
      <c r="T114" s="36"/>
      <c r="U114" s="36"/>
      <c r="V114" s="36"/>
      <c r="W114" s="36"/>
      <c r="X114" s="37"/>
      <c r="Y114" s="210"/>
      <c r="Z114" s="36"/>
      <c r="AA114" s="36"/>
      <c r="AB114" s="36"/>
      <c r="AC114" s="36"/>
      <c r="AD114" s="36">
        <f>+AM114+BA114</f>
        <v>0</v>
      </c>
      <c r="AE114" s="229" t="s">
        <v>496</v>
      </c>
      <c r="AF114" s="32"/>
      <c r="AG114" s="32"/>
      <c r="AH114" s="32">
        <v>0</v>
      </c>
      <c r="AI114" s="500"/>
      <c r="AJ114" s="36"/>
      <c r="AK114" s="36"/>
      <c r="AL114" s="36"/>
      <c r="AM114" s="36">
        <f t="shared" si="319"/>
        <v>0</v>
      </c>
      <c r="AN114" s="36"/>
      <c r="AO114" s="36"/>
      <c r="AP114" s="36"/>
      <c r="AQ114" s="36"/>
      <c r="AR114" s="36">
        <f t="shared" si="320"/>
        <v>0</v>
      </c>
      <c r="AS114" s="36"/>
      <c r="AT114" s="36"/>
      <c r="AU114" s="36"/>
      <c r="AV114" s="36"/>
      <c r="AW114" s="36"/>
      <c r="AX114" s="36"/>
      <c r="AY114" s="36"/>
      <c r="AZ114" s="36"/>
      <c r="BA114" s="36">
        <f>+AR114+AS114+AU114+AW114+AY114+AZ114</f>
        <v>0</v>
      </c>
      <c r="BB114" s="32"/>
      <c r="BC114" s="501"/>
      <c r="BD114" s="501"/>
      <c r="BE114" s="32"/>
      <c r="BF114" s="501"/>
    </row>
    <row r="115" spans="1:58" ht="12.95" customHeight="1">
      <c r="A115" s="39"/>
      <c r="B115" s="40"/>
      <c r="C115" s="413"/>
      <c r="D115" s="40"/>
      <c r="E115" s="41"/>
      <c r="F115" s="41"/>
      <c r="G115" s="497"/>
      <c r="H115" s="43"/>
      <c r="I115" s="44"/>
      <c r="J115" s="81"/>
      <c r="K115" s="81"/>
      <c r="L115" s="34"/>
      <c r="M115" s="34"/>
      <c r="N115" s="45"/>
      <c r="O115" s="46"/>
      <c r="P115" s="47"/>
      <c r="Q115" s="46"/>
      <c r="R115" s="498"/>
      <c r="S115" s="498"/>
      <c r="T115" s="36"/>
      <c r="U115" s="36"/>
      <c r="V115" s="36"/>
      <c r="W115" s="36"/>
      <c r="X115" s="37"/>
      <c r="Y115" s="210"/>
      <c r="Z115" s="36"/>
      <c r="AA115" s="36"/>
      <c r="AB115" s="36"/>
      <c r="AC115" s="36"/>
      <c r="AD115" s="36">
        <f>+AM115+BA115</f>
        <v>1440</v>
      </c>
      <c r="AE115" s="229" t="s">
        <v>685</v>
      </c>
      <c r="AF115" s="32"/>
      <c r="AG115" s="32"/>
      <c r="AH115" s="32"/>
      <c r="AJ115" s="36"/>
      <c r="AK115" s="36"/>
      <c r="AL115" s="36"/>
      <c r="AM115" s="36">
        <f t="shared" si="319"/>
        <v>0</v>
      </c>
      <c r="AN115" s="36"/>
      <c r="AO115" s="36"/>
      <c r="AP115" s="36"/>
      <c r="AQ115" s="36"/>
      <c r="AR115" s="36">
        <f t="shared" si="320"/>
        <v>0</v>
      </c>
      <c r="AS115" s="36"/>
      <c r="AT115" s="36"/>
      <c r="AU115" s="36"/>
      <c r="AV115" s="36"/>
      <c r="AW115" s="36"/>
      <c r="AX115" s="36"/>
      <c r="AY115" s="36"/>
      <c r="AZ115" s="36">
        <v>1440</v>
      </c>
      <c r="BA115" s="36">
        <f>+AR115+AS115+AU115+AW115+AY115+AZ115</f>
        <v>1440</v>
      </c>
      <c r="BB115" s="32"/>
      <c r="BC115" s="501"/>
      <c r="BD115" s="501"/>
      <c r="BE115" s="32"/>
      <c r="BF115" s="501"/>
    </row>
    <row r="116" spans="1:58" ht="16.5" customHeight="1">
      <c r="A116" s="39"/>
      <c r="B116" s="40"/>
      <c r="C116" s="413"/>
      <c r="D116" s="40"/>
      <c r="E116" s="41"/>
      <c r="F116" s="41"/>
      <c r="G116" s="497"/>
      <c r="H116" s="43"/>
      <c r="I116" s="44"/>
      <c r="J116" s="81"/>
      <c r="K116" s="81"/>
      <c r="L116" s="34"/>
      <c r="M116" s="34"/>
      <c r="N116" s="45"/>
      <c r="O116" s="46"/>
      <c r="P116" s="47"/>
      <c r="Q116" s="46"/>
      <c r="R116" s="498"/>
      <c r="S116" s="498"/>
      <c r="T116" s="36"/>
      <c r="U116" s="36"/>
      <c r="V116" s="36"/>
      <c r="W116" s="36"/>
      <c r="X116" s="499"/>
      <c r="Y116" s="210"/>
      <c r="Z116" s="36"/>
      <c r="AA116" s="48"/>
      <c r="AB116" s="48"/>
      <c r="AC116" s="36"/>
      <c r="AD116" s="36"/>
      <c r="AE116" s="229"/>
      <c r="AF116" s="36"/>
      <c r="AG116" s="36"/>
      <c r="AH116" s="36"/>
      <c r="AI116" s="500"/>
      <c r="AJ116" s="36"/>
      <c r="AK116" s="36"/>
      <c r="AL116" s="36"/>
      <c r="AM116" s="36"/>
      <c r="AN116" s="36"/>
      <c r="AO116" s="36"/>
      <c r="AP116" s="36"/>
      <c r="AQ116" s="36"/>
      <c r="AR116" s="36"/>
      <c r="AS116" s="36"/>
      <c r="AT116" s="36"/>
      <c r="AU116" s="36"/>
      <c r="AV116" s="36"/>
      <c r="AW116" s="36"/>
      <c r="AX116" s="36"/>
      <c r="AY116" s="36"/>
      <c r="AZ116" s="36"/>
      <c r="BA116" s="36"/>
      <c r="BB116" s="32"/>
      <c r="BC116" s="50"/>
      <c r="BD116" s="50"/>
      <c r="BE116" s="50"/>
      <c r="BF116" s="50"/>
    </row>
    <row r="117" spans="1:58" ht="12.75" customHeight="1">
      <c r="A117" s="39">
        <v>46104</v>
      </c>
      <c r="B117" s="40" t="s">
        <v>551</v>
      </c>
      <c r="C117" s="413">
        <f t="shared" ref="C117" si="321">(M117*E117*O117*Q117)/100000000</f>
        <v>44.209152000000003</v>
      </c>
      <c r="D117" s="40" t="s">
        <v>301</v>
      </c>
      <c r="E117" s="41">
        <v>12.5</v>
      </c>
      <c r="F117" s="41">
        <v>1</v>
      </c>
      <c r="G117" s="497">
        <v>1230</v>
      </c>
      <c r="H117" s="43">
        <f t="shared" ref="H117" si="322">+N117</f>
        <v>0.21999999999999997</v>
      </c>
      <c r="I117" s="44">
        <v>0.88</v>
      </c>
      <c r="J117" s="81">
        <f t="shared" ref="J117" si="323">E117*G117*(1-H117)*1440/1000000*2.74</f>
        <v>47.317608000000007</v>
      </c>
      <c r="K117" s="81">
        <f t="shared" ref="K117" si="324">(IF(G117&lt;L117,L117,G117)*(1-IF(H117&lt;N117,H117,N117))*E117*O117*Q117)/100000000</f>
        <v>44.209152000000003</v>
      </c>
      <c r="L117" s="34">
        <v>1230</v>
      </c>
      <c r="M117" s="34">
        <v>959.4</v>
      </c>
      <c r="N117" s="45">
        <f t="shared" ref="N117" si="325">1-(M117/L117)</f>
        <v>0.21999999999999997</v>
      </c>
      <c r="O117" s="46">
        <f>+'Trim Rwd'!H69</f>
        <v>256</v>
      </c>
      <c r="P117" s="47">
        <f t="shared" ref="P117" si="326">O117*(Q117-R117-S117)</f>
        <v>0</v>
      </c>
      <c r="Q117" s="46">
        <v>1440</v>
      </c>
      <c r="R117" s="498">
        <v>1440</v>
      </c>
      <c r="S117" s="498">
        <v>0</v>
      </c>
      <c r="T117" s="36">
        <f t="shared" ref="T117" si="327">E117*M117*O117*Q117/100000000</f>
        <v>44.209152000000003</v>
      </c>
      <c r="U117" s="36">
        <f t="shared" ref="U117" si="328">E117*M117*O117*(Q117-R117-S117)/100000000</f>
        <v>0</v>
      </c>
      <c r="V117" s="36">
        <f t="shared" ref="V117" si="329">E117*G117*(1-N117)*O117/100*(R117+S117)/1000000</f>
        <v>44.209152000000003</v>
      </c>
      <c r="W117" s="36">
        <v>0</v>
      </c>
      <c r="X117" s="499">
        <f>SUM(W117:W120)/SUM(K117:K120)</f>
        <v>0</v>
      </c>
      <c r="Y117" s="210">
        <v>0</v>
      </c>
      <c r="Z117" s="36">
        <v>0</v>
      </c>
      <c r="AA117" s="48">
        <f>SUM(U117:U120)-SUM(W117:W120)-SUM(Z117:Z120)-SUM(Y117:Y120)</f>
        <v>0</v>
      </c>
      <c r="AB117" s="48">
        <f>(SUM(K117:K120)-SUM(W117:W120)-SUM(Y117:Y120)-SUM(Z117:Z120)-SUM(AC117:AC120)-SUM(V117:V120))-AA117</f>
        <v>0</v>
      </c>
      <c r="AC117" s="36">
        <f>K117-T117</f>
        <v>0</v>
      </c>
      <c r="AD117" s="36">
        <f>+AM117+BA117</f>
        <v>0</v>
      </c>
      <c r="AE117" s="229" t="s">
        <v>384</v>
      </c>
      <c r="AF117" s="36">
        <v>0</v>
      </c>
      <c r="AG117" s="36"/>
      <c r="AH117" s="36"/>
      <c r="AI117" s="500"/>
      <c r="AJ117" s="36"/>
      <c r="AK117" s="36"/>
      <c r="AL117" s="36"/>
      <c r="AM117" s="36">
        <f t="shared" ref="AM117:AM120" si="330">SUM(AF117:AL117)+AT117+AV117+AX117</f>
        <v>0</v>
      </c>
      <c r="AN117" s="36"/>
      <c r="AO117" s="36"/>
      <c r="AP117" s="36"/>
      <c r="AQ117" s="36"/>
      <c r="AR117" s="36">
        <f>SUM(AN117:AQ117)</f>
        <v>0</v>
      </c>
      <c r="AS117" s="36"/>
      <c r="AT117" s="36"/>
      <c r="AU117" s="36"/>
      <c r="AV117" s="36"/>
      <c r="AW117" s="36"/>
      <c r="AX117" s="36"/>
      <c r="AY117" s="36"/>
      <c r="AZ117" s="36"/>
      <c r="BA117" s="36">
        <f>+AR117+AS117+AU117+AW117+AY117+AZ117</f>
        <v>0</v>
      </c>
      <c r="BB117" s="32">
        <v>0</v>
      </c>
      <c r="BC117" s="50"/>
      <c r="BD117" s="50"/>
      <c r="BE117" s="32"/>
      <c r="BF117" s="50"/>
    </row>
    <row r="118" spans="1:58" ht="12.95" customHeight="1">
      <c r="A118" s="39"/>
      <c r="B118" s="40"/>
      <c r="C118" s="413"/>
      <c r="D118" s="40"/>
      <c r="E118" s="41"/>
      <c r="F118" s="41"/>
      <c r="G118" s="497"/>
      <c r="H118" s="43"/>
      <c r="I118" s="44"/>
      <c r="J118" s="81"/>
      <c r="K118" s="81"/>
      <c r="L118" s="34"/>
      <c r="M118" s="34"/>
      <c r="N118" s="45"/>
      <c r="O118" s="46"/>
      <c r="P118" s="47"/>
      <c r="Q118" s="46"/>
      <c r="R118" s="498"/>
      <c r="S118" s="498"/>
      <c r="T118" s="36"/>
      <c r="U118" s="36"/>
      <c r="V118" s="36"/>
      <c r="W118" s="36"/>
      <c r="X118" s="37"/>
      <c r="Y118" s="210"/>
      <c r="Z118" s="36"/>
      <c r="AA118" s="36"/>
      <c r="AB118" s="36"/>
      <c r="AC118" s="36"/>
      <c r="AD118" s="36">
        <f>+AM118+BA118</f>
        <v>0</v>
      </c>
      <c r="AE118" s="229" t="s">
        <v>283</v>
      </c>
      <c r="AF118" s="36"/>
      <c r="AG118" s="36">
        <v>0</v>
      </c>
      <c r="AH118" s="36"/>
      <c r="AI118" s="500"/>
      <c r="AJ118" s="36"/>
      <c r="AK118" s="36"/>
      <c r="AL118" s="36"/>
      <c r="AM118" s="36">
        <f t="shared" si="330"/>
        <v>0</v>
      </c>
      <c r="AN118" s="82"/>
      <c r="AO118" s="36"/>
      <c r="AP118" s="36"/>
      <c r="AQ118" s="36"/>
      <c r="AR118" s="36">
        <f t="shared" ref="AR118:AR120" si="331">SUM(AN118:AQ118)</f>
        <v>0</v>
      </c>
      <c r="AS118" s="36"/>
      <c r="AT118" s="36"/>
      <c r="AU118" s="36"/>
      <c r="AV118" s="36"/>
      <c r="AW118" s="36"/>
      <c r="AX118" s="36"/>
      <c r="AY118" s="36"/>
      <c r="AZ118" s="36"/>
      <c r="BA118" s="36">
        <f>+AR118+AS118+AU118+AW118+AY118+AZ118</f>
        <v>0</v>
      </c>
      <c r="BB118" s="49"/>
      <c r="BC118" s="50">
        <v>0</v>
      </c>
      <c r="BD118" s="50"/>
      <c r="BE118" s="49"/>
      <c r="BF118" s="50"/>
    </row>
    <row r="119" spans="1:58" ht="12.95" customHeight="1">
      <c r="A119" s="39"/>
      <c r="B119" s="40"/>
      <c r="C119" s="413"/>
      <c r="D119" s="40"/>
      <c r="E119" s="41"/>
      <c r="F119" s="41"/>
      <c r="G119" s="497"/>
      <c r="H119" s="43"/>
      <c r="I119" s="44"/>
      <c r="J119" s="81"/>
      <c r="K119" s="81"/>
      <c r="L119" s="34"/>
      <c r="M119" s="34"/>
      <c r="N119" s="45"/>
      <c r="O119" s="46"/>
      <c r="P119" s="47"/>
      <c r="Q119" s="46"/>
      <c r="R119" s="498"/>
      <c r="S119" s="498"/>
      <c r="T119" s="36"/>
      <c r="U119" s="36"/>
      <c r="V119" s="36"/>
      <c r="W119" s="36"/>
      <c r="X119" s="37"/>
      <c r="Y119" s="210"/>
      <c r="Z119" s="36"/>
      <c r="AA119" s="36"/>
      <c r="AB119" s="36"/>
      <c r="AC119" s="36"/>
      <c r="AD119" s="36">
        <f>+AM119+BA119</f>
        <v>0</v>
      </c>
      <c r="AE119" s="229" t="s">
        <v>496</v>
      </c>
      <c r="AF119" s="32"/>
      <c r="AG119" s="32"/>
      <c r="AH119" s="32">
        <v>0</v>
      </c>
      <c r="AI119" s="500"/>
      <c r="AJ119" s="36"/>
      <c r="AK119" s="36"/>
      <c r="AL119" s="36"/>
      <c r="AM119" s="36">
        <f t="shared" si="330"/>
        <v>0</v>
      </c>
      <c r="AN119" s="36"/>
      <c r="AO119" s="36"/>
      <c r="AP119" s="36"/>
      <c r="AQ119" s="36"/>
      <c r="AR119" s="36">
        <f t="shared" si="331"/>
        <v>0</v>
      </c>
      <c r="AS119" s="36"/>
      <c r="AT119" s="36"/>
      <c r="AU119" s="36"/>
      <c r="AV119" s="36"/>
      <c r="AW119" s="36"/>
      <c r="AX119" s="36"/>
      <c r="AY119" s="36"/>
      <c r="AZ119" s="36"/>
      <c r="BA119" s="36">
        <f>+AR119+AS119+AU119+AW119+AY119+AZ119</f>
        <v>0</v>
      </c>
      <c r="BB119" s="32"/>
      <c r="BC119" s="501"/>
      <c r="BD119" s="501"/>
      <c r="BE119" s="32"/>
      <c r="BF119" s="501"/>
    </row>
    <row r="120" spans="1:58" ht="12.95" customHeight="1">
      <c r="A120" s="39"/>
      <c r="B120" s="40"/>
      <c r="C120" s="413"/>
      <c r="D120" s="40"/>
      <c r="E120" s="41"/>
      <c r="F120" s="41"/>
      <c r="G120" s="497"/>
      <c r="H120" s="43"/>
      <c r="I120" s="44"/>
      <c r="J120" s="81"/>
      <c r="K120" s="81"/>
      <c r="L120" s="34"/>
      <c r="M120" s="34"/>
      <c r="N120" s="45"/>
      <c r="O120" s="46"/>
      <c r="P120" s="47"/>
      <c r="Q120" s="46"/>
      <c r="R120" s="498"/>
      <c r="S120" s="498"/>
      <c r="T120" s="36"/>
      <c r="U120" s="36"/>
      <c r="V120" s="36"/>
      <c r="W120" s="36"/>
      <c r="X120" s="37"/>
      <c r="Y120" s="210"/>
      <c r="Z120" s="36"/>
      <c r="AA120" s="36"/>
      <c r="AB120" s="36"/>
      <c r="AC120" s="36"/>
      <c r="AD120" s="36">
        <f>+AM120+BA120</f>
        <v>1440</v>
      </c>
      <c r="AE120" s="229" t="s">
        <v>685</v>
      </c>
      <c r="AF120" s="32"/>
      <c r="AG120" s="32"/>
      <c r="AH120" s="32"/>
      <c r="AJ120" s="36"/>
      <c r="AK120" s="36"/>
      <c r="AL120" s="36"/>
      <c r="AM120" s="36">
        <f t="shared" si="330"/>
        <v>0</v>
      </c>
      <c r="AN120" s="36"/>
      <c r="AO120" s="36"/>
      <c r="AP120" s="36"/>
      <c r="AQ120" s="36"/>
      <c r="AR120" s="36">
        <f t="shared" si="331"/>
        <v>0</v>
      </c>
      <c r="AS120" s="36"/>
      <c r="AT120" s="36"/>
      <c r="AU120" s="36"/>
      <c r="AV120" s="36"/>
      <c r="AW120" s="36"/>
      <c r="AX120" s="36"/>
      <c r="AY120" s="36"/>
      <c r="AZ120" s="36">
        <v>1440</v>
      </c>
      <c r="BA120" s="36">
        <f>+AR120+AS120+AU120+AW120+AY120+AZ120</f>
        <v>1440</v>
      </c>
      <c r="BB120" s="32"/>
      <c r="BC120" s="501"/>
      <c r="BD120" s="501"/>
      <c r="BE120" s="32"/>
      <c r="BF120" s="501"/>
    </row>
    <row r="121" spans="1:58" ht="16.5" customHeight="1">
      <c r="A121" s="39"/>
      <c r="B121" s="40"/>
      <c r="C121" s="413"/>
      <c r="D121" s="40"/>
      <c r="E121" s="41"/>
      <c r="F121" s="41"/>
      <c r="G121" s="497"/>
      <c r="H121" s="43"/>
      <c r="I121" s="44"/>
      <c r="J121" s="81"/>
      <c r="K121" s="81"/>
      <c r="L121" s="34"/>
      <c r="M121" s="34"/>
      <c r="N121" s="45"/>
      <c r="O121" s="46"/>
      <c r="P121" s="47"/>
      <c r="Q121" s="46"/>
      <c r="R121" s="498"/>
      <c r="S121" s="498"/>
      <c r="T121" s="36"/>
      <c r="U121" s="36"/>
      <c r="V121" s="36"/>
      <c r="W121" s="36"/>
      <c r="X121" s="499"/>
      <c r="Y121" s="210"/>
      <c r="Z121" s="36"/>
      <c r="AA121" s="48"/>
      <c r="AB121" s="48"/>
      <c r="AC121" s="36"/>
      <c r="AD121" s="36"/>
      <c r="AE121" s="229"/>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2"/>
      <c r="BC121" s="50"/>
      <c r="BD121" s="50"/>
      <c r="BE121" s="50"/>
      <c r="BF121" s="50"/>
    </row>
    <row r="122" spans="1:58" ht="12.75" customHeight="1">
      <c r="A122" s="39">
        <v>46105</v>
      </c>
      <c r="B122" s="40" t="s">
        <v>551</v>
      </c>
      <c r="C122" s="413">
        <f t="shared" ref="C122" si="332">(M122*E122*O122*Q122)/100000000</f>
        <v>28.225920778991469</v>
      </c>
      <c r="D122" s="40" t="s">
        <v>301</v>
      </c>
      <c r="E122" s="41">
        <v>14</v>
      </c>
      <c r="F122" s="41">
        <v>1</v>
      </c>
      <c r="G122" s="497">
        <v>1230</v>
      </c>
      <c r="H122" s="43">
        <f>+N122</f>
        <v>0.2400000000000001</v>
      </c>
      <c r="I122" s="44">
        <v>0.88</v>
      </c>
      <c r="J122" s="81">
        <f t="shared" ref="J122" si="333">E122*G122*(1-H122)*1440/1000000*2.74</f>
        <v>51.636856320000007</v>
      </c>
      <c r="K122" s="81">
        <f t="shared" ref="K122" si="334">(IF(G122&lt;L122,L122,G122)*(1-IF(H122&lt;N122,H122,N122))*E122*O122*Q122)/100000000</f>
        <v>31.400380703999993</v>
      </c>
      <c r="L122" s="34">
        <v>1105.6516443361754</v>
      </c>
      <c r="M122" s="34">
        <v>840.29524969549323</v>
      </c>
      <c r="N122" s="45">
        <f t="shared" ref="N122" si="335">1-(M122/L122)</f>
        <v>0.2400000000000001</v>
      </c>
      <c r="O122" s="46">
        <f>+'Trim Rwd'!H71</f>
        <v>266</v>
      </c>
      <c r="P122" s="47">
        <f t="shared" ref="P122" si="336">O122*(Q122-R122-S122)</f>
        <v>156408</v>
      </c>
      <c r="Q122" s="46">
        <f>821+81</f>
        <v>902</v>
      </c>
      <c r="R122" s="498">
        <v>81</v>
      </c>
      <c r="S122" s="498">
        <f>128+105</f>
        <v>233</v>
      </c>
      <c r="T122" s="36">
        <f t="shared" ref="T122" si="337">E122*M122*O122*Q122/100000000</f>
        <v>28.225920778991469</v>
      </c>
      <c r="U122" s="36">
        <f t="shared" ref="U122" si="338">E122*M122*O122*(Q122-R122-S122)/100000000</f>
        <v>18.400045918012179</v>
      </c>
      <c r="V122" s="36">
        <f t="shared" ref="V122" si="339">E122*G122*(1-N122)*O122/100*(R122+S122)/1000000</f>
        <v>10.930952928</v>
      </c>
      <c r="W122" s="36">
        <f>+'24'!K12/1000</f>
        <v>18.321999999999999</v>
      </c>
      <c r="X122" s="499">
        <f>SUM(W122:W125)/SUM(K122:K125)</f>
        <v>0.52438490082857836</v>
      </c>
      <c r="Y122" s="210">
        <v>0</v>
      </c>
      <c r="Z122" s="36">
        <v>0</v>
      </c>
      <c r="AA122" s="48">
        <f>SUM(U122:U125)-SUM(W122:W125)-SUM(Z122:Z125)-SUM(Y122:Y125)</f>
        <v>4.7884258592761171</v>
      </c>
      <c r="AB122" s="48">
        <f>(SUM(K122:K125)-SUM(W122:W125)-SUM(Y122:Y125)-SUM(Z122:Z125)-SUM(AC122:AC125)-SUM(V122:V125))-AA122</f>
        <v>-1.4627762082846516</v>
      </c>
      <c r="AC122" s="36">
        <f>K122-T122</f>
        <v>3.1744599250085237</v>
      </c>
      <c r="AD122" s="36">
        <f t="shared" ref="AD122:AD128" si="340">+AM122+BA122</f>
        <v>20</v>
      </c>
      <c r="AE122" s="229" t="s">
        <v>497</v>
      </c>
      <c r="AF122" s="36">
        <v>20</v>
      </c>
      <c r="AG122" s="36"/>
      <c r="AH122" s="36"/>
      <c r="AI122" s="36"/>
      <c r="AJ122" s="36"/>
      <c r="AK122" s="36"/>
      <c r="AL122" s="36"/>
      <c r="AM122" s="36">
        <f t="shared" ref="AM122:AM125" si="341">SUM(AF122:AL122)+AT122+AV122+AX122</f>
        <v>20</v>
      </c>
      <c r="AN122" s="36"/>
      <c r="AO122" s="36"/>
      <c r="AP122" s="36"/>
      <c r="AQ122" s="36"/>
      <c r="AR122" s="36">
        <f>SUM(AN122:AQ122)</f>
        <v>0</v>
      </c>
      <c r="AS122" s="36"/>
      <c r="AT122" s="36"/>
      <c r="AU122" s="36"/>
      <c r="AV122" s="36"/>
      <c r="AW122" s="36"/>
      <c r="AX122" s="36"/>
      <c r="AY122" s="36"/>
      <c r="AZ122" s="36"/>
      <c r="BA122" s="36">
        <f t="shared" ref="BA122:BA128" si="342">+AR122+AS122+AU122+AW122+AY122+AZ122</f>
        <v>0</v>
      </c>
      <c r="BB122" s="32">
        <v>5</v>
      </c>
      <c r="BC122" s="50"/>
      <c r="BD122" s="50"/>
      <c r="BE122" s="32"/>
      <c r="BF122" s="50"/>
    </row>
    <row r="123" spans="1:58" ht="12.95" customHeight="1">
      <c r="A123" s="39"/>
      <c r="B123" s="40" t="s">
        <v>551</v>
      </c>
      <c r="C123" s="413">
        <f t="shared" ref="C123" si="343">(M123*E123*O123*Q123)/100000000</f>
        <v>12.732718050000001</v>
      </c>
      <c r="D123" s="40" t="s">
        <v>301</v>
      </c>
      <c r="E123" s="41">
        <v>12.5</v>
      </c>
      <c r="F123" s="41">
        <v>1</v>
      </c>
      <c r="G123" s="497">
        <v>1230</v>
      </c>
      <c r="H123" s="43">
        <f t="shared" ref="H123" si="344">+N123</f>
        <v>0.21999999999999997</v>
      </c>
      <c r="I123" s="44">
        <v>0.88</v>
      </c>
      <c r="J123" s="81">
        <f t="shared" ref="J123" si="345">E123*G123*(1-H123)*1440/1000000*2.74</f>
        <v>47.317608000000007</v>
      </c>
      <c r="K123" s="81">
        <f t="shared" ref="K123" si="346">(IF(G123&lt;L123,L123,G123)*(1-IF(H123&lt;N123,H123,N123))*E123*O123*Q123)/100000000</f>
        <v>16.581550050000001</v>
      </c>
      <c r="L123" s="34">
        <v>944.49814126394051</v>
      </c>
      <c r="M123" s="34">
        <v>736.70855018587361</v>
      </c>
      <c r="N123" s="45">
        <f t="shared" ref="N123" si="347">1-(M123/L123)</f>
        <v>0.21999999999999997</v>
      </c>
      <c r="O123" s="46">
        <f>+'Trim Rwd'!H72</f>
        <v>257</v>
      </c>
      <c r="P123" s="47">
        <f t="shared" ref="P123" si="348">O123*(Q123-R123-S123)</f>
        <v>125416</v>
      </c>
      <c r="Q123" s="46">
        <v>538</v>
      </c>
      <c r="R123" s="498">
        <v>0</v>
      </c>
      <c r="S123" s="498">
        <v>50</v>
      </c>
      <c r="T123" s="36">
        <f t="shared" ref="T123" si="349">E123*M123*O123*Q123/100000000</f>
        <v>12.732718050000001</v>
      </c>
      <c r="U123" s="36">
        <f t="shared" ref="U123" si="350">E123*M123*O123*(Q123-R123-S123)/100000000</f>
        <v>11.54937994126394</v>
      </c>
      <c r="V123" s="36">
        <f t="shared" ref="V123" si="351">E123*G123*(1-N123)*O123/100*(R123+S123)/1000000</f>
        <v>1.5410362500000001</v>
      </c>
      <c r="W123" s="36">
        <f>+'24'!K16/1000</f>
        <v>6.8390000000000004</v>
      </c>
      <c r="X123" s="37"/>
      <c r="Y123" s="210"/>
      <c r="Z123" s="36"/>
      <c r="AA123" s="36"/>
      <c r="AB123" s="36"/>
      <c r="AC123" s="36">
        <f>K123-T123</f>
        <v>3.8488319999999998</v>
      </c>
      <c r="AD123" s="36">
        <f t="shared" si="340"/>
        <v>9</v>
      </c>
      <c r="AE123" s="229" t="s">
        <v>552</v>
      </c>
      <c r="AF123" s="36"/>
      <c r="AG123" s="36">
        <v>9</v>
      </c>
      <c r="AH123" s="36"/>
      <c r="AI123" s="36"/>
      <c r="AJ123" s="36"/>
      <c r="AK123" s="36"/>
      <c r="AL123" s="36"/>
      <c r="AM123" s="36">
        <f t="shared" si="341"/>
        <v>9</v>
      </c>
      <c r="AN123" s="82"/>
      <c r="AO123" s="36"/>
      <c r="AP123" s="36"/>
      <c r="AQ123" s="36"/>
      <c r="AR123" s="36">
        <f t="shared" ref="AR123:AR125" si="352">SUM(AN123:AQ123)</f>
        <v>0</v>
      </c>
      <c r="AS123" s="36"/>
      <c r="AT123" s="36"/>
      <c r="AU123" s="36"/>
      <c r="AV123" s="36"/>
      <c r="AW123" s="36"/>
      <c r="AX123" s="36"/>
      <c r="AY123" s="36"/>
      <c r="AZ123" s="36"/>
      <c r="BA123" s="36">
        <f t="shared" si="342"/>
        <v>0</v>
      </c>
      <c r="BB123" s="49"/>
      <c r="BC123" s="50">
        <v>6</v>
      </c>
      <c r="BD123" s="50"/>
      <c r="BE123" s="49"/>
      <c r="BF123" s="50"/>
    </row>
    <row r="124" spans="1:58" ht="12.95" customHeight="1">
      <c r="A124" s="39"/>
      <c r="B124" s="40"/>
      <c r="C124" s="413"/>
      <c r="D124" s="40"/>
      <c r="E124" s="41"/>
      <c r="F124" s="41"/>
      <c r="G124" s="497"/>
      <c r="H124" s="43"/>
      <c r="I124" s="44"/>
      <c r="J124" s="81"/>
      <c r="K124" s="81"/>
      <c r="L124" s="34"/>
      <c r="M124" s="34"/>
      <c r="N124" s="45"/>
      <c r="O124" s="46"/>
      <c r="P124" s="47"/>
      <c r="Q124" s="46"/>
      <c r="R124" s="498"/>
      <c r="S124" s="498"/>
      <c r="T124" s="36"/>
      <c r="U124" s="36"/>
      <c r="V124" s="36"/>
      <c r="W124" s="36"/>
      <c r="X124" s="37"/>
      <c r="Y124" s="210"/>
      <c r="Z124" s="36"/>
      <c r="AA124" s="36"/>
      <c r="AB124" s="36"/>
      <c r="AC124" s="36"/>
      <c r="AD124" s="36">
        <f t="shared" si="340"/>
        <v>35</v>
      </c>
      <c r="AE124" s="229" t="s">
        <v>573</v>
      </c>
      <c r="AF124" s="32"/>
      <c r="AG124" s="32"/>
      <c r="AH124" s="32">
        <v>35</v>
      </c>
      <c r="AI124" s="36"/>
      <c r="AJ124" s="36"/>
      <c r="AK124" s="36"/>
      <c r="AL124" s="36"/>
      <c r="AM124" s="36">
        <f t="shared" si="341"/>
        <v>35</v>
      </c>
      <c r="AN124" s="36"/>
      <c r="AO124" s="36"/>
      <c r="AP124" s="36"/>
      <c r="AQ124" s="36"/>
      <c r="AR124" s="36">
        <f t="shared" si="352"/>
        <v>0</v>
      </c>
      <c r="AS124" s="36"/>
      <c r="AT124" s="36"/>
      <c r="AU124" s="36"/>
      <c r="AV124" s="36"/>
      <c r="AW124" s="36"/>
      <c r="AX124" s="36"/>
      <c r="AY124" s="36"/>
      <c r="AZ124" s="36"/>
      <c r="BA124" s="36">
        <f t="shared" si="342"/>
        <v>0</v>
      </c>
      <c r="BB124" s="32"/>
      <c r="BC124" s="501"/>
      <c r="BD124" s="501"/>
      <c r="BE124" s="32"/>
      <c r="BF124" s="501"/>
    </row>
    <row r="125" spans="1:58" ht="12.95" customHeight="1">
      <c r="A125" s="39"/>
      <c r="B125" s="40"/>
      <c r="C125" s="413"/>
      <c r="D125" s="40"/>
      <c r="E125" s="41"/>
      <c r="F125" s="41"/>
      <c r="G125" s="497"/>
      <c r="H125" s="43"/>
      <c r="I125" s="44"/>
      <c r="J125" s="81"/>
      <c r="K125" s="81"/>
      <c r="L125" s="34"/>
      <c r="M125" s="34"/>
      <c r="N125" s="45"/>
      <c r="O125" s="46"/>
      <c r="P125" s="47"/>
      <c r="Q125" s="46"/>
      <c r="R125" s="498"/>
      <c r="S125" s="498"/>
      <c r="T125" s="36"/>
      <c r="U125" s="36"/>
      <c r="V125" s="36"/>
      <c r="W125" s="36"/>
      <c r="X125" s="37"/>
      <c r="Y125" s="210"/>
      <c r="Z125" s="36"/>
      <c r="AA125" s="36"/>
      <c r="AB125" s="36"/>
      <c r="AC125" s="36"/>
      <c r="AD125" s="36">
        <f t="shared" si="340"/>
        <v>81</v>
      </c>
      <c r="AE125" s="229" t="s">
        <v>685</v>
      </c>
      <c r="AF125" s="32"/>
      <c r="AG125" s="32"/>
      <c r="AH125" s="32"/>
      <c r="AI125" s="32"/>
      <c r="AJ125" s="36"/>
      <c r="AK125" s="36"/>
      <c r="AL125" s="36"/>
      <c r="AM125" s="36">
        <f t="shared" si="341"/>
        <v>0</v>
      </c>
      <c r="AN125" s="36"/>
      <c r="AO125" s="36"/>
      <c r="AP125" s="36"/>
      <c r="AQ125" s="36"/>
      <c r="AR125" s="36">
        <f t="shared" si="352"/>
        <v>0</v>
      </c>
      <c r="AS125" s="36"/>
      <c r="AT125" s="36"/>
      <c r="AU125" s="36"/>
      <c r="AV125" s="36"/>
      <c r="AW125" s="36"/>
      <c r="AX125" s="36"/>
      <c r="AY125" s="36"/>
      <c r="AZ125" s="36">
        <v>81</v>
      </c>
      <c r="BA125" s="36">
        <f t="shared" si="342"/>
        <v>81</v>
      </c>
      <c r="BB125" s="32"/>
      <c r="BC125" s="501"/>
      <c r="BD125" s="501"/>
      <c r="BE125" s="32"/>
      <c r="BF125" s="501"/>
    </row>
    <row r="126" spans="1:58" ht="12.95" customHeight="1">
      <c r="A126" s="39"/>
      <c r="B126" s="40"/>
      <c r="C126" s="413"/>
      <c r="D126" s="40"/>
      <c r="E126" s="41"/>
      <c r="F126" s="41"/>
      <c r="G126" s="497"/>
      <c r="H126" s="43"/>
      <c r="I126" s="44"/>
      <c r="J126" s="81"/>
      <c r="K126" s="81"/>
      <c r="L126" s="34"/>
      <c r="M126" s="34"/>
      <c r="N126" s="45"/>
      <c r="O126" s="46"/>
      <c r="P126" s="47"/>
      <c r="Q126" s="46"/>
      <c r="R126" s="498"/>
      <c r="S126" s="498"/>
      <c r="T126" s="36"/>
      <c r="U126" s="36"/>
      <c r="V126" s="36"/>
      <c r="W126" s="36"/>
      <c r="X126" s="37"/>
      <c r="Y126" s="210"/>
      <c r="Z126" s="36"/>
      <c r="AA126" s="36"/>
      <c r="AB126" s="36"/>
      <c r="AC126" s="36"/>
      <c r="AD126" s="36">
        <f t="shared" ref="AD126" si="353">+AM126+BA126</f>
        <v>105</v>
      </c>
      <c r="AE126" s="229" t="s">
        <v>780</v>
      </c>
      <c r="AF126" s="32"/>
      <c r="AG126" s="32"/>
      <c r="AH126" s="32"/>
      <c r="AI126" s="32"/>
      <c r="AJ126" s="36"/>
      <c r="AK126" s="36"/>
      <c r="AL126" s="36"/>
      <c r="AM126" s="36">
        <f>SUM(AF126:AL126)+AT126+AV126+AX126+AZ126</f>
        <v>105</v>
      </c>
      <c r="AN126" s="36"/>
      <c r="AO126" s="36"/>
      <c r="AP126" s="36"/>
      <c r="AQ126" s="36"/>
      <c r="AR126" s="36">
        <f t="shared" ref="AR126" si="354">SUM(AN126:AQ126)</f>
        <v>0</v>
      </c>
      <c r="AS126" s="36"/>
      <c r="AT126" s="36"/>
      <c r="AU126" s="36"/>
      <c r="AV126" s="36"/>
      <c r="AW126" s="36"/>
      <c r="AX126" s="36"/>
      <c r="AY126" s="36"/>
      <c r="AZ126" s="36">
        <v>105</v>
      </c>
      <c r="BA126" s="36">
        <f>+AR126+AS126+AU126+AW126+AY126</f>
        <v>0</v>
      </c>
      <c r="BB126" s="32"/>
      <c r="BC126" s="501"/>
      <c r="BD126" s="501"/>
      <c r="BE126" s="32"/>
      <c r="BF126" s="501"/>
    </row>
    <row r="127" spans="1:58" ht="12.95" customHeight="1">
      <c r="A127" s="39"/>
      <c r="B127" s="40"/>
      <c r="C127" s="413"/>
      <c r="D127" s="40"/>
      <c r="E127" s="41"/>
      <c r="F127" s="41"/>
      <c r="G127" s="497"/>
      <c r="H127" s="43"/>
      <c r="I127" s="44"/>
      <c r="J127" s="81"/>
      <c r="K127" s="81"/>
      <c r="L127" s="34"/>
      <c r="M127" s="34"/>
      <c r="N127" s="45"/>
      <c r="O127" s="46"/>
      <c r="P127" s="47"/>
      <c r="Q127" s="46"/>
      <c r="R127" s="498"/>
      <c r="S127" s="498"/>
      <c r="T127" s="36"/>
      <c r="U127" s="36"/>
      <c r="V127" s="36"/>
      <c r="W127" s="36"/>
      <c r="X127" s="37"/>
      <c r="Y127" s="210"/>
      <c r="Z127" s="36"/>
      <c r="AA127" s="36"/>
      <c r="AB127" s="36"/>
      <c r="AC127" s="36"/>
      <c r="AD127" s="36">
        <f t="shared" si="340"/>
        <v>34</v>
      </c>
      <c r="AE127" s="229" t="s">
        <v>725</v>
      </c>
      <c r="AF127" s="32"/>
      <c r="AG127" s="32"/>
      <c r="AH127" s="32"/>
      <c r="AI127" s="32"/>
      <c r="AJ127" s="36"/>
      <c r="AK127" s="36">
        <v>34</v>
      </c>
      <c r="AL127" s="36"/>
      <c r="AM127" s="36">
        <f t="shared" ref="AM127" si="355">SUM(AF127:AL127)+AT127+AV127+AX127</f>
        <v>34</v>
      </c>
      <c r="AN127" s="36"/>
      <c r="AO127" s="36"/>
      <c r="AP127" s="36"/>
      <c r="AQ127" s="36"/>
      <c r="AR127" s="36">
        <f t="shared" ref="AR127" si="356">SUM(AN127:AQ127)</f>
        <v>0</v>
      </c>
      <c r="AS127" s="36"/>
      <c r="AT127" s="36"/>
      <c r="AU127" s="36"/>
      <c r="AV127" s="36"/>
      <c r="AW127" s="36"/>
      <c r="AX127" s="36"/>
      <c r="AY127" s="36"/>
      <c r="AZ127" s="36"/>
      <c r="BA127" s="36">
        <f t="shared" si="342"/>
        <v>0</v>
      </c>
      <c r="BB127" s="32"/>
      <c r="BC127" s="501"/>
      <c r="BD127" s="501"/>
      <c r="BE127" s="32"/>
      <c r="BF127" s="501"/>
    </row>
    <row r="128" spans="1:58" ht="12.95" customHeight="1">
      <c r="A128" s="39"/>
      <c r="B128" s="40"/>
      <c r="C128" s="413"/>
      <c r="D128" s="40"/>
      <c r="E128" s="41"/>
      <c r="F128" s="41"/>
      <c r="G128" s="497"/>
      <c r="H128" s="43"/>
      <c r="I128" s="44"/>
      <c r="J128" s="81"/>
      <c r="K128" s="81"/>
      <c r="L128" s="34"/>
      <c r="M128" s="34"/>
      <c r="N128" s="45"/>
      <c r="O128" s="46"/>
      <c r="P128" s="47"/>
      <c r="Q128" s="46"/>
      <c r="R128" s="498"/>
      <c r="S128" s="498"/>
      <c r="T128" s="36"/>
      <c r="U128" s="36"/>
      <c r="V128" s="36"/>
      <c r="W128" s="36"/>
      <c r="X128" s="37"/>
      <c r="Y128" s="210"/>
      <c r="Z128" s="36"/>
      <c r="AA128" s="36"/>
      <c r="AB128" s="36"/>
      <c r="AC128" s="36"/>
      <c r="AD128" s="36">
        <f t="shared" si="340"/>
        <v>80</v>
      </c>
      <c r="AE128" s="229" t="s">
        <v>726</v>
      </c>
      <c r="AF128" s="32"/>
      <c r="AG128" s="32"/>
      <c r="AH128" s="32"/>
      <c r="AI128" s="32"/>
      <c r="AJ128" s="36"/>
      <c r="AK128" s="36">
        <v>80</v>
      </c>
      <c r="AL128" s="36"/>
      <c r="AM128" s="36">
        <f t="shared" ref="AM128" si="357">SUM(AF128:AL128)+AT128+AV128+AX128</f>
        <v>80</v>
      </c>
      <c r="AN128" s="36"/>
      <c r="AO128" s="36"/>
      <c r="AP128" s="36"/>
      <c r="AQ128" s="36"/>
      <c r="AR128" s="36">
        <f t="shared" ref="AR128" si="358">SUM(AN128:AQ128)</f>
        <v>0</v>
      </c>
      <c r="AS128" s="36"/>
      <c r="AT128" s="36"/>
      <c r="AU128" s="36"/>
      <c r="AV128" s="36"/>
      <c r="AW128" s="36"/>
      <c r="AX128" s="36"/>
      <c r="AY128" s="36"/>
      <c r="AZ128" s="36"/>
      <c r="BA128" s="36">
        <f t="shared" si="342"/>
        <v>0</v>
      </c>
      <c r="BB128" s="32"/>
      <c r="BC128" s="501"/>
      <c r="BD128" s="501"/>
      <c r="BE128" s="32"/>
      <c r="BF128" s="501"/>
    </row>
    <row r="129" spans="1:58" ht="12.95" customHeight="1">
      <c r="A129" s="39"/>
      <c r="B129" s="40"/>
      <c r="C129" s="413"/>
      <c r="D129" s="40"/>
      <c r="E129" s="41"/>
      <c r="F129" s="41"/>
      <c r="G129" s="42"/>
      <c r="H129" s="43"/>
      <c r="I129" s="44"/>
      <c r="J129" s="81"/>
      <c r="K129" s="81"/>
      <c r="L129" s="34"/>
      <c r="M129" s="34"/>
      <c r="N129" s="45"/>
      <c r="O129" s="46"/>
      <c r="P129" s="47"/>
      <c r="Q129" s="46"/>
      <c r="R129" s="498"/>
      <c r="S129" s="498"/>
      <c r="T129" s="36"/>
      <c r="U129" s="36"/>
      <c r="V129" s="36"/>
      <c r="W129" s="36"/>
      <c r="X129" s="37"/>
      <c r="Y129" s="210"/>
      <c r="Z129" s="36"/>
      <c r="AA129" s="36"/>
      <c r="AB129" s="36"/>
      <c r="AC129" s="36"/>
      <c r="AD129" s="36"/>
      <c r="AE129" s="229"/>
      <c r="AF129" s="32"/>
      <c r="AG129" s="32"/>
      <c r="AH129" s="32"/>
      <c r="AI129" s="32"/>
      <c r="AJ129" s="36"/>
      <c r="AK129" s="36"/>
      <c r="AL129" s="36"/>
      <c r="AM129" s="36"/>
      <c r="AN129" s="36"/>
      <c r="AO129" s="36"/>
      <c r="AP129" s="36"/>
      <c r="AQ129" s="36"/>
      <c r="AR129" s="36"/>
      <c r="AS129" s="36"/>
      <c r="AT129" s="36"/>
      <c r="AU129" s="36"/>
      <c r="AV129" s="36"/>
      <c r="AW129" s="36"/>
      <c r="AX129" s="36"/>
      <c r="AY129" s="36"/>
      <c r="AZ129" s="36"/>
      <c r="BA129" s="36"/>
      <c r="BB129" s="32"/>
      <c r="BC129" s="501"/>
      <c r="BD129" s="50"/>
      <c r="BE129" s="50"/>
      <c r="BF129" s="50"/>
    </row>
    <row r="130" spans="1:58" ht="12.75" customHeight="1">
      <c r="A130" s="39">
        <v>46106</v>
      </c>
      <c r="B130" s="40" t="s">
        <v>551</v>
      </c>
      <c r="C130" s="413">
        <f t="shared" ref="C130" si="359">(M130*E130*O130*Q130)/100000000</f>
        <v>40.614965518867926</v>
      </c>
      <c r="D130" s="40" t="s">
        <v>301</v>
      </c>
      <c r="E130" s="41">
        <v>12.5</v>
      </c>
      <c r="F130" s="41">
        <v>1</v>
      </c>
      <c r="G130" s="497">
        <v>1230</v>
      </c>
      <c r="H130" s="43">
        <f t="shared" ref="H130" si="360">+N130</f>
        <v>0.23340301763315763</v>
      </c>
      <c r="I130" s="44">
        <v>0.88</v>
      </c>
      <c r="J130" s="81">
        <f t="shared" ref="J130" si="361">E130*G130*(1-H130)*1440/1000000*2.74</f>
        <v>46.504532699509184</v>
      </c>
      <c r="K130" s="81">
        <f t="shared" ref="K130" si="362">(IF(G130&lt;L130,L130,G130)*(1-IF(H130&lt;N130,H130,N130))*E130*O130*Q130)/100000000</f>
        <v>43.590393823558664</v>
      </c>
      <c r="L130" s="34">
        <v>1146.0416666666667</v>
      </c>
      <c r="M130" s="34">
        <v>878.55208333333337</v>
      </c>
      <c r="N130" s="45">
        <f t="shared" ref="N130" si="363">1-(M130/L130)</f>
        <v>0.23340301763315763</v>
      </c>
      <c r="O130" s="46">
        <f>+'Trim Rwd'!H74</f>
        <v>256.83018867924528</v>
      </c>
      <c r="P130" s="47">
        <f t="shared" ref="P130" si="364">O130*(Q130-R130-S130)</f>
        <v>342097.8113207547</v>
      </c>
      <c r="Q130" s="46">
        <v>1440</v>
      </c>
      <c r="R130" s="498">
        <v>0</v>
      </c>
      <c r="S130" s="498">
        <v>108</v>
      </c>
      <c r="T130" s="36">
        <f t="shared" ref="T130" si="365">E130*M130*O130*Q130/100000000</f>
        <v>40.614965518867926</v>
      </c>
      <c r="U130" s="36">
        <f t="shared" ref="U130" si="366">E130*M130*O130*(Q130-R130-S130)/100000000</f>
        <v>37.568843104952833</v>
      </c>
      <c r="V130" s="36">
        <f t="shared" ref="V130" si="367">E130*G130*(1-N130)*O130/100*(R130+S130)/1000000</f>
        <v>3.2692795367668999</v>
      </c>
      <c r="W130" s="36">
        <f>+'25'!K16/1000</f>
        <v>38.253999999999998</v>
      </c>
      <c r="X130" s="499">
        <f>SUM(W130:W133)/SUM(K130:K133)</f>
        <v>0.87757867375186271</v>
      </c>
      <c r="Y130" s="210">
        <v>0</v>
      </c>
      <c r="Z130" s="36">
        <v>0</v>
      </c>
      <c r="AA130" s="48">
        <f>SUM(U130:U133)-SUM(W130:W133)-SUM(Z130:Z133)-SUM(Y130:Y133)</f>
        <v>-0.68515689504716448</v>
      </c>
      <c r="AB130" s="48">
        <f>(SUM(K130:K133)-SUM(W130:W133)-SUM(Y130:Y133)-SUM(Z130:Z133)-SUM(AC130:AC133)-SUM(V130:V133))-AA130</f>
        <v>-0.223157122851807</v>
      </c>
      <c r="AC130" s="36">
        <f>K130-T130</f>
        <v>2.9754283046907375</v>
      </c>
      <c r="AD130" s="36">
        <f t="shared" ref="AD130:AD133" si="368">+AM130+BA130</f>
        <v>19</v>
      </c>
      <c r="AE130" s="229" t="s">
        <v>415</v>
      </c>
      <c r="AF130" s="36">
        <v>19</v>
      </c>
      <c r="AG130" s="36"/>
      <c r="AH130" s="36"/>
      <c r="AI130" s="36"/>
      <c r="AJ130" s="36"/>
      <c r="AK130" s="36"/>
      <c r="AL130" s="36"/>
      <c r="AM130" s="36">
        <f t="shared" ref="AM130:AM132" si="369">SUM(AF130:AL130)+AT130+AV130+AX130</f>
        <v>19</v>
      </c>
      <c r="AN130" s="36"/>
      <c r="AO130" s="36"/>
      <c r="AP130" s="36"/>
      <c r="AQ130" s="36"/>
      <c r="AR130" s="36">
        <f>SUM(AN130:AQ130)</f>
        <v>0</v>
      </c>
      <c r="AS130" s="36"/>
      <c r="AT130" s="36"/>
      <c r="AU130" s="36"/>
      <c r="AV130" s="36"/>
      <c r="AW130" s="36"/>
      <c r="AX130" s="36"/>
      <c r="AY130" s="36"/>
      <c r="AZ130" s="36"/>
      <c r="BA130" s="36">
        <f t="shared" ref="BA130:BA133" si="370">+AR130+AS130+AU130+AW130+AY130+AZ130</f>
        <v>0</v>
      </c>
      <c r="BB130" s="32">
        <v>7</v>
      </c>
      <c r="BC130" s="50"/>
      <c r="BD130" s="50"/>
      <c r="BE130" s="32"/>
      <c r="BF130" s="50"/>
    </row>
    <row r="131" spans="1:58" ht="12.95" customHeight="1">
      <c r="A131" s="39"/>
      <c r="B131" s="40"/>
      <c r="C131" s="413"/>
      <c r="D131" s="40"/>
      <c r="E131" s="41"/>
      <c r="F131" s="41"/>
      <c r="G131" s="497"/>
      <c r="H131" s="43"/>
      <c r="I131" s="44"/>
      <c r="J131" s="81"/>
      <c r="K131" s="81"/>
      <c r="L131" s="34"/>
      <c r="M131" s="34"/>
      <c r="N131" s="45"/>
      <c r="O131" s="46"/>
      <c r="P131" s="47"/>
      <c r="Q131" s="46"/>
      <c r="R131" s="498"/>
      <c r="S131" s="498"/>
      <c r="T131" s="36"/>
      <c r="U131" s="36"/>
      <c r="V131" s="36"/>
      <c r="W131" s="36"/>
      <c r="X131" s="37"/>
      <c r="Y131" s="210"/>
      <c r="Z131" s="36"/>
      <c r="AA131" s="36"/>
      <c r="AB131" s="36"/>
      <c r="AC131" s="36">
        <f>K131-T131</f>
        <v>0</v>
      </c>
      <c r="AD131" s="36">
        <f t="shared" si="368"/>
        <v>0</v>
      </c>
      <c r="AE131" s="229" t="s">
        <v>283</v>
      </c>
      <c r="AF131" s="36"/>
      <c r="AG131" s="36">
        <v>0</v>
      </c>
      <c r="AH131" s="36"/>
      <c r="AI131" s="36"/>
      <c r="AJ131" s="36"/>
      <c r="AK131" s="36"/>
      <c r="AL131" s="36"/>
      <c r="AM131" s="36">
        <f t="shared" si="369"/>
        <v>0</v>
      </c>
      <c r="AN131" s="82"/>
      <c r="AO131" s="36"/>
      <c r="AP131" s="36"/>
      <c r="AQ131" s="36"/>
      <c r="AR131" s="36">
        <f t="shared" ref="AR131:AR132" si="371">SUM(AN131:AQ131)</f>
        <v>0</v>
      </c>
      <c r="AS131" s="36"/>
      <c r="AT131" s="36"/>
      <c r="AU131" s="36"/>
      <c r="AV131" s="36"/>
      <c r="AW131" s="36"/>
      <c r="AX131" s="36"/>
      <c r="AY131" s="36"/>
      <c r="AZ131" s="36"/>
      <c r="BA131" s="36">
        <f t="shared" si="370"/>
        <v>0</v>
      </c>
      <c r="BB131" s="49"/>
      <c r="BC131" s="50">
        <v>0</v>
      </c>
      <c r="BD131" s="50"/>
      <c r="BE131" s="49"/>
      <c r="BF131" s="50"/>
    </row>
    <row r="132" spans="1:58" ht="12.95" customHeight="1">
      <c r="A132" s="39"/>
      <c r="B132" s="40"/>
      <c r="C132" s="413"/>
      <c r="D132" s="40"/>
      <c r="E132" s="41"/>
      <c r="F132" s="41"/>
      <c r="G132" s="497"/>
      <c r="H132" s="43"/>
      <c r="I132" s="44"/>
      <c r="J132" s="81"/>
      <c r="K132" s="81"/>
      <c r="L132" s="34"/>
      <c r="M132" s="34"/>
      <c r="N132" s="45"/>
      <c r="O132" s="46"/>
      <c r="P132" s="47"/>
      <c r="Q132" s="46"/>
      <c r="R132" s="498"/>
      <c r="S132" s="498"/>
      <c r="T132" s="36"/>
      <c r="U132" s="36"/>
      <c r="V132" s="36"/>
      <c r="W132" s="36"/>
      <c r="X132" s="37"/>
      <c r="Y132" s="210"/>
      <c r="Z132" s="36"/>
      <c r="AA132" s="36"/>
      <c r="AB132" s="36"/>
      <c r="AC132" s="36"/>
      <c r="AD132" s="36">
        <f t="shared" si="368"/>
        <v>39</v>
      </c>
      <c r="AE132" s="229" t="s">
        <v>656</v>
      </c>
      <c r="AF132" s="32"/>
      <c r="AG132" s="32"/>
      <c r="AH132" s="32">
        <v>39</v>
      </c>
      <c r="AI132" s="36"/>
      <c r="AJ132" s="36"/>
      <c r="AK132" s="36"/>
      <c r="AL132" s="36"/>
      <c r="AM132" s="36">
        <f t="shared" si="369"/>
        <v>39</v>
      </c>
      <c r="AN132" s="36"/>
      <c r="AO132" s="36"/>
      <c r="AP132" s="36"/>
      <c r="AQ132" s="36"/>
      <c r="AR132" s="36">
        <f t="shared" si="371"/>
        <v>0</v>
      </c>
      <c r="AS132" s="36"/>
      <c r="AT132" s="36"/>
      <c r="AU132" s="36"/>
      <c r="AV132" s="36"/>
      <c r="AW132" s="36"/>
      <c r="AX132" s="36"/>
      <c r="AY132" s="36"/>
      <c r="AZ132" s="36"/>
      <c r="BA132" s="36">
        <f t="shared" si="370"/>
        <v>0</v>
      </c>
      <c r="BB132" s="32"/>
      <c r="BC132" s="501"/>
      <c r="BD132" s="501"/>
      <c r="BE132" s="32"/>
      <c r="BF132" s="501"/>
    </row>
    <row r="133" spans="1:58" ht="12.95" customHeight="1">
      <c r="A133" s="39"/>
      <c r="B133" s="40"/>
      <c r="C133" s="413"/>
      <c r="D133" s="40"/>
      <c r="E133" s="41"/>
      <c r="F133" s="41"/>
      <c r="G133" s="497"/>
      <c r="H133" s="43"/>
      <c r="I133" s="44"/>
      <c r="J133" s="81"/>
      <c r="K133" s="81"/>
      <c r="L133" s="34"/>
      <c r="M133" s="34"/>
      <c r="N133" s="45"/>
      <c r="O133" s="46"/>
      <c r="P133" s="47"/>
      <c r="Q133" s="46"/>
      <c r="R133" s="498"/>
      <c r="S133" s="498"/>
      <c r="T133" s="36"/>
      <c r="U133" s="36"/>
      <c r="V133" s="36"/>
      <c r="W133" s="36"/>
      <c r="X133" s="37"/>
      <c r="Y133" s="210"/>
      <c r="Z133" s="36"/>
      <c r="AA133" s="36"/>
      <c r="AB133" s="36"/>
      <c r="AC133" s="36"/>
      <c r="AD133" s="36">
        <f t="shared" si="368"/>
        <v>50</v>
      </c>
      <c r="AE133" s="229" t="s">
        <v>726</v>
      </c>
      <c r="AF133" s="32"/>
      <c r="AG133" s="32"/>
      <c r="AH133" s="32"/>
      <c r="AI133" s="32"/>
      <c r="AJ133" s="36"/>
      <c r="AK133" s="36">
        <v>50</v>
      </c>
      <c r="AL133" s="36"/>
      <c r="AM133" s="36">
        <f t="shared" ref="AM133" si="372">SUM(AF133:AL133)+AT133+AV133+AX133</f>
        <v>50</v>
      </c>
      <c r="AN133" s="36"/>
      <c r="AO133" s="36"/>
      <c r="AP133" s="36"/>
      <c r="AQ133" s="36"/>
      <c r="AR133" s="36">
        <f t="shared" ref="AR133" si="373">SUM(AN133:AQ133)</f>
        <v>0</v>
      </c>
      <c r="AS133" s="36"/>
      <c r="AT133" s="36"/>
      <c r="AU133" s="36"/>
      <c r="AV133" s="36"/>
      <c r="AW133" s="36"/>
      <c r="AX133" s="36"/>
      <c r="AY133" s="36"/>
      <c r="AZ133" s="36"/>
      <c r="BA133" s="36">
        <f t="shared" si="370"/>
        <v>0</v>
      </c>
      <c r="BB133" s="32"/>
      <c r="BC133" s="501"/>
      <c r="BD133" s="501"/>
      <c r="BE133" s="32"/>
      <c r="BF133" s="501"/>
    </row>
    <row r="134" spans="1:58" ht="12.95" customHeight="1">
      <c r="A134" s="39"/>
      <c r="B134" s="40"/>
      <c r="C134" s="413"/>
      <c r="D134" s="40"/>
      <c r="E134" s="41"/>
      <c r="F134" s="41"/>
      <c r="G134" s="42"/>
      <c r="H134" s="43"/>
      <c r="I134" s="44"/>
      <c r="J134" s="81"/>
      <c r="K134" s="81"/>
      <c r="L134" s="34"/>
      <c r="M134" s="34"/>
      <c r="N134" s="45"/>
      <c r="O134" s="46"/>
      <c r="P134" s="47"/>
      <c r="Q134" s="46"/>
      <c r="R134" s="498"/>
      <c r="S134" s="498"/>
      <c r="T134" s="36"/>
      <c r="U134" s="36"/>
      <c r="V134" s="36"/>
      <c r="W134" s="36"/>
      <c r="X134" s="37"/>
      <c r="Y134" s="210"/>
      <c r="Z134" s="36"/>
      <c r="AA134" s="36"/>
      <c r="AB134" s="36"/>
      <c r="AC134" s="36"/>
      <c r="AD134" s="36"/>
      <c r="AE134" s="229"/>
      <c r="AF134" s="32"/>
      <c r="AG134" s="32"/>
      <c r="AH134" s="32"/>
      <c r="AJ134" s="36"/>
      <c r="AK134" s="36"/>
      <c r="AL134" s="36"/>
      <c r="AM134" s="36"/>
      <c r="AN134" s="36"/>
      <c r="AO134" s="36"/>
      <c r="AP134" s="36"/>
      <c r="AQ134" s="36"/>
      <c r="AR134" s="36"/>
      <c r="AS134" s="36"/>
      <c r="AT134" s="36"/>
      <c r="AU134" s="36"/>
      <c r="AV134" s="36"/>
      <c r="AW134" s="36"/>
      <c r="AX134" s="36"/>
      <c r="AY134" s="36"/>
      <c r="AZ134" s="36"/>
      <c r="BA134" s="36"/>
      <c r="BB134" s="32"/>
      <c r="BC134" s="501"/>
      <c r="BD134" s="50"/>
      <c r="BE134" s="50"/>
      <c r="BF134" s="50"/>
    </row>
    <row r="135" spans="1:58" ht="12.75" customHeight="1">
      <c r="A135" s="39">
        <v>46107</v>
      </c>
      <c r="B135" s="40" t="s">
        <v>551</v>
      </c>
      <c r="C135" s="413">
        <f t="shared" ref="C135" si="374">(M135*E135*O135*Q135)/100000000</f>
        <v>3.1883520000000001</v>
      </c>
      <c r="D135" s="40" t="s">
        <v>301</v>
      </c>
      <c r="E135" s="41">
        <v>12.5</v>
      </c>
      <c r="F135" s="41">
        <v>1</v>
      </c>
      <c r="G135" s="497">
        <v>1230</v>
      </c>
      <c r="H135" s="43">
        <f t="shared" ref="H135" si="375">+N135</f>
        <v>0.24</v>
      </c>
      <c r="I135" s="44">
        <v>0.88</v>
      </c>
      <c r="J135" s="81">
        <f t="shared" ref="J135" si="376">E135*G135*(1-H135)*1440/1000000*2.74</f>
        <v>46.104336000000004</v>
      </c>
      <c r="K135" s="81">
        <f t="shared" ref="K135" si="377">(IF(G135&lt;L135,L135,G135)*(1-IF(H135&lt;N135,H135,N135))*E135*O135*Q135)/100000000</f>
        <v>3.4101504</v>
      </c>
      <c r="L135" s="34">
        <v>1150</v>
      </c>
      <c r="M135" s="34">
        <v>874</v>
      </c>
      <c r="N135" s="45">
        <f t="shared" ref="N135" si="378">1-(M135/L135)</f>
        <v>0.24</v>
      </c>
      <c r="O135" s="46">
        <f>+'Trim Rwd'!H77</f>
        <v>256</v>
      </c>
      <c r="P135" s="47">
        <f t="shared" ref="P135" si="379">O135*(Q135-R135-S135)</f>
        <v>25856</v>
      </c>
      <c r="Q135" s="46">
        <v>114</v>
      </c>
      <c r="R135" s="498">
        <v>0</v>
      </c>
      <c r="S135" s="498">
        <v>13</v>
      </c>
      <c r="T135" s="36">
        <f t="shared" ref="T135" si="380">E135*M135*O135*Q135/100000000</f>
        <v>3.1883520000000001</v>
      </c>
      <c r="U135" s="36">
        <f t="shared" ref="U135" si="381">E135*M135*O135*(Q135-R135-S135)/100000000</f>
        <v>2.8247680000000002</v>
      </c>
      <c r="V135" s="36">
        <f t="shared" ref="V135" si="382">E135*G135*(1-N135)*O135/100*(R135+S135)/1000000</f>
        <v>0.38887679999999997</v>
      </c>
      <c r="W135" s="36">
        <f>+'26'!K16/1000</f>
        <v>6.0389999999999997</v>
      </c>
      <c r="X135" s="499">
        <f>SUM(W135:W138)/SUM(K135:K138)</f>
        <v>0.88569892359711555</v>
      </c>
      <c r="Y135" s="210">
        <v>0</v>
      </c>
      <c r="Z135" s="36">
        <v>0</v>
      </c>
      <c r="AA135" s="48">
        <f>SUM(U135:U138)-SUM(W135:W138)-SUM(Z135:Z138)-SUM(Y135:Y138)</f>
        <v>-0.10951994164705781</v>
      </c>
      <c r="AB135" s="48">
        <f>(SUM(K135:K138)-SUM(W135:W138)-SUM(Y135:Y138)-SUM(Z135:Z138)-SUM(AC135:AC138)-SUM(V135:V138))-AA135</f>
        <v>-0.16591847235293589</v>
      </c>
      <c r="AC135" s="36">
        <f>K135-T135</f>
        <v>0.22179839999999995</v>
      </c>
      <c r="AD135" s="36">
        <f t="shared" ref="AD135:AD137" si="383">+AM135+BA135</f>
        <v>12</v>
      </c>
      <c r="AE135" s="229" t="s">
        <v>435</v>
      </c>
      <c r="AF135" s="36">
        <v>12</v>
      </c>
      <c r="AG135" s="36"/>
      <c r="AH135" s="36"/>
      <c r="AI135" s="36"/>
      <c r="AJ135" s="36"/>
      <c r="AK135" s="36"/>
      <c r="AL135" s="36"/>
      <c r="AM135" s="36">
        <f t="shared" ref="AM135:AM137" si="384">SUM(AF135:AL135)+AT135+AV135+AX135</f>
        <v>12</v>
      </c>
      <c r="AN135" s="36"/>
      <c r="AO135" s="36"/>
      <c r="AP135" s="36"/>
      <c r="AQ135" s="36"/>
      <c r="AR135" s="36">
        <f>SUM(AN135:AQ135)</f>
        <v>0</v>
      </c>
      <c r="AS135" s="36"/>
      <c r="AT135" s="36"/>
      <c r="AU135" s="36"/>
      <c r="AV135" s="36"/>
      <c r="AW135" s="36"/>
      <c r="AX135" s="36"/>
      <c r="AY135" s="36"/>
      <c r="AZ135" s="36"/>
      <c r="BA135" s="36">
        <f t="shared" ref="BA135:BA137" si="385">+AR135+AS135+AU135+AW135+AY135+AZ135</f>
        <v>0</v>
      </c>
      <c r="BB135" s="32">
        <v>6</v>
      </c>
      <c r="BC135" s="50"/>
      <c r="BD135" s="50"/>
      <c r="BE135" s="32"/>
      <c r="BF135" s="50"/>
    </row>
    <row r="136" spans="1:58" ht="12.95" customHeight="1">
      <c r="A136" s="39"/>
      <c r="B136" s="40" t="s">
        <v>551</v>
      </c>
      <c r="C136" s="413">
        <f t="shared" ref="C136" si="386">(M136*E136*O136*Q136)/100000000</f>
        <v>39.756469896000006</v>
      </c>
      <c r="D136" s="40" t="s">
        <v>301</v>
      </c>
      <c r="E136" s="41">
        <v>13</v>
      </c>
      <c r="F136" s="41">
        <v>1</v>
      </c>
      <c r="G136" s="497">
        <v>1230</v>
      </c>
      <c r="H136" s="43">
        <f t="shared" ref="H136" si="387">+N136</f>
        <v>0.21999999999999997</v>
      </c>
      <c r="I136" s="44">
        <v>0.88</v>
      </c>
      <c r="J136" s="81">
        <f t="shared" ref="J136" si="388">E136*G136*(1-H136)*1440/1000000*2.74</f>
        <v>49.210312320000007</v>
      </c>
      <c r="K136" s="81">
        <f t="shared" ref="K136" si="389">(IF(G136&lt;L136,L136,G136)*(1-IF(H136&lt;N136,H136,N136))*E136*O136*Q136)/100000000</f>
        <v>42.420321917999999</v>
      </c>
      <c r="L136" s="34">
        <v>1152.7601809954751</v>
      </c>
      <c r="M136" s="34">
        <v>899.15294117647068</v>
      </c>
      <c r="N136" s="45">
        <f t="shared" ref="N136" si="390">1-(M136/L136)</f>
        <v>0.21999999999999997</v>
      </c>
      <c r="O136" s="46">
        <f>+'Trim Rwd'!H78</f>
        <v>256.5</v>
      </c>
      <c r="P136" s="47">
        <f t="shared" ref="P136" si="391">O136*(Q136-R136-S136)</f>
        <v>322164</v>
      </c>
      <c r="Q136" s="46">
        <v>1326</v>
      </c>
      <c r="R136" s="498">
        <v>0</v>
      </c>
      <c r="S136" s="498">
        <v>70</v>
      </c>
      <c r="T136" s="36">
        <f t="shared" ref="T136" si="392">E136*M136*O136*Q136/100000000</f>
        <v>39.756469896000006</v>
      </c>
      <c r="U136" s="36">
        <f t="shared" ref="U136" si="393">E136*M136*O136*(Q136-R136-S136)/100000000</f>
        <v>37.657712058352942</v>
      </c>
      <c r="V136" s="36">
        <f t="shared" ref="V136" si="394">E136*G136*(1-N136)*O136/100*(R136+S136)/1000000</f>
        <v>2.2393835100000001</v>
      </c>
      <c r="W136" s="36">
        <f>+'26'!K15/1000</f>
        <v>34.552999999999997</v>
      </c>
      <c r="X136" s="37"/>
      <c r="Y136" s="210"/>
      <c r="Z136" s="36"/>
      <c r="AA136" s="36"/>
      <c r="AB136" s="36"/>
      <c r="AC136" s="36">
        <f>K136-T136</f>
        <v>2.6638520219999933</v>
      </c>
      <c r="AD136" s="36">
        <f t="shared" si="383"/>
        <v>0</v>
      </c>
      <c r="AE136" s="229" t="s">
        <v>283</v>
      </c>
      <c r="AF136" s="36"/>
      <c r="AG136" s="36">
        <v>0</v>
      </c>
      <c r="AH136" s="36"/>
      <c r="AI136" s="36"/>
      <c r="AJ136" s="36"/>
      <c r="AK136" s="36"/>
      <c r="AL136" s="36"/>
      <c r="AM136" s="36">
        <f t="shared" si="384"/>
        <v>0</v>
      </c>
      <c r="AN136" s="82"/>
      <c r="AO136" s="36"/>
      <c r="AP136" s="36"/>
      <c r="AQ136" s="36"/>
      <c r="AR136" s="36">
        <f t="shared" ref="AR136:AR137" si="395">SUM(AN136:AQ136)</f>
        <v>0</v>
      </c>
      <c r="AS136" s="36"/>
      <c r="AT136" s="36"/>
      <c r="AU136" s="36"/>
      <c r="AV136" s="36"/>
      <c r="AW136" s="36"/>
      <c r="AX136" s="36"/>
      <c r="AY136" s="36"/>
      <c r="AZ136" s="36"/>
      <c r="BA136" s="36">
        <f t="shared" si="385"/>
        <v>0</v>
      </c>
      <c r="BB136" s="49"/>
      <c r="BC136" s="50">
        <v>0</v>
      </c>
      <c r="BD136" s="50"/>
      <c r="BE136" s="49"/>
      <c r="BF136" s="50"/>
    </row>
    <row r="137" spans="1:58" ht="12.95" customHeight="1">
      <c r="A137" s="39"/>
      <c r="B137" s="40"/>
      <c r="C137" s="413"/>
      <c r="D137" s="40"/>
      <c r="E137" s="41"/>
      <c r="F137" s="41"/>
      <c r="G137" s="497"/>
      <c r="H137" s="43"/>
      <c r="I137" s="44"/>
      <c r="J137" s="81"/>
      <c r="K137" s="81"/>
      <c r="L137" s="34"/>
      <c r="M137" s="34"/>
      <c r="N137" s="45"/>
      <c r="O137" s="46"/>
      <c r="P137" s="47"/>
      <c r="Q137" s="46"/>
      <c r="R137" s="498"/>
      <c r="S137" s="498"/>
      <c r="T137" s="36"/>
      <c r="U137" s="36"/>
      <c r="V137" s="36"/>
      <c r="W137" s="36"/>
      <c r="X137" s="37"/>
      <c r="Y137" s="210"/>
      <c r="Z137" s="36"/>
      <c r="AA137" s="36"/>
      <c r="AB137" s="36"/>
      <c r="AC137" s="36"/>
      <c r="AD137" s="36">
        <f t="shared" si="383"/>
        <v>71</v>
      </c>
      <c r="AE137" s="229" t="s">
        <v>656</v>
      </c>
      <c r="AF137" s="32"/>
      <c r="AG137" s="32"/>
      <c r="AH137" s="32">
        <v>71</v>
      </c>
      <c r="AI137" s="36"/>
      <c r="AJ137" s="36"/>
      <c r="AK137" s="36"/>
      <c r="AL137" s="36"/>
      <c r="AM137" s="36">
        <f t="shared" si="384"/>
        <v>71</v>
      </c>
      <c r="AN137" s="36"/>
      <c r="AO137" s="36"/>
      <c r="AP137" s="36"/>
      <c r="AQ137" s="36"/>
      <c r="AR137" s="36">
        <f t="shared" si="395"/>
        <v>0</v>
      </c>
      <c r="AS137" s="36"/>
      <c r="AT137" s="36"/>
      <c r="AU137" s="36"/>
      <c r="AV137" s="36"/>
      <c r="AW137" s="36"/>
      <c r="AX137" s="36"/>
      <c r="AY137" s="36"/>
      <c r="AZ137" s="36"/>
      <c r="BA137" s="36">
        <f t="shared" si="385"/>
        <v>0</v>
      </c>
      <c r="BB137" s="32"/>
      <c r="BC137" s="501"/>
      <c r="BD137" s="501"/>
      <c r="BE137" s="32"/>
      <c r="BF137" s="501"/>
    </row>
    <row r="138" spans="1:58" ht="12.95" customHeight="1">
      <c r="A138" s="39"/>
      <c r="B138" s="40"/>
      <c r="C138" s="413"/>
      <c r="D138" s="40"/>
      <c r="E138" s="41"/>
      <c r="F138" s="41"/>
      <c r="G138" s="497"/>
      <c r="H138" s="43"/>
      <c r="I138" s="44"/>
      <c r="J138" s="81"/>
      <c r="K138" s="81"/>
      <c r="L138" s="34"/>
      <c r="M138" s="34"/>
      <c r="N138" s="45"/>
      <c r="O138" s="46"/>
      <c r="P138" s="47"/>
      <c r="Q138" s="46"/>
      <c r="R138" s="498"/>
      <c r="S138" s="498"/>
      <c r="T138" s="36"/>
      <c r="U138" s="36"/>
      <c r="V138" s="36"/>
      <c r="W138" s="36"/>
      <c r="X138" s="37"/>
      <c r="Y138" s="210"/>
      <c r="Z138" s="36"/>
      <c r="AA138" s="36"/>
      <c r="AB138" s="36"/>
      <c r="AC138" s="36"/>
      <c r="AD138" s="36"/>
      <c r="AE138" s="229"/>
      <c r="AF138" s="32"/>
      <c r="AG138" s="32"/>
      <c r="AH138" s="32"/>
      <c r="AI138" s="32"/>
      <c r="AJ138" s="36"/>
      <c r="AK138" s="36"/>
      <c r="AL138" s="36"/>
      <c r="AM138" s="36"/>
      <c r="AN138" s="36"/>
      <c r="AO138" s="36"/>
      <c r="AP138" s="36"/>
      <c r="AQ138" s="36"/>
      <c r="AR138" s="36"/>
      <c r="AS138" s="36"/>
      <c r="AT138" s="36"/>
      <c r="AU138" s="36"/>
      <c r="AV138" s="36"/>
      <c r="AW138" s="36"/>
      <c r="AX138" s="36"/>
      <c r="AY138" s="36"/>
      <c r="AZ138" s="36"/>
      <c r="BA138" s="36"/>
      <c r="BB138" s="32"/>
      <c r="BC138" s="501"/>
      <c r="BD138" s="501"/>
      <c r="BE138" s="32"/>
      <c r="BF138" s="501"/>
    </row>
    <row r="139" spans="1:58" ht="12.75" customHeight="1">
      <c r="A139" s="39">
        <v>46108</v>
      </c>
      <c r="B139" s="40" t="s">
        <v>551</v>
      </c>
      <c r="C139" s="413">
        <f t="shared" ref="C139" si="396">(M139*E139*O139*Q139)/100000000</f>
        <v>42.599437919999993</v>
      </c>
      <c r="D139" s="40" t="s">
        <v>301</v>
      </c>
      <c r="E139" s="41">
        <v>13</v>
      </c>
      <c r="F139" s="41">
        <v>1</v>
      </c>
      <c r="G139" s="497">
        <v>1230</v>
      </c>
      <c r="H139" s="43">
        <f t="shared" ref="H139" si="397">+N139</f>
        <v>0.21999999999999997</v>
      </c>
      <c r="I139" s="44">
        <v>0.88</v>
      </c>
      <c r="J139" s="81">
        <f t="shared" ref="J139" si="398">E139*G139*(1-H139)*1440/1000000*2.74</f>
        <v>49.210312320000007</v>
      </c>
      <c r="K139" s="81">
        <f t="shared" ref="K139" si="399">(IF(G139&lt;L139,L139,G139)*(1-IF(H139&lt;N139,H139,N139))*E139*O139*Q139)/100000000</f>
        <v>45.962551439999991</v>
      </c>
      <c r="L139" s="34">
        <v>1140</v>
      </c>
      <c r="M139" s="34">
        <v>889.2</v>
      </c>
      <c r="N139" s="45">
        <f t="shared" ref="N139" si="400">1-(M139/L139)</f>
        <v>0.21999999999999997</v>
      </c>
      <c r="O139" s="46">
        <f>+'Trim Rwd'!H80</f>
        <v>255.91666666666666</v>
      </c>
      <c r="P139" s="47">
        <f t="shared" ref="P139" si="401">O139*(Q139-R139-S139)</f>
        <v>349582.16666666663</v>
      </c>
      <c r="Q139" s="46">
        <v>1440</v>
      </c>
      <c r="R139" s="498">
        <v>0</v>
      </c>
      <c r="S139" s="498">
        <v>74</v>
      </c>
      <c r="T139" s="36">
        <f t="shared" ref="T139" si="402">E139*M139*O139*Q139/100000000</f>
        <v>42.599437919999993</v>
      </c>
      <c r="U139" s="36">
        <f t="shared" ref="U139" si="403">E139*M139*O139*(Q139-R139-S139)/100000000</f>
        <v>40.410300137999997</v>
      </c>
      <c r="V139" s="36">
        <f t="shared" ref="V139" si="404">E139*G139*(1-N139)*O139/100*(R139+S139)/1000000</f>
        <v>2.3619644490000002</v>
      </c>
      <c r="W139" s="36">
        <f>+'27'!K15/1000</f>
        <v>40.677</v>
      </c>
      <c r="X139" s="499">
        <f>SUM(W139:W142)/SUM(K139:K142)</f>
        <v>0.88500308894079116</v>
      </c>
      <c r="Y139" s="210">
        <v>0</v>
      </c>
      <c r="Z139" s="36">
        <v>0</v>
      </c>
      <c r="AA139" s="48">
        <f>SUM(U139:U142)-SUM(W139:W142)-SUM(Z139:Z142)-SUM(Y139:Y142)</f>
        <v>-0.26669986200000295</v>
      </c>
      <c r="AB139" s="48">
        <f>(SUM(K139:K142)-SUM(W139:W142)-SUM(Y139:Y142)-SUM(Z139:Z142)-SUM(AC139:AC142)-SUM(V139:V142))-AA139</f>
        <v>-0.17282666700000426</v>
      </c>
      <c r="AC139" s="36">
        <f>K139-T139</f>
        <v>3.3631135199999989</v>
      </c>
      <c r="AD139" s="36">
        <f t="shared" ref="AD139:AD141" si="405">+AM139+BA139</f>
        <v>14</v>
      </c>
      <c r="AE139" s="229" t="s">
        <v>435</v>
      </c>
      <c r="AF139" s="36">
        <v>14</v>
      </c>
      <c r="AG139" s="36"/>
      <c r="AH139" s="36"/>
      <c r="AI139" s="36"/>
      <c r="AJ139" s="36"/>
      <c r="AK139" s="36"/>
      <c r="AL139" s="36"/>
      <c r="AM139" s="36">
        <f t="shared" ref="AM139:AM141" si="406">SUM(AF139:AL139)+AT139+AV139+AX139</f>
        <v>14</v>
      </c>
      <c r="AN139" s="36"/>
      <c r="AO139" s="36"/>
      <c r="AP139" s="36"/>
      <c r="AQ139" s="36"/>
      <c r="AR139" s="36">
        <f>SUM(AN139:AQ139)</f>
        <v>0</v>
      </c>
      <c r="AS139" s="36"/>
      <c r="AT139" s="36"/>
      <c r="AU139" s="36"/>
      <c r="AV139" s="36"/>
      <c r="AW139" s="36"/>
      <c r="AX139" s="36"/>
      <c r="AY139" s="36"/>
      <c r="AZ139" s="36"/>
      <c r="BA139" s="36">
        <f t="shared" ref="BA139:BA141" si="407">+AR139+AS139+AU139+AW139+AY139+AZ139</f>
        <v>0</v>
      </c>
      <c r="BB139" s="32">
        <v>6</v>
      </c>
      <c r="BC139" s="50"/>
      <c r="BD139" s="50"/>
      <c r="BE139" s="32"/>
      <c r="BF139" s="50"/>
    </row>
    <row r="140" spans="1:58" ht="12.95" customHeight="1">
      <c r="A140" s="39"/>
      <c r="B140" s="40"/>
      <c r="C140" s="413"/>
      <c r="D140" s="40"/>
      <c r="E140" s="41"/>
      <c r="F140" s="41"/>
      <c r="G140" s="497"/>
      <c r="H140" s="43"/>
      <c r="I140" s="44"/>
      <c r="J140" s="81"/>
      <c r="K140" s="81"/>
      <c r="L140" s="34"/>
      <c r="M140" s="34"/>
      <c r="N140" s="45"/>
      <c r="O140" s="46"/>
      <c r="P140" s="47"/>
      <c r="Q140" s="46"/>
      <c r="R140" s="498"/>
      <c r="S140" s="498"/>
      <c r="T140" s="36"/>
      <c r="U140" s="36"/>
      <c r="V140" s="36"/>
      <c r="W140" s="36"/>
      <c r="X140" s="37"/>
      <c r="Y140" s="210"/>
      <c r="Z140" s="36"/>
      <c r="AA140" s="36"/>
      <c r="AB140" s="36"/>
      <c r="AC140" s="36">
        <f>K140-T140</f>
        <v>0</v>
      </c>
      <c r="AD140" s="36">
        <f t="shared" si="405"/>
        <v>0</v>
      </c>
      <c r="AE140" s="229" t="s">
        <v>283</v>
      </c>
      <c r="AF140" s="36"/>
      <c r="AG140" s="36">
        <v>0</v>
      </c>
      <c r="AH140" s="36"/>
      <c r="AI140" s="36"/>
      <c r="AJ140" s="36"/>
      <c r="AK140" s="36"/>
      <c r="AL140" s="36"/>
      <c r="AM140" s="36">
        <f t="shared" si="406"/>
        <v>0</v>
      </c>
      <c r="AN140" s="82"/>
      <c r="AO140" s="36"/>
      <c r="AP140" s="36"/>
      <c r="AQ140" s="36"/>
      <c r="AR140" s="36">
        <f t="shared" ref="AR140:AR141" si="408">SUM(AN140:AQ140)</f>
        <v>0</v>
      </c>
      <c r="AS140" s="36"/>
      <c r="AT140" s="36"/>
      <c r="AU140" s="36"/>
      <c r="AV140" s="36"/>
      <c r="AW140" s="36"/>
      <c r="AX140" s="36"/>
      <c r="AY140" s="36"/>
      <c r="AZ140" s="36"/>
      <c r="BA140" s="36">
        <f t="shared" si="407"/>
        <v>0</v>
      </c>
      <c r="BB140" s="49"/>
      <c r="BC140" s="50">
        <v>0</v>
      </c>
      <c r="BD140" s="50"/>
      <c r="BE140" s="49"/>
      <c r="BF140" s="50"/>
    </row>
    <row r="141" spans="1:58" ht="12.95" customHeight="1">
      <c r="A141" s="39"/>
      <c r="B141" s="40"/>
      <c r="C141" s="413"/>
      <c r="D141" s="40"/>
      <c r="E141" s="41"/>
      <c r="F141" s="41"/>
      <c r="G141" s="497"/>
      <c r="H141" s="43"/>
      <c r="I141" s="44"/>
      <c r="J141" s="81"/>
      <c r="K141" s="81"/>
      <c r="L141" s="34"/>
      <c r="M141" s="34"/>
      <c r="N141" s="45"/>
      <c r="O141" s="46"/>
      <c r="P141" s="47"/>
      <c r="Q141" s="46"/>
      <c r="R141" s="498"/>
      <c r="S141" s="498"/>
      <c r="T141" s="36"/>
      <c r="U141" s="36"/>
      <c r="V141" s="36"/>
      <c r="W141" s="36"/>
      <c r="X141" s="37"/>
      <c r="Y141" s="210"/>
      <c r="Z141" s="36"/>
      <c r="AA141" s="36"/>
      <c r="AB141" s="36"/>
      <c r="AC141" s="36"/>
      <c r="AD141" s="36">
        <f t="shared" si="405"/>
        <v>60</v>
      </c>
      <c r="AE141" s="229" t="s">
        <v>748</v>
      </c>
      <c r="AF141" s="32"/>
      <c r="AG141" s="32"/>
      <c r="AH141" s="32">
        <v>60</v>
      </c>
      <c r="AI141" s="36"/>
      <c r="AJ141" s="36"/>
      <c r="AK141" s="36"/>
      <c r="AL141" s="36"/>
      <c r="AM141" s="36">
        <f t="shared" si="406"/>
        <v>60</v>
      </c>
      <c r="AN141" s="36"/>
      <c r="AO141" s="36"/>
      <c r="AP141" s="36"/>
      <c r="AQ141" s="36"/>
      <c r="AR141" s="36">
        <f t="shared" si="408"/>
        <v>0</v>
      </c>
      <c r="AS141" s="36"/>
      <c r="AT141" s="36"/>
      <c r="AU141" s="36"/>
      <c r="AV141" s="36"/>
      <c r="AW141" s="36"/>
      <c r="AX141" s="36"/>
      <c r="AY141" s="36"/>
      <c r="AZ141" s="36"/>
      <c r="BA141" s="36">
        <f t="shared" si="407"/>
        <v>0</v>
      </c>
      <c r="BB141" s="32"/>
      <c r="BC141" s="501"/>
      <c r="BD141" s="501"/>
      <c r="BE141" s="32"/>
      <c r="BF141" s="501"/>
    </row>
    <row r="142" spans="1:58" ht="16.5" customHeight="1">
      <c r="A142" s="39"/>
      <c r="B142" s="40"/>
      <c r="C142" s="413"/>
      <c r="D142" s="40"/>
      <c r="E142" s="41"/>
      <c r="F142" s="41"/>
      <c r="G142" s="497"/>
      <c r="H142" s="43"/>
      <c r="I142" s="44"/>
      <c r="J142" s="81"/>
      <c r="K142" s="81"/>
      <c r="L142" s="34"/>
      <c r="M142" s="34"/>
      <c r="N142" s="45"/>
      <c r="O142" s="46"/>
      <c r="P142" s="47"/>
      <c r="Q142" s="46"/>
      <c r="R142" s="498"/>
      <c r="S142" s="498"/>
      <c r="T142" s="36"/>
      <c r="U142" s="36"/>
      <c r="V142" s="36"/>
      <c r="W142" s="36"/>
      <c r="X142" s="499"/>
      <c r="Y142" s="210"/>
      <c r="Z142" s="36"/>
      <c r="AA142" s="48"/>
      <c r="AB142" s="48"/>
      <c r="AC142" s="36"/>
      <c r="AD142" s="36"/>
      <c r="AE142" s="229"/>
      <c r="AF142" s="36"/>
      <c r="AG142" s="36"/>
      <c r="AH142" s="36"/>
      <c r="AI142" s="500"/>
      <c r="AJ142" s="36"/>
      <c r="AK142" s="36"/>
      <c r="AL142" s="36"/>
      <c r="AM142" s="36"/>
      <c r="AN142" s="36"/>
      <c r="AO142" s="36"/>
      <c r="AP142" s="36"/>
      <c r="AQ142" s="36"/>
      <c r="AR142" s="36"/>
      <c r="AS142" s="36"/>
      <c r="AT142" s="36"/>
      <c r="AU142" s="36"/>
      <c r="AV142" s="36"/>
      <c r="AW142" s="36"/>
      <c r="AX142" s="36"/>
      <c r="AY142" s="36"/>
      <c r="AZ142" s="36"/>
      <c r="BA142" s="36"/>
      <c r="BB142" s="32"/>
      <c r="BC142" s="50"/>
      <c r="BD142" s="501"/>
      <c r="BE142" s="32"/>
      <c r="BF142" s="501"/>
    </row>
    <row r="143" spans="1:58" ht="12.75" customHeight="1">
      <c r="A143" s="39">
        <v>46109</v>
      </c>
      <c r="B143" s="40" t="s">
        <v>551</v>
      </c>
      <c r="C143" s="413">
        <f t="shared" ref="C143" si="409">(M143*E143*O143*Q143)/100000000</f>
        <v>42.946225919999996</v>
      </c>
      <c r="D143" s="40" t="s">
        <v>301</v>
      </c>
      <c r="E143" s="41">
        <v>13</v>
      </c>
      <c r="F143" s="41">
        <v>1</v>
      </c>
      <c r="G143" s="497">
        <v>1230</v>
      </c>
      <c r="H143" s="43">
        <f t="shared" ref="H143" si="410">+N143</f>
        <v>0.22000000000000008</v>
      </c>
      <c r="I143" s="44">
        <v>0.88</v>
      </c>
      <c r="J143" s="81">
        <f t="shared" ref="J143" si="411">E143*G143*(1-H143)*1440/1000000*2.74</f>
        <v>49.210312320000007</v>
      </c>
      <c r="K143" s="81">
        <f t="shared" ref="K143" si="412">(IF(G143&lt;L143,L143,G143)*(1-IF(H143&lt;N143,H143,N143))*E143*O143*Q143)/100000000</f>
        <v>46.067317920000001</v>
      </c>
      <c r="L143" s="34">
        <v>1146.6666666666667</v>
      </c>
      <c r="M143" s="34">
        <v>894.4</v>
      </c>
      <c r="N143" s="45">
        <f t="shared" ref="N143" si="413">1-(M143/L143)</f>
        <v>0.22000000000000008</v>
      </c>
      <c r="O143" s="46">
        <f>+'Trim Rwd'!H84</f>
        <v>256.5</v>
      </c>
      <c r="P143" s="47">
        <f t="shared" ref="P143" si="414">O143*(Q143-R143-S143)</f>
        <v>352174.5</v>
      </c>
      <c r="Q143" s="46">
        <v>1440</v>
      </c>
      <c r="R143" s="498">
        <v>0</v>
      </c>
      <c r="S143" s="498">
        <v>67</v>
      </c>
      <c r="T143" s="36">
        <f t="shared" ref="T143" si="415">E143*M143*O143*Q143/100000000</f>
        <v>42.946225919999996</v>
      </c>
      <c r="U143" s="36">
        <f t="shared" ref="U143" si="416">E143*M143*O143*(Q143-R143-S143)/100000000</f>
        <v>40.948033463999998</v>
      </c>
      <c r="V143" s="36">
        <f t="shared" ref="V143" si="417">E143*G143*(1-N143)*O143/100*(R143+S143)/1000000</f>
        <v>2.1434099309999999</v>
      </c>
      <c r="W143" s="36">
        <f>+'28'!K15/1000</f>
        <v>39.438000000000002</v>
      </c>
      <c r="X143" s="499">
        <f>SUM(W143:W146)/SUM(K143:K146)</f>
        <v>0.85609498839258669</v>
      </c>
      <c r="Y143" s="210">
        <v>0</v>
      </c>
      <c r="Z143" s="36">
        <v>0</v>
      </c>
      <c r="AA143" s="48">
        <f>SUM(U143:U146)-SUM(W143:W146)-SUM(Z143:Z146)-SUM(Y143:Y146)</f>
        <v>1.5100334639999957</v>
      </c>
      <c r="AB143" s="48">
        <f>(SUM(K143:K146)-SUM(W143:W146)-SUM(Y143:Y146)-SUM(Z143:Z146)-SUM(AC143:AC146)-SUM(V143:V146))-AA143</f>
        <v>-0.14521747500000171</v>
      </c>
      <c r="AC143" s="36">
        <f>K143-T143</f>
        <v>3.1210920000000044</v>
      </c>
      <c r="AD143" s="36">
        <f t="shared" ref="AD143:AD145" si="418">+AM143+BA143</f>
        <v>16</v>
      </c>
      <c r="AE143" s="229" t="s">
        <v>435</v>
      </c>
      <c r="AF143" s="36">
        <v>16</v>
      </c>
      <c r="AG143" s="36"/>
      <c r="AH143" s="36"/>
      <c r="AI143" s="36"/>
      <c r="AJ143" s="36"/>
      <c r="AK143" s="36"/>
      <c r="AL143" s="36"/>
      <c r="AM143" s="36">
        <f t="shared" ref="AM143:AM145" si="419">SUM(AF143:AL143)+AT143+AV143+AX143</f>
        <v>16</v>
      </c>
      <c r="AN143" s="36"/>
      <c r="AO143" s="36"/>
      <c r="AP143" s="36"/>
      <c r="AQ143" s="36"/>
      <c r="AR143" s="36">
        <f>SUM(AN143:AQ143)</f>
        <v>0</v>
      </c>
      <c r="AS143" s="36"/>
      <c r="AT143" s="36"/>
      <c r="AU143" s="36"/>
      <c r="AV143" s="36"/>
      <c r="AW143" s="36"/>
      <c r="AX143" s="36"/>
      <c r="AY143" s="36"/>
      <c r="AZ143" s="36"/>
      <c r="BA143" s="36">
        <f t="shared" ref="BA143:BA145" si="420">+AR143+AS143+AU143+AW143+AY143+AZ143</f>
        <v>0</v>
      </c>
      <c r="BB143" s="32">
        <v>6</v>
      </c>
      <c r="BC143" s="50"/>
      <c r="BD143" s="50"/>
      <c r="BE143" s="32"/>
      <c r="BF143" s="50"/>
    </row>
    <row r="144" spans="1:58" ht="12.95" customHeight="1">
      <c r="A144" s="39"/>
      <c r="B144" s="40"/>
      <c r="C144" s="413"/>
      <c r="D144" s="40"/>
      <c r="E144" s="41"/>
      <c r="F144" s="41"/>
      <c r="G144" s="497"/>
      <c r="H144" s="43"/>
      <c r="I144" s="44"/>
      <c r="J144" s="81"/>
      <c r="K144" s="81"/>
      <c r="L144" s="34"/>
      <c r="M144" s="34"/>
      <c r="N144" s="45"/>
      <c r="O144" s="46"/>
      <c r="P144" s="47"/>
      <c r="Q144" s="46"/>
      <c r="R144" s="498"/>
      <c r="S144" s="498"/>
      <c r="T144" s="36"/>
      <c r="U144" s="36"/>
      <c r="V144" s="36"/>
      <c r="W144" s="36"/>
      <c r="X144" s="37"/>
      <c r="Y144" s="210"/>
      <c r="Z144" s="36"/>
      <c r="AA144" s="36"/>
      <c r="AB144" s="36"/>
      <c r="AC144" s="36">
        <f>K144-T144</f>
        <v>0</v>
      </c>
      <c r="AD144" s="36">
        <f t="shared" si="418"/>
        <v>0</v>
      </c>
      <c r="AE144" s="229" t="s">
        <v>283</v>
      </c>
      <c r="AF144" s="36"/>
      <c r="AG144" s="36">
        <v>0</v>
      </c>
      <c r="AH144" s="36"/>
      <c r="AI144" s="36"/>
      <c r="AJ144" s="36"/>
      <c r="AK144" s="36"/>
      <c r="AL144" s="36"/>
      <c r="AM144" s="36">
        <f t="shared" si="419"/>
        <v>0</v>
      </c>
      <c r="AN144" s="82"/>
      <c r="AO144" s="36"/>
      <c r="AP144" s="36"/>
      <c r="AQ144" s="36"/>
      <c r="AR144" s="36">
        <f t="shared" ref="AR144:AR145" si="421">SUM(AN144:AQ144)</f>
        <v>0</v>
      </c>
      <c r="AS144" s="36"/>
      <c r="AT144" s="36"/>
      <c r="AU144" s="36"/>
      <c r="AV144" s="36"/>
      <c r="AW144" s="36"/>
      <c r="AX144" s="36"/>
      <c r="AY144" s="36"/>
      <c r="AZ144" s="36"/>
      <c r="BA144" s="36">
        <f t="shared" si="420"/>
        <v>0</v>
      </c>
      <c r="BB144" s="49"/>
      <c r="BC144" s="50">
        <v>0</v>
      </c>
      <c r="BD144" s="50"/>
      <c r="BE144" s="49"/>
      <c r="BF144" s="50"/>
    </row>
    <row r="145" spans="1:58" ht="12.95" customHeight="1">
      <c r="A145" s="39"/>
      <c r="B145" s="40"/>
      <c r="C145" s="413"/>
      <c r="D145" s="40"/>
      <c r="E145" s="41"/>
      <c r="F145" s="41"/>
      <c r="G145" s="497"/>
      <c r="H145" s="43"/>
      <c r="I145" s="44"/>
      <c r="J145" s="81"/>
      <c r="K145" s="81"/>
      <c r="L145" s="34"/>
      <c r="M145" s="34"/>
      <c r="N145" s="45"/>
      <c r="O145" s="46"/>
      <c r="P145" s="47"/>
      <c r="Q145" s="46"/>
      <c r="R145" s="498"/>
      <c r="S145" s="498"/>
      <c r="T145" s="36"/>
      <c r="U145" s="36"/>
      <c r="V145" s="36"/>
      <c r="W145" s="36"/>
      <c r="X145" s="37"/>
      <c r="Y145" s="210"/>
      <c r="Z145" s="36"/>
      <c r="AA145" s="36"/>
      <c r="AB145" s="36"/>
      <c r="AC145" s="36"/>
      <c r="AD145" s="36">
        <f t="shared" si="418"/>
        <v>51</v>
      </c>
      <c r="AE145" s="229" t="s">
        <v>748</v>
      </c>
      <c r="AF145" s="32"/>
      <c r="AG145" s="32"/>
      <c r="AH145" s="32">
        <v>51</v>
      </c>
      <c r="AI145" s="36"/>
      <c r="AJ145" s="36"/>
      <c r="AK145" s="36"/>
      <c r="AL145" s="36"/>
      <c r="AM145" s="36">
        <f t="shared" si="419"/>
        <v>51</v>
      </c>
      <c r="AN145" s="36"/>
      <c r="AO145" s="36"/>
      <c r="AP145" s="36"/>
      <c r="AQ145" s="36"/>
      <c r="AR145" s="36">
        <f t="shared" si="421"/>
        <v>0</v>
      </c>
      <c r="AS145" s="36"/>
      <c r="AT145" s="36"/>
      <c r="AU145" s="36"/>
      <c r="AV145" s="36"/>
      <c r="AW145" s="36"/>
      <c r="AX145" s="36"/>
      <c r="AY145" s="36"/>
      <c r="AZ145" s="36"/>
      <c r="BA145" s="36">
        <f t="shared" si="420"/>
        <v>0</v>
      </c>
      <c r="BB145" s="32"/>
      <c r="BC145" s="501"/>
      <c r="BD145" s="501"/>
      <c r="BE145" s="32"/>
      <c r="BF145" s="501"/>
    </row>
    <row r="146" spans="1:58" ht="12.95" customHeight="1">
      <c r="A146" s="39"/>
      <c r="B146" s="40"/>
      <c r="C146" s="413"/>
      <c r="D146" s="40"/>
      <c r="E146" s="41"/>
      <c r="F146" s="41"/>
      <c r="G146" s="42"/>
      <c r="H146" s="43"/>
      <c r="I146" s="44"/>
      <c r="J146" s="81"/>
      <c r="K146" s="81"/>
      <c r="L146" s="34"/>
      <c r="M146" s="34"/>
      <c r="N146" s="45"/>
      <c r="O146" s="46"/>
      <c r="P146" s="47"/>
      <c r="Q146" s="46"/>
      <c r="R146" s="498"/>
      <c r="S146" s="498"/>
      <c r="T146" s="36"/>
      <c r="U146" s="36"/>
      <c r="V146" s="36"/>
      <c r="W146" s="36"/>
      <c r="X146" s="499"/>
      <c r="Y146" s="210"/>
      <c r="Z146" s="36"/>
      <c r="AA146" s="48"/>
      <c r="AB146" s="48"/>
      <c r="AC146" s="36"/>
      <c r="AD146" s="36"/>
      <c r="AE146" s="229"/>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2"/>
      <c r="BC146" s="50"/>
      <c r="BD146" s="50"/>
      <c r="BE146" s="50"/>
      <c r="BF146" s="50"/>
    </row>
    <row r="147" spans="1:58" ht="12.75" customHeight="1">
      <c r="A147" s="39">
        <v>46110</v>
      </c>
      <c r="B147" s="40" t="s">
        <v>551</v>
      </c>
      <c r="C147" s="413">
        <f t="shared" ref="C147" si="422">(M147*E147*O147*Q147)/100000000</f>
        <v>42.212769299999998</v>
      </c>
      <c r="D147" s="40" t="s">
        <v>301</v>
      </c>
      <c r="E147" s="41">
        <v>13</v>
      </c>
      <c r="F147" s="41">
        <v>1</v>
      </c>
      <c r="G147" s="497">
        <v>1230</v>
      </c>
      <c r="H147" s="43">
        <f t="shared" ref="H147" si="423">+N147</f>
        <v>0.21999999999999997</v>
      </c>
      <c r="I147" s="44">
        <v>0.88</v>
      </c>
      <c r="J147" s="81">
        <f t="shared" ref="J147" si="424">E147*G147*(1-H147)*1440/1000000*2.74</f>
        <v>49.210312320000007</v>
      </c>
      <c r="K147" s="81">
        <f t="shared" ref="K147" si="425">(IF(G147&lt;L147,L147,G147)*(1-IF(H147&lt;N147,H147,N147))*E147*O147*Q147)/100000000</f>
        <v>46.067317920000001</v>
      </c>
      <c r="L147" s="34">
        <v>1127.0833333333333</v>
      </c>
      <c r="M147" s="34">
        <v>879.125</v>
      </c>
      <c r="N147" s="45">
        <f t="shared" ref="N147" si="426">1-(M147/L147)</f>
        <v>0.21999999999999997</v>
      </c>
      <c r="O147" s="46">
        <f>+'Trim Rwd'!H87</f>
        <v>256.5</v>
      </c>
      <c r="P147" s="47">
        <f t="shared" ref="P147" si="427">O147*(Q147-R147-S147)</f>
        <v>352944</v>
      </c>
      <c r="Q147" s="46">
        <v>1440</v>
      </c>
      <c r="R147" s="498">
        <v>0</v>
      </c>
      <c r="S147" s="498">
        <v>64</v>
      </c>
      <c r="T147" s="36">
        <f t="shared" ref="T147" si="428">E147*M147*O147*Q147/100000000</f>
        <v>42.212769299999998</v>
      </c>
      <c r="U147" s="36">
        <f t="shared" ref="U147" si="429">E147*M147*O147*(Q147-R147-S147)/100000000</f>
        <v>40.336646219999999</v>
      </c>
      <c r="V147" s="36">
        <f t="shared" ref="V147" si="430">E147*G147*(1-N147)*O147/100*(R147+S147)/1000000</f>
        <v>2.0474363520000001</v>
      </c>
      <c r="W147" s="36">
        <f>+'29'!K15/1000</f>
        <v>38.027999999999999</v>
      </c>
      <c r="X147" s="499">
        <f>SUM(W147:W150)/SUM(K147:K150)</f>
        <v>0.82548760633382234</v>
      </c>
      <c r="Y147" s="210">
        <v>0</v>
      </c>
      <c r="Z147" s="36">
        <v>0</v>
      </c>
      <c r="AA147" s="48">
        <f>SUM(U147:U150)-SUM(W147:W150)-SUM(Z147:Z150)-SUM(Y147:Y150)</f>
        <v>2.30864622</v>
      </c>
      <c r="AB147" s="48">
        <f>(SUM(K147:K150)-SUM(W147:W150)-SUM(Y147:Y150)-SUM(Z147:Z150)-SUM(AC147:AC150)-SUM(V147:V150))-AA147</f>
        <v>-0.17131327200000079</v>
      </c>
      <c r="AC147" s="36">
        <f>K147-T147</f>
        <v>3.8545486200000028</v>
      </c>
      <c r="AD147" s="36">
        <f t="shared" ref="AD147:AD149" si="431">+AM147+BA147</f>
        <v>10</v>
      </c>
      <c r="AE147" s="229" t="s">
        <v>413</v>
      </c>
      <c r="AF147" s="36">
        <v>10</v>
      </c>
      <c r="AG147" s="36"/>
      <c r="AH147" s="36"/>
      <c r="AI147" s="36"/>
      <c r="AJ147" s="36"/>
      <c r="AK147" s="36"/>
      <c r="AL147" s="36"/>
      <c r="AM147" s="36">
        <f t="shared" ref="AM147:AM149" si="432">SUM(AF147:AL147)+AT147+AV147+AX147</f>
        <v>10</v>
      </c>
      <c r="AN147" s="36"/>
      <c r="AO147" s="36"/>
      <c r="AP147" s="36"/>
      <c r="AQ147" s="36"/>
      <c r="AR147" s="36">
        <f>SUM(AN147:AQ147)</f>
        <v>0</v>
      </c>
      <c r="AS147" s="36"/>
      <c r="AT147" s="36"/>
      <c r="AU147" s="36"/>
      <c r="AV147" s="36"/>
      <c r="AW147" s="36"/>
      <c r="AX147" s="36"/>
      <c r="AY147" s="36"/>
      <c r="AZ147" s="36"/>
      <c r="BA147" s="36">
        <f t="shared" ref="BA147:BA149" si="433">+AR147+AS147+AU147+AW147+AY147+AZ147</f>
        <v>0</v>
      </c>
      <c r="BB147" s="32">
        <v>4</v>
      </c>
      <c r="BC147" s="50"/>
      <c r="BD147" s="50"/>
      <c r="BE147" s="32"/>
      <c r="BF147" s="50"/>
    </row>
    <row r="148" spans="1:58" ht="12.95" customHeight="1">
      <c r="A148" s="39"/>
      <c r="B148" s="40"/>
      <c r="C148" s="413"/>
      <c r="D148" s="40"/>
      <c r="E148" s="41"/>
      <c r="F148" s="41"/>
      <c r="G148" s="497"/>
      <c r="H148" s="43"/>
      <c r="I148" s="44"/>
      <c r="J148" s="81"/>
      <c r="K148" s="81"/>
      <c r="L148" s="34"/>
      <c r="M148" s="34"/>
      <c r="N148" s="45"/>
      <c r="O148" s="46"/>
      <c r="P148" s="47"/>
      <c r="Q148" s="46"/>
      <c r="R148" s="498"/>
      <c r="S148" s="498"/>
      <c r="T148" s="36"/>
      <c r="U148" s="36"/>
      <c r="V148" s="36"/>
      <c r="W148" s="36"/>
      <c r="X148" s="37"/>
      <c r="Y148" s="210"/>
      <c r="Z148" s="36"/>
      <c r="AA148" s="36"/>
      <c r="AB148" s="36"/>
      <c r="AC148" s="36">
        <f>K148-T148</f>
        <v>0</v>
      </c>
      <c r="AD148" s="36">
        <f t="shared" si="431"/>
        <v>6</v>
      </c>
      <c r="AE148" s="229" t="s">
        <v>620</v>
      </c>
      <c r="AF148" s="36"/>
      <c r="AG148" s="36">
        <v>6</v>
      </c>
      <c r="AH148" s="36"/>
      <c r="AI148" s="36"/>
      <c r="AJ148" s="36"/>
      <c r="AK148" s="36"/>
      <c r="AL148" s="36"/>
      <c r="AM148" s="36">
        <f t="shared" si="432"/>
        <v>6</v>
      </c>
      <c r="AN148" s="82"/>
      <c r="AO148" s="36"/>
      <c r="AP148" s="36"/>
      <c r="AQ148" s="36"/>
      <c r="AR148" s="36">
        <f t="shared" ref="AR148:AR149" si="434">SUM(AN148:AQ148)</f>
        <v>0</v>
      </c>
      <c r="AS148" s="36"/>
      <c r="AT148" s="36"/>
      <c r="AU148" s="36"/>
      <c r="AV148" s="36"/>
      <c r="AW148" s="36"/>
      <c r="AX148" s="36"/>
      <c r="AY148" s="36"/>
      <c r="AZ148" s="36"/>
      <c r="BA148" s="36">
        <f t="shared" si="433"/>
        <v>0</v>
      </c>
      <c r="BB148" s="49"/>
      <c r="BC148" s="50">
        <v>8</v>
      </c>
      <c r="BD148" s="50"/>
      <c r="BE148" s="49"/>
      <c r="BF148" s="50"/>
    </row>
    <row r="149" spans="1:58" ht="12.95" customHeight="1">
      <c r="A149" s="39"/>
      <c r="B149" s="40"/>
      <c r="C149" s="413"/>
      <c r="D149" s="40"/>
      <c r="E149" s="41"/>
      <c r="F149" s="41"/>
      <c r="G149" s="497"/>
      <c r="H149" s="43"/>
      <c r="I149" s="44"/>
      <c r="J149" s="81"/>
      <c r="K149" s="81"/>
      <c r="L149" s="34"/>
      <c r="M149" s="34"/>
      <c r="N149" s="45"/>
      <c r="O149" s="46"/>
      <c r="P149" s="47"/>
      <c r="Q149" s="46"/>
      <c r="R149" s="498"/>
      <c r="S149" s="498"/>
      <c r="T149" s="36"/>
      <c r="U149" s="36"/>
      <c r="V149" s="36"/>
      <c r="W149" s="36"/>
      <c r="X149" s="37"/>
      <c r="Y149" s="210"/>
      <c r="Z149" s="36"/>
      <c r="AA149" s="36"/>
      <c r="AB149" s="36"/>
      <c r="AC149" s="36"/>
      <c r="AD149" s="36">
        <f t="shared" si="431"/>
        <v>48</v>
      </c>
      <c r="AE149" s="229" t="s">
        <v>656</v>
      </c>
      <c r="AF149" s="32"/>
      <c r="AG149" s="32"/>
      <c r="AH149" s="32">
        <v>48</v>
      </c>
      <c r="AI149" s="36"/>
      <c r="AJ149" s="36"/>
      <c r="AK149" s="36"/>
      <c r="AL149" s="36"/>
      <c r="AM149" s="36">
        <f t="shared" si="432"/>
        <v>48</v>
      </c>
      <c r="AN149" s="36"/>
      <c r="AO149" s="36"/>
      <c r="AP149" s="36"/>
      <c r="AQ149" s="36"/>
      <c r="AR149" s="36">
        <f t="shared" si="434"/>
        <v>0</v>
      </c>
      <c r="AS149" s="36"/>
      <c r="AT149" s="36"/>
      <c r="AU149" s="36"/>
      <c r="AV149" s="36"/>
      <c r="AW149" s="36"/>
      <c r="AX149" s="36"/>
      <c r="AY149" s="36"/>
      <c r="AZ149" s="36"/>
      <c r="BA149" s="36">
        <f t="shared" si="433"/>
        <v>0</v>
      </c>
      <c r="BB149" s="32"/>
      <c r="BC149" s="501"/>
      <c r="BD149" s="501"/>
      <c r="BE149" s="32"/>
      <c r="BF149" s="501"/>
    </row>
    <row r="150" spans="1:58" ht="12.95" customHeight="1">
      <c r="A150" s="39"/>
      <c r="B150" s="40"/>
      <c r="C150" s="413"/>
      <c r="D150" s="40"/>
      <c r="E150" s="41"/>
      <c r="F150" s="41"/>
      <c r="G150" s="42"/>
      <c r="H150" s="43"/>
      <c r="I150" s="44"/>
      <c r="J150" s="81"/>
      <c r="K150" s="81"/>
      <c r="L150" s="34"/>
      <c r="M150" s="34"/>
      <c r="N150" s="45"/>
      <c r="O150" s="46"/>
      <c r="P150" s="47"/>
      <c r="Q150" s="46"/>
      <c r="R150" s="498"/>
      <c r="S150" s="498"/>
      <c r="T150" s="36"/>
      <c r="U150" s="36"/>
      <c r="V150" s="36"/>
      <c r="W150" s="36"/>
      <c r="X150" s="37"/>
      <c r="Y150" s="210"/>
      <c r="Z150" s="36"/>
      <c r="AA150" s="36"/>
      <c r="AB150" s="36"/>
      <c r="AC150" s="36"/>
      <c r="AD150" s="36"/>
      <c r="AE150" s="229"/>
      <c r="AF150" s="32"/>
      <c r="AG150" s="32"/>
      <c r="AH150" s="32"/>
      <c r="AJ150" s="36"/>
      <c r="AK150" s="36"/>
      <c r="AL150" s="36"/>
      <c r="AM150" s="36"/>
      <c r="AN150" s="36"/>
      <c r="AO150" s="36"/>
      <c r="AP150" s="36"/>
      <c r="AQ150" s="36"/>
      <c r="AR150" s="36"/>
      <c r="AS150" s="36"/>
      <c r="AT150" s="36"/>
      <c r="AU150" s="36"/>
      <c r="AV150" s="36"/>
      <c r="AW150" s="36"/>
      <c r="AX150" s="36"/>
      <c r="AY150" s="36"/>
      <c r="AZ150" s="36"/>
      <c r="BA150" s="36"/>
      <c r="BB150" s="32"/>
      <c r="BC150" s="501"/>
      <c r="BD150" s="50"/>
      <c r="BE150" s="50"/>
      <c r="BF150" s="50"/>
    </row>
    <row r="151" spans="1:58" ht="12.75" customHeight="1">
      <c r="A151" s="39">
        <v>46111</v>
      </c>
      <c r="B151" s="40" t="s">
        <v>551</v>
      </c>
      <c r="C151" s="413">
        <f t="shared" ref="C151" si="435">(M151*E151*O151*Q151)/100000000</f>
        <v>8.9358709440000013</v>
      </c>
      <c r="D151" s="40" t="s">
        <v>301</v>
      </c>
      <c r="E151" s="41">
        <v>13</v>
      </c>
      <c r="F151" s="41">
        <v>1</v>
      </c>
      <c r="G151" s="497">
        <v>1230</v>
      </c>
      <c r="H151" s="43">
        <f t="shared" ref="H151" si="436">+N151</f>
        <v>0.21999999999999997</v>
      </c>
      <c r="I151" s="44">
        <v>0.88</v>
      </c>
      <c r="J151" s="81">
        <f t="shared" ref="J151" si="437">E151*G151*(1-H151)*1440/1000000*2.74</f>
        <v>49.210312320000007</v>
      </c>
      <c r="K151" s="81">
        <f t="shared" ref="K151" si="438">(IF(G151&lt;L151,L151,G151)*(1-IF(H151&lt;N151,H151,N151))*E151*O151*Q151)/100000000</f>
        <v>9.8135011259999985</v>
      </c>
      <c r="L151" s="34">
        <v>1120</v>
      </c>
      <c r="M151" s="34">
        <v>873.6</v>
      </c>
      <c r="N151" s="45">
        <f t="shared" ref="N151" si="439">1-(M151/L151)</f>
        <v>0.21999999999999997</v>
      </c>
      <c r="O151" s="46">
        <f>+'Trim Rwd'!H90</f>
        <v>253</v>
      </c>
      <c r="P151" s="47">
        <f t="shared" ref="P151" si="440">O151*(Q151-R151-S151)</f>
        <v>75394</v>
      </c>
      <c r="Q151" s="46">
        <v>311</v>
      </c>
      <c r="R151" s="498">
        <v>0</v>
      </c>
      <c r="S151" s="498">
        <v>13</v>
      </c>
      <c r="T151" s="36">
        <f t="shared" ref="T151" si="441">E151*M151*O151*Q151/100000000</f>
        <v>8.9358709440000013</v>
      </c>
      <c r="U151" s="36">
        <f t="shared" ref="U151" si="442">E151*M151*O151*(Q151-R151-S151)/100000000</f>
        <v>8.5623457920000021</v>
      </c>
      <c r="V151" s="36">
        <f t="shared" ref="V151" si="443">E151*G151*(1-N151)*O151/100*(R151+S151)/1000000</f>
        <v>0.41021065800000001</v>
      </c>
      <c r="W151" s="36">
        <f>+'30'!K15/1000</f>
        <v>9.7159999999999993</v>
      </c>
      <c r="X151" s="499">
        <f>SUM(W151:W154)/SUM(K151:K154)</f>
        <v>0.82396085974574729</v>
      </c>
      <c r="Y151" s="210">
        <v>0</v>
      </c>
      <c r="Z151" s="36">
        <v>0</v>
      </c>
      <c r="AA151" s="48">
        <f>SUM(U151:U154)-SUM(W151:W154)-SUM(Z151:Z154)-SUM(Y151:Y154)</f>
        <v>3.7254082226637593</v>
      </c>
      <c r="AB151" s="48">
        <f>(SUM(K151:K154)-SUM(W151:W154)-SUM(Y151:Y154)-SUM(Z151:Z154)-SUM(AC151:AC154)-SUM(V151:V154))-AA151</f>
        <v>-7.9947246524015192E-2</v>
      </c>
      <c r="AC151" s="36">
        <f>K151-T151</f>
        <v>0.87763018199999721</v>
      </c>
      <c r="AD151" s="36">
        <f t="shared" ref="AD151:AD153" si="444">+AM151+BA151</f>
        <v>12</v>
      </c>
      <c r="AE151" s="229" t="s">
        <v>413</v>
      </c>
      <c r="AF151" s="36">
        <v>12</v>
      </c>
      <c r="AG151" s="36"/>
      <c r="AH151" s="36"/>
      <c r="AI151" s="36"/>
      <c r="AJ151" s="36"/>
      <c r="AK151" s="36"/>
      <c r="AL151" s="36"/>
      <c r="AM151" s="36">
        <f t="shared" ref="AM151:AM153" si="445">SUM(AF151:AL151)+AT151+AV151+AX151</f>
        <v>12</v>
      </c>
      <c r="AN151" s="36"/>
      <c r="AO151" s="36"/>
      <c r="AP151" s="36"/>
      <c r="AQ151" s="36"/>
      <c r="AR151" s="36">
        <f>SUM(AN151:AQ151)</f>
        <v>0</v>
      </c>
      <c r="AS151" s="36"/>
      <c r="AT151" s="36"/>
      <c r="AU151" s="36"/>
      <c r="AV151" s="36"/>
      <c r="AW151" s="36"/>
      <c r="AX151" s="36"/>
      <c r="AY151" s="36"/>
      <c r="AZ151" s="36"/>
      <c r="BA151" s="36">
        <f t="shared" ref="BA151:BA153" si="446">+AR151+AS151+AU151+AW151+AY151+AZ151</f>
        <v>0</v>
      </c>
      <c r="BB151" s="32">
        <v>4</v>
      </c>
      <c r="BC151" s="50"/>
      <c r="BD151" s="50"/>
      <c r="BE151" s="32"/>
      <c r="BF151" s="50"/>
    </row>
    <row r="152" spans="1:58" ht="12.95" customHeight="1">
      <c r="A152" s="39"/>
      <c r="B152" s="40" t="s">
        <v>7</v>
      </c>
      <c r="C152" s="413">
        <f t="shared" ref="C152" si="447">(M152*E152*O152*Q152)/100000000</f>
        <v>31.895108030139742</v>
      </c>
      <c r="D152" s="40" t="s">
        <v>301</v>
      </c>
      <c r="E152" s="41">
        <v>11.5</v>
      </c>
      <c r="F152" s="41">
        <v>1</v>
      </c>
      <c r="G152" s="497">
        <v>1230</v>
      </c>
      <c r="H152" s="43">
        <f t="shared" ref="H152" si="448">+N152</f>
        <v>0.22999999999999998</v>
      </c>
      <c r="I152" s="44">
        <v>0.88</v>
      </c>
      <c r="J152" s="81">
        <f t="shared" ref="J152" si="449">E152*G152*(1-H152)*1440/1000000*2.74</f>
        <v>42.974094239999999</v>
      </c>
      <c r="K152" s="81">
        <f t="shared" ref="K152" si="450">(IF(G152&lt;L152,L152,G152)*(1-IF(H152&lt;N152,H152,N152))*E152*O152*Q152)/100000000</f>
        <v>32.709149781000001</v>
      </c>
      <c r="L152" s="34">
        <v>1199.3886462882097</v>
      </c>
      <c r="M152" s="34">
        <v>923.5292576419215</v>
      </c>
      <c r="N152" s="45">
        <f t="shared" ref="N152" si="451">1-(M152/L152)</f>
        <v>0.22999999999999998</v>
      </c>
      <c r="O152" s="46">
        <f>+'Trim Rwd'!H92</f>
        <v>266</v>
      </c>
      <c r="P152" s="47">
        <f t="shared" ref="P152" si="452">O152*(Q152-R152-S152)</f>
        <v>284354</v>
      </c>
      <c r="Q152" s="46">
        <v>1129</v>
      </c>
      <c r="R152" s="498">
        <v>0</v>
      </c>
      <c r="S152" s="498">
        <v>60</v>
      </c>
      <c r="T152" s="36">
        <f t="shared" ref="T152" si="453">E152*M152*O152*Q152/100000000</f>
        <v>31.895108030139742</v>
      </c>
      <c r="U152" s="36">
        <f t="shared" ref="U152" si="454">E152*M152*O152*(Q152-R152-S152)/100000000</f>
        <v>30.200062430663756</v>
      </c>
      <c r="V152" s="36">
        <f t="shared" ref="V152" si="455">E152*G152*(1-N152)*O152/100*(R152+S152)/1000000</f>
        <v>1.73830734</v>
      </c>
      <c r="W152" s="36">
        <f>+'30'!K13/1000</f>
        <v>25.321000000000002</v>
      </c>
      <c r="X152" s="37"/>
      <c r="Y152" s="210"/>
      <c r="Z152" s="36"/>
      <c r="AA152" s="36"/>
      <c r="AB152" s="36"/>
      <c r="AC152" s="36">
        <f>K152-T152</f>
        <v>0.81404175086025887</v>
      </c>
      <c r="AD152" s="36">
        <f t="shared" si="444"/>
        <v>11</v>
      </c>
      <c r="AE152" s="229" t="s">
        <v>718</v>
      </c>
      <c r="AF152" s="36"/>
      <c r="AG152" s="36">
        <v>11</v>
      </c>
      <c r="AH152" s="36"/>
      <c r="AI152" s="36"/>
      <c r="AJ152" s="36"/>
      <c r="AK152" s="36"/>
      <c r="AL152" s="36"/>
      <c r="AM152" s="36">
        <f t="shared" si="445"/>
        <v>11</v>
      </c>
      <c r="AN152" s="82"/>
      <c r="AO152" s="36"/>
      <c r="AP152" s="36"/>
      <c r="AQ152" s="36"/>
      <c r="AR152" s="36">
        <f t="shared" ref="AR152:AR153" si="456">SUM(AN152:AQ152)</f>
        <v>0</v>
      </c>
      <c r="AS152" s="36"/>
      <c r="AT152" s="36"/>
      <c r="AU152" s="36"/>
      <c r="AV152" s="36"/>
      <c r="AW152" s="36"/>
      <c r="AX152" s="36"/>
      <c r="AY152" s="36"/>
      <c r="AZ152" s="36"/>
      <c r="BA152" s="36">
        <f t="shared" si="446"/>
        <v>0</v>
      </c>
      <c r="BB152" s="49"/>
      <c r="BC152" s="50">
        <v>5</v>
      </c>
      <c r="BD152" s="50"/>
      <c r="BE152" s="49"/>
      <c r="BF152" s="50"/>
    </row>
    <row r="153" spans="1:58" ht="12.95" customHeight="1">
      <c r="A153" s="39"/>
      <c r="B153" s="40"/>
      <c r="C153" s="413"/>
      <c r="D153" s="40"/>
      <c r="E153" s="41"/>
      <c r="F153" s="41"/>
      <c r="G153" s="497"/>
      <c r="H153" s="43"/>
      <c r="I153" s="44"/>
      <c r="J153" s="81"/>
      <c r="K153" s="81"/>
      <c r="L153" s="34"/>
      <c r="M153" s="34"/>
      <c r="N153" s="45"/>
      <c r="O153" s="46"/>
      <c r="P153" s="47"/>
      <c r="Q153" s="46"/>
      <c r="R153" s="498"/>
      <c r="S153" s="498"/>
      <c r="T153" s="36"/>
      <c r="U153" s="36"/>
      <c r="V153" s="36"/>
      <c r="W153" s="36"/>
      <c r="X153" s="37"/>
      <c r="Y153" s="210"/>
      <c r="Z153" s="36"/>
      <c r="AA153" s="36"/>
      <c r="AB153" s="36"/>
      <c r="AC153" s="36"/>
      <c r="AD153" s="36">
        <f t="shared" si="444"/>
        <v>50</v>
      </c>
      <c r="AE153" s="229" t="s">
        <v>553</v>
      </c>
      <c r="AF153" s="32"/>
      <c r="AG153" s="32"/>
      <c r="AH153" s="32">
        <v>50</v>
      </c>
      <c r="AI153" s="36"/>
      <c r="AJ153" s="36"/>
      <c r="AK153" s="36"/>
      <c r="AL153" s="36"/>
      <c r="AM153" s="36">
        <f t="shared" si="445"/>
        <v>50</v>
      </c>
      <c r="AN153" s="36"/>
      <c r="AO153" s="36"/>
      <c r="AP153" s="36"/>
      <c r="AQ153" s="36"/>
      <c r="AR153" s="36">
        <f t="shared" si="456"/>
        <v>0</v>
      </c>
      <c r="AS153" s="36"/>
      <c r="AT153" s="36"/>
      <c r="AU153" s="36"/>
      <c r="AV153" s="36"/>
      <c r="AW153" s="36"/>
      <c r="AX153" s="36"/>
      <c r="AY153" s="36"/>
      <c r="AZ153" s="36"/>
      <c r="BA153" s="36">
        <f t="shared" si="446"/>
        <v>0</v>
      </c>
      <c r="BB153" s="32"/>
      <c r="BC153" s="501"/>
      <c r="BD153" s="501"/>
      <c r="BE153" s="32"/>
      <c r="BF153" s="501"/>
    </row>
    <row r="154" spans="1:58" ht="12.95" customHeight="1">
      <c r="A154" s="39"/>
      <c r="B154" s="40"/>
      <c r="C154" s="413"/>
      <c r="D154" s="40"/>
      <c r="E154" s="41"/>
      <c r="F154" s="41"/>
      <c r="G154" s="497"/>
      <c r="H154" s="43"/>
      <c r="I154" s="44"/>
      <c r="J154" s="81"/>
      <c r="K154" s="81"/>
      <c r="L154" s="34"/>
      <c r="M154" s="34"/>
      <c r="N154" s="45"/>
      <c r="O154" s="46"/>
      <c r="P154" s="47"/>
      <c r="Q154" s="46"/>
      <c r="R154" s="498"/>
      <c r="S154" s="498"/>
      <c r="T154" s="36"/>
      <c r="U154" s="36"/>
      <c r="V154" s="36"/>
      <c r="W154" s="36"/>
      <c r="X154" s="37"/>
      <c r="Y154" s="210"/>
      <c r="Z154" s="36"/>
      <c r="AA154" s="36"/>
      <c r="AB154" s="36"/>
      <c r="AC154" s="36"/>
      <c r="AD154" s="36"/>
      <c r="AE154" s="229"/>
      <c r="AF154" s="36"/>
      <c r="AG154" s="36"/>
      <c r="AH154" s="36"/>
      <c r="AI154" s="500"/>
      <c r="AJ154" s="36"/>
      <c r="AK154" s="36"/>
      <c r="AL154" s="36"/>
      <c r="AM154" s="36"/>
      <c r="AN154" s="82"/>
      <c r="AO154" s="36"/>
      <c r="AP154" s="36"/>
      <c r="AQ154" s="36"/>
      <c r="AR154" s="36"/>
      <c r="AS154" s="36"/>
      <c r="AT154" s="36"/>
      <c r="AU154" s="36"/>
      <c r="AV154" s="36"/>
      <c r="AW154" s="36"/>
      <c r="AX154" s="36"/>
      <c r="AY154" s="36"/>
      <c r="AZ154" s="36"/>
      <c r="BA154" s="36"/>
      <c r="BB154" s="49"/>
      <c r="BC154" s="50"/>
      <c r="BD154" s="50"/>
      <c r="BE154" s="50"/>
      <c r="BF154" s="50"/>
    </row>
    <row r="155" spans="1:58" ht="12.75" customHeight="1">
      <c r="A155" s="39">
        <v>46112</v>
      </c>
      <c r="B155" s="40" t="s">
        <v>7</v>
      </c>
      <c r="C155" s="413">
        <f t="shared" ref="C155" si="457">(M155*E155*O155*Q155)/100000000</f>
        <v>40.449401356913945</v>
      </c>
      <c r="D155" s="40" t="s">
        <v>301</v>
      </c>
      <c r="E155" s="41">
        <v>11.5</v>
      </c>
      <c r="F155" s="41">
        <v>1</v>
      </c>
      <c r="G155" s="497">
        <v>1230</v>
      </c>
      <c r="H155" s="43">
        <f t="shared" ref="H155" si="458">+N155</f>
        <v>0.24</v>
      </c>
      <c r="I155" s="44">
        <v>0.88</v>
      </c>
      <c r="J155" s="81">
        <f t="shared" ref="J155" si="459">E155*G155*(1-H155)*1440/1000000*2.74</f>
        <v>42.415989120000006</v>
      </c>
      <c r="K155" s="81">
        <f t="shared" ref="K155" si="460">(IF(G155&lt;L155,L155,G155)*(1-IF(H155&lt;N155,H155,N155))*E155*O155*Q155)/100000000</f>
        <v>41.177566079999998</v>
      </c>
      <c r="L155" s="34">
        <v>1208.2492581602373</v>
      </c>
      <c r="M155" s="34">
        <v>918.26943620178042</v>
      </c>
      <c r="N155" s="45">
        <f t="shared" ref="N155" si="461">1-(M155/L155)</f>
        <v>0.24</v>
      </c>
      <c r="O155" s="46">
        <f>+'Trim Rwd'!H94</f>
        <v>266</v>
      </c>
      <c r="P155" s="47">
        <f t="shared" ref="P155" si="462">O155*(Q155-R155-S155)</f>
        <v>342342</v>
      </c>
      <c r="Q155" s="46">
        <v>1440</v>
      </c>
      <c r="R155" s="498">
        <v>92</v>
      </c>
      <c r="S155" s="498">
        <v>61</v>
      </c>
      <c r="T155" s="36">
        <f t="shared" ref="T155" si="463">E155*M155*O155*Q155/100000000</f>
        <v>40.449401356913945</v>
      </c>
      <c r="U155" s="36">
        <f t="shared" ref="U155" si="464">E155*M155*O155*(Q155-R155-S155)/100000000</f>
        <v>36.151652462741843</v>
      </c>
      <c r="V155" s="36">
        <f t="shared" ref="V155" si="465">E155*G155*(1-N155)*O155/100*(R155+S155)/1000000</f>
        <v>4.375116396000001</v>
      </c>
      <c r="W155" s="36">
        <f>+'31'!K13/1000</f>
        <v>35.978999999999999</v>
      </c>
      <c r="X155" s="499">
        <f>SUM(W155:W158)/SUM(K155:K158)</f>
        <v>0.87375246827604636</v>
      </c>
      <c r="Y155" s="210">
        <f>+SUM(RBP!AG3:AG4)</f>
        <v>3.3039999999999998</v>
      </c>
      <c r="Z155" s="36">
        <v>0</v>
      </c>
      <c r="AA155" s="48">
        <f>SUM(U155:U158)-SUM(W155:W158)-SUM(Z155:Z158)-SUM(Y155:Y158)</f>
        <v>-3.1313475372581556</v>
      </c>
      <c r="AB155" s="48">
        <f>(SUM(K155:K158)-SUM(W155:W158)-SUM(Y155:Y158)-SUM(Z155:Z158)-SUM(AC155:AC158)-SUM(V155:V158))-AA155</f>
        <v>-7.7367501827898977E-2</v>
      </c>
      <c r="AC155" s="36">
        <f>K155-T155</f>
        <v>0.72816472308605285</v>
      </c>
      <c r="AD155" s="36">
        <f t="shared" ref="AD155:AD157" si="466">+AM155+BA155</f>
        <v>14</v>
      </c>
      <c r="AE155" s="229" t="s">
        <v>435</v>
      </c>
      <c r="AF155" s="36">
        <v>14</v>
      </c>
      <c r="AG155" s="36"/>
      <c r="AH155" s="36"/>
      <c r="AI155" s="36"/>
      <c r="AJ155" s="36"/>
      <c r="AK155" s="36"/>
      <c r="AL155" s="36"/>
      <c r="AM155" s="36">
        <f t="shared" ref="AM155:AM157" si="467">SUM(AF155:AL155)+AT155+AV155+AX155</f>
        <v>14</v>
      </c>
      <c r="AN155" s="36"/>
      <c r="AO155" s="36"/>
      <c r="AP155" s="36"/>
      <c r="AQ155" s="36"/>
      <c r="AR155" s="36">
        <f>SUM(AN155:AQ155)</f>
        <v>0</v>
      </c>
      <c r="AS155" s="36"/>
      <c r="AT155" s="36"/>
      <c r="AU155" s="36"/>
      <c r="AV155" s="36"/>
      <c r="AW155" s="36"/>
      <c r="AX155" s="36"/>
      <c r="AY155" s="36"/>
      <c r="AZ155" s="36"/>
      <c r="BA155" s="36">
        <f t="shared" ref="BA155:BA157" si="468">+AR155+AS155+AU155+AW155+AY155+AZ155</f>
        <v>0</v>
      </c>
      <c r="BB155" s="32">
        <v>6</v>
      </c>
      <c r="BC155" s="50"/>
      <c r="BD155" s="50"/>
      <c r="BE155" s="32"/>
      <c r="BF155" s="50"/>
    </row>
    <row r="156" spans="1:58" ht="12.95" customHeight="1">
      <c r="A156" s="39"/>
      <c r="B156" s="40"/>
      <c r="C156" s="413"/>
      <c r="D156" s="40"/>
      <c r="E156" s="41"/>
      <c r="F156" s="41"/>
      <c r="G156" s="497"/>
      <c r="H156" s="43"/>
      <c r="I156" s="44"/>
      <c r="J156" s="81"/>
      <c r="K156" s="81"/>
      <c r="L156" s="34"/>
      <c r="M156" s="34"/>
      <c r="N156" s="45"/>
      <c r="O156" s="46"/>
      <c r="P156" s="47"/>
      <c r="Q156" s="46"/>
      <c r="R156" s="498"/>
      <c r="S156" s="498"/>
      <c r="T156" s="36"/>
      <c r="U156" s="36"/>
      <c r="V156" s="36"/>
      <c r="W156" s="36"/>
      <c r="X156" s="37"/>
      <c r="Y156" s="210"/>
      <c r="Z156" s="36"/>
      <c r="AA156" s="36"/>
      <c r="AB156" s="36"/>
      <c r="AC156" s="36">
        <f>K156-T156</f>
        <v>0</v>
      </c>
      <c r="AD156" s="36">
        <f t="shared" si="466"/>
        <v>6</v>
      </c>
      <c r="AE156" s="229" t="s">
        <v>787</v>
      </c>
      <c r="AF156" s="36"/>
      <c r="AG156" s="36">
        <v>6</v>
      </c>
      <c r="AH156" s="36"/>
      <c r="AI156" s="36"/>
      <c r="AJ156" s="36"/>
      <c r="AK156" s="36"/>
      <c r="AL156" s="36"/>
      <c r="AM156" s="36">
        <f t="shared" si="467"/>
        <v>6</v>
      </c>
      <c r="AN156" s="82"/>
      <c r="AO156" s="36"/>
      <c r="AP156" s="36"/>
      <c r="AQ156" s="36"/>
      <c r="AR156" s="36">
        <f t="shared" ref="AR156:AR157" si="469">SUM(AN156:AQ156)</f>
        <v>0</v>
      </c>
      <c r="AS156" s="36"/>
      <c r="AT156" s="36"/>
      <c r="AU156" s="36"/>
      <c r="AV156" s="36"/>
      <c r="AW156" s="36"/>
      <c r="AX156" s="36"/>
      <c r="AY156" s="36"/>
      <c r="AZ156" s="36"/>
      <c r="BA156" s="36">
        <f t="shared" si="468"/>
        <v>0</v>
      </c>
      <c r="BB156" s="49"/>
      <c r="BC156" s="50">
        <v>3</v>
      </c>
      <c r="BD156" s="50"/>
      <c r="BE156" s="49"/>
      <c r="BF156" s="50"/>
    </row>
    <row r="157" spans="1:58" ht="12.95" customHeight="1">
      <c r="A157" s="39"/>
      <c r="B157" s="40"/>
      <c r="C157" s="413"/>
      <c r="D157" s="40"/>
      <c r="E157" s="41"/>
      <c r="F157" s="41"/>
      <c r="G157" s="497"/>
      <c r="H157" s="43"/>
      <c r="I157" s="44"/>
      <c r="J157" s="81"/>
      <c r="K157" s="81"/>
      <c r="L157" s="34"/>
      <c r="M157" s="34"/>
      <c r="N157" s="45"/>
      <c r="O157" s="46"/>
      <c r="P157" s="47"/>
      <c r="Q157" s="46"/>
      <c r="R157" s="498"/>
      <c r="S157" s="498"/>
      <c r="T157" s="36"/>
      <c r="U157" s="36"/>
      <c r="V157" s="36"/>
      <c r="W157" s="36"/>
      <c r="X157" s="37"/>
      <c r="Y157" s="210"/>
      <c r="Z157" s="36"/>
      <c r="AA157" s="36"/>
      <c r="AB157" s="36"/>
      <c r="AC157" s="36"/>
      <c r="AD157" s="36">
        <f t="shared" si="466"/>
        <v>41</v>
      </c>
      <c r="AE157" s="229" t="s">
        <v>573</v>
      </c>
      <c r="AF157" s="32"/>
      <c r="AG157" s="32"/>
      <c r="AH157" s="32">
        <v>41</v>
      </c>
      <c r="AI157" s="36"/>
      <c r="AJ157" s="36"/>
      <c r="AK157" s="36"/>
      <c r="AL157" s="36"/>
      <c r="AM157" s="36">
        <f t="shared" si="467"/>
        <v>41</v>
      </c>
      <c r="AN157" s="36"/>
      <c r="AO157" s="36"/>
      <c r="AP157" s="36"/>
      <c r="AQ157" s="36"/>
      <c r="AR157" s="36">
        <f t="shared" si="469"/>
        <v>0</v>
      </c>
      <c r="AS157" s="36"/>
      <c r="AT157" s="36"/>
      <c r="AU157" s="36"/>
      <c r="AV157" s="36"/>
      <c r="AW157" s="36"/>
      <c r="AX157" s="36"/>
      <c r="AY157" s="36"/>
      <c r="AZ157" s="36"/>
      <c r="BA157" s="36">
        <f t="shared" si="468"/>
        <v>0</v>
      </c>
      <c r="BB157" s="32"/>
      <c r="BC157" s="501"/>
      <c r="BD157" s="501"/>
      <c r="BE157" s="32"/>
      <c r="BF157" s="501"/>
    </row>
    <row r="158" spans="1:58" ht="12.95" customHeight="1">
      <c r="A158" s="39"/>
      <c r="B158" s="40"/>
      <c r="C158" s="413"/>
      <c r="D158" s="40"/>
      <c r="E158" s="41"/>
      <c r="F158" s="41"/>
      <c r="G158" s="497"/>
      <c r="H158" s="43"/>
      <c r="I158" s="44"/>
      <c r="J158" s="81"/>
      <c r="K158" s="81"/>
      <c r="L158" s="34"/>
      <c r="M158" s="34"/>
      <c r="N158" s="45"/>
      <c r="O158" s="46"/>
      <c r="P158" s="47"/>
      <c r="Q158" s="46"/>
      <c r="R158" s="498"/>
      <c r="S158" s="498"/>
      <c r="T158" s="36"/>
      <c r="U158" s="36"/>
      <c r="V158" s="36"/>
      <c r="W158" s="36"/>
      <c r="X158" s="37"/>
      <c r="Y158" s="210"/>
      <c r="Z158" s="36"/>
      <c r="AA158" s="36"/>
      <c r="AB158" s="36"/>
      <c r="AC158" s="36"/>
      <c r="AD158" s="36">
        <f t="shared" ref="AD158" si="470">+AM158+BA158</f>
        <v>92</v>
      </c>
      <c r="AE158" s="229" t="s">
        <v>792</v>
      </c>
      <c r="AF158" s="32"/>
      <c r="AG158" s="32"/>
      <c r="AH158" s="32"/>
      <c r="AI158" s="36"/>
      <c r="AJ158" s="36"/>
      <c r="AK158" s="36"/>
      <c r="AL158" s="36"/>
      <c r="AM158" s="36">
        <f t="shared" ref="AM158" si="471">SUM(AF158:AL158)+AT158+AV158+AX158</f>
        <v>0</v>
      </c>
      <c r="AN158" s="36"/>
      <c r="AO158" s="36">
        <v>92</v>
      </c>
      <c r="AP158" s="36"/>
      <c r="AQ158" s="36"/>
      <c r="AR158" s="36">
        <f t="shared" ref="AR158" si="472">SUM(AN158:AQ158)</f>
        <v>92</v>
      </c>
      <c r="AS158" s="36"/>
      <c r="AT158" s="36"/>
      <c r="AU158" s="36"/>
      <c r="AV158" s="36"/>
      <c r="AW158" s="36"/>
      <c r="AX158" s="36"/>
      <c r="AY158" s="36"/>
      <c r="AZ158" s="36"/>
      <c r="BA158" s="36">
        <f t="shared" ref="BA158" si="473">+AR158+AS158+AU158+AW158+AY158+AZ158</f>
        <v>92</v>
      </c>
      <c r="BB158" s="32"/>
      <c r="BC158" s="501"/>
      <c r="BD158" s="501"/>
      <c r="BE158" s="32"/>
      <c r="BF158" s="501"/>
    </row>
    <row r="159" spans="1:58">
      <c r="R159" s="502"/>
      <c r="S159" s="502"/>
      <c r="AA159" s="246">
        <f>U159-W159-Z159</f>
        <v>0</v>
      </c>
      <c r="AB159" s="246"/>
      <c r="AC159" s="247">
        <f>K159-T159</f>
        <v>0</v>
      </c>
      <c r="AD159" s="36"/>
      <c r="AF159" s="51"/>
      <c r="AG159" s="51"/>
      <c r="AH159" s="51"/>
      <c r="AI159" s="51"/>
      <c r="AJ159" s="51"/>
      <c r="AK159" s="51"/>
      <c r="AL159" s="51"/>
      <c r="AM159" s="36">
        <f t="shared" ref="AM159" si="474">SUM(AF159:AL159)</f>
        <v>0</v>
      </c>
      <c r="AN159" s="51"/>
      <c r="AO159" s="51"/>
      <c r="AP159" s="51"/>
      <c r="AQ159" s="51"/>
      <c r="AR159" s="36">
        <f t="shared" ref="AR159" si="475">SUM(AN159:AQ159)</f>
        <v>0</v>
      </c>
      <c r="AS159" s="51"/>
      <c r="AT159" s="51"/>
      <c r="AU159" s="51"/>
      <c r="AV159" s="51"/>
      <c r="AW159" s="51"/>
      <c r="AX159" s="51"/>
      <c r="AY159" s="51"/>
      <c r="AZ159" s="51"/>
      <c r="BA159" s="36"/>
      <c r="BB159" s="32"/>
      <c r="BC159" s="50"/>
      <c r="BD159" s="50"/>
      <c r="BE159" s="50"/>
      <c r="BF159" s="50"/>
    </row>
    <row r="160" spans="1:58" s="26" customFormat="1" ht="12.95" customHeight="1">
      <c r="A160" s="55"/>
      <c r="B160" s="56"/>
      <c r="C160" s="414">
        <f>SUM(C6:C158)</f>
        <v>1370.1751989778234</v>
      </c>
      <c r="D160" s="56"/>
      <c r="E160" s="57"/>
      <c r="F160" s="57"/>
      <c r="G160" s="58"/>
      <c r="H160" s="58"/>
      <c r="I160" s="59">
        <v>0.85</v>
      </c>
      <c r="J160" s="81"/>
      <c r="K160" s="83">
        <f>SUM(K6:K158)</f>
        <v>1411.0134858491379</v>
      </c>
      <c r="L160" s="61"/>
      <c r="M160" s="61"/>
      <c r="N160" s="62"/>
      <c r="O160" s="63">
        <f>P160/(Q160-R160-S160)</f>
        <v>262.80545653943153</v>
      </c>
      <c r="P160" s="60">
        <f>SUM(P6:P158)</f>
        <v>8201369.8822260406</v>
      </c>
      <c r="Q160" s="332">
        <f>SUM(Q6:Q159)</f>
        <v>44640</v>
      </c>
      <c r="R160" s="60">
        <f t="shared" ref="R160:W160" si="476">SUM(R6:R158)</f>
        <v>11276</v>
      </c>
      <c r="S160" s="60">
        <f t="shared" si="476"/>
        <v>2157</v>
      </c>
      <c r="T160" s="60">
        <f t="shared" si="476"/>
        <v>1370.1751989778234</v>
      </c>
      <c r="U160" s="60">
        <f t="shared" si="476"/>
        <v>958.12350821274958</v>
      </c>
      <c r="V160" s="356">
        <f t="shared" si="476"/>
        <v>416.24146481052304</v>
      </c>
      <c r="W160" s="445">
        <f t="shared" si="476"/>
        <v>906.26300000000003</v>
      </c>
      <c r="X160" s="493">
        <f>W160/K160</f>
        <v>0.64227805693481199</v>
      </c>
      <c r="Y160" s="357">
        <f>SUM(Y6:Y158)</f>
        <v>3.3039999999999998</v>
      </c>
      <c r="Z160" s="445">
        <f>SUM(Z6:Z158)</f>
        <v>1.1160000000000001</v>
      </c>
      <c r="AA160" s="60">
        <f>SUM(AA6:AA158)</f>
        <v>47.440508212749471</v>
      </c>
      <c r="AB160" s="60">
        <f>SUM(AB6:AB158)</f>
        <v>-4.1897740454489831</v>
      </c>
      <c r="AC160" s="60">
        <f>SUM(AC6:AC158)</f>
        <v>40.838286871314082</v>
      </c>
      <c r="AD160" s="36">
        <f>SUM(AD6:AD159)</f>
        <v>13433</v>
      </c>
      <c r="AE160" s="64"/>
      <c r="AF160" s="60">
        <f t="shared" ref="AF160:BF160" si="477">SUM(AF6:AF159)</f>
        <v>424</v>
      </c>
      <c r="AG160" s="60">
        <f t="shared" si="477"/>
        <v>108</v>
      </c>
      <c r="AH160" s="60">
        <f t="shared" si="477"/>
        <v>1167</v>
      </c>
      <c r="AI160" s="60">
        <f t="shared" si="477"/>
        <v>0</v>
      </c>
      <c r="AJ160" s="60">
        <f t="shared" si="477"/>
        <v>0</v>
      </c>
      <c r="AK160" s="60">
        <f t="shared" si="477"/>
        <v>353</v>
      </c>
      <c r="AL160" s="60">
        <f t="shared" si="477"/>
        <v>0</v>
      </c>
      <c r="AM160" s="60">
        <f t="shared" si="477"/>
        <v>2157</v>
      </c>
      <c r="AN160" s="51">
        <f t="shared" si="477"/>
        <v>105</v>
      </c>
      <c r="AO160" s="51">
        <f t="shared" si="477"/>
        <v>92</v>
      </c>
      <c r="AP160" s="51">
        <f t="shared" si="477"/>
        <v>145</v>
      </c>
      <c r="AQ160" s="51">
        <f t="shared" si="477"/>
        <v>0</v>
      </c>
      <c r="AR160" s="60">
        <f t="shared" si="477"/>
        <v>342</v>
      </c>
      <c r="AS160" s="60">
        <f t="shared" si="477"/>
        <v>0</v>
      </c>
      <c r="AT160" s="60">
        <f t="shared" si="477"/>
        <v>0</v>
      </c>
      <c r="AU160" s="60">
        <f t="shared" si="477"/>
        <v>0</v>
      </c>
      <c r="AV160" s="60">
        <f t="shared" si="477"/>
        <v>0</v>
      </c>
      <c r="AW160" s="60">
        <f t="shared" si="477"/>
        <v>948</v>
      </c>
      <c r="AX160" s="60">
        <f t="shared" si="477"/>
        <v>0</v>
      </c>
      <c r="AY160" s="60">
        <f t="shared" si="477"/>
        <v>0</v>
      </c>
      <c r="AZ160" s="60">
        <f t="shared" si="477"/>
        <v>10091</v>
      </c>
      <c r="BA160" s="60">
        <f t="shared" si="477"/>
        <v>11276</v>
      </c>
      <c r="BB160" s="51">
        <f t="shared" si="477"/>
        <v>151</v>
      </c>
      <c r="BC160" s="51">
        <f t="shared" si="477"/>
        <v>55</v>
      </c>
      <c r="BD160" s="51">
        <f t="shared" si="477"/>
        <v>2</v>
      </c>
      <c r="BE160" s="51">
        <f t="shared" si="477"/>
        <v>0</v>
      </c>
      <c r="BF160" s="51">
        <f t="shared" si="477"/>
        <v>1</v>
      </c>
    </row>
    <row r="161" spans="1:58" s="26" customFormat="1" ht="12.95" customHeight="1">
      <c r="A161" s="55"/>
      <c r="B161" s="56"/>
      <c r="C161" s="56"/>
      <c r="D161" s="56"/>
      <c r="E161" s="57"/>
      <c r="F161" s="57"/>
      <c r="G161" s="58"/>
      <c r="H161" s="58"/>
      <c r="I161" s="58"/>
      <c r="J161" s="84"/>
      <c r="K161" s="84"/>
      <c r="L161" s="61"/>
      <c r="M161" s="61"/>
      <c r="N161" s="62"/>
      <c r="O161" s="659"/>
      <c r="P161" s="660"/>
      <c r="Q161" s="58">
        <f>31*1440-Q160</f>
        <v>0</v>
      </c>
      <c r="R161" s="65">
        <f>R160/Q160</f>
        <v>0.25259856630824373</v>
      </c>
      <c r="S161" s="65">
        <f>S160/Q160</f>
        <v>4.8319892473118277E-2</v>
      </c>
      <c r="T161" s="343"/>
      <c r="U161" s="343"/>
      <c r="V161" s="345">
        <f>V160/K160</f>
        <v>0.29499467509343602</v>
      </c>
      <c r="W161" s="361" t="s">
        <v>168</v>
      </c>
      <c r="X161" s="494">
        <v>0.85</v>
      </c>
      <c r="Y161" s="358">
        <f>Y160/K160</f>
        <v>2.3415793209174583E-3</v>
      </c>
      <c r="Z161" s="66">
        <f>Z160/K160</f>
        <v>7.9092086021303987E-4</v>
      </c>
      <c r="AA161" s="66">
        <f>AA160/K160</f>
        <v>3.3621583839221855E-2</v>
      </c>
      <c r="AB161" s="66">
        <f>AB160/K160</f>
        <v>-2.9693366416888686E-3</v>
      </c>
      <c r="AC161" s="495">
        <f>AC160/K160</f>
        <v>2.8942520593088373E-2</v>
      </c>
      <c r="AD161" s="346"/>
      <c r="AE161" s="38"/>
      <c r="AF161" s="66">
        <f>AF160/$AD$160*$V$161</f>
        <v>9.3112292294808951E-3</v>
      </c>
      <c r="AG161" s="66">
        <f>AG160/$AD$160*$V$161</f>
        <v>2.371728199962115E-3</v>
      </c>
      <c r="AH161" s="66">
        <f>AH160/$AD$160*$V$161</f>
        <v>2.5627840827368409E-2</v>
      </c>
      <c r="AI161" s="66">
        <f>AI160/$AD$160*$V$161</f>
        <v>0</v>
      </c>
      <c r="AJ161" s="66">
        <f t="shared" ref="AJ161:BA161" si="478">AJ160/$AD$160*$V$161</f>
        <v>0</v>
      </c>
      <c r="AK161" s="66">
        <f t="shared" si="478"/>
        <v>7.7520375424687642E-3</v>
      </c>
      <c r="AL161" s="66">
        <f t="shared" si="478"/>
        <v>0</v>
      </c>
      <c r="AM161" s="66">
        <f t="shared" si="478"/>
        <v>4.7368682660354461E-2</v>
      </c>
      <c r="AN161" s="66">
        <f t="shared" si="478"/>
        <v>2.3058468610742786E-3</v>
      </c>
      <c r="AO161" s="66">
        <f t="shared" si="478"/>
        <v>2.0203610592269866E-3</v>
      </c>
      <c r="AP161" s="66">
        <f t="shared" si="478"/>
        <v>3.1842647129120987E-3</v>
      </c>
      <c r="AQ161" s="66">
        <f t="shared" si="478"/>
        <v>0</v>
      </c>
      <c r="AR161" s="66">
        <f t="shared" si="478"/>
        <v>7.5104726332133644E-3</v>
      </c>
      <c r="AS161" s="66">
        <f t="shared" si="478"/>
        <v>0</v>
      </c>
      <c r="AT161" s="66">
        <f t="shared" si="478"/>
        <v>0</v>
      </c>
      <c r="AU161" s="66">
        <f t="shared" si="478"/>
        <v>0</v>
      </c>
      <c r="AV161" s="66">
        <f>AV160/$AD$160*$V$161</f>
        <v>0</v>
      </c>
      <c r="AW161" s="66">
        <f t="shared" ref="AW161:AZ161" si="479">AW160/$AD$160*$V$161</f>
        <v>2.0818503088556341E-2</v>
      </c>
      <c r="AX161" s="66">
        <f t="shared" si="479"/>
        <v>0</v>
      </c>
      <c r="AY161" s="66">
        <f t="shared" si="479"/>
        <v>0</v>
      </c>
      <c r="AZ161" s="66">
        <f t="shared" si="479"/>
        <v>0.22160286357238612</v>
      </c>
      <c r="BA161" s="66">
        <f t="shared" si="478"/>
        <v>0.24762599243308156</v>
      </c>
      <c r="BB161" s="33" t="s">
        <v>167</v>
      </c>
      <c r="BC161" s="33" t="s">
        <v>167</v>
      </c>
      <c r="BD161" s="33" t="s">
        <v>399</v>
      </c>
      <c r="BE161" s="33" t="s">
        <v>399</v>
      </c>
      <c r="BF161" s="33" t="s">
        <v>399</v>
      </c>
    </row>
    <row r="162" spans="1:58" ht="12.95" customHeight="1">
      <c r="A162" s="55"/>
      <c r="B162" s="56"/>
      <c r="C162" s="56"/>
      <c r="D162" s="56"/>
      <c r="E162" s="57"/>
      <c r="F162" s="57"/>
      <c r="G162" s="33"/>
      <c r="H162" s="33"/>
      <c r="I162" s="33"/>
      <c r="J162" s="81"/>
      <c r="K162" s="81"/>
      <c r="L162" s="34"/>
      <c r="M162" s="34"/>
      <c r="N162" s="32"/>
      <c r="O162" s="35"/>
      <c r="P162" s="27"/>
      <c r="Q162" s="33"/>
      <c r="R162" s="36">
        <f>R160-(BA160)</f>
        <v>0</v>
      </c>
      <c r="S162" s="36">
        <f>S160-SUM(AF160:AL160)-AZ126</f>
        <v>0</v>
      </c>
      <c r="T162" s="32"/>
      <c r="U162" s="32"/>
      <c r="V162" s="32"/>
      <c r="W162" s="359"/>
      <c r="X162" s="360"/>
      <c r="Y162" s="67">
        <f>+Y160-(SUM(RBP!AG3:AG4))</f>
        <v>0</v>
      </c>
      <c r="Z162" s="36"/>
      <c r="AA162" s="32"/>
      <c r="AB162" s="32"/>
      <c r="AC162" s="32"/>
      <c r="AD162" s="32"/>
      <c r="AE162" s="38"/>
      <c r="AF162" s="333"/>
      <c r="AG162" s="333"/>
      <c r="AH162" s="333"/>
      <c r="AI162" s="333"/>
      <c r="AJ162" s="76"/>
      <c r="AK162" s="76"/>
      <c r="AL162" s="76"/>
      <c r="AM162" s="76"/>
      <c r="AN162" s="76"/>
      <c r="AO162" s="76"/>
      <c r="AP162" s="76"/>
      <c r="AQ162" s="76"/>
      <c r="AR162" s="76"/>
      <c r="AS162" s="76"/>
      <c r="AT162" s="76"/>
      <c r="AU162" s="76"/>
      <c r="AV162" s="76"/>
      <c r="AW162" s="76"/>
      <c r="AX162" s="76"/>
      <c r="AY162" s="76"/>
      <c r="AZ162" s="76"/>
      <c r="BA162" s="76"/>
      <c r="BB162" s="503">
        <f>BB160/($Q$160/1440)/2</f>
        <v>2.435483870967742</v>
      </c>
      <c r="BC162" s="503">
        <f>BC160/($Q$160/1440)/2</f>
        <v>0.88709677419354838</v>
      </c>
      <c r="BD162" s="503">
        <f>BD160/($Q$160/1440)</f>
        <v>6.4516129032258063E-2</v>
      </c>
      <c r="BE162" s="503">
        <f t="shared" ref="BE162:BF162" si="480">BE160/($Q$160/1440)</f>
        <v>0</v>
      </c>
      <c r="BF162" s="503">
        <f t="shared" si="480"/>
        <v>3.2258064516129031E-2</v>
      </c>
    </row>
    <row r="163" spans="1:58">
      <c r="A163" s="68"/>
      <c r="B163" s="69"/>
      <c r="C163" s="69"/>
      <c r="D163" s="69"/>
      <c r="E163" s="70"/>
      <c r="F163" s="70"/>
      <c r="G163" s="71"/>
      <c r="H163" s="71"/>
      <c r="I163" s="71"/>
      <c r="J163" s="85"/>
      <c r="K163" s="85"/>
      <c r="O163" s="72"/>
      <c r="P163" s="73"/>
      <c r="Q163" s="71"/>
      <c r="R163" s="52"/>
      <c r="S163" s="52"/>
      <c r="U163" s="74"/>
      <c r="V163" s="74"/>
      <c r="W163" s="75" t="s">
        <v>119</v>
      </c>
      <c r="X163" s="496">
        <f>W160/U160</f>
        <v>0.94587283605065875</v>
      </c>
      <c r="Y163" s="496"/>
      <c r="Z163" s="52"/>
      <c r="AD163" s="82"/>
      <c r="AE163" s="77"/>
      <c r="AF163" s="78"/>
      <c r="AG163" s="78"/>
      <c r="AH163" s="78"/>
      <c r="AI163" s="78"/>
      <c r="AJ163" s="78"/>
      <c r="AK163" s="78"/>
      <c r="AL163" s="78"/>
      <c r="AM163" s="78"/>
      <c r="AN163" s="76"/>
      <c r="AO163" s="76"/>
      <c r="AP163" s="76"/>
      <c r="AQ163" s="76"/>
      <c r="AR163" s="76"/>
      <c r="AS163" s="78"/>
      <c r="AT163" s="78"/>
      <c r="AU163" s="78"/>
      <c r="AV163" s="78"/>
      <c r="AW163" s="78"/>
      <c r="AX163" s="78"/>
      <c r="AY163" s="78"/>
      <c r="AZ163" s="78"/>
      <c r="BA163" s="76"/>
      <c r="BB163" s="26"/>
      <c r="BC163" s="76"/>
      <c r="BD163" s="76"/>
      <c r="BE163" s="26"/>
      <c r="BF163" s="76"/>
    </row>
    <row r="164" spans="1:58">
      <c r="A164" s="68"/>
      <c r="B164" s="69"/>
      <c r="C164" s="69"/>
      <c r="D164" s="69"/>
      <c r="E164" s="70"/>
      <c r="F164" s="70"/>
      <c r="G164" s="71"/>
      <c r="H164" s="71"/>
      <c r="I164" s="71"/>
      <c r="J164" s="85"/>
      <c r="K164" s="85"/>
      <c r="O164" s="72"/>
      <c r="P164" s="73"/>
      <c r="Q164" s="71"/>
      <c r="R164" s="52"/>
      <c r="S164" s="52"/>
      <c r="U164" s="74"/>
      <c r="V164" s="74"/>
      <c r="W164" s="75"/>
      <c r="X164" s="76"/>
      <c r="Y164" s="76"/>
      <c r="Z164" s="52">
        <f>+Z160-'31'!J56/1000</f>
        <v>0</v>
      </c>
      <c r="AA164" s="598">
        <f>+W160-'31'!M34/1000</f>
        <v>0</v>
      </c>
      <c r="AB164" s="88"/>
      <c r="AD164" s="82"/>
      <c r="AE164" s="77"/>
      <c r="AF164" s="78"/>
      <c r="AG164" s="78"/>
      <c r="AH164" s="78"/>
      <c r="AI164" s="78"/>
      <c r="AJ164" s="78"/>
      <c r="AK164" s="78"/>
      <c r="AL164" s="78"/>
      <c r="AM164" s="78"/>
      <c r="AN164" s="78"/>
      <c r="AO164" s="76"/>
      <c r="AP164" s="76"/>
      <c r="AQ164" s="76"/>
      <c r="AR164" s="78"/>
      <c r="AS164" s="76"/>
      <c r="AT164" s="76"/>
      <c r="AU164" s="76"/>
      <c r="AV164" s="76"/>
      <c r="AW164" s="76"/>
      <c r="AX164" s="76"/>
      <c r="AY164" s="76"/>
      <c r="AZ164" s="76"/>
      <c r="BA164" s="76"/>
      <c r="BB164" s="26"/>
      <c r="BC164" s="76"/>
      <c r="BD164" s="76"/>
      <c r="BE164" s="26"/>
      <c r="BF164" s="76"/>
    </row>
    <row r="165" spans="1:58">
      <c r="A165" s="68"/>
      <c r="B165" s="69"/>
      <c r="C165" s="69"/>
      <c r="D165" s="69"/>
      <c r="E165" s="70"/>
      <c r="F165" s="70"/>
      <c r="G165" s="71"/>
      <c r="H165" s="71"/>
      <c r="I165" s="71"/>
      <c r="J165" s="85"/>
      <c r="K165" s="85"/>
      <c r="O165" s="72"/>
      <c r="P165" s="73"/>
      <c r="Q165" s="71"/>
      <c r="R165" s="344"/>
      <c r="S165" s="52"/>
      <c r="U165" s="74"/>
      <c r="V165" s="74"/>
      <c r="W165" s="75" t="s">
        <v>143</v>
      </c>
      <c r="X165" s="333">
        <f>+W160+Y160</f>
        <v>909.56700000000001</v>
      </c>
      <c r="Y165" s="76"/>
      <c r="Z165" s="52"/>
      <c r="AD165" s="82"/>
      <c r="AE165" s="77"/>
      <c r="AF165" s="82"/>
      <c r="AG165" s="82"/>
      <c r="AH165" s="82"/>
      <c r="AI165" s="82"/>
      <c r="AJ165" s="76"/>
      <c r="AK165" s="76"/>
      <c r="AL165" s="76"/>
      <c r="AM165" s="78"/>
      <c r="AN165" s="76"/>
      <c r="AO165" s="76"/>
      <c r="AP165" s="76"/>
      <c r="AQ165" s="76"/>
      <c r="AR165" s="78"/>
      <c r="AS165" s="76"/>
      <c r="AT165" s="76"/>
      <c r="AU165" s="76"/>
      <c r="AV165" s="76"/>
      <c r="AW165" s="76"/>
      <c r="AX165" s="76"/>
      <c r="AY165" s="76"/>
      <c r="AZ165" s="76"/>
      <c r="BA165" s="76"/>
      <c r="BB165" s="26"/>
      <c r="BC165" s="76"/>
      <c r="BD165" s="76"/>
      <c r="BE165" s="26"/>
      <c r="BF165" s="76"/>
    </row>
    <row r="166" spans="1:58">
      <c r="A166" s="68"/>
      <c r="C166" s="69" t="s">
        <v>297</v>
      </c>
      <c r="D166" s="69"/>
      <c r="E166" s="70"/>
      <c r="F166" s="70"/>
      <c r="G166" s="71"/>
      <c r="H166" s="71"/>
      <c r="I166" s="71"/>
      <c r="J166" s="85"/>
      <c r="K166" s="85"/>
      <c r="O166" s="72"/>
      <c r="P166" s="73"/>
      <c r="Q166" s="71"/>
      <c r="R166" s="344"/>
      <c r="S166" s="52"/>
      <c r="U166" s="74"/>
      <c r="V166" s="354"/>
      <c r="W166" s="355"/>
      <c r="X166" s="349"/>
      <c r="Y166" s="355"/>
      <c r="Z166" s="349"/>
      <c r="AD166" s="342"/>
      <c r="AE166" s="77"/>
      <c r="AF166" s="342"/>
      <c r="AG166" s="342"/>
      <c r="AH166" s="342"/>
      <c r="AI166" s="342"/>
      <c r="AJ166" s="76"/>
      <c r="AK166" s="76"/>
      <c r="AL166" s="76"/>
      <c r="AM166" s="76"/>
      <c r="AN166" s="76"/>
      <c r="AO166" s="76"/>
      <c r="AP166" s="76"/>
      <c r="AQ166" s="76"/>
      <c r="AR166" s="76"/>
      <c r="AS166" s="76"/>
      <c r="AT166" s="76"/>
      <c r="AU166" s="76"/>
      <c r="AV166" s="76"/>
      <c r="AW166" s="76"/>
      <c r="AX166" s="76"/>
      <c r="AY166" s="76"/>
      <c r="AZ166" s="76"/>
      <c r="BA166" s="76"/>
      <c r="BB166" s="26"/>
      <c r="BC166" s="76"/>
      <c r="BD166" s="76"/>
      <c r="BE166" s="26"/>
      <c r="BF166" s="76"/>
    </row>
    <row r="167" spans="1:58">
      <c r="A167" s="68"/>
      <c r="B167" s="69"/>
      <c r="C167" s="69" t="s">
        <v>298</v>
      </c>
      <c r="D167" s="69"/>
      <c r="E167" s="70"/>
      <c r="F167" s="70"/>
      <c r="G167" s="71"/>
      <c r="H167" s="71"/>
      <c r="I167" s="71"/>
      <c r="J167" s="85"/>
      <c r="K167" s="85"/>
      <c r="O167" s="72"/>
      <c r="P167" s="73"/>
      <c r="Q167" s="71"/>
      <c r="R167" s="344"/>
      <c r="S167" s="52"/>
      <c r="V167" s="347"/>
      <c r="W167" s="348" t="s">
        <v>304</v>
      </c>
      <c r="X167" s="347"/>
      <c r="Y167" s="347"/>
      <c r="Z167" s="349"/>
      <c r="AC167" s="592" t="s">
        <v>720</v>
      </c>
      <c r="AD167" s="593">
        <f>+AC122+AC123+AC130</f>
        <v>9.998720229699261</v>
      </c>
      <c r="AE167" s="593">
        <f>+AD167*AE173</f>
        <v>0</v>
      </c>
      <c r="AF167" s="52"/>
      <c r="AG167" s="52"/>
      <c r="AH167" s="52"/>
      <c r="AI167" s="52"/>
      <c r="AJ167" s="52"/>
      <c r="AK167" s="52"/>
      <c r="AL167" s="52"/>
      <c r="AM167" s="52"/>
      <c r="AN167" s="52"/>
      <c r="AO167" s="52"/>
      <c r="AP167" s="52"/>
      <c r="AQ167" s="52"/>
      <c r="AS167" s="52"/>
      <c r="AT167" s="52"/>
      <c r="AU167" s="52"/>
      <c r="AV167" s="52"/>
      <c r="AW167" s="52"/>
      <c r="AX167" s="52"/>
      <c r="AY167" s="52"/>
      <c r="AZ167" s="52"/>
      <c r="BA167" s="52"/>
      <c r="BB167" s="26"/>
      <c r="BE167" s="26"/>
    </row>
    <row r="168" spans="1:58">
      <c r="A168" s="68"/>
      <c r="B168" s="69"/>
      <c r="C168" s="69"/>
      <c r="D168" s="69"/>
      <c r="E168" s="70"/>
      <c r="F168" s="70"/>
      <c r="G168" s="71"/>
      <c r="H168" s="71"/>
      <c r="I168" s="71"/>
      <c r="J168" s="85"/>
      <c r="K168" s="85"/>
      <c r="O168" s="72"/>
      <c r="P168" s="73"/>
      <c r="Q168" s="71"/>
      <c r="R168" s="344"/>
      <c r="S168" s="52"/>
      <c r="V168" s="347"/>
      <c r="W168" s="350" t="s">
        <v>293</v>
      </c>
      <c r="X168" s="504">
        <f>Y161</f>
        <v>2.3415793209174583E-3</v>
      </c>
      <c r="Y168" s="351"/>
      <c r="Z168" s="349"/>
      <c r="AC168" s="28" t="s">
        <v>721</v>
      </c>
      <c r="AD168" s="594">
        <f>+AD167/K160</f>
        <v>7.0861974956122429E-3</v>
      </c>
      <c r="AE168" s="77"/>
      <c r="AF168" s="52"/>
      <c r="AG168" s="52"/>
      <c r="AH168" s="52"/>
      <c r="AI168" s="52"/>
      <c r="AJ168" s="52"/>
      <c r="AK168" s="52"/>
      <c r="AL168" s="52"/>
      <c r="AM168" s="52"/>
      <c r="AN168" s="52"/>
      <c r="AO168" s="52"/>
      <c r="AP168" s="52"/>
      <c r="AQ168" s="52"/>
      <c r="AS168" s="52"/>
      <c r="AT168" s="52"/>
      <c r="AU168" s="52"/>
      <c r="AV168" s="52"/>
      <c r="AW168" s="52"/>
      <c r="AX168" s="52"/>
      <c r="AY168" s="52"/>
      <c r="AZ168" s="52"/>
      <c r="BA168" s="52"/>
      <c r="BB168" s="26"/>
      <c r="BE168" s="26"/>
    </row>
    <row r="169" spans="1:58">
      <c r="R169" s="88"/>
      <c r="V169" s="347"/>
      <c r="W169" s="350" t="s">
        <v>147</v>
      </c>
      <c r="X169" s="353">
        <f>Z161</f>
        <v>7.9092086021303987E-4</v>
      </c>
      <c r="Y169" s="352"/>
      <c r="Z169" s="347"/>
    </row>
    <row r="170" spans="1:58">
      <c r="R170" s="88"/>
      <c r="V170" s="347"/>
      <c r="W170" s="350" t="s">
        <v>148</v>
      </c>
      <c r="X170" s="353">
        <f>+AC161-AD168</f>
        <v>2.1856323097476128E-2</v>
      </c>
      <c r="Y170" s="353"/>
      <c r="Z170" s="347"/>
    </row>
    <row r="171" spans="1:58">
      <c r="R171" s="88"/>
      <c r="V171" s="347"/>
      <c r="W171" s="350" t="s">
        <v>149</v>
      </c>
      <c r="X171" s="353">
        <f>AA161</f>
        <v>3.3621583839221855E-2</v>
      </c>
      <c r="Y171" s="352"/>
      <c r="Z171" s="347"/>
    </row>
    <row r="172" spans="1:58">
      <c r="V172" s="347"/>
      <c r="W172" s="350" t="s">
        <v>165</v>
      </c>
      <c r="X172" s="353">
        <f>AB161</f>
        <v>-2.9693366416888686E-3</v>
      </c>
      <c r="Y172" s="352" t="s">
        <v>163</v>
      </c>
      <c r="Z172" s="347"/>
    </row>
    <row r="173" spans="1:58">
      <c r="V173" s="347"/>
      <c r="W173" s="350" t="s">
        <v>220</v>
      </c>
      <c r="X173" s="353">
        <f>AF161</f>
        <v>9.3112292294808951E-3</v>
      </c>
      <c r="Y173" s="352"/>
      <c r="Z173" s="347"/>
    </row>
    <row r="174" spans="1:58">
      <c r="V174" s="347"/>
      <c r="W174" s="350" t="s">
        <v>221</v>
      </c>
      <c r="X174" s="353">
        <f>+AG161</f>
        <v>2.371728199962115E-3</v>
      </c>
      <c r="Y174" s="352"/>
      <c r="Z174" s="347"/>
    </row>
    <row r="175" spans="1:58">
      <c r="V175" s="347"/>
      <c r="W175" s="350" t="s">
        <v>299</v>
      </c>
      <c r="X175" s="353">
        <f>+AH161</f>
        <v>2.5627840827368409E-2</v>
      </c>
      <c r="Y175" s="352"/>
      <c r="Z175" s="347"/>
    </row>
    <row r="176" spans="1:58">
      <c r="V176" s="347"/>
      <c r="W176" s="350" t="s">
        <v>222</v>
      </c>
      <c r="X176" s="353">
        <f>+AI161</f>
        <v>0</v>
      </c>
      <c r="Y176" s="352"/>
      <c r="Z176" s="347"/>
    </row>
    <row r="177" spans="6:26">
      <c r="V177" s="347"/>
      <c r="W177" s="350" t="s">
        <v>156</v>
      </c>
      <c r="X177" s="353">
        <f>+AJ161</f>
        <v>0</v>
      </c>
      <c r="Y177" s="352"/>
      <c r="Z177" s="347"/>
    </row>
    <row r="178" spans="6:26">
      <c r="V178" s="347"/>
      <c r="W178" s="350" t="s">
        <v>158</v>
      </c>
      <c r="X178" s="353">
        <f>+AK161</f>
        <v>7.7520375424687642E-3</v>
      </c>
      <c r="Y178" s="352"/>
      <c r="Z178" s="347"/>
    </row>
    <row r="179" spans="6:26">
      <c r="V179" s="347"/>
      <c r="W179" s="350" t="s">
        <v>157</v>
      </c>
      <c r="X179" s="353">
        <f>+AL161</f>
        <v>0</v>
      </c>
      <c r="Y179" s="352"/>
      <c r="Z179" s="347"/>
    </row>
    <row r="180" spans="6:26">
      <c r="V180" s="347"/>
      <c r="W180" s="350" t="s">
        <v>150</v>
      </c>
      <c r="X180" s="353">
        <f>+AN161</f>
        <v>2.3058468610742786E-3</v>
      </c>
      <c r="Y180" s="352"/>
      <c r="Z180" s="347"/>
    </row>
    <row r="181" spans="6:26">
      <c r="V181" s="347"/>
      <c r="W181" s="350" t="s">
        <v>160</v>
      </c>
      <c r="X181" s="353">
        <f>+AO161</f>
        <v>2.0203610592269866E-3</v>
      </c>
      <c r="Y181" s="352"/>
      <c r="Z181" s="347"/>
    </row>
    <row r="182" spans="6:26">
      <c r="V182" s="347"/>
      <c r="W182" s="350" t="s">
        <v>151</v>
      </c>
      <c r="X182" s="353">
        <f>+AP161</f>
        <v>3.1842647129120987E-3</v>
      </c>
      <c r="Y182" s="352"/>
      <c r="Z182" s="347"/>
    </row>
    <row r="183" spans="6:26">
      <c r="V183" s="347"/>
      <c r="W183" s="350" t="s">
        <v>159</v>
      </c>
      <c r="X183" s="353">
        <f>+AQ161</f>
        <v>0</v>
      </c>
      <c r="Y183" s="352"/>
      <c r="Z183" s="347"/>
    </row>
    <row r="184" spans="6:26">
      <c r="V184" s="347"/>
      <c r="W184" s="350" t="s">
        <v>162</v>
      </c>
      <c r="X184" s="353">
        <f>+AS161</f>
        <v>0</v>
      </c>
      <c r="Y184" s="352"/>
      <c r="Z184" s="347"/>
    </row>
    <row r="185" spans="6:26">
      <c r="V185" s="347"/>
      <c r="W185" s="350" t="s">
        <v>300</v>
      </c>
      <c r="X185" s="353">
        <f>+AT161</f>
        <v>0</v>
      </c>
      <c r="Y185" s="352"/>
      <c r="Z185" s="347"/>
    </row>
    <row r="186" spans="6:26">
      <c r="V186" s="347"/>
      <c r="W186" s="350" t="s">
        <v>236</v>
      </c>
      <c r="X186" s="353">
        <f>+AU161</f>
        <v>0</v>
      </c>
      <c r="Y186" s="352"/>
      <c r="Z186" s="347"/>
    </row>
    <row r="187" spans="6:26">
      <c r="V187" s="347"/>
      <c r="W187" s="350" t="s">
        <v>306</v>
      </c>
      <c r="X187" s="353">
        <f>+AW161</f>
        <v>2.0818503088556341E-2</v>
      </c>
      <c r="Y187" s="352"/>
      <c r="Z187" s="347"/>
    </row>
    <row r="188" spans="6:26">
      <c r="V188" s="347"/>
      <c r="W188" s="350" t="s">
        <v>307</v>
      </c>
      <c r="X188" s="353">
        <f>+AV161</f>
        <v>0</v>
      </c>
      <c r="Y188" s="352"/>
      <c r="Z188" s="347"/>
    </row>
    <row r="189" spans="6:26">
      <c r="V189" s="347"/>
      <c r="W189" s="347" t="s">
        <v>161</v>
      </c>
      <c r="X189" s="353">
        <f>+AX161+AY161</f>
        <v>0</v>
      </c>
      <c r="Y189" s="353"/>
      <c r="Z189" s="347"/>
    </row>
    <row r="190" spans="6:26" ht="11.25" customHeight="1">
      <c r="F190" s="28"/>
      <c r="J190" s="28"/>
      <c r="K190" s="28"/>
      <c r="L190" s="28"/>
      <c r="M190" s="28"/>
      <c r="Q190" s="28"/>
      <c r="V190" s="347"/>
      <c r="W190" s="350" t="s">
        <v>722</v>
      </c>
      <c r="X190" s="353">
        <f>+AD168</f>
        <v>7.0861974956122429E-3</v>
      </c>
      <c r="Y190" s="353"/>
      <c r="Z190" s="347"/>
    </row>
    <row r="191" spans="6:26">
      <c r="V191" s="347"/>
      <c r="W191" s="347" t="s">
        <v>305</v>
      </c>
      <c r="X191" s="353">
        <f>+AZ161</f>
        <v>0.22160286357238612</v>
      </c>
      <c r="Y191" s="347"/>
      <c r="Z191" s="347"/>
    </row>
    <row r="192" spans="6:26">
      <c r="V192" s="347"/>
      <c r="W192" s="347"/>
      <c r="X192" s="517">
        <f>SUM(X168:X191)</f>
        <v>0.3577219430651879</v>
      </c>
      <c r="Y192" s="347"/>
      <c r="Z192" s="347"/>
    </row>
    <row r="195" spans="24:24">
      <c r="X195" s="88">
        <f>+X192+X160</f>
        <v>0.99999999999999989</v>
      </c>
    </row>
  </sheetData>
  <mergeCells count="50">
    <mergeCell ref="BD3:BD5"/>
    <mergeCell ref="BE3:BE5"/>
    <mergeCell ref="BF3:BF5"/>
    <mergeCell ref="S3:S5"/>
    <mergeCell ref="T3:T5"/>
    <mergeCell ref="AF4:AH4"/>
    <mergeCell ref="W3:W5"/>
    <mergeCell ref="X3:X5"/>
    <mergeCell ref="Z3:Z5"/>
    <mergeCell ref="Y3:Y5"/>
    <mergeCell ref="AI4:AI5"/>
    <mergeCell ref="AB3:AB5"/>
    <mergeCell ref="BB3:BB5"/>
    <mergeCell ref="BC3:BC5"/>
    <mergeCell ref="AN4:AN5"/>
    <mergeCell ref="AP4:AP5"/>
    <mergeCell ref="G3:K4"/>
    <mergeCell ref="C3:C5"/>
    <mergeCell ref="L3:N4"/>
    <mergeCell ref="O3:O5"/>
    <mergeCell ref="R3:R5"/>
    <mergeCell ref="A3:A5"/>
    <mergeCell ref="B3:B5"/>
    <mergeCell ref="D3:D5"/>
    <mergeCell ref="E3:E5"/>
    <mergeCell ref="F3:F5"/>
    <mergeCell ref="AZ3:AZ5"/>
    <mergeCell ref="O161:P161"/>
    <mergeCell ref="BA3:BA5"/>
    <mergeCell ref="AT3:AU4"/>
    <mergeCell ref="P3:P5"/>
    <mergeCell ref="AK4:AK5"/>
    <mergeCell ref="AA3:AA5"/>
    <mergeCell ref="AL4:AL5"/>
    <mergeCell ref="AM3:AM5"/>
    <mergeCell ref="Q3:Q5"/>
    <mergeCell ref="AC3:AC5"/>
    <mergeCell ref="AE3:AE5"/>
    <mergeCell ref="AD3:AD5"/>
    <mergeCell ref="AF3:AL3"/>
    <mergeCell ref="AO4:AO5"/>
    <mergeCell ref="AR4:AR5"/>
    <mergeCell ref="AJ4:AJ5"/>
    <mergeCell ref="V3:V5"/>
    <mergeCell ref="U3:U5"/>
    <mergeCell ref="AV3:AW3"/>
    <mergeCell ref="AX3:AY3"/>
    <mergeCell ref="AN3:AR3"/>
    <mergeCell ref="AS3:AS5"/>
    <mergeCell ref="AQ4:AQ5"/>
  </mergeCells>
  <phoneticPr fontId="32" type="noConversion"/>
  <conditionalFormatting sqref="B6:C6 B8:C8 C161 B10:C10 C159 B159:B161">
    <cfRule type="cellIs" dxfId="1439" priority="1899" stopIfTrue="1" operator="equal">
      <formula>"Towel"</formula>
    </cfRule>
    <cfRule type="cellIs" dxfId="1438" priority="1900" stopIfTrue="1" operator="equal">
      <formula>"Napkin Hs"</formula>
    </cfRule>
  </conditionalFormatting>
  <conditionalFormatting sqref="B7:C7">
    <cfRule type="cellIs" dxfId="1437" priority="1439" stopIfTrue="1" operator="equal">
      <formula>"Towel"</formula>
    </cfRule>
    <cfRule type="cellIs" dxfId="1436" priority="1440" stopIfTrue="1" operator="equal">
      <formula>"Napkin Hs"</formula>
    </cfRule>
  </conditionalFormatting>
  <conditionalFormatting sqref="C6 C8 C10">
    <cfRule type="cellIs" dxfId="1435" priority="1898" stopIfTrue="1" operator="equal">
      <formula>"Napkin Hs"</formula>
    </cfRule>
  </conditionalFormatting>
  <conditionalFormatting sqref="C6:C8 C10">
    <cfRule type="cellIs" dxfId="1434" priority="1437" stopIfTrue="1" operator="equal">
      <formula>"Towel"</formula>
    </cfRule>
    <cfRule type="cellIs" dxfId="1433" priority="1438" stopIfTrue="1" operator="equal">
      <formula>"Napkin Hs"</formula>
    </cfRule>
  </conditionalFormatting>
  <conditionalFormatting sqref="C7">
    <cfRule type="cellIs" dxfId="1432" priority="1435" stopIfTrue="1" operator="equal">
      <formula>"Towel"</formula>
    </cfRule>
    <cfRule type="cellIs" dxfId="1431" priority="1436" stopIfTrue="1" operator="equal">
      <formula>"Napkin Hs"</formula>
    </cfRule>
  </conditionalFormatting>
  <conditionalFormatting sqref="C6 C8 C10">
    <cfRule type="cellIs" dxfId="1430" priority="1897" stopIfTrue="1" operator="equal">
      <formula>"Towel"</formula>
    </cfRule>
  </conditionalFormatting>
  <conditionalFormatting sqref="B15:C15">
    <cfRule type="cellIs" dxfId="1429" priority="1421" stopIfTrue="1" operator="equal">
      <formula>"Towel"</formula>
    </cfRule>
    <cfRule type="cellIs" dxfId="1428" priority="1422" stopIfTrue="1" operator="equal">
      <formula>"Napkin Hs"</formula>
    </cfRule>
  </conditionalFormatting>
  <conditionalFormatting sqref="B9:C9">
    <cfRule type="cellIs" dxfId="1427" priority="1411" stopIfTrue="1" operator="equal">
      <formula>"Towel"</formula>
    </cfRule>
    <cfRule type="cellIs" dxfId="1426" priority="1412" stopIfTrue="1" operator="equal">
      <formula>"Napkin Hs"</formula>
    </cfRule>
  </conditionalFormatting>
  <conditionalFormatting sqref="C15">
    <cfRule type="cellIs" dxfId="1425" priority="1420" stopIfTrue="1" operator="equal">
      <formula>"Napkin Hs"</formula>
    </cfRule>
  </conditionalFormatting>
  <conditionalFormatting sqref="C15">
    <cfRule type="cellIs" dxfId="1424" priority="1415" stopIfTrue="1" operator="equal">
      <formula>"Towel"</formula>
    </cfRule>
    <cfRule type="cellIs" dxfId="1423" priority="1416" stopIfTrue="1" operator="equal">
      <formula>"Napkin Hs"</formula>
    </cfRule>
  </conditionalFormatting>
  <conditionalFormatting sqref="C9">
    <cfRule type="cellIs" dxfId="1422" priority="1407" stopIfTrue="1" operator="equal">
      <formula>"Towel"</formula>
    </cfRule>
    <cfRule type="cellIs" dxfId="1421" priority="1408" stopIfTrue="1" operator="equal">
      <formula>"Napkin Hs"</formula>
    </cfRule>
  </conditionalFormatting>
  <conditionalFormatting sqref="C15">
    <cfRule type="cellIs" dxfId="1420" priority="1419" stopIfTrue="1" operator="equal">
      <formula>"Towel"</formula>
    </cfRule>
  </conditionalFormatting>
  <conditionalFormatting sqref="C9">
    <cfRule type="cellIs" dxfId="1419" priority="1410" stopIfTrue="1" operator="equal">
      <formula>"Napkin Hs"</formula>
    </cfRule>
  </conditionalFormatting>
  <conditionalFormatting sqref="C9">
    <cfRule type="cellIs" dxfId="1418" priority="1409" stopIfTrue="1" operator="equal">
      <formula>"Towel"</formula>
    </cfRule>
  </conditionalFormatting>
  <conditionalFormatting sqref="B44:C44">
    <cfRule type="cellIs" dxfId="1417" priority="1365" stopIfTrue="1" operator="equal">
      <formula>"Towel"</formula>
    </cfRule>
    <cfRule type="cellIs" dxfId="1416" priority="1366" stopIfTrue="1" operator="equal">
      <formula>"Napkin Hs"</formula>
    </cfRule>
  </conditionalFormatting>
  <conditionalFormatting sqref="C44">
    <cfRule type="cellIs" dxfId="1415" priority="1364" stopIfTrue="1" operator="equal">
      <formula>"Napkin Hs"</formula>
    </cfRule>
  </conditionalFormatting>
  <conditionalFormatting sqref="C44">
    <cfRule type="cellIs" dxfId="1414" priority="1359" stopIfTrue="1" operator="equal">
      <formula>"Towel"</formula>
    </cfRule>
    <cfRule type="cellIs" dxfId="1413" priority="1360" stopIfTrue="1" operator="equal">
      <formula>"Napkin Hs"</formula>
    </cfRule>
  </conditionalFormatting>
  <conditionalFormatting sqref="C44">
    <cfRule type="cellIs" dxfId="1412" priority="1363" stopIfTrue="1" operator="equal">
      <formula>"Towel"</formula>
    </cfRule>
  </conditionalFormatting>
  <conditionalFormatting sqref="B55:C55">
    <cfRule type="cellIs" dxfId="1411" priority="1333" stopIfTrue="1" operator="equal">
      <formula>"Towel"</formula>
    </cfRule>
    <cfRule type="cellIs" dxfId="1410" priority="1334" stopIfTrue="1" operator="equal">
      <formula>"Napkin Hs"</formula>
    </cfRule>
  </conditionalFormatting>
  <conditionalFormatting sqref="C55">
    <cfRule type="cellIs" dxfId="1409" priority="1332" stopIfTrue="1" operator="equal">
      <formula>"Napkin Hs"</formula>
    </cfRule>
  </conditionalFormatting>
  <conditionalFormatting sqref="C55">
    <cfRule type="cellIs" dxfId="1408" priority="1327" stopIfTrue="1" operator="equal">
      <formula>"Towel"</formula>
    </cfRule>
    <cfRule type="cellIs" dxfId="1407" priority="1328" stopIfTrue="1" operator="equal">
      <formula>"Napkin Hs"</formula>
    </cfRule>
  </conditionalFormatting>
  <conditionalFormatting sqref="C55">
    <cfRule type="cellIs" dxfId="1406" priority="1331" stopIfTrue="1" operator="equal">
      <formula>"Towel"</formula>
    </cfRule>
  </conditionalFormatting>
  <conditionalFormatting sqref="B59:C59">
    <cfRule type="cellIs" dxfId="1405" priority="1313" stopIfTrue="1" operator="equal">
      <formula>"Towel"</formula>
    </cfRule>
    <cfRule type="cellIs" dxfId="1404" priority="1314" stopIfTrue="1" operator="equal">
      <formula>"Napkin Hs"</formula>
    </cfRule>
  </conditionalFormatting>
  <conditionalFormatting sqref="C59">
    <cfRule type="cellIs" dxfId="1403" priority="1309" stopIfTrue="1" operator="equal">
      <formula>"Towel"</formula>
    </cfRule>
    <cfRule type="cellIs" dxfId="1402" priority="1310" stopIfTrue="1" operator="equal">
      <formula>"Napkin Hs"</formula>
    </cfRule>
  </conditionalFormatting>
  <conditionalFormatting sqref="C59">
    <cfRule type="cellIs" dxfId="1401" priority="1311" stopIfTrue="1" operator="equal">
      <formula>"Towel"</formula>
    </cfRule>
    <cfRule type="cellIs" dxfId="1400" priority="1312" stopIfTrue="1" operator="equal">
      <formula>"Napkin Hs"</formula>
    </cfRule>
  </conditionalFormatting>
  <conditionalFormatting sqref="B63:C63">
    <cfRule type="cellIs" dxfId="1399" priority="1291" stopIfTrue="1" operator="equal">
      <formula>"Towel"</formula>
    </cfRule>
    <cfRule type="cellIs" dxfId="1398" priority="1292" stopIfTrue="1" operator="equal">
      <formula>"Napkin Hs"</formula>
    </cfRule>
  </conditionalFormatting>
  <conditionalFormatting sqref="C63">
    <cfRule type="cellIs" dxfId="1397" priority="1290" stopIfTrue="1" operator="equal">
      <formula>"Napkin Hs"</formula>
    </cfRule>
  </conditionalFormatting>
  <conditionalFormatting sqref="C63">
    <cfRule type="cellIs" dxfId="1396" priority="1287" stopIfTrue="1" operator="equal">
      <formula>"Towel"</formula>
    </cfRule>
    <cfRule type="cellIs" dxfId="1395" priority="1288" stopIfTrue="1" operator="equal">
      <formula>"Napkin Hs"</formula>
    </cfRule>
  </conditionalFormatting>
  <conditionalFormatting sqref="C63">
    <cfRule type="cellIs" dxfId="1394" priority="1289" stopIfTrue="1" operator="equal">
      <formula>"Towel"</formula>
    </cfRule>
  </conditionalFormatting>
  <conditionalFormatting sqref="B71:C71">
    <cfRule type="cellIs" dxfId="1393" priority="1279" stopIfTrue="1" operator="equal">
      <formula>"Towel"</formula>
    </cfRule>
    <cfRule type="cellIs" dxfId="1392" priority="1280" stopIfTrue="1" operator="equal">
      <formula>"Napkin Hs"</formula>
    </cfRule>
  </conditionalFormatting>
  <conditionalFormatting sqref="C71">
    <cfRule type="cellIs" dxfId="1391" priority="1278" stopIfTrue="1" operator="equal">
      <formula>"Napkin Hs"</formula>
    </cfRule>
  </conditionalFormatting>
  <conditionalFormatting sqref="C71">
    <cfRule type="cellIs" dxfId="1390" priority="1273" stopIfTrue="1" operator="equal">
      <formula>"Towel"</formula>
    </cfRule>
    <cfRule type="cellIs" dxfId="1389" priority="1274" stopIfTrue="1" operator="equal">
      <formula>"Napkin Hs"</formula>
    </cfRule>
  </conditionalFormatting>
  <conditionalFormatting sqref="C71">
    <cfRule type="cellIs" dxfId="1388" priority="1277" stopIfTrue="1" operator="equal">
      <formula>"Towel"</formula>
    </cfRule>
  </conditionalFormatting>
  <conditionalFormatting sqref="B76:C76">
    <cfRule type="cellIs" dxfId="1387" priority="1247" stopIfTrue="1" operator="equal">
      <formula>"Towel"</formula>
    </cfRule>
    <cfRule type="cellIs" dxfId="1386" priority="1248" stopIfTrue="1" operator="equal">
      <formula>"Napkin Hs"</formula>
    </cfRule>
  </conditionalFormatting>
  <conditionalFormatting sqref="C76">
    <cfRule type="cellIs" dxfId="1385" priority="1243" stopIfTrue="1" operator="equal">
      <formula>"Towel"</formula>
    </cfRule>
    <cfRule type="cellIs" dxfId="1384" priority="1244" stopIfTrue="1" operator="equal">
      <formula>"Napkin Hs"</formula>
    </cfRule>
  </conditionalFormatting>
  <conditionalFormatting sqref="C76">
    <cfRule type="cellIs" dxfId="1383" priority="1246" stopIfTrue="1" operator="equal">
      <formula>"Napkin Hs"</formula>
    </cfRule>
  </conditionalFormatting>
  <conditionalFormatting sqref="C76">
    <cfRule type="cellIs" dxfId="1382" priority="1245" stopIfTrue="1" operator="equal">
      <formula>"Towel"</formula>
    </cfRule>
  </conditionalFormatting>
  <conditionalFormatting sqref="B81:C81">
    <cfRule type="cellIs" dxfId="1381" priority="1217" stopIfTrue="1" operator="equal">
      <formula>"Towel"</formula>
    </cfRule>
    <cfRule type="cellIs" dxfId="1380" priority="1218" stopIfTrue="1" operator="equal">
      <formula>"Napkin Hs"</formula>
    </cfRule>
  </conditionalFormatting>
  <conditionalFormatting sqref="C81">
    <cfRule type="cellIs" dxfId="1379" priority="1216" stopIfTrue="1" operator="equal">
      <formula>"Napkin Hs"</formula>
    </cfRule>
  </conditionalFormatting>
  <conditionalFormatting sqref="C81">
    <cfRule type="cellIs" dxfId="1378" priority="1213" stopIfTrue="1" operator="equal">
      <formula>"Towel"</formula>
    </cfRule>
    <cfRule type="cellIs" dxfId="1377" priority="1214" stopIfTrue="1" operator="equal">
      <formula>"Napkin Hs"</formula>
    </cfRule>
  </conditionalFormatting>
  <conditionalFormatting sqref="C81">
    <cfRule type="cellIs" dxfId="1376" priority="1215" stopIfTrue="1" operator="equal">
      <formula>"Towel"</formula>
    </cfRule>
  </conditionalFormatting>
  <conditionalFormatting sqref="B86:C86">
    <cfRule type="cellIs" dxfId="1375" priority="1181" stopIfTrue="1" operator="equal">
      <formula>"Towel"</formula>
    </cfRule>
    <cfRule type="cellIs" dxfId="1374" priority="1182" stopIfTrue="1" operator="equal">
      <formula>"Napkin Hs"</formula>
    </cfRule>
  </conditionalFormatting>
  <conditionalFormatting sqref="C86">
    <cfRule type="cellIs" dxfId="1373" priority="1177" stopIfTrue="1" operator="equal">
      <formula>"Towel"</formula>
    </cfRule>
    <cfRule type="cellIs" dxfId="1372" priority="1178" stopIfTrue="1" operator="equal">
      <formula>"Napkin Hs"</formula>
    </cfRule>
  </conditionalFormatting>
  <conditionalFormatting sqref="C86">
    <cfRule type="cellIs" dxfId="1371" priority="1180" stopIfTrue="1" operator="equal">
      <formula>"Napkin Hs"</formula>
    </cfRule>
  </conditionalFormatting>
  <conditionalFormatting sqref="C86">
    <cfRule type="cellIs" dxfId="1370" priority="1179" stopIfTrue="1" operator="equal">
      <formula>"Towel"</formula>
    </cfRule>
  </conditionalFormatting>
  <conditionalFormatting sqref="B91:C91">
    <cfRule type="cellIs" dxfId="1369" priority="1163" stopIfTrue="1" operator="equal">
      <formula>"Towel"</formula>
    </cfRule>
    <cfRule type="cellIs" dxfId="1368" priority="1164" stopIfTrue="1" operator="equal">
      <formula>"Napkin Hs"</formula>
    </cfRule>
  </conditionalFormatting>
  <conditionalFormatting sqref="C91">
    <cfRule type="cellIs" dxfId="1367" priority="1159" stopIfTrue="1" operator="equal">
      <formula>"Towel"</formula>
    </cfRule>
    <cfRule type="cellIs" dxfId="1366" priority="1160" stopIfTrue="1" operator="equal">
      <formula>"Napkin Hs"</formula>
    </cfRule>
  </conditionalFormatting>
  <conditionalFormatting sqref="C91">
    <cfRule type="cellIs" dxfId="1365" priority="1162" stopIfTrue="1" operator="equal">
      <formula>"Napkin Hs"</formula>
    </cfRule>
  </conditionalFormatting>
  <conditionalFormatting sqref="C91">
    <cfRule type="cellIs" dxfId="1364" priority="1161" stopIfTrue="1" operator="equal">
      <formula>"Towel"</formula>
    </cfRule>
  </conditionalFormatting>
  <conditionalFormatting sqref="B96:C96">
    <cfRule type="cellIs" dxfId="1363" priority="1139" stopIfTrue="1" operator="equal">
      <formula>"Towel"</formula>
    </cfRule>
    <cfRule type="cellIs" dxfId="1362" priority="1140" stopIfTrue="1" operator="equal">
      <formula>"Napkin Hs"</formula>
    </cfRule>
  </conditionalFormatting>
  <conditionalFormatting sqref="C96">
    <cfRule type="cellIs" dxfId="1361" priority="1138" stopIfTrue="1" operator="equal">
      <formula>"Napkin Hs"</formula>
    </cfRule>
  </conditionalFormatting>
  <conditionalFormatting sqref="C96">
    <cfRule type="cellIs" dxfId="1360" priority="1135" stopIfTrue="1" operator="equal">
      <formula>"Towel"</formula>
    </cfRule>
    <cfRule type="cellIs" dxfId="1359" priority="1136" stopIfTrue="1" operator="equal">
      <formula>"Napkin Hs"</formula>
    </cfRule>
  </conditionalFormatting>
  <conditionalFormatting sqref="C96">
    <cfRule type="cellIs" dxfId="1358" priority="1137" stopIfTrue="1" operator="equal">
      <formula>"Towel"</formula>
    </cfRule>
  </conditionalFormatting>
  <conditionalFormatting sqref="B106:C106">
    <cfRule type="cellIs" dxfId="1357" priority="1103" stopIfTrue="1" operator="equal">
      <formula>"Towel"</formula>
    </cfRule>
    <cfRule type="cellIs" dxfId="1356" priority="1104" stopIfTrue="1" operator="equal">
      <formula>"Napkin Hs"</formula>
    </cfRule>
  </conditionalFormatting>
  <conditionalFormatting sqref="C106">
    <cfRule type="cellIs" dxfId="1355" priority="1102" stopIfTrue="1" operator="equal">
      <formula>"Napkin Hs"</formula>
    </cfRule>
  </conditionalFormatting>
  <conditionalFormatting sqref="C106">
    <cfRule type="cellIs" dxfId="1354" priority="1099" stopIfTrue="1" operator="equal">
      <formula>"Towel"</formula>
    </cfRule>
    <cfRule type="cellIs" dxfId="1353" priority="1100" stopIfTrue="1" operator="equal">
      <formula>"Napkin Hs"</formula>
    </cfRule>
  </conditionalFormatting>
  <conditionalFormatting sqref="C106">
    <cfRule type="cellIs" dxfId="1352" priority="1101" stopIfTrue="1" operator="equal">
      <formula>"Towel"</formula>
    </cfRule>
  </conditionalFormatting>
  <conditionalFormatting sqref="B111:C111">
    <cfRule type="cellIs" dxfId="1351" priority="1085" stopIfTrue="1" operator="equal">
      <formula>"Towel"</formula>
    </cfRule>
    <cfRule type="cellIs" dxfId="1350" priority="1086" stopIfTrue="1" operator="equal">
      <formula>"Napkin Hs"</formula>
    </cfRule>
  </conditionalFormatting>
  <conditionalFormatting sqref="C111">
    <cfRule type="cellIs" dxfId="1349" priority="1084" stopIfTrue="1" operator="equal">
      <formula>"Napkin Hs"</formula>
    </cfRule>
  </conditionalFormatting>
  <conditionalFormatting sqref="C111">
    <cfRule type="cellIs" dxfId="1348" priority="1081" stopIfTrue="1" operator="equal">
      <formula>"Towel"</formula>
    </cfRule>
    <cfRule type="cellIs" dxfId="1347" priority="1082" stopIfTrue="1" operator="equal">
      <formula>"Napkin Hs"</formula>
    </cfRule>
  </conditionalFormatting>
  <conditionalFormatting sqref="C111">
    <cfRule type="cellIs" dxfId="1346" priority="1083" stopIfTrue="1" operator="equal">
      <formula>"Towel"</formula>
    </cfRule>
  </conditionalFormatting>
  <conditionalFormatting sqref="B146:C146">
    <cfRule type="cellIs" dxfId="1345" priority="1079" stopIfTrue="1" operator="equal">
      <formula>"Towel"</formula>
    </cfRule>
    <cfRule type="cellIs" dxfId="1344" priority="1080" stopIfTrue="1" operator="equal">
      <formula>"Napkin Hs"</formula>
    </cfRule>
  </conditionalFormatting>
  <conditionalFormatting sqref="C146">
    <cfRule type="cellIs" dxfId="1343" priority="1077" stopIfTrue="1" operator="equal">
      <formula>"Towel"</formula>
    </cfRule>
    <cfRule type="cellIs" dxfId="1342" priority="1078" stopIfTrue="1" operator="equal">
      <formula>"Napkin Hs"</formula>
    </cfRule>
  </conditionalFormatting>
  <conditionalFormatting sqref="C146">
    <cfRule type="cellIs" dxfId="1341" priority="1075" stopIfTrue="1" operator="equal">
      <formula>"Towel"</formula>
    </cfRule>
    <cfRule type="cellIs" dxfId="1340" priority="1076" stopIfTrue="1" operator="equal">
      <formula>"Napkin Hs"</formula>
    </cfRule>
  </conditionalFormatting>
  <conditionalFormatting sqref="B116:C116">
    <cfRule type="cellIs" dxfId="1339" priority="1061" stopIfTrue="1" operator="equal">
      <formula>"Towel"</formula>
    </cfRule>
    <cfRule type="cellIs" dxfId="1338" priority="1062" stopIfTrue="1" operator="equal">
      <formula>"Napkin Hs"</formula>
    </cfRule>
  </conditionalFormatting>
  <conditionalFormatting sqref="C116">
    <cfRule type="cellIs" dxfId="1337" priority="1060" stopIfTrue="1" operator="equal">
      <formula>"Napkin Hs"</formula>
    </cfRule>
  </conditionalFormatting>
  <conditionalFormatting sqref="C116">
    <cfRule type="cellIs" dxfId="1336" priority="1057" stopIfTrue="1" operator="equal">
      <formula>"Towel"</formula>
    </cfRule>
    <cfRule type="cellIs" dxfId="1335" priority="1058" stopIfTrue="1" operator="equal">
      <formula>"Napkin Hs"</formula>
    </cfRule>
  </conditionalFormatting>
  <conditionalFormatting sqref="C116">
    <cfRule type="cellIs" dxfId="1334" priority="1059" stopIfTrue="1" operator="equal">
      <formula>"Towel"</formula>
    </cfRule>
  </conditionalFormatting>
  <conditionalFormatting sqref="B121:C121">
    <cfRule type="cellIs" dxfId="1333" priority="1043" stopIfTrue="1" operator="equal">
      <formula>"Towel"</formula>
    </cfRule>
    <cfRule type="cellIs" dxfId="1332" priority="1044" stopIfTrue="1" operator="equal">
      <formula>"Napkin Hs"</formula>
    </cfRule>
  </conditionalFormatting>
  <conditionalFormatting sqref="C121">
    <cfRule type="cellIs" dxfId="1331" priority="1042" stopIfTrue="1" operator="equal">
      <formula>"Napkin Hs"</formula>
    </cfRule>
  </conditionalFormatting>
  <conditionalFormatting sqref="C121">
    <cfRule type="cellIs" dxfId="1330" priority="1039" stopIfTrue="1" operator="equal">
      <formula>"Towel"</formula>
    </cfRule>
    <cfRule type="cellIs" dxfId="1329" priority="1040" stopIfTrue="1" operator="equal">
      <formula>"Napkin Hs"</formula>
    </cfRule>
  </conditionalFormatting>
  <conditionalFormatting sqref="C121">
    <cfRule type="cellIs" dxfId="1328" priority="1041" stopIfTrue="1" operator="equal">
      <formula>"Towel"</formula>
    </cfRule>
  </conditionalFormatting>
  <conditionalFormatting sqref="B129:C129">
    <cfRule type="cellIs" dxfId="1327" priority="1037" stopIfTrue="1" operator="equal">
      <formula>"Towel"</formula>
    </cfRule>
    <cfRule type="cellIs" dxfId="1326" priority="1038" stopIfTrue="1" operator="equal">
      <formula>"Napkin Hs"</formula>
    </cfRule>
  </conditionalFormatting>
  <conditionalFormatting sqref="C129">
    <cfRule type="cellIs" dxfId="1325" priority="1036" stopIfTrue="1" operator="equal">
      <formula>"Napkin Hs"</formula>
    </cfRule>
  </conditionalFormatting>
  <conditionalFormatting sqref="C129">
    <cfRule type="cellIs" dxfId="1324" priority="1033" stopIfTrue="1" operator="equal">
      <formula>"Towel"</formula>
    </cfRule>
    <cfRule type="cellIs" dxfId="1323" priority="1034" stopIfTrue="1" operator="equal">
      <formula>"Napkin Hs"</formula>
    </cfRule>
  </conditionalFormatting>
  <conditionalFormatting sqref="C129">
    <cfRule type="cellIs" dxfId="1322" priority="1035" stopIfTrue="1" operator="equal">
      <formula>"Towel"</formula>
    </cfRule>
  </conditionalFormatting>
  <conditionalFormatting sqref="B134:C134">
    <cfRule type="cellIs" dxfId="1321" priority="1019" stopIfTrue="1" operator="equal">
      <formula>"Towel"</formula>
    </cfRule>
    <cfRule type="cellIs" dxfId="1320" priority="1020" stopIfTrue="1" operator="equal">
      <formula>"Napkin Hs"</formula>
    </cfRule>
  </conditionalFormatting>
  <conditionalFormatting sqref="C134">
    <cfRule type="cellIs" dxfId="1319" priority="1018" stopIfTrue="1" operator="equal">
      <formula>"Napkin Hs"</formula>
    </cfRule>
  </conditionalFormatting>
  <conditionalFormatting sqref="C134">
    <cfRule type="cellIs" dxfId="1318" priority="1015" stopIfTrue="1" operator="equal">
      <formula>"Towel"</formula>
    </cfRule>
    <cfRule type="cellIs" dxfId="1317" priority="1016" stopIfTrue="1" operator="equal">
      <formula>"Napkin Hs"</formula>
    </cfRule>
  </conditionalFormatting>
  <conditionalFormatting sqref="C134">
    <cfRule type="cellIs" dxfId="1316" priority="1017" stopIfTrue="1" operator="equal">
      <formula>"Towel"</formula>
    </cfRule>
  </conditionalFormatting>
  <conditionalFormatting sqref="B142:C142">
    <cfRule type="cellIs" dxfId="1315" priority="953" stopIfTrue="1" operator="equal">
      <formula>"Towel"</formula>
    </cfRule>
    <cfRule type="cellIs" dxfId="1314" priority="954" stopIfTrue="1" operator="equal">
      <formula>"Napkin Hs"</formula>
    </cfRule>
  </conditionalFormatting>
  <conditionalFormatting sqref="C142">
    <cfRule type="cellIs" dxfId="1313" priority="952" stopIfTrue="1" operator="equal">
      <formula>"Napkin Hs"</formula>
    </cfRule>
  </conditionalFormatting>
  <conditionalFormatting sqref="C142">
    <cfRule type="cellIs" dxfId="1312" priority="949" stopIfTrue="1" operator="equal">
      <formula>"Towel"</formula>
    </cfRule>
    <cfRule type="cellIs" dxfId="1311" priority="950" stopIfTrue="1" operator="equal">
      <formula>"Napkin Hs"</formula>
    </cfRule>
  </conditionalFormatting>
  <conditionalFormatting sqref="C142">
    <cfRule type="cellIs" dxfId="1310" priority="951" stopIfTrue="1" operator="equal">
      <formula>"Towel"</formula>
    </cfRule>
  </conditionalFormatting>
  <conditionalFormatting sqref="B150:C150">
    <cfRule type="cellIs" dxfId="1309" priority="941" stopIfTrue="1" operator="equal">
      <formula>"Towel"</formula>
    </cfRule>
    <cfRule type="cellIs" dxfId="1308" priority="942" stopIfTrue="1" operator="equal">
      <formula>"Napkin Hs"</formula>
    </cfRule>
  </conditionalFormatting>
  <conditionalFormatting sqref="C150">
    <cfRule type="cellIs" dxfId="1307" priority="940" stopIfTrue="1" operator="equal">
      <formula>"Napkin Hs"</formula>
    </cfRule>
  </conditionalFormatting>
  <conditionalFormatting sqref="C150">
    <cfRule type="cellIs" dxfId="1306" priority="937" stopIfTrue="1" operator="equal">
      <formula>"Towel"</formula>
    </cfRule>
    <cfRule type="cellIs" dxfId="1305" priority="938" stopIfTrue="1" operator="equal">
      <formula>"Napkin Hs"</formula>
    </cfRule>
  </conditionalFormatting>
  <conditionalFormatting sqref="C150">
    <cfRule type="cellIs" dxfId="1304" priority="939" stopIfTrue="1" operator="equal">
      <formula>"Towel"</formula>
    </cfRule>
  </conditionalFormatting>
  <conditionalFormatting sqref="B154:C154">
    <cfRule type="cellIs" dxfId="1303" priority="911" stopIfTrue="1" operator="equal">
      <formula>"Towel"</formula>
    </cfRule>
    <cfRule type="cellIs" dxfId="1302" priority="912" stopIfTrue="1" operator="equal">
      <formula>"Napkin Hs"</formula>
    </cfRule>
  </conditionalFormatting>
  <conditionalFormatting sqref="C154">
    <cfRule type="cellIs" dxfId="1301" priority="910" stopIfTrue="1" operator="equal">
      <formula>"Napkin Hs"</formula>
    </cfRule>
  </conditionalFormatting>
  <conditionalFormatting sqref="C154">
    <cfRule type="cellIs" dxfId="1300" priority="907" stopIfTrue="1" operator="equal">
      <formula>"Towel"</formula>
    </cfRule>
    <cfRule type="cellIs" dxfId="1299" priority="908" stopIfTrue="1" operator="equal">
      <formula>"Napkin Hs"</formula>
    </cfRule>
  </conditionalFormatting>
  <conditionalFormatting sqref="C154">
    <cfRule type="cellIs" dxfId="1298" priority="909" stopIfTrue="1" operator="equal">
      <formula>"Towel"</formula>
    </cfRule>
  </conditionalFormatting>
  <conditionalFormatting sqref="B15:C15">
    <cfRule type="cellIs" dxfId="1297" priority="861" stopIfTrue="1" operator="equal">
      <formula>"Towel"</formula>
    </cfRule>
    <cfRule type="cellIs" dxfId="1296" priority="862" stopIfTrue="1" operator="equal">
      <formula>"Napkin Hs"</formula>
    </cfRule>
  </conditionalFormatting>
  <conditionalFormatting sqref="C15">
    <cfRule type="cellIs" dxfId="1295" priority="857" stopIfTrue="1" operator="equal">
      <formula>"Towel"</formula>
    </cfRule>
    <cfRule type="cellIs" dxfId="1294" priority="858" stopIfTrue="1" operator="equal">
      <formula>"Napkin Hs"</formula>
    </cfRule>
  </conditionalFormatting>
  <conditionalFormatting sqref="C15">
    <cfRule type="cellIs" dxfId="1293" priority="860" stopIfTrue="1" operator="equal">
      <formula>"Napkin Hs"</formula>
    </cfRule>
  </conditionalFormatting>
  <conditionalFormatting sqref="C15">
    <cfRule type="cellIs" dxfId="1292" priority="859" stopIfTrue="1" operator="equal">
      <formula>"Towel"</formula>
    </cfRule>
  </conditionalFormatting>
  <conditionalFormatting sqref="B20:C20">
    <cfRule type="cellIs" dxfId="1291" priority="855" stopIfTrue="1" operator="equal">
      <formula>"Towel"</formula>
    </cfRule>
    <cfRule type="cellIs" dxfId="1290" priority="856" stopIfTrue="1" operator="equal">
      <formula>"Napkin Hs"</formula>
    </cfRule>
  </conditionalFormatting>
  <conditionalFormatting sqref="C20">
    <cfRule type="cellIs" dxfId="1289" priority="854" stopIfTrue="1" operator="equal">
      <formula>"Napkin Hs"</formula>
    </cfRule>
  </conditionalFormatting>
  <conditionalFormatting sqref="C20">
    <cfRule type="cellIs" dxfId="1288" priority="849" stopIfTrue="1" operator="equal">
      <formula>"Towel"</formula>
    </cfRule>
    <cfRule type="cellIs" dxfId="1287" priority="850" stopIfTrue="1" operator="equal">
      <formula>"Napkin Hs"</formula>
    </cfRule>
  </conditionalFormatting>
  <conditionalFormatting sqref="C20">
    <cfRule type="cellIs" dxfId="1286" priority="853" stopIfTrue="1" operator="equal">
      <formula>"Towel"</formula>
    </cfRule>
  </conditionalFormatting>
  <conditionalFormatting sqref="B20:C20">
    <cfRule type="cellIs" dxfId="1285" priority="845" stopIfTrue="1" operator="equal">
      <formula>"Towel"</formula>
    </cfRule>
    <cfRule type="cellIs" dxfId="1284" priority="846" stopIfTrue="1" operator="equal">
      <formula>"Napkin Hs"</formula>
    </cfRule>
  </conditionalFormatting>
  <conditionalFormatting sqref="C20">
    <cfRule type="cellIs" dxfId="1283" priority="844" stopIfTrue="1" operator="equal">
      <formula>"Napkin Hs"</formula>
    </cfRule>
  </conditionalFormatting>
  <conditionalFormatting sqref="C20">
    <cfRule type="cellIs" dxfId="1282" priority="839" stopIfTrue="1" operator="equal">
      <formula>"Towel"</formula>
    </cfRule>
    <cfRule type="cellIs" dxfId="1281" priority="840" stopIfTrue="1" operator="equal">
      <formula>"Napkin Hs"</formula>
    </cfRule>
  </conditionalFormatting>
  <conditionalFormatting sqref="C20">
    <cfRule type="cellIs" dxfId="1280" priority="843" stopIfTrue="1" operator="equal">
      <formula>"Towel"</formula>
    </cfRule>
  </conditionalFormatting>
  <conditionalFormatting sqref="B25:C25">
    <cfRule type="cellIs" dxfId="1279" priority="829" stopIfTrue="1" operator="equal">
      <formula>"Towel"</formula>
    </cfRule>
    <cfRule type="cellIs" dxfId="1278" priority="830" stopIfTrue="1" operator="equal">
      <formula>"Napkin Hs"</formula>
    </cfRule>
  </conditionalFormatting>
  <conditionalFormatting sqref="C25">
    <cfRule type="cellIs" dxfId="1277" priority="828" stopIfTrue="1" operator="equal">
      <formula>"Napkin Hs"</formula>
    </cfRule>
  </conditionalFormatting>
  <conditionalFormatting sqref="C25">
    <cfRule type="cellIs" dxfId="1276" priority="823" stopIfTrue="1" operator="equal">
      <formula>"Towel"</formula>
    </cfRule>
    <cfRule type="cellIs" dxfId="1275" priority="824" stopIfTrue="1" operator="equal">
      <formula>"Napkin Hs"</formula>
    </cfRule>
  </conditionalFormatting>
  <conditionalFormatting sqref="C25">
    <cfRule type="cellIs" dxfId="1274" priority="827" stopIfTrue="1" operator="equal">
      <formula>"Towel"</formula>
    </cfRule>
  </conditionalFormatting>
  <conditionalFormatting sqref="B25:C25">
    <cfRule type="cellIs" dxfId="1273" priority="819" stopIfTrue="1" operator="equal">
      <formula>"Towel"</formula>
    </cfRule>
    <cfRule type="cellIs" dxfId="1272" priority="820" stopIfTrue="1" operator="equal">
      <formula>"Napkin Hs"</formula>
    </cfRule>
  </conditionalFormatting>
  <conditionalFormatting sqref="C25">
    <cfRule type="cellIs" dxfId="1271" priority="818" stopIfTrue="1" operator="equal">
      <formula>"Napkin Hs"</formula>
    </cfRule>
  </conditionalFormatting>
  <conditionalFormatting sqref="C25">
    <cfRule type="cellIs" dxfId="1270" priority="813" stopIfTrue="1" operator="equal">
      <formula>"Towel"</formula>
    </cfRule>
    <cfRule type="cellIs" dxfId="1269" priority="814" stopIfTrue="1" operator="equal">
      <formula>"Napkin Hs"</formula>
    </cfRule>
  </conditionalFormatting>
  <conditionalFormatting sqref="C25">
    <cfRule type="cellIs" dxfId="1268" priority="817" stopIfTrue="1" operator="equal">
      <formula>"Towel"</formula>
    </cfRule>
  </conditionalFormatting>
  <conditionalFormatting sqref="B30:C30">
    <cfRule type="cellIs" dxfId="1267" priority="785" stopIfTrue="1" operator="equal">
      <formula>"Towel"</formula>
    </cfRule>
    <cfRule type="cellIs" dxfId="1266" priority="786" stopIfTrue="1" operator="equal">
      <formula>"Napkin Hs"</formula>
    </cfRule>
  </conditionalFormatting>
  <conditionalFormatting sqref="C30">
    <cfRule type="cellIs" dxfId="1265" priority="784" stopIfTrue="1" operator="equal">
      <formula>"Napkin Hs"</formula>
    </cfRule>
  </conditionalFormatting>
  <conditionalFormatting sqref="C30">
    <cfRule type="cellIs" dxfId="1264" priority="779" stopIfTrue="1" operator="equal">
      <formula>"Towel"</formula>
    </cfRule>
    <cfRule type="cellIs" dxfId="1263" priority="780" stopIfTrue="1" operator="equal">
      <formula>"Napkin Hs"</formula>
    </cfRule>
  </conditionalFormatting>
  <conditionalFormatting sqref="C30">
    <cfRule type="cellIs" dxfId="1262" priority="783" stopIfTrue="1" operator="equal">
      <formula>"Towel"</formula>
    </cfRule>
  </conditionalFormatting>
  <conditionalFormatting sqref="B30:C30">
    <cfRule type="cellIs" dxfId="1261" priority="775" stopIfTrue="1" operator="equal">
      <formula>"Towel"</formula>
    </cfRule>
    <cfRule type="cellIs" dxfId="1260" priority="776" stopIfTrue="1" operator="equal">
      <formula>"Napkin Hs"</formula>
    </cfRule>
  </conditionalFormatting>
  <conditionalFormatting sqref="C30">
    <cfRule type="cellIs" dxfId="1259" priority="774" stopIfTrue="1" operator="equal">
      <formula>"Napkin Hs"</formula>
    </cfRule>
  </conditionalFormatting>
  <conditionalFormatting sqref="C30">
    <cfRule type="cellIs" dxfId="1258" priority="769" stopIfTrue="1" operator="equal">
      <formula>"Towel"</formula>
    </cfRule>
    <cfRule type="cellIs" dxfId="1257" priority="770" stopIfTrue="1" operator="equal">
      <formula>"Napkin Hs"</formula>
    </cfRule>
  </conditionalFormatting>
  <conditionalFormatting sqref="C30">
    <cfRule type="cellIs" dxfId="1256" priority="773" stopIfTrue="1" operator="equal">
      <formula>"Towel"</formula>
    </cfRule>
  </conditionalFormatting>
  <conditionalFormatting sqref="B36:C36">
    <cfRule type="cellIs" dxfId="1255" priority="735" stopIfTrue="1" operator="equal">
      <formula>"Towel"</formula>
    </cfRule>
    <cfRule type="cellIs" dxfId="1254" priority="736" stopIfTrue="1" operator="equal">
      <formula>"Napkin Hs"</formula>
    </cfRule>
  </conditionalFormatting>
  <conditionalFormatting sqref="C36">
    <cfRule type="cellIs" dxfId="1253" priority="734" stopIfTrue="1" operator="equal">
      <formula>"Napkin Hs"</formula>
    </cfRule>
  </conditionalFormatting>
  <conditionalFormatting sqref="C36">
    <cfRule type="cellIs" dxfId="1252" priority="729" stopIfTrue="1" operator="equal">
      <formula>"Towel"</formula>
    </cfRule>
    <cfRule type="cellIs" dxfId="1251" priority="730" stopIfTrue="1" operator="equal">
      <formula>"Napkin Hs"</formula>
    </cfRule>
  </conditionalFormatting>
  <conditionalFormatting sqref="C36">
    <cfRule type="cellIs" dxfId="1250" priority="733" stopIfTrue="1" operator="equal">
      <formula>"Towel"</formula>
    </cfRule>
  </conditionalFormatting>
  <conditionalFormatting sqref="B36:C36">
    <cfRule type="cellIs" dxfId="1249" priority="715" stopIfTrue="1" operator="equal">
      <formula>"Towel"</formula>
    </cfRule>
    <cfRule type="cellIs" dxfId="1248" priority="716" stopIfTrue="1" operator="equal">
      <formula>"Napkin Hs"</formula>
    </cfRule>
  </conditionalFormatting>
  <conditionalFormatting sqref="C36">
    <cfRule type="cellIs" dxfId="1247" priority="711" stopIfTrue="1" operator="equal">
      <formula>"Towel"</formula>
    </cfRule>
    <cfRule type="cellIs" dxfId="1246" priority="712" stopIfTrue="1" operator="equal">
      <formula>"Napkin Hs"</formula>
    </cfRule>
  </conditionalFormatting>
  <conditionalFormatting sqref="C36">
    <cfRule type="cellIs" dxfId="1245" priority="714" stopIfTrue="1" operator="equal">
      <formula>"Napkin Hs"</formula>
    </cfRule>
  </conditionalFormatting>
  <conditionalFormatting sqref="C36">
    <cfRule type="cellIs" dxfId="1244" priority="713" stopIfTrue="1" operator="equal">
      <formula>"Towel"</formula>
    </cfRule>
  </conditionalFormatting>
  <conditionalFormatting sqref="B11:C13">
    <cfRule type="cellIs" dxfId="1243" priority="685" stopIfTrue="1" operator="equal">
      <formula>"Towel"</formula>
    </cfRule>
    <cfRule type="cellIs" dxfId="1242" priority="686" stopIfTrue="1" operator="equal">
      <formula>"Napkin Hs"</formula>
    </cfRule>
  </conditionalFormatting>
  <conditionalFormatting sqref="C11:C13">
    <cfRule type="cellIs" dxfId="1241" priority="684" stopIfTrue="1" operator="equal">
      <formula>"Napkin Hs"</formula>
    </cfRule>
  </conditionalFormatting>
  <conditionalFormatting sqref="C11:C13">
    <cfRule type="cellIs" dxfId="1240" priority="679" stopIfTrue="1" operator="equal">
      <formula>"Towel"</formula>
    </cfRule>
    <cfRule type="cellIs" dxfId="1239" priority="680" stopIfTrue="1" operator="equal">
      <formula>"Napkin Hs"</formula>
    </cfRule>
  </conditionalFormatting>
  <conditionalFormatting sqref="C11:C13">
    <cfRule type="cellIs" dxfId="1238" priority="683" stopIfTrue="1" operator="equal">
      <formula>"Towel"</formula>
    </cfRule>
  </conditionalFormatting>
  <conditionalFormatting sqref="B14:C14">
    <cfRule type="cellIs" dxfId="1237" priority="675" stopIfTrue="1" operator="equal">
      <formula>"Towel"</formula>
    </cfRule>
    <cfRule type="cellIs" dxfId="1236" priority="676" stopIfTrue="1" operator="equal">
      <formula>"Napkin Hs"</formula>
    </cfRule>
  </conditionalFormatting>
  <conditionalFormatting sqref="C14">
    <cfRule type="cellIs" dxfId="1235" priority="671" stopIfTrue="1" operator="equal">
      <formula>"Towel"</formula>
    </cfRule>
    <cfRule type="cellIs" dxfId="1234" priority="672" stopIfTrue="1" operator="equal">
      <formula>"Napkin Hs"</formula>
    </cfRule>
  </conditionalFormatting>
  <conditionalFormatting sqref="C14">
    <cfRule type="cellIs" dxfId="1233" priority="674" stopIfTrue="1" operator="equal">
      <formula>"Napkin Hs"</formula>
    </cfRule>
  </conditionalFormatting>
  <conditionalFormatting sqref="C14">
    <cfRule type="cellIs" dxfId="1232" priority="673" stopIfTrue="1" operator="equal">
      <formula>"Towel"</formula>
    </cfRule>
  </conditionalFormatting>
  <conditionalFormatting sqref="B17:C18">
    <cfRule type="cellIs" dxfId="1231" priority="669" stopIfTrue="1" operator="equal">
      <formula>"Towel"</formula>
    </cfRule>
    <cfRule type="cellIs" dxfId="1230" priority="670" stopIfTrue="1" operator="equal">
      <formula>"Napkin Hs"</formula>
    </cfRule>
  </conditionalFormatting>
  <conditionalFormatting sqref="C17:C18">
    <cfRule type="cellIs" dxfId="1229" priority="668" stopIfTrue="1" operator="equal">
      <formula>"Napkin Hs"</formula>
    </cfRule>
  </conditionalFormatting>
  <conditionalFormatting sqref="C17:C18">
    <cfRule type="cellIs" dxfId="1228" priority="665" stopIfTrue="1" operator="equal">
      <formula>"Towel"</formula>
    </cfRule>
    <cfRule type="cellIs" dxfId="1227" priority="666" stopIfTrue="1" operator="equal">
      <formula>"Napkin Hs"</formula>
    </cfRule>
  </conditionalFormatting>
  <conditionalFormatting sqref="C17:C18">
    <cfRule type="cellIs" dxfId="1226" priority="667" stopIfTrue="1" operator="equal">
      <formula>"Towel"</formula>
    </cfRule>
  </conditionalFormatting>
  <conditionalFormatting sqref="B19:C19">
    <cfRule type="cellIs" dxfId="1225" priority="663" stopIfTrue="1" operator="equal">
      <formula>"Towel"</formula>
    </cfRule>
    <cfRule type="cellIs" dxfId="1224" priority="664" stopIfTrue="1" operator="equal">
      <formula>"Napkin Hs"</formula>
    </cfRule>
  </conditionalFormatting>
  <conditionalFormatting sqref="C19">
    <cfRule type="cellIs" dxfId="1223" priority="659" stopIfTrue="1" operator="equal">
      <formula>"Towel"</formula>
    </cfRule>
    <cfRule type="cellIs" dxfId="1222" priority="660" stopIfTrue="1" operator="equal">
      <formula>"Napkin Hs"</formula>
    </cfRule>
  </conditionalFormatting>
  <conditionalFormatting sqref="C19">
    <cfRule type="cellIs" dxfId="1221" priority="662" stopIfTrue="1" operator="equal">
      <formula>"Napkin Hs"</formula>
    </cfRule>
  </conditionalFormatting>
  <conditionalFormatting sqref="C19">
    <cfRule type="cellIs" dxfId="1220" priority="661" stopIfTrue="1" operator="equal">
      <formula>"Towel"</formula>
    </cfRule>
  </conditionalFormatting>
  <conditionalFormatting sqref="B16:C16">
    <cfRule type="cellIs" dxfId="1219" priority="657" stopIfTrue="1" operator="equal">
      <formula>"Towel"</formula>
    </cfRule>
    <cfRule type="cellIs" dxfId="1218" priority="658" stopIfTrue="1" operator="equal">
      <formula>"Napkin Hs"</formula>
    </cfRule>
  </conditionalFormatting>
  <conditionalFormatting sqref="C16">
    <cfRule type="cellIs" dxfId="1217" priority="656" stopIfTrue="1" operator="equal">
      <formula>"Napkin Hs"</formula>
    </cfRule>
  </conditionalFormatting>
  <conditionalFormatting sqref="C16">
    <cfRule type="cellIs" dxfId="1216" priority="653" stopIfTrue="1" operator="equal">
      <formula>"Towel"</formula>
    </cfRule>
    <cfRule type="cellIs" dxfId="1215" priority="654" stopIfTrue="1" operator="equal">
      <formula>"Napkin Hs"</formula>
    </cfRule>
  </conditionalFormatting>
  <conditionalFormatting sqref="C16">
    <cfRule type="cellIs" dxfId="1214" priority="655" stopIfTrue="1" operator="equal">
      <formula>"Towel"</formula>
    </cfRule>
  </conditionalFormatting>
  <conditionalFormatting sqref="B22:C23">
    <cfRule type="cellIs" dxfId="1213" priority="651" stopIfTrue="1" operator="equal">
      <formula>"Towel"</formula>
    </cfRule>
    <cfRule type="cellIs" dxfId="1212" priority="652" stopIfTrue="1" operator="equal">
      <formula>"Napkin Hs"</formula>
    </cfRule>
  </conditionalFormatting>
  <conditionalFormatting sqref="C22:C23">
    <cfRule type="cellIs" dxfId="1211" priority="650" stopIfTrue="1" operator="equal">
      <formula>"Napkin Hs"</formula>
    </cfRule>
  </conditionalFormatting>
  <conditionalFormatting sqref="C22:C23">
    <cfRule type="cellIs" dxfId="1210" priority="647" stopIfTrue="1" operator="equal">
      <formula>"Towel"</formula>
    </cfRule>
    <cfRule type="cellIs" dxfId="1209" priority="648" stopIfTrue="1" operator="equal">
      <formula>"Napkin Hs"</formula>
    </cfRule>
  </conditionalFormatting>
  <conditionalFormatting sqref="C22:C23">
    <cfRule type="cellIs" dxfId="1208" priority="649" stopIfTrue="1" operator="equal">
      <formula>"Towel"</formula>
    </cfRule>
  </conditionalFormatting>
  <conditionalFormatting sqref="B24:C24">
    <cfRule type="cellIs" dxfId="1207" priority="645" stopIfTrue="1" operator="equal">
      <formula>"Towel"</formula>
    </cfRule>
    <cfRule type="cellIs" dxfId="1206" priority="646" stopIfTrue="1" operator="equal">
      <formula>"Napkin Hs"</formula>
    </cfRule>
  </conditionalFormatting>
  <conditionalFormatting sqref="C24">
    <cfRule type="cellIs" dxfId="1205" priority="641" stopIfTrue="1" operator="equal">
      <formula>"Towel"</formula>
    </cfRule>
    <cfRule type="cellIs" dxfId="1204" priority="642" stopIfTrue="1" operator="equal">
      <formula>"Napkin Hs"</formula>
    </cfRule>
  </conditionalFormatting>
  <conditionalFormatting sqref="C24">
    <cfRule type="cellIs" dxfId="1203" priority="644" stopIfTrue="1" operator="equal">
      <formula>"Napkin Hs"</formula>
    </cfRule>
  </conditionalFormatting>
  <conditionalFormatting sqref="C24">
    <cfRule type="cellIs" dxfId="1202" priority="643" stopIfTrue="1" operator="equal">
      <formula>"Towel"</formula>
    </cfRule>
  </conditionalFormatting>
  <conditionalFormatting sqref="B21:C21">
    <cfRule type="cellIs" dxfId="1201" priority="633" stopIfTrue="1" operator="equal">
      <formula>"Towel"</formula>
    </cfRule>
    <cfRule type="cellIs" dxfId="1200" priority="634" stopIfTrue="1" operator="equal">
      <formula>"Napkin Hs"</formula>
    </cfRule>
  </conditionalFormatting>
  <conditionalFormatting sqref="C21">
    <cfRule type="cellIs" dxfId="1199" priority="632" stopIfTrue="1" operator="equal">
      <formula>"Napkin Hs"</formula>
    </cfRule>
  </conditionalFormatting>
  <conditionalFormatting sqref="C21">
    <cfRule type="cellIs" dxfId="1198" priority="629" stopIfTrue="1" operator="equal">
      <formula>"Towel"</formula>
    </cfRule>
    <cfRule type="cellIs" dxfId="1197" priority="630" stopIfTrue="1" operator="equal">
      <formula>"Napkin Hs"</formula>
    </cfRule>
  </conditionalFormatting>
  <conditionalFormatting sqref="C21">
    <cfRule type="cellIs" dxfId="1196" priority="631" stopIfTrue="1" operator="equal">
      <formula>"Towel"</formula>
    </cfRule>
  </conditionalFormatting>
  <conditionalFormatting sqref="B29:C29">
    <cfRule type="cellIs" dxfId="1195" priority="621" stopIfTrue="1" operator="equal">
      <formula>"Towel"</formula>
    </cfRule>
    <cfRule type="cellIs" dxfId="1194" priority="622" stopIfTrue="1" operator="equal">
      <formula>"Napkin Hs"</formula>
    </cfRule>
  </conditionalFormatting>
  <conditionalFormatting sqref="C29">
    <cfRule type="cellIs" dxfId="1193" priority="617" stopIfTrue="1" operator="equal">
      <formula>"Towel"</formula>
    </cfRule>
    <cfRule type="cellIs" dxfId="1192" priority="618" stopIfTrue="1" operator="equal">
      <formula>"Napkin Hs"</formula>
    </cfRule>
  </conditionalFormatting>
  <conditionalFormatting sqref="C29">
    <cfRule type="cellIs" dxfId="1191" priority="620" stopIfTrue="1" operator="equal">
      <formula>"Napkin Hs"</formula>
    </cfRule>
  </conditionalFormatting>
  <conditionalFormatting sqref="C29">
    <cfRule type="cellIs" dxfId="1190" priority="619" stopIfTrue="1" operator="equal">
      <formula>"Towel"</formula>
    </cfRule>
  </conditionalFormatting>
  <conditionalFormatting sqref="B26:C28">
    <cfRule type="cellIs" dxfId="1189" priority="615" stopIfTrue="1" operator="equal">
      <formula>"Towel"</formula>
    </cfRule>
    <cfRule type="cellIs" dxfId="1188" priority="616" stopIfTrue="1" operator="equal">
      <formula>"Napkin Hs"</formula>
    </cfRule>
  </conditionalFormatting>
  <conditionalFormatting sqref="C26:C28">
    <cfRule type="cellIs" dxfId="1187" priority="614" stopIfTrue="1" operator="equal">
      <formula>"Napkin Hs"</formula>
    </cfRule>
  </conditionalFormatting>
  <conditionalFormatting sqref="C26:C28">
    <cfRule type="cellIs" dxfId="1186" priority="611" stopIfTrue="1" operator="equal">
      <formula>"Towel"</formula>
    </cfRule>
    <cfRule type="cellIs" dxfId="1185" priority="612" stopIfTrue="1" operator="equal">
      <formula>"Napkin Hs"</formula>
    </cfRule>
  </conditionalFormatting>
  <conditionalFormatting sqref="C26:C28">
    <cfRule type="cellIs" dxfId="1184" priority="613" stopIfTrue="1" operator="equal">
      <formula>"Towel"</formula>
    </cfRule>
  </conditionalFormatting>
  <conditionalFormatting sqref="B33:C33">
    <cfRule type="cellIs" dxfId="1183" priority="597" stopIfTrue="1" operator="equal">
      <formula>"Towel"</formula>
    </cfRule>
    <cfRule type="cellIs" dxfId="1182" priority="598" stopIfTrue="1" operator="equal">
      <formula>"Napkin Hs"</formula>
    </cfRule>
  </conditionalFormatting>
  <conditionalFormatting sqref="C33">
    <cfRule type="cellIs" dxfId="1181" priority="596" stopIfTrue="1" operator="equal">
      <formula>"Napkin Hs"</formula>
    </cfRule>
  </conditionalFormatting>
  <conditionalFormatting sqref="C33">
    <cfRule type="cellIs" dxfId="1180" priority="593" stopIfTrue="1" operator="equal">
      <formula>"Towel"</formula>
    </cfRule>
    <cfRule type="cellIs" dxfId="1179" priority="594" stopIfTrue="1" operator="equal">
      <formula>"Napkin Hs"</formula>
    </cfRule>
  </conditionalFormatting>
  <conditionalFormatting sqref="C33">
    <cfRule type="cellIs" dxfId="1178" priority="595" stopIfTrue="1" operator="equal">
      <formula>"Towel"</formula>
    </cfRule>
  </conditionalFormatting>
  <conditionalFormatting sqref="B34:C35">
    <cfRule type="cellIs" dxfId="1177" priority="591" stopIfTrue="1" operator="equal">
      <formula>"Towel"</formula>
    </cfRule>
    <cfRule type="cellIs" dxfId="1176" priority="592" stopIfTrue="1" operator="equal">
      <formula>"Napkin Hs"</formula>
    </cfRule>
  </conditionalFormatting>
  <conditionalFormatting sqref="C34:C35">
    <cfRule type="cellIs" dxfId="1175" priority="587" stopIfTrue="1" operator="equal">
      <formula>"Towel"</formula>
    </cfRule>
    <cfRule type="cellIs" dxfId="1174" priority="588" stopIfTrue="1" operator="equal">
      <formula>"Napkin Hs"</formula>
    </cfRule>
  </conditionalFormatting>
  <conditionalFormatting sqref="C34:C35">
    <cfRule type="cellIs" dxfId="1173" priority="590" stopIfTrue="1" operator="equal">
      <formula>"Napkin Hs"</formula>
    </cfRule>
  </conditionalFormatting>
  <conditionalFormatting sqref="C34:C35">
    <cfRule type="cellIs" dxfId="1172" priority="589" stopIfTrue="1" operator="equal">
      <formula>"Towel"</formula>
    </cfRule>
  </conditionalFormatting>
  <conditionalFormatting sqref="B31:C32">
    <cfRule type="cellIs" dxfId="1171" priority="573" stopIfTrue="1" operator="equal">
      <formula>"Towel"</formula>
    </cfRule>
    <cfRule type="cellIs" dxfId="1170" priority="574" stopIfTrue="1" operator="equal">
      <formula>"Napkin Hs"</formula>
    </cfRule>
  </conditionalFormatting>
  <conditionalFormatting sqref="C31:C32">
    <cfRule type="cellIs" dxfId="1169" priority="572" stopIfTrue="1" operator="equal">
      <formula>"Napkin Hs"</formula>
    </cfRule>
  </conditionalFormatting>
  <conditionalFormatting sqref="C31:C32">
    <cfRule type="cellIs" dxfId="1168" priority="569" stopIfTrue="1" operator="equal">
      <formula>"Towel"</formula>
    </cfRule>
    <cfRule type="cellIs" dxfId="1167" priority="570" stopIfTrue="1" operator="equal">
      <formula>"Napkin Hs"</formula>
    </cfRule>
  </conditionalFormatting>
  <conditionalFormatting sqref="C31:C32">
    <cfRule type="cellIs" dxfId="1166" priority="571" stopIfTrue="1" operator="equal">
      <formula>"Towel"</formula>
    </cfRule>
  </conditionalFormatting>
  <conditionalFormatting sqref="B39:C39">
    <cfRule type="cellIs" dxfId="1165" priority="567" stopIfTrue="1" operator="equal">
      <formula>"Towel"</formula>
    </cfRule>
    <cfRule type="cellIs" dxfId="1164" priority="568" stopIfTrue="1" operator="equal">
      <formula>"Napkin Hs"</formula>
    </cfRule>
  </conditionalFormatting>
  <conditionalFormatting sqref="C39">
    <cfRule type="cellIs" dxfId="1163" priority="566" stopIfTrue="1" operator="equal">
      <formula>"Napkin Hs"</formula>
    </cfRule>
  </conditionalFormatting>
  <conditionalFormatting sqref="C39">
    <cfRule type="cellIs" dxfId="1162" priority="563" stopIfTrue="1" operator="equal">
      <formula>"Towel"</formula>
    </cfRule>
    <cfRule type="cellIs" dxfId="1161" priority="564" stopIfTrue="1" operator="equal">
      <formula>"Napkin Hs"</formula>
    </cfRule>
  </conditionalFormatting>
  <conditionalFormatting sqref="C39">
    <cfRule type="cellIs" dxfId="1160" priority="565" stopIfTrue="1" operator="equal">
      <formula>"Towel"</formula>
    </cfRule>
  </conditionalFormatting>
  <conditionalFormatting sqref="B40:C43">
    <cfRule type="cellIs" dxfId="1159" priority="561" stopIfTrue="1" operator="equal">
      <formula>"Towel"</formula>
    </cfRule>
    <cfRule type="cellIs" dxfId="1158" priority="562" stopIfTrue="1" operator="equal">
      <formula>"Napkin Hs"</formula>
    </cfRule>
  </conditionalFormatting>
  <conditionalFormatting sqref="C40:C43">
    <cfRule type="cellIs" dxfId="1157" priority="557" stopIfTrue="1" operator="equal">
      <formula>"Towel"</formula>
    </cfRule>
    <cfRule type="cellIs" dxfId="1156" priority="558" stopIfTrue="1" operator="equal">
      <formula>"Napkin Hs"</formula>
    </cfRule>
  </conditionalFormatting>
  <conditionalFormatting sqref="C40:C43">
    <cfRule type="cellIs" dxfId="1155" priority="560" stopIfTrue="1" operator="equal">
      <formula>"Napkin Hs"</formula>
    </cfRule>
  </conditionalFormatting>
  <conditionalFormatting sqref="C40:C43">
    <cfRule type="cellIs" dxfId="1154" priority="559" stopIfTrue="1" operator="equal">
      <formula>"Towel"</formula>
    </cfRule>
  </conditionalFormatting>
  <conditionalFormatting sqref="B37:C38">
    <cfRule type="cellIs" dxfId="1153" priority="555" stopIfTrue="1" operator="equal">
      <formula>"Towel"</formula>
    </cfRule>
    <cfRule type="cellIs" dxfId="1152" priority="556" stopIfTrue="1" operator="equal">
      <formula>"Napkin Hs"</formula>
    </cfRule>
  </conditionalFormatting>
  <conditionalFormatting sqref="C37:C38">
    <cfRule type="cellIs" dxfId="1151" priority="554" stopIfTrue="1" operator="equal">
      <formula>"Napkin Hs"</formula>
    </cfRule>
  </conditionalFormatting>
  <conditionalFormatting sqref="C37:C38">
    <cfRule type="cellIs" dxfId="1150" priority="551" stopIfTrue="1" operator="equal">
      <formula>"Towel"</formula>
    </cfRule>
    <cfRule type="cellIs" dxfId="1149" priority="552" stopIfTrue="1" operator="equal">
      <formula>"Napkin Hs"</formula>
    </cfRule>
  </conditionalFormatting>
  <conditionalFormatting sqref="C37:C38">
    <cfRule type="cellIs" dxfId="1148" priority="553" stopIfTrue="1" operator="equal">
      <formula>"Towel"</formula>
    </cfRule>
  </conditionalFormatting>
  <conditionalFormatting sqref="B51:C51">
    <cfRule type="cellIs" dxfId="1147" priority="515" stopIfTrue="1" operator="equal">
      <formula>"Towel"</formula>
    </cfRule>
    <cfRule type="cellIs" dxfId="1146" priority="516" stopIfTrue="1" operator="equal">
      <formula>"Napkin Hs"</formula>
    </cfRule>
  </conditionalFormatting>
  <conditionalFormatting sqref="C51">
    <cfRule type="cellIs" dxfId="1145" priority="511" stopIfTrue="1" operator="equal">
      <formula>"Towel"</formula>
    </cfRule>
    <cfRule type="cellIs" dxfId="1144" priority="512" stopIfTrue="1" operator="equal">
      <formula>"Napkin Hs"</formula>
    </cfRule>
  </conditionalFormatting>
  <conditionalFormatting sqref="C51">
    <cfRule type="cellIs" dxfId="1143" priority="513" stopIfTrue="1" operator="equal">
      <formula>"Towel"</formula>
    </cfRule>
    <cfRule type="cellIs" dxfId="1142" priority="514" stopIfTrue="1" operator="equal">
      <formula>"Napkin Hs"</formula>
    </cfRule>
  </conditionalFormatting>
  <conditionalFormatting sqref="B47:C47">
    <cfRule type="cellIs" dxfId="1141" priority="497" stopIfTrue="1" operator="equal">
      <formula>"Towel"</formula>
    </cfRule>
    <cfRule type="cellIs" dxfId="1140" priority="498" stopIfTrue="1" operator="equal">
      <formula>"Napkin Hs"</formula>
    </cfRule>
  </conditionalFormatting>
  <conditionalFormatting sqref="C47">
    <cfRule type="cellIs" dxfId="1139" priority="496" stopIfTrue="1" operator="equal">
      <formula>"Napkin Hs"</formula>
    </cfRule>
  </conditionalFormatting>
  <conditionalFormatting sqref="C47">
    <cfRule type="cellIs" dxfId="1138" priority="493" stopIfTrue="1" operator="equal">
      <formula>"Towel"</formula>
    </cfRule>
    <cfRule type="cellIs" dxfId="1137" priority="494" stopIfTrue="1" operator="equal">
      <formula>"Napkin Hs"</formula>
    </cfRule>
  </conditionalFormatting>
  <conditionalFormatting sqref="C47">
    <cfRule type="cellIs" dxfId="1136" priority="495" stopIfTrue="1" operator="equal">
      <formula>"Towel"</formula>
    </cfRule>
  </conditionalFormatting>
  <conditionalFormatting sqref="B48:C49">
    <cfRule type="cellIs" dxfId="1135" priority="491" stopIfTrue="1" operator="equal">
      <formula>"Towel"</formula>
    </cfRule>
    <cfRule type="cellIs" dxfId="1134" priority="492" stopIfTrue="1" operator="equal">
      <formula>"Napkin Hs"</formula>
    </cfRule>
  </conditionalFormatting>
  <conditionalFormatting sqref="C48:C49">
    <cfRule type="cellIs" dxfId="1133" priority="487" stopIfTrue="1" operator="equal">
      <formula>"Towel"</formula>
    </cfRule>
    <cfRule type="cellIs" dxfId="1132" priority="488" stopIfTrue="1" operator="equal">
      <formula>"Napkin Hs"</formula>
    </cfRule>
  </conditionalFormatting>
  <conditionalFormatting sqref="C48:C49">
    <cfRule type="cellIs" dxfId="1131" priority="490" stopIfTrue="1" operator="equal">
      <formula>"Napkin Hs"</formula>
    </cfRule>
  </conditionalFormatting>
  <conditionalFormatting sqref="C48:C49">
    <cfRule type="cellIs" dxfId="1130" priority="489" stopIfTrue="1" operator="equal">
      <formula>"Towel"</formula>
    </cfRule>
  </conditionalFormatting>
  <conditionalFormatting sqref="B45:C46">
    <cfRule type="cellIs" dxfId="1129" priority="485" stopIfTrue="1" operator="equal">
      <formula>"Towel"</formula>
    </cfRule>
    <cfRule type="cellIs" dxfId="1128" priority="486" stopIfTrue="1" operator="equal">
      <formula>"Napkin Hs"</formula>
    </cfRule>
  </conditionalFormatting>
  <conditionalFormatting sqref="C45:C46">
    <cfRule type="cellIs" dxfId="1127" priority="484" stopIfTrue="1" operator="equal">
      <formula>"Napkin Hs"</formula>
    </cfRule>
  </conditionalFormatting>
  <conditionalFormatting sqref="C45:C46">
    <cfRule type="cellIs" dxfId="1126" priority="481" stopIfTrue="1" operator="equal">
      <formula>"Towel"</formula>
    </cfRule>
    <cfRule type="cellIs" dxfId="1125" priority="482" stopIfTrue="1" operator="equal">
      <formula>"Napkin Hs"</formula>
    </cfRule>
  </conditionalFormatting>
  <conditionalFormatting sqref="C45:C46">
    <cfRule type="cellIs" dxfId="1124" priority="483" stopIfTrue="1" operator="equal">
      <formula>"Towel"</formula>
    </cfRule>
  </conditionalFormatting>
  <conditionalFormatting sqref="B50:C50">
    <cfRule type="cellIs" dxfId="1123" priority="479" stopIfTrue="1" operator="equal">
      <formula>"Towel"</formula>
    </cfRule>
    <cfRule type="cellIs" dxfId="1122" priority="480" stopIfTrue="1" operator="equal">
      <formula>"Napkin Hs"</formula>
    </cfRule>
  </conditionalFormatting>
  <conditionalFormatting sqref="C50">
    <cfRule type="cellIs" dxfId="1121" priority="475" stopIfTrue="1" operator="equal">
      <formula>"Towel"</formula>
    </cfRule>
    <cfRule type="cellIs" dxfId="1120" priority="476" stopIfTrue="1" operator="equal">
      <formula>"Napkin Hs"</formula>
    </cfRule>
  </conditionalFormatting>
  <conditionalFormatting sqref="C50">
    <cfRule type="cellIs" dxfId="1119" priority="478" stopIfTrue="1" operator="equal">
      <formula>"Napkin Hs"</formula>
    </cfRule>
  </conditionalFormatting>
  <conditionalFormatting sqref="C50">
    <cfRule type="cellIs" dxfId="1118" priority="477" stopIfTrue="1" operator="equal">
      <formula>"Towel"</formula>
    </cfRule>
  </conditionalFormatting>
  <conditionalFormatting sqref="B54:C54">
    <cfRule type="cellIs" dxfId="1117" priority="473" stopIfTrue="1" operator="equal">
      <formula>"Towel"</formula>
    </cfRule>
    <cfRule type="cellIs" dxfId="1116" priority="474" stopIfTrue="1" operator="equal">
      <formula>"Napkin Hs"</formula>
    </cfRule>
  </conditionalFormatting>
  <conditionalFormatting sqref="C54">
    <cfRule type="cellIs" dxfId="1115" priority="472" stopIfTrue="1" operator="equal">
      <formula>"Napkin Hs"</formula>
    </cfRule>
  </conditionalFormatting>
  <conditionalFormatting sqref="C54">
    <cfRule type="cellIs" dxfId="1114" priority="469" stopIfTrue="1" operator="equal">
      <formula>"Towel"</formula>
    </cfRule>
    <cfRule type="cellIs" dxfId="1113" priority="470" stopIfTrue="1" operator="equal">
      <formula>"Napkin Hs"</formula>
    </cfRule>
  </conditionalFormatting>
  <conditionalFormatting sqref="C54">
    <cfRule type="cellIs" dxfId="1112" priority="471" stopIfTrue="1" operator="equal">
      <formula>"Towel"</formula>
    </cfRule>
  </conditionalFormatting>
  <conditionalFormatting sqref="B53:C53">
    <cfRule type="cellIs" dxfId="1111" priority="467" stopIfTrue="1" operator="equal">
      <formula>"Towel"</formula>
    </cfRule>
    <cfRule type="cellIs" dxfId="1110" priority="468" stopIfTrue="1" operator="equal">
      <formula>"Napkin Hs"</formula>
    </cfRule>
  </conditionalFormatting>
  <conditionalFormatting sqref="C53">
    <cfRule type="cellIs" dxfId="1109" priority="466" stopIfTrue="1" operator="equal">
      <formula>"Napkin Hs"</formula>
    </cfRule>
  </conditionalFormatting>
  <conditionalFormatting sqref="C53">
    <cfRule type="cellIs" dxfId="1108" priority="463" stopIfTrue="1" operator="equal">
      <formula>"Towel"</formula>
    </cfRule>
    <cfRule type="cellIs" dxfId="1107" priority="464" stopIfTrue="1" operator="equal">
      <formula>"Napkin Hs"</formula>
    </cfRule>
  </conditionalFormatting>
  <conditionalFormatting sqref="C53">
    <cfRule type="cellIs" dxfId="1106" priority="465" stopIfTrue="1" operator="equal">
      <formula>"Towel"</formula>
    </cfRule>
  </conditionalFormatting>
  <conditionalFormatting sqref="B52:C52">
    <cfRule type="cellIs" dxfId="1105" priority="461" stopIfTrue="1" operator="equal">
      <formula>"Towel"</formula>
    </cfRule>
    <cfRule type="cellIs" dxfId="1104" priority="462" stopIfTrue="1" operator="equal">
      <formula>"Napkin Hs"</formula>
    </cfRule>
  </conditionalFormatting>
  <conditionalFormatting sqref="C52">
    <cfRule type="cellIs" dxfId="1103" priority="460" stopIfTrue="1" operator="equal">
      <formula>"Napkin Hs"</formula>
    </cfRule>
  </conditionalFormatting>
  <conditionalFormatting sqref="C52">
    <cfRule type="cellIs" dxfId="1102" priority="457" stopIfTrue="1" operator="equal">
      <formula>"Towel"</formula>
    </cfRule>
    <cfRule type="cellIs" dxfId="1101" priority="458" stopIfTrue="1" operator="equal">
      <formula>"Napkin Hs"</formula>
    </cfRule>
  </conditionalFormatting>
  <conditionalFormatting sqref="C52">
    <cfRule type="cellIs" dxfId="1100" priority="459" stopIfTrue="1" operator="equal">
      <formula>"Towel"</formula>
    </cfRule>
  </conditionalFormatting>
  <conditionalFormatting sqref="B58:C58">
    <cfRule type="cellIs" dxfId="1099" priority="455" stopIfTrue="1" operator="equal">
      <formula>"Towel"</formula>
    </cfRule>
    <cfRule type="cellIs" dxfId="1098" priority="456" stopIfTrue="1" operator="equal">
      <formula>"Napkin Hs"</formula>
    </cfRule>
  </conditionalFormatting>
  <conditionalFormatting sqref="C58">
    <cfRule type="cellIs" dxfId="1097" priority="454" stopIfTrue="1" operator="equal">
      <formula>"Napkin Hs"</formula>
    </cfRule>
  </conditionalFormatting>
  <conditionalFormatting sqref="C58">
    <cfRule type="cellIs" dxfId="1096" priority="451" stopIfTrue="1" operator="equal">
      <formula>"Towel"</formula>
    </cfRule>
    <cfRule type="cellIs" dxfId="1095" priority="452" stopIfTrue="1" operator="equal">
      <formula>"Napkin Hs"</formula>
    </cfRule>
  </conditionalFormatting>
  <conditionalFormatting sqref="C58">
    <cfRule type="cellIs" dxfId="1094" priority="453" stopIfTrue="1" operator="equal">
      <formula>"Towel"</formula>
    </cfRule>
  </conditionalFormatting>
  <conditionalFormatting sqref="B57:C57">
    <cfRule type="cellIs" dxfId="1093" priority="437" stopIfTrue="1" operator="equal">
      <formula>"Towel"</formula>
    </cfRule>
    <cfRule type="cellIs" dxfId="1092" priority="438" stopIfTrue="1" operator="equal">
      <formula>"Napkin Hs"</formula>
    </cfRule>
  </conditionalFormatting>
  <conditionalFormatting sqref="C57">
    <cfRule type="cellIs" dxfId="1091" priority="436" stopIfTrue="1" operator="equal">
      <formula>"Napkin Hs"</formula>
    </cfRule>
  </conditionalFormatting>
  <conditionalFormatting sqref="C57">
    <cfRule type="cellIs" dxfId="1090" priority="433" stopIfTrue="1" operator="equal">
      <formula>"Towel"</formula>
    </cfRule>
    <cfRule type="cellIs" dxfId="1089" priority="434" stopIfTrue="1" operator="equal">
      <formula>"Napkin Hs"</formula>
    </cfRule>
  </conditionalFormatting>
  <conditionalFormatting sqref="C57">
    <cfRule type="cellIs" dxfId="1088" priority="435" stopIfTrue="1" operator="equal">
      <formula>"Towel"</formula>
    </cfRule>
  </conditionalFormatting>
  <conditionalFormatting sqref="B56:C56">
    <cfRule type="cellIs" dxfId="1087" priority="431" stopIfTrue="1" operator="equal">
      <formula>"Towel"</formula>
    </cfRule>
    <cfRule type="cellIs" dxfId="1086" priority="432" stopIfTrue="1" operator="equal">
      <formula>"Napkin Hs"</formula>
    </cfRule>
  </conditionalFormatting>
  <conditionalFormatting sqref="C56">
    <cfRule type="cellIs" dxfId="1085" priority="430" stopIfTrue="1" operator="equal">
      <formula>"Napkin Hs"</formula>
    </cfRule>
  </conditionalFormatting>
  <conditionalFormatting sqref="C56">
    <cfRule type="cellIs" dxfId="1084" priority="427" stopIfTrue="1" operator="equal">
      <formula>"Towel"</formula>
    </cfRule>
    <cfRule type="cellIs" dxfId="1083" priority="428" stopIfTrue="1" operator="equal">
      <formula>"Napkin Hs"</formula>
    </cfRule>
  </conditionalFormatting>
  <conditionalFormatting sqref="C56">
    <cfRule type="cellIs" dxfId="1082" priority="429" stopIfTrue="1" operator="equal">
      <formula>"Towel"</formula>
    </cfRule>
  </conditionalFormatting>
  <conditionalFormatting sqref="B62:C62">
    <cfRule type="cellIs" dxfId="1081" priority="425" stopIfTrue="1" operator="equal">
      <formula>"Towel"</formula>
    </cfRule>
    <cfRule type="cellIs" dxfId="1080" priority="426" stopIfTrue="1" operator="equal">
      <formula>"Napkin Hs"</formula>
    </cfRule>
  </conditionalFormatting>
  <conditionalFormatting sqref="C62">
    <cfRule type="cellIs" dxfId="1079" priority="424" stopIfTrue="1" operator="equal">
      <formula>"Napkin Hs"</formula>
    </cfRule>
  </conditionalFormatting>
  <conditionalFormatting sqref="C62">
    <cfRule type="cellIs" dxfId="1078" priority="421" stopIfTrue="1" operator="equal">
      <formula>"Towel"</formula>
    </cfRule>
    <cfRule type="cellIs" dxfId="1077" priority="422" stopIfTrue="1" operator="equal">
      <formula>"Napkin Hs"</formula>
    </cfRule>
  </conditionalFormatting>
  <conditionalFormatting sqref="C62">
    <cfRule type="cellIs" dxfId="1076" priority="423" stopIfTrue="1" operator="equal">
      <formula>"Towel"</formula>
    </cfRule>
  </conditionalFormatting>
  <conditionalFormatting sqref="B60:C61">
    <cfRule type="cellIs" dxfId="1075" priority="413" stopIfTrue="1" operator="equal">
      <formula>"Towel"</formula>
    </cfRule>
    <cfRule type="cellIs" dxfId="1074" priority="414" stopIfTrue="1" operator="equal">
      <formula>"Napkin Hs"</formula>
    </cfRule>
  </conditionalFormatting>
  <conditionalFormatting sqref="C60:C61">
    <cfRule type="cellIs" dxfId="1073" priority="412" stopIfTrue="1" operator="equal">
      <formula>"Napkin Hs"</formula>
    </cfRule>
  </conditionalFormatting>
  <conditionalFormatting sqref="C60:C61">
    <cfRule type="cellIs" dxfId="1072" priority="409" stopIfTrue="1" operator="equal">
      <formula>"Towel"</formula>
    </cfRule>
    <cfRule type="cellIs" dxfId="1071" priority="410" stopIfTrue="1" operator="equal">
      <formula>"Napkin Hs"</formula>
    </cfRule>
  </conditionalFormatting>
  <conditionalFormatting sqref="C60:C61">
    <cfRule type="cellIs" dxfId="1070" priority="411" stopIfTrue="1" operator="equal">
      <formula>"Towel"</formula>
    </cfRule>
  </conditionalFormatting>
  <conditionalFormatting sqref="B67:C67">
    <cfRule type="cellIs" dxfId="1069" priority="407" stopIfTrue="1" operator="equal">
      <formula>"Towel"</formula>
    </cfRule>
    <cfRule type="cellIs" dxfId="1068" priority="408" stopIfTrue="1" operator="equal">
      <formula>"Napkin Hs"</formula>
    </cfRule>
  </conditionalFormatting>
  <conditionalFormatting sqref="C67">
    <cfRule type="cellIs" dxfId="1067" priority="406" stopIfTrue="1" operator="equal">
      <formula>"Napkin Hs"</formula>
    </cfRule>
  </conditionalFormatting>
  <conditionalFormatting sqref="C67">
    <cfRule type="cellIs" dxfId="1066" priority="403" stopIfTrue="1" operator="equal">
      <formula>"Towel"</formula>
    </cfRule>
    <cfRule type="cellIs" dxfId="1065" priority="404" stopIfTrue="1" operator="equal">
      <formula>"Napkin Hs"</formula>
    </cfRule>
  </conditionalFormatting>
  <conditionalFormatting sqref="C67">
    <cfRule type="cellIs" dxfId="1064" priority="405" stopIfTrue="1" operator="equal">
      <formula>"Towel"</formula>
    </cfRule>
  </conditionalFormatting>
  <conditionalFormatting sqref="B64:C66">
    <cfRule type="cellIs" dxfId="1063" priority="389" stopIfTrue="1" operator="equal">
      <formula>"Towel"</formula>
    </cfRule>
    <cfRule type="cellIs" dxfId="1062" priority="390" stopIfTrue="1" operator="equal">
      <formula>"Napkin Hs"</formula>
    </cfRule>
  </conditionalFormatting>
  <conditionalFormatting sqref="C64:C66">
    <cfRule type="cellIs" dxfId="1061" priority="388" stopIfTrue="1" operator="equal">
      <formula>"Napkin Hs"</formula>
    </cfRule>
  </conditionalFormatting>
  <conditionalFormatting sqref="C64:C66">
    <cfRule type="cellIs" dxfId="1060" priority="385" stopIfTrue="1" operator="equal">
      <formula>"Towel"</formula>
    </cfRule>
    <cfRule type="cellIs" dxfId="1059" priority="386" stopIfTrue="1" operator="equal">
      <formula>"Napkin Hs"</formula>
    </cfRule>
  </conditionalFormatting>
  <conditionalFormatting sqref="C64:C66">
    <cfRule type="cellIs" dxfId="1058" priority="387" stopIfTrue="1" operator="equal">
      <formula>"Towel"</formula>
    </cfRule>
  </conditionalFormatting>
  <conditionalFormatting sqref="B70:C70">
    <cfRule type="cellIs" dxfId="1057" priority="383" stopIfTrue="1" operator="equal">
      <formula>"Towel"</formula>
    </cfRule>
    <cfRule type="cellIs" dxfId="1056" priority="384" stopIfTrue="1" operator="equal">
      <formula>"Napkin Hs"</formula>
    </cfRule>
  </conditionalFormatting>
  <conditionalFormatting sqref="C70">
    <cfRule type="cellIs" dxfId="1055" priority="382" stopIfTrue="1" operator="equal">
      <formula>"Napkin Hs"</formula>
    </cfRule>
  </conditionalFormatting>
  <conditionalFormatting sqref="C70">
    <cfRule type="cellIs" dxfId="1054" priority="379" stopIfTrue="1" operator="equal">
      <formula>"Towel"</formula>
    </cfRule>
    <cfRule type="cellIs" dxfId="1053" priority="380" stopIfTrue="1" operator="equal">
      <formula>"Napkin Hs"</formula>
    </cfRule>
  </conditionalFormatting>
  <conditionalFormatting sqref="C70">
    <cfRule type="cellIs" dxfId="1052" priority="381" stopIfTrue="1" operator="equal">
      <formula>"Towel"</formula>
    </cfRule>
  </conditionalFormatting>
  <conditionalFormatting sqref="B68:C69">
    <cfRule type="cellIs" dxfId="1051" priority="371" stopIfTrue="1" operator="equal">
      <formula>"Towel"</formula>
    </cfRule>
    <cfRule type="cellIs" dxfId="1050" priority="372" stopIfTrue="1" operator="equal">
      <formula>"Napkin Hs"</formula>
    </cfRule>
  </conditionalFormatting>
  <conditionalFormatting sqref="C68:C69">
    <cfRule type="cellIs" dxfId="1049" priority="370" stopIfTrue="1" operator="equal">
      <formula>"Napkin Hs"</formula>
    </cfRule>
  </conditionalFormatting>
  <conditionalFormatting sqref="C68:C69">
    <cfRule type="cellIs" dxfId="1048" priority="367" stopIfTrue="1" operator="equal">
      <formula>"Towel"</formula>
    </cfRule>
    <cfRule type="cellIs" dxfId="1047" priority="368" stopIfTrue="1" operator="equal">
      <formula>"Napkin Hs"</formula>
    </cfRule>
  </conditionalFormatting>
  <conditionalFormatting sqref="C68:C69">
    <cfRule type="cellIs" dxfId="1046" priority="369" stopIfTrue="1" operator="equal">
      <formula>"Towel"</formula>
    </cfRule>
  </conditionalFormatting>
  <conditionalFormatting sqref="B74:C75">
    <cfRule type="cellIs" dxfId="1045" priority="365" stopIfTrue="1" operator="equal">
      <formula>"Towel"</formula>
    </cfRule>
    <cfRule type="cellIs" dxfId="1044" priority="366" stopIfTrue="1" operator="equal">
      <formula>"Napkin Hs"</formula>
    </cfRule>
  </conditionalFormatting>
  <conditionalFormatting sqref="C74:C75">
    <cfRule type="cellIs" dxfId="1043" priority="364" stopIfTrue="1" operator="equal">
      <formula>"Napkin Hs"</formula>
    </cfRule>
  </conditionalFormatting>
  <conditionalFormatting sqref="C74:C75">
    <cfRule type="cellIs" dxfId="1042" priority="361" stopIfTrue="1" operator="equal">
      <formula>"Towel"</formula>
    </cfRule>
    <cfRule type="cellIs" dxfId="1041" priority="362" stopIfTrue="1" operator="equal">
      <formula>"Napkin Hs"</formula>
    </cfRule>
  </conditionalFormatting>
  <conditionalFormatting sqref="C74:C75">
    <cfRule type="cellIs" dxfId="1040" priority="363" stopIfTrue="1" operator="equal">
      <formula>"Towel"</formula>
    </cfRule>
  </conditionalFormatting>
  <conditionalFormatting sqref="B72:C72">
    <cfRule type="cellIs" dxfId="1039" priority="347" stopIfTrue="1" operator="equal">
      <formula>"Towel"</formula>
    </cfRule>
    <cfRule type="cellIs" dxfId="1038" priority="348" stopIfTrue="1" operator="equal">
      <formula>"Napkin Hs"</formula>
    </cfRule>
  </conditionalFormatting>
  <conditionalFormatting sqref="C72">
    <cfRule type="cellIs" dxfId="1037" priority="346" stopIfTrue="1" operator="equal">
      <formula>"Napkin Hs"</formula>
    </cfRule>
  </conditionalFormatting>
  <conditionalFormatting sqref="C72">
    <cfRule type="cellIs" dxfId="1036" priority="343" stopIfTrue="1" operator="equal">
      <formula>"Towel"</formula>
    </cfRule>
    <cfRule type="cellIs" dxfId="1035" priority="344" stopIfTrue="1" operator="equal">
      <formula>"Napkin Hs"</formula>
    </cfRule>
  </conditionalFormatting>
  <conditionalFormatting sqref="C72">
    <cfRule type="cellIs" dxfId="1034" priority="345" stopIfTrue="1" operator="equal">
      <formula>"Towel"</formula>
    </cfRule>
  </conditionalFormatting>
  <conditionalFormatting sqref="B73:C73">
    <cfRule type="cellIs" dxfId="1033" priority="341" stopIfTrue="1" operator="equal">
      <formula>"Towel"</formula>
    </cfRule>
    <cfRule type="cellIs" dxfId="1032" priority="342" stopIfTrue="1" operator="equal">
      <formula>"Napkin Hs"</formula>
    </cfRule>
  </conditionalFormatting>
  <conditionalFormatting sqref="C73">
    <cfRule type="cellIs" dxfId="1031" priority="340" stopIfTrue="1" operator="equal">
      <formula>"Napkin Hs"</formula>
    </cfRule>
  </conditionalFormatting>
  <conditionalFormatting sqref="C73">
    <cfRule type="cellIs" dxfId="1030" priority="337" stopIfTrue="1" operator="equal">
      <formula>"Towel"</formula>
    </cfRule>
    <cfRule type="cellIs" dxfId="1029" priority="338" stopIfTrue="1" operator="equal">
      <formula>"Napkin Hs"</formula>
    </cfRule>
  </conditionalFormatting>
  <conditionalFormatting sqref="C73">
    <cfRule type="cellIs" dxfId="1028" priority="339" stopIfTrue="1" operator="equal">
      <formula>"Towel"</formula>
    </cfRule>
  </conditionalFormatting>
  <conditionalFormatting sqref="B79:C80">
    <cfRule type="cellIs" dxfId="1027" priority="335" stopIfTrue="1" operator="equal">
      <formula>"Towel"</formula>
    </cfRule>
    <cfRule type="cellIs" dxfId="1026" priority="336" stopIfTrue="1" operator="equal">
      <formula>"Napkin Hs"</formula>
    </cfRule>
  </conditionalFormatting>
  <conditionalFormatting sqref="C79:C80">
    <cfRule type="cellIs" dxfId="1025" priority="334" stopIfTrue="1" operator="equal">
      <formula>"Napkin Hs"</formula>
    </cfRule>
  </conditionalFormatting>
  <conditionalFormatting sqref="C79:C80">
    <cfRule type="cellIs" dxfId="1024" priority="331" stopIfTrue="1" operator="equal">
      <formula>"Towel"</formula>
    </cfRule>
    <cfRule type="cellIs" dxfId="1023" priority="332" stopIfTrue="1" operator="equal">
      <formula>"Napkin Hs"</formula>
    </cfRule>
  </conditionalFormatting>
  <conditionalFormatting sqref="C79:C80">
    <cfRule type="cellIs" dxfId="1022" priority="333" stopIfTrue="1" operator="equal">
      <formula>"Towel"</formula>
    </cfRule>
  </conditionalFormatting>
  <conditionalFormatting sqref="B78:C78">
    <cfRule type="cellIs" dxfId="1021" priority="323" stopIfTrue="1" operator="equal">
      <formula>"Towel"</formula>
    </cfRule>
    <cfRule type="cellIs" dxfId="1020" priority="324" stopIfTrue="1" operator="equal">
      <formula>"Napkin Hs"</formula>
    </cfRule>
  </conditionalFormatting>
  <conditionalFormatting sqref="C78">
    <cfRule type="cellIs" dxfId="1019" priority="322" stopIfTrue="1" operator="equal">
      <formula>"Napkin Hs"</formula>
    </cfRule>
  </conditionalFormatting>
  <conditionalFormatting sqref="C78">
    <cfRule type="cellIs" dxfId="1018" priority="319" stopIfTrue="1" operator="equal">
      <formula>"Towel"</formula>
    </cfRule>
    <cfRule type="cellIs" dxfId="1017" priority="320" stopIfTrue="1" operator="equal">
      <formula>"Napkin Hs"</formula>
    </cfRule>
  </conditionalFormatting>
  <conditionalFormatting sqref="C78">
    <cfRule type="cellIs" dxfId="1016" priority="321" stopIfTrue="1" operator="equal">
      <formula>"Towel"</formula>
    </cfRule>
  </conditionalFormatting>
  <conditionalFormatting sqref="B77:C77">
    <cfRule type="cellIs" dxfId="1015" priority="317" stopIfTrue="1" operator="equal">
      <formula>"Towel"</formula>
    </cfRule>
    <cfRule type="cellIs" dxfId="1014" priority="318" stopIfTrue="1" operator="equal">
      <formula>"Napkin Hs"</formula>
    </cfRule>
  </conditionalFormatting>
  <conditionalFormatting sqref="C77">
    <cfRule type="cellIs" dxfId="1013" priority="316" stopIfTrue="1" operator="equal">
      <formula>"Napkin Hs"</formula>
    </cfRule>
  </conditionalFormatting>
  <conditionalFormatting sqref="C77">
    <cfRule type="cellIs" dxfId="1012" priority="313" stopIfTrue="1" operator="equal">
      <formula>"Towel"</formula>
    </cfRule>
    <cfRule type="cellIs" dxfId="1011" priority="314" stopIfTrue="1" operator="equal">
      <formula>"Napkin Hs"</formula>
    </cfRule>
  </conditionalFormatting>
  <conditionalFormatting sqref="C77">
    <cfRule type="cellIs" dxfId="1010" priority="315" stopIfTrue="1" operator="equal">
      <formula>"Towel"</formula>
    </cfRule>
  </conditionalFormatting>
  <conditionalFormatting sqref="B84:C85">
    <cfRule type="cellIs" dxfId="1009" priority="311" stopIfTrue="1" operator="equal">
      <formula>"Towel"</formula>
    </cfRule>
    <cfRule type="cellIs" dxfId="1008" priority="312" stopIfTrue="1" operator="equal">
      <formula>"Napkin Hs"</formula>
    </cfRule>
  </conditionalFormatting>
  <conditionalFormatting sqref="C84:C85">
    <cfRule type="cellIs" dxfId="1007" priority="310" stopIfTrue="1" operator="equal">
      <formula>"Napkin Hs"</formula>
    </cfRule>
  </conditionalFormatting>
  <conditionalFormatting sqref="C84:C85">
    <cfRule type="cellIs" dxfId="1006" priority="307" stopIfTrue="1" operator="equal">
      <formula>"Towel"</formula>
    </cfRule>
    <cfRule type="cellIs" dxfId="1005" priority="308" stopIfTrue="1" operator="equal">
      <formula>"Napkin Hs"</formula>
    </cfRule>
  </conditionalFormatting>
  <conditionalFormatting sqref="C84:C85">
    <cfRule type="cellIs" dxfId="1004" priority="309" stopIfTrue="1" operator="equal">
      <formula>"Towel"</formula>
    </cfRule>
  </conditionalFormatting>
  <conditionalFormatting sqref="B82:C83">
    <cfRule type="cellIs" dxfId="1003" priority="299" stopIfTrue="1" operator="equal">
      <formula>"Towel"</formula>
    </cfRule>
    <cfRule type="cellIs" dxfId="1002" priority="300" stopIfTrue="1" operator="equal">
      <formula>"Napkin Hs"</formula>
    </cfRule>
  </conditionalFormatting>
  <conditionalFormatting sqref="C82:C83">
    <cfRule type="cellIs" dxfId="1001" priority="298" stopIfTrue="1" operator="equal">
      <formula>"Napkin Hs"</formula>
    </cfRule>
  </conditionalFormatting>
  <conditionalFormatting sqref="C82:C83">
    <cfRule type="cellIs" dxfId="1000" priority="295" stopIfTrue="1" operator="equal">
      <formula>"Towel"</formula>
    </cfRule>
    <cfRule type="cellIs" dxfId="999" priority="296" stopIfTrue="1" operator="equal">
      <formula>"Napkin Hs"</formula>
    </cfRule>
  </conditionalFormatting>
  <conditionalFormatting sqref="C82:C83">
    <cfRule type="cellIs" dxfId="998" priority="297" stopIfTrue="1" operator="equal">
      <formula>"Towel"</formula>
    </cfRule>
  </conditionalFormatting>
  <conditionalFormatting sqref="B89:C90">
    <cfRule type="cellIs" dxfId="997" priority="293" stopIfTrue="1" operator="equal">
      <formula>"Towel"</formula>
    </cfRule>
    <cfRule type="cellIs" dxfId="996" priority="294" stopIfTrue="1" operator="equal">
      <formula>"Napkin Hs"</formula>
    </cfRule>
  </conditionalFormatting>
  <conditionalFormatting sqref="C89:C90">
    <cfRule type="cellIs" dxfId="995" priority="292" stopIfTrue="1" operator="equal">
      <formula>"Napkin Hs"</formula>
    </cfRule>
  </conditionalFormatting>
  <conditionalFormatting sqref="C89:C90">
    <cfRule type="cellIs" dxfId="994" priority="289" stopIfTrue="1" operator="equal">
      <formula>"Towel"</formula>
    </cfRule>
    <cfRule type="cellIs" dxfId="993" priority="290" stopIfTrue="1" operator="equal">
      <formula>"Napkin Hs"</formula>
    </cfRule>
  </conditionalFormatting>
  <conditionalFormatting sqref="C89:C90">
    <cfRule type="cellIs" dxfId="992" priority="291" stopIfTrue="1" operator="equal">
      <formula>"Towel"</formula>
    </cfRule>
  </conditionalFormatting>
  <conditionalFormatting sqref="B88:C88">
    <cfRule type="cellIs" dxfId="991" priority="287" stopIfTrue="1" operator="equal">
      <formula>"Towel"</formula>
    </cfRule>
    <cfRule type="cellIs" dxfId="990" priority="288" stopIfTrue="1" operator="equal">
      <formula>"Napkin Hs"</formula>
    </cfRule>
  </conditionalFormatting>
  <conditionalFormatting sqref="C88">
    <cfRule type="cellIs" dxfId="989" priority="286" stopIfTrue="1" operator="equal">
      <formula>"Napkin Hs"</formula>
    </cfRule>
  </conditionalFormatting>
  <conditionalFormatting sqref="C88">
    <cfRule type="cellIs" dxfId="988" priority="283" stopIfTrue="1" operator="equal">
      <formula>"Towel"</formula>
    </cfRule>
    <cfRule type="cellIs" dxfId="987" priority="284" stopIfTrue="1" operator="equal">
      <formula>"Napkin Hs"</formula>
    </cfRule>
  </conditionalFormatting>
  <conditionalFormatting sqref="C88">
    <cfRule type="cellIs" dxfId="986" priority="285" stopIfTrue="1" operator="equal">
      <formula>"Towel"</formula>
    </cfRule>
  </conditionalFormatting>
  <conditionalFormatting sqref="B87:C87">
    <cfRule type="cellIs" dxfId="985" priority="275" stopIfTrue="1" operator="equal">
      <formula>"Towel"</formula>
    </cfRule>
    <cfRule type="cellIs" dxfId="984" priority="276" stopIfTrue="1" operator="equal">
      <formula>"Napkin Hs"</formula>
    </cfRule>
  </conditionalFormatting>
  <conditionalFormatting sqref="C87">
    <cfRule type="cellIs" dxfId="983" priority="274" stopIfTrue="1" operator="equal">
      <formula>"Napkin Hs"</formula>
    </cfRule>
  </conditionalFormatting>
  <conditionalFormatting sqref="C87">
    <cfRule type="cellIs" dxfId="982" priority="271" stopIfTrue="1" operator="equal">
      <formula>"Towel"</formula>
    </cfRule>
    <cfRule type="cellIs" dxfId="981" priority="272" stopIfTrue="1" operator="equal">
      <formula>"Napkin Hs"</formula>
    </cfRule>
  </conditionalFormatting>
  <conditionalFormatting sqref="C87">
    <cfRule type="cellIs" dxfId="980" priority="273" stopIfTrue="1" operator="equal">
      <formula>"Towel"</formula>
    </cfRule>
  </conditionalFormatting>
  <conditionalFormatting sqref="B94:C95">
    <cfRule type="cellIs" dxfId="979" priority="269" stopIfTrue="1" operator="equal">
      <formula>"Towel"</formula>
    </cfRule>
    <cfRule type="cellIs" dxfId="978" priority="270" stopIfTrue="1" operator="equal">
      <formula>"Napkin Hs"</formula>
    </cfRule>
  </conditionalFormatting>
  <conditionalFormatting sqref="C94:C95">
    <cfRule type="cellIs" dxfId="977" priority="268" stopIfTrue="1" operator="equal">
      <formula>"Napkin Hs"</formula>
    </cfRule>
  </conditionalFormatting>
  <conditionalFormatting sqref="C94:C95">
    <cfRule type="cellIs" dxfId="976" priority="265" stopIfTrue="1" operator="equal">
      <formula>"Towel"</formula>
    </cfRule>
    <cfRule type="cellIs" dxfId="975" priority="266" stopIfTrue="1" operator="equal">
      <formula>"Napkin Hs"</formula>
    </cfRule>
  </conditionalFormatting>
  <conditionalFormatting sqref="C94:C95">
    <cfRule type="cellIs" dxfId="974" priority="267" stopIfTrue="1" operator="equal">
      <formula>"Towel"</formula>
    </cfRule>
  </conditionalFormatting>
  <conditionalFormatting sqref="B93:C93">
    <cfRule type="cellIs" dxfId="973" priority="263" stopIfTrue="1" operator="equal">
      <formula>"Towel"</formula>
    </cfRule>
    <cfRule type="cellIs" dxfId="972" priority="264" stopIfTrue="1" operator="equal">
      <formula>"Napkin Hs"</formula>
    </cfRule>
  </conditionalFormatting>
  <conditionalFormatting sqref="C93">
    <cfRule type="cellIs" dxfId="971" priority="262" stopIfTrue="1" operator="equal">
      <formula>"Napkin Hs"</formula>
    </cfRule>
  </conditionalFormatting>
  <conditionalFormatting sqref="C93">
    <cfRule type="cellIs" dxfId="970" priority="259" stopIfTrue="1" operator="equal">
      <formula>"Towel"</formula>
    </cfRule>
    <cfRule type="cellIs" dxfId="969" priority="260" stopIfTrue="1" operator="equal">
      <formula>"Napkin Hs"</formula>
    </cfRule>
  </conditionalFormatting>
  <conditionalFormatting sqref="C93">
    <cfRule type="cellIs" dxfId="968" priority="261" stopIfTrue="1" operator="equal">
      <formula>"Towel"</formula>
    </cfRule>
  </conditionalFormatting>
  <conditionalFormatting sqref="B92:C92">
    <cfRule type="cellIs" dxfId="967" priority="257" stopIfTrue="1" operator="equal">
      <formula>"Towel"</formula>
    </cfRule>
    <cfRule type="cellIs" dxfId="966" priority="258" stopIfTrue="1" operator="equal">
      <formula>"Napkin Hs"</formula>
    </cfRule>
  </conditionalFormatting>
  <conditionalFormatting sqref="C92">
    <cfRule type="cellIs" dxfId="965" priority="256" stopIfTrue="1" operator="equal">
      <formula>"Napkin Hs"</formula>
    </cfRule>
  </conditionalFormatting>
  <conditionalFormatting sqref="C92">
    <cfRule type="cellIs" dxfId="964" priority="253" stopIfTrue="1" operator="equal">
      <formula>"Towel"</formula>
    </cfRule>
    <cfRule type="cellIs" dxfId="963" priority="254" stopIfTrue="1" operator="equal">
      <formula>"Napkin Hs"</formula>
    </cfRule>
  </conditionalFormatting>
  <conditionalFormatting sqref="C92">
    <cfRule type="cellIs" dxfId="962" priority="255" stopIfTrue="1" operator="equal">
      <formula>"Towel"</formula>
    </cfRule>
  </conditionalFormatting>
  <conditionalFormatting sqref="B101:C101">
    <cfRule type="cellIs" dxfId="961" priority="251" stopIfTrue="1" operator="equal">
      <formula>"Towel"</formula>
    </cfRule>
    <cfRule type="cellIs" dxfId="960" priority="252" stopIfTrue="1" operator="equal">
      <formula>"Napkin Hs"</formula>
    </cfRule>
  </conditionalFormatting>
  <conditionalFormatting sqref="C101">
    <cfRule type="cellIs" dxfId="959" priority="250" stopIfTrue="1" operator="equal">
      <formula>"Napkin Hs"</formula>
    </cfRule>
  </conditionalFormatting>
  <conditionalFormatting sqref="C101">
    <cfRule type="cellIs" dxfId="958" priority="247" stopIfTrue="1" operator="equal">
      <formula>"Towel"</formula>
    </cfRule>
    <cfRule type="cellIs" dxfId="957" priority="248" stopIfTrue="1" operator="equal">
      <formula>"Napkin Hs"</formula>
    </cfRule>
  </conditionalFormatting>
  <conditionalFormatting sqref="C101">
    <cfRule type="cellIs" dxfId="956" priority="249" stopIfTrue="1" operator="equal">
      <formula>"Towel"</formula>
    </cfRule>
  </conditionalFormatting>
  <conditionalFormatting sqref="B99:C100">
    <cfRule type="cellIs" dxfId="955" priority="245" stopIfTrue="1" operator="equal">
      <formula>"Towel"</formula>
    </cfRule>
    <cfRule type="cellIs" dxfId="954" priority="246" stopIfTrue="1" operator="equal">
      <formula>"Napkin Hs"</formula>
    </cfRule>
  </conditionalFormatting>
  <conditionalFormatting sqref="C99:C100">
    <cfRule type="cellIs" dxfId="953" priority="244" stopIfTrue="1" operator="equal">
      <formula>"Napkin Hs"</formula>
    </cfRule>
  </conditionalFormatting>
  <conditionalFormatting sqref="C99:C100">
    <cfRule type="cellIs" dxfId="952" priority="241" stopIfTrue="1" operator="equal">
      <formula>"Towel"</formula>
    </cfRule>
    <cfRule type="cellIs" dxfId="951" priority="242" stopIfTrue="1" operator="equal">
      <formula>"Napkin Hs"</formula>
    </cfRule>
  </conditionalFormatting>
  <conditionalFormatting sqref="C99:C100">
    <cfRule type="cellIs" dxfId="950" priority="243" stopIfTrue="1" operator="equal">
      <formula>"Towel"</formula>
    </cfRule>
  </conditionalFormatting>
  <conditionalFormatting sqref="B98:C98">
    <cfRule type="cellIs" dxfId="949" priority="239" stopIfTrue="1" operator="equal">
      <formula>"Towel"</formula>
    </cfRule>
    <cfRule type="cellIs" dxfId="948" priority="240" stopIfTrue="1" operator="equal">
      <formula>"Napkin Hs"</formula>
    </cfRule>
  </conditionalFormatting>
  <conditionalFormatting sqref="C98">
    <cfRule type="cellIs" dxfId="947" priority="238" stopIfTrue="1" operator="equal">
      <formula>"Napkin Hs"</formula>
    </cfRule>
  </conditionalFormatting>
  <conditionalFormatting sqref="C98">
    <cfRule type="cellIs" dxfId="946" priority="235" stopIfTrue="1" operator="equal">
      <formula>"Towel"</formula>
    </cfRule>
    <cfRule type="cellIs" dxfId="945" priority="236" stopIfTrue="1" operator="equal">
      <formula>"Napkin Hs"</formula>
    </cfRule>
  </conditionalFormatting>
  <conditionalFormatting sqref="C98">
    <cfRule type="cellIs" dxfId="944" priority="237" stopIfTrue="1" operator="equal">
      <formula>"Towel"</formula>
    </cfRule>
  </conditionalFormatting>
  <conditionalFormatting sqref="B97:C97">
    <cfRule type="cellIs" dxfId="943" priority="233" stopIfTrue="1" operator="equal">
      <formula>"Towel"</formula>
    </cfRule>
    <cfRule type="cellIs" dxfId="942" priority="234" stopIfTrue="1" operator="equal">
      <formula>"Napkin Hs"</formula>
    </cfRule>
  </conditionalFormatting>
  <conditionalFormatting sqref="C97">
    <cfRule type="cellIs" dxfId="941" priority="232" stopIfTrue="1" operator="equal">
      <formula>"Napkin Hs"</formula>
    </cfRule>
  </conditionalFormatting>
  <conditionalFormatting sqref="C97">
    <cfRule type="cellIs" dxfId="940" priority="229" stopIfTrue="1" operator="equal">
      <formula>"Towel"</formula>
    </cfRule>
    <cfRule type="cellIs" dxfId="939" priority="230" stopIfTrue="1" operator="equal">
      <formula>"Napkin Hs"</formula>
    </cfRule>
  </conditionalFormatting>
  <conditionalFormatting sqref="C97">
    <cfRule type="cellIs" dxfId="938" priority="231" stopIfTrue="1" operator="equal">
      <formula>"Towel"</formula>
    </cfRule>
  </conditionalFormatting>
  <conditionalFormatting sqref="B104:C105">
    <cfRule type="cellIs" dxfId="937" priority="227" stopIfTrue="1" operator="equal">
      <formula>"Towel"</formula>
    </cfRule>
    <cfRule type="cellIs" dxfId="936" priority="228" stopIfTrue="1" operator="equal">
      <formula>"Napkin Hs"</formula>
    </cfRule>
  </conditionalFormatting>
  <conditionalFormatting sqref="C104:C105">
    <cfRule type="cellIs" dxfId="935" priority="226" stopIfTrue="1" operator="equal">
      <formula>"Napkin Hs"</formula>
    </cfRule>
  </conditionalFormatting>
  <conditionalFormatting sqref="C104:C105">
    <cfRule type="cellIs" dxfId="934" priority="223" stopIfTrue="1" operator="equal">
      <formula>"Towel"</formula>
    </cfRule>
    <cfRule type="cellIs" dxfId="933" priority="224" stopIfTrue="1" operator="equal">
      <formula>"Napkin Hs"</formula>
    </cfRule>
  </conditionalFormatting>
  <conditionalFormatting sqref="C104:C105">
    <cfRule type="cellIs" dxfId="932" priority="225" stopIfTrue="1" operator="equal">
      <formula>"Towel"</formula>
    </cfRule>
  </conditionalFormatting>
  <conditionalFormatting sqref="B103:C103">
    <cfRule type="cellIs" dxfId="931" priority="221" stopIfTrue="1" operator="equal">
      <formula>"Towel"</formula>
    </cfRule>
    <cfRule type="cellIs" dxfId="930" priority="222" stopIfTrue="1" operator="equal">
      <formula>"Napkin Hs"</formula>
    </cfRule>
  </conditionalFormatting>
  <conditionalFormatting sqref="C103">
    <cfRule type="cellIs" dxfId="929" priority="220" stopIfTrue="1" operator="equal">
      <formula>"Napkin Hs"</formula>
    </cfRule>
  </conditionalFormatting>
  <conditionalFormatting sqref="C103">
    <cfRule type="cellIs" dxfId="928" priority="217" stopIfTrue="1" operator="equal">
      <formula>"Towel"</formula>
    </cfRule>
    <cfRule type="cellIs" dxfId="927" priority="218" stopIfTrue="1" operator="equal">
      <formula>"Napkin Hs"</formula>
    </cfRule>
  </conditionalFormatting>
  <conditionalFormatting sqref="C103">
    <cfRule type="cellIs" dxfId="926" priority="219" stopIfTrue="1" operator="equal">
      <formula>"Towel"</formula>
    </cfRule>
  </conditionalFormatting>
  <conditionalFormatting sqref="B102:C102">
    <cfRule type="cellIs" dxfId="925" priority="215" stopIfTrue="1" operator="equal">
      <formula>"Towel"</formula>
    </cfRule>
    <cfRule type="cellIs" dxfId="924" priority="216" stopIfTrue="1" operator="equal">
      <formula>"Napkin Hs"</formula>
    </cfRule>
  </conditionalFormatting>
  <conditionalFormatting sqref="C102">
    <cfRule type="cellIs" dxfId="923" priority="214" stopIfTrue="1" operator="equal">
      <formula>"Napkin Hs"</formula>
    </cfRule>
  </conditionalFormatting>
  <conditionalFormatting sqref="C102">
    <cfRule type="cellIs" dxfId="922" priority="211" stopIfTrue="1" operator="equal">
      <formula>"Towel"</formula>
    </cfRule>
    <cfRule type="cellIs" dxfId="921" priority="212" stopIfTrue="1" operator="equal">
      <formula>"Napkin Hs"</formula>
    </cfRule>
  </conditionalFormatting>
  <conditionalFormatting sqref="C102">
    <cfRule type="cellIs" dxfId="920" priority="213" stopIfTrue="1" operator="equal">
      <formula>"Towel"</formula>
    </cfRule>
  </conditionalFormatting>
  <conditionalFormatting sqref="B109:C110">
    <cfRule type="cellIs" dxfId="919" priority="209" stopIfTrue="1" operator="equal">
      <formula>"Towel"</formula>
    </cfRule>
    <cfRule type="cellIs" dxfId="918" priority="210" stopIfTrue="1" operator="equal">
      <formula>"Napkin Hs"</formula>
    </cfRule>
  </conditionalFormatting>
  <conditionalFormatting sqref="C109:C110">
    <cfRule type="cellIs" dxfId="917" priority="208" stopIfTrue="1" operator="equal">
      <formula>"Napkin Hs"</formula>
    </cfRule>
  </conditionalFormatting>
  <conditionalFormatting sqref="C109:C110">
    <cfRule type="cellIs" dxfId="916" priority="205" stopIfTrue="1" operator="equal">
      <formula>"Towel"</formula>
    </cfRule>
    <cfRule type="cellIs" dxfId="915" priority="206" stopIfTrue="1" operator="equal">
      <formula>"Napkin Hs"</formula>
    </cfRule>
  </conditionalFormatting>
  <conditionalFormatting sqref="C109:C110">
    <cfRule type="cellIs" dxfId="914" priority="207" stopIfTrue="1" operator="equal">
      <formula>"Towel"</formula>
    </cfRule>
  </conditionalFormatting>
  <conditionalFormatting sqref="B108:C108">
    <cfRule type="cellIs" dxfId="913" priority="203" stopIfTrue="1" operator="equal">
      <formula>"Towel"</formula>
    </cfRule>
    <cfRule type="cellIs" dxfId="912" priority="204" stopIfTrue="1" operator="equal">
      <formula>"Napkin Hs"</formula>
    </cfRule>
  </conditionalFormatting>
  <conditionalFormatting sqref="C108">
    <cfRule type="cellIs" dxfId="911" priority="202" stopIfTrue="1" operator="equal">
      <formula>"Napkin Hs"</formula>
    </cfRule>
  </conditionalFormatting>
  <conditionalFormatting sqref="C108">
    <cfRule type="cellIs" dxfId="910" priority="199" stopIfTrue="1" operator="equal">
      <formula>"Towel"</formula>
    </cfRule>
    <cfRule type="cellIs" dxfId="909" priority="200" stopIfTrue="1" operator="equal">
      <formula>"Napkin Hs"</formula>
    </cfRule>
  </conditionalFormatting>
  <conditionalFormatting sqref="C108">
    <cfRule type="cellIs" dxfId="908" priority="201" stopIfTrue="1" operator="equal">
      <formula>"Towel"</formula>
    </cfRule>
  </conditionalFormatting>
  <conditionalFormatting sqref="B107:C107">
    <cfRule type="cellIs" dxfId="907" priority="197" stopIfTrue="1" operator="equal">
      <formula>"Towel"</formula>
    </cfRule>
    <cfRule type="cellIs" dxfId="906" priority="198" stopIfTrue="1" operator="equal">
      <formula>"Napkin Hs"</formula>
    </cfRule>
  </conditionalFormatting>
  <conditionalFormatting sqref="C107">
    <cfRule type="cellIs" dxfId="905" priority="196" stopIfTrue="1" operator="equal">
      <formula>"Napkin Hs"</formula>
    </cfRule>
  </conditionalFormatting>
  <conditionalFormatting sqref="C107">
    <cfRule type="cellIs" dxfId="904" priority="193" stopIfTrue="1" operator="equal">
      <formula>"Towel"</formula>
    </cfRule>
    <cfRule type="cellIs" dxfId="903" priority="194" stopIfTrue="1" operator="equal">
      <formula>"Napkin Hs"</formula>
    </cfRule>
  </conditionalFormatting>
  <conditionalFormatting sqref="C107">
    <cfRule type="cellIs" dxfId="902" priority="195" stopIfTrue="1" operator="equal">
      <formula>"Towel"</formula>
    </cfRule>
  </conditionalFormatting>
  <conditionalFormatting sqref="B114:C115">
    <cfRule type="cellIs" dxfId="901" priority="191" stopIfTrue="1" operator="equal">
      <formula>"Towel"</formula>
    </cfRule>
    <cfRule type="cellIs" dxfId="900" priority="192" stopIfTrue="1" operator="equal">
      <formula>"Napkin Hs"</formula>
    </cfRule>
  </conditionalFormatting>
  <conditionalFormatting sqref="C114:C115">
    <cfRule type="cellIs" dxfId="899" priority="190" stopIfTrue="1" operator="equal">
      <formula>"Napkin Hs"</formula>
    </cfRule>
  </conditionalFormatting>
  <conditionalFormatting sqref="C114:C115">
    <cfRule type="cellIs" dxfId="898" priority="187" stopIfTrue="1" operator="equal">
      <formula>"Towel"</formula>
    </cfRule>
    <cfRule type="cellIs" dxfId="897" priority="188" stopIfTrue="1" operator="equal">
      <formula>"Napkin Hs"</formula>
    </cfRule>
  </conditionalFormatting>
  <conditionalFormatting sqref="C114:C115">
    <cfRule type="cellIs" dxfId="896" priority="189" stopIfTrue="1" operator="equal">
      <formula>"Towel"</formula>
    </cfRule>
  </conditionalFormatting>
  <conditionalFormatting sqref="B113:C113">
    <cfRule type="cellIs" dxfId="895" priority="185" stopIfTrue="1" operator="equal">
      <formula>"Towel"</formula>
    </cfRule>
    <cfRule type="cellIs" dxfId="894" priority="186" stopIfTrue="1" operator="equal">
      <formula>"Napkin Hs"</formula>
    </cfRule>
  </conditionalFormatting>
  <conditionalFormatting sqref="C113">
    <cfRule type="cellIs" dxfId="893" priority="184" stopIfTrue="1" operator="equal">
      <formula>"Napkin Hs"</formula>
    </cfRule>
  </conditionalFormatting>
  <conditionalFormatting sqref="C113">
    <cfRule type="cellIs" dxfId="892" priority="181" stopIfTrue="1" operator="equal">
      <formula>"Towel"</formula>
    </cfRule>
    <cfRule type="cellIs" dxfId="891" priority="182" stopIfTrue="1" operator="equal">
      <formula>"Napkin Hs"</formula>
    </cfRule>
  </conditionalFormatting>
  <conditionalFormatting sqref="C113">
    <cfRule type="cellIs" dxfId="890" priority="183" stopIfTrue="1" operator="equal">
      <formula>"Towel"</formula>
    </cfRule>
  </conditionalFormatting>
  <conditionalFormatting sqref="B112:C112">
    <cfRule type="cellIs" dxfId="889" priority="179" stopIfTrue="1" operator="equal">
      <formula>"Towel"</formula>
    </cfRule>
    <cfRule type="cellIs" dxfId="888" priority="180" stopIfTrue="1" operator="equal">
      <formula>"Napkin Hs"</formula>
    </cfRule>
  </conditionalFormatting>
  <conditionalFormatting sqref="C112">
    <cfRule type="cellIs" dxfId="887" priority="178" stopIfTrue="1" operator="equal">
      <formula>"Napkin Hs"</formula>
    </cfRule>
  </conditionalFormatting>
  <conditionalFormatting sqref="C112">
    <cfRule type="cellIs" dxfId="886" priority="175" stopIfTrue="1" operator="equal">
      <formula>"Towel"</formula>
    </cfRule>
    <cfRule type="cellIs" dxfId="885" priority="176" stopIfTrue="1" operator="equal">
      <formula>"Napkin Hs"</formula>
    </cfRule>
  </conditionalFormatting>
  <conditionalFormatting sqref="C112">
    <cfRule type="cellIs" dxfId="884" priority="177" stopIfTrue="1" operator="equal">
      <formula>"Towel"</formula>
    </cfRule>
  </conditionalFormatting>
  <conditionalFormatting sqref="B119:C120">
    <cfRule type="cellIs" dxfId="883" priority="173" stopIfTrue="1" operator="equal">
      <formula>"Towel"</formula>
    </cfRule>
    <cfRule type="cellIs" dxfId="882" priority="174" stopIfTrue="1" operator="equal">
      <formula>"Napkin Hs"</formula>
    </cfRule>
  </conditionalFormatting>
  <conditionalFormatting sqref="C119:C120">
    <cfRule type="cellIs" dxfId="881" priority="172" stopIfTrue="1" operator="equal">
      <formula>"Napkin Hs"</formula>
    </cfRule>
  </conditionalFormatting>
  <conditionalFormatting sqref="C119:C120">
    <cfRule type="cellIs" dxfId="880" priority="169" stopIfTrue="1" operator="equal">
      <formula>"Towel"</formula>
    </cfRule>
    <cfRule type="cellIs" dxfId="879" priority="170" stopIfTrue="1" operator="equal">
      <formula>"Napkin Hs"</formula>
    </cfRule>
  </conditionalFormatting>
  <conditionalFormatting sqref="C119:C120">
    <cfRule type="cellIs" dxfId="878" priority="171" stopIfTrue="1" operator="equal">
      <formula>"Towel"</formula>
    </cfRule>
  </conditionalFormatting>
  <conditionalFormatting sqref="B118:C118">
    <cfRule type="cellIs" dxfId="877" priority="167" stopIfTrue="1" operator="equal">
      <formula>"Towel"</formula>
    </cfRule>
    <cfRule type="cellIs" dxfId="876" priority="168" stopIfTrue="1" operator="equal">
      <formula>"Napkin Hs"</formula>
    </cfRule>
  </conditionalFormatting>
  <conditionalFormatting sqref="C118">
    <cfRule type="cellIs" dxfId="875" priority="166" stopIfTrue="1" operator="equal">
      <formula>"Napkin Hs"</formula>
    </cfRule>
  </conditionalFormatting>
  <conditionalFormatting sqref="C118">
    <cfRule type="cellIs" dxfId="874" priority="163" stopIfTrue="1" operator="equal">
      <formula>"Towel"</formula>
    </cfRule>
    <cfRule type="cellIs" dxfId="873" priority="164" stopIfTrue="1" operator="equal">
      <formula>"Napkin Hs"</formula>
    </cfRule>
  </conditionalFormatting>
  <conditionalFormatting sqref="C118">
    <cfRule type="cellIs" dxfId="872" priority="165" stopIfTrue="1" operator="equal">
      <formula>"Towel"</formula>
    </cfRule>
  </conditionalFormatting>
  <conditionalFormatting sqref="B117:C117">
    <cfRule type="cellIs" dxfId="871" priority="161" stopIfTrue="1" operator="equal">
      <formula>"Towel"</formula>
    </cfRule>
    <cfRule type="cellIs" dxfId="870" priority="162" stopIfTrue="1" operator="equal">
      <formula>"Napkin Hs"</formula>
    </cfRule>
  </conditionalFormatting>
  <conditionalFormatting sqref="C117">
    <cfRule type="cellIs" dxfId="869" priority="160" stopIfTrue="1" operator="equal">
      <formula>"Napkin Hs"</formula>
    </cfRule>
  </conditionalFormatting>
  <conditionalFormatting sqref="C117">
    <cfRule type="cellIs" dxfId="868" priority="157" stopIfTrue="1" operator="equal">
      <formula>"Towel"</formula>
    </cfRule>
    <cfRule type="cellIs" dxfId="867" priority="158" stopIfTrue="1" operator="equal">
      <formula>"Napkin Hs"</formula>
    </cfRule>
  </conditionalFormatting>
  <conditionalFormatting sqref="C117">
    <cfRule type="cellIs" dxfId="866" priority="159" stopIfTrue="1" operator="equal">
      <formula>"Towel"</formula>
    </cfRule>
  </conditionalFormatting>
  <conditionalFormatting sqref="B124:C128">
    <cfRule type="cellIs" dxfId="865" priority="155" stopIfTrue="1" operator="equal">
      <formula>"Towel"</formula>
    </cfRule>
    <cfRule type="cellIs" dxfId="864" priority="156" stopIfTrue="1" operator="equal">
      <formula>"Napkin Hs"</formula>
    </cfRule>
  </conditionalFormatting>
  <conditionalFormatting sqref="C124:C128">
    <cfRule type="cellIs" dxfId="863" priority="154" stopIfTrue="1" operator="equal">
      <formula>"Napkin Hs"</formula>
    </cfRule>
  </conditionalFormatting>
  <conditionalFormatting sqref="C124:C128">
    <cfRule type="cellIs" dxfId="862" priority="151" stopIfTrue="1" operator="equal">
      <formula>"Towel"</formula>
    </cfRule>
    <cfRule type="cellIs" dxfId="861" priority="152" stopIfTrue="1" operator="equal">
      <formula>"Napkin Hs"</formula>
    </cfRule>
  </conditionalFormatting>
  <conditionalFormatting sqref="C124:C128">
    <cfRule type="cellIs" dxfId="860" priority="153" stopIfTrue="1" operator="equal">
      <formula>"Towel"</formula>
    </cfRule>
  </conditionalFormatting>
  <conditionalFormatting sqref="B122:C123">
    <cfRule type="cellIs" dxfId="859" priority="143" stopIfTrue="1" operator="equal">
      <formula>"Towel"</formula>
    </cfRule>
    <cfRule type="cellIs" dxfId="858" priority="144" stopIfTrue="1" operator="equal">
      <formula>"Napkin Hs"</formula>
    </cfRule>
  </conditionalFormatting>
  <conditionalFormatting sqref="C122:C123">
    <cfRule type="cellIs" dxfId="857" priority="142" stopIfTrue="1" operator="equal">
      <formula>"Napkin Hs"</formula>
    </cfRule>
  </conditionalFormatting>
  <conditionalFormatting sqref="C122:C123">
    <cfRule type="cellIs" dxfId="856" priority="139" stopIfTrue="1" operator="equal">
      <formula>"Towel"</formula>
    </cfRule>
    <cfRule type="cellIs" dxfId="855" priority="140" stopIfTrue="1" operator="equal">
      <formula>"Napkin Hs"</formula>
    </cfRule>
  </conditionalFormatting>
  <conditionalFormatting sqref="C122:C123">
    <cfRule type="cellIs" dxfId="854" priority="141" stopIfTrue="1" operator="equal">
      <formula>"Towel"</formula>
    </cfRule>
  </conditionalFormatting>
  <conditionalFormatting sqref="B132:C132">
    <cfRule type="cellIs" dxfId="853" priority="137" stopIfTrue="1" operator="equal">
      <formula>"Towel"</formula>
    </cfRule>
    <cfRule type="cellIs" dxfId="852" priority="138" stopIfTrue="1" operator="equal">
      <formula>"Napkin Hs"</formula>
    </cfRule>
  </conditionalFormatting>
  <conditionalFormatting sqref="C132">
    <cfRule type="cellIs" dxfId="851" priority="136" stopIfTrue="1" operator="equal">
      <formula>"Napkin Hs"</formula>
    </cfRule>
  </conditionalFormatting>
  <conditionalFormatting sqref="C132">
    <cfRule type="cellIs" dxfId="850" priority="133" stopIfTrue="1" operator="equal">
      <formula>"Towel"</formula>
    </cfRule>
    <cfRule type="cellIs" dxfId="849" priority="134" stopIfTrue="1" operator="equal">
      <formula>"Napkin Hs"</formula>
    </cfRule>
  </conditionalFormatting>
  <conditionalFormatting sqref="C132">
    <cfRule type="cellIs" dxfId="848" priority="135" stopIfTrue="1" operator="equal">
      <formula>"Towel"</formula>
    </cfRule>
  </conditionalFormatting>
  <conditionalFormatting sqref="B131:C131">
    <cfRule type="cellIs" dxfId="847" priority="131" stopIfTrue="1" operator="equal">
      <formula>"Towel"</formula>
    </cfRule>
    <cfRule type="cellIs" dxfId="846" priority="132" stopIfTrue="1" operator="equal">
      <formula>"Napkin Hs"</formula>
    </cfRule>
  </conditionalFormatting>
  <conditionalFormatting sqref="C131">
    <cfRule type="cellIs" dxfId="845" priority="130" stopIfTrue="1" operator="equal">
      <formula>"Napkin Hs"</formula>
    </cfRule>
  </conditionalFormatting>
  <conditionalFormatting sqref="C131">
    <cfRule type="cellIs" dxfId="844" priority="127" stopIfTrue="1" operator="equal">
      <formula>"Towel"</formula>
    </cfRule>
    <cfRule type="cellIs" dxfId="843" priority="128" stopIfTrue="1" operator="equal">
      <formula>"Napkin Hs"</formula>
    </cfRule>
  </conditionalFormatting>
  <conditionalFormatting sqref="C131">
    <cfRule type="cellIs" dxfId="842" priority="129" stopIfTrue="1" operator="equal">
      <formula>"Towel"</formula>
    </cfRule>
  </conditionalFormatting>
  <conditionalFormatting sqref="B130:C130">
    <cfRule type="cellIs" dxfId="841" priority="125" stopIfTrue="1" operator="equal">
      <formula>"Towel"</formula>
    </cfRule>
    <cfRule type="cellIs" dxfId="840" priority="126" stopIfTrue="1" operator="equal">
      <formula>"Napkin Hs"</formula>
    </cfRule>
  </conditionalFormatting>
  <conditionalFormatting sqref="C130">
    <cfRule type="cellIs" dxfId="839" priority="124" stopIfTrue="1" operator="equal">
      <formula>"Napkin Hs"</formula>
    </cfRule>
  </conditionalFormatting>
  <conditionalFormatting sqref="C130">
    <cfRule type="cellIs" dxfId="838" priority="121" stopIfTrue="1" operator="equal">
      <formula>"Towel"</formula>
    </cfRule>
    <cfRule type="cellIs" dxfId="837" priority="122" stopIfTrue="1" operator="equal">
      <formula>"Napkin Hs"</formula>
    </cfRule>
  </conditionalFormatting>
  <conditionalFormatting sqref="C130">
    <cfRule type="cellIs" dxfId="836" priority="123" stopIfTrue="1" operator="equal">
      <formula>"Towel"</formula>
    </cfRule>
  </conditionalFormatting>
  <conditionalFormatting sqref="B133:C133">
    <cfRule type="cellIs" dxfId="835" priority="119" stopIfTrue="1" operator="equal">
      <formula>"Towel"</formula>
    </cfRule>
    <cfRule type="cellIs" dxfId="834" priority="120" stopIfTrue="1" operator="equal">
      <formula>"Napkin Hs"</formula>
    </cfRule>
  </conditionalFormatting>
  <conditionalFormatting sqref="C133">
    <cfRule type="cellIs" dxfId="833" priority="118" stopIfTrue="1" operator="equal">
      <formula>"Napkin Hs"</formula>
    </cfRule>
  </conditionalFormatting>
  <conditionalFormatting sqref="C133">
    <cfRule type="cellIs" dxfId="832" priority="115" stopIfTrue="1" operator="equal">
      <formula>"Towel"</formula>
    </cfRule>
    <cfRule type="cellIs" dxfId="831" priority="116" stopIfTrue="1" operator="equal">
      <formula>"Napkin Hs"</formula>
    </cfRule>
  </conditionalFormatting>
  <conditionalFormatting sqref="C133">
    <cfRule type="cellIs" dxfId="830" priority="117" stopIfTrue="1" operator="equal">
      <formula>"Towel"</formula>
    </cfRule>
  </conditionalFormatting>
  <conditionalFormatting sqref="B137:C137">
    <cfRule type="cellIs" dxfId="829" priority="113" stopIfTrue="1" operator="equal">
      <formula>"Towel"</formula>
    </cfRule>
    <cfRule type="cellIs" dxfId="828" priority="114" stopIfTrue="1" operator="equal">
      <formula>"Napkin Hs"</formula>
    </cfRule>
  </conditionalFormatting>
  <conditionalFormatting sqref="C137">
    <cfRule type="cellIs" dxfId="827" priority="112" stopIfTrue="1" operator="equal">
      <formula>"Napkin Hs"</formula>
    </cfRule>
  </conditionalFormatting>
  <conditionalFormatting sqref="C137">
    <cfRule type="cellIs" dxfId="826" priority="109" stopIfTrue="1" operator="equal">
      <formula>"Towel"</formula>
    </cfRule>
    <cfRule type="cellIs" dxfId="825" priority="110" stopIfTrue="1" operator="equal">
      <formula>"Napkin Hs"</formula>
    </cfRule>
  </conditionalFormatting>
  <conditionalFormatting sqref="C137">
    <cfRule type="cellIs" dxfId="824" priority="111" stopIfTrue="1" operator="equal">
      <formula>"Towel"</formula>
    </cfRule>
  </conditionalFormatting>
  <conditionalFormatting sqref="B135:C136">
    <cfRule type="cellIs" dxfId="823" priority="101" stopIfTrue="1" operator="equal">
      <formula>"Towel"</formula>
    </cfRule>
    <cfRule type="cellIs" dxfId="822" priority="102" stopIfTrue="1" operator="equal">
      <formula>"Napkin Hs"</formula>
    </cfRule>
  </conditionalFormatting>
  <conditionalFormatting sqref="C135:C136">
    <cfRule type="cellIs" dxfId="821" priority="100" stopIfTrue="1" operator="equal">
      <formula>"Napkin Hs"</formula>
    </cfRule>
  </conditionalFormatting>
  <conditionalFormatting sqref="C135:C136">
    <cfRule type="cellIs" dxfId="820" priority="97" stopIfTrue="1" operator="equal">
      <formula>"Towel"</formula>
    </cfRule>
    <cfRule type="cellIs" dxfId="819" priority="98" stopIfTrue="1" operator="equal">
      <formula>"Napkin Hs"</formula>
    </cfRule>
  </conditionalFormatting>
  <conditionalFormatting sqref="C135:C136">
    <cfRule type="cellIs" dxfId="818" priority="99" stopIfTrue="1" operator="equal">
      <formula>"Towel"</formula>
    </cfRule>
  </conditionalFormatting>
  <conditionalFormatting sqref="B138:C138">
    <cfRule type="cellIs" dxfId="817" priority="95" stopIfTrue="1" operator="equal">
      <formula>"Towel"</formula>
    </cfRule>
    <cfRule type="cellIs" dxfId="816" priority="96" stopIfTrue="1" operator="equal">
      <formula>"Napkin Hs"</formula>
    </cfRule>
  </conditionalFormatting>
  <conditionalFormatting sqref="C138">
    <cfRule type="cellIs" dxfId="815" priority="94" stopIfTrue="1" operator="equal">
      <formula>"Napkin Hs"</formula>
    </cfRule>
  </conditionalFormatting>
  <conditionalFormatting sqref="C138">
    <cfRule type="cellIs" dxfId="814" priority="91" stopIfTrue="1" operator="equal">
      <formula>"Towel"</formula>
    </cfRule>
    <cfRule type="cellIs" dxfId="813" priority="92" stopIfTrue="1" operator="equal">
      <formula>"Napkin Hs"</formula>
    </cfRule>
  </conditionalFormatting>
  <conditionalFormatting sqref="C138">
    <cfRule type="cellIs" dxfId="812" priority="93" stopIfTrue="1" operator="equal">
      <formula>"Towel"</formula>
    </cfRule>
  </conditionalFormatting>
  <conditionalFormatting sqref="B141:C141">
    <cfRule type="cellIs" dxfId="811" priority="89" stopIfTrue="1" operator="equal">
      <formula>"Towel"</formula>
    </cfRule>
    <cfRule type="cellIs" dxfId="810" priority="90" stopIfTrue="1" operator="equal">
      <formula>"Napkin Hs"</formula>
    </cfRule>
  </conditionalFormatting>
  <conditionalFormatting sqref="C141">
    <cfRule type="cellIs" dxfId="809" priority="88" stopIfTrue="1" operator="equal">
      <formula>"Napkin Hs"</formula>
    </cfRule>
  </conditionalFormatting>
  <conditionalFormatting sqref="C141">
    <cfRule type="cellIs" dxfId="808" priority="85" stopIfTrue="1" operator="equal">
      <formula>"Towel"</formula>
    </cfRule>
    <cfRule type="cellIs" dxfId="807" priority="86" stopIfTrue="1" operator="equal">
      <formula>"Napkin Hs"</formula>
    </cfRule>
  </conditionalFormatting>
  <conditionalFormatting sqref="C141">
    <cfRule type="cellIs" dxfId="806" priority="87" stopIfTrue="1" operator="equal">
      <formula>"Towel"</formula>
    </cfRule>
  </conditionalFormatting>
  <conditionalFormatting sqref="B140:C140">
    <cfRule type="cellIs" dxfId="805" priority="83" stopIfTrue="1" operator="equal">
      <formula>"Towel"</formula>
    </cfRule>
    <cfRule type="cellIs" dxfId="804" priority="84" stopIfTrue="1" operator="equal">
      <formula>"Napkin Hs"</formula>
    </cfRule>
  </conditionalFormatting>
  <conditionalFormatting sqref="C140">
    <cfRule type="cellIs" dxfId="803" priority="82" stopIfTrue="1" operator="equal">
      <formula>"Napkin Hs"</formula>
    </cfRule>
  </conditionalFormatting>
  <conditionalFormatting sqref="C140">
    <cfRule type="cellIs" dxfId="802" priority="79" stopIfTrue="1" operator="equal">
      <formula>"Towel"</formula>
    </cfRule>
    <cfRule type="cellIs" dxfId="801" priority="80" stopIfTrue="1" operator="equal">
      <formula>"Napkin Hs"</formula>
    </cfRule>
  </conditionalFormatting>
  <conditionalFormatting sqref="C140">
    <cfRule type="cellIs" dxfId="800" priority="81" stopIfTrue="1" operator="equal">
      <formula>"Towel"</formula>
    </cfRule>
  </conditionalFormatting>
  <conditionalFormatting sqref="B139:C139">
    <cfRule type="cellIs" dxfId="799" priority="77" stopIfTrue="1" operator="equal">
      <formula>"Towel"</formula>
    </cfRule>
    <cfRule type="cellIs" dxfId="798" priority="78" stopIfTrue="1" operator="equal">
      <formula>"Napkin Hs"</formula>
    </cfRule>
  </conditionalFormatting>
  <conditionalFormatting sqref="C139">
    <cfRule type="cellIs" dxfId="797" priority="76" stopIfTrue="1" operator="equal">
      <formula>"Napkin Hs"</formula>
    </cfRule>
  </conditionalFormatting>
  <conditionalFormatting sqref="C139">
    <cfRule type="cellIs" dxfId="796" priority="73" stopIfTrue="1" operator="equal">
      <formula>"Towel"</formula>
    </cfRule>
    <cfRule type="cellIs" dxfId="795" priority="74" stopIfTrue="1" operator="equal">
      <formula>"Napkin Hs"</formula>
    </cfRule>
  </conditionalFormatting>
  <conditionalFormatting sqref="C139">
    <cfRule type="cellIs" dxfId="794" priority="75" stopIfTrue="1" operator="equal">
      <formula>"Towel"</formula>
    </cfRule>
  </conditionalFormatting>
  <conditionalFormatting sqref="B145:C145">
    <cfRule type="cellIs" dxfId="793" priority="71" stopIfTrue="1" operator="equal">
      <formula>"Towel"</formula>
    </cfRule>
    <cfRule type="cellIs" dxfId="792" priority="72" stopIfTrue="1" operator="equal">
      <formula>"Napkin Hs"</formula>
    </cfRule>
  </conditionalFormatting>
  <conditionalFormatting sqref="C145">
    <cfRule type="cellIs" dxfId="791" priority="70" stopIfTrue="1" operator="equal">
      <formula>"Napkin Hs"</formula>
    </cfRule>
  </conditionalFormatting>
  <conditionalFormatting sqref="C145">
    <cfRule type="cellIs" dxfId="790" priority="67" stopIfTrue="1" operator="equal">
      <formula>"Towel"</formula>
    </cfRule>
    <cfRule type="cellIs" dxfId="789" priority="68" stopIfTrue="1" operator="equal">
      <formula>"Napkin Hs"</formula>
    </cfRule>
  </conditionalFormatting>
  <conditionalFormatting sqref="C145">
    <cfRule type="cellIs" dxfId="788" priority="69" stopIfTrue="1" operator="equal">
      <formula>"Towel"</formula>
    </cfRule>
  </conditionalFormatting>
  <conditionalFormatting sqref="B144:C144">
    <cfRule type="cellIs" dxfId="787" priority="65" stopIfTrue="1" operator="equal">
      <formula>"Towel"</formula>
    </cfRule>
    <cfRule type="cellIs" dxfId="786" priority="66" stopIfTrue="1" operator="equal">
      <formula>"Napkin Hs"</formula>
    </cfRule>
  </conditionalFormatting>
  <conditionalFormatting sqref="C144">
    <cfRule type="cellIs" dxfId="785" priority="64" stopIfTrue="1" operator="equal">
      <formula>"Napkin Hs"</formula>
    </cfRule>
  </conditionalFormatting>
  <conditionalFormatting sqref="C144">
    <cfRule type="cellIs" dxfId="784" priority="61" stopIfTrue="1" operator="equal">
      <formula>"Towel"</formula>
    </cfRule>
    <cfRule type="cellIs" dxfId="783" priority="62" stopIfTrue="1" operator="equal">
      <formula>"Napkin Hs"</formula>
    </cfRule>
  </conditionalFormatting>
  <conditionalFormatting sqref="C144">
    <cfRule type="cellIs" dxfId="782" priority="63" stopIfTrue="1" operator="equal">
      <formula>"Towel"</formula>
    </cfRule>
  </conditionalFormatting>
  <conditionalFormatting sqref="B143:C143">
    <cfRule type="cellIs" dxfId="781" priority="59" stopIfTrue="1" operator="equal">
      <formula>"Towel"</formula>
    </cfRule>
    <cfRule type="cellIs" dxfId="780" priority="60" stopIfTrue="1" operator="equal">
      <formula>"Napkin Hs"</formula>
    </cfRule>
  </conditionalFormatting>
  <conditionalFormatting sqref="C143">
    <cfRule type="cellIs" dxfId="779" priority="58" stopIfTrue="1" operator="equal">
      <formula>"Napkin Hs"</formula>
    </cfRule>
  </conditionalFormatting>
  <conditionalFormatting sqref="C143">
    <cfRule type="cellIs" dxfId="778" priority="55" stopIfTrue="1" operator="equal">
      <formula>"Towel"</formula>
    </cfRule>
    <cfRule type="cellIs" dxfId="777" priority="56" stopIfTrue="1" operator="equal">
      <formula>"Napkin Hs"</formula>
    </cfRule>
  </conditionalFormatting>
  <conditionalFormatting sqref="C143">
    <cfRule type="cellIs" dxfId="776" priority="57" stopIfTrue="1" operator="equal">
      <formula>"Towel"</formula>
    </cfRule>
  </conditionalFormatting>
  <conditionalFormatting sqref="B149:C149">
    <cfRule type="cellIs" dxfId="775" priority="53" stopIfTrue="1" operator="equal">
      <formula>"Towel"</formula>
    </cfRule>
    <cfRule type="cellIs" dxfId="774" priority="54" stopIfTrue="1" operator="equal">
      <formula>"Napkin Hs"</formula>
    </cfRule>
  </conditionalFormatting>
  <conditionalFormatting sqref="C149">
    <cfRule type="cellIs" dxfId="773" priority="52" stopIfTrue="1" operator="equal">
      <formula>"Napkin Hs"</formula>
    </cfRule>
  </conditionalFormatting>
  <conditionalFormatting sqref="C149">
    <cfRule type="cellIs" dxfId="772" priority="49" stopIfTrue="1" operator="equal">
      <formula>"Towel"</formula>
    </cfRule>
    <cfRule type="cellIs" dxfId="771" priority="50" stopIfTrue="1" operator="equal">
      <formula>"Napkin Hs"</formula>
    </cfRule>
  </conditionalFormatting>
  <conditionalFormatting sqref="C149">
    <cfRule type="cellIs" dxfId="770" priority="51" stopIfTrue="1" operator="equal">
      <formula>"Towel"</formula>
    </cfRule>
  </conditionalFormatting>
  <conditionalFormatting sqref="B148:C148">
    <cfRule type="cellIs" dxfId="769" priority="47" stopIfTrue="1" operator="equal">
      <formula>"Towel"</formula>
    </cfRule>
    <cfRule type="cellIs" dxfId="768" priority="48" stopIfTrue="1" operator="equal">
      <formula>"Napkin Hs"</formula>
    </cfRule>
  </conditionalFormatting>
  <conditionalFormatting sqref="C148">
    <cfRule type="cellIs" dxfId="767" priority="46" stopIfTrue="1" operator="equal">
      <formula>"Napkin Hs"</formula>
    </cfRule>
  </conditionalFormatting>
  <conditionalFormatting sqref="C148">
    <cfRule type="cellIs" dxfId="766" priority="43" stopIfTrue="1" operator="equal">
      <formula>"Towel"</formula>
    </cfRule>
    <cfRule type="cellIs" dxfId="765" priority="44" stopIfTrue="1" operator="equal">
      <formula>"Napkin Hs"</formula>
    </cfRule>
  </conditionalFormatting>
  <conditionalFormatting sqref="C148">
    <cfRule type="cellIs" dxfId="764" priority="45" stopIfTrue="1" operator="equal">
      <formula>"Towel"</formula>
    </cfRule>
  </conditionalFormatting>
  <conditionalFormatting sqref="B147:C147">
    <cfRule type="cellIs" dxfId="763" priority="41" stopIfTrue="1" operator="equal">
      <formula>"Towel"</formula>
    </cfRule>
    <cfRule type="cellIs" dxfId="762" priority="42" stopIfTrue="1" operator="equal">
      <formula>"Napkin Hs"</formula>
    </cfRule>
  </conditionalFormatting>
  <conditionalFormatting sqref="C147">
    <cfRule type="cellIs" dxfId="761" priority="40" stopIfTrue="1" operator="equal">
      <formula>"Napkin Hs"</formula>
    </cfRule>
  </conditionalFormatting>
  <conditionalFormatting sqref="C147">
    <cfRule type="cellIs" dxfId="760" priority="37" stopIfTrue="1" operator="equal">
      <formula>"Towel"</formula>
    </cfRule>
    <cfRule type="cellIs" dxfId="759" priority="38" stopIfTrue="1" operator="equal">
      <formula>"Napkin Hs"</formula>
    </cfRule>
  </conditionalFormatting>
  <conditionalFormatting sqref="C147">
    <cfRule type="cellIs" dxfId="758" priority="39" stopIfTrue="1" operator="equal">
      <formula>"Towel"</formula>
    </cfRule>
  </conditionalFormatting>
  <conditionalFormatting sqref="B153:C153">
    <cfRule type="cellIs" dxfId="757" priority="35" stopIfTrue="1" operator="equal">
      <formula>"Towel"</formula>
    </cfRule>
    <cfRule type="cellIs" dxfId="756" priority="36" stopIfTrue="1" operator="equal">
      <formula>"Napkin Hs"</formula>
    </cfRule>
  </conditionalFormatting>
  <conditionalFormatting sqref="C153">
    <cfRule type="cellIs" dxfId="755" priority="34" stopIfTrue="1" operator="equal">
      <formula>"Napkin Hs"</formula>
    </cfRule>
  </conditionalFormatting>
  <conditionalFormatting sqref="C153">
    <cfRule type="cellIs" dxfId="754" priority="31" stopIfTrue="1" operator="equal">
      <formula>"Towel"</formula>
    </cfRule>
    <cfRule type="cellIs" dxfId="753" priority="32" stopIfTrue="1" operator="equal">
      <formula>"Napkin Hs"</formula>
    </cfRule>
  </conditionalFormatting>
  <conditionalFormatting sqref="C153">
    <cfRule type="cellIs" dxfId="752" priority="33" stopIfTrue="1" operator="equal">
      <formula>"Towel"</formula>
    </cfRule>
  </conditionalFormatting>
  <conditionalFormatting sqref="B151:C152">
    <cfRule type="cellIs" dxfId="751" priority="23" stopIfTrue="1" operator="equal">
      <formula>"Towel"</formula>
    </cfRule>
    <cfRule type="cellIs" dxfId="750" priority="24" stopIfTrue="1" operator="equal">
      <formula>"Napkin Hs"</formula>
    </cfRule>
  </conditionalFormatting>
  <conditionalFormatting sqref="C151:C152">
    <cfRule type="cellIs" dxfId="749" priority="22" stopIfTrue="1" operator="equal">
      <formula>"Napkin Hs"</formula>
    </cfRule>
  </conditionalFormatting>
  <conditionalFormatting sqref="C151:C152">
    <cfRule type="cellIs" dxfId="748" priority="19" stopIfTrue="1" operator="equal">
      <formula>"Towel"</formula>
    </cfRule>
    <cfRule type="cellIs" dxfId="747" priority="20" stopIfTrue="1" operator="equal">
      <formula>"Napkin Hs"</formula>
    </cfRule>
  </conditionalFormatting>
  <conditionalFormatting sqref="C151:C152">
    <cfRule type="cellIs" dxfId="746" priority="21" stopIfTrue="1" operator="equal">
      <formula>"Towel"</formula>
    </cfRule>
  </conditionalFormatting>
  <conditionalFormatting sqref="B157:C158">
    <cfRule type="cellIs" dxfId="745" priority="17" stopIfTrue="1" operator="equal">
      <formula>"Towel"</formula>
    </cfRule>
    <cfRule type="cellIs" dxfId="744" priority="18" stopIfTrue="1" operator="equal">
      <formula>"Napkin Hs"</formula>
    </cfRule>
  </conditionalFormatting>
  <conditionalFormatting sqref="C157:C158">
    <cfRule type="cellIs" dxfId="743" priority="16" stopIfTrue="1" operator="equal">
      <formula>"Napkin Hs"</formula>
    </cfRule>
  </conditionalFormatting>
  <conditionalFormatting sqref="C157:C158">
    <cfRule type="cellIs" dxfId="742" priority="13" stopIfTrue="1" operator="equal">
      <formula>"Towel"</formula>
    </cfRule>
    <cfRule type="cellIs" dxfId="741" priority="14" stopIfTrue="1" operator="equal">
      <formula>"Napkin Hs"</formula>
    </cfRule>
  </conditionalFormatting>
  <conditionalFormatting sqref="C157:C158">
    <cfRule type="cellIs" dxfId="740" priority="15" stopIfTrue="1" operator="equal">
      <formula>"Towel"</formula>
    </cfRule>
  </conditionalFormatting>
  <conditionalFormatting sqref="B156:C156">
    <cfRule type="cellIs" dxfId="739" priority="11" stopIfTrue="1" operator="equal">
      <formula>"Towel"</formula>
    </cfRule>
    <cfRule type="cellIs" dxfId="738" priority="12" stopIfTrue="1" operator="equal">
      <formula>"Napkin Hs"</formula>
    </cfRule>
  </conditionalFormatting>
  <conditionalFormatting sqref="C156">
    <cfRule type="cellIs" dxfId="737" priority="10" stopIfTrue="1" operator="equal">
      <formula>"Napkin Hs"</formula>
    </cfRule>
  </conditionalFormatting>
  <conditionalFormatting sqref="C156">
    <cfRule type="cellIs" dxfId="736" priority="7" stopIfTrue="1" operator="equal">
      <formula>"Towel"</formula>
    </cfRule>
    <cfRule type="cellIs" dxfId="735" priority="8" stopIfTrue="1" operator="equal">
      <formula>"Napkin Hs"</formula>
    </cfRule>
  </conditionalFormatting>
  <conditionalFormatting sqref="C156">
    <cfRule type="cellIs" dxfId="734" priority="9" stopIfTrue="1" operator="equal">
      <formula>"Towel"</formula>
    </cfRule>
  </conditionalFormatting>
  <conditionalFormatting sqref="B155:C155">
    <cfRule type="cellIs" dxfId="733" priority="5" stopIfTrue="1" operator="equal">
      <formula>"Towel"</formula>
    </cfRule>
    <cfRule type="cellIs" dxfId="732" priority="6" stopIfTrue="1" operator="equal">
      <formula>"Napkin Hs"</formula>
    </cfRule>
  </conditionalFormatting>
  <conditionalFormatting sqref="C155">
    <cfRule type="cellIs" dxfId="731" priority="4" stopIfTrue="1" operator="equal">
      <formula>"Napkin Hs"</formula>
    </cfRule>
  </conditionalFormatting>
  <conditionalFormatting sqref="C155">
    <cfRule type="cellIs" dxfId="730" priority="1" stopIfTrue="1" operator="equal">
      <formula>"Towel"</formula>
    </cfRule>
    <cfRule type="cellIs" dxfId="729" priority="2" stopIfTrue="1" operator="equal">
      <formula>"Napkin Hs"</formula>
    </cfRule>
  </conditionalFormatting>
  <conditionalFormatting sqref="C155">
    <cfRule type="cellIs" dxfId="728" priority="3" stopIfTrue="1" operator="equal">
      <formula>"Towel"</formula>
    </cfRule>
  </conditionalFormatting>
  <pageMargins left="0.75" right="0.75" top="1" bottom="1" header="0.5" footer="0.5"/>
  <pageSetup scale="2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53"/>
  <sheetViews>
    <sheetView zoomScale="90" zoomScaleNormal="90" workbookViewId="0">
      <pane xSplit="6" ySplit="6" topLeftCell="AV25" activePane="bottomRight" state="frozen"/>
      <selection pane="topRight" activeCell="F1" sqref="F1"/>
      <selection pane="bottomLeft" activeCell="A7" sqref="A7"/>
      <selection pane="bottomRight" activeCell="AZ34" sqref="AZ34"/>
    </sheetView>
  </sheetViews>
  <sheetFormatPr defaultColWidth="10.28515625" defaultRowHeight="12"/>
  <cols>
    <col min="1" max="1" width="12.28515625" style="28" customWidth="1"/>
    <col min="2" max="3" width="14.140625" style="28" customWidth="1"/>
    <col min="4" max="4" width="10.28515625" style="28" customWidth="1"/>
    <col min="5" max="5" width="7.5703125" style="28" bestFit="1" customWidth="1"/>
    <col min="6" max="6" width="7" style="53" customWidth="1"/>
    <col min="7" max="9" width="10.28515625" style="28" customWidth="1"/>
    <col min="10" max="11" width="10.28515625" style="82" customWidth="1"/>
    <col min="12" max="13" width="12.7109375" style="54" customWidth="1"/>
    <col min="14" max="15" width="10.28515625" style="28" customWidth="1"/>
    <col min="16" max="16" width="16.85546875" style="28" bestFit="1" customWidth="1"/>
    <col min="17" max="17" width="12.7109375" style="331" customWidth="1"/>
    <col min="18" max="19" width="10.28515625" style="28" customWidth="1"/>
    <col min="20" max="20" width="10.7109375" style="28" customWidth="1"/>
    <col min="21" max="21" width="10.28515625" style="28" customWidth="1"/>
    <col min="22" max="22" width="12.28515625" style="28" customWidth="1"/>
    <col min="23" max="23" width="13" style="28" customWidth="1"/>
    <col min="24" max="24" width="10.28515625" style="28" customWidth="1"/>
    <col min="25" max="25" width="10.140625" style="28" customWidth="1"/>
    <col min="26" max="28" width="10.28515625" style="28" customWidth="1"/>
    <col min="29" max="29" width="12" style="28" customWidth="1"/>
    <col min="30" max="30" width="11.42578125" style="28" bestFit="1" customWidth="1"/>
    <col min="31" max="31" width="41.42578125" style="28" customWidth="1"/>
    <col min="32" max="38" width="10.28515625" style="28" customWidth="1"/>
    <col min="39" max="39" width="11.7109375" style="28" customWidth="1"/>
    <col min="40" max="41" width="10.28515625" style="28" customWidth="1"/>
    <col min="42" max="43" width="12.42578125" style="28" customWidth="1"/>
    <col min="44" max="44" width="29.7109375" style="28" bestFit="1" customWidth="1"/>
    <col min="45" max="16384" width="10.28515625" style="28"/>
  </cols>
  <sheetData>
    <row r="1" spans="1:58" s="21" customFormat="1" ht="15.75">
      <c r="A1" s="20" t="s">
        <v>395</v>
      </c>
      <c r="G1" s="22"/>
      <c r="H1" s="22"/>
      <c r="I1" s="22"/>
      <c r="J1" s="79"/>
      <c r="K1" s="79"/>
      <c r="L1" s="23"/>
      <c r="M1" s="23"/>
      <c r="O1" s="22"/>
      <c r="P1" s="24"/>
      <c r="Q1" s="22"/>
      <c r="R1" s="24"/>
      <c r="S1" s="24"/>
      <c r="W1" s="24"/>
      <c r="X1" s="25"/>
      <c r="Y1" s="25"/>
      <c r="Z1" s="24"/>
      <c r="AF1" s="24"/>
      <c r="AG1" s="24"/>
      <c r="AH1" s="24"/>
      <c r="AI1" s="24"/>
      <c r="AJ1" s="24"/>
      <c r="AK1" s="24"/>
      <c r="AL1" s="24"/>
      <c r="AM1" s="24"/>
      <c r="AN1" s="24"/>
      <c r="AO1" s="24"/>
      <c r="AP1" s="24"/>
      <c r="AQ1" s="24"/>
      <c r="AR1" s="24"/>
      <c r="AS1" s="24"/>
      <c r="AT1" s="24"/>
      <c r="AU1" s="24"/>
      <c r="AV1" s="24"/>
      <c r="AW1" s="24"/>
      <c r="AX1" s="24"/>
      <c r="AY1" s="24"/>
      <c r="AZ1" s="24"/>
      <c r="BA1" s="24"/>
    </row>
    <row r="2" spans="1:58" s="21" customFormat="1">
      <c r="A2" s="89"/>
      <c r="G2" s="22"/>
      <c r="H2" s="22"/>
      <c r="I2" s="22"/>
      <c r="J2" s="79"/>
      <c r="K2" s="79"/>
      <c r="L2" s="23"/>
      <c r="M2" s="23"/>
      <c r="O2" s="22"/>
      <c r="P2" s="24"/>
      <c r="Q2" s="22"/>
      <c r="R2" s="24"/>
      <c r="S2" s="24"/>
      <c r="W2" s="24"/>
      <c r="X2" s="25"/>
      <c r="Y2" s="25"/>
      <c r="Z2" s="24"/>
      <c r="AF2" s="24"/>
      <c r="AG2" s="24"/>
      <c r="AH2" s="24"/>
      <c r="AI2" s="24"/>
      <c r="AJ2" s="24"/>
      <c r="AK2" s="24"/>
      <c r="AL2" s="24"/>
      <c r="AM2" s="24"/>
      <c r="AN2" s="24"/>
      <c r="AO2" s="24"/>
      <c r="AP2" s="24"/>
      <c r="AQ2" s="24"/>
      <c r="AR2" s="24"/>
      <c r="AS2" s="24"/>
      <c r="AT2" s="24"/>
      <c r="AU2" s="24"/>
      <c r="AV2" s="24"/>
      <c r="AW2" s="24"/>
      <c r="AX2" s="24"/>
      <c r="AY2" s="24"/>
      <c r="AZ2" s="24"/>
      <c r="BA2" s="24"/>
    </row>
    <row r="3" spans="1:58" ht="24" customHeight="1">
      <c r="A3" s="645" t="s">
        <v>8</v>
      </c>
      <c r="B3" s="645" t="s">
        <v>9</v>
      </c>
      <c r="C3" s="645" t="s">
        <v>181</v>
      </c>
      <c r="D3" s="645" t="s">
        <v>91</v>
      </c>
      <c r="E3" s="645" t="s">
        <v>92</v>
      </c>
      <c r="F3" s="645" t="s">
        <v>93</v>
      </c>
      <c r="G3" s="674" t="s">
        <v>94</v>
      </c>
      <c r="H3" s="675"/>
      <c r="I3" s="675"/>
      <c r="J3" s="675"/>
      <c r="K3" s="676"/>
      <c r="L3" s="680" t="s">
        <v>95</v>
      </c>
      <c r="M3" s="681"/>
      <c r="N3" s="682"/>
      <c r="O3" s="670" t="s">
        <v>96</v>
      </c>
      <c r="P3" s="655" t="s">
        <v>108</v>
      </c>
      <c r="Q3" s="670" t="s">
        <v>97</v>
      </c>
      <c r="R3" s="662" t="s">
        <v>98</v>
      </c>
      <c r="S3" s="662" t="s">
        <v>99</v>
      </c>
      <c r="T3" s="645" t="s">
        <v>153</v>
      </c>
      <c r="U3" s="645" t="s">
        <v>152</v>
      </c>
      <c r="V3" s="645" t="s">
        <v>154</v>
      </c>
      <c r="W3" s="662" t="s">
        <v>144</v>
      </c>
      <c r="X3" s="698" t="s">
        <v>101</v>
      </c>
      <c r="Y3" s="698" t="s">
        <v>293</v>
      </c>
      <c r="Z3" s="662" t="s">
        <v>102</v>
      </c>
      <c r="AA3" s="645" t="s">
        <v>155</v>
      </c>
      <c r="AB3" s="645" t="s">
        <v>166</v>
      </c>
      <c r="AC3" s="645" t="s">
        <v>164</v>
      </c>
      <c r="AD3" s="645" t="s">
        <v>126</v>
      </c>
      <c r="AE3" s="645" t="s">
        <v>127</v>
      </c>
      <c r="AF3" s="673" t="s">
        <v>128</v>
      </c>
      <c r="AG3" s="673"/>
      <c r="AH3" s="673"/>
      <c r="AI3" s="673"/>
      <c r="AJ3" s="673"/>
      <c r="AK3" s="673"/>
      <c r="AL3" s="673"/>
      <c r="AM3" s="667" t="s">
        <v>129</v>
      </c>
      <c r="AN3" s="651" t="s">
        <v>103</v>
      </c>
      <c r="AO3" s="651"/>
      <c r="AP3" s="651"/>
      <c r="AQ3" s="651"/>
      <c r="AR3" s="651"/>
      <c r="AS3" s="652" t="s">
        <v>104</v>
      </c>
      <c r="AT3" s="663" t="s">
        <v>289</v>
      </c>
      <c r="AU3" s="664"/>
      <c r="AV3" s="647" t="s">
        <v>130</v>
      </c>
      <c r="AW3" s="648"/>
      <c r="AX3" s="649" t="s">
        <v>130</v>
      </c>
      <c r="AY3" s="650"/>
      <c r="AZ3" s="656" t="s">
        <v>305</v>
      </c>
      <c r="BA3" s="661" t="s">
        <v>105</v>
      </c>
      <c r="BB3" s="693" t="s">
        <v>106</v>
      </c>
      <c r="BC3" s="693" t="s">
        <v>107</v>
      </c>
      <c r="BD3" s="687" t="s">
        <v>396</v>
      </c>
      <c r="BE3" s="690" t="s">
        <v>397</v>
      </c>
      <c r="BF3" s="693" t="s">
        <v>398</v>
      </c>
    </row>
    <row r="4" spans="1:58" ht="12" customHeight="1">
      <c r="A4" s="646"/>
      <c r="B4" s="646"/>
      <c r="C4" s="646"/>
      <c r="D4" s="646"/>
      <c r="E4" s="646"/>
      <c r="F4" s="646"/>
      <c r="G4" s="677"/>
      <c r="H4" s="678"/>
      <c r="I4" s="678"/>
      <c r="J4" s="678"/>
      <c r="K4" s="679"/>
      <c r="L4" s="683"/>
      <c r="M4" s="684"/>
      <c r="N4" s="685"/>
      <c r="O4" s="671"/>
      <c r="P4" s="643"/>
      <c r="Q4" s="671"/>
      <c r="R4" s="686"/>
      <c r="S4" s="686"/>
      <c r="T4" s="646"/>
      <c r="U4" s="646"/>
      <c r="V4" s="646"/>
      <c r="W4" s="686"/>
      <c r="X4" s="699"/>
      <c r="Y4" s="699"/>
      <c r="Z4" s="686"/>
      <c r="AA4" s="646"/>
      <c r="AB4" s="646"/>
      <c r="AC4" s="646"/>
      <c r="AD4" s="646"/>
      <c r="AE4" s="646"/>
      <c r="AF4" s="695" t="s">
        <v>131</v>
      </c>
      <c r="AG4" s="696"/>
      <c r="AH4" s="697"/>
      <c r="AI4" s="643" t="s">
        <v>219</v>
      </c>
      <c r="AJ4" s="643" t="s">
        <v>15</v>
      </c>
      <c r="AK4" s="643" t="s">
        <v>132</v>
      </c>
      <c r="AL4" s="643" t="s">
        <v>18</v>
      </c>
      <c r="AM4" s="668"/>
      <c r="AN4" s="654" t="s">
        <v>109</v>
      </c>
      <c r="AO4" s="654" t="s">
        <v>15</v>
      </c>
      <c r="AP4" s="654" t="s">
        <v>110</v>
      </c>
      <c r="AQ4" s="654" t="s">
        <v>18</v>
      </c>
      <c r="AR4" s="661" t="s">
        <v>111</v>
      </c>
      <c r="AS4" s="652"/>
      <c r="AT4" s="665"/>
      <c r="AU4" s="666"/>
      <c r="AV4" s="511" t="s">
        <v>6</v>
      </c>
      <c r="AW4" s="511" t="s">
        <v>133</v>
      </c>
      <c r="AX4" s="512" t="s">
        <v>6</v>
      </c>
      <c r="AY4" s="513" t="s">
        <v>133</v>
      </c>
      <c r="AZ4" s="657"/>
      <c r="BA4" s="661"/>
      <c r="BB4" s="693"/>
      <c r="BC4" s="693"/>
      <c r="BD4" s="688"/>
      <c r="BE4" s="691"/>
      <c r="BF4" s="693"/>
    </row>
    <row r="5" spans="1:58" s="31" customFormat="1" ht="48">
      <c r="A5" s="646"/>
      <c r="B5" s="646"/>
      <c r="C5" s="672"/>
      <c r="D5" s="646"/>
      <c r="E5" s="646"/>
      <c r="F5" s="646"/>
      <c r="G5" s="529" t="s">
        <v>112</v>
      </c>
      <c r="H5" s="528" t="s">
        <v>113</v>
      </c>
      <c r="I5" s="29" t="s">
        <v>114</v>
      </c>
      <c r="J5" s="80" t="s">
        <v>115</v>
      </c>
      <c r="K5" s="80" t="s">
        <v>100</v>
      </c>
      <c r="L5" s="30" t="s">
        <v>116</v>
      </c>
      <c r="M5" s="30" t="s">
        <v>117</v>
      </c>
      <c r="N5" s="528" t="s">
        <v>118</v>
      </c>
      <c r="O5" s="671"/>
      <c r="P5" s="644"/>
      <c r="Q5" s="671"/>
      <c r="R5" s="686"/>
      <c r="S5" s="686"/>
      <c r="T5" s="646"/>
      <c r="U5" s="646"/>
      <c r="V5" s="646"/>
      <c r="W5" s="686"/>
      <c r="X5" s="699"/>
      <c r="Y5" s="700"/>
      <c r="Z5" s="686"/>
      <c r="AA5" s="646"/>
      <c r="AB5" s="672"/>
      <c r="AC5" s="646"/>
      <c r="AD5" s="672"/>
      <c r="AE5" s="646"/>
      <c r="AF5" s="442" t="s">
        <v>294</v>
      </c>
      <c r="AG5" s="527" t="s">
        <v>295</v>
      </c>
      <c r="AH5" s="527" t="s">
        <v>296</v>
      </c>
      <c r="AI5" s="644"/>
      <c r="AJ5" s="644"/>
      <c r="AK5" s="644"/>
      <c r="AL5" s="644"/>
      <c r="AM5" s="669"/>
      <c r="AN5" s="655"/>
      <c r="AO5" s="655"/>
      <c r="AP5" s="655"/>
      <c r="AQ5" s="655"/>
      <c r="AR5" s="662"/>
      <c r="AS5" s="653"/>
      <c r="AT5" s="530" t="s">
        <v>290</v>
      </c>
      <c r="AU5" s="530" t="s">
        <v>291</v>
      </c>
      <c r="AV5" s="514" t="s">
        <v>292</v>
      </c>
      <c r="AW5" s="514" t="s">
        <v>292</v>
      </c>
      <c r="AX5" s="512" t="s">
        <v>17</v>
      </c>
      <c r="AY5" s="512" t="s">
        <v>17</v>
      </c>
      <c r="AZ5" s="658"/>
      <c r="BA5" s="662"/>
      <c r="BB5" s="645"/>
      <c r="BC5" s="645"/>
      <c r="BD5" s="689"/>
      <c r="BE5" s="692"/>
      <c r="BF5" s="694"/>
    </row>
    <row r="6" spans="1:58" ht="12.75">
      <c r="A6" s="39">
        <f>+Report1!A9</f>
        <v>46082</v>
      </c>
      <c r="B6" s="40" t="s">
        <v>7</v>
      </c>
      <c r="C6" s="413">
        <f>(M6*E6*O6*Q6)/100000000</f>
        <v>40.5048897</v>
      </c>
      <c r="D6" s="40" t="s">
        <v>301</v>
      </c>
      <c r="E6" s="41">
        <v>12</v>
      </c>
      <c r="F6" s="41">
        <v>1</v>
      </c>
      <c r="G6" s="497">
        <v>1230</v>
      </c>
      <c r="H6" s="43">
        <v>0.24</v>
      </c>
      <c r="I6" s="44">
        <v>0.88</v>
      </c>
      <c r="J6" s="81">
        <f>E6*G6*(1-H6)*1440/1000000*2.74</f>
        <v>44.260162560000005</v>
      </c>
      <c r="K6" s="81">
        <f>(IF(G6&lt;L6,L6,G6)*(1-IF(H6&lt;N6,H6,N6))*E6*O6*Q6)/100000000</f>
        <v>43.371728639999994</v>
      </c>
      <c r="L6" s="34">
        <v>1174.6805555555557</v>
      </c>
      <c r="M6" s="34">
        <v>873.01041666666663</v>
      </c>
      <c r="N6" s="45">
        <f>1-(M6/L6)</f>
        <v>0.25681036215519593</v>
      </c>
      <c r="O6" s="46">
        <f>+'Trim Rwd'!H4</f>
        <v>268.5</v>
      </c>
      <c r="P6" s="47">
        <f>O6*(Q6-R6-S6)</f>
        <v>363817.5</v>
      </c>
      <c r="Q6" s="46">
        <v>1440</v>
      </c>
      <c r="R6" s="498">
        <v>0</v>
      </c>
      <c r="S6" s="498">
        <v>85</v>
      </c>
      <c r="T6" s="36">
        <f>E6*M6*O6*Q6/100000000</f>
        <v>40.5048897</v>
      </c>
      <c r="U6" s="36">
        <f>E6*M6*O6*(Q6-R6-S6)/100000000</f>
        <v>38.113976071875001</v>
      </c>
      <c r="V6" s="36">
        <f>E6*G6*(1-N6)*O6/100*(R6+S6)/1000000</f>
        <v>2.5035093572336451</v>
      </c>
      <c r="W6" s="36">
        <f>+'1'!C34/1000</f>
        <v>36.905999999999999</v>
      </c>
      <c r="X6" s="499">
        <f>SUM(W6:W10)/SUM(K6:K10)</f>
        <v>0.85092296657881161</v>
      </c>
      <c r="Y6" s="210">
        <v>0</v>
      </c>
      <c r="Z6" s="36">
        <f>+'1'!D34/1000</f>
        <v>0.54</v>
      </c>
      <c r="AA6" s="48">
        <f>SUM(U6:U10)-SUM(W6:W10)-SUM(Z6:Z10)-SUM(Y6:Y10)</f>
        <v>0.6679760718750023</v>
      </c>
      <c r="AB6" s="48">
        <f>(SUM(K6:K10)-SUM(W6:W10)-SUM(Y6:Y10)-SUM(Z6:Z10)-SUM(AC6:AC10)-SUM(V6:V10))-AA6</f>
        <v>-0.11259572910864657</v>
      </c>
      <c r="AC6" s="36">
        <f>K6-T6</f>
        <v>2.8668389399999938</v>
      </c>
      <c r="AD6" s="36">
        <f>+AM6+BA6</f>
        <v>25</v>
      </c>
      <c r="AE6" s="229" t="s">
        <v>415</v>
      </c>
      <c r="AF6" s="36">
        <v>25</v>
      </c>
      <c r="AG6" s="36"/>
      <c r="AH6" s="36"/>
      <c r="AI6" s="500"/>
      <c r="AJ6" s="36"/>
      <c r="AK6" s="36"/>
      <c r="AL6" s="36"/>
      <c r="AM6" s="36">
        <f t="shared" ref="AM6:AM9" si="0">SUM(AF6:AL6)+AT6+AV6+AX6</f>
        <v>25</v>
      </c>
      <c r="AN6" s="36"/>
      <c r="AO6" s="36"/>
      <c r="AP6" s="36"/>
      <c r="AQ6" s="36"/>
      <c r="AR6" s="36">
        <f>SUM(AN6:AQ6)</f>
        <v>0</v>
      </c>
      <c r="AS6" s="36"/>
      <c r="AT6" s="36"/>
      <c r="AU6" s="36"/>
      <c r="AV6" s="36"/>
      <c r="AW6" s="36"/>
      <c r="AX6" s="36"/>
      <c r="AY6" s="36"/>
      <c r="AZ6" s="36"/>
      <c r="BA6" s="36">
        <f>+AR6+AS6+AU6+AW6+AY6+AZ6</f>
        <v>0</v>
      </c>
      <c r="BB6" s="32">
        <v>7</v>
      </c>
      <c r="BC6" s="50"/>
      <c r="BD6" s="50"/>
      <c r="BE6" s="32"/>
      <c r="BF6" s="50"/>
    </row>
    <row r="7" spans="1:58" ht="12.95" customHeight="1">
      <c r="A7" s="39"/>
      <c r="B7" s="40"/>
      <c r="C7" s="413"/>
      <c r="D7" s="40"/>
      <c r="E7" s="41"/>
      <c r="F7" s="41"/>
      <c r="G7" s="497"/>
      <c r="H7" s="43"/>
      <c r="I7" s="44"/>
      <c r="J7" s="81"/>
      <c r="K7" s="81"/>
      <c r="L7" s="34"/>
      <c r="M7" s="34"/>
      <c r="N7" s="45"/>
      <c r="O7" s="46"/>
      <c r="P7" s="47"/>
      <c r="Q7" s="46"/>
      <c r="R7" s="498"/>
      <c r="S7" s="498"/>
      <c r="T7" s="36"/>
      <c r="U7" s="36"/>
      <c r="V7" s="36"/>
      <c r="W7" s="36"/>
      <c r="X7" s="37"/>
      <c r="Y7" s="210"/>
      <c r="Z7" s="36"/>
      <c r="AA7" s="36"/>
      <c r="AB7" s="36"/>
      <c r="AC7" s="36"/>
      <c r="AD7" s="36">
        <f>+AM7+BA7</f>
        <v>3</v>
      </c>
      <c r="AE7" s="229" t="s">
        <v>414</v>
      </c>
      <c r="AF7" s="36"/>
      <c r="AG7" s="36">
        <v>3</v>
      </c>
      <c r="AH7" s="36"/>
      <c r="AI7" s="500"/>
      <c r="AJ7" s="36"/>
      <c r="AK7" s="36"/>
      <c r="AL7" s="36"/>
      <c r="AM7" s="36">
        <f t="shared" si="0"/>
        <v>3</v>
      </c>
      <c r="AN7" s="82"/>
      <c r="AO7" s="36"/>
      <c r="AP7" s="36"/>
      <c r="AQ7" s="36"/>
      <c r="AR7" s="36">
        <f t="shared" ref="AR7:AR9" si="1">SUM(AN7:AQ7)</f>
        <v>0</v>
      </c>
      <c r="AS7" s="36"/>
      <c r="AT7" s="36"/>
      <c r="AU7" s="36"/>
      <c r="AV7" s="36"/>
      <c r="AW7" s="36"/>
      <c r="AX7" s="36"/>
      <c r="AY7" s="36"/>
      <c r="AZ7" s="36"/>
      <c r="BA7" s="36">
        <f>+AR7+AS7+AU7+AW7+AY7+AZ7</f>
        <v>0</v>
      </c>
      <c r="BB7" s="49"/>
      <c r="BC7" s="50">
        <v>1</v>
      </c>
      <c r="BD7" s="50"/>
      <c r="BE7" s="49"/>
      <c r="BF7" s="50"/>
    </row>
    <row r="8" spans="1:58" ht="12.95" customHeight="1">
      <c r="A8" s="39"/>
      <c r="B8" s="40"/>
      <c r="C8" s="413"/>
      <c r="D8" s="40"/>
      <c r="E8" s="41"/>
      <c r="F8" s="41"/>
      <c r="G8" s="42"/>
      <c r="H8" s="43"/>
      <c r="I8" s="44"/>
      <c r="J8" s="81"/>
      <c r="K8" s="81"/>
      <c r="L8" s="34"/>
      <c r="M8" s="34"/>
      <c r="N8" s="45"/>
      <c r="O8" s="46"/>
      <c r="P8" s="47"/>
      <c r="Q8" s="46"/>
      <c r="R8" s="498"/>
      <c r="S8" s="498"/>
      <c r="T8" s="36"/>
      <c r="U8" s="36"/>
      <c r="V8" s="36"/>
      <c r="W8" s="36"/>
      <c r="X8" s="37"/>
      <c r="Y8" s="210"/>
      <c r="Z8" s="36"/>
      <c r="AA8" s="36"/>
      <c r="AB8" s="36"/>
      <c r="AC8" s="36"/>
      <c r="AD8" s="36">
        <f>+AM8+BA8</f>
        <v>57</v>
      </c>
      <c r="AE8" s="229" t="s">
        <v>387</v>
      </c>
      <c r="AF8" s="32"/>
      <c r="AG8" s="32"/>
      <c r="AH8" s="32">
        <v>57</v>
      </c>
      <c r="AJ8" s="36"/>
      <c r="AK8" s="36"/>
      <c r="AL8" s="36"/>
      <c r="AM8" s="36">
        <f t="shared" si="0"/>
        <v>57</v>
      </c>
      <c r="AN8" s="36"/>
      <c r="AO8" s="36"/>
      <c r="AP8" s="36"/>
      <c r="AQ8" s="36"/>
      <c r="AR8" s="36">
        <f t="shared" si="1"/>
        <v>0</v>
      </c>
      <c r="AS8" s="36"/>
      <c r="AT8" s="36"/>
      <c r="AU8" s="36"/>
      <c r="AV8" s="36"/>
      <c r="AW8" s="36"/>
      <c r="AX8" s="36"/>
      <c r="AY8" s="36"/>
      <c r="AZ8" s="36"/>
      <c r="BA8" s="36">
        <f>+AR8+AS8+AU8+AW8+AY8+AZ8</f>
        <v>0</v>
      </c>
      <c r="BB8" s="32"/>
      <c r="BC8" s="501"/>
      <c r="BD8" s="501"/>
      <c r="BE8" s="32"/>
      <c r="BF8" s="501"/>
    </row>
    <row r="9" spans="1:58" ht="12.95" customHeight="1">
      <c r="A9" s="39"/>
      <c r="B9" s="40"/>
      <c r="C9" s="413"/>
      <c r="D9" s="40"/>
      <c r="E9" s="41"/>
      <c r="F9" s="41"/>
      <c r="G9" s="42"/>
      <c r="H9" s="43"/>
      <c r="I9" s="44"/>
      <c r="J9" s="81"/>
      <c r="K9" s="81"/>
      <c r="L9" s="34"/>
      <c r="M9" s="34"/>
      <c r="N9" s="45"/>
      <c r="O9" s="46"/>
      <c r="P9" s="47"/>
      <c r="Q9" s="33"/>
      <c r="R9" s="498"/>
      <c r="S9" s="498"/>
      <c r="T9" s="36"/>
      <c r="U9" s="36"/>
      <c r="V9" s="36"/>
      <c r="W9" s="36"/>
      <c r="X9" s="37"/>
      <c r="Y9" s="210"/>
      <c r="Z9" s="36"/>
      <c r="AA9" s="36"/>
      <c r="AB9" s="36"/>
      <c r="AC9" s="36"/>
      <c r="AD9" s="36">
        <f>+AM9+BA9</f>
        <v>0</v>
      </c>
      <c r="AE9" s="232" t="s">
        <v>377</v>
      </c>
      <c r="AF9" s="36"/>
      <c r="AG9" s="36"/>
      <c r="AH9" s="36"/>
      <c r="AI9" s="500">
        <v>0</v>
      </c>
      <c r="AJ9" s="36"/>
      <c r="AK9" s="36"/>
      <c r="AL9" s="36"/>
      <c r="AM9" s="36">
        <f t="shared" si="0"/>
        <v>0</v>
      </c>
      <c r="AN9" s="36"/>
      <c r="AO9" s="36"/>
      <c r="AP9" s="36"/>
      <c r="AQ9" s="36"/>
      <c r="AR9" s="36">
        <f t="shared" si="1"/>
        <v>0</v>
      </c>
      <c r="AS9" s="36"/>
      <c r="AT9" s="36"/>
      <c r="AU9" s="36"/>
      <c r="AV9" s="36"/>
      <c r="AW9" s="36"/>
      <c r="AX9" s="36"/>
      <c r="AY9" s="36"/>
      <c r="AZ9" s="36"/>
      <c r="BA9" s="36">
        <f>+AR9+AS9+AU9+AW9+AY9+AZ9</f>
        <v>0</v>
      </c>
      <c r="BB9" s="49"/>
      <c r="BC9" s="50"/>
      <c r="BD9" s="50"/>
      <c r="BE9" s="49"/>
      <c r="BF9" s="50"/>
    </row>
    <row r="10" spans="1:58" ht="12.75" customHeight="1">
      <c r="A10" s="39"/>
      <c r="B10" s="40"/>
      <c r="C10" s="413"/>
      <c r="D10" s="40"/>
      <c r="E10" s="41"/>
      <c r="F10" s="41"/>
      <c r="G10" s="42"/>
      <c r="H10" s="43"/>
      <c r="I10" s="44"/>
      <c r="J10" s="81"/>
      <c r="K10" s="81"/>
      <c r="L10" s="34"/>
      <c r="M10" s="34"/>
      <c r="N10" s="45"/>
      <c r="O10" s="46"/>
      <c r="P10" s="47"/>
      <c r="Q10" s="33"/>
      <c r="R10" s="498"/>
      <c r="S10" s="498"/>
      <c r="T10" s="36"/>
      <c r="U10" s="36"/>
      <c r="V10" s="36"/>
      <c r="W10" s="36"/>
      <c r="X10" s="37"/>
      <c r="Y10" s="210"/>
      <c r="Z10" s="36"/>
      <c r="AA10" s="36"/>
      <c r="AB10" s="36"/>
      <c r="AC10" s="36"/>
      <c r="AD10" s="36"/>
      <c r="AE10" s="232"/>
      <c r="AF10" s="36"/>
      <c r="AG10" s="36"/>
      <c r="AH10" s="36"/>
      <c r="AI10" s="500"/>
      <c r="AJ10" s="36"/>
      <c r="AK10" s="36"/>
      <c r="AL10" s="36"/>
      <c r="AM10" s="36"/>
      <c r="AN10" s="36"/>
      <c r="AO10" s="36"/>
      <c r="AP10" s="36"/>
      <c r="AQ10" s="36"/>
      <c r="AR10" s="36"/>
      <c r="AS10" s="36"/>
      <c r="AT10" s="36"/>
      <c r="AU10" s="36"/>
      <c r="AV10" s="36"/>
      <c r="AW10" s="36"/>
      <c r="AX10" s="36"/>
      <c r="AY10" s="36"/>
      <c r="AZ10" s="36"/>
      <c r="BA10" s="36"/>
      <c r="BB10" s="49"/>
      <c r="BC10" s="50"/>
      <c r="BD10" s="50"/>
      <c r="BE10" s="32"/>
      <c r="BF10" s="50"/>
    </row>
    <row r="11" spans="1:58" ht="12.75" customHeight="1">
      <c r="A11" s="39">
        <v>46083</v>
      </c>
      <c r="B11" s="40" t="s">
        <v>7</v>
      </c>
      <c r="C11" s="413">
        <f>(M11*E11*O11*Q11)/100000000</f>
        <v>5.9425130769230767</v>
      </c>
      <c r="D11" s="40" t="s">
        <v>301</v>
      </c>
      <c r="E11" s="41">
        <v>12</v>
      </c>
      <c r="F11" s="41">
        <v>1</v>
      </c>
      <c r="G11" s="497">
        <v>1230</v>
      </c>
      <c r="H11" s="43">
        <v>0.24</v>
      </c>
      <c r="I11" s="44">
        <v>0.88</v>
      </c>
      <c r="J11" s="81">
        <f>E11*G11*(1-H11)*1440/1000000*2.74</f>
        <v>44.260162560000005</v>
      </c>
      <c r="K11" s="81">
        <f>(IF(G11&lt;L11,L11,G11)*(1-IF(H11&lt;N11,H11,N11))*E11*O11*Q11)/100000000</f>
        <v>6.1722902492307687</v>
      </c>
      <c r="L11" s="34">
        <v>1200</v>
      </c>
      <c r="M11" s="34">
        <v>900</v>
      </c>
      <c r="N11" s="45">
        <f>1-(M11/L11)</f>
        <v>0.25</v>
      </c>
      <c r="O11" s="46">
        <f>+'Trim Rwd'!H7</f>
        <v>263.26923076923077</v>
      </c>
      <c r="P11" s="47">
        <f>O11*(Q11-R11-S11)</f>
        <v>51074.230769230773</v>
      </c>
      <c r="Q11" s="46">
        <v>209</v>
      </c>
      <c r="R11" s="498">
        <v>0</v>
      </c>
      <c r="S11" s="498">
        <v>15</v>
      </c>
      <c r="T11" s="36">
        <f>E11*M11*O11*Q11/100000000</f>
        <v>5.9425130769230767</v>
      </c>
      <c r="U11" s="36">
        <f>E11*M11*O11*(Q11-R11-S11)/100000000</f>
        <v>5.5160169230769229</v>
      </c>
      <c r="V11" s="36">
        <f>E11*G11*(1-N11)*O11/100*(R11+S11)/1000000</f>
        <v>0.4371585576923076</v>
      </c>
      <c r="W11" s="36">
        <f>+'2'!K7/1000</f>
        <v>8.1690000000000005</v>
      </c>
      <c r="X11" s="499">
        <f>SUM(W11:W15)/SUM(K11:K15)</f>
        <v>0.89586170629365514</v>
      </c>
      <c r="Y11" s="210">
        <v>0</v>
      </c>
      <c r="Z11" s="36">
        <v>0</v>
      </c>
      <c r="AA11" s="48">
        <f>SUM(U11:U15)-SUM(W11:W15)-SUM(Z11:Z15)-SUM(Y11:Y15)</f>
        <v>2.8862109230769235</v>
      </c>
      <c r="AB11" s="48">
        <f>(SUM(K11:K15)-SUM(W11:W15)-SUM(Y11:Y15)-SUM(Z11:Z15)-SUM(AC11:AC15)-SUM(V11:V15))-AA11</f>
        <v>-1.0662403846156909E-2</v>
      </c>
      <c r="AC11" s="36">
        <f>K11-T11</f>
        <v>0.22977717230769201</v>
      </c>
      <c r="AD11" s="36">
        <f>+AM11+BA11</f>
        <v>18</v>
      </c>
      <c r="AE11" s="229" t="s">
        <v>435</v>
      </c>
      <c r="AF11" s="36">
        <v>18</v>
      </c>
      <c r="AG11" s="36"/>
      <c r="AH11" s="36"/>
      <c r="AI11" s="500"/>
      <c r="AJ11" s="36"/>
      <c r="AK11" s="36"/>
      <c r="AL11" s="36"/>
      <c r="AM11" s="36">
        <f t="shared" ref="AM11:AM14" si="2">SUM(AF11:AL11)+AT11+AV11+AX11</f>
        <v>18</v>
      </c>
      <c r="AN11" s="36"/>
      <c r="AO11" s="36"/>
      <c r="AP11" s="36"/>
      <c r="AQ11" s="36"/>
      <c r="AR11" s="36">
        <f>SUM(AN11:AQ11)</f>
        <v>0</v>
      </c>
      <c r="AS11" s="36"/>
      <c r="AT11" s="36"/>
      <c r="AU11" s="36"/>
      <c r="AV11" s="36"/>
      <c r="AW11" s="36"/>
      <c r="AX11" s="36"/>
      <c r="AY11" s="36"/>
      <c r="AZ11" s="36"/>
      <c r="BA11" s="36">
        <f>+AR11+AS11+AU11+AW11+AY11+AZ11</f>
        <v>0</v>
      </c>
      <c r="BB11" s="32">
        <v>6</v>
      </c>
      <c r="BC11" s="50"/>
      <c r="BD11" s="50"/>
      <c r="BE11" s="32"/>
      <c r="BF11" s="50"/>
    </row>
    <row r="12" spans="1:58" ht="12.95" customHeight="1">
      <c r="A12" s="39"/>
      <c r="B12" s="40" t="s">
        <v>7</v>
      </c>
      <c r="C12" s="413">
        <f t="shared" ref="C12:C13" si="3">(M12*E12*O12*Q12)/100000000</f>
        <v>1.3319852000000001</v>
      </c>
      <c r="D12" s="40" t="s">
        <v>301</v>
      </c>
      <c r="E12" s="41">
        <v>14</v>
      </c>
      <c r="F12" s="41">
        <v>1</v>
      </c>
      <c r="G12" s="497">
        <f>+L12</f>
        <v>1150</v>
      </c>
      <c r="H12" s="43">
        <f t="shared" ref="H12:H13" si="4">+N12</f>
        <v>0.26</v>
      </c>
      <c r="I12" s="44">
        <v>0.88</v>
      </c>
      <c r="J12" s="81">
        <f t="shared" ref="J12:J13" si="5">E12*G12*(1-H12)*1440/1000000*2.74</f>
        <v>47.007878400000003</v>
      </c>
      <c r="K12" s="81">
        <f t="shared" ref="K12:K13" si="6">(IF(G12&lt;L12,L12,G12)*(1-IF(H12&lt;N12,H12,N12))*E12*O12*Q12)/100000000</f>
        <v>1.3319852000000001</v>
      </c>
      <c r="L12" s="34">
        <v>1150</v>
      </c>
      <c r="M12" s="34">
        <v>851</v>
      </c>
      <c r="N12" s="45">
        <f t="shared" ref="N12:N13" si="7">1-(M12/L12)</f>
        <v>0.26</v>
      </c>
      <c r="O12" s="46">
        <f>+'Trim Rwd'!H9</f>
        <v>260</v>
      </c>
      <c r="P12" s="47">
        <f t="shared" ref="P12:P13" si="8">O12*(Q12-R12-S12)</f>
        <v>9100</v>
      </c>
      <c r="Q12" s="46">
        <v>43</v>
      </c>
      <c r="R12" s="498">
        <v>0</v>
      </c>
      <c r="S12" s="498">
        <v>8</v>
      </c>
      <c r="T12" s="36">
        <f t="shared" ref="T12:T13" si="9">E12*M12*O12*Q12/100000000</f>
        <v>1.3319852000000001</v>
      </c>
      <c r="U12" s="36">
        <f t="shared" ref="U12:U13" si="10">E12*M12*O12*(Q12-R12-S12)/100000000</f>
        <v>1.084174</v>
      </c>
      <c r="V12" s="36">
        <f t="shared" ref="V12:V13" si="11">E12*G12*(1-N12)*O12/100*(R12+S12)/1000000</f>
        <v>0.24781120000000001</v>
      </c>
      <c r="W12" s="36">
        <f>+'2'!K8/1000</f>
        <v>4.7130000000000001</v>
      </c>
      <c r="X12" s="37"/>
      <c r="Y12" s="210"/>
      <c r="Z12" s="36"/>
      <c r="AA12" s="36"/>
      <c r="AB12" s="36"/>
      <c r="AC12" s="36">
        <f>K12-T12</f>
        <v>0</v>
      </c>
      <c r="AD12" s="36">
        <f>+AM12+BA12</f>
        <v>2</v>
      </c>
      <c r="AE12" s="229" t="s">
        <v>414</v>
      </c>
      <c r="AF12" s="36"/>
      <c r="AG12" s="36">
        <v>2</v>
      </c>
      <c r="AH12" s="36"/>
      <c r="AI12" s="500"/>
      <c r="AJ12" s="36"/>
      <c r="AK12" s="36"/>
      <c r="AL12" s="36"/>
      <c r="AM12" s="36">
        <f t="shared" si="2"/>
        <v>2</v>
      </c>
      <c r="AN12" s="82"/>
      <c r="AO12" s="36"/>
      <c r="AP12" s="36"/>
      <c r="AQ12" s="36"/>
      <c r="AR12" s="36">
        <f t="shared" ref="AR12:AR14" si="12">SUM(AN12:AQ12)</f>
        <v>0</v>
      </c>
      <c r="AS12" s="36"/>
      <c r="AT12" s="36"/>
      <c r="AU12" s="36"/>
      <c r="AV12" s="36"/>
      <c r="AW12" s="36"/>
      <c r="AX12" s="36"/>
      <c r="AY12" s="36"/>
      <c r="AZ12" s="36"/>
      <c r="BA12" s="36">
        <f>+AR12+AS12+AU12+AW12+AY12+AZ12</f>
        <v>0</v>
      </c>
      <c r="BB12" s="49"/>
      <c r="BC12" s="50">
        <v>1</v>
      </c>
      <c r="BD12" s="50"/>
      <c r="BE12" s="49"/>
      <c r="BF12" s="50"/>
    </row>
    <row r="13" spans="1:58" ht="12.95" customHeight="1">
      <c r="A13" s="39"/>
      <c r="B13" s="40" t="s">
        <v>7</v>
      </c>
      <c r="C13" s="413">
        <f t="shared" si="3"/>
        <v>46.593359999999997</v>
      </c>
      <c r="D13" s="40" t="s">
        <v>301</v>
      </c>
      <c r="E13" s="41">
        <v>16</v>
      </c>
      <c r="F13" s="41">
        <v>1</v>
      </c>
      <c r="G13" s="497">
        <f>+L13</f>
        <v>1188.4848484848485</v>
      </c>
      <c r="H13" s="43">
        <f t="shared" si="4"/>
        <v>0.25</v>
      </c>
      <c r="I13" s="44">
        <v>0.88</v>
      </c>
      <c r="J13" s="81">
        <f t="shared" si="5"/>
        <v>56.271429818181829</v>
      </c>
      <c r="K13" s="81">
        <f t="shared" si="6"/>
        <v>46.593359999999997</v>
      </c>
      <c r="L13" s="34">
        <v>1188.4848484848485</v>
      </c>
      <c r="M13" s="34">
        <v>891.36363636363637</v>
      </c>
      <c r="N13" s="45">
        <f t="shared" si="7"/>
        <v>0.25</v>
      </c>
      <c r="O13" s="46">
        <f>+'Trim Rwd'!H6</f>
        <v>275</v>
      </c>
      <c r="P13" s="47">
        <f t="shared" si="8"/>
        <v>313775</v>
      </c>
      <c r="Q13" s="46">
        <v>1188</v>
      </c>
      <c r="R13" s="498">
        <v>0</v>
      </c>
      <c r="S13" s="498">
        <f>70-S11-S12</f>
        <v>47</v>
      </c>
      <c r="T13" s="36">
        <f t="shared" si="9"/>
        <v>46.593359999999997</v>
      </c>
      <c r="U13" s="36">
        <f t="shared" si="10"/>
        <v>44.750019999999999</v>
      </c>
      <c r="V13" s="36">
        <f t="shared" si="11"/>
        <v>1.84334</v>
      </c>
      <c r="W13" s="36">
        <f>+'2'!K9/1000</f>
        <v>35.582000000000001</v>
      </c>
      <c r="X13" s="37"/>
      <c r="Y13" s="210"/>
      <c r="Z13" s="36"/>
      <c r="AA13" s="36"/>
      <c r="AB13" s="36"/>
      <c r="AC13" s="36">
        <f>K13-T13</f>
        <v>0</v>
      </c>
      <c r="AD13" s="36">
        <f>+AM13+BA13</f>
        <v>50</v>
      </c>
      <c r="AE13" s="229" t="s">
        <v>436</v>
      </c>
      <c r="AF13" s="32"/>
      <c r="AG13" s="32"/>
      <c r="AH13" s="32">
        <v>50</v>
      </c>
      <c r="AJ13" s="36"/>
      <c r="AK13" s="36"/>
      <c r="AL13" s="36"/>
      <c r="AM13" s="36">
        <f t="shared" si="2"/>
        <v>50</v>
      </c>
      <c r="AN13" s="36"/>
      <c r="AO13" s="36"/>
      <c r="AP13" s="36"/>
      <c r="AQ13" s="36"/>
      <c r="AR13" s="36">
        <f t="shared" si="12"/>
        <v>0</v>
      </c>
      <c r="AS13" s="36"/>
      <c r="AT13" s="36"/>
      <c r="AU13" s="36"/>
      <c r="AV13" s="36"/>
      <c r="AW13" s="36"/>
      <c r="AX13" s="36"/>
      <c r="AY13" s="36"/>
      <c r="AZ13" s="36"/>
      <c r="BA13" s="36">
        <f>+AR13+AS13+AU13+AW13+AY13+AZ13</f>
        <v>0</v>
      </c>
      <c r="BB13" s="32"/>
      <c r="BC13" s="501"/>
      <c r="BD13" s="501"/>
      <c r="BE13" s="32"/>
      <c r="BF13" s="501"/>
    </row>
    <row r="14" spans="1:58" ht="12.95" customHeight="1">
      <c r="A14" s="39"/>
      <c r="B14" s="40"/>
      <c r="C14" s="413"/>
      <c r="D14" s="40"/>
      <c r="E14" s="41"/>
      <c r="F14" s="41"/>
      <c r="G14" s="42"/>
      <c r="H14" s="43"/>
      <c r="I14" s="44"/>
      <c r="J14" s="81"/>
      <c r="K14" s="81"/>
      <c r="L14" s="34"/>
      <c r="M14" s="34"/>
      <c r="N14" s="45"/>
      <c r="O14" s="46"/>
      <c r="P14" s="47"/>
      <c r="Q14" s="33"/>
      <c r="R14" s="498"/>
      <c r="S14" s="498"/>
      <c r="T14" s="36"/>
      <c r="U14" s="36"/>
      <c r="V14" s="36"/>
      <c r="W14" s="36"/>
      <c r="X14" s="37"/>
      <c r="Y14" s="210"/>
      <c r="Z14" s="36"/>
      <c r="AA14" s="36"/>
      <c r="AB14" s="36"/>
      <c r="AC14" s="36"/>
      <c r="AD14" s="36">
        <f>+AM14+BA14</f>
        <v>0</v>
      </c>
      <c r="AE14" s="232" t="s">
        <v>377</v>
      </c>
      <c r="AF14" s="36"/>
      <c r="AG14" s="36"/>
      <c r="AH14" s="36"/>
      <c r="AI14" s="500">
        <v>0</v>
      </c>
      <c r="AJ14" s="36"/>
      <c r="AK14" s="36"/>
      <c r="AL14" s="36"/>
      <c r="AM14" s="36">
        <f t="shared" si="2"/>
        <v>0</v>
      </c>
      <c r="AN14" s="36"/>
      <c r="AO14" s="36"/>
      <c r="AP14" s="36"/>
      <c r="AQ14" s="36"/>
      <c r="AR14" s="36">
        <f t="shared" si="12"/>
        <v>0</v>
      </c>
      <c r="AS14" s="36"/>
      <c r="AT14" s="36"/>
      <c r="AU14" s="36"/>
      <c r="AV14" s="36"/>
      <c r="AW14" s="36"/>
      <c r="AX14" s="36"/>
      <c r="AY14" s="36"/>
      <c r="AZ14" s="36"/>
      <c r="BA14" s="36">
        <f>+AR14+AS14+AU14+AW14+AY14+AZ14</f>
        <v>0</v>
      </c>
      <c r="BB14" s="49"/>
      <c r="BC14" s="50"/>
      <c r="BD14" s="50"/>
      <c r="BE14" s="49"/>
      <c r="BF14" s="50"/>
    </row>
    <row r="15" spans="1:58" ht="12.95" customHeight="1">
      <c r="A15" s="39"/>
      <c r="B15" s="40"/>
      <c r="C15" s="413"/>
      <c r="D15" s="40"/>
      <c r="E15" s="41"/>
      <c r="F15" s="41"/>
      <c r="G15" s="42"/>
      <c r="H15" s="43"/>
      <c r="I15" s="44"/>
      <c r="J15" s="81"/>
      <c r="K15" s="81"/>
      <c r="L15" s="34"/>
      <c r="M15" s="34"/>
      <c r="N15" s="45"/>
      <c r="O15" s="46"/>
      <c r="P15" s="47"/>
      <c r="Q15" s="33"/>
      <c r="R15" s="498"/>
      <c r="S15" s="498"/>
      <c r="T15" s="36"/>
      <c r="U15" s="36"/>
      <c r="V15" s="36"/>
      <c r="W15" s="36"/>
      <c r="X15" s="37"/>
      <c r="Y15" s="210"/>
      <c r="Z15" s="36"/>
      <c r="AA15" s="36"/>
      <c r="AB15" s="36"/>
      <c r="AC15" s="36"/>
      <c r="AD15" s="36"/>
      <c r="AE15" s="232"/>
      <c r="AF15" s="36"/>
      <c r="AG15" s="36"/>
      <c r="AH15" s="36"/>
      <c r="AI15" s="500"/>
      <c r="AJ15" s="36"/>
      <c r="AK15" s="36"/>
      <c r="AL15" s="36"/>
      <c r="AM15" s="36"/>
      <c r="AN15" s="36"/>
      <c r="AO15" s="36"/>
      <c r="AP15" s="36"/>
      <c r="AQ15" s="36"/>
      <c r="AR15" s="36"/>
      <c r="AS15" s="36"/>
      <c r="AT15" s="36"/>
      <c r="AU15" s="36"/>
      <c r="AV15" s="36"/>
      <c r="AW15" s="36"/>
      <c r="AX15" s="36"/>
      <c r="AY15" s="36"/>
      <c r="AZ15" s="36"/>
      <c r="BA15" s="36"/>
      <c r="BB15" s="49"/>
      <c r="BC15" s="50"/>
      <c r="BD15" s="50"/>
      <c r="BE15" s="49"/>
      <c r="BF15" s="50"/>
    </row>
    <row r="16" spans="1:58" ht="12.75" customHeight="1">
      <c r="A16" s="39">
        <v>46084</v>
      </c>
      <c r="B16" s="40" t="s">
        <v>7</v>
      </c>
      <c r="C16" s="413">
        <f t="shared" ref="C16:C17" si="13">(M16*E16*O16*Q16)/100000000</f>
        <v>49.244579999999999</v>
      </c>
      <c r="D16" s="40" t="s">
        <v>301</v>
      </c>
      <c r="E16" s="41">
        <v>16</v>
      </c>
      <c r="F16" s="41">
        <v>1</v>
      </c>
      <c r="G16" s="497">
        <f>+L16</f>
        <v>1102.1122599704579</v>
      </c>
      <c r="H16" s="43">
        <f t="shared" ref="H16:H17" si="14">+N16</f>
        <v>0.25</v>
      </c>
      <c r="I16" s="44">
        <v>0.88</v>
      </c>
      <c r="J16" s="81">
        <f t="shared" ref="J16:J17" si="15">E16*G16*(1-H16)*1440/1000000*2.74</f>
        <v>52.181929595273267</v>
      </c>
      <c r="K16" s="81">
        <f t="shared" ref="K16:K17" si="16">(IF(G16&lt;L16,L16,G16)*(1-IF(H16&lt;N16,H16,N16))*E16*O16*Q16)/100000000</f>
        <v>49.244579999999999</v>
      </c>
      <c r="L16" s="34">
        <v>1102.1122599704579</v>
      </c>
      <c r="M16" s="34">
        <v>826.58419497784348</v>
      </c>
      <c r="N16" s="45">
        <f t="shared" ref="N16:N17" si="17">1-(M16/L16)</f>
        <v>0.25</v>
      </c>
      <c r="O16" s="46">
        <f>+'Trim Rwd'!H11</f>
        <v>275</v>
      </c>
      <c r="P16" s="47">
        <f t="shared" ref="P16:P17" si="18">O16*(Q16-R16-S16)</f>
        <v>354200</v>
      </c>
      <c r="Q16" s="46">
        <v>1354</v>
      </c>
      <c r="R16" s="498">
        <v>0</v>
      </c>
      <c r="S16" s="498">
        <v>66</v>
      </c>
      <c r="T16" s="36">
        <f t="shared" ref="T16:T17" si="19">E16*M16*O16*Q16/100000000</f>
        <v>49.244579999999999</v>
      </c>
      <c r="U16" s="36">
        <f t="shared" ref="U16:U17" si="20">E16*M16*O16*(Q16-R16-S16)/100000000</f>
        <v>46.844179497784346</v>
      </c>
      <c r="V16" s="36">
        <f t="shared" ref="V16:V17" si="21">E16*G16*(1-N16)*O16/100*(R16+S16)/1000000</f>
        <v>2.4004005022156574</v>
      </c>
      <c r="W16" s="36">
        <f>+'3'!K9/1000</f>
        <v>40.542999999999999</v>
      </c>
      <c r="X16" s="499">
        <f>SUM(W16:W20)/SUM(K16:K20)</f>
        <v>0.78015275084134428</v>
      </c>
      <c r="Y16" s="210">
        <v>0</v>
      </c>
      <c r="Z16" s="36">
        <v>0</v>
      </c>
      <c r="AA16" s="48">
        <f>SUM(U16:U20)-SUM(W16:W20)-SUM(Z16:Z20)-SUM(Y16:Y20)</f>
        <v>8.7079474977843461</v>
      </c>
      <c r="AB16" s="48">
        <f>(SUM(K16:K20)-SUM(W16:W20)-SUM(Y16:Y20)-SUM(Z16:Z20)-SUM(AC16:AC20)-SUM(V16:V20))-AA16</f>
        <v>0</v>
      </c>
      <c r="AC16" s="36">
        <f>K16-T16</f>
        <v>0</v>
      </c>
      <c r="AD16" s="36">
        <f>+AM16+BA16</f>
        <v>21</v>
      </c>
      <c r="AE16" s="229" t="s">
        <v>435</v>
      </c>
      <c r="AF16" s="36">
        <v>21</v>
      </c>
      <c r="AG16" s="36"/>
      <c r="AH16" s="36"/>
      <c r="AI16" s="500"/>
      <c r="AJ16" s="36"/>
      <c r="AK16" s="36"/>
      <c r="AL16" s="36"/>
      <c r="AM16" s="36">
        <f t="shared" ref="AM16:AM19" si="22">SUM(AF16:AL16)+AT16+AV16+AX16</f>
        <v>21</v>
      </c>
      <c r="AN16" s="36"/>
      <c r="AO16" s="36"/>
      <c r="AP16" s="36"/>
      <c r="AQ16" s="36"/>
      <c r="AR16" s="36">
        <f>SUM(AN16:AQ16)</f>
        <v>0</v>
      </c>
      <c r="AS16" s="36"/>
      <c r="AT16" s="36"/>
      <c r="AU16" s="36"/>
      <c r="AV16" s="36"/>
      <c r="AW16" s="36"/>
      <c r="AX16" s="36"/>
      <c r="AY16" s="36"/>
      <c r="AZ16" s="36"/>
      <c r="BA16" s="36">
        <f>+AR16+AS16+AU16+AW16+AY16+AZ16</f>
        <v>0</v>
      </c>
      <c r="BB16" s="32">
        <v>6</v>
      </c>
      <c r="BC16" s="50"/>
      <c r="BD16" s="50"/>
      <c r="BE16" s="32"/>
      <c r="BF16" s="50"/>
    </row>
    <row r="17" spans="1:58" ht="12.95" customHeight="1">
      <c r="A17" s="39"/>
      <c r="B17" s="40" t="s">
        <v>7</v>
      </c>
      <c r="C17" s="413">
        <f t="shared" si="13"/>
        <v>2.7234479999999999</v>
      </c>
      <c r="D17" s="40" t="s">
        <v>301</v>
      </c>
      <c r="E17" s="41">
        <v>14</v>
      </c>
      <c r="F17" s="41">
        <v>1</v>
      </c>
      <c r="G17" s="497">
        <f>+L17</f>
        <v>1160</v>
      </c>
      <c r="H17" s="43">
        <f t="shared" si="14"/>
        <v>0.25</v>
      </c>
      <c r="I17" s="44">
        <v>0.88</v>
      </c>
      <c r="J17" s="81">
        <f t="shared" si="15"/>
        <v>48.057408000000009</v>
      </c>
      <c r="K17" s="81">
        <f t="shared" si="16"/>
        <v>2.7234479999999999</v>
      </c>
      <c r="L17" s="34">
        <v>1160</v>
      </c>
      <c r="M17" s="34">
        <v>870</v>
      </c>
      <c r="N17" s="45">
        <f t="shared" si="17"/>
        <v>0.25</v>
      </c>
      <c r="O17" s="46">
        <f>+'Trim Rwd'!H12</f>
        <v>260</v>
      </c>
      <c r="P17" s="47">
        <f t="shared" si="18"/>
        <v>19760</v>
      </c>
      <c r="Q17" s="46">
        <v>86</v>
      </c>
      <c r="R17" s="498">
        <v>0</v>
      </c>
      <c r="S17" s="498">
        <v>10</v>
      </c>
      <c r="T17" s="36">
        <f t="shared" si="19"/>
        <v>2.7234479999999999</v>
      </c>
      <c r="U17" s="36">
        <f t="shared" si="20"/>
        <v>2.406768</v>
      </c>
      <c r="V17" s="36">
        <f t="shared" si="21"/>
        <v>0.31668000000000002</v>
      </c>
      <c r="W17" s="36">
        <f>+'2'!K13/1000</f>
        <v>0</v>
      </c>
      <c r="X17" s="37"/>
      <c r="Y17" s="210"/>
      <c r="Z17" s="36"/>
      <c r="AA17" s="36"/>
      <c r="AB17" s="36"/>
      <c r="AC17" s="36">
        <f>K17-T17</f>
        <v>0</v>
      </c>
      <c r="AD17" s="36">
        <f>+AM17+BA17</f>
        <v>6</v>
      </c>
      <c r="AE17" s="229" t="s">
        <v>414</v>
      </c>
      <c r="AF17" s="36"/>
      <c r="AG17" s="36">
        <v>6</v>
      </c>
      <c r="AH17" s="36"/>
      <c r="AI17" s="500"/>
      <c r="AJ17" s="36"/>
      <c r="AK17" s="36"/>
      <c r="AL17" s="36"/>
      <c r="AM17" s="36">
        <f t="shared" si="22"/>
        <v>6</v>
      </c>
      <c r="AN17" s="82"/>
      <c r="AO17" s="36"/>
      <c r="AP17" s="36"/>
      <c r="AQ17" s="36"/>
      <c r="AR17" s="36">
        <f t="shared" ref="AR17:AR19" si="23">SUM(AN17:AQ17)</f>
        <v>0</v>
      </c>
      <c r="AS17" s="36"/>
      <c r="AT17" s="36"/>
      <c r="AU17" s="36"/>
      <c r="AV17" s="36"/>
      <c r="AW17" s="36"/>
      <c r="AX17" s="36"/>
      <c r="AY17" s="36"/>
      <c r="AZ17" s="36"/>
      <c r="BA17" s="36">
        <f>+AR17+AS17+AU17+AW17+AY17+AZ17</f>
        <v>0</v>
      </c>
      <c r="BB17" s="49"/>
      <c r="BC17" s="50">
        <v>1</v>
      </c>
      <c r="BD17" s="50"/>
      <c r="BE17" s="49"/>
      <c r="BF17" s="50"/>
    </row>
    <row r="18" spans="1:58" ht="12.95" customHeight="1">
      <c r="A18" s="39"/>
      <c r="B18" s="40"/>
      <c r="C18" s="413"/>
      <c r="D18" s="40"/>
      <c r="E18" s="41"/>
      <c r="F18" s="41"/>
      <c r="G18" s="497"/>
      <c r="H18" s="43"/>
      <c r="I18" s="44"/>
      <c r="J18" s="81"/>
      <c r="K18" s="81"/>
      <c r="L18" s="34"/>
      <c r="M18" s="34"/>
      <c r="N18" s="45"/>
      <c r="O18" s="46"/>
      <c r="P18" s="47"/>
      <c r="Q18" s="46"/>
      <c r="R18" s="498"/>
      <c r="S18" s="498"/>
      <c r="T18" s="36"/>
      <c r="U18" s="36"/>
      <c r="V18" s="36"/>
      <c r="W18" s="36"/>
      <c r="X18" s="37"/>
      <c r="Y18" s="210"/>
      <c r="Z18" s="36"/>
      <c r="AA18" s="36"/>
      <c r="AB18" s="36"/>
      <c r="AC18" s="36"/>
      <c r="AD18" s="36">
        <f>+AM18+BA18</f>
        <v>49</v>
      </c>
      <c r="AE18" s="229" t="s">
        <v>456</v>
      </c>
      <c r="AF18" s="32"/>
      <c r="AG18" s="32"/>
      <c r="AH18" s="32">
        <v>49</v>
      </c>
      <c r="AJ18" s="36"/>
      <c r="AK18" s="36"/>
      <c r="AL18" s="36"/>
      <c r="AM18" s="36">
        <f t="shared" si="22"/>
        <v>49</v>
      </c>
      <c r="AN18" s="36"/>
      <c r="AO18" s="36"/>
      <c r="AP18" s="36"/>
      <c r="AQ18" s="36"/>
      <c r="AR18" s="36">
        <f t="shared" si="23"/>
        <v>0</v>
      </c>
      <c r="AS18" s="36"/>
      <c r="AT18" s="36"/>
      <c r="AU18" s="36"/>
      <c r="AV18" s="36"/>
      <c r="AW18" s="36"/>
      <c r="AX18" s="36"/>
      <c r="AY18" s="36"/>
      <c r="AZ18" s="36"/>
      <c r="BA18" s="36">
        <f>+AR18+AS18+AU18+AW18+AY18+AZ18</f>
        <v>0</v>
      </c>
      <c r="BB18" s="32"/>
      <c r="BC18" s="501"/>
      <c r="BD18" s="501"/>
      <c r="BE18" s="32"/>
      <c r="BF18" s="501"/>
    </row>
    <row r="19" spans="1:58" ht="12.95" customHeight="1">
      <c r="A19" s="39"/>
      <c r="B19" s="40"/>
      <c r="C19" s="413"/>
      <c r="D19" s="40"/>
      <c r="E19" s="41"/>
      <c r="F19" s="41"/>
      <c r="G19" s="42"/>
      <c r="H19" s="43"/>
      <c r="I19" s="44"/>
      <c r="J19" s="81"/>
      <c r="K19" s="81"/>
      <c r="L19" s="34"/>
      <c r="M19" s="34"/>
      <c r="N19" s="45"/>
      <c r="O19" s="46"/>
      <c r="P19" s="47"/>
      <c r="Q19" s="33"/>
      <c r="R19" s="498"/>
      <c r="S19" s="498"/>
      <c r="T19" s="36"/>
      <c r="U19" s="36"/>
      <c r="V19" s="36"/>
      <c r="W19" s="36"/>
      <c r="X19" s="37"/>
      <c r="Y19" s="210"/>
      <c r="Z19" s="36"/>
      <c r="AA19" s="36"/>
      <c r="AB19" s="36"/>
      <c r="AC19" s="36"/>
      <c r="AD19" s="36">
        <f>+AM19+BA19</f>
        <v>0</v>
      </c>
      <c r="AE19" s="232" t="s">
        <v>377</v>
      </c>
      <c r="AF19" s="36"/>
      <c r="AG19" s="36"/>
      <c r="AH19" s="36"/>
      <c r="AI19" s="500">
        <v>0</v>
      </c>
      <c r="AJ19" s="36"/>
      <c r="AK19" s="36"/>
      <c r="AL19" s="36"/>
      <c r="AM19" s="36">
        <f t="shared" si="22"/>
        <v>0</v>
      </c>
      <c r="AN19" s="36"/>
      <c r="AO19" s="36"/>
      <c r="AP19" s="36"/>
      <c r="AQ19" s="36"/>
      <c r="AR19" s="36">
        <f t="shared" si="23"/>
        <v>0</v>
      </c>
      <c r="AS19" s="36"/>
      <c r="AT19" s="36"/>
      <c r="AU19" s="36"/>
      <c r="AV19" s="36"/>
      <c r="AW19" s="36"/>
      <c r="AX19" s="36"/>
      <c r="AY19" s="36"/>
      <c r="AZ19" s="36"/>
      <c r="BA19" s="36">
        <f>+AR19+AS19+AU19+AW19+AY19+AZ19</f>
        <v>0</v>
      </c>
      <c r="BB19" s="49"/>
      <c r="BC19" s="50"/>
      <c r="BD19" s="50"/>
      <c r="BE19" s="49"/>
      <c r="BF19" s="50"/>
    </row>
    <row r="20" spans="1:58" ht="12.95" customHeight="1">
      <c r="A20" s="39"/>
      <c r="B20" s="40"/>
      <c r="C20" s="413"/>
      <c r="D20" s="40"/>
      <c r="E20" s="41"/>
      <c r="F20" s="41"/>
      <c r="G20" s="497"/>
      <c r="H20" s="43"/>
      <c r="I20" s="44"/>
      <c r="J20" s="81"/>
      <c r="K20" s="81"/>
      <c r="L20" s="34"/>
      <c r="M20" s="34"/>
      <c r="N20" s="45"/>
      <c r="O20" s="46"/>
      <c r="P20" s="47"/>
      <c r="Q20" s="46"/>
      <c r="R20" s="498"/>
      <c r="S20" s="498"/>
      <c r="T20" s="36"/>
      <c r="U20" s="36"/>
      <c r="V20" s="36"/>
      <c r="W20" s="36"/>
      <c r="X20" s="37"/>
      <c r="Y20" s="210"/>
      <c r="Z20" s="36"/>
      <c r="AA20" s="36"/>
      <c r="AB20" s="36"/>
      <c r="AC20" s="36"/>
      <c r="AD20" s="36"/>
      <c r="AE20" s="229"/>
      <c r="AF20" s="32"/>
      <c r="AG20" s="32"/>
      <c r="AH20" s="32"/>
      <c r="AJ20" s="36"/>
      <c r="AK20" s="36"/>
      <c r="AL20" s="36"/>
      <c r="AM20" s="36"/>
      <c r="AN20" s="36"/>
      <c r="AO20" s="36"/>
      <c r="AP20" s="36"/>
      <c r="AQ20" s="36"/>
      <c r="AR20" s="36"/>
      <c r="AS20" s="36"/>
      <c r="AT20" s="36"/>
      <c r="AU20" s="36"/>
      <c r="AV20" s="36"/>
      <c r="AW20" s="36"/>
      <c r="AX20" s="36"/>
      <c r="AY20" s="36"/>
      <c r="AZ20" s="36"/>
      <c r="BA20" s="36"/>
      <c r="BB20" s="32"/>
      <c r="BC20" s="501"/>
      <c r="BD20" s="501"/>
      <c r="BE20" s="32"/>
      <c r="BF20" s="501"/>
    </row>
    <row r="21" spans="1:58" ht="12.75" customHeight="1">
      <c r="A21" s="39">
        <v>46085</v>
      </c>
      <c r="B21" s="40" t="s">
        <v>7</v>
      </c>
      <c r="C21" s="413">
        <f t="shared" ref="C21" si="24">(M21*E21*O21*Q21)/100000000</f>
        <v>47.047727999999999</v>
      </c>
      <c r="D21" s="40" t="s">
        <v>301</v>
      </c>
      <c r="E21" s="41">
        <v>14</v>
      </c>
      <c r="F21" s="41">
        <v>1</v>
      </c>
      <c r="G21" s="497">
        <f>+L21</f>
        <v>1196.7777777777778</v>
      </c>
      <c r="H21" s="43">
        <f t="shared" ref="H21" si="25">+N21</f>
        <v>0.25</v>
      </c>
      <c r="I21" s="44">
        <v>0.88</v>
      </c>
      <c r="J21" s="81">
        <f t="shared" ref="J21" si="26">E21*G21*(1-H21)*1440/1000000*2.74</f>
        <v>49.5810672</v>
      </c>
      <c r="K21" s="81">
        <f t="shared" ref="K21" si="27">(IF(G21&lt;L21,L21,G21)*(1-IF(H21&lt;N21,H21,N21))*E21*O21*Q21)/100000000</f>
        <v>47.047727999999999</v>
      </c>
      <c r="L21" s="34">
        <v>1196.7777777777778</v>
      </c>
      <c r="M21" s="34">
        <v>897.58333333333337</v>
      </c>
      <c r="N21" s="45">
        <f t="shared" ref="N21" si="28">1-(M21/L21)</f>
        <v>0.25</v>
      </c>
      <c r="O21" s="46">
        <f>+'Trim Rwd'!H14</f>
        <v>260</v>
      </c>
      <c r="P21" s="47">
        <f t="shared" ref="P21" si="29">O21*(Q21-R21-S21)</f>
        <v>352040</v>
      </c>
      <c r="Q21" s="46">
        <v>1440</v>
      </c>
      <c r="R21" s="498">
        <v>0</v>
      </c>
      <c r="S21" s="498">
        <v>86</v>
      </c>
      <c r="T21" s="36">
        <f t="shared" ref="T21" si="30">E21*M21*O21*Q21/100000000</f>
        <v>47.047727999999999</v>
      </c>
      <c r="U21" s="36">
        <f t="shared" ref="U21" si="31">E21*M21*O21*(Q21-R21-S21)/100000000</f>
        <v>44.237933133333343</v>
      </c>
      <c r="V21" s="36">
        <f t="shared" ref="V21" si="32">E21*G21*(1-N21)*O21/100*(R21+S21)/1000000</f>
        <v>2.809794866666667</v>
      </c>
      <c r="W21" s="36">
        <f>+'4'!K8/1000</f>
        <v>39.755000000000003</v>
      </c>
      <c r="X21" s="499">
        <f>SUM(W21:W25)/SUM(K21:K25)</f>
        <v>0.844992982445401</v>
      </c>
      <c r="Y21" s="210">
        <v>0</v>
      </c>
      <c r="Z21" s="36">
        <v>0</v>
      </c>
      <c r="AA21" s="48">
        <f>SUM(U21:U25)-SUM(W21:W25)-SUM(Z21:Z25)-SUM(Y21:Y25)</f>
        <v>4.48293313333334</v>
      </c>
      <c r="AB21" s="48">
        <f>(SUM(K21:K25)-SUM(W21:W25)-SUM(Y21:Y25)-SUM(Z21:Z25)-SUM(AC21:AC25)-SUM(V21:V25))-AA21</f>
        <v>-1.0658141036401503E-14</v>
      </c>
      <c r="AC21" s="36">
        <f>K21-T21</f>
        <v>0</v>
      </c>
      <c r="AD21" s="36">
        <f>+AM21+BA21</f>
        <v>23</v>
      </c>
      <c r="AE21" s="229" t="s">
        <v>468</v>
      </c>
      <c r="AF21" s="36">
        <v>23</v>
      </c>
      <c r="AG21" s="36"/>
      <c r="AH21" s="36"/>
      <c r="AI21" s="500"/>
      <c r="AJ21" s="36"/>
      <c r="AK21" s="36"/>
      <c r="AL21" s="36"/>
      <c r="AM21" s="36">
        <f t="shared" ref="AM21:AM24" si="33">SUM(AF21:AL21)+AT21+AV21+AX21</f>
        <v>23</v>
      </c>
      <c r="AN21" s="36"/>
      <c r="AO21" s="36"/>
      <c r="AP21" s="36"/>
      <c r="AQ21" s="36"/>
      <c r="AR21" s="36">
        <f>SUM(AN21:AQ21)</f>
        <v>0</v>
      </c>
      <c r="AS21" s="36"/>
      <c r="AT21" s="36"/>
      <c r="AU21" s="36"/>
      <c r="AV21" s="36"/>
      <c r="AW21" s="36"/>
      <c r="AX21" s="36"/>
      <c r="AY21" s="36"/>
      <c r="AZ21" s="36"/>
      <c r="BA21" s="36">
        <f>+AR21+AS21+AU21+AW21+AY21+AZ21</f>
        <v>0</v>
      </c>
      <c r="BB21" s="32">
        <v>8</v>
      </c>
      <c r="BC21" s="50"/>
      <c r="BD21" s="50"/>
      <c r="BE21" s="32"/>
      <c r="BF21" s="50"/>
    </row>
    <row r="22" spans="1:58" ht="12.95" customHeight="1">
      <c r="A22" s="39"/>
      <c r="B22" s="40"/>
      <c r="C22" s="413"/>
      <c r="D22" s="40"/>
      <c r="E22" s="41"/>
      <c r="F22" s="41"/>
      <c r="G22" s="497"/>
      <c r="H22" s="43"/>
      <c r="I22" s="44"/>
      <c r="J22" s="81"/>
      <c r="K22" s="81"/>
      <c r="L22" s="34"/>
      <c r="M22" s="34"/>
      <c r="N22" s="45"/>
      <c r="O22" s="46"/>
      <c r="P22" s="47"/>
      <c r="Q22" s="46"/>
      <c r="R22" s="498"/>
      <c r="S22" s="498"/>
      <c r="T22" s="36"/>
      <c r="U22" s="36"/>
      <c r="V22" s="36"/>
      <c r="W22" s="36"/>
      <c r="X22" s="37"/>
      <c r="Y22" s="210"/>
      <c r="Z22" s="36"/>
      <c r="AA22" s="36"/>
      <c r="AB22" s="36"/>
      <c r="AC22" s="36"/>
      <c r="AD22" s="36">
        <f>+AM22+BA22</f>
        <v>0</v>
      </c>
      <c r="AE22" s="229" t="s">
        <v>283</v>
      </c>
      <c r="AF22" s="36"/>
      <c r="AG22" s="36">
        <v>0</v>
      </c>
      <c r="AH22" s="36"/>
      <c r="AI22" s="500"/>
      <c r="AJ22" s="36"/>
      <c r="AK22" s="36"/>
      <c r="AL22" s="36"/>
      <c r="AM22" s="36">
        <f t="shared" si="33"/>
        <v>0</v>
      </c>
      <c r="AN22" s="82"/>
      <c r="AO22" s="36"/>
      <c r="AP22" s="36"/>
      <c r="AQ22" s="36"/>
      <c r="AR22" s="36">
        <f t="shared" ref="AR22:AR24" si="34">SUM(AN22:AQ22)</f>
        <v>0</v>
      </c>
      <c r="AS22" s="36"/>
      <c r="AT22" s="36"/>
      <c r="AU22" s="36"/>
      <c r="AV22" s="36"/>
      <c r="AW22" s="36"/>
      <c r="AX22" s="36"/>
      <c r="AY22" s="36"/>
      <c r="AZ22" s="36"/>
      <c r="BA22" s="36">
        <f>+AR22+AS22+AU22+AW22+AY22+AZ22</f>
        <v>0</v>
      </c>
      <c r="BB22" s="49"/>
      <c r="BC22" s="50">
        <v>0</v>
      </c>
      <c r="BD22" s="50"/>
      <c r="BE22" s="49"/>
      <c r="BF22" s="50"/>
    </row>
    <row r="23" spans="1:58" ht="12.95" customHeight="1">
      <c r="A23" s="39"/>
      <c r="B23" s="40"/>
      <c r="C23" s="413"/>
      <c r="D23" s="40"/>
      <c r="E23" s="41"/>
      <c r="F23" s="41"/>
      <c r="G23" s="497"/>
      <c r="H23" s="43"/>
      <c r="I23" s="44"/>
      <c r="J23" s="81"/>
      <c r="K23" s="81"/>
      <c r="L23" s="34"/>
      <c r="M23" s="34"/>
      <c r="N23" s="45"/>
      <c r="O23" s="46"/>
      <c r="P23" s="47"/>
      <c r="Q23" s="46"/>
      <c r="R23" s="498"/>
      <c r="S23" s="498"/>
      <c r="T23" s="36"/>
      <c r="U23" s="36"/>
      <c r="V23" s="36"/>
      <c r="W23" s="36"/>
      <c r="X23" s="37"/>
      <c r="Y23" s="210"/>
      <c r="Z23" s="36"/>
      <c r="AA23" s="36"/>
      <c r="AB23" s="36"/>
      <c r="AC23" s="36"/>
      <c r="AD23" s="36">
        <f>+AM23+BA23</f>
        <v>63</v>
      </c>
      <c r="AE23" s="229" t="s">
        <v>436</v>
      </c>
      <c r="AF23" s="32"/>
      <c r="AG23" s="32"/>
      <c r="AH23" s="32">
        <v>63</v>
      </c>
      <c r="AJ23" s="36"/>
      <c r="AK23" s="36"/>
      <c r="AL23" s="36"/>
      <c r="AM23" s="36">
        <f t="shared" si="33"/>
        <v>63</v>
      </c>
      <c r="AN23" s="36"/>
      <c r="AO23" s="36"/>
      <c r="AP23" s="36"/>
      <c r="AQ23" s="36"/>
      <c r="AR23" s="36">
        <f t="shared" si="34"/>
        <v>0</v>
      </c>
      <c r="AS23" s="36"/>
      <c r="AT23" s="36"/>
      <c r="AU23" s="36"/>
      <c r="AV23" s="36"/>
      <c r="AW23" s="36"/>
      <c r="AX23" s="36"/>
      <c r="AY23" s="36"/>
      <c r="AZ23" s="36"/>
      <c r="BA23" s="36">
        <f>+AR23+AS23+AU23+AW23+AY23+AZ23</f>
        <v>0</v>
      </c>
      <c r="BB23" s="32"/>
      <c r="BC23" s="501"/>
      <c r="BD23" s="501"/>
      <c r="BE23" s="32"/>
      <c r="BF23" s="501"/>
    </row>
    <row r="24" spans="1:58" ht="12.95" customHeight="1">
      <c r="A24" s="39"/>
      <c r="B24" s="40"/>
      <c r="C24" s="413"/>
      <c r="D24" s="40"/>
      <c r="E24" s="41"/>
      <c r="F24" s="41"/>
      <c r="G24" s="42"/>
      <c r="H24" s="43"/>
      <c r="I24" s="44"/>
      <c r="J24" s="81"/>
      <c r="K24" s="81"/>
      <c r="L24" s="34"/>
      <c r="M24" s="34"/>
      <c r="N24" s="45"/>
      <c r="O24" s="46"/>
      <c r="P24" s="47"/>
      <c r="Q24" s="33"/>
      <c r="R24" s="498"/>
      <c r="S24" s="498"/>
      <c r="T24" s="36"/>
      <c r="U24" s="36"/>
      <c r="V24" s="36"/>
      <c r="W24" s="36"/>
      <c r="X24" s="37"/>
      <c r="Y24" s="210"/>
      <c r="Z24" s="36"/>
      <c r="AA24" s="36"/>
      <c r="AB24" s="36"/>
      <c r="AC24" s="36"/>
      <c r="AD24" s="36">
        <f>+AM24+BA24</f>
        <v>0</v>
      </c>
      <c r="AE24" s="232" t="s">
        <v>377</v>
      </c>
      <c r="AF24" s="36"/>
      <c r="AG24" s="36"/>
      <c r="AH24" s="36"/>
      <c r="AI24" s="500">
        <v>0</v>
      </c>
      <c r="AJ24" s="36"/>
      <c r="AK24" s="36"/>
      <c r="AL24" s="36"/>
      <c r="AM24" s="36">
        <f t="shared" si="33"/>
        <v>0</v>
      </c>
      <c r="AN24" s="36"/>
      <c r="AO24" s="36"/>
      <c r="AP24" s="36"/>
      <c r="AQ24" s="36"/>
      <c r="AR24" s="36">
        <f t="shared" si="34"/>
        <v>0</v>
      </c>
      <c r="AS24" s="36"/>
      <c r="AT24" s="36"/>
      <c r="AU24" s="36"/>
      <c r="AV24" s="36"/>
      <c r="AW24" s="36"/>
      <c r="AX24" s="36"/>
      <c r="AY24" s="36"/>
      <c r="AZ24" s="36"/>
      <c r="BA24" s="36">
        <f>+AR24+AS24+AU24+AW24+AY24+AZ24</f>
        <v>0</v>
      </c>
      <c r="BB24" s="49"/>
      <c r="BC24" s="50"/>
      <c r="BD24" s="50"/>
      <c r="BE24" s="49"/>
      <c r="BF24" s="50"/>
    </row>
    <row r="25" spans="1:58" ht="12.95" customHeight="1">
      <c r="A25" s="39"/>
      <c r="B25" s="40"/>
      <c r="C25" s="413"/>
      <c r="D25" s="40"/>
      <c r="E25" s="41"/>
      <c r="F25" s="41"/>
      <c r="G25" s="42"/>
      <c r="H25" s="43"/>
      <c r="I25" s="44"/>
      <c r="J25" s="81"/>
      <c r="K25" s="81"/>
      <c r="L25" s="34"/>
      <c r="M25" s="34"/>
      <c r="N25" s="45"/>
      <c r="O25" s="46"/>
      <c r="P25" s="47"/>
      <c r="Q25" s="46"/>
      <c r="R25" s="498"/>
      <c r="S25" s="498"/>
      <c r="T25" s="36"/>
      <c r="U25" s="36"/>
      <c r="V25" s="36"/>
      <c r="W25" s="36"/>
      <c r="X25" s="37"/>
      <c r="Y25" s="210"/>
      <c r="Z25" s="36"/>
      <c r="AA25" s="36"/>
      <c r="AB25" s="36"/>
      <c r="AC25" s="36"/>
      <c r="AD25" s="36"/>
      <c r="AE25" s="229"/>
      <c r="AF25" s="32"/>
      <c r="AG25" s="32"/>
      <c r="AH25" s="32"/>
      <c r="AJ25" s="36"/>
      <c r="AK25" s="36"/>
      <c r="AL25" s="36"/>
      <c r="AM25" s="36"/>
      <c r="AN25" s="36"/>
      <c r="AO25" s="36"/>
      <c r="AP25" s="36"/>
      <c r="AQ25" s="36"/>
      <c r="AR25" s="36"/>
      <c r="AS25" s="36"/>
      <c r="AT25" s="36"/>
      <c r="AU25" s="36"/>
      <c r="AV25" s="36"/>
      <c r="AW25" s="36"/>
      <c r="AX25" s="36"/>
      <c r="AY25" s="36"/>
      <c r="AZ25" s="36"/>
      <c r="BA25" s="36"/>
      <c r="BB25" s="32"/>
      <c r="BC25" s="501"/>
      <c r="BD25" s="50"/>
      <c r="BE25" s="50"/>
      <c r="BF25" s="50"/>
    </row>
    <row r="26" spans="1:58" ht="12.75" customHeight="1">
      <c r="A26" s="39">
        <v>46086</v>
      </c>
      <c r="B26" s="40" t="s">
        <v>7</v>
      </c>
      <c r="C26" s="413">
        <f t="shared" ref="C26:C28" si="35">(M26*E26*O26*Q26)/100000000</f>
        <v>25.577318357142858</v>
      </c>
      <c r="D26" s="40" t="s">
        <v>301</v>
      </c>
      <c r="E26" s="41">
        <v>14</v>
      </c>
      <c r="F26" s="41">
        <v>1</v>
      </c>
      <c r="G26" s="497">
        <f>+L26</f>
        <v>1155.8024691358025</v>
      </c>
      <c r="H26" s="43">
        <f t="shared" ref="H26:H28" si="36">+N26</f>
        <v>0.25</v>
      </c>
      <c r="I26" s="44">
        <v>0.88</v>
      </c>
      <c r="J26" s="81">
        <f t="shared" ref="J26:J28" si="37">E26*G26*(1-H26)*1440/1000000*2.74</f>
        <v>47.883509333333336</v>
      </c>
      <c r="K26" s="81">
        <f t="shared" ref="K26:K28" si="38">(IF(G26&lt;L26,L26,G26)*(1-IF(H26&lt;N26,H26,N26))*E26*O26*Q26)/100000000</f>
        <v>25.577318357142865</v>
      </c>
      <c r="L26" s="34">
        <v>1155.8024691358025</v>
      </c>
      <c r="M26" s="34">
        <v>866.85185185185185</v>
      </c>
      <c r="N26" s="45">
        <f t="shared" ref="N26:N28" si="39">1-(M26/L26)</f>
        <v>0.25</v>
      </c>
      <c r="O26" s="46">
        <f>+'Trim Rwd'!H16</f>
        <v>260.19387755102042</v>
      </c>
      <c r="P26" s="47">
        <f t="shared" ref="P26:P28" si="40">O26*(Q26-R26-S26)</f>
        <v>200869.67346938775</v>
      </c>
      <c r="Q26" s="46">
        <v>810</v>
      </c>
      <c r="R26" s="498">
        <v>0</v>
      </c>
      <c r="S26" s="498">
        <v>38</v>
      </c>
      <c r="T26" s="36">
        <f t="shared" ref="T26:T28" si="41">E26*M26*O26*Q26/100000000</f>
        <v>25.577318357142858</v>
      </c>
      <c r="U26" s="36">
        <f t="shared" ref="U26:U28" si="42">E26*M26*O26*(Q26-R26-S26)/100000000</f>
        <v>24.377394779894182</v>
      </c>
      <c r="V26" s="36">
        <f t="shared" ref="V26:V28" si="43">E26*G26*(1-N26)*O26/100*(R26+S26)/1000000</f>
        <v>1.1999235772486776</v>
      </c>
      <c r="W26" s="36">
        <f>+'5'!K8/1000</f>
        <v>25.388000000000002</v>
      </c>
      <c r="X26" s="499">
        <f>SUM(W26:W30)/SUM(K26:K30)</f>
        <v>0.82227366207082131</v>
      </c>
      <c r="Y26" s="210">
        <v>0</v>
      </c>
      <c r="Z26" s="36">
        <f>+'5'!D16/1000</f>
        <v>0.28999999999999998</v>
      </c>
      <c r="AA26" s="48">
        <f>SUM(U26:U30)-SUM(W26:W30)-SUM(Z26:Z30)-SUM(Y26:Y30)</f>
        <v>5.008017179894181</v>
      </c>
      <c r="AB26" s="48">
        <f>(SUM(K26:K30)-SUM(W26:W30)-SUM(Y26:Y30)-SUM(Z26:Z30)-SUM(AC26:AC30)-SUM(V26:V30))-AA26</f>
        <v>-4.1508999999988028E-2</v>
      </c>
      <c r="AC26" s="36">
        <f>K26-T26</f>
        <v>0</v>
      </c>
      <c r="AD26" s="36">
        <f>+AM26+BA26</f>
        <v>17</v>
      </c>
      <c r="AE26" s="229" t="s">
        <v>435</v>
      </c>
      <c r="AF26" s="36">
        <v>17</v>
      </c>
      <c r="AG26" s="36"/>
      <c r="AH26" s="36"/>
      <c r="AI26" s="500"/>
      <c r="AJ26" s="36"/>
      <c r="AK26" s="36"/>
      <c r="AL26" s="36"/>
      <c r="AM26" s="36">
        <f t="shared" ref="AM26:AM29" si="44">SUM(AF26:AL26)+AT26+AV26+AX26</f>
        <v>17</v>
      </c>
      <c r="AN26" s="36"/>
      <c r="AO26" s="36"/>
      <c r="AP26" s="36"/>
      <c r="AQ26" s="36"/>
      <c r="AR26" s="36">
        <f>SUM(AN26:AQ26)</f>
        <v>0</v>
      </c>
      <c r="AS26" s="36"/>
      <c r="AT26" s="36"/>
      <c r="AU26" s="36"/>
      <c r="AV26" s="36"/>
      <c r="AW26" s="36"/>
      <c r="AX26" s="36"/>
      <c r="AY26" s="36"/>
      <c r="AZ26" s="36"/>
      <c r="BA26" s="36">
        <f>+AR26+AS26+AU26+AW26+AY26+AZ26</f>
        <v>0</v>
      </c>
      <c r="BB26" s="32">
        <v>6</v>
      </c>
      <c r="BC26" s="50"/>
      <c r="BD26" s="50"/>
      <c r="BE26" s="32"/>
      <c r="BF26" s="50"/>
    </row>
    <row r="27" spans="1:58" ht="12.95" customHeight="1">
      <c r="A27" s="39"/>
      <c r="B27" s="40" t="s">
        <v>7</v>
      </c>
      <c r="C27" s="413">
        <f t="shared" si="35"/>
        <v>12.324312000000001</v>
      </c>
      <c r="D27" s="40" t="s">
        <v>301</v>
      </c>
      <c r="E27" s="41">
        <v>13.5</v>
      </c>
      <c r="F27" s="41">
        <v>1</v>
      </c>
      <c r="G27" s="497">
        <v>1230</v>
      </c>
      <c r="H27" s="43">
        <f t="shared" si="36"/>
        <v>0.22999999999999998</v>
      </c>
      <c r="I27" s="44">
        <v>0.88</v>
      </c>
      <c r="J27" s="81">
        <f t="shared" si="37"/>
        <v>50.447849760000004</v>
      </c>
      <c r="K27" s="81">
        <f t="shared" si="38"/>
        <v>12.632419799999999</v>
      </c>
      <c r="L27" s="34">
        <v>1200</v>
      </c>
      <c r="M27" s="34">
        <v>924</v>
      </c>
      <c r="N27" s="45">
        <f t="shared" si="39"/>
        <v>0.22999999999999998</v>
      </c>
      <c r="O27" s="46">
        <f>+'Trim Rwd'!H18</f>
        <v>260</v>
      </c>
      <c r="P27" s="47">
        <f t="shared" si="40"/>
        <v>93600</v>
      </c>
      <c r="Q27" s="46">
        <v>380</v>
      </c>
      <c r="R27" s="498">
        <v>0</v>
      </c>
      <c r="S27" s="498">
        <f>74-S26-S28</f>
        <v>20</v>
      </c>
      <c r="T27" s="36">
        <f t="shared" si="41"/>
        <v>12.324312000000001</v>
      </c>
      <c r="U27" s="36">
        <f t="shared" si="42"/>
        <v>11.675663999999999</v>
      </c>
      <c r="V27" s="36">
        <f t="shared" si="43"/>
        <v>0.66486419999999991</v>
      </c>
      <c r="W27" s="36">
        <f>+'5'!K10/1000</f>
        <v>10.827</v>
      </c>
      <c r="X27" s="37"/>
      <c r="Y27" s="210"/>
      <c r="Z27" s="36"/>
      <c r="AA27" s="36"/>
      <c r="AB27" s="36"/>
      <c r="AC27" s="36">
        <f t="shared" ref="AC27:AC28" si="45">K27-T27</f>
        <v>0.30810779999999838</v>
      </c>
      <c r="AD27" s="36">
        <f>+AM27+BA27</f>
        <v>0</v>
      </c>
      <c r="AE27" s="229" t="s">
        <v>283</v>
      </c>
      <c r="AF27" s="36"/>
      <c r="AG27" s="36">
        <v>0</v>
      </c>
      <c r="AH27" s="36"/>
      <c r="AI27" s="500"/>
      <c r="AJ27" s="36"/>
      <c r="AK27" s="36"/>
      <c r="AL27" s="36"/>
      <c r="AM27" s="36">
        <f t="shared" si="44"/>
        <v>0</v>
      </c>
      <c r="AN27" s="82"/>
      <c r="AO27" s="36"/>
      <c r="AP27" s="36"/>
      <c r="AQ27" s="36"/>
      <c r="AR27" s="36">
        <f t="shared" ref="AR27:AR29" si="46">SUM(AN27:AQ27)</f>
        <v>0</v>
      </c>
      <c r="AS27" s="36"/>
      <c r="AT27" s="36"/>
      <c r="AU27" s="36"/>
      <c r="AV27" s="36"/>
      <c r="AW27" s="36"/>
      <c r="AX27" s="36"/>
      <c r="AY27" s="36"/>
      <c r="AZ27" s="36"/>
      <c r="BA27" s="36">
        <f>+AR27+AS27+AU27+AW27+AY27+AZ27</f>
        <v>0</v>
      </c>
      <c r="BB27" s="49"/>
      <c r="BC27" s="50">
        <v>0</v>
      </c>
      <c r="BD27" s="50"/>
      <c r="BE27" s="49"/>
      <c r="BF27" s="50"/>
    </row>
    <row r="28" spans="1:58" ht="12.95" customHeight="1">
      <c r="A28" s="39"/>
      <c r="B28" s="40" t="s">
        <v>7</v>
      </c>
      <c r="C28" s="413">
        <f t="shared" si="35"/>
        <v>8.6943999999999999</v>
      </c>
      <c r="D28" s="40" t="s">
        <v>301</v>
      </c>
      <c r="E28" s="41">
        <v>16</v>
      </c>
      <c r="F28" s="41">
        <v>1</v>
      </c>
      <c r="G28" s="497">
        <v>1150</v>
      </c>
      <c r="H28" s="43">
        <f t="shared" si="36"/>
        <v>0.24</v>
      </c>
      <c r="I28" s="44">
        <v>0.88</v>
      </c>
      <c r="J28" s="81">
        <f t="shared" si="37"/>
        <v>55.175270400000002</v>
      </c>
      <c r="K28" s="81">
        <f t="shared" si="38"/>
        <v>9.0896000000000008</v>
      </c>
      <c r="L28" s="34">
        <v>1100</v>
      </c>
      <c r="M28" s="34">
        <v>836</v>
      </c>
      <c r="N28" s="45">
        <f t="shared" si="39"/>
        <v>0.24</v>
      </c>
      <c r="O28" s="46">
        <f>+'Trim Rwd'!H19</f>
        <v>260</v>
      </c>
      <c r="P28" s="47">
        <f t="shared" si="40"/>
        <v>60840</v>
      </c>
      <c r="Q28" s="46">
        <v>250</v>
      </c>
      <c r="R28" s="498">
        <v>0</v>
      </c>
      <c r="S28" s="498">
        <v>16</v>
      </c>
      <c r="T28" s="36">
        <f t="shared" si="41"/>
        <v>8.6943999999999999</v>
      </c>
      <c r="U28" s="36">
        <f t="shared" si="42"/>
        <v>8.1379584000000005</v>
      </c>
      <c r="V28" s="36">
        <f t="shared" si="43"/>
        <v>0.58173439999999998</v>
      </c>
      <c r="W28" s="36">
        <f>+'5'!K9/1000</f>
        <v>2.6779999999999999</v>
      </c>
      <c r="X28" s="37"/>
      <c r="Y28" s="210"/>
      <c r="Z28" s="36"/>
      <c r="AA28" s="36"/>
      <c r="AB28" s="36"/>
      <c r="AC28" s="36">
        <f t="shared" si="45"/>
        <v>0.39520000000000088</v>
      </c>
      <c r="AD28" s="36">
        <f>+AM28+BA28</f>
        <v>57</v>
      </c>
      <c r="AE28" s="229" t="s">
        <v>456</v>
      </c>
      <c r="AF28" s="32"/>
      <c r="AG28" s="32"/>
      <c r="AH28" s="32">
        <v>57</v>
      </c>
      <c r="AJ28" s="36"/>
      <c r="AK28" s="36"/>
      <c r="AL28" s="36"/>
      <c r="AM28" s="36">
        <f t="shared" si="44"/>
        <v>57</v>
      </c>
      <c r="AN28" s="36"/>
      <c r="AO28" s="36"/>
      <c r="AP28" s="36"/>
      <c r="AQ28" s="36"/>
      <c r="AR28" s="36">
        <f t="shared" si="46"/>
        <v>0</v>
      </c>
      <c r="AS28" s="36"/>
      <c r="AT28" s="36"/>
      <c r="AU28" s="36"/>
      <c r="AV28" s="36"/>
      <c r="AW28" s="36"/>
      <c r="AX28" s="36"/>
      <c r="AY28" s="36"/>
      <c r="AZ28" s="36"/>
      <c r="BA28" s="36">
        <f>+AR28+AS28+AU28+AW28+AY28+AZ28</f>
        <v>0</v>
      </c>
      <c r="BB28" s="32"/>
      <c r="BC28" s="501"/>
      <c r="BD28" s="501"/>
      <c r="BE28" s="32"/>
      <c r="BF28" s="501"/>
    </row>
    <row r="29" spans="1:58" ht="12.95" customHeight="1">
      <c r="A29" s="39"/>
      <c r="B29" s="40"/>
      <c r="C29" s="413"/>
      <c r="D29" s="40"/>
      <c r="E29" s="41"/>
      <c r="F29" s="41"/>
      <c r="G29" s="42"/>
      <c r="H29" s="43"/>
      <c r="I29" s="44"/>
      <c r="J29" s="81"/>
      <c r="K29" s="81"/>
      <c r="L29" s="34"/>
      <c r="M29" s="34"/>
      <c r="N29" s="45"/>
      <c r="O29" s="46"/>
      <c r="P29" s="47"/>
      <c r="Q29" s="33"/>
      <c r="R29" s="498"/>
      <c r="S29" s="498"/>
      <c r="T29" s="36"/>
      <c r="U29" s="36"/>
      <c r="V29" s="36"/>
      <c r="W29" s="36"/>
      <c r="X29" s="37"/>
      <c r="Y29" s="210"/>
      <c r="Z29" s="36"/>
      <c r="AA29" s="36"/>
      <c r="AB29" s="36"/>
      <c r="AC29" s="36"/>
      <c r="AD29" s="36">
        <f>+AM29+BA29</f>
        <v>0</v>
      </c>
      <c r="AE29" s="232" t="s">
        <v>377</v>
      </c>
      <c r="AF29" s="36"/>
      <c r="AG29" s="36"/>
      <c r="AH29" s="36"/>
      <c r="AI29" s="500">
        <v>0</v>
      </c>
      <c r="AJ29" s="36"/>
      <c r="AK29" s="36"/>
      <c r="AL29" s="36"/>
      <c r="AM29" s="36">
        <f t="shared" si="44"/>
        <v>0</v>
      </c>
      <c r="AN29" s="36"/>
      <c r="AO29" s="36"/>
      <c r="AP29" s="36"/>
      <c r="AQ29" s="36"/>
      <c r="AR29" s="36">
        <f t="shared" si="46"/>
        <v>0</v>
      </c>
      <c r="AS29" s="36"/>
      <c r="AT29" s="36"/>
      <c r="AU29" s="36"/>
      <c r="AV29" s="36"/>
      <c r="AW29" s="36"/>
      <c r="AX29" s="36"/>
      <c r="AY29" s="36"/>
      <c r="AZ29" s="36"/>
      <c r="BA29" s="36">
        <f>+AR29+AS29+AU29+AW29+AY29+AZ29</f>
        <v>0</v>
      </c>
      <c r="BB29" s="49"/>
      <c r="BC29" s="50"/>
      <c r="BD29" s="50"/>
      <c r="BE29" s="49"/>
      <c r="BF29" s="50"/>
    </row>
    <row r="30" spans="1:58" ht="12.95" customHeight="1">
      <c r="A30" s="39"/>
      <c r="B30" s="40"/>
      <c r="C30" s="413"/>
      <c r="D30" s="40"/>
      <c r="E30" s="41"/>
      <c r="F30" s="41"/>
      <c r="G30" s="42"/>
      <c r="H30" s="43"/>
      <c r="I30" s="44"/>
      <c r="J30" s="81"/>
      <c r="K30" s="81"/>
      <c r="L30" s="34"/>
      <c r="M30" s="34"/>
      <c r="N30" s="45"/>
      <c r="O30" s="46"/>
      <c r="P30" s="47"/>
      <c r="Q30" s="46"/>
      <c r="R30" s="498"/>
      <c r="S30" s="498"/>
      <c r="T30" s="36"/>
      <c r="U30" s="36"/>
      <c r="V30" s="36"/>
      <c r="W30" s="36"/>
      <c r="X30" s="37"/>
      <c r="Y30" s="210"/>
      <c r="Z30" s="36"/>
      <c r="AA30" s="36"/>
      <c r="AB30" s="36"/>
      <c r="AC30" s="36"/>
      <c r="AD30" s="36"/>
      <c r="AE30" s="229"/>
      <c r="AF30" s="32"/>
      <c r="AG30" s="32"/>
      <c r="AH30" s="32"/>
      <c r="AJ30" s="36"/>
      <c r="AK30" s="36"/>
      <c r="AL30" s="36"/>
      <c r="AM30" s="36"/>
      <c r="AN30" s="36"/>
      <c r="AO30" s="36"/>
      <c r="AP30" s="36"/>
      <c r="AQ30" s="36"/>
      <c r="AR30" s="36"/>
      <c r="AS30" s="36"/>
      <c r="AT30" s="36"/>
      <c r="AU30" s="36"/>
      <c r="AV30" s="36"/>
      <c r="AW30" s="36"/>
      <c r="AX30" s="36"/>
      <c r="AY30" s="36"/>
      <c r="AZ30" s="36"/>
      <c r="BA30" s="36"/>
      <c r="BB30" s="32"/>
      <c r="BC30" s="501"/>
      <c r="BD30" s="50"/>
      <c r="BE30" s="49"/>
      <c r="BF30" s="50"/>
    </row>
    <row r="31" spans="1:58" ht="12.75" customHeight="1">
      <c r="A31" s="39">
        <v>46087</v>
      </c>
      <c r="B31" s="40" t="s">
        <v>7</v>
      </c>
      <c r="C31" s="413">
        <f t="shared" ref="C31:C32" si="47">(M31*E31*O31*Q31)/100000000</f>
        <v>24.680224800000001</v>
      </c>
      <c r="D31" s="40" t="s">
        <v>301</v>
      </c>
      <c r="E31" s="41">
        <v>16</v>
      </c>
      <c r="F31" s="41">
        <v>1</v>
      </c>
      <c r="G31" s="497">
        <v>1135</v>
      </c>
      <c r="H31" s="43">
        <f t="shared" ref="H31:H32" si="48">+N31</f>
        <v>0.22999999999999998</v>
      </c>
      <c r="I31" s="44">
        <v>0.88</v>
      </c>
      <c r="J31" s="81">
        <f t="shared" ref="J31:J32" si="49">E31*G31*(1-H31)*1440/1000000*2.74</f>
        <v>55.172113920000008</v>
      </c>
      <c r="K31" s="81">
        <f t="shared" ref="K31:K32" si="50">(IF(G31&lt;L31,L31,G31)*(1-IF(H31&lt;N31,H31,N31))*E31*O31*Q31)/100000000</f>
        <v>25.465504679999999</v>
      </c>
      <c r="L31" s="34">
        <v>1100</v>
      </c>
      <c r="M31" s="34">
        <v>847</v>
      </c>
      <c r="N31" s="45">
        <f t="shared" ref="N31:N32" si="51">1-(M31/L31)</f>
        <v>0.22999999999999998</v>
      </c>
      <c r="O31" s="46">
        <f>+'Trim Rwd'!H21</f>
        <v>256.5</v>
      </c>
      <c r="P31" s="47">
        <f t="shared" ref="P31:P32" si="52">O31*(Q31-R31-S31)</f>
        <v>176472</v>
      </c>
      <c r="Q31" s="46">
        <v>710</v>
      </c>
      <c r="R31" s="498">
        <v>0</v>
      </c>
      <c r="S31" s="498">
        <v>22</v>
      </c>
      <c r="T31" s="36">
        <f t="shared" ref="T31:T32" si="53">E31*M31*O31*Q31/100000000</f>
        <v>24.680224800000001</v>
      </c>
      <c r="U31" s="36">
        <f t="shared" ref="U31:U32" si="54">E31*M31*O31*(Q31-R31-S31)/100000000</f>
        <v>23.915485440000001</v>
      </c>
      <c r="V31" s="36">
        <f t="shared" ref="V31:V32" si="55">E31*G31*(1-N31)*O31/100*(R31+S31)/1000000</f>
        <v>0.78907197600000001</v>
      </c>
      <c r="W31" s="36">
        <f>+'6'!K9/1000</f>
        <v>25.922999999999998</v>
      </c>
      <c r="X31" s="499">
        <f>SUM(W31:W35)/SUM(K31:K35)</f>
        <v>0.73506060549825381</v>
      </c>
      <c r="Y31" s="210">
        <v>0</v>
      </c>
      <c r="Z31" s="36">
        <v>0</v>
      </c>
      <c r="AA31" s="48">
        <f>SUM(U31:U35)-SUM(W31:W35)-SUM(Z31:Z35)-SUM(Y31:Y35)</f>
        <v>0.80396208000000158</v>
      </c>
      <c r="AB31" s="48">
        <f>(SUM(K31:K35)-SUM(W31:W35)-SUM(Y31:Y35)-SUM(Z31:Z35)-SUM(AC31:AC35)-SUM(V31:V35))-AA31</f>
        <v>-0.21172262399999475</v>
      </c>
      <c r="AC31" s="36">
        <f>K31-T31</f>
        <v>0.78527987999999738</v>
      </c>
      <c r="AD31" s="36">
        <f>+AM31+BA31</f>
        <v>15</v>
      </c>
      <c r="AE31" s="229" t="s">
        <v>497</v>
      </c>
      <c r="AF31" s="36">
        <v>15</v>
      </c>
      <c r="AG31" s="36"/>
      <c r="AH31" s="36"/>
      <c r="AI31" s="500"/>
      <c r="AJ31" s="36"/>
      <c r="AK31" s="36"/>
      <c r="AL31" s="36"/>
      <c r="AM31" s="36">
        <f t="shared" ref="AM31:AM34" si="56">SUM(AF31:AL31)+AT31+AV31+AX31</f>
        <v>15</v>
      </c>
      <c r="AN31" s="36"/>
      <c r="AO31" s="36"/>
      <c r="AP31" s="36"/>
      <c r="AQ31" s="36"/>
      <c r="AR31" s="36">
        <f>SUM(AN31:AQ31)</f>
        <v>0</v>
      </c>
      <c r="AS31" s="36"/>
      <c r="AT31" s="36"/>
      <c r="AU31" s="36"/>
      <c r="AV31" s="36"/>
      <c r="AW31" s="36"/>
      <c r="AX31" s="36"/>
      <c r="AY31" s="36"/>
      <c r="AZ31" s="36"/>
      <c r="BA31" s="36">
        <f>+AR31+AS31+AU31+AW31+AY31+AZ31</f>
        <v>0</v>
      </c>
      <c r="BB31" s="32">
        <v>5</v>
      </c>
      <c r="BC31" s="50"/>
      <c r="BD31" s="50">
        <v>1</v>
      </c>
      <c r="BE31" s="32"/>
      <c r="BF31" s="50"/>
    </row>
    <row r="32" spans="1:58" ht="12.95" customHeight="1">
      <c r="A32" s="39"/>
      <c r="B32" s="40" t="s">
        <v>7</v>
      </c>
      <c r="C32" s="413">
        <f t="shared" si="47"/>
        <v>12.584076960000001</v>
      </c>
      <c r="D32" s="40" t="s">
        <v>301</v>
      </c>
      <c r="E32" s="41">
        <v>13</v>
      </c>
      <c r="F32" s="41">
        <v>1</v>
      </c>
      <c r="G32" s="497">
        <v>1230</v>
      </c>
      <c r="H32" s="43">
        <f t="shared" si="48"/>
        <v>0.24</v>
      </c>
      <c r="I32" s="44">
        <v>0.88</v>
      </c>
      <c r="J32" s="81">
        <f t="shared" si="49"/>
        <v>47.948509440000002</v>
      </c>
      <c r="K32" s="81">
        <f t="shared" si="50"/>
        <v>12.898678883999999</v>
      </c>
      <c r="L32" s="34">
        <v>1200</v>
      </c>
      <c r="M32" s="34">
        <v>912</v>
      </c>
      <c r="N32" s="45">
        <f t="shared" si="51"/>
        <v>0.24</v>
      </c>
      <c r="O32" s="46">
        <f>+'Trim Rwd'!H25</f>
        <v>257</v>
      </c>
      <c r="P32" s="47">
        <f t="shared" si="52"/>
        <v>42919</v>
      </c>
      <c r="Q32" s="46">
        <f>730-317</f>
        <v>413</v>
      </c>
      <c r="R32" s="498">
        <f>540-317</f>
        <v>223</v>
      </c>
      <c r="S32" s="498">
        <v>23</v>
      </c>
      <c r="T32" s="36">
        <f t="shared" si="53"/>
        <v>12.584076960000001</v>
      </c>
      <c r="U32" s="36">
        <f t="shared" si="54"/>
        <v>5.0884766399999997</v>
      </c>
      <c r="V32" s="36">
        <f t="shared" si="55"/>
        <v>7.6829903279999998</v>
      </c>
      <c r="W32" s="36">
        <f>+'6'!K11/1000</f>
        <v>2.2770000000000001</v>
      </c>
      <c r="X32" s="37"/>
      <c r="Y32" s="210"/>
      <c r="Z32" s="36"/>
      <c r="AA32" s="36"/>
      <c r="AB32" s="36"/>
      <c r="AC32" s="36">
        <f t="shared" ref="AC32" si="57">K32-T32</f>
        <v>0.31460192399999798</v>
      </c>
      <c r="AD32" s="36">
        <f>+AM32+BA32</f>
        <v>0</v>
      </c>
      <c r="AE32" s="229" t="s">
        <v>283</v>
      </c>
      <c r="AF32" s="36"/>
      <c r="AG32" s="36">
        <v>0</v>
      </c>
      <c r="AH32" s="36"/>
      <c r="AI32" s="500"/>
      <c r="AJ32" s="36"/>
      <c r="AK32" s="36"/>
      <c r="AL32" s="36"/>
      <c r="AM32" s="36">
        <f t="shared" si="56"/>
        <v>0</v>
      </c>
      <c r="AN32" s="82"/>
      <c r="AO32" s="36"/>
      <c r="AP32" s="36"/>
      <c r="AQ32" s="36"/>
      <c r="AR32" s="36">
        <f t="shared" ref="AR32:AR34" si="58">SUM(AN32:AQ32)</f>
        <v>0</v>
      </c>
      <c r="AS32" s="36"/>
      <c r="AT32" s="36"/>
      <c r="AU32" s="36"/>
      <c r="AV32" s="36"/>
      <c r="AW32" s="36"/>
      <c r="AX32" s="36"/>
      <c r="AY32" s="36"/>
      <c r="AZ32" s="36"/>
      <c r="BA32" s="36">
        <f>+AR32+AS32+AU32+AW32+AY32+AZ32</f>
        <v>0</v>
      </c>
      <c r="BB32" s="49"/>
      <c r="BC32" s="50">
        <v>0</v>
      </c>
      <c r="BD32" s="50"/>
      <c r="BE32" s="49"/>
      <c r="BF32" s="50"/>
    </row>
    <row r="33" spans="1:58" ht="12.95" customHeight="1">
      <c r="A33" s="39"/>
      <c r="B33" s="40"/>
      <c r="C33" s="413"/>
      <c r="D33" s="40"/>
      <c r="E33" s="41"/>
      <c r="F33" s="41"/>
      <c r="G33" s="497"/>
      <c r="H33" s="43"/>
      <c r="I33" s="44"/>
      <c r="J33" s="81"/>
      <c r="K33" s="81"/>
      <c r="L33" s="34"/>
      <c r="M33" s="34"/>
      <c r="N33" s="45"/>
      <c r="O33" s="46"/>
      <c r="P33" s="47"/>
      <c r="Q33" s="46"/>
      <c r="R33" s="498"/>
      <c r="S33" s="498"/>
      <c r="T33" s="36"/>
      <c r="U33" s="36"/>
      <c r="V33" s="36"/>
      <c r="W33" s="36"/>
      <c r="X33" s="37"/>
      <c r="Y33" s="210"/>
      <c r="Z33" s="36"/>
      <c r="AA33" s="36"/>
      <c r="AB33" s="36"/>
      <c r="AC33" s="36"/>
      <c r="AD33" s="36">
        <f>+AM33+BA33</f>
        <v>30</v>
      </c>
      <c r="AE33" s="229" t="s">
        <v>498</v>
      </c>
      <c r="AF33" s="32"/>
      <c r="AG33" s="32"/>
      <c r="AH33" s="32">
        <v>30</v>
      </c>
      <c r="AJ33" s="36"/>
      <c r="AK33" s="36"/>
      <c r="AL33" s="36"/>
      <c r="AM33" s="36">
        <f t="shared" si="56"/>
        <v>30</v>
      </c>
      <c r="AN33" s="36"/>
      <c r="AO33" s="36"/>
      <c r="AP33" s="36"/>
      <c r="AQ33" s="36"/>
      <c r="AR33" s="36">
        <f t="shared" si="58"/>
        <v>0</v>
      </c>
      <c r="AS33" s="36"/>
      <c r="AT33" s="36"/>
      <c r="AU33" s="36"/>
      <c r="AV33" s="36"/>
      <c r="AW33" s="36"/>
      <c r="AX33" s="36"/>
      <c r="AY33" s="36"/>
      <c r="AZ33" s="36"/>
      <c r="BA33" s="36">
        <f>+AR33+AS33+AU33+AW33+AY33+AZ33</f>
        <v>0</v>
      </c>
      <c r="BB33" s="32"/>
      <c r="BC33" s="501"/>
      <c r="BD33" s="501"/>
      <c r="BE33" s="32"/>
      <c r="BF33" s="501"/>
    </row>
    <row r="34" spans="1:58" ht="12.95" customHeight="1">
      <c r="A34" s="39"/>
      <c r="B34" s="40"/>
      <c r="C34" s="413"/>
      <c r="D34" s="40"/>
      <c r="E34" s="41"/>
      <c r="F34" s="41"/>
      <c r="G34" s="42"/>
      <c r="H34" s="43"/>
      <c r="I34" s="44"/>
      <c r="J34" s="81"/>
      <c r="K34" s="81"/>
      <c r="L34" s="34"/>
      <c r="M34" s="34"/>
      <c r="N34" s="45"/>
      <c r="O34" s="46"/>
      <c r="P34" s="47"/>
      <c r="Q34" s="33"/>
      <c r="R34" s="498"/>
      <c r="S34" s="498"/>
      <c r="T34" s="36"/>
      <c r="U34" s="36"/>
      <c r="V34" s="36"/>
      <c r="W34" s="36"/>
      <c r="X34" s="37"/>
      <c r="Y34" s="210"/>
      <c r="Z34" s="36"/>
      <c r="AA34" s="36"/>
      <c r="AB34" s="36"/>
      <c r="AC34" s="36"/>
      <c r="AD34" s="36">
        <f>+AM34+BA34</f>
        <v>0</v>
      </c>
      <c r="AE34" s="232" t="s">
        <v>377</v>
      </c>
      <c r="AF34" s="36"/>
      <c r="AG34" s="36"/>
      <c r="AH34" s="36"/>
      <c r="AI34" s="500">
        <v>0</v>
      </c>
      <c r="AJ34" s="36"/>
      <c r="AK34" s="36"/>
      <c r="AL34" s="36"/>
      <c r="AM34" s="36">
        <f t="shared" si="56"/>
        <v>0</v>
      </c>
      <c r="AN34" s="36"/>
      <c r="AO34" s="36"/>
      <c r="AP34" s="36"/>
      <c r="AQ34" s="36"/>
      <c r="AR34" s="36">
        <f t="shared" si="58"/>
        <v>0</v>
      </c>
      <c r="AS34" s="36"/>
      <c r="AT34" s="36"/>
      <c r="AU34" s="36"/>
      <c r="AV34" s="36"/>
      <c r="AW34" s="36"/>
      <c r="AX34" s="36"/>
      <c r="AY34" s="36"/>
      <c r="AZ34" s="36"/>
      <c r="BA34" s="36">
        <f>+AR34+AS34+AU34+AW34+AY34+AZ34</f>
        <v>0</v>
      </c>
      <c r="BB34" s="49"/>
      <c r="BC34" s="50"/>
      <c r="BD34" s="50"/>
      <c r="BE34" s="49"/>
      <c r="BF34" s="50"/>
    </row>
    <row r="35" spans="1:58" ht="12.95" customHeight="1">
      <c r="A35" s="39"/>
      <c r="B35" s="40"/>
      <c r="C35" s="413"/>
      <c r="D35" s="40"/>
      <c r="E35" s="41"/>
      <c r="F35" s="41"/>
      <c r="G35" s="42"/>
      <c r="H35" s="43"/>
      <c r="I35" s="44"/>
      <c r="J35" s="81"/>
      <c r="K35" s="81"/>
      <c r="L35" s="34"/>
      <c r="M35" s="34"/>
      <c r="N35" s="45"/>
      <c r="O35" s="46"/>
      <c r="P35" s="47"/>
      <c r="Q35" s="33"/>
      <c r="R35" s="498"/>
      <c r="S35" s="498"/>
      <c r="T35" s="36"/>
      <c r="U35" s="36"/>
      <c r="V35" s="36"/>
      <c r="W35" s="36"/>
      <c r="X35" s="37"/>
      <c r="Y35" s="210"/>
      <c r="Z35" s="36"/>
      <c r="AA35" s="36"/>
      <c r="AB35" s="36"/>
      <c r="AC35" s="36"/>
      <c r="AD35" s="36">
        <f>+AM35+BA35</f>
        <v>223</v>
      </c>
      <c r="AE35" s="232" t="s">
        <v>499</v>
      </c>
      <c r="AF35" s="36"/>
      <c r="AG35" s="36"/>
      <c r="AH35" s="36"/>
      <c r="AI35" s="500">
        <v>0</v>
      </c>
      <c r="AJ35" s="36"/>
      <c r="AK35" s="36"/>
      <c r="AL35" s="36"/>
      <c r="AM35" s="36">
        <f t="shared" ref="AM35" si="59">SUM(AF35:AL35)+AT35+AV35+AX35</f>
        <v>0</v>
      </c>
      <c r="AN35" s="36"/>
      <c r="AO35" s="36"/>
      <c r="AP35" s="36"/>
      <c r="AQ35" s="36"/>
      <c r="AR35" s="36">
        <f t="shared" ref="AR35" si="60">SUM(AN35:AQ35)</f>
        <v>0</v>
      </c>
      <c r="AS35" s="36"/>
      <c r="AT35" s="36"/>
      <c r="AU35" s="36"/>
      <c r="AV35" s="36"/>
      <c r="AW35" s="36">
        <f>540-317</f>
        <v>223</v>
      </c>
      <c r="AX35" s="36"/>
      <c r="AY35" s="36"/>
      <c r="AZ35" s="36"/>
      <c r="BA35" s="36">
        <f>+AR35+AS35+AU35+AW35+AY35+AZ35</f>
        <v>223</v>
      </c>
      <c r="BB35" s="49"/>
      <c r="BC35" s="50"/>
      <c r="BD35" s="50"/>
      <c r="BE35" s="49"/>
      <c r="BF35" s="50"/>
    </row>
    <row r="36" spans="1:58" ht="12.95" customHeight="1">
      <c r="A36" s="39"/>
      <c r="B36" s="40"/>
      <c r="C36" s="413"/>
      <c r="D36" s="40"/>
      <c r="E36" s="41"/>
      <c r="F36" s="41"/>
      <c r="G36" s="42"/>
      <c r="H36" s="43"/>
      <c r="I36" s="44"/>
      <c r="J36" s="81"/>
      <c r="K36" s="81"/>
      <c r="L36" s="34"/>
      <c r="M36" s="34"/>
      <c r="N36" s="45"/>
      <c r="O36" s="46"/>
      <c r="P36" s="47"/>
      <c r="Q36" s="33"/>
      <c r="R36" s="498"/>
      <c r="S36" s="498"/>
      <c r="T36" s="36"/>
      <c r="U36" s="36"/>
      <c r="V36" s="36"/>
      <c r="W36" s="36"/>
      <c r="X36" s="37"/>
      <c r="Y36" s="210"/>
      <c r="Z36" s="36"/>
      <c r="AA36" s="36"/>
      <c r="AB36" s="36"/>
      <c r="AC36" s="36"/>
      <c r="AD36" s="36"/>
      <c r="AE36" s="232"/>
      <c r="AF36" s="36"/>
      <c r="AG36" s="36"/>
      <c r="AH36" s="36"/>
      <c r="AI36" s="500"/>
      <c r="AJ36" s="36"/>
      <c r="AK36" s="36"/>
      <c r="AL36" s="36"/>
      <c r="AM36" s="36"/>
      <c r="AN36" s="36"/>
      <c r="AO36" s="36"/>
      <c r="AP36" s="36"/>
      <c r="AQ36" s="36"/>
      <c r="AR36" s="36"/>
      <c r="AS36" s="36"/>
      <c r="AT36" s="36"/>
      <c r="AU36" s="36"/>
      <c r="AV36" s="36"/>
      <c r="AW36" s="36"/>
      <c r="AX36" s="36"/>
      <c r="AY36" s="36"/>
      <c r="AZ36" s="36"/>
      <c r="BA36" s="36"/>
      <c r="BB36" s="49"/>
      <c r="BC36" s="50"/>
      <c r="BD36" s="501"/>
      <c r="BE36" s="32"/>
      <c r="BF36" s="501"/>
    </row>
    <row r="37" spans="1:58" ht="12.75" customHeight="1">
      <c r="A37" s="39">
        <v>46088</v>
      </c>
      <c r="B37" s="40" t="s">
        <v>551</v>
      </c>
      <c r="C37" s="413">
        <f t="shared" ref="C37:C38" si="61">(M37*E37*O37*Q37)/100000000</f>
        <v>15.766028630416246</v>
      </c>
      <c r="D37" s="40" t="s">
        <v>301</v>
      </c>
      <c r="E37" s="41">
        <v>14</v>
      </c>
      <c r="F37" s="41">
        <v>1</v>
      </c>
      <c r="G37" s="497">
        <v>1135</v>
      </c>
      <c r="H37" s="43">
        <f t="shared" ref="H37" si="62">+N37</f>
        <v>0.24</v>
      </c>
      <c r="I37" s="44">
        <v>0.88</v>
      </c>
      <c r="J37" s="81">
        <f t="shared" ref="J37:J38" si="63">E37*G37*(1-H37)*1440/1000000*2.74</f>
        <v>47.648643839999998</v>
      </c>
      <c r="K37" s="81">
        <f t="shared" ref="K37:K38" si="64">(IF(G37&lt;L37,L37,G37)*(1-IF(H37&lt;N37,H37,N37))*E37*O37*Q37)/100000000</f>
        <v>16.029488775999997</v>
      </c>
      <c r="L37" s="34">
        <v>1116.3451776649747</v>
      </c>
      <c r="M37" s="34">
        <v>848.42233502538079</v>
      </c>
      <c r="N37" s="45">
        <f t="shared" ref="N37:N38" si="65">1-(M37/L37)</f>
        <v>0.24</v>
      </c>
      <c r="O37" s="46">
        <f>+'Trim Rwd'!H27</f>
        <v>266</v>
      </c>
      <c r="P37" s="47">
        <f t="shared" ref="P37:P38" si="66">O37*(Q37-R37-S37)</f>
        <v>93366</v>
      </c>
      <c r="Q37" s="46">
        <f>907-408</f>
        <v>499</v>
      </c>
      <c r="R37" s="498">
        <f>513-408</f>
        <v>105</v>
      </c>
      <c r="S37" s="498">
        <f>25+18</f>
        <v>43</v>
      </c>
      <c r="T37" s="36">
        <f t="shared" ref="T37:T38" si="67">E37*M37*O37*Q37/100000000</f>
        <v>15.766028630416246</v>
      </c>
      <c r="U37" s="36">
        <f t="shared" ref="U37:U38" si="68">E37*M37*O37*(Q37-R37-S37)/100000000</f>
        <v>11.089931962477159</v>
      </c>
      <c r="V37" s="36">
        <f t="shared" ref="V37:V38" si="69">E37*G37*(1-N37)*O37/100*(R37+S37)/1000000</f>
        <v>4.754237152</v>
      </c>
      <c r="W37" s="36">
        <f>+'7'!K12/1000</f>
        <v>10.448</v>
      </c>
      <c r="X37" s="499">
        <f>SUM(W37:W41)/SUM(K37:K41)</f>
        <v>0.53063462712150511</v>
      </c>
      <c r="Y37" s="210">
        <v>0</v>
      </c>
      <c r="Z37" s="36">
        <v>0</v>
      </c>
      <c r="AA37" s="48">
        <f>SUM(U37:U41)-SUM(W37:W41)-SUM(Z37:Z41)-SUM(Y37:Y41)</f>
        <v>5.968609804977163</v>
      </c>
      <c r="AB37" s="48">
        <f>(SUM(K37:K41)-SUM(W37:W41)-SUM(Y37:Y41)-SUM(Z37:Z41)-SUM(AC37:AC41)-SUM(V37:V41))-AA37</f>
        <v>-0.22307098186056962</v>
      </c>
      <c r="AC37" s="36">
        <f>K37-T37</f>
        <v>0.26346014558375153</v>
      </c>
      <c r="AD37" s="36">
        <f t="shared" ref="AD37:AD43" si="70">+AM37+BA37</f>
        <v>0</v>
      </c>
      <c r="AE37" s="229" t="s">
        <v>384</v>
      </c>
      <c r="AF37" s="36">
        <v>0</v>
      </c>
      <c r="AG37" s="36"/>
      <c r="AH37" s="36"/>
      <c r="AI37" s="500"/>
      <c r="AJ37" s="36"/>
      <c r="AK37" s="36"/>
      <c r="AL37" s="36"/>
      <c r="AM37" s="36">
        <f t="shared" ref="AM37:AM40" si="71">SUM(AF37:AL37)+AT37+AV37+AX37</f>
        <v>0</v>
      </c>
      <c r="AN37" s="36"/>
      <c r="AO37" s="36"/>
      <c r="AP37" s="36"/>
      <c r="AQ37" s="36"/>
      <c r="AR37" s="36">
        <f>SUM(AN37:AQ37)</f>
        <v>0</v>
      </c>
      <c r="AS37" s="36"/>
      <c r="AT37" s="36"/>
      <c r="AU37" s="36"/>
      <c r="AV37" s="36"/>
      <c r="AW37" s="36"/>
      <c r="AX37" s="36"/>
      <c r="AY37" s="36"/>
      <c r="AZ37" s="36"/>
      <c r="BA37" s="36">
        <f t="shared" ref="BA37:BA43" si="72">+AR37+AS37+AU37+AW37+AY37+AZ37</f>
        <v>0</v>
      </c>
      <c r="BB37" s="32">
        <v>0</v>
      </c>
      <c r="BC37" s="50"/>
      <c r="BD37" s="50">
        <v>1</v>
      </c>
      <c r="BE37" s="32"/>
      <c r="BF37" s="50">
        <v>1</v>
      </c>
    </row>
    <row r="38" spans="1:58" ht="12.95" customHeight="1">
      <c r="A38" s="39"/>
      <c r="B38" s="40" t="s">
        <v>7</v>
      </c>
      <c r="C38" s="413">
        <f t="shared" si="61"/>
        <v>15.882981195249998</v>
      </c>
      <c r="D38" s="40" t="s">
        <v>301</v>
      </c>
      <c r="E38" s="41">
        <v>13</v>
      </c>
      <c r="F38" s="41">
        <v>1</v>
      </c>
      <c r="G38" s="497">
        <v>1230</v>
      </c>
      <c r="H38" s="43">
        <v>0.24</v>
      </c>
      <c r="I38" s="44">
        <v>0.88</v>
      </c>
      <c r="J38" s="81">
        <f t="shared" si="63"/>
        <v>47.948509440000002</v>
      </c>
      <c r="K38" s="81">
        <f t="shared" si="64"/>
        <v>16.646479043999999</v>
      </c>
      <c r="L38" s="34">
        <v>1183.2142857142858</v>
      </c>
      <c r="M38" s="34">
        <v>891.92499999999995</v>
      </c>
      <c r="N38" s="45">
        <f t="shared" si="65"/>
        <v>0.24618472683368553</v>
      </c>
      <c r="O38" s="46">
        <f>+'Trim Rwd'!H28</f>
        <v>257</v>
      </c>
      <c r="P38" s="47">
        <f t="shared" si="66"/>
        <v>105370</v>
      </c>
      <c r="Q38" s="46">
        <f>420+113</f>
        <v>533</v>
      </c>
      <c r="R38" s="498">
        <v>113</v>
      </c>
      <c r="S38" s="498">
        <v>10</v>
      </c>
      <c r="T38" s="36">
        <f t="shared" si="67"/>
        <v>15.882981195249998</v>
      </c>
      <c r="U38" s="36">
        <f t="shared" si="68"/>
        <v>12.217677842500001</v>
      </c>
      <c r="V38" s="36">
        <f t="shared" si="69"/>
        <v>3.8102338505496531</v>
      </c>
      <c r="W38" s="36">
        <f>+'7'!K11/1000</f>
        <v>6.891</v>
      </c>
      <c r="X38" s="37"/>
      <c r="Y38" s="210"/>
      <c r="Z38" s="36"/>
      <c r="AA38" s="36"/>
      <c r="AB38" s="36"/>
      <c r="AC38" s="36">
        <f t="shared" ref="AC38" si="73">K38-T38</f>
        <v>0.76349784875000104</v>
      </c>
      <c r="AD38" s="36">
        <f t="shared" si="70"/>
        <v>15</v>
      </c>
      <c r="AE38" s="229" t="s">
        <v>552</v>
      </c>
      <c r="AF38" s="36"/>
      <c r="AG38" s="36">
        <v>15</v>
      </c>
      <c r="AH38" s="36"/>
      <c r="AI38" s="500"/>
      <c r="AJ38" s="36"/>
      <c r="AK38" s="36"/>
      <c r="AL38" s="36"/>
      <c r="AM38" s="36">
        <f t="shared" si="71"/>
        <v>15</v>
      </c>
      <c r="AN38" s="82"/>
      <c r="AO38" s="36"/>
      <c r="AP38" s="36"/>
      <c r="AQ38" s="36"/>
      <c r="AR38" s="36">
        <f t="shared" ref="AR38:AR40" si="74">SUM(AN38:AQ38)</f>
        <v>0</v>
      </c>
      <c r="AS38" s="36"/>
      <c r="AT38" s="36"/>
      <c r="AU38" s="36"/>
      <c r="AV38" s="36"/>
      <c r="AW38" s="36"/>
      <c r="AX38" s="36"/>
      <c r="AY38" s="36"/>
      <c r="AZ38" s="36"/>
      <c r="BA38" s="36">
        <f t="shared" si="72"/>
        <v>0</v>
      </c>
      <c r="BB38" s="49"/>
      <c r="BC38" s="50">
        <v>6</v>
      </c>
      <c r="BD38" s="50"/>
      <c r="BE38" s="49"/>
      <c r="BF38" s="50"/>
    </row>
    <row r="39" spans="1:58" ht="12.95" customHeight="1">
      <c r="A39" s="39"/>
      <c r="B39" s="40"/>
      <c r="C39" s="413"/>
      <c r="D39" s="40"/>
      <c r="E39" s="41"/>
      <c r="F39" s="41"/>
      <c r="G39" s="497"/>
      <c r="H39" s="43"/>
      <c r="I39" s="44"/>
      <c r="J39" s="81"/>
      <c r="K39" s="81"/>
      <c r="L39" s="34"/>
      <c r="M39" s="34"/>
      <c r="N39" s="45"/>
      <c r="O39" s="46"/>
      <c r="P39" s="47"/>
      <c r="Q39" s="46"/>
      <c r="R39" s="498"/>
      <c r="S39" s="498"/>
      <c r="T39" s="36"/>
      <c r="U39" s="36"/>
      <c r="V39" s="36"/>
      <c r="W39" s="36"/>
      <c r="X39" s="37"/>
      <c r="Y39" s="210"/>
      <c r="Z39" s="36"/>
      <c r="AA39" s="36"/>
      <c r="AB39" s="36"/>
      <c r="AC39" s="36"/>
      <c r="AD39" s="36">
        <f t="shared" si="70"/>
        <v>20</v>
      </c>
      <c r="AE39" s="229" t="s">
        <v>498</v>
      </c>
      <c r="AF39" s="32"/>
      <c r="AG39" s="32"/>
      <c r="AH39" s="32">
        <v>20</v>
      </c>
      <c r="AJ39" s="36"/>
      <c r="AK39" s="36"/>
      <c r="AL39" s="36"/>
      <c r="AM39" s="36">
        <f t="shared" si="71"/>
        <v>20</v>
      </c>
      <c r="AN39" s="36"/>
      <c r="AO39" s="36"/>
      <c r="AP39" s="36"/>
      <c r="AQ39" s="36"/>
      <c r="AR39" s="36">
        <f t="shared" si="74"/>
        <v>0</v>
      </c>
      <c r="AS39" s="36"/>
      <c r="AT39" s="36"/>
      <c r="AU39" s="36"/>
      <c r="AV39" s="36"/>
      <c r="AW39" s="36"/>
      <c r="AX39" s="36"/>
      <c r="AY39" s="36"/>
      <c r="AZ39" s="36"/>
      <c r="BA39" s="36">
        <f t="shared" si="72"/>
        <v>0</v>
      </c>
      <c r="BB39" s="32"/>
      <c r="BC39" s="501"/>
      <c r="BD39" s="501"/>
      <c r="BE39" s="32"/>
      <c r="BF39" s="501"/>
    </row>
    <row r="40" spans="1:58" ht="12.95" customHeight="1">
      <c r="A40" s="39"/>
      <c r="B40" s="40"/>
      <c r="C40" s="413"/>
      <c r="D40" s="40"/>
      <c r="E40" s="41"/>
      <c r="F40" s="41"/>
      <c r="G40" s="42"/>
      <c r="H40" s="43"/>
      <c r="I40" s="44"/>
      <c r="J40" s="81"/>
      <c r="K40" s="81"/>
      <c r="L40" s="34"/>
      <c r="M40" s="34"/>
      <c r="N40" s="45"/>
      <c r="O40" s="46"/>
      <c r="P40" s="47"/>
      <c r="Q40" s="33"/>
      <c r="R40" s="498"/>
      <c r="S40" s="498"/>
      <c r="T40" s="36"/>
      <c r="U40" s="36"/>
      <c r="V40" s="36"/>
      <c r="W40" s="36"/>
      <c r="X40" s="37"/>
      <c r="Y40" s="210"/>
      <c r="Z40" s="36"/>
      <c r="AA40" s="36"/>
      <c r="AB40" s="36"/>
      <c r="AC40" s="36"/>
      <c r="AD40" s="36">
        <f t="shared" si="70"/>
        <v>0</v>
      </c>
      <c r="AE40" s="232" t="s">
        <v>557</v>
      </c>
      <c r="AF40" s="36"/>
      <c r="AG40" s="36"/>
      <c r="AH40" s="36"/>
      <c r="AI40" s="500"/>
      <c r="AJ40" s="36"/>
      <c r="AK40" s="36"/>
      <c r="AL40" s="36"/>
      <c r="AM40" s="36">
        <f t="shared" si="71"/>
        <v>0</v>
      </c>
      <c r="AN40" s="36"/>
      <c r="AO40" s="36"/>
      <c r="AP40" s="36"/>
      <c r="AQ40" s="36"/>
      <c r="AR40" s="36">
        <f t="shared" si="74"/>
        <v>0</v>
      </c>
      <c r="AS40" s="36"/>
      <c r="AT40" s="36"/>
      <c r="AU40" s="36"/>
      <c r="AV40" s="36"/>
      <c r="AW40" s="36">
        <f>408-408</f>
        <v>0</v>
      </c>
      <c r="AX40" s="36"/>
      <c r="AY40" s="36"/>
      <c r="AZ40" s="36"/>
      <c r="BA40" s="36">
        <f t="shared" si="72"/>
        <v>0</v>
      </c>
      <c r="BB40" s="49"/>
      <c r="BC40" s="50"/>
      <c r="BD40" s="50"/>
      <c r="BE40" s="49"/>
      <c r="BF40" s="50"/>
    </row>
    <row r="41" spans="1:58" ht="12.95" customHeight="1">
      <c r="A41" s="39"/>
      <c r="B41" s="40"/>
      <c r="C41" s="413"/>
      <c r="D41" s="40"/>
      <c r="E41" s="41"/>
      <c r="F41" s="41"/>
      <c r="G41" s="42"/>
      <c r="H41" s="43"/>
      <c r="I41" s="44"/>
      <c r="J41" s="81"/>
      <c r="K41" s="81"/>
      <c r="L41" s="34"/>
      <c r="M41" s="34"/>
      <c r="N41" s="45"/>
      <c r="O41" s="46"/>
      <c r="P41" s="47"/>
      <c r="Q41" s="33"/>
      <c r="R41" s="498"/>
      <c r="S41" s="498"/>
      <c r="T41" s="36"/>
      <c r="U41" s="36"/>
      <c r="V41" s="36"/>
      <c r="W41" s="36"/>
      <c r="X41" s="37"/>
      <c r="Y41" s="210"/>
      <c r="Z41" s="36"/>
      <c r="AA41" s="36"/>
      <c r="AB41" s="36"/>
      <c r="AC41" s="36"/>
      <c r="AD41" s="36">
        <f t="shared" si="70"/>
        <v>113</v>
      </c>
      <c r="AE41" s="232" t="s">
        <v>558</v>
      </c>
      <c r="AF41" s="36"/>
      <c r="AG41" s="36"/>
      <c r="AH41" s="36"/>
      <c r="AI41" s="500">
        <v>0</v>
      </c>
      <c r="AJ41" s="36"/>
      <c r="AK41" s="36"/>
      <c r="AL41" s="36"/>
      <c r="AM41" s="36">
        <f t="shared" ref="AM41" si="75">SUM(AF41:AL41)+AT41+AV41+AX41</f>
        <v>0</v>
      </c>
      <c r="AN41" s="36"/>
      <c r="AO41" s="36"/>
      <c r="AP41" s="36">
        <v>113</v>
      </c>
      <c r="AQ41" s="36"/>
      <c r="AR41" s="36">
        <f t="shared" ref="AR41" si="76">SUM(AN41:AQ41)</f>
        <v>113</v>
      </c>
      <c r="AS41" s="36"/>
      <c r="AT41" s="36"/>
      <c r="AU41" s="36"/>
      <c r="AV41" s="36"/>
      <c r="AW41" s="36"/>
      <c r="AX41" s="36"/>
      <c r="AY41" s="36"/>
      <c r="AZ41" s="36"/>
      <c r="BA41" s="36">
        <f t="shared" si="72"/>
        <v>113</v>
      </c>
      <c r="BB41" s="49"/>
      <c r="BC41" s="50"/>
      <c r="BD41" s="50"/>
      <c r="BE41" s="49"/>
      <c r="BF41" s="50"/>
    </row>
    <row r="42" spans="1:58" ht="12.95" customHeight="1">
      <c r="A42" s="39"/>
      <c r="B42" s="40"/>
      <c r="C42" s="413"/>
      <c r="D42" s="40"/>
      <c r="E42" s="41"/>
      <c r="F42" s="41"/>
      <c r="G42" s="42"/>
      <c r="H42" s="43"/>
      <c r="I42" s="44"/>
      <c r="J42" s="81"/>
      <c r="K42" s="81"/>
      <c r="L42" s="34"/>
      <c r="M42" s="34"/>
      <c r="N42" s="45"/>
      <c r="O42" s="46"/>
      <c r="P42" s="47"/>
      <c r="Q42" s="33"/>
      <c r="R42" s="498"/>
      <c r="S42" s="498"/>
      <c r="T42" s="36"/>
      <c r="U42" s="36"/>
      <c r="V42" s="36"/>
      <c r="W42" s="36"/>
      <c r="X42" s="37"/>
      <c r="Y42" s="210"/>
      <c r="Z42" s="36"/>
      <c r="AA42" s="36"/>
      <c r="AB42" s="36"/>
      <c r="AC42" s="36"/>
      <c r="AD42" s="36">
        <f t="shared" si="70"/>
        <v>105</v>
      </c>
      <c r="AE42" s="232" t="s">
        <v>559</v>
      </c>
      <c r="AF42" s="36"/>
      <c r="AG42" s="36"/>
      <c r="AH42" s="36"/>
      <c r="AI42" s="500"/>
      <c r="AJ42" s="36"/>
      <c r="AK42" s="36"/>
      <c r="AL42" s="36"/>
      <c r="AM42" s="36">
        <f t="shared" ref="AM42:AM43" si="77">SUM(AF42:AL42)+AT42+AV42+AX42</f>
        <v>0</v>
      </c>
      <c r="AN42" s="36">
        <v>105</v>
      </c>
      <c r="AO42" s="36"/>
      <c r="AP42" s="36"/>
      <c r="AQ42" s="36"/>
      <c r="AR42" s="36">
        <f t="shared" ref="AR42:AR43" si="78">SUM(AN42:AQ42)</f>
        <v>105</v>
      </c>
      <c r="AS42" s="36"/>
      <c r="AT42" s="36"/>
      <c r="AU42" s="36"/>
      <c r="AV42" s="36"/>
      <c r="AW42" s="36"/>
      <c r="AX42" s="36"/>
      <c r="AY42" s="36"/>
      <c r="AZ42" s="36"/>
      <c r="BA42" s="36">
        <f t="shared" si="72"/>
        <v>105</v>
      </c>
      <c r="BB42" s="49"/>
      <c r="BC42" s="50"/>
      <c r="BD42" s="50"/>
      <c r="BE42" s="49"/>
      <c r="BF42" s="50"/>
    </row>
    <row r="43" spans="1:58" ht="12.95" customHeight="1">
      <c r="A43" s="39"/>
      <c r="B43" s="40"/>
      <c r="C43" s="413"/>
      <c r="D43" s="40"/>
      <c r="E43" s="41"/>
      <c r="F43" s="41"/>
      <c r="G43" s="42"/>
      <c r="H43" s="43"/>
      <c r="I43" s="44"/>
      <c r="J43" s="81"/>
      <c r="K43" s="81"/>
      <c r="L43" s="34"/>
      <c r="M43" s="34"/>
      <c r="N43" s="45"/>
      <c r="O43" s="46"/>
      <c r="P43" s="47"/>
      <c r="Q43" s="33"/>
      <c r="R43" s="498"/>
      <c r="S43" s="498"/>
      <c r="T43" s="36"/>
      <c r="U43" s="36"/>
      <c r="V43" s="36"/>
      <c r="W43" s="36"/>
      <c r="X43" s="37"/>
      <c r="Y43" s="210"/>
      <c r="Z43" s="36"/>
      <c r="AA43" s="36"/>
      <c r="AB43" s="36"/>
      <c r="AC43" s="36"/>
      <c r="AD43" s="36">
        <f t="shared" si="70"/>
        <v>18</v>
      </c>
      <c r="AE43" s="232" t="s">
        <v>564</v>
      </c>
      <c r="AF43" s="36"/>
      <c r="AG43" s="36"/>
      <c r="AH43" s="36"/>
      <c r="AI43" s="500"/>
      <c r="AJ43" s="36"/>
      <c r="AK43" s="36">
        <v>18</v>
      </c>
      <c r="AL43" s="36"/>
      <c r="AM43" s="36">
        <f t="shared" si="77"/>
        <v>18</v>
      </c>
      <c r="AN43" s="36"/>
      <c r="AO43" s="36"/>
      <c r="AP43" s="36"/>
      <c r="AQ43" s="36"/>
      <c r="AR43" s="36">
        <f t="shared" si="78"/>
        <v>0</v>
      </c>
      <c r="AS43" s="36"/>
      <c r="AT43" s="36"/>
      <c r="AU43" s="36"/>
      <c r="AV43" s="36"/>
      <c r="AW43" s="36"/>
      <c r="AX43" s="36"/>
      <c r="AY43" s="36"/>
      <c r="AZ43" s="36"/>
      <c r="BA43" s="36">
        <f t="shared" si="72"/>
        <v>0</v>
      </c>
      <c r="BB43" s="49"/>
      <c r="BC43" s="50"/>
      <c r="BD43" s="50"/>
      <c r="BE43" s="49"/>
      <c r="BF43" s="50"/>
    </row>
    <row r="44" spans="1:58" ht="12.95" customHeight="1">
      <c r="A44" s="39"/>
      <c r="B44" s="40"/>
      <c r="C44" s="413"/>
      <c r="D44" s="40"/>
      <c r="E44" s="41"/>
      <c r="F44" s="41"/>
      <c r="G44" s="42"/>
      <c r="H44" s="43"/>
      <c r="I44" s="44"/>
      <c r="J44" s="81"/>
      <c r="K44" s="81"/>
      <c r="L44" s="34"/>
      <c r="M44" s="34"/>
      <c r="N44" s="45"/>
      <c r="O44" s="46"/>
      <c r="P44" s="47"/>
      <c r="Q44" s="33"/>
      <c r="R44" s="498"/>
      <c r="S44" s="498"/>
      <c r="T44" s="36"/>
      <c r="U44" s="36"/>
      <c r="V44" s="36"/>
      <c r="W44" s="36"/>
      <c r="X44" s="37"/>
      <c r="Y44" s="210"/>
      <c r="Z44" s="36"/>
      <c r="AA44" s="36"/>
      <c r="AB44" s="36"/>
      <c r="AC44" s="36"/>
      <c r="AD44" s="36"/>
      <c r="AE44" s="232"/>
      <c r="AF44" s="36"/>
      <c r="AG44" s="36"/>
      <c r="AH44" s="36"/>
      <c r="AI44" s="500"/>
      <c r="AJ44" s="36"/>
      <c r="AK44" s="36"/>
      <c r="AL44" s="36"/>
      <c r="AM44" s="36"/>
      <c r="AN44" s="36"/>
      <c r="AO44" s="36"/>
      <c r="AP44" s="36"/>
      <c r="AQ44" s="36"/>
      <c r="AR44" s="36"/>
      <c r="AS44" s="36"/>
      <c r="AT44" s="36"/>
      <c r="AU44" s="36"/>
      <c r="AV44" s="36"/>
      <c r="AW44" s="36"/>
      <c r="AX44" s="36"/>
      <c r="AY44" s="36"/>
      <c r="AZ44" s="36"/>
      <c r="BA44" s="36"/>
      <c r="BB44" s="49"/>
      <c r="BC44" s="50"/>
      <c r="BD44" s="50"/>
      <c r="BE44" s="50"/>
      <c r="BF44" s="50"/>
    </row>
    <row r="45" spans="1:58" ht="12.75" customHeight="1">
      <c r="A45" s="39">
        <v>46089</v>
      </c>
      <c r="B45" s="40" t="s">
        <v>7</v>
      </c>
      <c r="C45" s="413">
        <f t="shared" ref="C45:C46" si="79">(M45*E45*O45*Q45)/100000000</f>
        <v>6.1641450000000004</v>
      </c>
      <c r="D45" s="40" t="s">
        <v>301</v>
      </c>
      <c r="E45" s="41">
        <v>13</v>
      </c>
      <c r="F45" s="41">
        <v>1</v>
      </c>
      <c r="G45" s="497">
        <v>1230</v>
      </c>
      <c r="H45" s="43">
        <v>0.24</v>
      </c>
      <c r="I45" s="44">
        <v>0.88</v>
      </c>
      <c r="J45" s="81">
        <f t="shared" ref="J45:J46" si="80">E45*G45*(1-H45)*1440/1000000*2.74</f>
        <v>47.948509440000002</v>
      </c>
      <c r="K45" s="81">
        <f t="shared" ref="K45:K46" si="81">(IF(G45&lt;L45,L45,G45)*(1-IF(H45&lt;N45,H45,N45))*E45*O45*Q45)/100000000</f>
        <v>6.2463335999999998</v>
      </c>
      <c r="L45" s="34">
        <v>1230</v>
      </c>
      <c r="M45" s="34">
        <v>922.5</v>
      </c>
      <c r="N45" s="45">
        <f t="shared" ref="N45:N46" si="82">1-(M45/L45)</f>
        <v>0.25</v>
      </c>
      <c r="O45" s="46">
        <f>+'Trim Rwd'!H30</f>
        <v>257</v>
      </c>
      <c r="P45" s="47">
        <f t="shared" ref="P45:P46" si="83">O45*(Q45-R45-S45)</f>
        <v>43690</v>
      </c>
      <c r="Q45" s="46">
        <v>200</v>
      </c>
      <c r="R45" s="498">
        <v>0</v>
      </c>
      <c r="S45" s="498">
        <v>30</v>
      </c>
      <c r="T45" s="36">
        <f t="shared" ref="T45:T46" si="84">E45*M45*O45*Q45/100000000</f>
        <v>6.1641450000000004</v>
      </c>
      <c r="U45" s="36">
        <f t="shared" ref="U45:U46" si="85">E45*M45*O45*(Q45-R45-S45)/100000000</f>
        <v>5.2395232500000004</v>
      </c>
      <c r="V45" s="36">
        <f t="shared" ref="V45:V46" si="86">E45*G45*(1-N45)*O45/100*(R45+S45)/1000000</f>
        <v>0.92462175000000002</v>
      </c>
      <c r="W45" s="36">
        <f>+'8'!K11/1000</f>
        <v>10.664</v>
      </c>
      <c r="X45" s="499">
        <f>SUM(W45:W50)/SUM(K45:K50)</f>
        <v>0.85678400945667033</v>
      </c>
      <c r="Y45" s="210">
        <v>0</v>
      </c>
      <c r="Z45" s="36">
        <v>0</v>
      </c>
      <c r="AA45" s="48">
        <f>SUM(U45:U50)-SUM(W45:W50)-SUM(Z45:Z50)-SUM(Y45:Y50)</f>
        <v>-0.78399919275496899</v>
      </c>
      <c r="AB45" s="48">
        <f>(SUM(K45:K50)-SUM(W45:W50)-SUM(Y45:Y50)-SUM(Z45:Z50)-SUM(AC45:AC50)-SUM(V45:V50))-AA45</f>
        <v>-0.14824319165562549</v>
      </c>
      <c r="AC45" s="36">
        <f>K45-T45</f>
        <v>8.218859999999939E-2</v>
      </c>
      <c r="AD45" s="36">
        <f>+AM45+BA45</f>
        <v>12</v>
      </c>
      <c r="AE45" s="229" t="s">
        <v>435</v>
      </c>
      <c r="AF45" s="36">
        <v>12</v>
      </c>
      <c r="AG45" s="36"/>
      <c r="AH45" s="36"/>
      <c r="AI45" s="500"/>
      <c r="AJ45" s="36"/>
      <c r="AK45" s="36"/>
      <c r="AL45" s="36"/>
      <c r="AM45" s="36">
        <f t="shared" ref="AM45:AM49" si="87">SUM(AF45:AL45)+AT45+AV45+AX45</f>
        <v>12</v>
      </c>
      <c r="AN45" s="36"/>
      <c r="AO45" s="36"/>
      <c r="AP45" s="36"/>
      <c r="AQ45" s="36"/>
      <c r="AR45" s="36">
        <f>SUM(AN45:AQ45)</f>
        <v>0</v>
      </c>
      <c r="AS45" s="36"/>
      <c r="AT45" s="36"/>
      <c r="AU45" s="36"/>
      <c r="AV45" s="36"/>
      <c r="AW45" s="36"/>
      <c r="AX45" s="36"/>
      <c r="AY45" s="36"/>
      <c r="AZ45" s="36"/>
      <c r="BA45" s="36">
        <f>+AR45+AS45+AU45+AW45+AY45+AZ45</f>
        <v>0</v>
      </c>
      <c r="BB45" s="32">
        <v>6</v>
      </c>
      <c r="BC45" s="50"/>
      <c r="BD45" s="50"/>
      <c r="BE45" s="32"/>
      <c r="BF45" s="50"/>
    </row>
    <row r="46" spans="1:58" ht="12.95" customHeight="1">
      <c r="A46" s="39"/>
      <c r="B46" s="40" t="s">
        <v>7</v>
      </c>
      <c r="C46" s="413">
        <f t="shared" si="79"/>
        <v>34.364283741589404</v>
      </c>
      <c r="D46" s="40" t="s">
        <v>301</v>
      </c>
      <c r="E46" s="41">
        <v>11.5</v>
      </c>
      <c r="F46" s="41">
        <v>1</v>
      </c>
      <c r="G46" s="497">
        <v>1230</v>
      </c>
      <c r="H46" s="43">
        <f t="shared" ref="H46" si="88">+N46</f>
        <v>0.2400000000000001</v>
      </c>
      <c r="I46" s="44">
        <v>0.88</v>
      </c>
      <c r="J46" s="81">
        <f t="shared" si="80"/>
        <v>42.415989119999999</v>
      </c>
      <c r="K46" s="81">
        <f t="shared" si="81"/>
        <v>35.458459679999997</v>
      </c>
      <c r="L46" s="34">
        <v>1192.0447019867549</v>
      </c>
      <c r="M46" s="34">
        <v>905.95397350993369</v>
      </c>
      <c r="N46" s="45">
        <f t="shared" si="82"/>
        <v>0.2400000000000001</v>
      </c>
      <c r="O46" s="46">
        <f>+'Trim Rwd'!H31</f>
        <v>266</v>
      </c>
      <c r="P46" s="47">
        <f t="shared" si="83"/>
        <v>285152</v>
      </c>
      <c r="Q46" s="46">
        <f>1208+32</f>
        <v>1240</v>
      </c>
      <c r="R46" s="498">
        <v>32</v>
      </c>
      <c r="S46" s="498">
        <f>166-S45</f>
        <v>136</v>
      </c>
      <c r="T46" s="36">
        <f t="shared" si="84"/>
        <v>34.364283741589404</v>
      </c>
      <c r="U46" s="36">
        <f t="shared" si="85"/>
        <v>29.708477557245029</v>
      </c>
      <c r="V46" s="36">
        <f t="shared" si="86"/>
        <v>4.8040493759999991</v>
      </c>
      <c r="W46" s="36">
        <f>+'8'!K13/1000</f>
        <v>25.068000000000001</v>
      </c>
      <c r="X46" s="37"/>
      <c r="Y46" s="210"/>
      <c r="Z46" s="36"/>
      <c r="AA46" s="36"/>
      <c r="AB46" s="36"/>
      <c r="AC46" s="36">
        <f t="shared" ref="AC46" si="89">K46-T46</f>
        <v>1.0941759384105936</v>
      </c>
      <c r="AD46" s="36">
        <f>+AM46+BA46</f>
        <v>8</v>
      </c>
      <c r="AE46" s="229" t="s">
        <v>541</v>
      </c>
      <c r="AF46" s="36"/>
      <c r="AG46" s="36">
        <v>8</v>
      </c>
      <c r="AH46" s="36"/>
      <c r="AI46" s="500"/>
      <c r="AJ46" s="36"/>
      <c r="AK46" s="36"/>
      <c r="AL46" s="36"/>
      <c r="AM46" s="36">
        <f t="shared" si="87"/>
        <v>8</v>
      </c>
      <c r="AN46" s="82"/>
      <c r="AO46" s="36"/>
      <c r="AP46" s="36"/>
      <c r="AQ46" s="36"/>
      <c r="AR46" s="36">
        <f t="shared" ref="AR46:AR49" si="90">SUM(AN46:AQ46)</f>
        <v>0</v>
      </c>
      <c r="AS46" s="36"/>
      <c r="AT46" s="36"/>
      <c r="AU46" s="36"/>
      <c r="AV46" s="36"/>
      <c r="AW46" s="36"/>
      <c r="AX46" s="36"/>
      <c r="AY46" s="36"/>
      <c r="AZ46" s="36"/>
      <c r="BA46" s="36">
        <f>+AR46+AS46+AU46+AW46+AY46+AZ46</f>
        <v>0</v>
      </c>
      <c r="BB46" s="49"/>
      <c r="BC46" s="50">
        <v>4</v>
      </c>
      <c r="BD46" s="50"/>
      <c r="BE46" s="49"/>
      <c r="BF46" s="50"/>
    </row>
    <row r="47" spans="1:58" ht="12.95" customHeight="1">
      <c r="A47" s="39"/>
      <c r="B47" s="40"/>
      <c r="C47" s="413"/>
      <c r="D47" s="40"/>
      <c r="E47" s="41"/>
      <c r="F47" s="41"/>
      <c r="G47" s="497"/>
      <c r="H47" s="43"/>
      <c r="I47" s="44"/>
      <c r="J47" s="81"/>
      <c r="K47" s="81"/>
      <c r="L47" s="34"/>
      <c r="M47" s="34"/>
      <c r="N47" s="45"/>
      <c r="O47" s="46"/>
      <c r="P47" s="47"/>
      <c r="Q47" s="46"/>
      <c r="R47" s="498"/>
      <c r="S47" s="498"/>
      <c r="T47" s="36"/>
      <c r="U47" s="36"/>
      <c r="V47" s="36"/>
      <c r="W47" s="36"/>
      <c r="X47" s="37"/>
      <c r="Y47" s="210"/>
      <c r="Z47" s="36"/>
      <c r="AA47" s="36"/>
      <c r="AB47" s="36"/>
      <c r="AC47" s="36"/>
      <c r="AD47" s="36">
        <f>+AM47+BA47</f>
        <v>47</v>
      </c>
      <c r="AE47" s="229" t="s">
        <v>553</v>
      </c>
      <c r="AF47" s="32"/>
      <c r="AG47" s="32"/>
      <c r="AH47" s="32">
        <v>47</v>
      </c>
      <c r="AJ47" s="36"/>
      <c r="AK47" s="36"/>
      <c r="AL47" s="36"/>
      <c r="AM47" s="36">
        <f t="shared" si="87"/>
        <v>47</v>
      </c>
      <c r="AN47" s="36"/>
      <c r="AO47" s="36"/>
      <c r="AP47" s="36"/>
      <c r="AQ47" s="36"/>
      <c r="AR47" s="36">
        <f t="shared" si="90"/>
        <v>0</v>
      </c>
      <c r="AS47" s="36"/>
      <c r="AT47" s="36"/>
      <c r="AU47" s="36"/>
      <c r="AV47" s="36"/>
      <c r="AW47" s="36"/>
      <c r="AX47" s="36"/>
      <c r="AY47" s="36"/>
      <c r="AZ47" s="36"/>
      <c r="BA47" s="36">
        <f>+AR47+AS47+AU47+AW47+AY47+AZ47</f>
        <v>0</v>
      </c>
      <c r="BB47" s="32"/>
      <c r="BC47" s="501"/>
      <c r="BD47" s="501"/>
      <c r="BE47" s="32"/>
      <c r="BF47" s="501"/>
    </row>
    <row r="48" spans="1:58" ht="12.95" customHeight="1">
      <c r="A48" s="39"/>
      <c r="B48" s="40"/>
      <c r="C48" s="413"/>
      <c r="D48" s="40"/>
      <c r="E48" s="41"/>
      <c r="F48" s="41"/>
      <c r="G48" s="42"/>
      <c r="H48" s="43"/>
      <c r="I48" s="44"/>
      <c r="J48" s="81"/>
      <c r="K48" s="81"/>
      <c r="L48" s="34"/>
      <c r="M48" s="34"/>
      <c r="N48" s="45"/>
      <c r="O48" s="46"/>
      <c r="P48" s="47"/>
      <c r="Q48" s="33"/>
      <c r="R48" s="498"/>
      <c r="S48" s="498"/>
      <c r="T48" s="36"/>
      <c r="U48" s="36"/>
      <c r="V48" s="36"/>
      <c r="W48" s="36"/>
      <c r="X48" s="37"/>
      <c r="Y48" s="210"/>
      <c r="Z48" s="36"/>
      <c r="AA48" s="36"/>
      <c r="AB48" s="36"/>
      <c r="AC48" s="36"/>
      <c r="AD48" s="36">
        <f>+AM48+BA48</f>
        <v>32</v>
      </c>
      <c r="AE48" s="232" t="s">
        <v>560</v>
      </c>
      <c r="AF48" s="36"/>
      <c r="AG48" s="36"/>
      <c r="AH48" s="36"/>
      <c r="AI48" s="500"/>
      <c r="AJ48" s="36"/>
      <c r="AK48" s="36"/>
      <c r="AL48" s="36"/>
      <c r="AM48" s="36">
        <f t="shared" si="87"/>
        <v>0</v>
      </c>
      <c r="AN48" s="36"/>
      <c r="AO48" s="36"/>
      <c r="AP48" s="36">
        <v>32</v>
      </c>
      <c r="AQ48" s="36"/>
      <c r="AR48" s="36">
        <f t="shared" si="90"/>
        <v>32</v>
      </c>
      <c r="AS48" s="36"/>
      <c r="AT48" s="36"/>
      <c r="AU48" s="36"/>
      <c r="AV48" s="36"/>
      <c r="AW48" s="36"/>
      <c r="AX48" s="36"/>
      <c r="AY48" s="36"/>
      <c r="AZ48" s="36"/>
      <c r="BA48" s="36">
        <f>+AR48+AS48+AU48+AW48+AY48+AZ48</f>
        <v>32</v>
      </c>
      <c r="BB48" s="49"/>
      <c r="BC48" s="50"/>
      <c r="BD48" s="50"/>
      <c r="BE48" s="49"/>
      <c r="BF48" s="50"/>
    </row>
    <row r="49" spans="1:58" ht="12.95" customHeight="1">
      <c r="A49" s="39"/>
      <c r="B49" s="40"/>
      <c r="C49" s="413"/>
      <c r="D49" s="40"/>
      <c r="E49" s="41"/>
      <c r="F49" s="41"/>
      <c r="G49" s="42"/>
      <c r="H49" s="43"/>
      <c r="I49" s="44"/>
      <c r="J49" s="81"/>
      <c r="K49" s="81"/>
      <c r="L49" s="34"/>
      <c r="M49" s="34"/>
      <c r="N49" s="45"/>
      <c r="O49" s="46"/>
      <c r="P49" s="47"/>
      <c r="Q49" s="33"/>
      <c r="R49" s="498"/>
      <c r="S49" s="498"/>
      <c r="T49" s="36"/>
      <c r="U49" s="36"/>
      <c r="V49" s="36"/>
      <c r="W49" s="36"/>
      <c r="X49" s="37"/>
      <c r="Y49" s="210"/>
      <c r="Z49" s="36"/>
      <c r="AA49" s="36"/>
      <c r="AB49" s="36"/>
      <c r="AC49" s="36"/>
      <c r="AD49" s="36">
        <f>+AM49+BA49</f>
        <v>76</v>
      </c>
      <c r="AE49" s="232" t="s">
        <v>566</v>
      </c>
      <c r="AF49" s="36"/>
      <c r="AG49" s="36"/>
      <c r="AH49" s="36"/>
      <c r="AI49" s="500"/>
      <c r="AJ49" s="36"/>
      <c r="AK49" s="36">
        <v>76</v>
      </c>
      <c r="AL49" s="36"/>
      <c r="AM49" s="36">
        <f t="shared" si="87"/>
        <v>76</v>
      </c>
      <c r="AN49" s="36"/>
      <c r="AO49" s="36"/>
      <c r="AP49" s="36"/>
      <c r="AQ49" s="36"/>
      <c r="AR49" s="36">
        <f t="shared" si="90"/>
        <v>0</v>
      </c>
      <c r="AS49" s="36"/>
      <c r="AT49" s="36"/>
      <c r="AU49" s="36"/>
      <c r="AV49" s="36"/>
      <c r="AW49" s="36"/>
      <c r="AX49" s="36"/>
      <c r="AY49" s="36"/>
      <c r="AZ49" s="36"/>
      <c r="BA49" s="36">
        <f>+AR49+AS49+AU49+AW49+AY49+AZ49</f>
        <v>0</v>
      </c>
      <c r="BB49" s="49"/>
      <c r="BC49" s="50"/>
      <c r="BD49" s="50"/>
      <c r="BE49" s="49"/>
      <c r="BF49" s="50"/>
    </row>
    <row r="50" spans="1:58" ht="12.95" customHeight="1">
      <c r="A50" s="39"/>
      <c r="B50" s="40"/>
      <c r="C50" s="413"/>
      <c r="D50" s="40"/>
      <c r="E50" s="41"/>
      <c r="F50" s="41"/>
      <c r="G50" s="42"/>
      <c r="H50" s="43"/>
      <c r="I50" s="44"/>
      <c r="J50" s="81"/>
      <c r="K50" s="81"/>
      <c r="L50" s="34"/>
      <c r="M50" s="34"/>
      <c r="N50" s="45"/>
      <c r="O50" s="46"/>
      <c r="P50" s="47"/>
      <c r="Q50" s="33"/>
      <c r="R50" s="498"/>
      <c r="S50" s="498"/>
      <c r="T50" s="36"/>
      <c r="U50" s="36"/>
      <c r="V50" s="36"/>
      <c r="W50" s="36"/>
      <c r="X50" s="37"/>
      <c r="Y50" s="210"/>
      <c r="Z50" s="36"/>
      <c r="AA50" s="36"/>
      <c r="AB50" s="36"/>
      <c r="AC50" s="36"/>
      <c r="AD50" s="36">
        <f t="shared" ref="AD50" si="91">+AM50+BA50</f>
        <v>23</v>
      </c>
      <c r="AE50" s="232" t="s">
        <v>565</v>
      </c>
      <c r="AF50" s="36"/>
      <c r="AG50" s="36"/>
      <c r="AH50" s="36"/>
      <c r="AI50" s="500"/>
      <c r="AJ50" s="36"/>
      <c r="AK50" s="36">
        <v>23</v>
      </c>
      <c r="AL50" s="36"/>
      <c r="AM50" s="36">
        <f t="shared" ref="AM50" si="92">SUM(AF50:AL50)+AT50+AV50+AX50</f>
        <v>23</v>
      </c>
      <c r="AN50" s="36"/>
      <c r="AO50" s="36"/>
      <c r="AP50" s="36"/>
      <c r="AQ50" s="36"/>
      <c r="AR50" s="36">
        <f t="shared" ref="AR50" si="93">SUM(AN50:AQ50)</f>
        <v>0</v>
      </c>
      <c r="AS50" s="36"/>
      <c r="AT50" s="36"/>
      <c r="AU50" s="36"/>
      <c r="AV50" s="36"/>
      <c r="AW50" s="36"/>
      <c r="AX50" s="36"/>
      <c r="AY50" s="36"/>
      <c r="AZ50" s="36"/>
      <c r="BA50" s="36">
        <f t="shared" ref="BA50" si="94">+AR50+AS50+AU50+AW50+AY50+AZ50</f>
        <v>0</v>
      </c>
      <c r="BB50" s="49"/>
      <c r="BC50" s="50"/>
      <c r="BD50" s="50"/>
      <c r="BE50" s="49"/>
      <c r="BF50" s="50"/>
    </row>
    <row r="51" spans="1:58" ht="12.95" customHeight="1">
      <c r="A51" s="39"/>
      <c r="B51" s="40"/>
      <c r="C51" s="413"/>
      <c r="D51" s="40"/>
      <c r="E51" s="41"/>
      <c r="F51" s="41"/>
      <c r="G51" s="42"/>
      <c r="H51" s="43"/>
      <c r="I51" s="44"/>
      <c r="J51" s="81"/>
      <c r="K51" s="81"/>
      <c r="L51" s="34"/>
      <c r="M51" s="34"/>
      <c r="N51" s="45"/>
      <c r="O51" s="46"/>
      <c r="P51" s="47"/>
      <c r="Q51" s="46"/>
      <c r="R51" s="498"/>
      <c r="S51" s="498"/>
      <c r="T51" s="36"/>
      <c r="U51" s="36"/>
      <c r="V51" s="36"/>
      <c r="W51" s="36"/>
      <c r="X51" s="37"/>
      <c r="Y51" s="210"/>
      <c r="Z51" s="36"/>
      <c r="AA51" s="36"/>
      <c r="AB51" s="36"/>
      <c r="AC51" s="36"/>
      <c r="AD51" s="36"/>
      <c r="AE51" s="229"/>
      <c r="AF51" s="36"/>
      <c r="AG51" s="36"/>
      <c r="AH51" s="36"/>
      <c r="AI51" s="36"/>
      <c r="AJ51" s="36"/>
      <c r="AK51" s="36"/>
      <c r="AL51" s="36"/>
      <c r="AM51" s="36"/>
      <c r="AN51" s="36"/>
      <c r="AO51" s="36"/>
      <c r="AP51" s="36"/>
      <c r="AQ51" s="36"/>
      <c r="AR51" s="36"/>
      <c r="AS51" s="36"/>
      <c r="AT51" s="36"/>
      <c r="AU51" s="36"/>
      <c r="AV51" s="36"/>
      <c r="AW51" s="36"/>
      <c r="AX51" s="36"/>
      <c r="AY51" s="36"/>
      <c r="AZ51" s="36"/>
      <c r="BA51" s="36"/>
      <c r="BB51" s="49"/>
      <c r="BC51" s="50"/>
      <c r="BD51" s="50"/>
      <c r="BE51" s="50"/>
      <c r="BF51" s="50"/>
    </row>
    <row r="52" spans="1:58" ht="12.75" customHeight="1">
      <c r="A52" s="39">
        <v>46090</v>
      </c>
      <c r="B52" s="40" t="s">
        <v>7</v>
      </c>
      <c r="C52" s="413">
        <f t="shared" ref="C52:C53" si="95">(M52*E52*O52*Q52)/100000000</f>
        <v>26.250698375999999</v>
      </c>
      <c r="D52" s="40" t="s">
        <v>301</v>
      </c>
      <c r="E52" s="41">
        <v>11.5</v>
      </c>
      <c r="F52" s="41">
        <v>1</v>
      </c>
      <c r="G52" s="497">
        <v>1230</v>
      </c>
      <c r="H52" s="43">
        <f t="shared" ref="H52:H53" si="96">+N52</f>
        <v>0.24</v>
      </c>
      <c r="I52" s="44">
        <v>0.88</v>
      </c>
      <c r="J52" s="81">
        <f t="shared" ref="J52:J53" si="97">E52*G52*(1-H52)*1440/1000000*2.74</f>
        <v>42.415989120000006</v>
      </c>
      <c r="K52" s="81">
        <f t="shared" ref="K52:K53" si="98">(IF(G52&lt;L52,L52,G52)*(1-IF(H52&lt;N52,H52,N52))*E52*O52*Q52)/100000000</f>
        <v>26.250698375999999</v>
      </c>
      <c r="L52" s="34">
        <v>1230</v>
      </c>
      <c r="M52" s="34">
        <v>934.8</v>
      </c>
      <c r="N52" s="45">
        <f t="shared" ref="N52:N53" si="99">1-(M52/L52)</f>
        <v>0.24</v>
      </c>
      <c r="O52" s="46">
        <f>+'Trim Rwd'!H33</f>
        <v>266</v>
      </c>
      <c r="P52" s="47">
        <f t="shared" ref="P52:P53" si="100">O52*(Q52-R52-S52)</f>
        <v>233548</v>
      </c>
      <c r="Q52" s="46">
        <v>918</v>
      </c>
      <c r="R52" s="498">
        <v>0</v>
      </c>
      <c r="S52" s="498">
        <v>40</v>
      </c>
      <c r="T52" s="36">
        <f t="shared" ref="T52:T53" si="101">E52*M52*O52*Q52/100000000</f>
        <v>26.250698375999999</v>
      </c>
      <c r="U52" s="36">
        <f t="shared" ref="U52:U53" si="102">E52*M52*O52*(Q52-R52-S52)/100000000</f>
        <v>25.106877095999998</v>
      </c>
      <c r="V52" s="36">
        <f t="shared" ref="V52:V53" si="103">E52*G52*(1-N52)*O52/100*(R52+S52)/1000000</f>
        <v>1.1438212800000001</v>
      </c>
      <c r="W52" s="36">
        <f>+'9'!K13/1000</f>
        <v>28.863</v>
      </c>
      <c r="X52" s="499">
        <f>SUM(W52:W55)/SUM(K52:K55)</f>
        <v>0.98369527557503567</v>
      </c>
      <c r="Y52" s="210">
        <v>0</v>
      </c>
      <c r="Z52" s="36">
        <v>0</v>
      </c>
      <c r="AA52" s="48">
        <f>SUM(U52:U55)-SUM(W52:W55)-SUM(Z52:Z55)-SUM(Y52:Y55)</f>
        <v>-1.3787101039999996</v>
      </c>
      <c r="AB52" s="48">
        <f>(SUM(K52:K55)-SUM(W52:W55)-SUM(Y52:Y55)-SUM(Z52:Z55)-SUM(AC52:AC55)-SUM(V52:V55))-AA52</f>
        <v>-2.6645352591003757E-15</v>
      </c>
      <c r="AC52" s="36">
        <f>K52-T52</f>
        <v>0</v>
      </c>
      <c r="AD52" s="36">
        <f>+AM52+BA52</f>
        <v>22</v>
      </c>
      <c r="AE52" s="229" t="s">
        <v>572</v>
      </c>
      <c r="AF52" s="36">
        <v>22</v>
      </c>
      <c r="AG52" s="36"/>
      <c r="AH52" s="36"/>
      <c r="AI52" s="500"/>
      <c r="AJ52" s="36"/>
      <c r="AK52" s="36"/>
      <c r="AL52" s="36"/>
      <c r="AM52" s="36">
        <f t="shared" ref="AM52:AM54" si="104">SUM(AF52:AL52)+AT52+AV52+AX52</f>
        <v>22</v>
      </c>
      <c r="AN52" s="36"/>
      <c r="AO52" s="36"/>
      <c r="AP52" s="36"/>
      <c r="AQ52" s="36"/>
      <c r="AR52" s="36">
        <f>SUM(AN52:AQ52)</f>
        <v>0</v>
      </c>
      <c r="AS52" s="36"/>
      <c r="AT52" s="36"/>
      <c r="AU52" s="36"/>
      <c r="AV52" s="36"/>
      <c r="AW52" s="36"/>
      <c r="AX52" s="36"/>
      <c r="AY52" s="36"/>
      <c r="AZ52" s="36"/>
      <c r="BA52" s="36">
        <f>+AR52+AS52+AU52+AW52+AY52+AZ52</f>
        <v>0</v>
      </c>
      <c r="BB52" s="32">
        <v>10</v>
      </c>
      <c r="BC52" s="50"/>
      <c r="BD52" s="50"/>
      <c r="BE52" s="32"/>
      <c r="BF52" s="50"/>
    </row>
    <row r="53" spans="1:58" ht="12.95" customHeight="1">
      <c r="A53" s="39"/>
      <c r="B53" s="40" t="s">
        <v>7</v>
      </c>
      <c r="C53" s="413">
        <f t="shared" si="95"/>
        <v>16.102864799999999</v>
      </c>
      <c r="D53" s="40" t="s">
        <v>301</v>
      </c>
      <c r="E53" s="41">
        <v>12</v>
      </c>
      <c r="F53" s="41">
        <v>1</v>
      </c>
      <c r="G53" s="497">
        <v>1230</v>
      </c>
      <c r="H53" s="43">
        <f t="shared" si="96"/>
        <v>0.24</v>
      </c>
      <c r="I53" s="44">
        <v>0.88</v>
      </c>
      <c r="J53" s="81">
        <f t="shared" si="97"/>
        <v>44.260162560000005</v>
      </c>
      <c r="K53" s="81">
        <f t="shared" si="98"/>
        <v>16.102864799999999</v>
      </c>
      <c r="L53" s="34">
        <v>1230</v>
      </c>
      <c r="M53" s="34">
        <v>934.8</v>
      </c>
      <c r="N53" s="45">
        <f t="shared" si="99"/>
        <v>0.24</v>
      </c>
      <c r="O53" s="46">
        <f>+'Trim Rwd'!H34</f>
        <v>275</v>
      </c>
      <c r="P53" s="47">
        <f t="shared" si="100"/>
        <v>135300</v>
      </c>
      <c r="Q53" s="46">
        <v>522</v>
      </c>
      <c r="R53" s="498">
        <v>0</v>
      </c>
      <c r="S53" s="498">
        <v>30</v>
      </c>
      <c r="T53" s="36">
        <f t="shared" si="101"/>
        <v>16.102864799999999</v>
      </c>
      <c r="U53" s="36">
        <f t="shared" si="102"/>
        <v>15.177412799999997</v>
      </c>
      <c r="V53" s="36">
        <f t="shared" si="103"/>
        <v>0.92545200000000005</v>
      </c>
      <c r="W53" s="36">
        <f>+'9'!K7/1000</f>
        <v>12.8</v>
      </c>
      <c r="X53" s="37"/>
      <c r="Y53" s="210"/>
      <c r="Z53" s="36"/>
      <c r="AA53" s="36"/>
      <c r="AB53" s="36"/>
      <c r="AC53" s="36">
        <f>K53-T53</f>
        <v>0</v>
      </c>
      <c r="AD53" s="36">
        <f>+AM53+BA53</f>
        <v>0</v>
      </c>
      <c r="AE53" s="229" t="s">
        <v>283</v>
      </c>
      <c r="AF53" s="36"/>
      <c r="AG53" s="36">
        <v>0</v>
      </c>
      <c r="AH53" s="36"/>
      <c r="AI53" s="500"/>
      <c r="AJ53" s="36"/>
      <c r="AK53" s="36"/>
      <c r="AL53" s="36"/>
      <c r="AM53" s="36">
        <f t="shared" si="104"/>
        <v>0</v>
      </c>
      <c r="AN53" s="82"/>
      <c r="AO53" s="36"/>
      <c r="AP53" s="36"/>
      <c r="AQ53" s="36"/>
      <c r="AR53" s="36">
        <f t="shared" ref="AR53:AR54" si="105">SUM(AN53:AQ53)</f>
        <v>0</v>
      </c>
      <c r="AS53" s="36"/>
      <c r="AT53" s="36"/>
      <c r="AU53" s="36"/>
      <c r="AV53" s="36"/>
      <c r="AW53" s="36"/>
      <c r="AX53" s="36"/>
      <c r="AY53" s="36"/>
      <c r="AZ53" s="36"/>
      <c r="BA53" s="36">
        <f>+AR53+AS53+AU53+AW53+AY53+AZ53</f>
        <v>0</v>
      </c>
      <c r="BB53" s="49"/>
      <c r="BC53" s="50">
        <v>0</v>
      </c>
      <c r="BD53" s="50"/>
      <c r="BE53" s="49"/>
      <c r="BF53" s="50"/>
    </row>
    <row r="54" spans="1:58" ht="12.95" customHeight="1">
      <c r="A54" s="39"/>
      <c r="B54" s="40"/>
      <c r="C54" s="413"/>
      <c r="D54" s="40"/>
      <c r="E54" s="41"/>
      <c r="F54" s="41"/>
      <c r="G54" s="497"/>
      <c r="H54" s="43"/>
      <c r="I54" s="44"/>
      <c r="J54" s="81"/>
      <c r="K54" s="81"/>
      <c r="L54" s="34"/>
      <c r="M54" s="34"/>
      <c r="N54" s="45"/>
      <c r="O54" s="46"/>
      <c r="P54" s="47"/>
      <c r="Q54" s="46"/>
      <c r="R54" s="498"/>
      <c r="S54" s="498"/>
      <c r="T54" s="36"/>
      <c r="U54" s="36"/>
      <c r="V54" s="36"/>
      <c r="W54" s="36"/>
      <c r="X54" s="37"/>
      <c r="Y54" s="210"/>
      <c r="Z54" s="36"/>
      <c r="AA54" s="36"/>
      <c r="AB54" s="36"/>
      <c r="AC54" s="36"/>
      <c r="AD54" s="36">
        <f>+AM54+BA54</f>
        <v>48</v>
      </c>
      <c r="AE54" s="229" t="s">
        <v>573</v>
      </c>
      <c r="AF54" s="32"/>
      <c r="AG54" s="32"/>
      <c r="AH54" s="32">
        <v>48</v>
      </c>
      <c r="AJ54" s="36"/>
      <c r="AK54" s="36"/>
      <c r="AL54" s="36"/>
      <c r="AM54" s="36">
        <f t="shared" si="104"/>
        <v>48</v>
      </c>
      <c r="AN54" s="36"/>
      <c r="AO54" s="36"/>
      <c r="AP54" s="36"/>
      <c r="AQ54" s="36"/>
      <c r="AR54" s="36">
        <f t="shared" si="105"/>
        <v>0</v>
      </c>
      <c r="AS54" s="36"/>
      <c r="AT54" s="36"/>
      <c r="AU54" s="36"/>
      <c r="AV54" s="36"/>
      <c r="AW54" s="36"/>
      <c r="AX54" s="36"/>
      <c r="AY54" s="36"/>
      <c r="AZ54" s="36"/>
      <c r="BA54" s="36">
        <f>+AR54+AS54+AU54+AW54+AY54+AZ54</f>
        <v>0</v>
      </c>
      <c r="BB54" s="32"/>
      <c r="BC54" s="501"/>
      <c r="BD54" s="501"/>
      <c r="BE54" s="32"/>
      <c r="BF54" s="501"/>
    </row>
    <row r="55" spans="1:58" ht="12.95" customHeight="1">
      <c r="A55" s="39"/>
      <c r="B55" s="40"/>
      <c r="C55" s="413"/>
      <c r="D55" s="40"/>
      <c r="E55" s="41"/>
      <c r="F55" s="41"/>
      <c r="G55" s="42"/>
      <c r="H55" s="43"/>
      <c r="I55" s="44"/>
      <c r="J55" s="81"/>
      <c r="K55" s="81"/>
      <c r="L55" s="34"/>
      <c r="M55" s="34"/>
      <c r="N55" s="45"/>
      <c r="O55" s="46"/>
      <c r="P55" s="47"/>
      <c r="Q55" s="46"/>
      <c r="R55" s="498"/>
      <c r="S55" s="498"/>
      <c r="T55" s="36"/>
      <c r="U55" s="36"/>
      <c r="V55" s="36"/>
      <c r="W55" s="36"/>
      <c r="X55" s="37"/>
      <c r="Y55" s="210"/>
      <c r="Z55" s="36"/>
      <c r="AA55" s="36"/>
      <c r="AB55" s="36"/>
      <c r="AC55" s="36"/>
      <c r="AD55" s="36"/>
      <c r="AE55" s="229"/>
      <c r="AF55" s="32"/>
      <c r="AG55" s="32"/>
      <c r="AH55" s="32"/>
      <c r="AJ55" s="36"/>
      <c r="AK55" s="36"/>
      <c r="AL55" s="36"/>
      <c r="AM55" s="36"/>
      <c r="AN55" s="36"/>
      <c r="AO55" s="36"/>
      <c r="AP55" s="36"/>
      <c r="AQ55" s="36"/>
      <c r="AR55" s="36"/>
      <c r="AS55" s="36"/>
      <c r="AT55" s="36"/>
      <c r="AU55" s="36"/>
      <c r="AV55" s="36"/>
      <c r="AW55" s="36"/>
      <c r="AX55" s="36"/>
      <c r="AY55" s="36"/>
      <c r="AZ55" s="36"/>
      <c r="BA55" s="36"/>
      <c r="BB55" s="32"/>
      <c r="BC55" s="501"/>
      <c r="BD55" s="50"/>
      <c r="BE55" s="49"/>
      <c r="BF55" s="50"/>
    </row>
    <row r="56" spans="1:58" ht="12.75" customHeight="1">
      <c r="A56" s="39">
        <v>46091</v>
      </c>
      <c r="B56" s="40" t="s">
        <v>7</v>
      </c>
      <c r="C56" s="413">
        <f t="shared" ref="C56" si="106">(M56*E56*O56*Q56)/100000000</f>
        <v>44.42169599999999</v>
      </c>
      <c r="D56" s="40" t="s">
        <v>301</v>
      </c>
      <c r="E56" s="41">
        <v>12</v>
      </c>
      <c r="F56" s="41">
        <v>1</v>
      </c>
      <c r="G56" s="497">
        <v>1230</v>
      </c>
      <c r="H56" s="43">
        <f t="shared" ref="H56" si="107">+N56</f>
        <v>0.24</v>
      </c>
      <c r="I56" s="44">
        <v>0.88</v>
      </c>
      <c r="J56" s="81">
        <f t="shared" ref="J56" si="108">E56*G56*(1-H56)*1440/1000000*2.74</f>
        <v>44.260162560000005</v>
      </c>
      <c r="K56" s="81">
        <f t="shared" ref="K56" si="109">(IF(G56&lt;L56,L56,G56)*(1-IF(H56&lt;N56,H56,N56))*E56*O56*Q56)/100000000</f>
        <v>44.42169599999999</v>
      </c>
      <c r="L56" s="34">
        <v>1230</v>
      </c>
      <c r="M56" s="34">
        <v>934.8</v>
      </c>
      <c r="N56" s="45">
        <f t="shared" ref="N56" si="110">1-(M56/L56)</f>
        <v>0.24</v>
      </c>
      <c r="O56" s="46">
        <f>+'Trim Rwd'!H36</f>
        <v>275</v>
      </c>
      <c r="P56" s="47">
        <f t="shared" ref="P56" si="111">O56*(Q56-R56-S56)</f>
        <v>376475</v>
      </c>
      <c r="Q56" s="46">
        <v>1440</v>
      </c>
      <c r="R56" s="498">
        <v>0</v>
      </c>
      <c r="S56" s="498">
        <v>71</v>
      </c>
      <c r="T56" s="36">
        <f t="shared" ref="T56" si="112">E56*M56*O56*Q56/100000000</f>
        <v>44.42169599999999</v>
      </c>
      <c r="U56" s="36">
        <f t="shared" ref="U56" si="113">E56*M56*O56*(Q56-R56-S56)/100000000</f>
        <v>42.231459599999994</v>
      </c>
      <c r="V56" s="36">
        <f t="shared" ref="V56" si="114">E56*G56*(1-N56)*O56/100*(R56+S56)/1000000</f>
        <v>2.1902363999999999</v>
      </c>
      <c r="W56" s="36">
        <f>+'10'!K7/1000</f>
        <v>41.02</v>
      </c>
      <c r="X56" s="499">
        <f>SUM(W56:W59)/SUM(K56:K59)</f>
        <v>0.92342264464643609</v>
      </c>
      <c r="Y56" s="210">
        <v>0</v>
      </c>
      <c r="Z56" s="36">
        <v>0</v>
      </c>
      <c r="AA56" s="48">
        <f>SUM(U56:U59)-SUM(W56:W59)-SUM(Z56:Z59)-SUM(Y56:Y59)</f>
        <v>1.2114595999999906</v>
      </c>
      <c r="AB56" s="48">
        <f>(SUM(K56:K59)-SUM(W56:W59)-SUM(Y56:Y59)-SUM(Z56:Z59)-SUM(AC56:AC59)-SUM(V56:V59))-AA56</f>
        <v>-3.5527136788005009E-15</v>
      </c>
      <c r="AC56" s="36">
        <f>K56-T56</f>
        <v>0</v>
      </c>
      <c r="AD56" s="36">
        <f>+AM56+BA56</f>
        <v>18</v>
      </c>
      <c r="AE56" s="229" t="s">
        <v>579</v>
      </c>
      <c r="AF56" s="36">
        <v>18</v>
      </c>
      <c r="AG56" s="36"/>
      <c r="AH56" s="36"/>
      <c r="AI56" s="500"/>
      <c r="AJ56" s="36"/>
      <c r="AK56" s="36"/>
      <c r="AL56" s="36"/>
      <c r="AM56" s="36">
        <f t="shared" ref="AM56:AM58" si="115">SUM(AF56:AL56)+AT56+AV56+AX56</f>
        <v>18</v>
      </c>
      <c r="AN56" s="36"/>
      <c r="AO56" s="36"/>
      <c r="AP56" s="36"/>
      <c r="AQ56" s="36"/>
      <c r="AR56" s="36">
        <f>SUM(AN56:AQ56)</f>
        <v>0</v>
      </c>
      <c r="AS56" s="36"/>
      <c r="AT56" s="36"/>
      <c r="AU56" s="36"/>
      <c r="AV56" s="36"/>
      <c r="AW56" s="36"/>
      <c r="AX56" s="36"/>
      <c r="AY56" s="36"/>
      <c r="AZ56" s="36"/>
      <c r="BA56" s="36">
        <f>+AR56+AS56+AU56+AW56+AY56+AZ56</f>
        <v>0</v>
      </c>
      <c r="BB56" s="32">
        <v>6</v>
      </c>
      <c r="BC56" s="50"/>
      <c r="BD56" s="50"/>
      <c r="BE56" s="32"/>
      <c r="BF56" s="50"/>
    </row>
    <row r="57" spans="1:58" ht="12.95" customHeight="1">
      <c r="A57" s="39"/>
      <c r="B57" s="40"/>
      <c r="C57" s="413"/>
      <c r="D57" s="40"/>
      <c r="E57" s="41"/>
      <c r="F57" s="41"/>
      <c r="G57" s="497"/>
      <c r="H57" s="43"/>
      <c r="I57" s="44"/>
      <c r="J57" s="81"/>
      <c r="K57" s="81"/>
      <c r="L57" s="34"/>
      <c r="M57" s="34"/>
      <c r="N57" s="45"/>
      <c r="O57" s="46"/>
      <c r="P57" s="47"/>
      <c r="Q57" s="46"/>
      <c r="R57" s="498"/>
      <c r="S57" s="498"/>
      <c r="T57" s="36"/>
      <c r="U57" s="36"/>
      <c r="V57" s="36"/>
      <c r="W57" s="36"/>
      <c r="X57" s="37"/>
      <c r="Y57" s="210"/>
      <c r="Z57" s="36"/>
      <c r="AA57" s="36"/>
      <c r="AB57" s="36"/>
      <c r="AC57" s="36"/>
      <c r="AD57" s="36">
        <f>+AM57+BA57</f>
        <v>9</v>
      </c>
      <c r="AE57" s="229" t="s">
        <v>541</v>
      </c>
      <c r="AF57" s="36"/>
      <c r="AG57" s="36">
        <v>9</v>
      </c>
      <c r="AH57" s="36"/>
      <c r="AI57" s="500"/>
      <c r="AJ57" s="36"/>
      <c r="AK57" s="36"/>
      <c r="AL57" s="36"/>
      <c r="AM57" s="36">
        <f t="shared" si="115"/>
        <v>9</v>
      </c>
      <c r="AN57" s="82"/>
      <c r="AO57" s="36"/>
      <c r="AP57" s="36"/>
      <c r="AQ57" s="36"/>
      <c r="AR57" s="36">
        <f t="shared" ref="AR57:AR58" si="116">SUM(AN57:AQ57)</f>
        <v>0</v>
      </c>
      <c r="AS57" s="36"/>
      <c r="AT57" s="36"/>
      <c r="AU57" s="36"/>
      <c r="AV57" s="36"/>
      <c r="AW57" s="36"/>
      <c r="AX57" s="36"/>
      <c r="AY57" s="36"/>
      <c r="AZ57" s="36"/>
      <c r="BA57" s="36">
        <f>+AR57+AS57+AU57+AW57+AY57+AZ57</f>
        <v>0</v>
      </c>
      <c r="BB57" s="49"/>
      <c r="BC57" s="50">
        <v>4</v>
      </c>
      <c r="BD57" s="50"/>
      <c r="BE57" s="49"/>
      <c r="BF57" s="50"/>
    </row>
    <row r="58" spans="1:58" ht="12.95" customHeight="1">
      <c r="A58" s="39"/>
      <c r="B58" s="40"/>
      <c r="C58" s="413"/>
      <c r="D58" s="40"/>
      <c r="E58" s="41"/>
      <c r="F58" s="41"/>
      <c r="G58" s="497"/>
      <c r="H58" s="43"/>
      <c r="I58" s="44"/>
      <c r="J58" s="81"/>
      <c r="K58" s="81"/>
      <c r="L58" s="34"/>
      <c r="M58" s="34"/>
      <c r="N58" s="45"/>
      <c r="O58" s="46"/>
      <c r="P58" s="47"/>
      <c r="Q58" s="46"/>
      <c r="R58" s="498"/>
      <c r="S58" s="498"/>
      <c r="T58" s="36"/>
      <c r="U58" s="36"/>
      <c r="V58" s="36"/>
      <c r="W58" s="36"/>
      <c r="X58" s="37"/>
      <c r="Y58" s="210"/>
      <c r="Z58" s="36"/>
      <c r="AA58" s="36"/>
      <c r="AB58" s="36"/>
      <c r="AC58" s="36"/>
      <c r="AD58" s="36">
        <f>+AM58+BA58</f>
        <v>44</v>
      </c>
      <c r="AE58" s="229" t="s">
        <v>387</v>
      </c>
      <c r="AF58" s="32"/>
      <c r="AG58" s="32"/>
      <c r="AH58" s="32">
        <v>44</v>
      </c>
      <c r="AJ58" s="36"/>
      <c r="AK58" s="36"/>
      <c r="AL58" s="36"/>
      <c r="AM58" s="36">
        <f t="shared" si="115"/>
        <v>44</v>
      </c>
      <c r="AN58" s="36"/>
      <c r="AO58" s="36"/>
      <c r="AP58" s="36"/>
      <c r="AQ58" s="36"/>
      <c r="AR58" s="36">
        <f t="shared" si="116"/>
        <v>0</v>
      </c>
      <c r="AS58" s="36"/>
      <c r="AT58" s="36"/>
      <c r="AU58" s="36"/>
      <c r="AV58" s="36"/>
      <c r="AW58" s="36"/>
      <c r="AX58" s="36"/>
      <c r="AY58" s="36"/>
      <c r="AZ58" s="36"/>
      <c r="BA58" s="36">
        <f>+AR58+AS58+AU58+AW58+AY58+AZ58</f>
        <v>0</v>
      </c>
      <c r="BB58" s="32"/>
      <c r="BC58" s="501"/>
      <c r="BD58" s="501"/>
      <c r="BE58" s="32"/>
      <c r="BF58" s="501"/>
    </row>
    <row r="59" spans="1:58" ht="12.95" customHeight="1">
      <c r="A59" s="39"/>
      <c r="B59" s="40"/>
      <c r="C59" s="413"/>
      <c r="D59" s="40"/>
      <c r="E59" s="41"/>
      <c r="F59" s="41"/>
      <c r="G59" s="497"/>
      <c r="H59" s="43"/>
      <c r="I59" s="44"/>
      <c r="J59" s="81"/>
      <c r="K59" s="81"/>
      <c r="L59" s="34"/>
      <c r="M59" s="34"/>
      <c r="N59" s="45"/>
      <c r="O59" s="46"/>
      <c r="P59" s="47"/>
      <c r="Q59" s="46"/>
      <c r="R59" s="498"/>
      <c r="S59" s="498"/>
      <c r="T59" s="36"/>
      <c r="U59" s="36"/>
      <c r="V59" s="36"/>
      <c r="W59" s="36"/>
      <c r="X59" s="37"/>
      <c r="Y59" s="210"/>
      <c r="Z59" s="36"/>
      <c r="AA59" s="36"/>
      <c r="AB59" s="36"/>
      <c r="AC59" s="36"/>
      <c r="AD59" s="36"/>
      <c r="AE59" s="229"/>
      <c r="AF59" s="36"/>
      <c r="AG59" s="36"/>
      <c r="AH59" s="36"/>
      <c r="AI59" s="500"/>
      <c r="AJ59" s="36"/>
      <c r="AK59" s="36"/>
      <c r="AL59" s="36"/>
      <c r="AM59" s="36"/>
      <c r="AN59" s="82"/>
      <c r="AO59" s="36"/>
      <c r="AP59" s="36"/>
      <c r="AQ59" s="36"/>
      <c r="AR59" s="36"/>
      <c r="AS59" s="36"/>
      <c r="AT59" s="36"/>
      <c r="AU59" s="36"/>
      <c r="AV59" s="36"/>
      <c r="AW59" s="36"/>
      <c r="AX59" s="36"/>
      <c r="AY59" s="36"/>
      <c r="AZ59" s="36"/>
      <c r="BA59" s="36"/>
      <c r="BB59" s="49"/>
      <c r="BC59" s="50"/>
      <c r="BD59" s="50"/>
      <c r="BE59" s="49"/>
      <c r="BF59" s="50"/>
    </row>
    <row r="60" spans="1:58" ht="12.75" customHeight="1">
      <c r="A60" s="39">
        <v>46092</v>
      </c>
      <c r="B60" s="40" t="s">
        <v>7</v>
      </c>
      <c r="C60" s="413">
        <f t="shared" ref="C60:C61" si="117">(M60*E60*O60*Q60)/100000000</f>
        <v>39.701890799999994</v>
      </c>
      <c r="D60" s="40" t="s">
        <v>301</v>
      </c>
      <c r="E60" s="41">
        <v>12</v>
      </c>
      <c r="F60" s="41">
        <v>1</v>
      </c>
      <c r="G60" s="497">
        <v>1230</v>
      </c>
      <c r="H60" s="43">
        <f t="shared" ref="H60:H61" si="118">+N60</f>
        <v>0.24</v>
      </c>
      <c r="I60" s="44">
        <v>0.88</v>
      </c>
      <c r="J60" s="81">
        <f t="shared" ref="J60:J61" si="119">E60*G60*(1-H60)*1440/1000000*2.74</f>
        <v>44.260162560000005</v>
      </c>
      <c r="K60" s="81">
        <f t="shared" ref="K60:K61" si="120">(IF(G60&lt;L60,L60,G60)*(1-IF(H60&lt;N60,H60,N60))*E60*O60*Q60)/100000000</f>
        <v>39.701890799999994</v>
      </c>
      <c r="L60" s="34">
        <v>1230</v>
      </c>
      <c r="M60" s="34">
        <v>934.8</v>
      </c>
      <c r="N60" s="45">
        <f t="shared" ref="N60:N61" si="121">1-(M60/L60)</f>
        <v>0.24</v>
      </c>
      <c r="O60" s="46">
        <f>+'Trim Rwd'!H38</f>
        <v>275</v>
      </c>
      <c r="P60" s="47">
        <f t="shared" ref="P60:P61" si="122">O60*(Q60-R60-S60)</f>
        <v>337150</v>
      </c>
      <c r="Q60" s="46">
        <v>1287</v>
      </c>
      <c r="R60" s="498">
        <v>0</v>
      </c>
      <c r="S60" s="498">
        <v>61</v>
      </c>
      <c r="T60" s="36">
        <f t="shared" ref="T60:T61" si="123">E60*M60*O60*Q60/100000000</f>
        <v>39.701890799999994</v>
      </c>
      <c r="U60" s="36">
        <f t="shared" ref="U60:U61" si="124">E60*M60*O60*(Q60-R60-S60)/100000000</f>
        <v>37.820138399999998</v>
      </c>
      <c r="V60" s="36">
        <f t="shared" ref="V60:V61" si="125">E60*G60*(1-N60)*O60/100*(R60+S60)/1000000</f>
        <v>1.8817524000000001</v>
      </c>
      <c r="W60" s="36">
        <f>+'11'!K7/1000</f>
        <v>37.627000000000002</v>
      </c>
      <c r="X60" s="499">
        <f>SUM(W60:W63)/SUM(K60:K63)</f>
        <v>0.87454587617296486</v>
      </c>
      <c r="Y60" s="210">
        <v>0</v>
      </c>
      <c r="Z60" s="36">
        <v>0</v>
      </c>
      <c r="AA60" s="48">
        <f>SUM(U60:U63)-SUM(W60:W63)-SUM(Z60:Z63)-SUM(Y60:Y63)</f>
        <v>3.311830709803921</v>
      </c>
      <c r="AB60" s="48">
        <f>(SUM(K60:K63)-SUM(W60:W63)-SUM(Y60:Y63)-SUM(Z60:Z63)-SUM(AC60:AC63)-SUM(V60:V63))-AA60</f>
        <v>-4.5015098039269397E-3</v>
      </c>
      <c r="AC60" s="36">
        <f>K60-T60</f>
        <v>0</v>
      </c>
      <c r="AD60" s="36">
        <f>+AM60+BA60</f>
        <v>18</v>
      </c>
      <c r="AE60" s="229" t="s">
        <v>589</v>
      </c>
      <c r="AF60" s="36">
        <v>18</v>
      </c>
      <c r="AG60" s="36"/>
      <c r="AH60" s="36"/>
      <c r="AI60" s="500"/>
      <c r="AJ60" s="36"/>
      <c r="AK60" s="36"/>
      <c r="AL60" s="36"/>
      <c r="AM60" s="36">
        <f t="shared" ref="AM60:AM62" si="126">SUM(AF60:AL60)+AT60+AV60+AX60</f>
        <v>18</v>
      </c>
      <c r="AN60" s="36"/>
      <c r="AO60" s="36"/>
      <c r="AP60" s="36"/>
      <c r="AQ60" s="36"/>
      <c r="AR60" s="36">
        <f>SUM(AN60:AQ60)</f>
        <v>0</v>
      </c>
      <c r="AS60" s="36"/>
      <c r="AT60" s="36"/>
      <c r="AU60" s="36"/>
      <c r="AV60" s="36"/>
      <c r="AW60" s="36"/>
      <c r="AX60" s="36"/>
      <c r="AY60" s="36"/>
      <c r="AZ60" s="36"/>
      <c r="BA60" s="36">
        <f>+AR60+AS60+AU60+AW60+AY60+AZ60</f>
        <v>0</v>
      </c>
      <c r="BB60" s="32">
        <v>9</v>
      </c>
      <c r="BC60" s="50"/>
      <c r="BD60" s="50"/>
      <c r="BE60" s="32"/>
      <c r="BF60" s="50"/>
    </row>
    <row r="61" spans="1:58" ht="12.95" customHeight="1">
      <c r="A61" s="39"/>
      <c r="B61" s="40" t="s">
        <v>7</v>
      </c>
      <c r="C61" s="413">
        <f t="shared" si="117"/>
        <v>4.5436638000000009</v>
      </c>
      <c r="D61" s="40" t="s">
        <v>301</v>
      </c>
      <c r="E61" s="41">
        <v>12.5</v>
      </c>
      <c r="F61" s="41">
        <v>1</v>
      </c>
      <c r="G61" s="497">
        <v>1230</v>
      </c>
      <c r="H61" s="43">
        <f t="shared" si="118"/>
        <v>0.24</v>
      </c>
      <c r="I61" s="44">
        <v>0.88</v>
      </c>
      <c r="J61" s="81">
        <f t="shared" si="119"/>
        <v>46.104336000000004</v>
      </c>
      <c r="K61" s="81">
        <f t="shared" si="120"/>
        <v>4.6125369000000003</v>
      </c>
      <c r="L61" s="34">
        <v>1211.6339869281046</v>
      </c>
      <c r="M61" s="34">
        <v>920.84183006535955</v>
      </c>
      <c r="N61" s="45">
        <f t="shared" si="121"/>
        <v>0.24</v>
      </c>
      <c r="O61" s="46">
        <f>+'Trim Rwd'!H39</f>
        <v>258</v>
      </c>
      <c r="P61" s="47">
        <f t="shared" si="122"/>
        <v>36894</v>
      </c>
      <c r="Q61" s="46">
        <v>153</v>
      </c>
      <c r="R61" s="498">
        <v>0</v>
      </c>
      <c r="S61" s="498">
        <v>10</v>
      </c>
      <c r="T61" s="36">
        <f t="shared" si="123"/>
        <v>4.5436638000000009</v>
      </c>
      <c r="U61" s="36">
        <f t="shared" si="124"/>
        <v>4.2466923098039224</v>
      </c>
      <c r="V61" s="36">
        <f t="shared" si="125"/>
        <v>0.30147299999999999</v>
      </c>
      <c r="W61" s="36">
        <f>+'11'!K14/1000</f>
        <v>1.1279999999999999</v>
      </c>
      <c r="X61" s="37"/>
      <c r="Y61" s="210"/>
      <c r="Z61" s="36"/>
      <c r="AA61" s="36"/>
      <c r="AB61" s="36"/>
      <c r="AC61" s="36">
        <f t="shared" ref="AC61" si="127">K61-T61</f>
        <v>6.8873099999999354E-2</v>
      </c>
      <c r="AD61" s="36">
        <f>+AM61+BA61</f>
        <v>0</v>
      </c>
      <c r="AE61" s="229" t="s">
        <v>283</v>
      </c>
      <c r="AF61" s="36"/>
      <c r="AG61" s="36">
        <v>0</v>
      </c>
      <c r="AH61" s="36"/>
      <c r="AI61" s="500"/>
      <c r="AJ61" s="36"/>
      <c r="AK61" s="36"/>
      <c r="AL61" s="36"/>
      <c r="AM61" s="36">
        <f t="shared" si="126"/>
        <v>0</v>
      </c>
      <c r="AN61" s="82"/>
      <c r="AO61" s="36"/>
      <c r="AP61" s="36"/>
      <c r="AQ61" s="36"/>
      <c r="AR61" s="36">
        <f t="shared" ref="AR61:AR62" si="128">SUM(AN61:AQ61)</f>
        <v>0</v>
      </c>
      <c r="AS61" s="36"/>
      <c r="AT61" s="36"/>
      <c r="AU61" s="36"/>
      <c r="AV61" s="36"/>
      <c r="AW61" s="36"/>
      <c r="AX61" s="36"/>
      <c r="AY61" s="36"/>
      <c r="AZ61" s="36"/>
      <c r="BA61" s="36">
        <f>+AR61+AS61+AU61+AW61+AY61+AZ61</f>
        <v>0</v>
      </c>
      <c r="BB61" s="49"/>
      <c r="BC61" s="50">
        <v>0</v>
      </c>
      <c r="BD61" s="50"/>
      <c r="BE61" s="49"/>
      <c r="BF61" s="50"/>
    </row>
    <row r="62" spans="1:58" ht="12.95" customHeight="1">
      <c r="A62" s="39"/>
      <c r="B62" s="40"/>
      <c r="C62" s="413"/>
      <c r="D62" s="40"/>
      <c r="E62" s="41"/>
      <c r="F62" s="41"/>
      <c r="G62" s="497"/>
      <c r="H62" s="43"/>
      <c r="I62" s="44"/>
      <c r="J62" s="81"/>
      <c r="K62" s="81"/>
      <c r="L62" s="34"/>
      <c r="M62" s="34"/>
      <c r="N62" s="45"/>
      <c r="O62" s="46"/>
      <c r="P62" s="47"/>
      <c r="Q62" s="46"/>
      <c r="R62" s="498"/>
      <c r="S62" s="498"/>
      <c r="T62" s="36"/>
      <c r="U62" s="36"/>
      <c r="V62" s="36"/>
      <c r="W62" s="36"/>
      <c r="X62" s="37"/>
      <c r="Y62" s="210"/>
      <c r="Z62" s="36"/>
      <c r="AA62" s="36"/>
      <c r="AB62" s="36"/>
      <c r="AC62" s="36"/>
      <c r="AD62" s="36">
        <f>+AM62+BA62</f>
        <v>53</v>
      </c>
      <c r="AE62" s="229" t="s">
        <v>553</v>
      </c>
      <c r="AF62" s="32"/>
      <c r="AG62" s="32"/>
      <c r="AH62" s="32">
        <v>53</v>
      </c>
      <c r="AJ62" s="36"/>
      <c r="AK62" s="36"/>
      <c r="AL62" s="36"/>
      <c r="AM62" s="36">
        <f t="shared" si="126"/>
        <v>53</v>
      </c>
      <c r="AN62" s="36"/>
      <c r="AO62" s="36"/>
      <c r="AP62" s="36"/>
      <c r="AQ62" s="36"/>
      <c r="AR62" s="36">
        <f t="shared" si="128"/>
        <v>0</v>
      </c>
      <c r="AS62" s="36"/>
      <c r="AT62" s="36"/>
      <c r="AU62" s="36"/>
      <c r="AV62" s="36"/>
      <c r="AW62" s="36"/>
      <c r="AX62" s="36"/>
      <c r="AY62" s="36"/>
      <c r="AZ62" s="36"/>
      <c r="BA62" s="36">
        <f>+AR62+AS62+AU62+AW62+AY62+AZ62</f>
        <v>0</v>
      </c>
      <c r="BB62" s="32"/>
      <c r="BC62" s="501"/>
      <c r="BD62" s="501"/>
      <c r="BE62" s="32"/>
      <c r="BF62" s="501"/>
    </row>
    <row r="63" spans="1:58" ht="13.5" customHeight="1">
      <c r="A63" s="39"/>
      <c r="B63" s="40"/>
      <c r="C63" s="413"/>
      <c r="D63" s="40"/>
      <c r="E63" s="41"/>
      <c r="F63" s="41"/>
      <c r="G63" s="497"/>
      <c r="H63" s="43"/>
      <c r="I63" s="44"/>
      <c r="J63" s="81"/>
      <c r="K63" s="81"/>
      <c r="L63" s="34"/>
      <c r="M63" s="34"/>
      <c r="N63" s="45"/>
      <c r="O63" s="46"/>
      <c r="P63" s="47"/>
      <c r="Q63" s="46"/>
      <c r="R63" s="498"/>
      <c r="S63" s="498"/>
      <c r="T63" s="36"/>
      <c r="U63" s="36"/>
      <c r="V63" s="36"/>
      <c r="W63" s="36"/>
      <c r="X63" s="499"/>
      <c r="Y63" s="210"/>
      <c r="Z63" s="36"/>
      <c r="AA63" s="48"/>
      <c r="AB63" s="48"/>
      <c r="AC63" s="36"/>
      <c r="AD63" s="36"/>
      <c r="AE63" s="229"/>
      <c r="AF63" s="36"/>
      <c r="AG63" s="36"/>
      <c r="AH63" s="36"/>
      <c r="AI63" s="500"/>
      <c r="AJ63" s="36"/>
      <c r="AK63" s="36"/>
      <c r="AL63" s="36"/>
      <c r="AM63" s="36"/>
      <c r="AN63" s="36"/>
      <c r="AO63" s="36"/>
      <c r="AP63" s="36"/>
      <c r="AQ63" s="36"/>
      <c r="AR63" s="36"/>
      <c r="AS63" s="36"/>
      <c r="AT63" s="36"/>
      <c r="AU63" s="36"/>
      <c r="AV63" s="36"/>
      <c r="AW63" s="36"/>
      <c r="AX63" s="36"/>
      <c r="AY63" s="36"/>
      <c r="AZ63" s="36"/>
      <c r="BA63" s="36"/>
      <c r="BB63" s="32"/>
      <c r="BC63" s="50"/>
      <c r="BD63" s="50"/>
      <c r="BE63" s="50"/>
      <c r="BF63" s="50"/>
    </row>
    <row r="64" spans="1:58" ht="12.75" customHeight="1">
      <c r="A64" s="39">
        <v>46093</v>
      </c>
      <c r="B64" s="40" t="s">
        <v>7</v>
      </c>
      <c r="C64" s="413">
        <f t="shared" ref="C64:C66" si="129">(M64*E64*O64*Q64)/100000000</f>
        <v>9.0441900000000004</v>
      </c>
      <c r="D64" s="40" t="s">
        <v>301</v>
      </c>
      <c r="E64" s="41">
        <v>12.5</v>
      </c>
      <c r="F64" s="41">
        <v>1</v>
      </c>
      <c r="G64" s="497">
        <v>1230</v>
      </c>
      <c r="H64" s="43">
        <f t="shared" ref="H64:H66" si="130">+N64</f>
        <v>0.24</v>
      </c>
      <c r="I64" s="44">
        <v>0.88</v>
      </c>
      <c r="J64" s="81">
        <f t="shared" ref="J64:J66" si="131">E64*G64*(1-H64)*1440/1000000*2.74</f>
        <v>46.104336000000004</v>
      </c>
      <c r="K64" s="81">
        <f t="shared" ref="K64:K66" si="132">(IF(G64&lt;L64,L64,G64)*(1-IF(H64&lt;N64,H64,N64))*E64*O64*Q64)/100000000</f>
        <v>9.0441900000000004</v>
      </c>
      <c r="L64" s="34">
        <v>1230</v>
      </c>
      <c r="M64" s="34">
        <v>934.8</v>
      </c>
      <c r="N64" s="45">
        <f t="shared" ref="N64:N66" si="133">1-(M64/L64)</f>
        <v>0.24</v>
      </c>
      <c r="O64" s="46">
        <f>+'Trim Rwd'!H41</f>
        <v>258</v>
      </c>
      <c r="P64" s="47">
        <f t="shared" ref="P64:P66" si="134">O64*(Q64-R64-S64)</f>
        <v>72240</v>
      </c>
      <c r="Q64" s="46">
        <v>300</v>
      </c>
      <c r="R64" s="498">
        <v>0</v>
      </c>
      <c r="S64" s="498">
        <v>20</v>
      </c>
      <c r="T64" s="36">
        <f t="shared" ref="T64:T66" si="135">E64*M64*O64*Q64/100000000</f>
        <v>9.0441900000000004</v>
      </c>
      <c r="U64" s="36">
        <f t="shared" ref="U64:U66" si="136">E64*M64*O64*(Q64-R64-S64)/100000000</f>
        <v>8.4412439999999993</v>
      </c>
      <c r="V64" s="36">
        <f t="shared" ref="V64:V66" si="137">E64*G64*(1-N64)*O64/100*(R64+S64)/1000000</f>
        <v>0.60294599999999998</v>
      </c>
      <c r="W64" s="36">
        <f>+'12'!K14/1000</f>
        <v>9.0039999999999996</v>
      </c>
      <c r="X64" s="499">
        <f>SUM(W64:W67)/SUM(K64:K67)</f>
        <v>0.8757876997863191</v>
      </c>
      <c r="Y64" s="210">
        <v>0</v>
      </c>
      <c r="Z64" s="36">
        <f>+'12'!D7/1000</f>
        <v>0.25</v>
      </c>
      <c r="AA64" s="48">
        <f>SUM(U64:U67)-SUM(W64:W67)-SUM(Z64:Z67)-SUM(Y64:Y67)</f>
        <v>2.0185818393947144</v>
      </c>
      <c r="AB64" s="48">
        <f>(SUM(K64:K67)-SUM(W64:W67)-SUM(Y64:Y67)-SUM(Z64:Z67)-SUM(AC64:AC67)-SUM(V64:V67))-AA64</f>
        <v>-3.1774906702409123E-2</v>
      </c>
      <c r="AC64" s="36">
        <f>K64-T64</f>
        <v>0</v>
      </c>
      <c r="AD64" s="36">
        <f>+AM64+BA64</f>
        <v>28</v>
      </c>
      <c r="AE64" s="229" t="s">
        <v>589</v>
      </c>
      <c r="AF64" s="36">
        <v>28</v>
      </c>
      <c r="AG64" s="36"/>
      <c r="AH64" s="36"/>
      <c r="AI64" s="500"/>
      <c r="AJ64" s="36"/>
      <c r="AK64" s="36"/>
      <c r="AL64" s="36"/>
      <c r="AM64" s="36">
        <f t="shared" ref="AM64:AM66" si="138">SUM(AF64:AL64)+AT64+AV64+AX64</f>
        <v>28</v>
      </c>
      <c r="AN64" s="36"/>
      <c r="AO64" s="36"/>
      <c r="AP64" s="36"/>
      <c r="AQ64" s="36"/>
      <c r="AR64" s="36">
        <f>SUM(AN64:AQ64)</f>
        <v>0</v>
      </c>
      <c r="AS64" s="36"/>
      <c r="AT64" s="36"/>
      <c r="AU64" s="36"/>
      <c r="AV64" s="36"/>
      <c r="AW64" s="36"/>
      <c r="AX64" s="36"/>
      <c r="AY64" s="36"/>
      <c r="AZ64" s="36"/>
      <c r="BA64" s="36">
        <f>+AR64+AS64+AU64+AW64+AY64+AZ64</f>
        <v>0</v>
      </c>
      <c r="BB64" s="32">
        <v>9</v>
      </c>
      <c r="BC64" s="50"/>
      <c r="BD64" s="50"/>
      <c r="BE64" s="32"/>
      <c r="BF64" s="50"/>
    </row>
    <row r="65" spans="1:58" ht="12.95" customHeight="1">
      <c r="A65" s="39"/>
      <c r="B65" s="40" t="s">
        <v>7</v>
      </c>
      <c r="C65" s="413">
        <f t="shared" si="129"/>
        <v>25.173671599999999</v>
      </c>
      <c r="D65" s="40" t="s">
        <v>301</v>
      </c>
      <c r="E65" s="41">
        <v>14</v>
      </c>
      <c r="F65" s="41">
        <v>1</v>
      </c>
      <c r="G65" s="497">
        <f>+L65</f>
        <v>1180</v>
      </c>
      <c r="H65" s="43">
        <f t="shared" si="130"/>
        <v>0.27754889178617992</v>
      </c>
      <c r="I65" s="44">
        <v>0.88</v>
      </c>
      <c r="J65" s="81">
        <f t="shared" si="131"/>
        <v>47.090311089230774</v>
      </c>
      <c r="K65" s="81">
        <f t="shared" si="132"/>
        <v>25.173671599999999</v>
      </c>
      <c r="L65" s="34">
        <v>1180</v>
      </c>
      <c r="M65" s="34">
        <v>852.49230769230769</v>
      </c>
      <c r="N65" s="45">
        <f t="shared" si="133"/>
        <v>0.27754889178617992</v>
      </c>
      <c r="O65" s="46">
        <f>+'Trim Rwd'!H42</f>
        <v>275</v>
      </c>
      <c r="P65" s="47">
        <f t="shared" si="134"/>
        <v>197175</v>
      </c>
      <c r="Q65" s="46">
        <v>767</v>
      </c>
      <c r="R65" s="498">
        <v>0</v>
      </c>
      <c r="S65" s="498">
        <v>50</v>
      </c>
      <c r="T65" s="36">
        <f t="shared" si="135"/>
        <v>25.173671599999999</v>
      </c>
      <c r="U65" s="36">
        <f t="shared" si="136"/>
        <v>23.532623907692308</v>
      </c>
      <c r="V65" s="36">
        <f t="shared" si="137"/>
        <v>1.6410476923076922</v>
      </c>
      <c r="W65" s="36">
        <f>+'12'!K8/1000</f>
        <v>19.27</v>
      </c>
      <c r="X65" s="37"/>
      <c r="Y65" s="210"/>
      <c r="Z65" s="36">
        <f>+'12'!D8/1000</f>
        <v>3.5999999999999997E-2</v>
      </c>
      <c r="AA65" s="36"/>
      <c r="AB65" s="36"/>
      <c r="AC65" s="36">
        <f t="shared" ref="AC65:AC66" si="139">K65-T65</f>
        <v>0</v>
      </c>
      <c r="AD65" s="36">
        <f>+AM65+BA65</f>
        <v>0</v>
      </c>
      <c r="AE65" s="229" t="s">
        <v>283</v>
      </c>
      <c r="AF65" s="36"/>
      <c r="AG65" s="36">
        <v>0</v>
      </c>
      <c r="AH65" s="36"/>
      <c r="AI65" s="500"/>
      <c r="AJ65" s="36"/>
      <c r="AK65" s="36"/>
      <c r="AL65" s="36"/>
      <c r="AM65" s="36">
        <f t="shared" si="138"/>
        <v>0</v>
      </c>
      <c r="AN65" s="82"/>
      <c r="AO65" s="36"/>
      <c r="AP65" s="36"/>
      <c r="AQ65" s="36"/>
      <c r="AR65" s="36">
        <f t="shared" ref="AR65:AR66" si="140">SUM(AN65:AQ65)</f>
        <v>0</v>
      </c>
      <c r="AS65" s="36"/>
      <c r="AT65" s="36"/>
      <c r="AU65" s="36"/>
      <c r="AV65" s="36"/>
      <c r="AW65" s="36"/>
      <c r="AX65" s="36"/>
      <c r="AY65" s="36"/>
      <c r="AZ65" s="36"/>
      <c r="BA65" s="36">
        <f>+AR65+AS65+AU65+AW65+AY65+AZ65</f>
        <v>0</v>
      </c>
      <c r="BB65" s="49"/>
      <c r="BC65" s="50">
        <v>0</v>
      </c>
      <c r="BD65" s="50"/>
      <c r="BE65" s="49"/>
      <c r="BF65" s="50"/>
    </row>
    <row r="66" spans="1:58" ht="12.95" customHeight="1">
      <c r="A66" s="39"/>
      <c r="B66" s="40" t="s">
        <v>551</v>
      </c>
      <c r="C66" s="413">
        <f t="shared" si="129"/>
        <v>11.577490924999999</v>
      </c>
      <c r="D66" s="40" t="s">
        <v>301</v>
      </c>
      <c r="E66" s="41">
        <v>13</v>
      </c>
      <c r="F66" s="41">
        <v>1</v>
      </c>
      <c r="G66" s="497">
        <v>1230</v>
      </c>
      <c r="H66" s="43">
        <f t="shared" si="130"/>
        <v>0.22999999999999998</v>
      </c>
      <c r="I66" s="44">
        <v>0.88</v>
      </c>
      <c r="J66" s="81">
        <f t="shared" si="131"/>
        <v>48.579410880000005</v>
      </c>
      <c r="K66" s="81">
        <f t="shared" si="132"/>
        <v>12.170092935000003</v>
      </c>
      <c r="L66" s="34">
        <v>1170.1072386058981</v>
      </c>
      <c r="M66" s="34">
        <v>900.98257372654155</v>
      </c>
      <c r="N66" s="45">
        <f t="shared" si="133"/>
        <v>0.22999999999999998</v>
      </c>
      <c r="O66" s="46">
        <f>+'Trim Rwd'!H43</f>
        <v>265</v>
      </c>
      <c r="P66" s="47">
        <f t="shared" si="134"/>
        <v>93545</v>
      </c>
      <c r="Q66" s="46">
        <v>373</v>
      </c>
      <c r="R66" s="498">
        <v>0</v>
      </c>
      <c r="S66" s="498">
        <v>20</v>
      </c>
      <c r="T66" s="36">
        <f t="shared" si="135"/>
        <v>11.577490924999999</v>
      </c>
      <c r="U66" s="36">
        <f t="shared" si="136"/>
        <v>10.956713931702414</v>
      </c>
      <c r="V66" s="36">
        <f t="shared" si="137"/>
        <v>0.65255190000000018</v>
      </c>
      <c r="W66" s="36">
        <f>+'12'!K15/1000</f>
        <v>12.352</v>
      </c>
      <c r="X66" s="37"/>
      <c r="Y66" s="210"/>
      <c r="Z66" s="36"/>
      <c r="AA66" s="36"/>
      <c r="AB66" s="36"/>
      <c r="AC66" s="36">
        <f t="shared" si="139"/>
        <v>0.59260201000000379</v>
      </c>
      <c r="AD66" s="36">
        <f>+AM66+BA66</f>
        <v>62</v>
      </c>
      <c r="AE66" s="229" t="s">
        <v>604</v>
      </c>
      <c r="AF66" s="32"/>
      <c r="AG66" s="32"/>
      <c r="AH66" s="32">
        <v>62</v>
      </c>
      <c r="AJ66" s="36"/>
      <c r="AK66" s="36"/>
      <c r="AL66" s="36"/>
      <c r="AM66" s="36">
        <f t="shared" si="138"/>
        <v>62</v>
      </c>
      <c r="AN66" s="36"/>
      <c r="AO66" s="36"/>
      <c r="AP66" s="36"/>
      <c r="AQ66" s="36"/>
      <c r="AR66" s="36">
        <f t="shared" si="140"/>
        <v>0</v>
      </c>
      <c r="AS66" s="36"/>
      <c r="AT66" s="36"/>
      <c r="AU66" s="36"/>
      <c r="AV66" s="36"/>
      <c r="AW66" s="36"/>
      <c r="AX66" s="36"/>
      <c r="AY66" s="36"/>
      <c r="AZ66" s="36"/>
      <c r="BA66" s="36">
        <f>+AR66+AS66+AU66+AW66+AY66+AZ66</f>
        <v>0</v>
      </c>
      <c r="BB66" s="32"/>
      <c r="BC66" s="501"/>
      <c r="BD66" s="501"/>
      <c r="BE66" s="32"/>
      <c r="BF66" s="501"/>
    </row>
    <row r="67" spans="1:58" ht="13.5" customHeight="1">
      <c r="A67" s="39"/>
      <c r="B67" s="40"/>
      <c r="C67" s="413"/>
      <c r="D67" s="40"/>
      <c r="E67" s="41"/>
      <c r="F67" s="41"/>
      <c r="G67" s="497"/>
      <c r="H67" s="43"/>
      <c r="I67" s="44"/>
      <c r="J67" s="81"/>
      <c r="K67" s="81"/>
      <c r="L67" s="34"/>
      <c r="M67" s="34"/>
      <c r="N67" s="45"/>
      <c r="O67" s="46"/>
      <c r="P67" s="47"/>
      <c r="Q67" s="46"/>
      <c r="R67" s="498"/>
      <c r="S67" s="498"/>
      <c r="T67" s="36"/>
      <c r="U67" s="36"/>
      <c r="V67" s="36"/>
      <c r="W67" s="36"/>
      <c r="X67" s="499"/>
      <c r="Y67" s="210"/>
      <c r="Z67" s="36"/>
      <c r="AA67" s="48"/>
      <c r="AB67" s="48"/>
      <c r="AC67" s="36"/>
      <c r="AD67" s="36"/>
      <c r="AE67" s="229"/>
      <c r="AF67" s="36"/>
      <c r="AG67" s="36"/>
      <c r="AH67" s="36"/>
      <c r="AI67" s="500"/>
      <c r="AJ67" s="36"/>
      <c r="AK67" s="36"/>
      <c r="AL67" s="36"/>
      <c r="AM67" s="36"/>
      <c r="AN67" s="36"/>
      <c r="AO67" s="36"/>
      <c r="AP67" s="36"/>
      <c r="AQ67" s="36"/>
      <c r="AR67" s="36"/>
      <c r="AS67" s="36"/>
      <c r="AT67" s="36"/>
      <c r="AU67" s="36"/>
      <c r="AV67" s="36"/>
      <c r="AW67" s="36"/>
      <c r="AX67" s="36"/>
      <c r="AY67" s="36"/>
      <c r="AZ67" s="36"/>
      <c r="BA67" s="36"/>
      <c r="BB67" s="32"/>
      <c r="BC67" s="50"/>
      <c r="BD67" s="50"/>
      <c r="BE67" s="50"/>
      <c r="BF67" s="50"/>
    </row>
    <row r="68" spans="1:58" ht="12.75" customHeight="1">
      <c r="A68" s="39">
        <v>46094</v>
      </c>
      <c r="B68" s="40" t="s">
        <v>551</v>
      </c>
      <c r="C68" s="413">
        <f t="shared" ref="C68:C69" si="141">(M68*E68*O68*Q68)/100000000</f>
        <v>1.4397926400000001</v>
      </c>
      <c r="D68" s="40" t="s">
        <v>301</v>
      </c>
      <c r="E68" s="41">
        <v>13</v>
      </c>
      <c r="F68" s="41">
        <v>1</v>
      </c>
      <c r="G68" s="497">
        <v>1230</v>
      </c>
      <c r="H68" s="43">
        <f t="shared" ref="H68:H69" si="142">+N68</f>
        <v>0.24</v>
      </c>
      <c r="I68" s="44">
        <v>0.88</v>
      </c>
      <c r="J68" s="81">
        <f t="shared" ref="J68:J69" si="143">E68*G68*(1-H68)*1440/1000000*2.74</f>
        <v>47.948509440000002</v>
      </c>
      <c r="K68" s="81">
        <f t="shared" ref="K68:K69" si="144">(IF(G68&lt;L68,L68,G68)*(1-IF(H68&lt;N68,H68,N68))*E68*O68*Q68)/100000000</f>
        <v>1.4757874559999999</v>
      </c>
      <c r="L68" s="34">
        <v>1200</v>
      </c>
      <c r="M68" s="34">
        <v>912</v>
      </c>
      <c r="N68" s="45">
        <f t="shared" ref="N68:N69" si="145">1-(M68/L68)</f>
        <v>0.24</v>
      </c>
      <c r="O68" s="46">
        <f>+'Trim Rwd'!H46</f>
        <v>264</v>
      </c>
      <c r="P68" s="47">
        <f t="shared" ref="P68:P69" si="146">O68*(Q68-R68-S68)</f>
        <v>9240</v>
      </c>
      <c r="Q68" s="46">
        <v>46</v>
      </c>
      <c r="R68" s="498">
        <v>0</v>
      </c>
      <c r="S68" s="498">
        <v>11</v>
      </c>
      <c r="T68" s="36">
        <f t="shared" ref="T68:T69" si="147">E68*M68*O68*Q68/100000000</f>
        <v>1.4397926400000001</v>
      </c>
      <c r="U68" s="36">
        <f t="shared" ref="U68:U69" si="148">E68*M68*O68*(Q68-R68-S68)/100000000</f>
        <v>1.0954944</v>
      </c>
      <c r="V68" s="36">
        <f t="shared" ref="V68:V69" si="149">E68*G68*(1-N68)*O68/100*(R68+S68)/1000000</f>
        <v>0.35290569599999999</v>
      </c>
      <c r="W68" s="36">
        <f>+'13'!K15/1000</f>
        <v>3.903</v>
      </c>
      <c r="X68" s="499">
        <f>SUM(W68:W71)/SUM(K68:K71)</f>
        <v>0.88488626416255767</v>
      </c>
      <c r="Y68" s="210">
        <v>0</v>
      </c>
      <c r="Z68" s="36">
        <v>0</v>
      </c>
      <c r="AA68" s="48">
        <f>SUM(U68:U71)-SUM(W68:W71)-SUM(Z68:Z71)-SUM(Y68:Y71)</f>
        <v>1.6300061474892402</v>
      </c>
      <c r="AB68" s="48">
        <f>(SUM(K68:K71)-SUM(W68:W71)-SUM(Y68:Y71)-SUM(Z68:Z71)-SUM(AC68:AC71)-SUM(V68:V71))-AA68</f>
        <v>-6.3377307385338533E-2</v>
      </c>
      <c r="AC68" s="36">
        <f>K68-T68</f>
        <v>3.5994815999999874E-2</v>
      </c>
      <c r="AD68" s="36">
        <f>+AM68+BA68</f>
        <v>6</v>
      </c>
      <c r="AE68" s="229" t="s">
        <v>412</v>
      </c>
      <c r="AF68" s="36">
        <v>6</v>
      </c>
      <c r="AG68" s="36"/>
      <c r="AH68" s="36"/>
      <c r="AI68" s="500"/>
      <c r="AJ68" s="36"/>
      <c r="AK68" s="36"/>
      <c r="AL68" s="36"/>
      <c r="AM68" s="36">
        <f t="shared" ref="AM68:AM70" si="150">SUM(AF68:AL68)+AT68+AV68+AX68</f>
        <v>6</v>
      </c>
      <c r="AN68" s="36"/>
      <c r="AO68" s="36"/>
      <c r="AP68" s="36"/>
      <c r="AQ68" s="36"/>
      <c r="AR68" s="36">
        <f>SUM(AN68:AQ68)</f>
        <v>0</v>
      </c>
      <c r="AS68" s="36"/>
      <c r="AT68" s="36"/>
      <c r="AU68" s="36"/>
      <c r="AV68" s="36"/>
      <c r="AW68" s="36"/>
      <c r="AX68" s="36"/>
      <c r="AY68" s="36"/>
      <c r="AZ68" s="36"/>
      <c r="BA68" s="36">
        <f>+AR68+AS68+AU68+AW68+AY68+AZ68</f>
        <v>0</v>
      </c>
      <c r="BB68" s="32">
        <v>3</v>
      </c>
      <c r="BC68" s="50"/>
      <c r="BD68" s="50"/>
      <c r="BE68" s="32"/>
      <c r="BF68" s="50"/>
    </row>
    <row r="69" spans="1:58" ht="12.95" customHeight="1">
      <c r="A69" s="39"/>
      <c r="B69" s="40" t="s">
        <v>551</v>
      </c>
      <c r="C69" s="413">
        <f t="shared" si="141"/>
        <v>41.159064000000008</v>
      </c>
      <c r="D69" s="40" t="s">
        <v>301</v>
      </c>
      <c r="E69" s="41">
        <v>12.5</v>
      </c>
      <c r="F69" s="41">
        <v>1</v>
      </c>
      <c r="G69" s="497">
        <v>1230</v>
      </c>
      <c r="H69" s="43">
        <f t="shared" si="142"/>
        <v>0.22966810966810958</v>
      </c>
      <c r="I69" s="44">
        <v>0.88</v>
      </c>
      <c r="J69" s="81">
        <f t="shared" si="143"/>
        <v>46.731105662337669</v>
      </c>
      <c r="K69" s="81">
        <f t="shared" si="144"/>
        <v>42.431550213852823</v>
      </c>
      <c r="L69" s="34">
        <v>1193.1133428981348</v>
      </c>
      <c r="M69" s="34">
        <v>919.09325681492112</v>
      </c>
      <c r="N69" s="45">
        <f t="shared" si="145"/>
        <v>0.22966810966810958</v>
      </c>
      <c r="O69" s="46">
        <f>+'Trim Rwd'!H47</f>
        <v>257</v>
      </c>
      <c r="P69" s="47">
        <f t="shared" si="146"/>
        <v>342838</v>
      </c>
      <c r="Q69" s="46">
        <v>1394</v>
      </c>
      <c r="R69" s="498">
        <v>0</v>
      </c>
      <c r="S69" s="498">
        <v>60</v>
      </c>
      <c r="T69" s="36">
        <f t="shared" si="147"/>
        <v>41.159064000000008</v>
      </c>
      <c r="U69" s="36">
        <f t="shared" si="148"/>
        <v>39.387511747489242</v>
      </c>
      <c r="V69" s="36">
        <f t="shared" si="149"/>
        <v>1.8263221038961039</v>
      </c>
      <c r="W69" s="36">
        <f>+'13'!K16/1000</f>
        <v>34.950000000000003</v>
      </c>
      <c r="X69" s="37"/>
      <c r="Y69" s="210"/>
      <c r="Z69" s="36"/>
      <c r="AA69" s="36"/>
      <c r="AB69" s="36"/>
      <c r="AC69" s="36">
        <f t="shared" ref="AC69:AC70" si="151">K69-T69</f>
        <v>1.2724862138528152</v>
      </c>
      <c r="AD69" s="36">
        <f>+AM69+BA69</f>
        <v>21</v>
      </c>
      <c r="AE69" s="229" t="s">
        <v>620</v>
      </c>
      <c r="AF69" s="36"/>
      <c r="AG69" s="36">
        <v>21</v>
      </c>
      <c r="AH69" s="36"/>
      <c r="AI69" s="500"/>
      <c r="AJ69" s="36"/>
      <c r="AK69" s="36"/>
      <c r="AL69" s="36"/>
      <c r="AM69" s="36">
        <f t="shared" si="150"/>
        <v>21</v>
      </c>
      <c r="AN69" s="82"/>
      <c r="AO69" s="36"/>
      <c r="AP69" s="36"/>
      <c r="AQ69" s="36"/>
      <c r="AR69" s="36">
        <f t="shared" ref="AR69:AR70" si="152">SUM(AN69:AQ69)</f>
        <v>0</v>
      </c>
      <c r="AS69" s="36"/>
      <c r="AT69" s="36"/>
      <c r="AU69" s="36"/>
      <c r="AV69" s="36"/>
      <c r="AW69" s="36"/>
      <c r="AX69" s="36"/>
      <c r="AY69" s="36"/>
      <c r="AZ69" s="36"/>
      <c r="BA69" s="36">
        <f>+AR69+AS69+AU69+AW69+AY69+AZ69</f>
        <v>0</v>
      </c>
      <c r="BB69" s="49"/>
      <c r="BC69" s="50">
        <v>8</v>
      </c>
      <c r="BD69" s="50"/>
      <c r="BE69" s="49"/>
      <c r="BF69" s="50"/>
    </row>
    <row r="70" spans="1:58" ht="12.95" customHeight="1">
      <c r="A70" s="39"/>
      <c r="B70" s="40"/>
      <c r="C70" s="413"/>
      <c r="D70" s="40"/>
      <c r="E70" s="41"/>
      <c r="F70" s="41"/>
      <c r="G70" s="497"/>
      <c r="H70" s="43"/>
      <c r="I70" s="44"/>
      <c r="J70" s="81"/>
      <c r="K70" s="81"/>
      <c r="L70" s="34"/>
      <c r="M70" s="34"/>
      <c r="N70" s="45"/>
      <c r="O70" s="46"/>
      <c r="P70" s="47"/>
      <c r="Q70" s="46"/>
      <c r="R70" s="498"/>
      <c r="S70" s="498"/>
      <c r="T70" s="36"/>
      <c r="U70" s="36"/>
      <c r="V70" s="36"/>
      <c r="W70" s="36"/>
      <c r="X70" s="37"/>
      <c r="Y70" s="210"/>
      <c r="Z70" s="36"/>
      <c r="AA70" s="36"/>
      <c r="AB70" s="36"/>
      <c r="AC70" s="36">
        <f t="shared" si="151"/>
        <v>0</v>
      </c>
      <c r="AD70" s="36">
        <f>+AM70+BA70</f>
        <v>44</v>
      </c>
      <c r="AE70" s="229" t="s">
        <v>573</v>
      </c>
      <c r="AF70" s="32"/>
      <c r="AG70" s="32"/>
      <c r="AH70" s="32">
        <v>44</v>
      </c>
      <c r="AJ70" s="36"/>
      <c r="AK70" s="36"/>
      <c r="AL70" s="36"/>
      <c r="AM70" s="36">
        <f t="shared" si="150"/>
        <v>44</v>
      </c>
      <c r="AN70" s="36"/>
      <c r="AO70" s="36"/>
      <c r="AP70" s="36"/>
      <c r="AQ70" s="36"/>
      <c r="AR70" s="36">
        <f t="shared" si="152"/>
        <v>0</v>
      </c>
      <c r="AS70" s="36"/>
      <c r="AT70" s="36"/>
      <c r="AU70" s="36"/>
      <c r="AV70" s="36"/>
      <c r="AW70" s="36"/>
      <c r="AX70" s="36"/>
      <c r="AY70" s="36"/>
      <c r="AZ70" s="36"/>
      <c r="BA70" s="36">
        <f>+AR70+AS70+AU70+AW70+AY70+AZ70</f>
        <v>0</v>
      </c>
      <c r="BB70" s="32"/>
      <c r="BC70" s="501"/>
      <c r="BD70" s="501"/>
      <c r="BE70" s="32"/>
      <c r="BF70" s="501"/>
    </row>
    <row r="71" spans="1:58" ht="12.95" customHeight="1">
      <c r="A71" s="39"/>
      <c r="B71" s="40"/>
      <c r="C71" s="413"/>
      <c r="D71" s="40"/>
      <c r="E71" s="41"/>
      <c r="F71" s="41"/>
      <c r="G71" s="42"/>
      <c r="H71" s="43"/>
      <c r="I71" s="44"/>
      <c r="J71" s="81"/>
      <c r="K71" s="81"/>
      <c r="L71" s="34"/>
      <c r="M71" s="34"/>
      <c r="N71" s="45"/>
      <c r="O71" s="46"/>
      <c r="P71" s="47"/>
      <c r="Q71" s="46"/>
      <c r="R71" s="498"/>
      <c r="S71" s="498"/>
      <c r="T71" s="36"/>
      <c r="U71" s="36"/>
      <c r="V71" s="36"/>
      <c r="W71" s="36"/>
      <c r="X71" s="37"/>
      <c r="Y71" s="210"/>
      <c r="Z71" s="36"/>
      <c r="AA71" s="36"/>
      <c r="AB71" s="36"/>
      <c r="AC71" s="36"/>
      <c r="AD71" s="36"/>
      <c r="AE71" s="229"/>
      <c r="AF71" s="32"/>
      <c r="AG71" s="32"/>
      <c r="AH71" s="32"/>
      <c r="AJ71" s="36"/>
      <c r="AK71" s="36"/>
      <c r="AL71" s="36"/>
      <c r="AM71" s="36"/>
      <c r="AN71" s="36"/>
      <c r="AO71" s="36"/>
      <c r="AP71" s="36"/>
      <c r="AQ71" s="36"/>
      <c r="AR71" s="36"/>
      <c r="AS71" s="36"/>
      <c r="AT71" s="36"/>
      <c r="AU71" s="36"/>
      <c r="AV71" s="36"/>
      <c r="AW71" s="36"/>
      <c r="AX71" s="36"/>
      <c r="AY71" s="36"/>
      <c r="AZ71" s="36"/>
      <c r="BA71" s="36"/>
      <c r="BB71" s="32"/>
      <c r="BC71" s="501"/>
      <c r="BD71" s="50"/>
      <c r="BE71" s="49"/>
      <c r="BF71" s="50"/>
    </row>
    <row r="72" spans="1:58" ht="12.75" customHeight="1">
      <c r="A72" s="39">
        <v>46095</v>
      </c>
      <c r="B72" s="40" t="s">
        <v>551</v>
      </c>
      <c r="C72" s="413">
        <f t="shared" ref="C72:C73" si="153">(M72*E72*O72*Q72)/100000000</f>
        <v>3.0648213749999993</v>
      </c>
      <c r="D72" s="40" t="s">
        <v>301</v>
      </c>
      <c r="E72" s="41">
        <v>12.5</v>
      </c>
      <c r="F72" s="41">
        <v>1</v>
      </c>
      <c r="G72" s="497">
        <v>1230</v>
      </c>
      <c r="H72" s="43">
        <f t="shared" ref="H72:H73" si="154">+N72</f>
        <v>0.23000000000000009</v>
      </c>
      <c r="I72" s="44">
        <v>0.88</v>
      </c>
      <c r="J72" s="81">
        <f t="shared" ref="J72:J73" si="155">E72*G72*(1-H72)*1440/1000000*2.74</f>
        <v>46.710971999999991</v>
      </c>
      <c r="K72" s="81">
        <f t="shared" ref="K72:K73" si="156">(IF(G72&lt;L72,L72,G72)*(1-IF(H72&lt;N72,H72,N72))*E72*O72*Q72)/100000000</f>
        <v>3.1946866874999995</v>
      </c>
      <c r="L72" s="34">
        <v>1180</v>
      </c>
      <c r="M72" s="34">
        <v>908.59999999999991</v>
      </c>
      <c r="N72" s="45">
        <f t="shared" ref="N72:N73" si="157">1-(M72/L72)</f>
        <v>0.23000000000000009</v>
      </c>
      <c r="O72" s="46">
        <f>+'Trim Rwd'!H50</f>
        <v>257</v>
      </c>
      <c r="P72" s="47">
        <f t="shared" ref="P72:P73" si="158">O72*(Q72-R72-S72)</f>
        <v>20560</v>
      </c>
      <c r="Q72" s="46">
        <v>105</v>
      </c>
      <c r="R72" s="498">
        <v>0</v>
      </c>
      <c r="S72" s="498">
        <v>25</v>
      </c>
      <c r="T72" s="36">
        <f t="shared" ref="T72:T73" si="159">E72*M72*O72*Q72/100000000</f>
        <v>3.0648213749999993</v>
      </c>
      <c r="U72" s="36">
        <f t="shared" ref="U72:U73" si="160">E72*M72*O72*(Q72-R72-S72)/100000000</f>
        <v>2.3351019999999996</v>
      </c>
      <c r="V72" s="36">
        <f t="shared" ref="V72:V73" si="161">E72*G72*(1-N72)*O72/100*(R72+S72)/1000000</f>
        <v>0.76063968749999988</v>
      </c>
      <c r="W72" s="36">
        <f>+'14'!K16/1000</f>
        <v>5.8780000000000001</v>
      </c>
      <c r="X72" s="499">
        <f>SUM(W72:W75)/SUM(K72:K75)</f>
        <v>0.85030075694254925</v>
      </c>
      <c r="Y72" s="210">
        <v>0</v>
      </c>
      <c r="Z72" s="36">
        <v>0</v>
      </c>
      <c r="AA72" s="48">
        <f>SUM(U72:U75)-SUM(W72:W75)-SUM(Z72:Z75)-SUM(Y72:Y75)</f>
        <v>1.7327379456719001</v>
      </c>
      <c r="AB72" s="48">
        <f>(SUM(K72:K75)-SUM(W72:W75)-SUM(Y72:Y75)-SUM(Z72:Z75)-SUM(AC72:AC75)-SUM(V72:V75))-AA72</f>
        <v>-0.15110958187518175</v>
      </c>
      <c r="AC72" s="36">
        <f>K72-T72</f>
        <v>0.12986531250000022</v>
      </c>
      <c r="AD72" s="36">
        <f>+AM72+BA72</f>
        <v>30</v>
      </c>
      <c r="AE72" s="229" t="s">
        <v>621</v>
      </c>
      <c r="AF72" s="36">
        <v>30</v>
      </c>
      <c r="AG72" s="36"/>
      <c r="AH72" s="36"/>
      <c r="AI72" s="500"/>
      <c r="AJ72" s="36"/>
      <c r="AK72" s="36"/>
      <c r="AL72" s="36"/>
      <c r="AM72" s="36">
        <f t="shared" ref="AM72:AM74" si="162">SUM(AF72:AL72)+AT72+AV72+AX72</f>
        <v>30</v>
      </c>
      <c r="AN72" s="36"/>
      <c r="AO72" s="36"/>
      <c r="AP72" s="36"/>
      <c r="AQ72" s="36"/>
      <c r="AR72" s="36">
        <f>SUM(AN72:AQ72)</f>
        <v>0</v>
      </c>
      <c r="AS72" s="36"/>
      <c r="AT72" s="36"/>
      <c r="AU72" s="36"/>
      <c r="AV72" s="36"/>
      <c r="AW72" s="36"/>
      <c r="AX72" s="36"/>
      <c r="AY72" s="36"/>
      <c r="AZ72" s="36"/>
      <c r="BA72" s="36">
        <f>+AR72+AS72+AU72+AW72+AY72+AZ72</f>
        <v>0</v>
      </c>
      <c r="BB72" s="32">
        <v>9</v>
      </c>
      <c r="BC72" s="50"/>
      <c r="BD72" s="50"/>
      <c r="BE72" s="32"/>
      <c r="BF72" s="50"/>
    </row>
    <row r="73" spans="1:58" ht="12.95" customHeight="1">
      <c r="A73" s="39"/>
      <c r="B73" s="40" t="s">
        <v>551</v>
      </c>
      <c r="C73" s="413">
        <f t="shared" si="153"/>
        <v>41.918826455999991</v>
      </c>
      <c r="D73" s="40" t="s">
        <v>301</v>
      </c>
      <c r="E73" s="41">
        <v>13</v>
      </c>
      <c r="F73" s="41">
        <v>1</v>
      </c>
      <c r="G73" s="497">
        <v>1230</v>
      </c>
      <c r="H73" s="43">
        <f t="shared" si="154"/>
        <v>0.19427472696508241</v>
      </c>
      <c r="I73" s="44">
        <v>0.88</v>
      </c>
      <c r="J73" s="81">
        <f t="shared" si="155"/>
        <v>50.833323500212273</v>
      </c>
      <c r="K73" s="81">
        <f t="shared" si="156"/>
        <v>44.116808300053066</v>
      </c>
      <c r="L73" s="34">
        <v>1168.7191011235955</v>
      </c>
      <c r="M73" s="34">
        <v>941.66651685393242</v>
      </c>
      <c r="N73" s="45">
        <f t="shared" si="157"/>
        <v>0.19427472696508241</v>
      </c>
      <c r="O73" s="46">
        <f>+'Trim Rwd'!H49</f>
        <v>256.5</v>
      </c>
      <c r="P73" s="47">
        <f t="shared" si="158"/>
        <v>323703</v>
      </c>
      <c r="Q73" s="46">
        <v>1335</v>
      </c>
      <c r="R73" s="498">
        <v>0</v>
      </c>
      <c r="S73" s="498">
        <f>98-S72</f>
        <v>73</v>
      </c>
      <c r="T73" s="36">
        <f t="shared" si="159"/>
        <v>41.918826455999991</v>
      </c>
      <c r="U73" s="36">
        <f t="shared" si="160"/>
        <v>39.6266359456719</v>
      </c>
      <c r="V73" s="36">
        <f t="shared" si="161"/>
        <v>2.4123797797032762</v>
      </c>
      <c r="W73" s="36">
        <f>+'14'!K15/1000</f>
        <v>34.350999999999999</v>
      </c>
      <c r="X73" s="37"/>
      <c r="Y73" s="210"/>
      <c r="Z73" s="36"/>
      <c r="AA73" s="36"/>
      <c r="AB73" s="36"/>
      <c r="AC73" s="36">
        <f t="shared" ref="AC73" si="163">K73-T73</f>
        <v>2.197981844053075</v>
      </c>
      <c r="AD73" s="36">
        <f>+AM73+BA73</f>
        <v>2</v>
      </c>
      <c r="AE73" s="229" t="s">
        <v>414</v>
      </c>
      <c r="AF73" s="36"/>
      <c r="AG73" s="36">
        <v>2</v>
      </c>
      <c r="AH73" s="36"/>
      <c r="AI73" s="500"/>
      <c r="AJ73" s="36"/>
      <c r="AK73" s="36"/>
      <c r="AL73" s="36"/>
      <c r="AM73" s="36">
        <f t="shared" si="162"/>
        <v>2</v>
      </c>
      <c r="AN73" s="82"/>
      <c r="AO73" s="36"/>
      <c r="AP73" s="36"/>
      <c r="AQ73" s="36"/>
      <c r="AR73" s="36">
        <f t="shared" ref="AR73:AR74" si="164">SUM(AN73:AQ73)</f>
        <v>0</v>
      </c>
      <c r="AS73" s="36"/>
      <c r="AT73" s="36"/>
      <c r="AU73" s="36"/>
      <c r="AV73" s="36"/>
      <c r="AW73" s="36"/>
      <c r="AX73" s="36"/>
      <c r="AY73" s="36"/>
      <c r="AZ73" s="36"/>
      <c r="BA73" s="36">
        <f>+AR73+AS73+AU73+AW73+AY73+AZ73</f>
        <v>0</v>
      </c>
      <c r="BB73" s="49"/>
      <c r="BC73" s="50">
        <v>1</v>
      </c>
      <c r="BD73" s="50"/>
      <c r="BE73" s="49"/>
      <c r="BF73" s="50"/>
    </row>
    <row r="74" spans="1:58" ht="12.95" customHeight="1">
      <c r="A74" s="39"/>
      <c r="B74" s="40"/>
      <c r="C74" s="413"/>
      <c r="D74" s="40"/>
      <c r="E74" s="41"/>
      <c r="F74" s="41"/>
      <c r="G74" s="497"/>
      <c r="H74" s="43"/>
      <c r="I74" s="44"/>
      <c r="J74" s="81"/>
      <c r="K74" s="81"/>
      <c r="L74" s="34"/>
      <c r="M74" s="34"/>
      <c r="N74" s="45"/>
      <c r="O74" s="46"/>
      <c r="P74" s="47"/>
      <c r="Q74" s="46"/>
      <c r="R74" s="498"/>
      <c r="S74" s="498"/>
      <c r="T74" s="36"/>
      <c r="U74" s="36"/>
      <c r="V74" s="36"/>
      <c r="W74" s="36"/>
      <c r="X74" s="37"/>
      <c r="Y74" s="210"/>
      <c r="Z74" s="36"/>
      <c r="AA74" s="36"/>
      <c r="AB74" s="36"/>
      <c r="AC74" s="36"/>
      <c r="AD74" s="36">
        <f>+AM74+BA74</f>
        <v>41</v>
      </c>
      <c r="AE74" s="229" t="s">
        <v>387</v>
      </c>
      <c r="AF74" s="32"/>
      <c r="AG74" s="32"/>
      <c r="AH74" s="32">
        <v>41</v>
      </c>
      <c r="AJ74" s="36"/>
      <c r="AK74" s="36"/>
      <c r="AL74" s="36"/>
      <c r="AM74" s="36">
        <f t="shared" si="162"/>
        <v>41</v>
      </c>
      <c r="AN74" s="36"/>
      <c r="AO74" s="36"/>
      <c r="AP74" s="36"/>
      <c r="AQ74" s="36"/>
      <c r="AR74" s="36">
        <f t="shared" si="164"/>
        <v>0</v>
      </c>
      <c r="AS74" s="36"/>
      <c r="AT74" s="36"/>
      <c r="AU74" s="36"/>
      <c r="AV74" s="36"/>
      <c r="AW74" s="36"/>
      <c r="AX74" s="36"/>
      <c r="AY74" s="36"/>
      <c r="AZ74" s="36"/>
      <c r="BA74" s="36">
        <f>+AR74+AS74+AU74+AW74+AY74+AZ74</f>
        <v>0</v>
      </c>
      <c r="BB74" s="32"/>
      <c r="BC74" s="501"/>
      <c r="BD74" s="501"/>
      <c r="BE74" s="32"/>
      <c r="BF74" s="501"/>
    </row>
    <row r="75" spans="1:58" ht="12.95" customHeight="1">
      <c r="A75" s="39"/>
      <c r="B75" s="40"/>
      <c r="C75" s="413"/>
      <c r="D75" s="40"/>
      <c r="E75" s="41"/>
      <c r="F75" s="41"/>
      <c r="G75" s="497"/>
      <c r="H75" s="43"/>
      <c r="I75" s="44"/>
      <c r="J75" s="81"/>
      <c r="K75" s="81"/>
      <c r="L75" s="34"/>
      <c r="M75" s="34"/>
      <c r="N75" s="45"/>
      <c r="O75" s="46"/>
      <c r="P75" s="47"/>
      <c r="Q75" s="46"/>
      <c r="R75" s="498"/>
      <c r="S75" s="498"/>
      <c r="T75" s="36"/>
      <c r="U75" s="36"/>
      <c r="V75" s="36"/>
      <c r="W75" s="36"/>
      <c r="X75" s="37"/>
      <c r="Y75" s="210"/>
      <c r="Z75" s="36"/>
      <c r="AA75" s="36"/>
      <c r="AB75" s="36"/>
      <c r="AC75" s="36"/>
      <c r="AD75" s="36">
        <f>+AM75+BA75</f>
        <v>25</v>
      </c>
      <c r="AE75" s="229" t="s">
        <v>659</v>
      </c>
      <c r="AF75" s="32"/>
      <c r="AG75" s="32"/>
      <c r="AH75" s="32"/>
      <c r="AJ75" s="36"/>
      <c r="AK75" s="36">
        <v>25</v>
      </c>
      <c r="AL75" s="36"/>
      <c r="AM75" s="36">
        <f t="shared" ref="AM75" si="165">SUM(AF75:AL75)+AT75+AV75+AX75</f>
        <v>25</v>
      </c>
      <c r="AN75" s="36"/>
      <c r="AO75" s="36"/>
      <c r="AP75" s="36"/>
      <c r="AQ75" s="36"/>
      <c r="AR75" s="36">
        <f t="shared" ref="AR75" si="166">SUM(AN75:AQ75)</f>
        <v>0</v>
      </c>
      <c r="AS75" s="36"/>
      <c r="AT75" s="36"/>
      <c r="AU75" s="36"/>
      <c r="AV75" s="36"/>
      <c r="AW75" s="36"/>
      <c r="AX75" s="36"/>
      <c r="AY75" s="36"/>
      <c r="AZ75" s="36"/>
      <c r="BA75" s="36">
        <f>+AR75+AS75+AU75+AW75+AY75+AZ75</f>
        <v>0</v>
      </c>
      <c r="BB75" s="32"/>
      <c r="BC75" s="501"/>
      <c r="BD75" s="501"/>
      <c r="BE75" s="32"/>
      <c r="BF75" s="501"/>
    </row>
    <row r="76" spans="1:58" ht="13.5" customHeight="1">
      <c r="A76" s="39"/>
      <c r="B76" s="40"/>
      <c r="C76" s="413"/>
      <c r="D76" s="40"/>
      <c r="E76" s="41"/>
      <c r="F76" s="41"/>
      <c r="G76" s="497"/>
      <c r="H76" s="43"/>
      <c r="I76" s="44"/>
      <c r="J76" s="81"/>
      <c r="K76" s="81"/>
      <c r="L76" s="34"/>
      <c r="M76" s="34"/>
      <c r="N76" s="45"/>
      <c r="O76" s="46"/>
      <c r="P76" s="47"/>
      <c r="Q76" s="46"/>
      <c r="R76" s="498"/>
      <c r="S76" s="498"/>
      <c r="T76" s="36"/>
      <c r="U76" s="36"/>
      <c r="V76" s="36"/>
      <c r="W76" s="36"/>
      <c r="X76" s="499"/>
      <c r="Y76" s="210"/>
      <c r="Z76" s="36"/>
      <c r="AA76" s="48"/>
      <c r="AB76" s="48"/>
      <c r="AC76" s="36"/>
      <c r="AD76" s="36"/>
      <c r="AE76" s="229"/>
      <c r="AF76" s="36"/>
      <c r="AG76" s="36"/>
      <c r="AH76" s="36"/>
      <c r="AI76" s="500"/>
      <c r="AJ76" s="36"/>
      <c r="AK76" s="36"/>
      <c r="AL76" s="36"/>
      <c r="AM76" s="36"/>
      <c r="AN76" s="36"/>
      <c r="AO76" s="36"/>
      <c r="AP76" s="36"/>
      <c r="AQ76" s="36"/>
      <c r="AR76" s="36"/>
      <c r="AS76" s="36"/>
      <c r="AT76" s="36"/>
      <c r="AU76" s="36"/>
      <c r="AV76" s="36"/>
      <c r="AW76" s="36"/>
      <c r="AX76" s="36"/>
      <c r="AY76" s="36"/>
      <c r="AZ76" s="36"/>
      <c r="BA76" s="36"/>
      <c r="BB76" s="32"/>
      <c r="BC76" s="50"/>
      <c r="BD76" s="50"/>
      <c r="BE76" s="50"/>
      <c r="BF76" s="50"/>
    </row>
    <row r="77" spans="1:58" ht="12.75" customHeight="1">
      <c r="A77" s="39">
        <v>46096</v>
      </c>
      <c r="B77" s="40" t="s">
        <v>551</v>
      </c>
      <c r="C77" s="413">
        <f t="shared" ref="C77" si="167">(M77*E77*O77*Q77)/100000000</f>
        <v>45.804826079999998</v>
      </c>
      <c r="D77" s="40" t="s">
        <v>301</v>
      </c>
      <c r="E77" s="41">
        <v>13</v>
      </c>
      <c r="F77" s="41">
        <v>1</v>
      </c>
      <c r="G77" s="497">
        <v>1230</v>
      </c>
      <c r="H77" s="43">
        <f t="shared" ref="H77" si="168">+N77</f>
        <v>0.1938591549295775</v>
      </c>
      <c r="I77" s="44">
        <v>0.88</v>
      </c>
      <c r="J77" s="81">
        <f t="shared" ref="J77" si="169">E77*G77*(1-H77)*1440/1000000*2.74</f>
        <v>50.859541999774649</v>
      </c>
      <c r="K77" s="81">
        <f t="shared" ref="K77" si="170">(IF(G77&lt;L77,L77,G77)*(1-IF(H77&lt;N77,H77,N77))*E77*O77*Q77)/100000000</f>
        <v>47.611213587380284</v>
      </c>
      <c r="L77" s="34">
        <v>1183.3333333333333</v>
      </c>
      <c r="M77" s="34">
        <v>953.93333333333328</v>
      </c>
      <c r="N77" s="45">
        <f t="shared" ref="N77" si="171">1-(M77/L77)</f>
        <v>0.1938591549295775</v>
      </c>
      <c r="O77" s="46">
        <f>+'Trim Rwd'!H52</f>
        <v>256.5</v>
      </c>
      <c r="P77" s="47">
        <f t="shared" ref="P77" si="172">O77*(Q77-R77-S77)</f>
        <v>343710</v>
      </c>
      <c r="Q77" s="46">
        <v>1440</v>
      </c>
      <c r="R77" s="498">
        <v>0</v>
      </c>
      <c r="S77" s="498">
        <v>100</v>
      </c>
      <c r="T77" s="36">
        <f t="shared" ref="T77" si="173">E77*M77*O77*Q77/100000000</f>
        <v>45.804826079999998</v>
      </c>
      <c r="U77" s="36">
        <f t="shared" ref="U77" si="174">E77*M77*O77*(Q77-R77-S77)/100000000</f>
        <v>42.623935380000006</v>
      </c>
      <c r="V77" s="36">
        <f t="shared" ref="V77" si="175">E77*G77*(1-N77)*O77/100*(R77+S77)/1000000</f>
        <v>3.3063342769014081</v>
      </c>
      <c r="W77" s="36">
        <f>+'15'!K15/1000</f>
        <v>40.756999999999998</v>
      </c>
      <c r="X77" s="499">
        <f>SUM(W77:W80)/SUM(K77:K80)</f>
        <v>0.8560378307769696</v>
      </c>
      <c r="Y77" s="210">
        <v>0</v>
      </c>
      <c r="Z77" s="36">
        <v>0</v>
      </c>
      <c r="AA77" s="48">
        <f>SUM(U77:U80)-SUM(W77:W80)-SUM(Z77:Z80)-SUM(Y77:Y80)</f>
        <v>1.8669353800000081</v>
      </c>
      <c r="AB77" s="48">
        <f>(SUM(K77:K80)-SUM(W77:W80)-SUM(Y77:Y80)-SUM(Z77:Z80)-SUM(AC77:AC80)-SUM(V77:V80))-AA77</f>
        <v>-0.12544357690141617</v>
      </c>
      <c r="AC77" s="36">
        <f>K77-T77</f>
        <v>1.8063875073802862</v>
      </c>
      <c r="AD77" s="36">
        <f>+AM77+BA77</f>
        <v>30</v>
      </c>
      <c r="AE77" s="229" t="s">
        <v>621</v>
      </c>
      <c r="AF77" s="36">
        <v>30</v>
      </c>
      <c r="AG77" s="36"/>
      <c r="AH77" s="36"/>
      <c r="AI77" s="500"/>
      <c r="AJ77" s="36"/>
      <c r="AK77" s="36"/>
      <c r="AL77" s="36"/>
      <c r="AM77" s="36">
        <f t="shared" ref="AM77:AM80" si="176">SUM(AF77:AL77)+AT77+AV77+AX77</f>
        <v>30</v>
      </c>
      <c r="AN77" s="36"/>
      <c r="AO77" s="36"/>
      <c r="AP77" s="36"/>
      <c r="AQ77" s="36"/>
      <c r="AR77" s="36">
        <f>SUM(AN77:AQ77)</f>
        <v>0</v>
      </c>
      <c r="AS77" s="36"/>
      <c r="AT77" s="36"/>
      <c r="AU77" s="36"/>
      <c r="AV77" s="36"/>
      <c r="AW77" s="36"/>
      <c r="AX77" s="36"/>
      <c r="AY77" s="36"/>
      <c r="AZ77" s="36"/>
      <c r="BA77" s="36">
        <f>+AR77+AS77+AU77+AW77+AY77+AZ77</f>
        <v>0</v>
      </c>
      <c r="BB77" s="32">
        <v>9</v>
      </c>
      <c r="BC77" s="50"/>
      <c r="BD77" s="50"/>
      <c r="BE77" s="32"/>
      <c r="BF77" s="50"/>
    </row>
    <row r="78" spans="1:58" ht="12.95" customHeight="1">
      <c r="A78" s="39"/>
      <c r="B78" s="40"/>
      <c r="C78" s="413"/>
      <c r="D78" s="40"/>
      <c r="E78" s="41"/>
      <c r="F78" s="41"/>
      <c r="G78" s="497"/>
      <c r="H78" s="43"/>
      <c r="I78" s="44"/>
      <c r="J78" s="81"/>
      <c r="K78" s="81"/>
      <c r="L78" s="34"/>
      <c r="M78" s="34"/>
      <c r="N78" s="45"/>
      <c r="O78" s="46"/>
      <c r="P78" s="47"/>
      <c r="Q78" s="46"/>
      <c r="R78" s="498"/>
      <c r="S78" s="498"/>
      <c r="T78" s="36"/>
      <c r="U78" s="36"/>
      <c r="V78" s="36"/>
      <c r="W78" s="36"/>
      <c r="X78" s="37"/>
      <c r="Y78" s="210"/>
      <c r="Z78" s="36"/>
      <c r="AA78" s="36"/>
      <c r="AB78" s="36"/>
      <c r="AC78" s="36">
        <f t="shared" ref="AC78" si="177">K78-T78</f>
        <v>0</v>
      </c>
      <c r="AD78" s="36">
        <f>+AM78+BA78</f>
        <v>0</v>
      </c>
      <c r="AE78" s="229" t="s">
        <v>283</v>
      </c>
      <c r="AF78" s="36"/>
      <c r="AG78" s="36">
        <v>0</v>
      </c>
      <c r="AH78" s="36"/>
      <c r="AI78" s="500"/>
      <c r="AJ78" s="36"/>
      <c r="AK78" s="36"/>
      <c r="AL78" s="36"/>
      <c r="AM78" s="36">
        <f t="shared" si="176"/>
        <v>0</v>
      </c>
      <c r="AN78" s="82"/>
      <c r="AO78" s="36"/>
      <c r="AP78" s="36"/>
      <c r="AQ78" s="36"/>
      <c r="AR78" s="36">
        <f t="shared" ref="AR78:AR80" si="178">SUM(AN78:AQ78)</f>
        <v>0</v>
      </c>
      <c r="AS78" s="36"/>
      <c r="AT78" s="36"/>
      <c r="AU78" s="36"/>
      <c r="AV78" s="36"/>
      <c r="AW78" s="36"/>
      <c r="AX78" s="36"/>
      <c r="AY78" s="36"/>
      <c r="AZ78" s="36"/>
      <c r="BA78" s="36">
        <f>+AR78+AS78+AU78+AW78+AY78+AZ78</f>
        <v>0</v>
      </c>
      <c r="BB78" s="49"/>
      <c r="BC78" s="50">
        <v>0</v>
      </c>
      <c r="BD78" s="50"/>
      <c r="BE78" s="49"/>
      <c r="BF78" s="50"/>
    </row>
    <row r="79" spans="1:58" ht="12.95" customHeight="1">
      <c r="A79" s="39"/>
      <c r="B79" s="40"/>
      <c r="C79" s="413"/>
      <c r="D79" s="40"/>
      <c r="E79" s="41"/>
      <c r="F79" s="41"/>
      <c r="G79" s="497"/>
      <c r="H79" s="43"/>
      <c r="I79" s="44"/>
      <c r="J79" s="81"/>
      <c r="K79" s="81"/>
      <c r="L79" s="34"/>
      <c r="M79" s="34"/>
      <c r="N79" s="45"/>
      <c r="O79" s="46"/>
      <c r="P79" s="47"/>
      <c r="Q79" s="46"/>
      <c r="R79" s="498"/>
      <c r="S79" s="498"/>
      <c r="T79" s="36"/>
      <c r="U79" s="36"/>
      <c r="V79" s="36"/>
      <c r="W79" s="36"/>
      <c r="X79" s="37"/>
      <c r="Y79" s="210"/>
      <c r="Z79" s="36"/>
      <c r="AA79" s="36"/>
      <c r="AB79" s="36"/>
      <c r="AC79" s="36"/>
      <c r="AD79" s="36">
        <f>+AM79+BA79</f>
        <v>48</v>
      </c>
      <c r="AE79" s="229" t="s">
        <v>656</v>
      </c>
      <c r="AF79" s="32"/>
      <c r="AG79" s="32"/>
      <c r="AH79" s="32">
        <v>48</v>
      </c>
      <c r="AJ79" s="36"/>
      <c r="AK79" s="36"/>
      <c r="AL79" s="36"/>
      <c r="AM79" s="36">
        <f t="shared" si="176"/>
        <v>48</v>
      </c>
      <c r="AN79" s="36"/>
      <c r="AO79" s="36"/>
      <c r="AP79" s="36"/>
      <c r="AQ79" s="36"/>
      <c r="AR79" s="36">
        <f t="shared" si="178"/>
        <v>0</v>
      </c>
      <c r="AS79" s="36"/>
      <c r="AT79" s="36"/>
      <c r="AU79" s="36"/>
      <c r="AV79" s="36"/>
      <c r="AW79" s="36"/>
      <c r="AX79" s="36"/>
      <c r="AY79" s="36"/>
      <c r="AZ79" s="36"/>
      <c r="BA79" s="36">
        <f>+AR79+AS79+AU79+AW79+AY79+AZ79</f>
        <v>0</v>
      </c>
      <c r="BB79" s="32"/>
      <c r="BC79" s="501"/>
      <c r="BD79" s="501"/>
      <c r="BE79" s="32"/>
      <c r="BF79" s="501"/>
    </row>
    <row r="80" spans="1:58" ht="12.95" customHeight="1">
      <c r="A80" s="39"/>
      <c r="B80" s="40"/>
      <c r="C80" s="413"/>
      <c r="D80" s="40"/>
      <c r="E80" s="41"/>
      <c r="F80" s="41"/>
      <c r="G80" s="497"/>
      <c r="H80" s="43"/>
      <c r="I80" s="44"/>
      <c r="J80" s="81"/>
      <c r="K80" s="81"/>
      <c r="L80" s="34"/>
      <c r="M80" s="34"/>
      <c r="N80" s="45"/>
      <c r="O80" s="46"/>
      <c r="P80" s="47"/>
      <c r="Q80" s="46"/>
      <c r="R80" s="498"/>
      <c r="S80" s="498"/>
      <c r="T80" s="36"/>
      <c r="U80" s="36"/>
      <c r="V80" s="36"/>
      <c r="W80" s="36"/>
      <c r="X80" s="37"/>
      <c r="Y80" s="210"/>
      <c r="Z80" s="36"/>
      <c r="AA80" s="36"/>
      <c r="AB80" s="36"/>
      <c r="AC80" s="36"/>
      <c r="AD80" s="36">
        <f>+AM80+BA80</f>
        <v>22</v>
      </c>
      <c r="AE80" s="229" t="s">
        <v>660</v>
      </c>
      <c r="AF80" s="32"/>
      <c r="AG80" s="32"/>
      <c r="AH80" s="32"/>
      <c r="AJ80" s="36"/>
      <c r="AK80" s="36">
        <v>22</v>
      </c>
      <c r="AL80" s="36"/>
      <c r="AM80" s="36">
        <f t="shared" si="176"/>
        <v>22</v>
      </c>
      <c r="AN80" s="36"/>
      <c r="AO80" s="36"/>
      <c r="AP80" s="36"/>
      <c r="AQ80" s="36"/>
      <c r="AR80" s="36">
        <f t="shared" si="178"/>
        <v>0</v>
      </c>
      <c r="AS80" s="36"/>
      <c r="AT80" s="36"/>
      <c r="AU80" s="36"/>
      <c r="AV80" s="36"/>
      <c r="AW80" s="36"/>
      <c r="AX80" s="36"/>
      <c r="AY80" s="36"/>
      <c r="AZ80" s="36"/>
      <c r="BA80" s="36">
        <f>+AR80+AS80+AU80+AW80+AY80+AZ80</f>
        <v>0</v>
      </c>
      <c r="BB80" s="32"/>
      <c r="BC80" s="501"/>
      <c r="BD80" s="501"/>
      <c r="BE80" s="32"/>
      <c r="BF80" s="501"/>
    </row>
    <row r="81" spans="1:58" ht="13.5" customHeight="1">
      <c r="A81" s="39"/>
      <c r="B81" s="40"/>
      <c r="C81" s="413"/>
      <c r="D81" s="40"/>
      <c r="E81" s="41"/>
      <c r="F81" s="41"/>
      <c r="G81" s="497"/>
      <c r="H81" s="43"/>
      <c r="I81" s="44"/>
      <c r="J81" s="81"/>
      <c r="K81" s="81"/>
      <c r="L81" s="34"/>
      <c r="M81" s="34"/>
      <c r="N81" s="45"/>
      <c r="O81" s="46"/>
      <c r="P81" s="47"/>
      <c r="Q81" s="46"/>
      <c r="R81" s="498"/>
      <c r="S81" s="498"/>
      <c r="T81" s="36"/>
      <c r="U81" s="36"/>
      <c r="V81" s="36"/>
      <c r="W81" s="36"/>
      <c r="X81" s="499"/>
      <c r="Y81" s="210"/>
      <c r="Z81" s="36"/>
      <c r="AA81" s="48"/>
      <c r="AB81" s="48"/>
      <c r="AC81" s="36"/>
      <c r="AD81" s="36"/>
      <c r="AE81" s="229"/>
      <c r="AF81" s="36"/>
      <c r="AG81" s="36"/>
      <c r="AH81" s="36"/>
      <c r="AI81" s="500"/>
      <c r="AJ81" s="36"/>
      <c r="AK81" s="36"/>
      <c r="AL81" s="36"/>
      <c r="AM81" s="36"/>
      <c r="AN81" s="36"/>
      <c r="AO81" s="36"/>
      <c r="AP81" s="36"/>
      <c r="AQ81" s="36"/>
      <c r="AR81" s="36"/>
      <c r="AS81" s="36"/>
      <c r="AT81" s="36"/>
      <c r="AU81" s="36"/>
      <c r="AV81" s="36"/>
      <c r="AW81" s="36"/>
      <c r="AX81" s="36"/>
      <c r="AY81" s="36"/>
      <c r="AZ81" s="36"/>
      <c r="BA81" s="36"/>
      <c r="BB81" s="32"/>
      <c r="BC81" s="50"/>
      <c r="BD81" s="50"/>
      <c r="BE81" s="50"/>
      <c r="BF81" s="50"/>
    </row>
    <row r="82" spans="1:58" ht="12.75" customHeight="1">
      <c r="A82" s="39">
        <v>46097</v>
      </c>
      <c r="B82" s="40" t="s">
        <v>551</v>
      </c>
      <c r="C82" s="413">
        <f t="shared" ref="C82:C83" si="179">(M82*E82*O82*Q82)/100000000</f>
        <v>34.761162149999997</v>
      </c>
      <c r="D82" s="40" t="s">
        <v>301</v>
      </c>
      <c r="E82" s="41">
        <v>13</v>
      </c>
      <c r="F82" s="41">
        <v>1</v>
      </c>
      <c r="G82" s="497">
        <v>1230</v>
      </c>
      <c r="H82" s="43">
        <f t="shared" ref="H82:H83" si="180">+N82</f>
        <v>0.20282174810736409</v>
      </c>
      <c r="I82" s="44">
        <v>0.88</v>
      </c>
      <c r="J82" s="81">
        <f t="shared" ref="J82:J83" si="181">E82*G82*(1-H82)*1440/1000000*2.74</f>
        <v>50.294090705574682</v>
      </c>
      <c r="K82" s="81">
        <f t="shared" ref="K82:K83" si="182">(IF(G82&lt;L82,L82,G82)*(1-IF(H82&lt;N82,H82,N82))*E82*O82*Q82)/100000000</f>
        <v>36.29228009741913</v>
      </c>
      <c r="L82" s="34">
        <v>1178.1081081081081</v>
      </c>
      <c r="M82" s="34">
        <v>939.16216216216219</v>
      </c>
      <c r="N82" s="45">
        <f t="shared" ref="N82:N83" si="183">1-(M82/L82)</f>
        <v>0.20282174810736409</v>
      </c>
      <c r="O82" s="46">
        <f>+'Trim Rwd'!H54</f>
        <v>256.5</v>
      </c>
      <c r="P82" s="47">
        <f t="shared" ref="P82:P83" si="184">O82*(Q82-R82-S82)</f>
        <v>264195</v>
      </c>
      <c r="Q82" s="46">
        <f>1440-Q83</f>
        <v>1110</v>
      </c>
      <c r="R82" s="498">
        <v>0</v>
      </c>
      <c r="S82" s="498">
        <v>80</v>
      </c>
      <c r="T82" s="36">
        <f t="shared" ref="T82:T83" si="185">E82*M82*O82*Q82/100000000</f>
        <v>34.761162149999997</v>
      </c>
      <c r="U82" s="36">
        <f t="shared" ref="U82:U83" si="186">E82*M82*O82*(Q82-R82-S82)/100000000</f>
        <v>32.25585316621622</v>
      </c>
      <c r="V82" s="36">
        <f t="shared" ref="V82:V83" si="187">E82*G82*(1-N82)*O82/100*(R82+S82)/1000000</f>
        <v>2.6156598268410187</v>
      </c>
      <c r="W82" s="36">
        <f>+'16'!K15/1000</f>
        <v>33.502000000000002</v>
      </c>
      <c r="X82" s="499">
        <f>SUM(W82:W85)/SUM(K82:K85)</f>
        <v>0.85259394685094025</v>
      </c>
      <c r="Y82" s="210">
        <v>0</v>
      </c>
      <c r="Z82" s="36">
        <v>0</v>
      </c>
      <c r="AA82" s="48">
        <f>SUM(U82:U85)-SUM(W82:W85)-SUM(Z82:Z85)-SUM(Y82:Y85)</f>
        <v>2.0630829412162157</v>
      </c>
      <c r="AB82" s="48">
        <f>(SUM(K82:K85)-SUM(W82:W85)-SUM(Y82:Y85)-SUM(Z82:Z85)-SUM(AC82:AC85)-SUM(V82:V85))-AA82</f>
        <v>-0.11035084305723641</v>
      </c>
      <c r="AC82" s="36">
        <f>K82-T82</f>
        <v>1.5311179474191334</v>
      </c>
      <c r="AD82" s="36">
        <f>+AM82+BA82</f>
        <v>18</v>
      </c>
      <c r="AE82" s="229" t="s">
        <v>435</v>
      </c>
      <c r="AF82" s="36">
        <v>18</v>
      </c>
      <c r="AG82" s="36"/>
      <c r="AH82" s="36"/>
      <c r="AI82" s="500"/>
      <c r="AJ82" s="36"/>
      <c r="AK82" s="36"/>
      <c r="AL82" s="36"/>
      <c r="AM82" s="36">
        <f t="shared" ref="AM82:AM85" si="188">SUM(AF82:AL82)+AT82+AV82+AX82</f>
        <v>18</v>
      </c>
      <c r="AN82" s="36"/>
      <c r="AO82" s="36"/>
      <c r="AP82" s="36"/>
      <c r="AQ82" s="36"/>
      <c r="AR82" s="36">
        <f>SUM(AN82:AQ82)</f>
        <v>0</v>
      </c>
      <c r="AS82" s="36"/>
      <c r="AT82" s="36"/>
      <c r="AU82" s="36"/>
      <c r="AV82" s="36"/>
      <c r="AW82" s="36"/>
      <c r="AX82" s="36"/>
      <c r="AY82" s="36"/>
      <c r="AZ82" s="36"/>
      <c r="BA82" s="36">
        <f>+AR82+AS82+AU82+AW82+AY82+AZ82</f>
        <v>0</v>
      </c>
      <c r="BB82" s="32">
        <v>6</v>
      </c>
      <c r="BC82" s="50"/>
      <c r="BD82" s="50"/>
      <c r="BE82" s="32"/>
      <c r="BF82" s="50"/>
    </row>
    <row r="83" spans="1:58" ht="12.95" customHeight="1">
      <c r="A83" s="39"/>
      <c r="B83" s="40" t="s">
        <v>551</v>
      </c>
      <c r="C83" s="413">
        <f t="shared" si="179"/>
        <v>10.040443874999999</v>
      </c>
      <c r="D83" s="40" t="s">
        <v>301</v>
      </c>
      <c r="E83" s="41">
        <v>12.5</v>
      </c>
      <c r="F83" s="41">
        <v>1</v>
      </c>
      <c r="G83" s="497">
        <v>1230</v>
      </c>
      <c r="H83" s="43">
        <f t="shared" si="180"/>
        <v>0.23000000000000009</v>
      </c>
      <c r="I83" s="44">
        <v>0.88</v>
      </c>
      <c r="J83" s="81">
        <f t="shared" si="181"/>
        <v>46.710971999999991</v>
      </c>
      <c r="K83" s="81">
        <f t="shared" si="182"/>
        <v>10.040443874999999</v>
      </c>
      <c r="L83" s="34">
        <v>1230</v>
      </c>
      <c r="M83" s="34">
        <v>947.09999999999991</v>
      </c>
      <c r="N83" s="45">
        <f t="shared" si="183"/>
        <v>0.23000000000000009</v>
      </c>
      <c r="O83" s="46">
        <f>+'Trim Rwd'!H55</f>
        <v>257</v>
      </c>
      <c r="P83" s="47">
        <f t="shared" si="184"/>
        <v>78642</v>
      </c>
      <c r="Q83" s="46">
        <v>330</v>
      </c>
      <c r="R83" s="498">
        <v>0</v>
      </c>
      <c r="S83" s="498">
        <v>24</v>
      </c>
      <c r="T83" s="36">
        <f t="shared" si="185"/>
        <v>10.040443874999999</v>
      </c>
      <c r="U83" s="36">
        <f t="shared" si="186"/>
        <v>9.310229774999998</v>
      </c>
      <c r="V83" s="36">
        <f t="shared" si="187"/>
        <v>0.73021409999999987</v>
      </c>
      <c r="W83" s="36">
        <f>+'16'!K16/1000</f>
        <v>6.0010000000000003</v>
      </c>
      <c r="X83" s="37"/>
      <c r="Y83" s="210"/>
      <c r="Z83" s="36"/>
      <c r="AA83" s="36"/>
      <c r="AB83" s="36"/>
      <c r="AC83" s="36">
        <f t="shared" ref="AC83" si="189">K83-T83</f>
        <v>0</v>
      </c>
      <c r="AD83" s="36">
        <f>+AM83+BA83</f>
        <v>10</v>
      </c>
      <c r="AE83" s="229" t="s">
        <v>669</v>
      </c>
      <c r="AF83" s="36"/>
      <c r="AG83" s="36">
        <v>10</v>
      </c>
      <c r="AH83" s="36"/>
      <c r="AI83" s="500"/>
      <c r="AJ83" s="36"/>
      <c r="AK83" s="36"/>
      <c r="AL83" s="36"/>
      <c r="AM83" s="36">
        <f t="shared" si="188"/>
        <v>10</v>
      </c>
      <c r="AN83" s="82"/>
      <c r="AO83" s="36"/>
      <c r="AP83" s="36"/>
      <c r="AQ83" s="36"/>
      <c r="AR83" s="36">
        <f t="shared" ref="AR83:AR85" si="190">SUM(AN83:AQ83)</f>
        <v>0</v>
      </c>
      <c r="AS83" s="36"/>
      <c r="AT83" s="36"/>
      <c r="AU83" s="36"/>
      <c r="AV83" s="36"/>
      <c r="AW83" s="36"/>
      <c r="AX83" s="36"/>
      <c r="AY83" s="36"/>
      <c r="AZ83" s="36"/>
      <c r="BA83" s="36">
        <f>+AR83+AS83+AU83+AW83+AY83+AZ83</f>
        <v>0</v>
      </c>
      <c r="BB83" s="49"/>
      <c r="BC83" s="50">
        <v>7</v>
      </c>
      <c r="BD83" s="50"/>
      <c r="BE83" s="49"/>
      <c r="BF83" s="50"/>
    </row>
    <row r="84" spans="1:58" ht="12.95" customHeight="1">
      <c r="A84" s="39"/>
      <c r="B84" s="40"/>
      <c r="C84" s="413"/>
      <c r="D84" s="40"/>
      <c r="E84" s="41"/>
      <c r="F84" s="41"/>
      <c r="G84" s="497"/>
      <c r="H84" s="43"/>
      <c r="I84" s="44"/>
      <c r="J84" s="81"/>
      <c r="K84" s="81"/>
      <c r="L84" s="34"/>
      <c r="M84" s="34"/>
      <c r="N84" s="45"/>
      <c r="O84" s="46"/>
      <c r="P84" s="47"/>
      <c r="Q84" s="46"/>
      <c r="R84" s="498"/>
      <c r="S84" s="498"/>
      <c r="T84" s="36"/>
      <c r="U84" s="36"/>
      <c r="V84" s="36"/>
      <c r="W84" s="36"/>
      <c r="X84" s="37"/>
      <c r="Y84" s="210"/>
      <c r="Z84" s="36"/>
      <c r="AA84" s="36"/>
      <c r="AB84" s="36"/>
      <c r="AC84" s="36"/>
      <c r="AD84" s="36">
        <f>+AM84+BA84</f>
        <v>51</v>
      </c>
      <c r="AE84" s="229" t="s">
        <v>387</v>
      </c>
      <c r="AF84" s="32"/>
      <c r="AG84" s="32"/>
      <c r="AH84" s="32">
        <v>51</v>
      </c>
      <c r="AJ84" s="36"/>
      <c r="AK84" s="36"/>
      <c r="AL84" s="36"/>
      <c r="AM84" s="36">
        <f t="shared" si="188"/>
        <v>51</v>
      </c>
      <c r="AN84" s="36"/>
      <c r="AO84" s="36"/>
      <c r="AP84" s="36"/>
      <c r="AQ84" s="36"/>
      <c r="AR84" s="36">
        <f t="shared" si="190"/>
        <v>0</v>
      </c>
      <c r="AS84" s="36"/>
      <c r="AT84" s="36"/>
      <c r="AU84" s="36"/>
      <c r="AV84" s="36"/>
      <c r="AW84" s="36"/>
      <c r="AX84" s="36"/>
      <c r="AY84" s="36"/>
      <c r="AZ84" s="36"/>
      <c r="BA84" s="36">
        <f>+AR84+AS84+AU84+AW84+AY84+AZ84</f>
        <v>0</v>
      </c>
      <c r="BB84" s="32"/>
      <c r="BC84" s="501"/>
      <c r="BD84" s="501"/>
      <c r="BE84" s="32"/>
      <c r="BF84" s="501"/>
    </row>
    <row r="85" spans="1:58" ht="12.95" customHeight="1">
      <c r="A85" s="39"/>
      <c r="B85" s="40"/>
      <c r="C85" s="413"/>
      <c r="D85" s="40"/>
      <c r="E85" s="41"/>
      <c r="F85" s="41"/>
      <c r="G85" s="497"/>
      <c r="H85" s="43"/>
      <c r="I85" s="44"/>
      <c r="J85" s="81"/>
      <c r="K85" s="81"/>
      <c r="L85" s="34"/>
      <c r="M85" s="34"/>
      <c r="N85" s="45"/>
      <c r="O85" s="46"/>
      <c r="P85" s="47"/>
      <c r="Q85" s="46"/>
      <c r="R85" s="498"/>
      <c r="S85" s="498"/>
      <c r="T85" s="36"/>
      <c r="U85" s="36"/>
      <c r="V85" s="36"/>
      <c r="W85" s="36"/>
      <c r="X85" s="37"/>
      <c r="Y85" s="210"/>
      <c r="Z85" s="36"/>
      <c r="AA85" s="36"/>
      <c r="AB85" s="36"/>
      <c r="AC85" s="36"/>
      <c r="AD85" s="36">
        <f>+AM85+BA85</f>
        <v>25</v>
      </c>
      <c r="AE85" s="229" t="s">
        <v>670</v>
      </c>
      <c r="AF85" s="32"/>
      <c r="AG85" s="32"/>
      <c r="AH85" s="32"/>
      <c r="AJ85" s="36"/>
      <c r="AK85" s="36">
        <v>25</v>
      </c>
      <c r="AL85" s="36"/>
      <c r="AM85" s="36">
        <f t="shared" si="188"/>
        <v>25</v>
      </c>
      <c r="AN85" s="36"/>
      <c r="AO85" s="36"/>
      <c r="AP85" s="36"/>
      <c r="AQ85" s="36"/>
      <c r="AR85" s="36">
        <f t="shared" si="190"/>
        <v>0</v>
      </c>
      <c r="AS85" s="36"/>
      <c r="AT85" s="36"/>
      <c r="AU85" s="36"/>
      <c r="AV85" s="36"/>
      <c r="AW85" s="36"/>
      <c r="AX85" s="36"/>
      <c r="AY85" s="36"/>
      <c r="AZ85" s="36"/>
      <c r="BA85" s="36">
        <f>+AR85+AS85+AU85+AW85+AY85+AZ85</f>
        <v>0</v>
      </c>
      <c r="BB85" s="32"/>
      <c r="BC85" s="501"/>
      <c r="BD85" s="501"/>
      <c r="BE85" s="32"/>
      <c r="BF85" s="501"/>
    </row>
    <row r="86" spans="1:58" ht="13.5" customHeight="1">
      <c r="A86" s="39"/>
      <c r="B86" s="40"/>
      <c r="C86" s="413"/>
      <c r="D86" s="40"/>
      <c r="E86" s="41"/>
      <c r="F86" s="41"/>
      <c r="G86" s="497"/>
      <c r="H86" s="43"/>
      <c r="I86" s="44"/>
      <c r="J86" s="81"/>
      <c r="K86" s="81"/>
      <c r="L86" s="34"/>
      <c r="M86" s="34"/>
      <c r="N86" s="45"/>
      <c r="O86" s="46"/>
      <c r="P86" s="47"/>
      <c r="Q86" s="46"/>
      <c r="R86" s="498"/>
      <c r="S86" s="498"/>
      <c r="T86" s="36"/>
      <c r="U86" s="36"/>
      <c r="V86" s="36"/>
      <c r="W86" s="36"/>
      <c r="X86" s="499"/>
      <c r="Y86" s="210"/>
      <c r="Z86" s="36"/>
      <c r="AA86" s="48"/>
      <c r="AB86" s="48"/>
      <c r="AC86" s="36"/>
      <c r="AD86" s="36"/>
      <c r="AE86" s="229"/>
      <c r="AF86" s="36"/>
      <c r="AG86" s="36"/>
      <c r="AH86" s="36"/>
      <c r="AI86" s="500"/>
      <c r="AJ86" s="36"/>
      <c r="AK86" s="36"/>
      <c r="AL86" s="36"/>
      <c r="AM86" s="36"/>
      <c r="AN86" s="36"/>
      <c r="AO86" s="36"/>
      <c r="AP86" s="36"/>
      <c r="AQ86" s="36"/>
      <c r="AR86" s="36"/>
      <c r="AS86" s="36"/>
      <c r="AT86" s="36"/>
      <c r="AU86" s="36"/>
      <c r="AV86" s="36"/>
      <c r="AW86" s="36"/>
      <c r="AX86" s="36"/>
      <c r="AY86" s="36"/>
      <c r="AZ86" s="36"/>
      <c r="BA86" s="36"/>
      <c r="BB86" s="32"/>
      <c r="BC86" s="50"/>
      <c r="BD86" s="50"/>
      <c r="BE86" s="50"/>
      <c r="BF86" s="50"/>
    </row>
    <row r="87" spans="1:58" ht="12.75" customHeight="1">
      <c r="A87" s="39">
        <v>46098</v>
      </c>
      <c r="B87" s="40" t="s">
        <v>551</v>
      </c>
      <c r="C87" s="413">
        <f t="shared" ref="C87" si="191">(M87*E87*O87*Q87)/100000000</f>
        <v>5.3936268749999998</v>
      </c>
      <c r="D87" s="40" t="s">
        <v>301</v>
      </c>
      <c r="E87" s="41">
        <v>12.5</v>
      </c>
      <c r="F87" s="41">
        <v>1</v>
      </c>
      <c r="G87" s="497">
        <v>1230</v>
      </c>
      <c r="H87" s="43">
        <f t="shared" ref="H87" si="192">+N87</f>
        <v>0.21999999999999997</v>
      </c>
      <c r="I87" s="44">
        <v>0.88</v>
      </c>
      <c r="J87" s="81">
        <f t="shared" ref="J87" si="193">E87*G87*(1-H87)*1440/1000000*2.74</f>
        <v>47.317608000000007</v>
      </c>
      <c r="K87" s="81">
        <f t="shared" ref="K87" si="194">(IF(G87&lt;L87,L87,G87)*(1-IF(H87&lt;N87,H87,N87))*E87*O87*Q87)/100000000</f>
        <v>5.3936268749999998</v>
      </c>
      <c r="L87" s="34">
        <v>1230</v>
      </c>
      <c r="M87" s="34">
        <v>959.4</v>
      </c>
      <c r="N87" s="45">
        <f t="shared" ref="N87" si="195">1-(M87/L87)</f>
        <v>0.21999999999999997</v>
      </c>
      <c r="O87" s="46">
        <f>+'Trim Rwd'!H57</f>
        <v>257</v>
      </c>
      <c r="P87" s="47">
        <f t="shared" ref="P87" si="196">O87*(Q87-R87-S87)</f>
        <v>41377</v>
      </c>
      <c r="Q87" s="46">
        <f>1440-1265</f>
        <v>175</v>
      </c>
      <c r="R87" s="498">
        <f>1265-1265</f>
        <v>0</v>
      </c>
      <c r="S87" s="498">
        <v>14</v>
      </c>
      <c r="T87" s="36">
        <f t="shared" ref="T87" si="197">E87*M87*O87*Q87/100000000</f>
        <v>5.3936268749999998</v>
      </c>
      <c r="U87" s="36">
        <f t="shared" ref="U87" si="198">E87*M87*O87*(Q87-R87-S87)/100000000</f>
        <v>4.9621367249999997</v>
      </c>
      <c r="V87" s="36">
        <f t="shared" ref="V87" si="199">E87*G87*(1-N87)*O87/100*(R87+S87)/1000000</f>
        <v>0.43149014999999996</v>
      </c>
      <c r="W87" s="36">
        <f>+'17'!K16/1000</f>
        <v>5.859</v>
      </c>
      <c r="X87" s="499">
        <f>SUM(W87:W90)/SUM(K87:K90)</f>
        <v>1.0862820391149137</v>
      </c>
      <c r="Y87" s="210">
        <v>0</v>
      </c>
      <c r="Z87" s="36">
        <v>0</v>
      </c>
      <c r="AA87" s="48">
        <f>SUM(U87:U90)-SUM(W87:W90)-SUM(Z87:Z90)-SUM(Y87:Y90)</f>
        <v>-0.89686327500000029</v>
      </c>
      <c r="AB87" s="48">
        <f>(SUM(K87:K90)-SUM(W87:W90)-SUM(Y87:Y90)-SUM(Z87:Z90)-SUM(AC87:AC90)-SUM(V87:V90))-AA87</f>
        <v>0</v>
      </c>
      <c r="AC87" s="36">
        <f>K87-T87</f>
        <v>0</v>
      </c>
      <c r="AD87" s="36">
        <f>+AM87+BA87</f>
        <v>6</v>
      </c>
      <c r="AE87" s="229" t="s">
        <v>467</v>
      </c>
      <c r="AF87" s="36">
        <v>6</v>
      </c>
      <c r="AG87" s="36"/>
      <c r="AH87" s="36"/>
      <c r="AI87" s="500"/>
      <c r="AJ87" s="36"/>
      <c r="AK87" s="36"/>
      <c r="AL87" s="36"/>
      <c r="AM87" s="36">
        <f t="shared" ref="AM87:AM90" si="200">SUM(AF87:AL87)+AT87+AV87+AX87</f>
        <v>6</v>
      </c>
      <c r="AN87" s="36"/>
      <c r="AO87" s="36"/>
      <c r="AP87" s="36"/>
      <c r="AQ87" s="36"/>
      <c r="AR87" s="36">
        <f>SUM(AN87:AQ87)</f>
        <v>0</v>
      </c>
      <c r="AS87" s="36"/>
      <c r="AT87" s="36"/>
      <c r="AU87" s="36"/>
      <c r="AV87" s="36"/>
      <c r="AW87" s="36"/>
      <c r="AX87" s="36"/>
      <c r="AY87" s="36"/>
      <c r="AZ87" s="36"/>
      <c r="BA87" s="36">
        <f>+AR87+AS87+AU87+AW87+AY87+AZ87</f>
        <v>0</v>
      </c>
      <c r="BB87" s="32">
        <v>2</v>
      </c>
      <c r="BC87" s="50"/>
      <c r="BD87" s="50"/>
      <c r="BE87" s="32"/>
      <c r="BF87" s="50"/>
    </row>
    <row r="88" spans="1:58" ht="12.95" customHeight="1">
      <c r="A88" s="39"/>
      <c r="B88" s="40"/>
      <c r="C88" s="413"/>
      <c r="D88" s="40"/>
      <c r="E88" s="41"/>
      <c r="F88" s="41"/>
      <c r="G88" s="497"/>
      <c r="H88" s="43"/>
      <c r="I88" s="44"/>
      <c r="J88" s="81"/>
      <c r="K88" s="81"/>
      <c r="L88" s="34"/>
      <c r="M88" s="34"/>
      <c r="N88" s="45"/>
      <c r="O88" s="46"/>
      <c r="P88" s="47"/>
      <c r="Q88" s="46"/>
      <c r="R88" s="498"/>
      <c r="S88" s="498"/>
      <c r="T88" s="36"/>
      <c r="U88" s="36"/>
      <c r="V88" s="36"/>
      <c r="W88" s="36"/>
      <c r="X88" s="37"/>
      <c r="Y88" s="210"/>
      <c r="Z88" s="36"/>
      <c r="AA88" s="36"/>
      <c r="AB88" s="36"/>
      <c r="AC88" s="36"/>
      <c r="AD88" s="36">
        <f>+AM88+BA88</f>
        <v>0</v>
      </c>
      <c r="AE88" s="229" t="s">
        <v>283</v>
      </c>
      <c r="AF88" s="36"/>
      <c r="AG88" s="36">
        <v>0</v>
      </c>
      <c r="AH88" s="36"/>
      <c r="AI88" s="500"/>
      <c r="AJ88" s="36"/>
      <c r="AK88" s="36"/>
      <c r="AL88" s="36"/>
      <c r="AM88" s="36">
        <f t="shared" si="200"/>
        <v>0</v>
      </c>
      <c r="AN88" s="82"/>
      <c r="AO88" s="36"/>
      <c r="AP88" s="36"/>
      <c r="AQ88" s="36"/>
      <c r="AR88" s="36">
        <f t="shared" ref="AR88:AR90" si="201">SUM(AN88:AQ88)</f>
        <v>0</v>
      </c>
      <c r="AS88" s="36"/>
      <c r="AT88" s="36"/>
      <c r="AU88" s="36"/>
      <c r="AV88" s="36"/>
      <c r="AW88" s="36"/>
      <c r="AX88" s="36"/>
      <c r="AY88" s="36"/>
      <c r="AZ88" s="36"/>
      <c r="BA88" s="36">
        <f>+AR88+AS88+AU88+AW88+AY88+AZ88</f>
        <v>0</v>
      </c>
      <c r="BB88" s="49"/>
      <c r="BC88" s="50">
        <v>0</v>
      </c>
      <c r="BD88" s="50"/>
      <c r="BE88" s="49"/>
      <c r="BF88" s="50"/>
    </row>
    <row r="89" spans="1:58" ht="12.95" customHeight="1">
      <c r="A89" s="39"/>
      <c r="B89" s="40"/>
      <c r="C89" s="413"/>
      <c r="D89" s="40"/>
      <c r="E89" s="41"/>
      <c r="F89" s="41"/>
      <c r="G89" s="497"/>
      <c r="H89" s="43"/>
      <c r="I89" s="44"/>
      <c r="J89" s="81"/>
      <c r="K89" s="81"/>
      <c r="L89" s="34"/>
      <c r="M89" s="34"/>
      <c r="N89" s="45"/>
      <c r="O89" s="46"/>
      <c r="P89" s="47"/>
      <c r="Q89" s="46"/>
      <c r="R89" s="498"/>
      <c r="S89" s="498"/>
      <c r="T89" s="36"/>
      <c r="U89" s="36"/>
      <c r="V89" s="36"/>
      <c r="W89" s="36"/>
      <c r="X89" s="37"/>
      <c r="Y89" s="210"/>
      <c r="Z89" s="36"/>
      <c r="AA89" s="36"/>
      <c r="AB89" s="36"/>
      <c r="AC89" s="36"/>
      <c r="AD89" s="36">
        <f>+AM89+BA89</f>
        <v>8</v>
      </c>
      <c r="AE89" s="229" t="s">
        <v>677</v>
      </c>
      <c r="AF89" s="32"/>
      <c r="AG89" s="32"/>
      <c r="AH89" s="32">
        <v>8</v>
      </c>
      <c r="AJ89" s="36"/>
      <c r="AK89" s="36"/>
      <c r="AL89" s="36"/>
      <c r="AM89" s="36">
        <f t="shared" si="200"/>
        <v>8</v>
      </c>
      <c r="AN89" s="36"/>
      <c r="AO89" s="36"/>
      <c r="AP89" s="36"/>
      <c r="AQ89" s="36"/>
      <c r="AR89" s="36">
        <f t="shared" si="201"/>
        <v>0</v>
      </c>
      <c r="AS89" s="36"/>
      <c r="AT89" s="36"/>
      <c r="AU89" s="36"/>
      <c r="AV89" s="36"/>
      <c r="AW89" s="36"/>
      <c r="AX89" s="36"/>
      <c r="AY89" s="36"/>
      <c r="AZ89" s="36"/>
      <c r="BA89" s="36">
        <f>+AR89+AS89+AU89+AW89+AY89+AZ89</f>
        <v>0</v>
      </c>
      <c r="BB89" s="32"/>
      <c r="BC89" s="501"/>
      <c r="BD89" s="501"/>
      <c r="BE89" s="32"/>
      <c r="BF89" s="501"/>
    </row>
    <row r="90" spans="1:58" ht="12.95" customHeight="1">
      <c r="A90" s="39"/>
      <c r="B90" s="40"/>
      <c r="C90" s="413"/>
      <c r="D90" s="40"/>
      <c r="E90" s="41"/>
      <c r="F90" s="41"/>
      <c r="G90" s="497"/>
      <c r="H90" s="43"/>
      <c r="I90" s="44"/>
      <c r="J90" s="81"/>
      <c r="K90" s="81"/>
      <c r="L90" s="34"/>
      <c r="M90" s="34"/>
      <c r="N90" s="45"/>
      <c r="O90" s="46"/>
      <c r="P90" s="47"/>
      <c r="Q90" s="46"/>
      <c r="R90" s="498"/>
      <c r="S90" s="498"/>
      <c r="T90" s="36"/>
      <c r="U90" s="36"/>
      <c r="V90" s="36"/>
      <c r="W90" s="36"/>
      <c r="X90" s="37"/>
      <c r="Y90" s="210"/>
      <c r="Z90" s="36"/>
      <c r="AA90" s="36"/>
      <c r="AB90" s="36"/>
      <c r="AC90" s="36"/>
      <c r="AD90" s="36">
        <f>+AM90+BA90</f>
        <v>0</v>
      </c>
      <c r="AE90" s="229" t="s">
        <v>679</v>
      </c>
      <c r="AF90" s="32"/>
      <c r="AG90" s="32"/>
      <c r="AH90" s="32"/>
      <c r="AJ90" s="36"/>
      <c r="AK90" s="36"/>
      <c r="AL90" s="36"/>
      <c r="AM90" s="36">
        <f t="shared" si="200"/>
        <v>0</v>
      </c>
      <c r="AN90" s="36"/>
      <c r="AO90" s="36"/>
      <c r="AP90" s="36"/>
      <c r="AQ90" s="36"/>
      <c r="AR90" s="36">
        <f t="shared" si="201"/>
        <v>0</v>
      </c>
      <c r="AS90" s="36"/>
      <c r="AT90" s="36"/>
      <c r="AU90" s="36"/>
      <c r="AV90" s="36"/>
      <c r="AW90" s="36"/>
      <c r="AX90" s="36"/>
      <c r="AY90" s="36"/>
      <c r="AZ90" s="36">
        <f>1265-1265</f>
        <v>0</v>
      </c>
      <c r="BA90" s="36">
        <f>+AR90+AS90+AU90+AW90+AY90+AZ90</f>
        <v>0</v>
      </c>
      <c r="BB90" s="32"/>
      <c r="BC90" s="501"/>
      <c r="BD90" s="501"/>
      <c r="BE90" s="32"/>
      <c r="BF90" s="501"/>
    </row>
    <row r="91" spans="1:58" ht="13.5" customHeight="1">
      <c r="A91" s="39"/>
      <c r="B91" s="40"/>
      <c r="C91" s="413"/>
      <c r="D91" s="40"/>
      <c r="E91" s="41"/>
      <c r="F91" s="41"/>
      <c r="G91" s="497"/>
      <c r="H91" s="43"/>
      <c r="I91" s="44"/>
      <c r="J91" s="81"/>
      <c r="K91" s="81"/>
      <c r="L91" s="34"/>
      <c r="M91" s="34"/>
      <c r="N91" s="45"/>
      <c r="O91" s="46"/>
      <c r="P91" s="47"/>
      <c r="Q91" s="46"/>
      <c r="R91" s="498"/>
      <c r="S91" s="498"/>
      <c r="T91" s="36"/>
      <c r="U91" s="36"/>
      <c r="V91" s="36"/>
      <c r="W91" s="36"/>
      <c r="X91" s="499"/>
      <c r="Y91" s="210"/>
      <c r="Z91" s="36"/>
      <c r="AA91" s="48"/>
      <c r="AB91" s="48"/>
      <c r="AC91" s="36"/>
      <c r="AD91" s="36"/>
      <c r="AE91" s="229"/>
      <c r="AF91" s="36"/>
      <c r="AG91" s="36"/>
      <c r="AH91" s="36"/>
      <c r="AI91" s="500"/>
      <c r="AJ91" s="36"/>
      <c r="AK91" s="36"/>
      <c r="AL91" s="36"/>
      <c r="AM91" s="36"/>
      <c r="AN91" s="36"/>
      <c r="AO91" s="36"/>
      <c r="AP91" s="36"/>
      <c r="AQ91" s="36"/>
      <c r="AR91" s="36"/>
      <c r="AS91" s="36"/>
      <c r="AT91" s="36"/>
      <c r="AU91" s="36"/>
      <c r="AV91" s="36"/>
      <c r="AW91" s="36"/>
      <c r="AX91" s="36"/>
      <c r="AY91" s="36"/>
      <c r="AZ91" s="36"/>
      <c r="BA91" s="36"/>
      <c r="BB91" s="32"/>
      <c r="BC91" s="50"/>
      <c r="BD91" s="50"/>
      <c r="BE91" s="50"/>
      <c r="BF91" s="50"/>
    </row>
    <row r="92" spans="1:58" ht="12.75" customHeight="1">
      <c r="A92" s="39">
        <v>46099</v>
      </c>
      <c r="B92" s="40" t="s">
        <v>551</v>
      </c>
      <c r="C92" s="413">
        <f t="shared" ref="C92" si="202">(M92*E92*O92*Q92)/100000000</f>
        <v>0</v>
      </c>
      <c r="D92" s="40" t="s">
        <v>301</v>
      </c>
      <c r="E92" s="41">
        <v>12.5</v>
      </c>
      <c r="F92" s="41">
        <v>1</v>
      </c>
      <c r="G92" s="497">
        <v>1230</v>
      </c>
      <c r="H92" s="43">
        <f t="shared" ref="H92" si="203">+N92</f>
        <v>0.21999999999999997</v>
      </c>
      <c r="I92" s="44">
        <v>0.88</v>
      </c>
      <c r="J92" s="81">
        <f t="shared" ref="J92" si="204">E92*G92*(1-H92)*1440/1000000*2.74</f>
        <v>47.317608000000007</v>
      </c>
      <c r="K92" s="81">
        <f t="shared" ref="K92" si="205">(IF(G92&lt;L92,L92,G92)*(1-IF(H92&lt;N92,H92,N92))*E92*O92*Q92)/100000000</f>
        <v>0</v>
      </c>
      <c r="L92" s="34">
        <v>1230</v>
      </c>
      <c r="M92" s="34">
        <v>959.4</v>
      </c>
      <c r="N92" s="45">
        <f t="shared" ref="N92" si="206">1-(M92/L92)</f>
        <v>0.21999999999999997</v>
      </c>
      <c r="O92" s="46">
        <f>+'Trim Rwd'!H59</f>
        <v>256</v>
      </c>
      <c r="P92" s="47">
        <f t="shared" ref="P92" si="207">O92*(Q92-R92-S92)</f>
        <v>0</v>
      </c>
      <c r="Q92" s="46">
        <f>1440-1440</f>
        <v>0</v>
      </c>
      <c r="R92" s="498">
        <f>1440-1440</f>
        <v>0</v>
      </c>
      <c r="S92" s="498">
        <v>0</v>
      </c>
      <c r="T92" s="36">
        <f t="shared" ref="T92" si="208">E92*M92*O92*Q92/100000000</f>
        <v>0</v>
      </c>
      <c r="U92" s="36">
        <f t="shared" ref="U92" si="209">E92*M92*O92*(Q92-R92-S92)/100000000</f>
        <v>0</v>
      </c>
      <c r="V92" s="36">
        <f t="shared" ref="V92" si="210">E92*G92*(1-N92)*O92/100*(R92+S92)/1000000</f>
        <v>0</v>
      </c>
      <c r="W92" s="36">
        <f>+'18'!K34/1000</f>
        <v>0</v>
      </c>
      <c r="X92" s="499" t="e">
        <f>SUM(W92:W95)/SUM(K92:K95)</f>
        <v>#DIV/0!</v>
      </c>
      <c r="Y92" s="210">
        <v>0</v>
      </c>
      <c r="Z92" s="36">
        <v>0</v>
      </c>
      <c r="AA92" s="48">
        <f>SUM(U92:U95)-SUM(W92:W95)-SUM(Z92:Z95)-SUM(Y92:Y95)</f>
        <v>0</v>
      </c>
      <c r="AB92" s="48">
        <f>(SUM(K92:K95)-SUM(W92:W95)-SUM(Y92:Y95)-SUM(Z92:Z95)-SUM(AC92:AC95)-SUM(V92:V95))-AA92</f>
        <v>0</v>
      </c>
      <c r="AC92" s="36">
        <f>K92-T92</f>
        <v>0</v>
      </c>
      <c r="AD92" s="36">
        <f>+AM92+BA92</f>
        <v>0</v>
      </c>
      <c r="AE92" s="229" t="s">
        <v>384</v>
      </c>
      <c r="AF92" s="36">
        <v>0</v>
      </c>
      <c r="AG92" s="36"/>
      <c r="AH92" s="36"/>
      <c r="AI92" s="500"/>
      <c r="AJ92" s="36"/>
      <c r="AK92" s="36"/>
      <c r="AL92" s="36"/>
      <c r="AM92" s="36">
        <f t="shared" ref="AM92:AM95" si="211">SUM(AF92:AL92)+AT92+AV92+AX92</f>
        <v>0</v>
      </c>
      <c r="AN92" s="36"/>
      <c r="AO92" s="36"/>
      <c r="AP92" s="36"/>
      <c r="AQ92" s="36"/>
      <c r="AR92" s="36">
        <f>SUM(AN92:AQ92)</f>
        <v>0</v>
      </c>
      <c r="AS92" s="36"/>
      <c r="AT92" s="36"/>
      <c r="AU92" s="36"/>
      <c r="AV92" s="36"/>
      <c r="AW92" s="36"/>
      <c r="AX92" s="36"/>
      <c r="AY92" s="36"/>
      <c r="AZ92" s="36"/>
      <c r="BA92" s="36">
        <f>+AR92+AS92+AU92+AW92+AY92+AZ92</f>
        <v>0</v>
      </c>
      <c r="BB92" s="32">
        <v>0</v>
      </c>
      <c r="BC92" s="50"/>
      <c r="BD92" s="50"/>
      <c r="BE92" s="32"/>
      <c r="BF92" s="50"/>
    </row>
    <row r="93" spans="1:58" ht="12.95" customHeight="1">
      <c r="A93" s="39"/>
      <c r="B93" s="40"/>
      <c r="C93" s="413"/>
      <c r="D93" s="40"/>
      <c r="E93" s="41"/>
      <c r="F93" s="41"/>
      <c r="G93" s="497"/>
      <c r="H93" s="43"/>
      <c r="I93" s="44"/>
      <c r="J93" s="81"/>
      <c r="K93" s="81"/>
      <c r="L93" s="34"/>
      <c r="M93" s="34"/>
      <c r="N93" s="45"/>
      <c r="O93" s="46"/>
      <c r="P93" s="47"/>
      <c r="Q93" s="46"/>
      <c r="R93" s="498"/>
      <c r="S93" s="498"/>
      <c r="T93" s="36"/>
      <c r="U93" s="36"/>
      <c r="V93" s="36"/>
      <c r="W93" s="36"/>
      <c r="X93" s="37"/>
      <c r="Y93" s="210"/>
      <c r="Z93" s="36"/>
      <c r="AA93" s="36"/>
      <c r="AB93" s="36"/>
      <c r="AC93" s="36"/>
      <c r="AD93" s="36">
        <f>+AM93+BA93</f>
        <v>0</v>
      </c>
      <c r="AE93" s="229" t="s">
        <v>283</v>
      </c>
      <c r="AF93" s="36"/>
      <c r="AG93" s="36">
        <v>0</v>
      </c>
      <c r="AH93" s="36"/>
      <c r="AI93" s="500"/>
      <c r="AJ93" s="36"/>
      <c r="AK93" s="36"/>
      <c r="AL93" s="36"/>
      <c r="AM93" s="36">
        <f t="shared" si="211"/>
        <v>0</v>
      </c>
      <c r="AN93" s="82"/>
      <c r="AO93" s="36"/>
      <c r="AP93" s="36"/>
      <c r="AQ93" s="36"/>
      <c r="AR93" s="36">
        <f t="shared" ref="AR93:AR95" si="212">SUM(AN93:AQ93)</f>
        <v>0</v>
      </c>
      <c r="AS93" s="36"/>
      <c r="AT93" s="36"/>
      <c r="AU93" s="36"/>
      <c r="AV93" s="36"/>
      <c r="AW93" s="36"/>
      <c r="AX93" s="36"/>
      <c r="AY93" s="36"/>
      <c r="AZ93" s="36"/>
      <c r="BA93" s="36">
        <f>+AR93+AS93+AU93+AW93+AY93+AZ93</f>
        <v>0</v>
      </c>
      <c r="BB93" s="49"/>
      <c r="BC93" s="50">
        <v>0</v>
      </c>
      <c r="BD93" s="50"/>
      <c r="BE93" s="49"/>
      <c r="BF93" s="50"/>
    </row>
    <row r="94" spans="1:58" ht="12.95" customHeight="1">
      <c r="A94" s="39"/>
      <c r="B94" s="40"/>
      <c r="C94" s="413"/>
      <c r="D94" s="40"/>
      <c r="E94" s="41"/>
      <c r="F94" s="41"/>
      <c r="G94" s="497"/>
      <c r="H94" s="43"/>
      <c r="I94" s="44"/>
      <c r="J94" s="81"/>
      <c r="K94" s="81"/>
      <c r="L94" s="34"/>
      <c r="M94" s="34"/>
      <c r="N94" s="45"/>
      <c r="O94" s="46"/>
      <c r="P94" s="47"/>
      <c r="Q94" s="46"/>
      <c r="R94" s="498"/>
      <c r="S94" s="498"/>
      <c r="T94" s="36"/>
      <c r="U94" s="36"/>
      <c r="V94" s="36"/>
      <c r="W94" s="36"/>
      <c r="X94" s="37"/>
      <c r="Y94" s="210"/>
      <c r="Z94" s="36"/>
      <c r="AA94" s="36"/>
      <c r="AB94" s="36"/>
      <c r="AC94" s="36"/>
      <c r="AD94" s="36">
        <f>+AM94+BA94</f>
        <v>0</v>
      </c>
      <c r="AE94" s="229" t="s">
        <v>496</v>
      </c>
      <c r="AF94" s="32"/>
      <c r="AG94" s="32"/>
      <c r="AH94" s="32">
        <v>0</v>
      </c>
      <c r="AI94" s="500"/>
      <c r="AJ94" s="36"/>
      <c r="AK94" s="36"/>
      <c r="AL94" s="36"/>
      <c r="AM94" s="36">
        <f t="shared" si="211"/>
        <v>0</v>
      </c>
      <c r="AN94" s="36"/>
      <c r="AO94" s="36"/>
      <c r="AP94" s="36"/>
      <c r="AQ94" s="36"/>
      <c r="AR94" s="36">
        <f t="shared" si="212"/>
        <v>0</v>
      </c>
      <c r="AS94" s="36"/>
      <c r="AT94" s="36"/>
      <c r="AU94" s="36"/>
      <c r="AV94" s="36"/>
      <c r="AW94" s="36"/>
      <c r="AX94" s="36"/>
      <c r="AY94" s="36"/>
      <c r="AZ94" s="36"/>
      <c r="BA94" s="36">
        <f>+AR94+AS94+AU94+AW94+AY94+AZ94</f>
        <v>0</v>
      </c>
      <c r="BB94" s="32"/>
      <c r="BC94" s="501"/>
      <c r="BD94" s="501"/>
      <c r="BE94" s="32"/>
      <c r="BF94" s="501"/>
    </row>
    <row r="95" spans="1:58" ht="12.95" customHeight="1">
      <c r="A95" s="39"/>
      <c r="B95" s="40"/>
      <c r="C95" s="413"/>
      <c r="D95" s="40"/>
      <c r="E95" s="41"/>
      <c r="F95" s="41"/>
      <c r="G95" s="497"/>
      <c r="H95" s="43"/>
      <c r="I95" s="44"/>
      <c r="J95" s="81"/>
      <c r="K95" s="81"/>
      <c r="L95" s="34"/>
      <c r="M95" s="34"/>
      <c r="N95" s="45"/>
      <c r="O95" s="46"/>
      <c r="P95" s="47"/>
      <c r="Q95" s="46"/>
      <c r="R95" s="498"/>
      <c r="S95" s="498"/>
      <c r="T95" s="36"/>
      <c r="U95" s="36"/>
      <c r="V95" s="36"/>
      <c r="W95" s="36"/>
      <c r="X95" s="37"/>
      <c r="Y95" s="210"/>
      <c r="Z95" s="36"/>
      <c r="AA95" s="36"/>
      <c r="AB95" s="36"/>
      <c r="AC95" s="36"/>
      <c r="AD95" s="36">
        <f>+AM95+BA95</f>
        <v>0</v>
      </c>
      <c r="AE95" s="229" t="s">
        <v>685</v>
      </c>
      <c r="AF95" s="32"/>
      <c r="AG95" s="32"/>
      <c r="AH95" s="32"/>
      <c r="AJ95" s="36"/>
      <c r="AK95" s="36"/>
      <c r="AL95" s="36"/>
      <c r="AM95" s="36">
        <f t="shared" si="211"/>
        <v>0</v>
      </c>
      <c r="AN95" s="36"/>
      <c r="AO95" s="36"/>
      <c r="AP95" s="36"/>
      <c r="AQ95" s="36"/>
      <c r="AR95" s="36">
        <f t="shared" si="212"/>
        <v>0</v>
      </c>
      <c r="AS95" s="36"/>
      <c r="AT95" s="36"/>
      <c r="AU95" s="36"/>
      <c r="AV95" s="36"/>
      <c r="AW95" s="36"/>
      <c r="AX95" s="36"/>
      <c r="AY95" s="36"/>
      <c r="AZ95" s="36">
        <f>1440-1440</f>
        <v>0</v>
      </c>
      <c r="BA95" s="36">
        <f>+AR95+AS95+AU95+AW95+AY95+AZ95</f>
        <v>0</v>
      </c>
      <c r="BB95" s="32"/>
      <c r="BC95" s="501"/>
      <c r="BD95" s="501"/>
      <c r="BE95" s="32"/>
      <c r="BF95" s="501"/>
    </row>
    <row r="96" spans="1:58" ht="13.5" customHeight="1">
      <c r="A96" s="39"/>
      <c r="B96" s="40"/>
      <c r="C96" s="413"/>
      <c r="D96" s="40"/>
      <c r="E96" s="41"/>
      <c r="F96" s="41"/>
      <c r="G96" s="497"/>
      <c r="H96" s="43"/>
      <c r="I96" s="44"/>
      <c r="J96" s="81"/>
      <c r="K96" s="81"/>
      <c r="L96" s="34"/>
      <c r="M96" s="34"/>
      <c r="N96" s="45"/>
      <c r="O96" s="46"/>
      <c r="P96" s="47"/>
      <c r="Q96" s="46"/>
      <c r="R96" s="498"/>
      <c r="S96" s="498"/>
      <c r="T96" s="36"/>
      <c r="U96" s="36"/>
      <c r="V96" s="36"/>
      <c r="W96" s="36"/>
      <c r="X96" s="499"/>
      <c r="Y96" s="210"/>
      <c r="Z96" s="36"/>
      <c r="AA96" s="48"/>
      <c r="AB96" s="48"/>
      <c r="AC96" s="36"/>
      <c r="AD96" s="36"/>
      <c r="AE96" s="229"/>
      <c r="AF96" s="36"/>
      <c r="AG96" s="36"/>
      <c r="AH96" s="36"/>
      <c r="AI96" s="500"/>
      <c r="AJ96" s="36"/>
      <c r="AK96" s="36"/>
      <c r="AL96" s="36"/>
      <c r="AM96" s="36"/>
      <c r="AN96" s="36"/>
      <c r="AO96" s="36"/>
      <c r="AP96" s="36"/>
      <c r="AQ96" s="36"/>
      <c r="AR96" s="36"/>
      <c r="AS96" s="36"/>
      <c r="AT96" s="36"/>
      <c r="AU96" s="36"/>
      <c r="AV96" s="36"/>
      <c r="AW96" s="36"/>
      <c r="AX96" s="36"/>
      <c r="AY96" s="36"/>
      <c r="AZ96" s="36"/>
      <c r="BA96" s="36"/>
      <c r="BB96" s="32"/>
      <c r="BC96" s="50"/>
      <c r="BD96" s="50"/>
      <c r="BE96" s="50"/>
      <c r="BF96" s="50"/>
    </row>
    <row r="97" spans="1:58" ht="12.75" customHeight="1">
      <c r="A97" s="39">
        <v>46100</v>
      </c>
      <c r="B97" s="40" t="s">
        <v>551</v>
      </c>
      <c r="C97" s="413">
        <f t="shared" ref="C97" si="213">(M97*E97*O97*Q97)/100000000</f>
        <v>0</v>
      </c>
      <c r="D97" s="40" t="s">
        <v>301</v>
      </c>
      <c r="E97" s="41">
        <v>12.5</v>
      </c>
      <c r="F97" s="41">
        <v>1</v>
      </c>
      <c r="G97" s="497">
        <v>1230</v>
      </c>
      <c r="H97" s="43">
        <f t="shared" ref="H97" si="214">+N97</f>
        <v>0.21999999999999997</v>
      </c>
      <c r="I97" s="44">
        <v>0.88</v>
      </c>
      <c r="J97" s="81">
        <f t="shared" ref="J97" si="215">E97*G97*(1-H97)*1440/1000000*2.74</f>
        <v>47.317608000000007</v>
      </c>
      <c r="K97" s="81">
        <f t="shared" ref="K97" si="216">(IF(G97&lt;L97,L97,G97)*(1-IF(H97&lt;N97,H97,N97))*E97*O97*Q97)/100000000</f>
        <v>0</v>
      </c>
      <c r="L97" s="34">
        <v>1230</v>
      </c>
      <c r="M97" s="34">
        <v>959.4</v>
      </c>
      <c r="N97" s="45">
        <f t="shared" ref="N97" si="217">1-(M97/L97)</f>
        <v>0.21999999999999997</v>
      </c>
      <c r="O97" s="46">
        <f>+'Trim Rwd'!H61</f>
        <v>256</v>
      </c>
      <c r="P97" s="47">
        <f t="shared" ref="P97" si="218">O97*(Q97-R97-S97)</f>
        <v>0</v>
      </c>
      <c r="Q97" s="46">
        <f>1440-1440</f>
        <v>0</v>
      </c>
      <c r="R97" s="498">
        <f>1440-1440</f>
        <v>0</v>
      </c>
      <c r="S97" s="498">
        <v>0</v>
      </c>
      <c r="T97" s="36">
        <f t="shared" ref="T97" si="219">E97*M97*O97*Q97/100000000</f>
        <v>0</v>
      </c>
      <c r="U97" s="36">
        <f t="shared" ref="U97" si="220">E97*M97*O97*(Q97-R97-S97)/100000000</f>
        <v>0</v>
      </c>
      <c r="V97" s="36">
        <f t="shared" ref="V97" si="221">E97*G97*(1-N97)*O97/100*(R97+S97)/1000000</f>
        <v>0</v>
      </c>
      <c r="W97" s="36">
        <f>+'19'!K34/1000</f>
        <v>0</v>
      </c>
      <c r="X97" s="499" t="e">
        <f>SUM(W97:W100)/SUM(K97:K100)</f>
        <v>#DIV/0!</v>
      </c>
      <c r="Y97" s="210">
        <v>0</v>
      </c>
      <c r="Z97" s="36">
        <v>0</v>
      </c>
      <c r="AA97" s="48">
        <f>SUM(U97:U100)-SUM(W97:W100)-SUM(Z97:Z100)-SUM(Y97:Y100)</f>
        <v>0</v>
      </c>
      <c r="AB97" s="48">
        <f>(SUM(K97:K100)-SUM(W97:W100)-SUM(Y97:Y100)-SUM(Z97:Z100)-SUM(AC97:AC100)-SUM(V97:V100))-AA97</f>
        <v>0</v>
      </c>
      <c r="AC97" s="36">
        <f>K97-T97</f>
        <v>0</v>
      </c>
      <c r="AD97" s="36">
        <f>+AM97+BA97</f>
        <v>0</v>
      </c>
      <c r="AE97" s="229" t="s">
        <v>384</v>
      </c>
      <c r="AF97" s="36">
        <v>0</v>
      </c>
      <c r="AG97" s="36"/>
      <c r="AH97" s="36"/>
      <c r="AI97" s="500"/>
      <c r="AJ97" s="36"/>
      <c r="AK97" s="36"/>
      <c r="AL97" s="36"/>
      <c r="AM97" s="36">
        <f t="shared" ref="AM97:AM100" si="222">SUM(AF97:AL97)+AT97+AV97+AX97</f>
        <v>0</v>
      </c>
      <c r="AN97" s="36"/>
      <c r="AO97" s="36"/>
      <c r="AP97" s="36"/>
      <c r="AQ97" s="36"/>
      <c r="AR97" s="36">
        <f>SUM(AN97:AQ97)</f>
        <v>0</v>
      </c>
      <c r="AS97" s="36"/>
      <c r="AT97" s="36"/>
      <c r="AU97" s="36"/>
      <c r="AV97" s="36"/>
      <c r="AW97" s="36"/>
      <c r="AX97" s="36"/>
      <c r="AY97" s="36"/>
      <c r="AZ97" s="36"/>
      <c r="BA97" s="36">
        <f>+AR97+AS97+AU97+AW97+AY97+AZ97</f>
        <v>0</v>
      </c>
      <c r="BB97" s="32">
        <v>0</v>
      </c>
      <c r="BC97" s="50"/>
      <c r="BD97" s="50"/>
      <c r="BE97" s="32"/>
      <c r="BF97" s="50"/>
    </row>
    <row r="98" spans="1:58" ht="12.95" customHeight="1">
      <c r="A98" s="39"/>
      <c r="B98" s="40"/>
      <c r="C98" s="413"/>
      <c r="D98" s="40"/>
      <c r="E98" s="41"/>
      <c r="F98" s="41"/>
      <c r="G98" s="497"/>
      <c r="H98" s="43"/>
      <c r="I98" s="44"/>
      <c r="J98" s="81"/>
      <c r="K98" s="81"/>
      <c r="L98" s="34"/>
      <c r="M98" s="34"/>
      <c r="N98" s="45"/>
      <c r="O98" s="46"/>
      <c r="P98" s="47"/>
      <c r="Q98" s="46"/>
      <c r="R98" s="498"/>
      <c r="S98" s="498"/>
      <c r="T98" s="36"/>
      <c r="U98" s="36"/>
      <c r="V98" s="36"/>
      <c r="W98" s="36"/>
      <c r="X98" s="37"/>
      <c r="Y98" s="210"/>
      <c r="Z98" s="36"/>
      <c r="AA98" s="36"/>
      <c r="AB98" s="36"/>
      <c r="AC98" s="36"/>
      <c r="AD98" s="36">
        <f>+AM98+BA98</f>
        <v>0</v>
      </c>
      <c r="AE98" s="229" t="s">
        <v>283</v>
      </c>
      <c r="AF98" s="36"/>
      <c r="AG98" s="36">
        <v>0</v>
      </c>
      <c r="AH98" s="36"/>
      <c r="AI98" s="500"/>
      <c r="AJ98" s="36"/>
      <c r="AK98" s="36"/>
      <c r="AL98" s="36"/>
      <c r="AM98" s="36">
        <f t="shared" si="222"/>
        <v>0</v>
      </c>
      <c r="AN98" s="82"/>
      <c r="AO98" s="36"/>
      <c r="AP98" s="36"/>
      <c r="AQ98" s="36"/>
      <c r="AR98" s="36">
        <f t="shared" ref="AR98:AR100" si="223">SUM(AN98:AQ98)</f>
        <v>0</v>
      </c>
      <c r="AS98" s="36"/>
      <c r="AT98" s="36"/>
      <c r="AU98" s="36"/>
      <c r="AV98" s="36"/>
      <c r="AW98" s="36"/>
      <c r="AX98" s="36"/>
      <c r="AY98" s="36"/>
      <c r="AZ98" s="36"/>
      <c r="BA98" s="36">
        <f>+AR98+AS98+AU98+AW98+AY98+AZ98</f>
        <v>0</v>
      </c>
      <c r="BB98" s="49"/>
      <c r="BC98" s="50">
        <v>0</v>
      </c>
      <c r="BD98" s="50"/>
      <c r="BE98" s="49"/>
      <c r="BF98" s="50"/>
    </row>
    <row r="99" spans="1:58" ht="12.95" customHeight="1">
      <c r="A99" s="39"/>
      <c r="B99" s="40"/>
      <c r="C99" s="413"/>
      <c r="D99" s="40"/>
      <c r="E99" s="41"/>
      <c r="F99" s="41"/>
      <c r="G99" s="497"/>
      <c r="H99" s="43"/>
      <c r="I99" s="44"/>
      <c r="J99" s="81"/>
      <c r="K99" s="81"/>
      <c r="L99" s="34"/>
      <c r="M99" s="34"/>
      <c r="N99" s="45"/>
      <c r="O99" s="46"/>
      <c r="P99" s="47"/>
      <c r="Q99" s="46"/>
      <c r="R99" s="498"/>
      <c r="S99" s="498"/>
      <c r="T99" s="36"/>
      <c r="U99" s="36"/>
      <c r="V99" s="36"/>
      <c r="W99" s="36"/>
      <c r="X99" s="37"/>
      <c r="Y99" s="210"/>
      <c r="Z99" s="36"/>
      <c r="AA99" s="36"/>
      <c r="AB99" s="36"/>
      <c r="AC99" s="36"/>
      <c r="AD99" s="36">
        <f>+AM99+BA99</f>
        <v>0</v>
      </c>
      <c r="AE99" s="229" t="s">
        <v>496</v>
      </c>
      <c r="AF99" s="32"/>
      <c r="AG99" s="32"/>
      <c r="AH99" s="32">
        <v>0</v>
      </c>
      <c r="AI99" s="500"/>
      <c r="AJ99" s="36"/>
      <c r="AK99" s="36"/>
      <c r="AL99" s="36"/>
      <c r="AM99" s="36">
        <f t="shared" si="222"/>
        <v>0</v>
      </c>
      <c r="AN99" s="36"/>
      <c r="AO99" s="36"/>
      <c r="AP99" s="36"/>
      <c r="AQ99" s="36"/>
      <c r="AR99" s="36">
        <f t="shared" si="223"/>
        <v>0</v>
      </c>
      <c r="AS99" s="36"/>
      <c r="AT99" s="36"/>
      <c r="AU99" s="36"/>
      <c r="AV99" s="36"/>
      <c r="AW99" s="36"/>
      <c r="AX99" s="36"/>
      <c r="AY99" s="36"/>
      <c r="AZ99" s="36"/>
      <c r="BA99" s="36">
        <f>+AR99+AS99+AU99+AW99+AY99+AZ99</f>
        <v>0</v>
      </c>
      <c r="BB99" s="32"/>
      <c r="BC99" s="501"/>
      <c r="BD99" s="501"/>
      <c r="BE99" s="32"/>
      <c r="BF99" s="501"/>
    </row>
    <row r="100" spans="1:58" ht="12.95" customHeight="1">
      <c r="A100" s="39"/>
      <c r="B100" s="40"/>
      <c r="C100" s="413"/>
      <c r="D100" s="40"/>
      <c r="E100" s="41"/>
      <c r="F100" s="41"/>
      <c r="G100" s="497"/>
      <c r="H100" s="43"/>
      <c r="I100" s="44"/>
      <c r="J100" s="81"/>
      <c r="K100" s="81"/>
      <c r="L100" s="34"/>
      <c r="M100" s="34"/>
      <c r="N100" s="45"/>
      <c r="O100" s="46"/>
      <c r="P100" s="47"/>
      <c r="Q100" s="46"/>
      <c r="R100" s="498"/>
      <c r="S100" s="498"/>
      <c r="T100" s="36"/>
      <c r="U100" s="36"/>
      <c r="V100" s="36"/>
      <c r="W100" s="36"/>
      <c r="X100" s="37"/>
      <c r="Y100" s="210"/>
      <c r="Z100" s="36"/>
      <c r="AA100" s="36"/>
      <c r="AB100" s="36"/>
      <c r="AC100" s="36"/>
      <c r="AD100" s="36">
        <f>+AM100+BA100</f>
        <v>0</v>
      </c>
      <c r="AE100" s="229" t="s">
        <v>685</v>
      </c>
      <c r="AF100" s="32"/>
      <c r="AG100" s="32"/>
      <c r="AH100" s="32"/>
      <c r="AJ100" s="36"/>
      <c r="AK100" s="36"/>
      <c r="AL100" s="36"/>
      <c r="AM100" s="36">
        <f t="shared" si="222"/>
        <v>0</v>
      </c>
      <c r="AN100" s="36"/>
      <c r="AO100" s="36"/>
      <c r="AP100" s="36"/>
      <c r="AQ100" s="36"/>
      <c r="AR100" s="36">
        <f t="shared" si="223"/>
        <v>0</v>
      </c>
      <c r="AS100" s="36"/>
      <c r="AT100" s="36"/>
      <c r="AU100" s="36"/>
      <c r="AV100" s="36"/>
      <c r="AW100" s="36"/>
      <c r="AX100" s="36"/>
      <c r="AY100" s="36"/>
      <c r="AZ100" s="36">
        <f>1440-1440</f>
        <v>0</v>
      </c>
      <c r="BA100" s="36">
        <f>+AR100+AS100+AU100+AW100+AY100+AZ100</f>
        <v>0</v>
      </c>
      <c r="BB100" s="32"/>
      <c r="BC100" s="501"/>
      <c r="BD100" s="501"/>
      <c r="BE100" s="32"/>
      <c r="BF100" s="501"/>
    </row>
    <row r="101" spans="1:58" ht="13.5" customHeight="1">
      <c r="A101" s="39"/>
      <c r="B101" s="40"/>
      <c r="C101" s="413"/>
      <c r="D101" s="40"/>
      <c r="E101" s="41"/>
      <c r="F101" s="41"/>
      <c r="G101" s="497"/>
      <c r="H101" s="43"/>
      <c r="I101" s="44"/>
      <c r="J101" s="81"/>
      <c r="K101" s="81"/>
      <c r="L101" s="34"/>
      <c r="M101" s="34"/>
      <c r="N101" s="45"/>
      <c r="O101" s="46"/>
      <c r="P101" s="47"/>
      <c r="Q101" s="46"/>
      <c r="R101" s="498"/>
      <c r="S101" s="498"/>
      <c r="T101" s="36"/>
      <c r="U101" s="36"/>
      <c r="V101" s="36"/>
      <c r="W101" s="36"/>
      <c r="X101" s="499"/>
      <c r="Y101" s="210"/>
      <c r="Z101" s="36"/>
      <c r="AA101" s="48"/>
      <c r="AB101" s="48"/>
      <c r="AC101" s="36"/>
      <c r="AD101" s="36"/>
      <c r="AE101" s="229"/>
      <c r="AF101" s="36"/>
      <c r="AG101" s="36"/>
      <c r="AH101" s="36"/>
      <c r="AI101" s="500"/>
      <c r="AJ101" s="36"/>
      <c r="AK101" s="36"/>
      <c r="AL101" s="36"/>
      <c r="AM101" s="36"/>
      <c r="AN101" s="36"/>
      <c r="AO101" s="36"/>
      <c r="AP101" s="36"/>
      <c r="AQ101" s="36"/>
      <c r="AR101" s="36"/>
      <c r="AS101" s="36"/>
      <c r="AT101" s="36"/>
      <c r="AU101" s="36"/>
      <c r="AV101" s="36"/>
      <c r="AW101" s="36"/>
      <c r="AX101" s="36"/>
      <c r="AY101" s="36"/>
      <c r="AZ101" s="36"/>
      <c r="BA101" s="36"/>
      <c r="BB101" s="32"/>
      <c r="BC101" s="50"/>
      <c r="BD101" s="50"/>
      <c r="BE101" s="50"/>
      <c r="BF101" s="50"/>
    </row>
    <row r="102" spans="1:58" ht="12.75" customHeight="1">
      <c r="A102" s="39">
        <v>46101</v>
      </c>
      <c r="B102" s="40" t="s">
        <v>551</v>
      </c>
      <c r="C102" s="413">
        <f t="shared" ref="C102" si="224">(M102*E102*O102*Q102)/100000000</f>
        <v>0</v>
      </c>
      <c r="D102" s="40" t="s">
        <v>301</v>
      </c>
      <c r="E102" s="41">
        <v>12.5</v>
      </c>
      <c r="F102" s="41">
        <v>1</v>
      </c>
      <c r="G102" s="497">
        <v>1230</v>
      </c>
      <c r="H102" s="43">
        <f t="shared" ref="H102" si="225">+N102</f>
        <v>0.21999999999999997</v>
      </c>
      <c r="I102" s="44">
        <v>0.88</v>
      </c>
      <c r="J102" s="81">
        <f t="shared" ref="J102" si="226">E102*G102*(1-H102)*1440/1000000*2.74</f>
        <v>47.317608000000007</v>
      </c>
      <c r="K102" s="81">
        <f t="shared" ref="K102" si="227">(IF(G102&lt;L102,L102,G102)*(1-IF(H102&lt;N102,H102,N102))*E102*O102*Q102)/100000000</f>
        <v>0</v>
      </c>
      <c r="L102" s="34">
        <v>1230</v>
      </c>
      <c r="M102" s="34">
        <v>959.4</v>
      </c>
      <c r="N102" s="45">
        <f t="shared" ref="N102" si="228">1-(M102/L102)</f>
        <v>0.21999999999999997</v>
      </c>
      <c r="O102" s="46">
        <f>+'Trim Rwd'!H63</f>
        <v>256</v>
      </c>
      <c r="P102" s="47">
        <f t="shared" ref="P102" si="229">O102*(Q102-R102-S102)</f>
        <v>0</v>
      </c>
      <c r="Q102" s="46">
        <f>1440-1440</f>
        <v>0</v>
      </c>
      <c r="R102" s="498">
        <f>1440-1440</f>
        <v>0</v>
      </c>
      <c r="S102" s="498">
        <v>0</v>
      </c>
      <c r="T102" s="36">
        <f t="shared" ref="T102" si="230">E102*M102*O102*Q102/100000000</f>
        <v>0</v>
      </c>
      <c r="U102" s="36">
        <f t="shared" ref="U102" si="231">E102*M102*O102*(Q102-R102-S102)/100000000</f>
        <v>0</v>
      </c>
      <c r="V102" s="36">
        <f t="shared" ref="V102" si="232">E102*G102*(1-N102)*O102/100*(R102+S102)/1000000</f>
        <v>0</v>
      </c>
      <c r="W102" s="36">
        <v>0</v>
      </c>
      <c r="X102" s="499" t="e">
        <f>SUM(W102:W105)/SUM(K102:K105)</f>
        <v>#DIV/0!</v>
      </c>
      <c r="Y102" s="210">
        <v>0</v>
      </c>
      <c r="Z102" s="36">
        <v>0</v>
      </c>
      <c r="AA102" s="48">
        <f>SUM(U102:U105)-SUM(W102:W105)-SUM(Z102:Z105)-SUM(Y102:Y105)</f>
        <v>0</v>
      </c>
      <c r="AB102" s="48">
        <f>(SUM(K102:K105)-SUM(W102:W105)-SUM(Y102:Y105)-SUM(Z102:Z105)-SUM(AC102:AC105)-SUM(V102:V105))-AA102</f>
        <v>0</v>
      </c>
      <c r="AC102" s="36">
        <f>K102-T102</f>
        <v>0</v>
      </c>
      <c r="AD102" s="36">
        <f>+AM102+BA102</f>
        <v>0</v>
      </c>
      <c r="AE102" s="229" t="s">
        <v>384</v>
      </c>
      <c r="AF102" s="36">
        <v>0</v>
      </c>
      <c r="AG102" s="36"/>
      <c r="AH102" s="36"/>
      <c r="AI102" s="500"/>
      <c r="AJ102" s="36"/>
      <c r="AK102" s="36"/>
      <c r="AL102" s="36"/>
      <c r="AM102" s="36">
        <f t="shared" ref="AM102:AM105" si="233">SUM(AF102:AL102)+AT102+AV102+AX102</f>
        <v>0</v>
      </c>
      <c r="AN102" s="36"/>
      <c r="AO102" s="36"/>
      <c r="AP102" s="36"/>
      <c r="AQ102" s="36"/>
      <c r="AR102" s="36">
        <f>SUM(AN102:AQ102)</f>
        <v>0</v>
      </c>
      <c r="AS102" s="36"/>
      <c r="AT102" s="36"/>
      <c r="AU102" s="36"/>
      <c r="AV102" s="36"/>
      <c r="AW102" s="36"/>
      <c r="AX102" s="36"/>
      <c r="AY102" s="36"/>
      <c r="AZ102" s="36"/>
      <c r="BA102" s="36">
        <f>+AR102+AS102+AU102+AW102+AY102+AZ102</f>
        <v>0</v>
      </c>
      <c r="BB102" s="32">
        <v>0</v>
      </c>
      <c r="BC102" s="50"/>
      <c r="BD102" s="50"/>
      <c r="BE102" s="32"/>
      <c r="BF102" s="50"/>
    </row>
    <row r="103" spans="1:58" ht="12.95" customHeight="1">
      <c r="A103" s="39"/>
      <c r="B103" s="40"/>
      <c r="C103" s="413"/>
      <c r="D103" s="40"/>
      <c r="E103" s="41"/>
      <c r="F103" s="41"/>
      <c r="G103" s="497"/>
      <c r="H103" s="43"/>
      <c r="I103" s="44"/>
      <c r="J103" s="81"/>
      <c r="K103" s="81"/>
      <c r="L103" s="34"/>
      <c r="M103" s="34"/>
      <c r="N103" s="45"/>
      <c r="O103" s="46"/>
      <c r="P103" s="47"/>
      <c r="Q103" s="46"/>
      <c r="R103" s="498"/>
      <c r="S103" s="498"/>
      <c r="T103" s="36"/>
      <c r="U103" s="36"/>
      <c r="V103" s="36"/>
      <c r="W103" s="36"/>
      <c r="X103" s="37"/>
      <c r="Y103" s="210"/>
      <c r="Z103" s="36"/>
      <c r="AA103" s="36"/>
      <c r="AB103" s="36"/>
      <c r="AC103" s="36"/>
      <c r="AD103" s="36">
        <f>+AM103+BA103</f>
        <v>0</v>
      </c>
      <c r="AE103" s="229" t="s">
        <v>283</v>
      </c>
      <c r="AF103" s="36"/>
      <c r="AG103" s="36">
        <v>0</v>
      </c>
      <c r="AH103" s="36"/>
      <c r="AI103" s="500"/>
      <c r="AJ103" s="36"/>
      <c r="AK103" s="36"/>
      <c r="AL103" s="36"/>
      <c r="AM103" s="36">
        <f t="shared" si="233"/>
        <v>0</v>
      </c>
      <c r="AN103" s="82"/>
      <c r="AO103" s="36"/>
      <c r="AP103" s="36"/>
      <c r="AQ103" s="36"/>
      <c r="AR103" s="36">
        <f t="shared" ref="AR103:AR105" si="234">SUM(AN103:AQ103)</f>
        <v>0</v>
      </c>
      <c r="AS103" s="36"/>
      <c r="AT103" s="36"/>
      <c r="AU103" s="36"/>
      <c r="AV103" s="36"/>
      <c r="AW103" s="36"/>
      <c r="AX103" s="36"/>
      <c r="AY103" s="36"/>
      <c r="AZ103" s="36"/>
      <c r="BA103" s="36">
        <f>+AR103+AS103+AU103+AW103+AY103+AZ103</f>
        <v>0</v>
      </c>
      <c r="BB103" s="49"/>
      <c r="BC103" s="50">
        <v>0</v>
      </c>
      <c r="BD103" s="50"/>
      <c r="BE103" s="49"/>
      <c r="BF103" s="50"/>
    </row>
    <row r="104" spans="1:58" ht="12.95" customHeight="1">
      <c r="A104" s="39"/>
      <c r="B104" s="40"/>
      <c r="C104" s="413"/>
      <c r="D104" s="40"/>
      <c r="E104" s="41"/>
      <c r="F104" s="41"/>
      <c r="G104" s="497"/>
      <c r="H104" s="43"/>
      <c r="I104" s="44"/>
      <c r="J104" s="81"/>
      <c r="K104" s="81"/>
      <c r="L104" s="34"/>
      <c r="M104" s="34"/>
      <c r="N104" s="45"/>
      <c r="O104" s="46"/>
      <c r="P104" s="47"/>
      <c r="Q104" s="46"/>
      <c r="R104" s="498"/>
      <c r="S104" s="498"/>
      <c r="T104" s="36"/>
      <c r="U104" s="36"/>
      <c r="V104" s="36"/>
      <c r="W104" s="36"/>
      <c r="X104" s="37"/>
      <c r="Y104" s="210"/>
      <c r="Z104" s="36"/>
      <c r="AA104" s="36"/>
      <c r="AB104" s="36"/>
      <c r="AC104" s="36"/>
      <c r="AD104" s="36">
        <f>+AM104+BA104</f>
        <v>0</v>
      </c>
      <c r="AE104" s="229" t="s">
        <v>496</v>
      </c>
      <c r="AF104" s="32"/>
      <c r="AG104" s="32"/>
      <c r="AH104" s="32">
        <v>0</v>
      </c>
      <c r="AI104" s="500"/>
      <c r="AJ104" s="36"/>
      <c r="AK104" s="36"/>
      <c r="AL104" s="36"/>
      <c r="AM104" s="36">
        <f t="shared" si="233"/>
        <v>0</v>
      </c>
      <c r="AN104" s="36"/>
      <c r="AO104" s="36"/>
      <c r="AP104" s="36"/>
      <c r="AQ104" s="36"/>
      <c r="AR104" s="36">
        <f t="shared" si="234"/>
        <v>0</v>
      </c>
      <c r="AS104" s="36"/>
      <c r="AT104" s="36"/>
      <c r="AU104" s="36"/>
      <c r="AV104" s="36"/>
      <c r="AW104" s="36"/>
      <c r="AX104" s="36"/>
      <c r="AY104" s="36"/>
      <c r="AZ104" s="36"/>
      <c r="BA104" s="36">
        <f>+AR104+AS104+AU104+AW104+AY104+AZ104</f>
        <v>0</v>
      </c>
      <c r="BB104" s="32"/>
      <c r="BC104" s="501"/>
      <c r="BD104" s="501"/>
      <c r="BE104" s="32"/>
      <c r="BF104" s="501"/>
    </row>
    <row r="105" spans="1:58" ht="12.95" customHeight="1">
      <c r="A105" s="39"/>
      <c r="B105" s="40"/>
      <c r="C105" s="413"/>
      <c r="D105" s="40"/>
      <c r="E105" s="41"/>
      <c r="F105" s="41"/>
      <c r="G105" s="497"/>
      <c r="H105" s="43"/>
      <c r="I105" s="44"/>
      <c r="J105" s="81"/>
      <c r="K105" s="81"/>
      <c r="L105" s="34"/>
      <c r="M105" s="34"/>
      <c r="N105" s="45"/>
      <c r="O105" s="46"/>
      <c r="P105" s="47"/>
      <c r="Q105" s="46"/>
      <c r="R105" s="498"/>
      <c r="S105" s="498"/>
      <c r="T105" s="36"/>
      <c r="U105" s="36"/>
      <c r="V105" s="36"/>
      <c r="W105" s="36"/>
      <c r="X105" s="37"/>
      <c r="Y105" s="210"/>
      <c r="Z105" s="36"/>
      <c r="AA105" s="36"/>
      <c r="AB105" s="36"/>
      <c r="AC105" s="36"/>
      <c r="AD105" s="36">
        <f>+AM105+BA105</f>
        <v>0</v>
      </c>
      <c r="AE105" s="229" t="s">
        <v>685</v>
      </c>
      <c r="AF105" s="32"/>
      <c r="AG105" s="32"/>
      <c r="AH105" s="32"/>
      <c r="AJ105" s="36"/>
      <c r="AK105" s="36"/>
      <c r="AL105" s="36"/>
      <c r="AM105" s="36">
        <f t="shared" si="233"/>
        <v>0</v>
      </c>
      <c r="AN105" s="36"/>
      <c r="AO105" s="36"/>
      <c r="AP105" s="36"/>
      <c r="AQ105" s="36"/>
      <c r="AR105" s="36">
        <f t="shared" si="234"/>
        <v>0</v>
      </c>
      <c r="AS105" s="36"/>
      <c r="AT105" s="36"/>
      <c r="AU105" s="36"/>
      <c r="AV105" s="36"/>
      <c r="AW105" s="36"/>
      <c r="AX105" s="36"/>
      <c r="AY105" s="36"/>
      <c r="AZ105" s="36">
        <f>1440-1440</f>
        <v>0</v>
      </c>
      <c r="BA105" s="36">
        <f>+AR105+AS105+AU105+AW105+AY105+AZ105</f>
        <v>0</v>
      </c>
      <c r="BB105" s="32"/>
      <c r="BC105" s="501"/>
      <c r="BD105" s="501"/>
      <c r="BE105" s="32"/>
      <c r="BF105" s="501"/>
    </row>
    <row r="106" spans="1:58" ht="12.95" customHeight="1">
      <c r="A106" s="39"/>
      <c r="B106" s="40"/>
      <c r="C106" s="413"/>
      <c r="D106" s="40"/>
      <c r="E106" s="41"/>
      <c r="F106" s="41"/>
      <c r="G106" s="42"/>
      <c r="H106" s="43"/>
      <c r="I106" s="44"/>
      <c r="J106" s="81"/>
      <c r="K106" s="81"/>
      <c r="L106" s="34"/>
      <c r="M106" s="34"/>
      <c r="N106" s="45"/>
      <c r="O106" s="46"/>
      <c r="P106" s="47"/>
      <c r="Q106" s="33"/>
      <c r="R106" s="498"/>
      <c r="S106" s="498"/>
      <c r="T106" s="36"/>
      <c r="U106" s="36"/>
      <c r="V106" s="36"/>
      <c r="W106" s="36"/>
      <c r="X106" s="499"/>
      <c r="Y106" s="210"/>
      <c r="Z106" s="36"/>
      <c r="AA106" s="48"/>
      <c r="AB106" s="48"/>
      <c r="AC106" s="36"/>
      <c r="AD106" s="36"/>
      <c r="AE106" s="232"/>
      <c r="AF106" s="36"/>
      <c r="AG106" s="36"/>
      <c r="AH106" s="36"/>
      <c r="AI106" s="500"/>
      <c r="AJ106" s="36"/>
      <c r="AK106" s="36"/>
      <c r="AL106" s="36"/>
      <c r="AM106" s="36"/>
      <c r="AN106" s="36"/>
      <c r="AO106" s="36"/>
      <c r="AP106" s="36"/>
      <c r="AQ106" s="36"/>
      <c r="AR106" s="36"/>
      <c r="AS106" s="36"/>
      <c r="AT106" s="36"/>
      <c r="AU106" s="36"/>
      <c r="AV106" s="36"/>
      <c r="AW106" s="36"/>
      <c r="AX106" s="36"/>
      <c r="AY106" s="36"/>
      <c r="AZ106" s="36"/>
      <c r="BA106" s="36"/>
      <c r="BB106" s="32"/>
      <c r="BC106" s="50"/>
      <c r="BD106" s="50"/>
      <c r="BE106" s="50"/>
      <c r="BF106" s="50"/>
    </row>
    <row r="107" spans="1:58" ht="12.75" customHeight="1">
      <c r="A107" s="39">
        <v>46102</v>
      </c>
      <c r="B107" s="40" t="s">
        <v>551</v>
      </c>
      <c r="C107" s="413">
        <f t="shared" ref="C107" si="235">(M107*E107*O107*Q107)/100000000</f>
        <v>0</v>
      </c>
      <c r="D107" s="40" t="s">
        <v>301</v>
      </c>
      <c r="E107" s="41">
        <v>12.5</v>
      </c>
      <c r="F107" s="41">
        <v>1</v>
      </c>
      <c r="G107" s="497">
        <v>1230</v>
      </c>
      <c r="H107" s="43">
        <f t="shared" ref="H107" si="236">+N107</f>
        <v>0.21999999999999997</v>
      </c>
      <c r="I107" s="44">
        <v>0.88</v>
      </c>
      <c r="J107" s="81">
        <f t="shared" ref="J107" si="237">E107*G107*(1-H107)*1440/1000000*2.74</f>
        <v>47.317608000000007</v>
      </c>
      <c r="K107" s="81">
        <f t="shared" ref="K107" si="238">(IF(G107&lt;L107,L107,G107)*(1-IF(H107&lt;N107,H107,N107))*E107*O107*Q107)/100000000</f>
        <v>0</v>
      </c>
      <c r="L107" s="34">
        <v>1230</v>
      </c>
      <c r="M107" s="34">
        <v>959.4</v>
      </c>
      <c r="N107" s="45">
        <f t="shared" ref="N107" si="239">1-(M107/L107)</f>
        <v>0.21999999999999997</v>
      </c>
      <c r="O107" s="46">
        <f>+'Trim Rwd'!H65</f>
        <v>256</v>
      </c>
      <c r="P107" s="47">
        <f t="shared" ref="P107" si="240">O107*(Q107-R107-S107)</f>
        <v>0</v>
      </c>
      <c r="Q107" s="46">
        <f>1440-1440</f>
        <v>0</v>
      </c>
      <c r="R107" s="498">
        <f>1440-1440</f>
        <v>0</v>
      </c>
      <c r="S107" s="498">
        <v>0</v>
      </c>
      <c r="T107" s="36">
        <f t="shared" ref="T107" si="241">E107*M107*O107*Q107/100000000</f>
        <v>0</v>
      </c>
      <c r="U107" s="36">
        <f t="shared" ref="U107" si="242">E107*M107*O107*(Q107-R107-S107)/100000000</f>
        <v>0</v>
      </c>
      <c r="V107" s="36">
        <f t="shared" ref="V107" si="243">E107*G107*(1-N107)*O107/100*(R107+S107)/1000000</f>
        <v>0</v>
      </c>
      <c r="W107" s="36">
        <v>0</v>
      </c>
      <c r="X107" s="499" t="e">
        <f>SUM(W107:W110)/SUM(K107:K110)</f>
        <v>#DIV/0!</v>
      </c>
      <c r="Y107" s="210">
        <v>0</v>
      </c>
      <c r="Z107" s="36">
        <v>0</v>
      </c>
      <c r="AA107" s="48">
        <f>SUM(U107:U110)-SUM(W107:W110)-SUM(Z107:Z110)-SUM(Y107:Y110)</f>
        <v>0</v>
      </c>
      <c r="AB107" s="48">
        <f>(SUM(K107:K110)-SUM(W107:W110)-SUM(Y107:Y110)-SUM(Z107:Z110)-SUM(AC107:AC110)-SUM(V107:V110))-AA107</f>
        <v>0</v>
      </c>
      <c r="AC107" s="36">
        <f>K107-T107</f>
        <v>0</v>
      </c>
      <c r="AD107" s="36">
        <f>+AM107+BA107</f>
        <v>0</v>
      </c>
      <c r="AE107" s="229" t="s">
        <v>384</v>
      </c>
      <c r="AF107" s="36">
        <v>0</v>
      </c>
      <c r="AG107" s="36"/>
      <c r="AH107" s="36"/>
      <c r="AI107" s="500"/>
      <c r="AJ107" s="36"/>
      <c r="AK107" s="36"/>
      <c r="AL107" s="36"/>
      <c r="AM107" s="36">
        <f t="shared" ref="AM107:AM110" si="244">SUM(AF107:AL107)+AT107+AV107+AX107</f>
        <v>0</v>
      </c>
      <c r="AN107" s="36"/>
      <c r="AO107" s="36"/>
      <c r="AP107" s="36"/>
      <c r="AQ107" s="36"/>
      <c r="AR107" s="36">
        <f>SUM(AN107:AQ107)</f>
        <v>0</v>
      </c>
      <c r="AS107" s="36"/>
      <c r="AT107" s="36"/>
      <c r="AU107" s="36"/>
      <c r="AV107" s="36"/>
      <c r="AW107" s="36"/>
      <c r="AX107" s="36"/>
      <c r="AY107" s="36"/>
      <c r="AZ107" s="36"/>
      <c r="BA107" s="36">
        <f>+AR107+AS107+AU107+AW107+AY107+AZ107</f>
        <v>0</v>
      </c>
      <c r="BB107" s="32">
        <v>0</v>
      </c>
      <c r="BC107" s="50"/>
      <c r="BD107" s="50"/>
      <c r="BE107" s="32"/>
      <c r="BF107" s="50"/>
    </row>
    <row r="108" spans="1:58" ht="12.95" customHeight="1">
      <c r="A108" s="39"/>
      <c r="B108" s="40"/>
      <c r="C108" s="413"/>
      <c r="D108" s="40"/>
      <c r="E108" s="41"/>
      <c r="F108" s="41"/>
      <c r="G108" s="497"/>
      <c r="H108" s="43"/>
      <c r="I108" s="44"/>
      <c r="J108" s="81"/>
      <c r="K108" s="81"/>
      <c r="L108" s="34"/>
      <c r="M108" s="34"/>
      <c r="N108" s="45"/>
      <c r="O108" s="46"/>
      <c r="P108" s="47"/>
      <c r="Q108" s="46"/>
      <c r="R108" s="498"/>
      <c r="S108" s="498"/>
      <c r="T108" s="36"/>
      <c r="U108" s="36"/>
      <c r="V108" s="36"/>
      <c r="W108" s="36"/>
      <c r="X108" s="37"/>
      <c r="Y108" s="210"/>
      <c r="Z108" s="36"/>
      <c r="AA108" s="36"/>
      <c r="AB108" s="36"/>
      <c r="AC108" s="36"/>
      <c r="AD108" s="36">
        <f>+AM108+BA108</f>
        <v>0</v>
      </c>
      <c r="AE108" s="229" t="s">
        <v>283</v>
      </c>
      <c r="AF108" s="36"/>
      <c r="AG108" s="36">
        <v>0</v>
      </c>
      <c r="AH108" s="36"/>
      <c r="AI108" s="500"/>
      <c r="AJ108" s="36"/>
      <c r="AK108" s="36"/>
      <c r="AL108" s="36"/>
      <c r="AM108" s="36">
        <f t="shared" si="244"/>
        <v>0</v>
      </c>
      <c r="AN108" s="82"/>
      <c r="AO108" s="36"/>
      <c r="AP108" s="36"/>
      <c r="AQ108" s="36"/>
      <c r="AR108" s="36">
        <f t="shared" ref="AR108:AR110" si="245">SUM(AN108:AQ108)</f>
        <v>0</v>
      </c>
      <c r="AS108" s="36"/>
      <c r="AT108" s="36"/>
      <c r="AU108" s="36"/>
      <c r="AV108" s="36"/>
      <c r="AW108" s="36"/>
      <c r="AX108" s="36"/>
      <c r="AY108" s="36"/>
      <c r="AZ108" s="36"/>
      <c r="BA108" s="36">
        <f>+AR108+AS108+AU108+AW108+AY108+AZ108</f>
        <v>0</v>
      </c>
      <c r="BB108" s="49"/>
      <c r="BC108" s="50">
        <v>0</v>
      </c>
      <c r="BD108" s="50"/>
      <c r="BE108" s="49"/>
      <c r="BF108" s="50"/>
    </row>
    <row r="109" spans="1:58" ht="12.95" customHeight="1">
      <c r="A109" s="39"/>
      <c r="B109" s="40"/>
      <c r="C109" s="413"/>
      <c r="D109" s="40"/>
      <c r="E109" s="41"/>
      <c r="F109" s="41"/>
      <c r="G109" s="497"/>
      <c r="H109" s="43"/>
      <c r="I109" s="44"/>
      <c r="J109" s="81"/>
      <c r="K109" s="81"/>
      <c r="L109" s="34"/>
      <c r="M109" s="34"/>
      <c r="N109" s="45"/>
      <c r="O109" s="46"/>
      <c r="P109" s="47"/>
      <c r="Q109" s="46"/>
      <c r="R109" s="498"/>
      <c r="S109" s="498"/>
      <c r="T109" s="36"/>
      <c r="U109" s="36"/>
      <c r="V109" s="36"/>
      <c r="W109" s="36"/>
      <c r="X109" s="37"/>
      <c r="Y109" s="210"/>
      <c r="Z109" s="36"/>
      <c r="AA109" s="36"/>
      <c r="AB109" s="36"/>
      <c r="AC109" s="36"/>
      <c r="AD109" s="36">
        <f>+AM109+BA109</f>
        <v>0</v>
      </c>
      <c r="AE109" s="229" t="s">
        <v>496</v>
      </c>
      <c r="AF109" s="32"/>
      <c r="AG109" s="32"/>
      <c r="AH109" s="32">
        <v>0</v>
      </c>
      <c r="AI109" s="500"/>
      <c r="AJ109" s="36"/>
      <c r="AK109" s="36"/>
      <c r="AL109" s="36"/>
      <c r="AM109" s="36">
        <f t="shared" si="244"/>
        <v>0</v>
      </c>
      <c r="AN109" s="36"/>
      <c r="AO109" s="36"/>
      <c r="AP109" s="36"/>
      <c r="AQ109" s="36"/>
      <c r="AR109" s="36">
        <f t="shared" si="245"/>
        <v>0</v>
      </c>
      <c r="AS109" s="36"/>
      <c r="AT109" s="36"/>
      <c r="AU109" s="36"/>
      <c r="AV109" s="36"/>
      <c r="AW109" s="36"/>
      <c r="AX109" s="36"/>
      <c r="AY109" s="36"/>
      <c r="AZ109" s="36"/>
      <c r="BA109" s="36">
        <f>+AR109+AS109+AU109+AW109+AY109+AZ109</f>
        <v>0</v>
      </c>
      <c r="BB109" s="32"/>
      <c r="BC109" s="501"/>
      <c r="BD109" s="501"/>
      <c r="BE109" s="32"/>
      <c r="BF109" s="501"/>
    </row>
    <row r="110" spans="1:58" ht="12.95" customHeight="1">
      <c r="A110" s="39"/>
      <c r="B110" s="40"/>
      <c r="C110" s="413"/>
      <c r="D110" s="40"/>
      <c r="E110" s="41"/>
      <c r="F110" s="41"/>
      <c r="G110" s="497"/>
      <c r="H110" s="43"/>
      <c r="I110" s="44"/>
      <c r="J110" s="81"/>
      <c r="K110" s="81"/>
      <c r="L110" s="34"/>
      <c r="M110" s="34"/>
      <c r="N110" s="45"/>
      <c r="O110" s="46"/>
      <c r="P110" s="47"/>
      <c r="Q110" s="46"/>
      <c r="R110" s="498"/>
      <c r="S110" s="498"/>
      <c r="T110" s="36"/>
      <c r="U110" s="36"/>
      <c r="V110" s="36"/>
      <c r="W110" s="36"/>
      <c r="X110" s="37"/>
      <c r="Y110" s="210"/>
      <c r="Z110" s="36"/>
      <c r="AA110" s="36"/>
      <c r="AB110" s="36"/>
      <c r="AC110" s="36"/>
      <c r="AD110" s="36">
        <f>+AM110+BA110</f>
        <v>0</v>
      </c>
      <c r="AE110" s="229" t="s">
        <v>685</v>
      </c>
      <c r="AF110" s="32"/>
      <c r="AG110" s="32"/>
      <c r="AH110" s="32"/>
      <c r="AJ110" s="36"/>
      <c r="AK110" s="36"/>
      <c r="AL110" s="36"/>
      <c r="AM110" s="36">
        <f t="shared" si="244"/>
        <v>0</v>
      </c>
      <c r="AN110" s="36"/>
      <c r="AO110" s="36"/>
      <c r="AP110" s="36"/>
      <c r="AQ110" s="36"/>
      <c r="AR110" s="36">
        <f t="shared" si="245"/>
        <v>0</v>
      </c>
      <c r="AS110" s="36"/>
      <c r="AT110" s="36"/>
      <c r="AU110" s="36"/>
      <c r="AV110" s="36"/>
      <c r="AW110" s="36"/>
      <c r="AX110" s="36"/>
      <c r="AY110" s="36"/>
      <c r="AZ110" s="36">
        <f>1440-1440</f>
        <v>0</v>
      </c>
      <c r="BA110" s="36">
        <f>+AR110+AS110+AU110+AW110+AY110+AZ110</f>
        <v>0</v>
      </c>
      <c r="BB110" s="32"/>
      <c r="BC110" s="501"/>
      <c r="BD110" s="501"/>
      <c r="BE110" s="32"/>
      <c r="BF110" s="501"/>
    </row>
    <row r="111" spans="1:58" ht="12.95" customHeight="1">
      <c r="A111" s="39"/>
      <c r="B111" s="40"/>
      <c r="C111" s="413"/>
      <c r="D111" s="40"/>
      <c r="E111" s="41"/>
      <c r="F111" s="41"/>
      <c r="G111" s="42"/>
      <c r="H111" s="43"/>
      <c r="I111" s="44"/>
      <c r="J111" s="81"/>
      <c r="K111" s="81"/>
      <c r="L111" s="34"/>
      <c r="M111" s="34"/>
      <c r="N111" s="45"/>
      <c r="O111" s="46"/>
      <c r="P111" s="47"/>
      <c r="Q111" s="33"/>
      <c r="R111" s="498"/>
      <c r="S111" s="498"/>
      <c r="T111" s="36"/>
      <c r="U111" s="36"/>
      <c r="V111" s="36"/>
      <c r="W111" s="36"/>
      <c r="X111" s="499"/>
      <c r="Y111" s="210"/>
      <c r="Z111" s="36"/>
      <c r="AA111" s="48"/>
      <c r="AB111" s="48"/>
      <c r="AC111" s="36"/>
      <c r="AD111" s="36"/>
      <c r="AE111" s="232"/>
      <c r="AF111" s="36"/>
      <c r="AG111" s="36"/>
      <c r="AH111" s="36"/>
      <c r="AI111" s="500"/>
      <c r="AJ111" s="36"/>
      <c r="AK111" s="36"/>
      <c r="AL111" s="36"/>
      <c r="AM111" s="36"/>
      <c r="AN111" s="36"/>
      <c r="AO111" s="36"/>
      <c r="AP111" s="36"/>
      <c r="AQ111" s="36"/>
      <c r="AR111" s="36"/>
      <c r="AS111" s="36"/>
      <c r="AT111" s="36"/>
      <c r="AU111" s="36"/>
      <c r="AV111" s="36"/>
      <c r="AW111" s="36"/>
      <c r="AX111" s="36"/>
      <c r="AY111" s="36"/>
      <c r="AZ111" s="36"/>
      <c r="BA111" s="36"/>
      <c r="BB111" s="32"/>
      <c r="BC111" s="50"/>
      <c r="BD111" s="50"/>
      <c r="BE111" s="50"/>
      <c r="BF111" s="50"/>
    </row>
    <row r="112" spans="1:58" ht="12.75" customHeight="1">
      <c r="A112" s="39">
        <v>46103</v>
      </c>
      <c r="B112" s="40" t="s">
        <v>551</v>
      </c>
      <c r="C112" s="413">
        <f t="shared" ref="C112" si="246">(M112*E112*O112*Q112)/100000000</f>
        <v>0</v>
      </c>
      <c r="D112" s="40" t="s">
        <v>301</v>
      </c>
      <c r="E112" s="41">
        <v>12.5</v>
      </c>
      <c r="F112" s="41">
        <v>1</v>
      </c>
      <c r="G112" s="497">
        <v>1230</v>
      </c>
      <c r="H112" s="43">
        <f t="shared" ref="H112" si="247">+N112</f>
        <v>0.21999999999999997</v>
      </c>
      <c r="I112" s="44">
        <v>0.88</v>
      </c>
      <c r="J112" s="81">
        <f t="shared" ref="J112" si="248">E112*G112*(1-H112)*1440/1000000*2.74</f>
        <v>47.317608000000007</v>
      </c>
      <c r="K112" s="81">
        <f t="shared" ref="K112" si="249">(IF(G112&lt;L112,L112,G112)*(1-IF(H112&lt;N112,H112,N112))*E112*O112*Q112)/100000000</f>
        <v>0</v>
      </c>
      <c r="L112" s="34">
        <v>1230</v>
      </c>
      <c r="M112" s="34">
        <v>959.4</v>
      </c>
      <c r="N112" s="45">
        <f t="shared" ref="N112" si="250">1-(M112/L112)</f>
        <v>0.21999999999999997</v>
      </c>
      <c r="O112" s="46">
        <f>+'Trim Rwd'!H67</f>
        <v>256</v>
      </c>
      <c r="P112" s="47">
        <f t="shared" ref="P112" si="251">O112*(Q112-R112-S112)</f>
        <v>0</v>
      </c>
      <c r="Q112" s="46">
        <f>1440-1440</f>
        <v>0</v>
      </c>
      <c r="R112" s="498">
        <f>1440-1440</f>
        <v>0</v>
      </c>
      <c r="S112" s="498">
        <v>0</v>
      </c>
      <c r="T112" s="36">
        <f t="shared" ref="T112" si="252">E112*M112*O112*Q112/100000000</f>
        <v>0</v>
      </c>
      <c r="U112" s="36">
        <f t="shared" ref="U112" si="253">E112*M112*O112*(Q112-R112-S112)/100000000</f>
        <v>0</v>
      </c>
      <c r="V112" s="36">
        <f t="shared" ref="V112" si="254">E112*G112*(1-N112)*O112/100*(R112+S112)/1000000</f>
        <v>0</v>
      </c>
      <c r="W112" s="36">
        <v>0</v>
      </c>
      <c r="X112" s="499" t="e">
        <f>SUM(W112:W115)/SUM(K112:K115)</f>
        <v>#DIV/0!</v>
      </c>
      <c r="Y112" s="210">
        <v>0</v>
      </c>
      <c r="Z112" s="36">
        <v>0</v>
      </c>
      <c r="AA112" s="48">
        <f>SUM(U112:U115)-SUM(W112:W115)-SUM(Z112:Z115)-SUM(Y112:Y115)</f>
        <v>0</v>
      </c>
      <c r="AB112" s="48">
        <f>(SUM(K112:K115)-SUM(W112:W115)-SUM(Y112:Y115)-SUM(Z112:Z115)-SUM(AC112:AC115)-SUM(V112:V115))-AA112</f>
        <v>0</v>
      </c>
      <c r="AC112" s="36">
        <f>K112-T112</f>
        <v>0</v>
      </c>
      <c r="AD112" s="36">
        <f>+AM112+BA112</f>
        <v>0</v>
      </c>
      <c r="AE112" s="229" t="s">
        <v>384</v>
      </c>
      <c r="AF112" s="36">
        <v>0</v>
      </c>
      <c r="AG112" s="36"/>
      <c r="AH112" s="36"/>
      <c r="AI112" s="500"/>
      <c r="AJ112" s="36"/>
      <c r="AK112" s="36"/>
      <c r="AL112" s="36"/>
      <c r="AM112" s="36">
        <f t="shared" ref="AM112:AM115" si="255">SUM(AF112:AL112)+AT112+AV112+AX112</f>
        <v>0</v>
      </c>
      <c r="AN112" s="36"/>
      <c r="AO112" s="36"/>
      <c r="AP112" s="36"/>
      <c r="AQ112" s="36"/>
      <c r="AR112" s="36">
        <f>SUM(AN112:AQ112)</f>
        <v>0</v>
      </c>
      <c r="AS112" s="36"/>
      <c r="AT112" s="36"/>
      <c r="AU112" s="36"/>
      <c r="AV112" s="36"/>
      <c r="AW112" s="36"/>
      <c r="AX112" s="36"/>
      <c r="AY112" s="36"/>
      <c r="AZ112" s="36"/>
      <c r="BA112" s="36">
        <f>+AR112+AS112+AU112+AW112+AY112+AZ112</f>
        <v>0</v>
      </c>
      <c r="BB112" s="32">
        <v>0</v>
      </c>
      <c r="BC112" s="50"/>
      <c r="BD112" s="50"/>
      <c r="BE112" s="32"/>
      <c r="BF112" s="50"/>
    </row>
    <row r="113" spans="1:58" ht="12.95" customHeight="1">
      <c r="A113" s="39"/>
      <c r="B113" s="40"/>
      <c r="C113" s="413"/>
      <c r="D113" s="40"/>
      <c r="E113" s="41"/>
      <c r="F113" s="41"/>
      <c r="G113" s="497"/>
      <c r="H113" s="43"/>
      <c r="I113" s="44"/>
      <c r="J113" s="81"/>
      <c r="K113" s="81"/>
      <c r="L113" s="34"/>
      <c r="M113" s="34"/>
      <c r="N113" s="45"/>
      <c r="O113" s="46"/>
      <c r="P113" s="47"/>
      <c r="Q113" s="46"/>
      <c r="R113" s="498"/>
      <c r="S113" s="498"/>
      <c r="T113" s="36"/>
      <c r="U113" s="36"/>
      <c r="V113" s="36"/>
      <c r="W113" s="36"/>
      <c r="X113" s="37"/>
      <c r="Y113" s="210"/>
      <c r="Z113" s="36"/>
      <c r="AA113" s="36"/>
      <c r="AB113" s="36"/>
      <c r="AC113" s="36"/>
      <c r="AD113" s="36">
        <f>+AM113+BA113</f>
        <v>0</v>
      </c>
      <c r="AE113" s="229" t="s">
        <v>283</v>
      </c>
      <c r="AF113" s="36"/>
      <c r="AG113" s="36">
        <v>0</v>
      </c>
      <c r="AH113" s="36"/>
      <c r="AI113" s="500"/>
      <c r="AJ113" s="36"/>
      <c r="AK113" s="36"/>
      <c r="AL113" s="36"/>
      <c r="AM113" s="36">
        <f t="shared" si="255"/>
        <v>0</v>
      </c>
      <c r="AN113" s="82"/>
      <c r="AO113" s="36"/>
      <c r="AP113" s="36"/>
      <c r="AQ113" s="36"/>
      <c r="AR113" s="36">
        <f t="shared" ref="AR113:AR115" si="256">SUM(AN113:AQ113)</f>
        <v>0</v>
      </c>
      <c r="AS113" s="36"/>
      <c r="AT113" s="36"/>
      <c r="AU113" s="36"/>
      <c r="AV113" s="36"/>
      <c r="AW113" s="36"/>
      <c r="AX113" s="36"/>
      <c r="AY113" s="36"/>
      <c r="AZ113" s="36"/>
      <c r="BA113" s="36">
        <f>+AR113+AS113+AU113+AW113+AY113+AZ113</f>
        <v>0</v>
      </c>
      <c r="BB113" s="49"/>
      <c r="BC113" s="50">
        <v>0</v>
      </c>
      <c r="BD113" s="50"/>
      <c r="BE113" s="49"/>
      <c r="BF113" s="50"/>
    </row>
    <row r="114" spans="1:58" ht="12.95" customHeight="1">
      <c r="A114" s="39"/>
      <c r="B114" s="40"/>
      <c r="C114" s="413"/>
      <c r="D114" s="40"/>
      <c r="E114" s="41"/>
      <c r="F114" s="41"/>
      <c r="G114" s="497"/>
      <c r="H114" s="43"/>
      <c r="I114" s="44"/>
      <c r="J114" s="81"/>
      <c r="K114" s="81"/>
      <c r="L114" s="34"/>
      <c r="M114" s="34"/>
      <c r="N114" s="45"/>
      <c r="O114" s="46"/>
      <c r="P114" s="47"/>
      <c r="Q114" s="46"/>
      <c r="R114" s="498"/>
      <c r="S114" s="498"/>
      <c r="T114" s="36"/>
      <c r="U114" s="36"/>
      <c r="V114" s="36"/>
      <c r="W114" s="36"/>
      <c r="X114" s="37"/>
      <c r="Y114" s="210"/>
      <c r="Z114" s="36"/>
      <c r="AA114" s="36"/>
      <c r="AB114" s="36"/>
      <c r="AC114" s="36"/>
      <c r="AD114" s="36">
        <f>+AM114+BA114</f>
        <v>0</v>
      </c>
      <c r="AE114" s="229" t="s">
        <v>496</v>
      </c>
      <c r="AF114" s="32"/>
      <c r="AG114" s="32"/>
      <c r="AH114" s="32">
        <v>0</v>
      </c>
      <c r="AI114" s="500"/>
      <c r="AJ114" s="36"/>
      <c r="AK114" s="36"/>
      <c r="AL114" s="36"/>
      <c r="AM114" s="36">
        <f t="shared" si="255"/>
        <v>0</v>
      </c>
      <c r="AN114" s="36"/>
      <c r="AO114" s="36"/>
      <c r="AP114" s="36"/>
      <c r="AQ114" s="36"/>
      <c r="AR114" s="36">
        <f t="shared" si="256"/>
        <v>0</v>
      </c>
      <c r="AS114" s="36"/>
      <c r="AT114" s="36"/>
      <c r="AU114" s="36"/>
      <c r="AV114" s="36"/>
      <c r="AW114" s="36"/>
      <c r="AX114" s="36"/>
      <c r="AY114" s="36"/>
      <c r="AZ114" s="36"/>
      <c r="BA114" s="36">
        <f>+AR114+AS114+AU114+AW114+AY114+AZ114</f>
        <v>0</v>
      </c>
      <c r="BB114" s="32"/>
      <c r="BC114" s="501"/>
      <c r="BD114" s="501"/>
      <c r="BE114" s="32"/>
      <c r="BF114" s="501"/>
    </row>
    <row r="115" spans="1:58" ht="12.95" customHeight="1">
      <c r="A115" s="39"/>
      <c r="B115" s="40"/>
      <c r="C115" s="413"/>
      <c r="D115" s="40"/>
      <c r="E115" s="41"/>
      <c r="F115" s="41"/>
      <c r="G115" s="497"/>
      <c r="H115" s="43"/>
      <c r="I115" s="44"/>
      <c r="J115" s="81"/>
      <c r="K115" s="81"/>
      <c r="L115" s="34"/>
      <c r="M115" s="34"/>
      <c r="N115" s="45"/>
      <c r="O115" s="46"/>
      <c r="P115" s="47"/>
      <c r="Q115" s="46"/>
      <c r="R115" s="498"/>
      <c r="S115" s="498"/>
      <c r="T115" s="36"/>
      <c r="U115" s="36"/>
      <c r="V115" s="36"/>
      <c r="W115" s="36"/>
      <c r="X115" s="37"/>
      <c r="Y115" s="210"/>
      <c r="Z115" s="36"/>
      <c r="AA115" s="36"/>
      <c r="AB115" s="36"/>
      <c r="AC115" s="36"/>
      <c r="AD115" s="36">
        <f>+AM115+BA115</f>
        <v>0</v>
      </c>
      <c r="AE115" s="229" t="s">
        <v>685</v>
      </c>
      <c r="AF115" s="32"/>
      <c r="AG115" s="32"/>
      <c r="AH115" s="32"/>
      <c r="AJ115" s="36"/>
      <c r="AK115" s="36"/>
      <c r="AL115" s="36"/>
      <c r="AM115" s="36">
        <f t="shared" si="255"/>
        <v>0</v>
      </c>
      <c r="AN115" s="36"/>
      <c r="AO115" s="36"/>
      <c r="AP115" s="36"/>
      <c r="AQ115" s="36"/>
      <c r="AR115" s="36">
        <f t="shared" si="256"/>
        <v>0</v>
      </c>
      <c r="AS115" s="36"/>
      <c r="AT115" s="36"/>
      <c r="AU115" s="36"/>
      <c r="AV115" s="36"/>
      <c r="AW115" s="36"/>
      <c r="AX115" s="36"/>
      <c r="AY115" s="36"/>
      <c r="AZ115" s="36">
        <f>1440-1440</f>
        <v>0</v>
      </c>
      <c r="BA115" s="36">
        <f>+AR115+AS115+AU115+AW115+AY115+AZ115</f>
        <v>0</v>
      </c>
      <c r="BB115" s="32"/>
      <c r="BC115" s="501"/>
      <c r="BD115" s="501"/>
      <c r="BE115" s="32"/>
      <c r="BF115" s="501"/>
    </row>
    <row r="116" spans="1:58" ht="12.95" customHeight="1">
      <c r="A116" s="39"/>
      <c r="B116" s="40"/>
      <c r="C116" s="413"/>
      <c r="D116" s="40"/>
      <c r="E116" s="41"/>
      <c r="F116" s="41"/>
      <c r="G116" s="42"/>
      <c r="H116" s="43"/>
      <c r="I116" s="44"/>
      <c r="J116" s="81"/>
      <c r="K116" s="81"/>
      <c r="L116" s="34"/>
      <c r="M116" s="34"/>
      <c r="N116" s="45"/>
      <c r="O116" s="46"/>
      <c r="P116" s="47"/>
      <c r="Q116" s="33"/>
      <c r="R116" s="498"/>
      <c r="S116" s="498"/>
      <c r="T116" s="36"/>
      <c r="U116" s="36"/>
      <c r="V116" s="36"/>
      <c r="W116" s="36"/>
      <c r="X116" s="499"/>
      <c r="Y116" s="210"/>
      <c r="Z116" s="36"/>
      <c r="AA116" s="48"/>
      <c r="AB116" s="48"/>
      <c r="AC116" s="36"/>
      <c r="AD116" s="36"/>
      <c r="AE116" s="232"/>
      <c r="AF116" s="36"/>
      <c r="AG116" s="36"/>
      <c r="AH116" s="36"/>
      <c r="AI116" s="500"/>
      <c r="AJ116" s="36"/>
      <c r="AK116" s="36"/>
      <c r="AL116" s="36"/>
      <c r="AM116" s="36"/>
      <c r="AN116" s="36"/>
      <c r="AO116" s="36"/>
      <c r="AP116" s="36"/>
      <c r="AQ116" s="36"/>
      <c r="AR116" s="36"/>
      <c r="AS116" s="36"/>
      <c r="AT116" s="36"/>
      <c r="AU116" s="36"/>
      <c r="AV116" s="36"/>
      <c r="AW116" s="36"/>
      <c r="AX116" s="36"/>
      <c r="AY116" s="36"/>
      <c r="AZ116" s="36"/>
      <c r="BA116" s="36"/>
      <c r="BB116" s="32"/>
      <c r="BC116" s="50"/>
      <c r="BD116" s="50"/>
      <c r="BE116" s="50"/>
      <c r="BF116" s="50"/>
    </row>
    <row r="117" spans="1:58" ht="12.75" customHeight="1">
      <c r="A117" s="39">
        <v>46104</v>
      </c>
      <c r="B117" s="40" t="s">
        <v>551</v>
      </c>
      <c r="C117" s="413">
        <f t="shared" ref="C117" si="257">(M117*E117*O117*Q117)/100000000</f>
        <v>0</v>
      </c>
      <c r="D117" s="40" t="s">
        <v>301</v>
      </c>
      <c r="E117" s="41">
        <v>12.5</v>
      </c>
      <c r="F117" s="41">
        <v>1</v>
      </c>
      <c r="G117" s="497">
        <v>1230</v>
      </c>
      <c r="H117" s="43">
        <f t="shared" ref="H117" si="258">+N117</f>
        <v>0.21999999999999997</v>
      </c>
      <c r="I117" s="44">
        <v>0.88</v>
      </c>
      <c r="J117" s="81">
        <f t="shared" ref="J117" si="259">E117*G117*(1-H117)*1440/1000000*2.74</f>
        <v>47.317608000000007</v>
      </c>
      <c r="K117" s="81">
        <f t="shared" ref="K117" si="260">(IF(G117&lt;L117,L117,G117)*(1-IF(H117&lt;N117,H117,N117))*E117*O117*Q117)/100000000</f>
        <v>0</v>
      </c>
      <c r="L117" s="34">
        <v>1230</v>
      </c>
      <c r="M117" s="34">
        <v>959.4</v>
      </c>
      <c r="N117" s="45">
        <f t="shared" ref="N117" si="261">1-(M117/L117)</f>
        <v>0.21999999999999997</v>
      </c>
      <c r="O117" s="46">
        <f>+'Trim Rwd'!H69</f>
        <v>256</v>
      </c>
      <c r="P117" s="47">
        <f t="shared" ref="P117" si="262">O117*(Q117-R117-S117)</f>
        <v>0</v>
      </c>
      <c r="Q117" s="46">
        <f>1440-1440</f>
        <v>0</v>
      </c>
      <c r="R117" s="498">
        <f>1440-1440</f>
        <v>0</v>
      </c>
      <c r="S117" s="498">
        <v>0</v>
      </c>
      <c r="T117" s="36">
        <f t="shared" ref="T117" si="263">E117*M117*O117*Q117/100000000</f>
        <v>0</v>
      </c>
      <c r="U117" s="36">
        <f t="shared" ref="U117" si="264">E117*M117*O117*(Q117-R117-S117)/100000000</f>
        <v>0</v>
      </c>
      <c r="V117" s="36">
        <f t="shared" ref="V117" si="265">E117*G117*(1-N117)*O117/100*(R117+S117)/1000000</f>
        <v>0</v>
      </c>
      <c r="W117" s="36">
        <v>0</v>
      </c>
      <c r="X117" s="499" t="e">
        <f>SUM(W117:W120)/SUM(K117:K120)</f>
        <v>#DIV/0!</v>
      </c>
      <c r="Y117" s="210">
        <v>0</v>
      </c>
      <c r="Z117" s="36">
        <v>0</v>
      </c>
      <c r="AA117" s="48">
        <f>SUM(U117:U120)-SUM(W117:W120)-SUM(Z117:Z120)-SUM(Y117:Y120)</f>
        <v>0</v>
      </c>
      <c r="AB117" s="48">
        <f>(SUM(K117:K120)-SUM(W117:W120)-SUM(Y117:Y120)-SUM(Z117:Z120)-SUM(AC117:AC120)-SUM(V117:V120))-AA117</f>
        <v>0</v>
      </c>
      <c r="AC117" s="36">
        <f>K117-T117</f>
        <v>0</v>
      </c>
      <c r="AD117" s="36">
        <f>+AM117+BA117</f>
        <v>0</v>
      </c>
      <c r="AE117" s="229" t="s">
        <v>384</v>
      </c>
      <c r="AF117" s="36">
        <v>0</v>
      </c>
      <c r="AG117" s="36"/>
      <c r="AH117" s="36"/>
      <c r="AI117" s="500"/>
      <c r="AJ117" s="36"/>
      <c r="AK117" s="36"/>
      <c r="AL117" s="36"/>
      <c r="AM117" s="36">
        <f t="shared" ref="AM117:AM120" si="266">SUM(AF117:AL117)+AT117+AV117+AX117</f>
        <v>0</v>
      </c>
      <c r="AN117" s="36"/>
      <c r="AO117" s="36"/>
      <c r="AP117" s="36"/>
      <c r="AQ117" s="36"/>
      <c r="AR117" s="36">
        <f>SUM(AN117:AQ117)</f>
        <v>0</v>
      </c>
      <c r="AS117" s="36"/>
      <c r="AT117" s="36"/>
      <c r="AU117" s="36"/>
      <c r="AV117" s="36"/>
      <c r="AW117" s="36"/>
      <c r="AX117" s="36"/>
      <c r="AY117" s="36"/>
      <c r="AZ117" s="36"/>
      <c r="BA117" s="36">
        <f>+AR117+AS117+AU117+AW117+AY117+AZ117</f>
        <v>0</v>
      </c>
      <c r="BB117" s="32">
        <v>0</v>
      </c>
      <c r="BC117" s="50"/>
      <c r="BD117" s="50"/>
      <c r="BE117" s="32"/>
      <c r="BF117" s="50"/>
    </row>
    <row r="118" spans="1:58" ht="12.95" customHeight="1">
      <c r="A118" s="39"/>
      <c r="B118" s="40"/>
      <c r="C118" s="413"/>
      <c r="D118" s="40"/>
      <c r="E118" s="41"/>
      <c r="F118" s="41"/>
      <c r="G118" s="497"/>
      <c r="H118" s="43"/>
      <c r="I118" s="44"/>
      <c r="J118" s="81"/>
      <c r="K118" s="81"/>
      <c r="L118" s="34"/>
      <c r="M118" s="34"/>
      <c r="N118" s="45"/>
      <c r="O118" s="46"/>
      <c r="P118" s="47"/>
      <c r="Q118" s="46"/>
      <c r="R118" s="498"/>
      <c r="S118" s="498"/>
      <c r="T118" s="36"/>
      <c r="U118" s="36"/>
      <c r="V118" s="36"/>
      <c r="W118" s="36"/>
      <c r="X118" s="37"/>
      <c r="Y118" s="210"/>
      <c r="Z118" s="36"/>
      <c r="AA118" s="36"/>
      <c r="AB118" s="36"/>
      <c r="AC118" s="36"/>
      <c r="AD118" s="36">
        <f>+AM118+BA118</f>
        <v>0</v>
      </c>
      <c r="AE118" s="229" t="s">
        <v>283</v>
      </c>
      <c r="AF118" s="36"/>
      <c r="AG118" s="36">
        <v>0</v>
      </c>
      <c r="AH118" s="36"/>
      <c r="AI118" s="500"/>
      <c r="AJ118" s="36"/>
      <c r="AK118" s="36"/>
      <c r="AL118" s="36"/>
      <c r="AM118" s="36">
        <f t="shared" si="266"/>
        <v>0</v>
      </c>
      <c r="AN118" s="82"/>
      <c r="AO118" s="36"/>
      <c r="AP118" s="36"/>
      <c r="AQ118" s="36"/>
      <c r="AR118" s="36">
        <f t="shared" ref="AR118:AR120" si="267">SUM(AN118:AQ118)</f>
        <v>0</v>
      </c>
      <c r="AS118" s="36"/>
      <c r="AT118" s="36"/>
      <c r="AU118" s="36"/>
      <c r="AV118" s="36"/>
      <c r="AW118" s="36"/>
      <c r="AX118" s="36"/>
      <c r="AY118" s="36"/>
      <c r="AZ118" s="36"/>
      <c r="BA118" s="36">
        <f>+AR118+AS118+AU118+AW118+AY118+AZ118</f>
        <v>0</v>
      </c>
      <c r="BB118" s="49"/>
      <c r="BC118" s="50">
        <v>0</v>
      </c>
      <c r="BD118" s="50"/>
      <c r="BE118" s="49"/>
      <c r="BF118" s="50"/>
    </row>
    <row r="119" spans="1:58" ht="12.95" customHeight="1">
      <c r="A119" s="39"/>
      <c r="B119" s="40"/>
      <c r="C119" s="413"/>
      <c r="D119" s="40"/>
      <c r="E119" s="41"/>
      <c r="F119" s="41"/>
      <c r="G119" s="497"/>
      <c r="H119" s="43"/>
      <c r="I119" s="44"/>
      <c r="J119" s="81"/>
      <c r="K119" s="81"/>
      <c r="L119" s="34"/>
      <c r="M119" s="34"/>
      <c r="N119" s="45"/>
      <c r="O119" s="46"/>
      <c r="P119" s="47"/>
      <c r="Q119" s="46"/>
      <c r="R119" s="498"/>
      <c r="S119" s="498"/>
      <c r="T119" s="36"/>
      <c r="U119" s="36"/>
      <c r="V119" s="36"/>
      <c r="W119" s="36"/>
      <c r="X119" s="37"/>
      <c r="Y119" s="210"/>
      <c r="Z119" s="36"/>
      <c r="AA119" s="36"/>
      <c r="AB119" s="36"/>
      <c r="AC119" s="36"/>
      <c r="AD119" s="36">
        <f>+AM119+BA119</f>
        <v>0</v>
      </c>
      <c r="AE119" s="229" t="s">
        <v>496</v>
      </c>
      <c r="AF119" s="32"/>
      <c r="AG119" s="32"/>
      <c r="AH119" s="32">
        <v>0</v>
      </c>
      <c r="AI119" s="500"/>
      <c r="AJ119" s="36"/>
      <c r="AK119" s="36"/>
      <c r="AL119" s="36"/>
      <c r="AM119" s="36">
        <f t="shared" si="266"/>
        <v>0</v>
      </c>
      <c r="AN119" s="36"/>
      <c r="AO119" s="36"/>
      <c r="AP119" s="36"/>
      <c r="AQ119" s="36"/>
      <c r="AR119" s="36">
        <f t="shared" si="267"/>
        <v>0</v>
      </c>
      <c r="AS119" s="36"/>
      <c r="AT119" s="36"/>
      <c r="AU119" s="36"/>
      <c r="AV119" s="36"/>
      <c r="AW119" s="36"/>
      <c r="AX119" s="36"/>
      <c r="AY119" s="36"/>
      <c r="AZ119" s="36"/>
      <c r="BA119" s="36">
        <f>+AR119+AS119+AU119+AW119+AY119+AZ119</f>
        <v>0</v>
      </c>
      <c r="BB119" s="32"/>
      <c r="BC119" s="501"/>
      <c r="BD119" s="501"/>
      <c r="BE119" s="32"/>
      <c r="BF119" s="501"/>
    </row>
    <row r="120" spans="1:58" ht="12.95" customHeight="1">
      <c r="A120" s="39"/>
      <c r="B120" s="40"/>
      <c r="C120" s="413"/>
      <c r="D120" s="40"/>
      <c r="E120" s="41"/>
      <c r="F120" s="41"/>
      <c r="G120" s="497"/>
      <c r="H120" s="43"/>
      <c r="I120" s="44"/>
      <c r="J120" s="81"/>
      <c r="K120" s="81"/>
      <c r="L120" s="34"/>
      <c r="M120" s="34"/>
      <c r="N120" s="45"/>
      <c r="O120" s="46"/>
      <c r="P120" s="47"/>
      <c r="Q120" s="46"/>
      <c r="R120" s="498"/>
      <c r="S120" s="498"/>
      <c r="T120" s="36"/>
      <c r="U120" s="36"/>
      <c r="V120" s="36"/>
      <c r="W120" s="36"/>
      <c r="X120" s="37"/>
      <c r="Y120" s="210"/>
      <c r="Z120" s="36"/>
      <c r="AA120" s="36"/>
      <c r="AB120" s="36"/>
      <c r="AC120" s="36"/>
      <c r="AD120" s="36">
        <f>+AM120+BA120</f>
        <v>0</v>
      </c>
      <c r="AE120" s="229" t="s">
        <v>685</v>
      </c>
      <c r="AF120" s="32"/>
      <c r="AG120" s="32"/>
      <c r="AH120" s="32"/>
      <c r="AJ120" s="36"/>
      <c r="AK120" s="36"/>
      <c r="AL120" s="36"/>
      <c r="AM120" s="36">
        <f t="shared" si="266"/>
        <v>0</v>
      </c>
      <c r="AN120" s="36"/>
      <c r="AO120" s="36"/>
      <c r="AP120" s="36"/>
      <c r="AQ120" s="36"/>
      <c r="AR120" s="36">
        <f t="shared" si="267"/>
        <v>0</v>
      </c>
      <c r="AS120" s="36"/>
      <c r="AT120" s="36"/>
      <c r="AU120" s="36"/>
      <c r="AV120" s="36"/>
      <c r="AW120" s="36"/>
      <c r="AX120" s="36"/>
      <c r="AY120" s="36"/>
      <c r="AZ120" s="36">
        <f>1440-1440</f>
        <v>0</v>
      </c>
      <c r="BA120" s="36">
        <f>+AR120+AS120+AU120+AW120+AY120+AZ120</f>
        <v>0</v>
      </c>
      <c r="BB120" s="32"/>
      <c r="BC120" s="501"/>
      <c r="BD120" s="501"/>
      <c r="BE120" s="32"/>
      <c r="BF120" s="501"/>
    </row>
    <row r="121" spans="1:58" ht="12.95" customHeight="1">
      <c r="A121" s="39"/>
      <c r="B121" s="40"/>
      <c r="C121" s="413"/>
      <c r="D121" s="40"/>
      <c r="E121" s="41"/>
      <c r="F121" s="41"/>
      <c r="G121" s="42"/>
      <c r="H121" s="43"/>
      <c r="I121" s="44"/>
      <c r="J121" s="81"/>
      <c r="K121" s="81"/>
      <c r="L121" s="34"/>
      <c r="M121" s="34"/>
      <c r="N121" s="45"/>
      <c r="O121" s="46"/>
      <c r="P121" s="47"/>
      <c r="Q121" s="33"/>
      <c r="R121" s="498"/>
      <c r="S121" s="498"/>
      <c r="T121" s="36"/>
      <c r="U121" s="36"/>
      <c r="V121" s="36"/>
      <c r="W121" s="36"/>
      <c r="X121" s="499"/>
      <c r="Y121" s="210"/>
      <c r="Z121" s="36"/>
      <c r="AA121" s="48"/>
      <c r="AB121" s="48"/>
      <c r="AC121" s="36"/>
      <c r="AD121" s="36"/>
      <c r="AE121" s="232"/>
      <c r="AF121" s="36"/>
      <c r="AG121" s="36"/>
      <c r="AH121" s="36"/>
      <c r="AI121" s="500"/>
      <c r="AJ121" s="36"/>
      <c r="AK121" s="36"/>
      <c r="AL121" s="36"/>
      <c r="AM121" s="36"/>
      <c r="AN121" s="36"/>
      <c r="AO121" s="36"/>
      <c r="AP121" s="36"/>
      <c r="AQ121" s="36"/>
      <c r="AR121" s="36"/>
      <c r="AS121" s="36"/>
      <c r="AT121" s="36"/>
      <c r="AU121" s="36"/>
      <c r="AV121" s="36"/>
      <c r="AW121" s="36"/>
      <c r="AX121" s="36"/>
      <c r="AY121" s="36"/>
      <c r="AZ121" s="36"/>
      <c r="BA121" s="36"/>
      <c r="BB121" s="32"/>
      <c r="BC121" s="50"/>
      <c r="BD121" s="50"/>
      <c r="BE121" s="50"/>
      <c r="BF121" s="50"/>
    </row>
    <row r="122" spans="1:58" ht="12.75" customHeight="1">
      <c r="A122" s="39">
        <v>46105</v>
      </c>
      <c r="B122" s="40" t="s">
        <v>551</v>
      </c>
      <c r="C122" s="413">
        <f t="shared" ref="C122:C123" si="268">(M122*E122*O122*Q122)/100000000</f>
        <v>22.405498090640684</v>
      </c>
      <c r="D122" s="40" t="s">
        <v>301</v>
      </c>
      <c r="E122" s="41">
        <v>14</v>
      </c>
      <c r="F122" s="41">
        <v>1</v>
      </c>
      <c r="G122" s="497">
        <v>1230</v>
      </c>
      <c r="H122" s="43">
        <f>+N122</f>
        <v>0.2400000000000001</v>
      </c>
      <c r="I122" s="44">
        <v>0.88</v>
      </c>
      <c r="J122" s="81">
        <f t="shared" ref="J122:J123" si="269">E122*G122*(1-H122)*1440/1000000*2.74</f>
        <v>51.636856320000007</v>
      </c>
      <c r="K122" s="81">
        <f t="shared" ref="K122:K123" si="270">(IF(G122&lt;L122,L122,G122)*(1-IF(H122&lt;N122,H122,N122))*E122*O122*Q122)/100000000</f>
        <v>24.925357631999994</v>
      </c>
      <c r="L122" s="34">
        <v>1105.6516443361754</v>
      </c>
      <c r="M122" s="34">
        <v>840.29524969549323</v>
      </c>
      <c r="N122" s="45">
        <f t="shared" ref="N122:N123" si="271">1-(M122/L122)</f>
        <v>0.2400000000000001</v>
      </c>
      <c r="O122" s="46">
        <f>+'Trim Rwd'!H71</f>
        <v>266</v>
      </c>
      <c r="P122" s="47">
        <f t="shared" ref="P122:P123" si="272">O122*(Q122-R122-S122)</f>
        <v>156408</v>
      </c>
      <c r="Q122" s="46">
        <f>821-105</f>
        <v>716</v>
      </c>
      <c r="R122" s="498">
        <f>81-81</f>
        <v>0</v>
      </c>
      <c r="S122" s="498">
        <f>233-105</f>
        <v>128</v>
      </c>
      <c r="T122" s="36">
        <f t="shared" ref="T122:T123" si="273">E122*M122*O122*Q122/100000000</f>
        <v>22.405498090640684</v>
      </c>
      <c r="U122" s="36">
        <f t="shared" ref="U122:U123" si="274">E122*M122*O122*(Q122-R122-S122)/100000000</f>
        <v>18.400045918012179</v>
      </c>
      <c r="V122" s="36">
        <f t="shared" ref="V122:V123" si="275">E122*G122*(1-N122)*O122/100*(R122+S122)/1000000</f>
        <v>4.455929856</v>
      </c>
      <c r="W122" s="36">
        <f>+'24'!K12/1000</f>
        <v>18.321999999999999</v>
      </c>
      <c r="X122" s="499">
        <f>SUM(W122:W125)/SUM(K122:K125)</f>
        <v>0.60618825648896502</v>
      </c>
      <c r="Y122" s="210">
        <v>0</v>
      </c>
      <c r="Z122" s="36">
        <v>0</v>
      </c>
      <c r="AA122" s="48">
        <f>SUM(U122:U125)-SUM(W122:W125)-SUM(Z122:Z125)-SUM(Y122:Y125)</f>
        <v>4.7884258592761171</v>
      </c>
      <c r="AB122" s="48">
        <f>(SUM(K122:K125)-SUM(W122:W125)-SUM(Y122:Y125)-SUM(Z122:Z125)-SUM(AC122:AC125)-SUM(V122:V125))-AA122</f>
        <v>-0.80817582463543758</v>
      </c>
      <c r="AC122" s="36">
        <f>K122-T122</f>
        <v>2.5198595413593097</v>
      </c>
      <c r="AD122" s="36">
        <f t="shared" ref="AD122:AD128" si="276">+AM122+BA122</f>
        <v>20</v>
      </c>
      <c r="AE122" s="229" t="s">
        <v>497</v>
      </c>
      <c r="AF122" s="36">
        <v>20</v>
      </c>
      <c r="AG122" s="36"/>
      <c r="AH122" s="36"/>
      <c r="AI122" s="36"/>
      <c r="AJ122" s="36"/>
      <c r="AK122" s="36"/>
      <c r="AL122" s="36"/>
      <c r="AM122" s="36">
        <f t="shared" ref="AM122:AM128" si="277">SUM(AF122:AL122)+AT122+AV122+AX122</f>
        <v>20</v>
      </c>
      <c r="AN122" s="36"/>
      <c r="AO122" s="36"/>
      <c r="AP122" s="36"/>
      <c r="AQ122" s="36"/>
      <c r="AR122" s="36">
        <f>SUM(AN122:AQ122)</f>
        <v>0</v>
      </c>
      <c r="AS122" s="36"/>
      <c r="AT122" s="36"/>
      <c r="AU122" s="36"/>
      <c r="AV122" s="36"/>
      <c r="AW122" s="36"/>
      <c r="AX122" s="36"/>
      <c r="AY122" s="36"/>
      <c r="AZ122" s="36"/>
      <c r="BA122" s="36">
        <f t="shared" ref="BA122:BA128" si="278">+AR122+AS122+AU122+AW122+AY122+AZ122</f>
        <v>0</v>
      </c>
      <c r="BB122" s="32">
        <v>5</v>
      </c>
      <c r="BC122" s="50"/>
      <c r="BD122" s="50"/>
      <c r="BE122" s="32"/>
      <c r="BF122" s="50"/>
    </row>
    <row r="123" spans="1:58" ht="12.95" customHeight="1">
      <c r="A123" s="39"/>
      <c r="B123" s="40" t="s">
        <v>551</v>
      </c>
      <c r="C123" s="413">
        <f t="shared" si="268"/>
        <v>12.732718050000001</v>
      </c>
      <c r="D123" s="40" t="s">
        <v>301</v>
      </c>
      <c r="E123" s="41">
        <v>12.5</v>
      </c>
      <c r="F123" s="41">
        <v>1</v>
      </c>
      <c r="G123" s="497">
        <v>1230</v>
      </c>
      <c r="H123" s="43">
        <f t="shared" ref="H123" si="279">+N123</f>
        <v>0.21999999999999997</v>
      </c>
      <c r="I123" s="44">
        <v>0.88</v>
      </c>
      <c r="J123" s="81">
        <f t="shared" si="269"/>
        <v>47.317608000000007</v>
      </c>
      <c r="K123" s="81">
        <f t="shared" si="270"/>
        <v>16.581550050000001</v>
      </c>
      <c r="L123" s="34">
        <v>944.49814126394051</v>
      </c>
      <c r="M123" s="34">
        <v>736.70855018587361</v>
      </c>
      <c r="N123" s="45">
        <f t="shared" si="271"/>
        <v>0.21999999999999997</v>
      </c>
      <c r="O123" s="46">
        <f>+'Trim Rwd'!H72</f>
        <v>257</v>
      </c>
      <c r="P123" s="47">
        <f t="shared" si="272"/>
        <v>125416</v>
      </c>
      <c r="Q123" s="46">
        <v>538</v>
      </c>
      <c r="R123" s="498">
        <v>0</v>
      </c>
      <c r="S123" s="498">
        <v>50</v>
      </c>
      <c r="T123" s="36">
        <f t="shared" si="273"/>
        <v>12.732718050000001</v>
      </c>
      <c r="U123" s="36">
        <f t="shared" si="274"/>
        <v>11.54937994126394</v>
      </c>
      <c r="V123" s="36">
        <f t="shared" si="275"/>
        <v>1.5410362500000001</v>
      </c>
      <c r="W123" s="36">
        <f>+'24'!K16/1000</f>
        <v>6.8390000000000004</v>
      </c>
      <c r="X123" s="37"/>
      <c r="Y123" s="210"/>
      <c r="Z123" s="36"/>
      <c r="AA123" s="36"/>
      <c r="AB123" s="36"/>
      <c r="AC123" s="36">
        <f>K123-T123</f>
        <v>3.8488319999999998</v>
      </c>
      <c r="AD123" s="36">
        <f t="shared" si="276"/>
        <v>9</v>
      </c>
      <c r="AE123" s="229" t="s">
        <v>552</v>
      </c>
      <c r="AF123" s="36"/>
      <c r="AG123" s="36">
        <v>9</v>
      </c>
      <c r="AH123" s="36"/>
      <c r="AI123" s="36"/>
      <c r="AJ123" s="36"/>
      <c r="AK123" s="36"/>
      <c r="AL123" s="36"/>
      <c r="AM123" s="36">
        <f t="shared" si="277"/>
        <v>9</v>
      </c>
      <c r="AN123" s="82"/>
      <c r="AO123" s="36"/>
      <c r="AP123" s="36"/>
      <c r="AQ123" s="36"/>
      <c r="AR123" s="36">
        <f t="shared" ref="AR123:AR128" si="280">SUM(AN123:AQ123)</f>
        <v>0</v>
      </c>
      <c r="AS123" s="36"/>
      <c r="AT123" s="36"/>
      <c r="AU123" s="36"/>
      <c r="AV123" s="36"/>
      <c r="AW123" s="36"/>
      <c r="AX123" s="36"/>
      <c r="AY123" s="36"/>
      <c r="AZ123" s="36"/>
      <c r="BA123" s="36">
        <f t="shared" si="278"/>
        <v>0</v>
      </c>
      <c r="BB123" s="49"/>
      <c r="BC123" s="50">
        <v>6</v>
      </c>
      <c r="BD123" s="50"/>
      <c r="BE123" s="49"/>
      <c r="BF123" s="50"/>
    </row>
    <row r="124" spans="1:58" ht="12.95" customHeight="1">
      <c r="A124" s="39"/>
      <c r="B124" s="40"/>
      <c r="C124" s="413"/>
      <c r="D124" s="40"/>
      <c r="E124" s="41"/>
      <c r="F124" s="41"/>
      <c r="G124" s="497"/>
      <c r="H124" s="43"/>
      <c r="I124" s="44"/>
      <c r="J124" s="81"/>
      <c r="K124" s="81"/>
      <c r="L124" s="34"/>
      <c r="M124" s="34"/>
      <c r="N124" s="45"/>
      <c r="O124" s="46"/>
      <c r="P124" s="47"/>
      <c r="Q124" s="46"/>
      <c r="R124" s="498"/>
      <c r="S124" s="498"/>
      <c r="T124" s="36"/>
      <c r="U124" s="36"/>
      <c r="V124" s="36"/>
      <c r="W124" s="36"/>
      <c r="X124" s="37"/>
      <c r="Y124" s="210"/>
      <c r="Z124" s="36"/>
      <c r="AA124" s="36"/>
      <c r="AB124" s="36"/>
      <c r="AC124" s="36"/>
      <c r="AD124" s="36">
        <f t="shared" si="276"/>
        <v>35</v>
      </c>
      <c r="AE124" s="229" t="s">
        <v>573</v>
      </c>
      <c r="AF124" s="32"/>
      <c r="AG124" s="32"/>
      <c r="AH124" s="32">
        <v>35</v>
      </c>
      <c r="AI124" s="36"/>
      <c r="AJ124" s="36"/>
      <c r="AK124" s="36"/>
      <c r="AL124" s="36"/>
      <c r="AM124" s="36">
        <f t="shared" si="277"/>
        <v>35</v>
      </c>
      <c r="AN124" s="36"/>
      <c r="AO124" s="36"/>
      <c r="AP124" s="36"/>
      <c r="AQ124" s="36"/>
      <c r="AR124" s="36">
        <f t="shared" si="280"/>
        <v>0</v>
      </c>
      <c r="AS124" s="36"/>
      <c r="AT124" s="36"/>
      <c r="AU124" s="36"/>
      <c r="AV124" s="36"/>
      <c r="AW124" s="36"/>
      <c r="AX124" s="36"/>
      <c r="AY124" s="36"/>
      <c r="AZ124" s="36"/>
      <c r="BA124" s="36">
        <f t="shared" si="278"/>
        <v>0</v>
      </c>
      <c r="BB124" s="32"/>
      <c r="BC124" s="501"/>
      <c r="BD124" s="501"/>
      <c r="BE124" s="32"/>
      <c r="BF124" s="501"/>
    </row>
    <row r="125" spans="1:58" ht="12.95" customHeight="1">
      <c r="A125" s="39"/>
      <c r="B125" s="40"/>
      <c r="C125" s="413"/>
      <c r="D125" s="40"/>
      <c r="E125" s="41"/>
      <c r="F125" s="41"/>
      <c r="G125" s="497"/>
      <c r="H125" s="43"/>
      <c r="I125" s="44"/>
      <c r="J125" s="81"/>
      <c r="K125" s="81"/>
      <c r="L125" s="34"/>
      <c r="M125" s="34"/>
      <c r="N125" s="45"/>
      <c r="O125" s="46"/>
      <c r="P125" s="47"/>
      <c r="Q125" s="46"/>
      <c r="R125" s="498"/>
      <c r="S125" s="498"/>
      <c r="T125" s="36"/>
      <c r="U125" s="36"/>
      <c r="V125" s="36"/>
      <c r="W125" s="36"/>
      <c r="X125" s="37"/>
      <c r="Y125" s="210"/>
      <c r="Z125" s="36"/>
      <c r="AA125" s="36"/>
      <c r="AB125" s="36"/>
      <c r="AC125" s="36"/>
      <c r="AD125" s="36">
        <f t="shared" si="276"/>
        <v>0</v>
      </c>
      <c r="AE125" s="229" t="s">
        <v>685</v>
      </c>
      <c r="AF125" s="32"/>
      <c r="AG125" s="32"/>
      <c r="AH125" s="32"/>
      <c r="AI125" s="32"/>
      <c r="AJ125" s="36"/>
      <c r="AK125" s="36"/>
      <c r="AL125" s="36"/>
      <c r="AM125" s="36">
        <f t="shared" si="277"/>
        <v>0</v>
      </c>
      <c r="AN125" s="36"/>
      <c r="AO125" s="36"/>
      <c r="AP125" s="36"/>
      <c r="AQ125" s="36"/>
      <c r="AR125" s="36">
        <f t="shared" si="280"/>
        <v>0</v>
      </c>
      <c r="AS125" s="36"/>
      <c r="AT125" s="36"/>
      <c r="AU125" s="36"/>
      <c r="AV125" s="36"/>
      <c r="AW125" s="36"/>
      <c r="AX125" s="36"/>
      <c r="AY125" s="36"/>
      <c r="AZ125" s="36">
        <f>81-81</f>
        <v>0</v>
      </c>
      <c r="BA125" s="36">
        <f t="shared" si="278"/>
        <v>0</v>
      </c>
      <c r="BB125" s="32"/>
      <c r="BC125" s="501"/>
      <c r="BD125" s="501"/>
      <c r="BE125" s="32"/>
      <c r="BF125" s="501"/>
    </row>
    <row r="126" spans="1:58" ht="12.95" customHeight="1">
      <c r="A126" s="39"/>
      <c r="B126" s="40"/>
      <c r="C126" s="413"/>
      <c r="D126" s="40"/>
      <c r="E126" s="41"/>
      <c r="F126" s="41"/>
      <c r="G126" s="497"/>
      <c r="H126" s="43"/>
      <c r="I126" s="44"/>
      <c r="J126" s="81"/>
      <c r="K126" s="81"/>
      <c r="L126" s="34"/>
      <c r="M126" s="34"/>
      <c r="N126" s="45"/>
      <c r="O126" s="46"/>
      <c r="P126" s="47"/>
      <c r="Q126" s="46"/>
      <c r="R126" s="498"/>
      <c r="S126" s="498"/>
      <c r="T126" s="36"/>
      <c r="U126" s="36"/>
      <c r="V126" s="36"/>
      <c r="W126" s="36"/>
      <c r="X126" s="37"/>
      <c r="Y126" s="210"/>
      <c r="Z126" s="36"/>
      <c r="AA126" s="36"/>
      <c r="AB126" s="36"/>
      <c r="AC126" s="36"/>
      <c r="AD126" s="36">
        <f t="shared" si="276"/>
        <v>0</v>
      </c>
      <c r="AE126" s="229" t="s">
        <v>780</v>
      </c>
      <c r="AF126" s="32"/>
      <c r="AG126" s="32"/>
      <c r="AH126" s="32"/>
      <c r="AI126" s="32"/>
      <c r="AJ126" s="36"/>
      <c r="AK126" s="36"/>
      <c r="AL126" s="36"/>
      <c r="AM126" s="36">
        <f t="shared" si="277"/>
        <v>0</v>
      </c>
      <c r="AN126" s="36"/>
      <c r="AO126" s="36"/>
      <c r="AP126" s="36"/>
      <c r="AQ126" s="36"/>
      <c r="AR126" s="36">
        <f t="shared" ref="AR126" si="281">SUM(AN126:AQ126)</f>
        <v>0</v>
      </c>
      <c r="AS126" s="36"/>
      <c r="AT126" s="36"/>
      <c r="AU126" s="36"/>
      <c r="AV126" s="36"/>
      <c r="AW126" s="36"/>
      <c r="AX126" s="36"/>
      <c r="AY126" s="36"/>
      <c r="AZ126" s="36">
        <f>105-105</f>
        <v>0</v>
      </c>
      <c r="BA126" s="36">
        <f t="shared" si="278"/>
        <v>0</v>
      </c>
      <c r="BB126" s="32"/>
      <c r="BC126" s="501"/>
      <c r="BD126" s="501"/>
      <c r="BE126" s="32"/>
      <c r="BF126" s="501"/>
    </row>
    <row r="127" spans="1:58" ht="12.95" customHeight="1">
      <c r="A127" s="39"/>
      <c r="B127" s="40"/>
      <c r="C127" s="413"/>
      <c r="D127" s="40"/>
      <c r="E127" s="41"/>
      <c r="F127" s="41"/>
      <c r="G127" s="497"/>
      <c r="H127" s="43"/>
      <c r="I127" s="44"/>
      <c r="J127" s="81"/>
      <c r="K127" s="81"/>
      <c r="L127" s="34"/>
      <c r="M127" s="34"/>
      <c r="N127" s="45"/>
      <c r="O127" s="46"/>
      <c r="P127" s="47"/>
      <c r="Q127" s="46"/>
      <c r="R127" s="498"/>
      <c r="S127" s="498"/>
      <c r="T127" s="36"/>
      <c r="U127" s="36"/>
      <c r="V127" s="36"/>
      <c r="W127" s="36"/>
      <c r="X127" s="37"/>
      <c r="Y127" s="210"/>
      <c r="Z127" s="36"/>
      <c r="AA127" s="36"/>
      <c r="AB127" s="36"/>
      <c r="AC127" s="36"/>
      <c r="AD127" s="36">
        <f t="shared" si="276"/>
        <v>34</v>
      </c>
      <c r="AE127" s="229" t="s">
        <v>725</v>
      </c>
      <c r="AF127" s="32"/>
      <c r="AG127" s="32"/>
      <c r="AH127" s="32"/>
      <c r="AI127" s="32"/>
      <c r="AJ127" s="36"/>
      <c r="AK127" s="36">
        <v>34</v>
      </c>
      <c r="AL127" s="36"/>
      <c r="AM127" s="36">
        <f t="shared" si="277"/>
        <v>34</v>
      </c>
      <c r="AN127" s="36"/>
      <c r="AO127" s="36"/>
      <c r="AP127" s="36"/>
      <c r="AQ127" s="36"/>
      <c r="AR127" s="36">
        <f t="shared" si="280"/>
        <v>0</v>
      </c>
      <c r="AS127" s="36"/>
      <c r="AT127" s="36"/>
      <c r="AU127" s="36"/>
      <c r="AV127" s="36"/>
      <c r="AW127" s="36"/>
      <c r="AX127" s="36"/>
      <c r="AY127" s="36"/>
      <c r="AZ127" s="36"/>
      <c r="BA127" s="36">
        <f t="shared" si="278"/>
        <v>0</v>
      </c>
      <c r="BB127" s="32"/>
      <c r="BC127" s="501"/>
      <c r="BD127" s="501"/>
      <c r="BE127" s="32"/>
      <c r="BF127" s="501"/>
    </row>
    <row r="128" spans="1:58" ht="12.95" customHeight="1">
      <c r="A128" s="39"/>
      <c r="B128" s="40"/>
      <c r="C128" s="413"/>
      <c r="D128" s="40"/>
      <c r="E128" s="41"/>
      <c r="F128" s="41"/>
      <c r="G128" s="497"/>
      <c r="H128" s="43"/>
      <c r="I128" s="44"/>
      <c r="J128" s="81"/>
      <c r="K128" s="81"/>
      <c r="L128" s="34"/>
      <c r="M128" s="34"/>
      <c r="N128" s="45"/>
      <c r="O128" s="46"/>
      <c r="P128" s="47"/>
      <c r="Q128" s="46"/>
      <c r="R128" s="498"/>
      <c r="S128" s="498"/>
      <c r="T128" s="36"/>
      <c r="U128" s="36"/>
      <c r="V128" s="36"/>
      <c r="W128" s="36"/>
      <c r="X128" s="37"/>
      <c r="Y128" s="210"/>
      <c r="Z128" s="36"/>
      <c r="AA128" s="36"/>
      <c r="AB128" s="36"/>
      <c r="AC128" s="36"/>
      <c r="AD128" s="36">
        <f t="shared" si="276"/>
        <v>80</v>
      </c>
      <c r="AE128" s="229" t="s">
        <v>726</v>
      </c>
      <c r="AF128" s="32"/>
      <c r="AG128" s="32"/>
      <c r="AH128" s="32"/>
      <c r="AI128" s="32"/>
      <c r="AJ128" s="36"/>
      <c r="AK128" s="36">
        <v>80</v>
      </c>
      <c r="AL128" s="36"/>
      <c r="AM128" s="36">
        <f t="shared" si="277"/>
        <v>80</v>
      </c>
      <c r="AN128" s="36"/>
      <c r="AO128" s="36"/>
      <c r="AP128" s="36"/>
      <c r="AQ128" s="36"/>
      <c r="AR128" s="36">
        <f t="shared" si="280"/>
        <v>0</v>
      </c>
      <c r="AS128" s="36"/>
      <c r="AT128" s="36"/>
      <c r="AU128" s="36"/>
      <c r="AV128" s="36"/>
      <c r="AW128" s="36"/>
      <c r="AX128" s="36"/>
      <c r="AY128" s="36"/>
      <c r="AZ128" s="36"/>
      <c r="BA128" s="36">
        <f t="shared" si="278"/>
        <v>0</v>
      </c>
      <c r="BB128" s="32"/>
      <c r="BC128" s="501"/>
      <c r="BD128" s="501"/>
      <c r="BE128" s="32"/>
      <c r="BF128" s="501"/>
    </row>
    <row r="129" spans="1:58" ht="12.95" customHeight="1">
      <c r="A129" s="39"/>
      <c r="B129" s="40"/>
      <c r="C129" s="413"/>
      <c r="D129" s="40"/>
      <c r="E129" s="41"/>
      <c r="F129" s="41"/>
      <c r="G129" s="42"/>
      <c r="H129" s="43"/>
      <c r="I129" s="44"/>
      <c r="J129" s="81"/>
      <c r="K129" s="81"/>
      <c r="L129" s="34"/>
      <c r="M129" s="34"/>
      <c r="N129" s="45"/>
      <c r="O129" s="46"/>
      <c r="P129" s="47"/>
      <c r="Q129" s="46"/>
      <c r="R129" s="498"/>
      <c r="S129" s="498"/>
      <c r="T129" s="36"/>
      <c r="U129" s="36"/>
      <c r="V129" s="36"/>
      <c r="W129" s="36"/>
      <c r="X129" s="37"/>
      <c r="Y129" s="210"/>
      <c r="Z129" s="36"/>
      <c r="AA129" s="36"/>
      <c r="AB129" s="36"/>
      <c r="AC129" s="36"/>
      <c r="AD129" s="36"/>
      <c r="AE129" s="229"/>
      <c r="AF129" s="32"/>
      <c r="AG129" s="32"/>
      <c r="AH129" s="32"/>
      <c r="AI129" s="32"/>
      <c r="AJ129" s="36"/>
      <c r="AK129" s="36"/>
      <c r="AL129" s="36"/>
      <c r="AM129" s="36"/>
      <c r="AN129" s="36"/>
      <c r="AO129" s="36"/>
      <c r="AP129" s="36"/>
      <c r="AQ129" s="36"/>
      <c r="AR129" s="36"/>
      <c r="AS129" s="36"/>
      <c r="AT129" s="36"/>
      <c r="AU129" s="36"/>
      <c r="AV129" s="36"/>
      <c r="AW129" s="36"/>
      <c r="AX129" s="36"/>
      <c r="AY129" s="36"/>
      <c r="AZ129" s="36"/>
      <c r="BA129" s="36"/>
      <c r="BB129" s="32"/>
      <c r="BC129" s="501"/>
      <c r="BD129" s="50"/>
      <c r="BE129" s="50"/>
      <c r="BF129" s="50"/>
    </row>
    <row r="130" spans="1:58" ht="12.75" customHeight="1">
      <c r="A130" s="39">
        <v>46106</v>
      </c>
      <c r="B130" s="40" t="s">
        <v>551</v>
      </c>
      <c r="C130" s="413">
        <f t="shared" ref="C130" si="282">(M130*E130*O130*Q130)/100000000</f>
        <v>40.614965518867926</v>
      </c>
      <c r="D130" s="40" t="s">
        <v>301</v>
      </c>
      <c r="E130" s="41">
        <v>12.5</v>
      </c>
      <c r="F130" s="41">
        <v>1</v>
      </c>
      <c r="G130" s="497">
        <v>1230</v>
      </c>
      <c r="H130" s="43">
        <f t="shared" ref="H130" si="283">+N130</f>
        <v>0.23340301763315763</v>
      </c>
      <c r="I130" s="44">
        <v>0.88</v>
      </c>
      <c r="J130" s="81">
        <f t="shared" ref="J130" si="284">E130*G130*(1-H130)*1440/1000000*2.74</f>
        <v>46.504532699509184</v>
      </c>
      <c r="K130" s="81">
        <f t="shared" ref="K130" si="285">(IF(G130&lt;L130,L130,G130)*(1-IF(H130&lt;N130,H130,N130))*E130*O130*Q130)/100000000</f>
        <v>43.590393823558664</v>
      </c>
      <c r="L130" s="34">
        <v>1146.0416666666667</v>
      </c>
      <c r="M130" s="34">
        <v>878.55208333333337</v>
      </c>
      <c r="N130" s="45">
        <f t="shared" ref="N130" si="286">1-(M130/L130)</f>
        <v>0.23340301763315763</v>
      </c>
      <c r="O130" s="46">
        <f>+'Trim Rwd'!H74</f>
        <v>256.83018867924528</v>
      </c>
      <c r="P130" s="47">
        <f t="shared" ref="P130" si="287">O130*(Q130-R130-S130)</f>
        <v>342097.8113207547</v>
      </c>
      <c r="Q130" s="46">
        <v>1440</v>
      </c>
      <c r="R130" s="498">
        <v>0</v>
      </c>
      <c r="S130" s="498">
        <v>108</v>
      </c>
      <c r="T130" s="36">
        <f t="shared" ref="T130" si="288">E130*M130*O130*Q130/100000000</f>
        <v>40.614965518867926</v>
      </c>
      <c r="U130" s="36">
        <f t="shared" ref="U130" si="289">E130*M130*O130*(Q130-R130-S130)/100000000</f>
        <v>37.568843104952833</v>
      </c>
      <c r="V130" s="36">
        <f t="shared" ref="V130" si="290">E130*G130*(1-N130)*O130/100*(R130+S130)/1000000</f>
        <v>3.2692795367668999</v>
      </c>
      <c r="W130" s="36">
        <f>+'25'!K16/1000</f>
        <v>38.253999999999998</v>
      </c>
      <c r="X130" s="499">
        <f>SUM(W130:W133)/SUM(K130:K133)</f>
        <v>0.87757867375186271</v>
      </c>
      <c r="Y130" s="210">
        <v>0</v>
      </c>
      <c r="Z130" s="36">
        <v>0</v>
      </c>
      <c r="AA130" s="48">
        <f>SUM(U130:U133)-SUM(W130:W133)-SUM(Z130:Z133)-SUM(Y130:Y133)</f>
        <v>-0.68515689504716448</v>
      </c>
      <c r="AB130" s="48">
        <f>(SUM(K130:K133)-SUM(W130:W133)-SUM(Y130:Y133)-SUM(Z130:Z133)-SUM(AC130:AC133)-SUM(V130:V133))-AA130</f>
        <v>-0.223157122851807</v>
      </c>
      <c r="AC130" s="36">
        <f>K130-T130</f>
        <v>2.9754283046907375</v>
      </c>
      <c r="AD130" s="36">
        <f t="shared" ref="AD130:AD133" si="291">+AM130+BA130</f>
        <v>19</v>
      </c>
      <c r="AE130" s="229" t="s">
        <v>415</v>
      </c>
      <c r="AF130" s="36">
        <v>19</v>
      </c>
      <c r="AG130" s="36"/>
      <c r="AH130" s="36"/>
      <c r="AI130" s="36"/>
      <c r="AJ130" s="36"/>
      <c r="AK130" s="36"/>
      <c r="AL130" s="36"/>
      <c r="AM130" s="36">
        <f t="shared" ref="AM130:AM132" si="292">SUM(AF130:AL130)+AT130+AV130+AX130</f>
        <v>19</v>
      </c>
      <c r="AN130" s="36"/>
      <c r="AO130" s="36"/>
      <c r="AP130" s="36"/>
      <c r="AQ130" s="36"/>
      <c r="AR130" s="36">
        <f>SUM(AN130:AQ130)</f>
        <v>0</v>
      </c>
      <c r="AS130" s="36"/>
      <c r="AT130" s="36"/>
      <c r="AU130" s="36"/>
      <c r="AV130" s="36"/>
      <c r="AW130" s="36"/>
      <c r="AX130" s="36"/>
      <c r="AY130" s="36"/>
      <c r="AZ130" s="36"/>
      <c r="BA130" s="36">
        <f t="shared" ref="BA130:BA133" si="293">+AR130+AS130+AU130+AW130+AY130+AZ130</f>
        <v>0</v>
      </c>
      <c r="BB130" s="32">
        <v>7</v>
      </c>
      <c r="BC130" s="50"/>
      <c r="BD130" s="50"/>
      <c r="BE130" s="32"/>
      <c r="BF130" s="50"/>
    </row>
    <row r="131" spans="1:58" ht="12.95" customHeight="1">
      <c r="A131" s="39"/>
      <c r="B131" s="40"/>
      <c r="C131" s="413"/>
      <c r="D131" s="40"/>
      <c r="E131" s="41"/>
      <c r="F131" s="41"/>
      <c r="G131" s="497"/>
      <c r="H131" s="43"/>
      <c r="I131" s="44"/>
      <c r="J131" s="81"/>
      <c r="K131" s="81"/>
      <c r="L131" s="34"/>
      <c r="M131" s="34"/>
      <c r="N131" s="45"/>
      <c r="O131" s="46"/>
      <c r="P131" s="47"/>
      <c r="Q131" s="46"/>
      <c r="R131" s="498"/>
      <c r="S131" s="498"/>
      <c r="T131" s="36"/>
      <c r="U131" s="36"/>
      <c r="V131" s="36"/>
      <c r="W131" s="36"/>
      <c r="X131" s="37"/>
      <c r="Y131" s="210"/>
      <c r="Z131" s="36"/>
      <c r="AA131" s="36"/>
      <c r="AB131" s="36"/>
      <c r="AC131" s="36">
        <f>K131-T131</f>
        <v>0</v>
      </c>
      <c r="AD131" s="36">
        <f t="shared" si="291"/>
        <v>0</v>
      </c>
      <c r="AE131" s="229" t="s">
        <v>283</v>
      </c>
      <c r="AF131" s="36"/>
      <c r="AG131" s="36">
        <v>0</v>
      </c>
      <c r="AH131" s="36"/>
      <c r="AI131" s="36"/>
      <c r="AJ131" s="36"/>
      <c r="AK131" s="36"/>
      <c r="AL131" s="36"/>
      <c r="AM131" s="36">
        <f t="shared" si="292"/>
        <v>0</v>
      </c>
      <c r="AN131" s="82"/>
      <c r="AO131" s="36"/>
      <c r="AP131" s="36"/>
      <c r="AQ131" s="36"/>
      <c r="AR131" s="36">
        <f t="shared" ref="AR131:AR132" si="294">SUM(AN131:AQ131)</f>
        <v>0</v>
      </c>
      <c r="AS131" s="36"/>
      <c r="AT131" s="36"/>
      <c r="AU131" s="36"/>
      <c r="AV131" s="36"/>
      <c r="AW131" s="36"/>
      <c r="AX131" s="36"/>
      <c r="AY131" s="36"/>
      <c r="AZ131" s="36"/>
      <c r="BA131" s="36">
        <f t="shared" si="293"/>
        <v>0</v>
      </c>
      <c r="BB131" s="49"/>
      <c r="BC131" s="50">
        <v>0</v>
      </c>
      <c r="BD131" s="50"/>
      <c r="BE131" s="49"/>
      <c r="BF131" s="50"/>
    </row>
    <row r="132" spans="1:58" ht="12.95" customHeight="1">
      <c r="A132" s="39"/>
      <c r="B132" s="40"/>
      <c r="C132" s="413"/>
      <c r="D132" s="40"/>
      <c r="E132" s="41"/>
      <c r="F132" s="41"/>
      <c r="G132" s="497"/>
      <c r="H132" s="43"/>
      <c r="I132" s="44"/>
      <c r="J132" s="81"/>
      <c r="K132" s="81"/>
      <c r="L132" s="34"/>
      <c r="M132" s="34"/>
      <c r="N132" s="45"/>
      <c r="O132" s="46"/>
      <c r="P132" s="47"/>
      <c r="Q132" s="46"/>
      <c r="R132" s="498"/>
      <c r="S132" s="498"/>
      <c r="T132" s="36"/>
      <c r="U132" s="36"/>
      <c r="V132" s="36"/>
      <c r="W132" s="36"/>
      <c r="X132" s="37"/>
      <c r="Y132" s="210"/>
      <c r="Z132" s="36"/>
      <c r="AA132" s="36"/>
      <c r="AB132" s="36"/>
      <c r="AC132" s="36"/>
      <c r="AD132" s="36">
        <f t="shared" si="291"/>
        <v>39</v>
      </c>
      <c r="AE132" s="229" t="s">
        <v>656</v>
      </c>
      <c r="AF132" s="32"/>
      <c r="AG132" s="32"/>
      <c r="AH132" s="32">
        <v>39</v>
      </c>
      <c r="AI132" s="36"/>
      <c r="AJ132" s="36"/>
      <c r="AK132" s="36"/>
      <c r="AL132" s="36"/>
      <c r="AM132" s="36">
        <f t="shared" si="292"/>
        <v>39</v>
      </c>
      <c r="AN132" s="36"/>
      <c r="AO132" s="36"/>
      <c r="AP132" s="36"/>
      <c r="AQ132" s="36"/>
      <c r="AR132" s="36">
        <f t="shared" si="294"/>
        <v>0</v>
      </c>
      <c r="AS132" s="36"/>
      <c r="AT132" s="36"/>
      <c r="AU132" s="36"/>
      <c r="AV132" s="36"/>
      <c r="AW132" s="36"/>
      <c r="AX132" s="36"/>
      <c r="AY132" s="36"/>
      <c r="AZ132" s="36"/>
      <c r="BA132" s="36">
        <f t="shared" si="293"/>
        <v>0</v>
      </c>
      <c r="BB132" s="32"/>
      <c r="BC132" s="501"/>
      <c r="BD132" s="501"/>
      <c r="BE132" s="32"/>
      <c r="BF132" s="501"/>
    </row>
    <row r="133" spans="1:58" ht="12.95" customHeight="1">
      <c r="A133" s="39"/>
      <c r="B133" s="40"/>
      <c r="C133" s="413"/>
      <c r="D133" s="40"/>
      <c r="E133" s="41"/>
      <c r="F133" s="41"/>
      <c r="G133" s="497"/>
      <c r="H133" s="43"/>
      <c r="I133" s="44"/>
      <c r="J133" s="81"/>
      <c r="K133" s="81"/>
      <c r="L133" s="34"/>
      <c r="M133" s="34"/>
      <c r="N133" s="45"/>
      <c r="O133" s="46"/>
      <c r="P133" s="47"/>
      <c r="Q133" s="46"/>
      <c r="R133" s="498"/>
      <c r="S133" s="498"/>
      <c r="T133" s="36"/>
      <c r="U133" s="36"/>
      <c r="V133" s="36"/>
      <c r="W133" s="36"/>
      <c r="X133" s="37"/>
      <c r="Y133" s="210"/>
      <c r="Z133" s="36"/>
      <c r="AA133" s="36"/>
      <c r="AB133" s="36"/>
      <c r="AC133" s="36"/>
      <c r="AD133" s="36">
        <f t="shared" si="291"/>
        <v>50</v>
      </c>
      <c r="AE133" s="229" t="s">
        <v>726</v>
      </c>
      <c r="AF133" s="32"/>
      <c r="AG133" s="32"/>
      <c r="AH133" s="32"/>
      <c r="AI133" s="32"/>
      <c r="AJ133" s="36"/>
      <c r="AK133" s="36">
        <v>50</v>
      </c>
      <c r="AL133" s="36"/>
      <c r="AM133" s="36">
        <f t="shared" ref="AM133" si="295">SUM(AF133:AL133)+AT133+AV133+AX133</f>
        <v>50</v>
      </c>
      <c r="AN133" s="36"/>
      <c r="AO133" s="36"/>
      <c r="AP133" s="36"/>
      <c r="AQ133" s="36"/>
      <c r="AR133" s="36">
        <f t="shared" ref="AR133" si="296">SUM(AN133:AQ133)</f>
        <v>0</v>
      </c>
      <c r="AS133" s="36"/>
      <c r="AT133" s="36"/>
      <c r="AU133" s="36"/>
      <c r="AV133" s="36"/>
      <c r="AW133" s="36"/>
      <c r="AX133" s="36"/>
      <c r="AY133" s="36"/>
      <c r="AZ133" s="36"/>
      <c r="BA133" s="36">
        <f t="shared" si="293"/>
        <v>0</v>
      </c>
      <c r="BB133" s="32"/>
      <c r="BC133" s="501"/>
      <c r="BD133" s="501"/>
      <c r="BE133" s="32"/>
      <c r="BF133" s="501"/>
    </row>
    <row r="134" spans="1:58" ht="12.95" customHeight="1">
      <c r="A134" s="39"/>
      <c r="B134" s="40"/>
      <c r="C134" s="413"/>
      <c r="D134" s="40"/>
      <c r="E134" s="41"/>
      <c r="F134" s="41"/>
      <c r="G134" s="42"/>
      <c r="H134" s="43"/>
      <c r="I134" s="44"/>
      <c r="J134" s="81"/>
      <c r="K134" s="81"/>
      <c r="L134" s="34"/>
      <c r="M134" s="34"/>
      <c r="N134" s="45"/>
      <c r="O134" s="46"/>
      <c r="P134" s="47"/>
      <c r="Q134" s="46"/>
      <c r="R134" s="498"/>
      <c r="S134" s="498"/>
      <c r="T134" s="36"/>
      <c r="U134" s="36"/>
      <c r="V134" s="36"/>
      <c r="W134" s="36"/>
      <c r="X134" s="37"/>
      <c r="Y134" s="210"/>
      <c r="Z134" s="36"/>
      <c r="AA134" s="36"/>
      <c r="AB134" s="36"/>
      <c r="AC134" s="36"/>
      <c r="AD134" s="36"/>
      <c r="AE134" s="229"/>
      <c r="AF134" s="32"/>
      <c r="AG134" s="32"/>
      <c r="AH134" s="32"/>
      <c r="AJ134" s="36"/>
      <c r="AK134" s="36"/>
      <c r="AL134" s="36"/>
      <c r="AM134" s="36"/>
      <c r="AN134" s="36"/>
      <c r="AO134" s="36"/>
      <c r="AP134" s="36"/>
      <c r="AQ134" s="36"/>
      <c r="AR134" s="36"/>
      <c r="AS134" s="36"/>
      <c r="AT134" s="36"/>
      <c r="AU134" s="36"/>
      <c r="AV134" s="36"/>
      <c r="AW134" s="36"/>
      <c r="AX134" s="36"/>
      <c r="AY134" s="36"/>
      <c r="AZ134" s="36"/>
      <c r="BA134" s="36"/>
      <c r="BB134" s="32"/>
      <c r="BC134" s="501"/>
      <c r="BD134" s="50"/>
      <c r="BE134" s="50"/>
      <c r="BF134" s="50"/>
    </row>
    <row r="135" spans="1:58" ht="12.75" customHeight="1">
      <c r="A135" s="39">
        <v>46107</v>
      </c>
      <c r="B135" s="40" t="s">
        <v>551</v>
      </c>
      <c r="C135" s="413">
        <f t="shared" ref="C135:C136" si="297">(M135*E135*O135*Q135)/100000000</f>
        <v>3.1883520000000001</v>
      </c>
      <c r="D135" s="40" t="s">
        <v>301</v>
      </c>
      <c r="E135" s="41">
        <v>12.5</v>
      </c>
      <c r="F135" s="41">
        <v>1</v>
      </c>
      <c r="G135" s="497">
        <v>1230</v>
      </c>
      <c r="H135" s="43">
        <f t="shared" ref="H135:H136" si="298">+N135</f>
        <v>0.24</v>
      </c>
      <c r="I135" s="44">
        <v>0.88</v>
      </c>
      <c r="J135" s="81">
        <f t="shared" ref="J135:J136" si="299">E135*G135*(1-H135)*1440/1000000*2.74</f>
        <v>46.104336000000004</v>
      </c>
      <c r="K135" s="81">
        <f t="shared" ref="K135:K136" si="300">(IF(G135&lt;L135,L135,G135)*(1-IF(H135&lt;N135,H135,N135))*E135*O135*Q135)/100000000</f>
        <v>3.4101504</v>
      </c>
      <c r="L135" s="34">
        <v>1150</v>
      </c>
      <c r="M135" s="34">
        <v>874</v>
      </c>
      <c r="N135" s="45">
        <f t="shared" ref="N135:N136" si="301">1-(M135/L135)</f>
        <v>0.24</v>
      </c>
      <c r="O135" s="46">
        <f>+'Trim Rwd'!H77</f>
        <v>256</v>
      </c>
      <c r="P135" s="47">
        <f t="shared" ref="P135:P136" si="302">O135*(Q135-R135-S135)</f>
        <v>25856</v>
      </c>
      <c r="Q135" s="46">
        <v>114</v>
      </c>
      <c r="R135" s="498">
        <v>0</v>
      </c>
      <c r="S135" s="498">
        <v>13</v>
      </c>
      <c r="T135" s="36">
        <f t="shared" ref="T135:T136" si="303">E135*M135*O135*Q135/100000000</f>
        <v>3.1883520000000001</v>
      </c>
      <c r="U135" s="36">
        <f t="shared" ref="U135:U136" si="304">E135*M135*O135*(Q135-R135-S135)/100000000</f>
        <v>2.8247680000000002</v>
      </c>
      <c r="V135" s="36">
        <f t="shared" ref="V135:V136" si="305">E135*G135*(1-N135)*O135/100*(R135+S135)/1000000</f>
        <v>0.38887679999999997</v>
      </c>
      <c r="W135" s="36">
        <f>+'26'!K16/1000</f>
        <v>6.0389999999999997</v>
      </c>
      <c r="X135" s="499">
        <f>SUM(W135:W138)/SUM(K135:K138)</f>
        <v>0.88569892359711555</v>
      </c>
      <c r="Y135" s="210">
        <v>0</v>
      </c>
      <c r="Z135" s="36">
        <v>0</v>
      </c>
      <c r="AA135" s="48">
        <f>SUM(U135:U138)-SUM(W135:W138)-SUM(Z135:Z138)-SUM(Y135:Y138)</f>
        <v>-0.10951994164705781</v>
      </c>
      <c r="AB135" s="48">
        <f>(SUM(K135:K138)-SUM(W135:W138)-SUM(Y135:Y138)-SUM(Z135:Z138)-SUM(AC135:AC138)-SUM(V135:V138))-AA135</f>
        <v>-0.16591847235293589</v>
      </c>
      <c r="AC135" s="36">
        <f>K135-T135</f>
        <v>0.22179839999999995</v>
      </c>
      <c r="AD135" s="36">
        <f t="shared" ref="AD135:AD137" si="306">+AM135+BA135</f>
        <v>12</v>
      </c>
      <c r="AE135" s="229" t="s">
        <v>435</v>
      </c>
      <c r="AF135" s="36">
        <v>12</v>
      </c>
      <c r="AG135" s="36"/>
      <c r="AH135" s="36"/>
      <c r="AI135" s="36"/>
      <c r="AJ135" s="36"/>
      <c r="AK135" s="36"/>
      <c r="AL135" s="36"/>
      <c r="AM135" s="36">
        <f t="shared" ref="AM135:AM137" si="307">SUM(AF135:AL135)+AT135+AV135+AX135</f>
        <v>12</v>
      </c>
      <c r="AN135" s="36"/>
      <c r="AO135" s="36"/>
      <c r="AP135" s="36"/>
      <c r="AQ135" s="36"/>
      <c r="AR135" s="36">
        <f>SUM(AN135:AQ135)</f>
        <v>0</v>
      </c>
      <c r="AS135" s="36"/>
      <c r="AT135" s="36"/>
      <c r="AU135" s="36"/>
      <c r="AV135" s="36"/>
      <c r="AW135" s="36"/>
      <c r="AX135" s="36"/>
      <c r="AY135" s="36"/>
      <c r="AZ135" s="36"/>
      <c r="BA135" s="36">
        <f t="shared" ref="BA135:BA137" si="308">+AR135+AS135+AU135+AW135+AY135+AZ135</f>
        <v>0</v>
      </c>
      <c r="BB135" s="32">
        <v>6</v>
      </c>
      <c r="BC135" s="50"/>
      <c r="BD135" s="50"/>
      <c r="BE135" s="32"/>
      <c r="BF135" s="50"/>
    </row>
    <row r="136" spans="1:58" ht="12.95" customHeight="1">
      <c r="A136" s="39"/>
      <c r="B136" s="40" t="s">
        <v>551</v>
      </c>
      <c r="C136" s="413">
        <f t="shared" si="297"/>
        <v>39.756469896000006</v>
      </c>
      <c r="D136" s="40" t="s">
        <v>301</v>
      </c>
      <c r="E136" s="41">
        <v>13</v>
      </c>
      <c r="F136" s="41">
        <v>1</v>
      </c>
      <c r="G136" s="497">
        <v>1230</v>
      </c>
      <c r="H136" s="43">
        <f t="shared" si="298"/>
        <v>0.21999999999999997</v>
      </c>
      <c r="I136" s="44">
        <v>0.88</v>
      </c>
      <c r="J136" s="81">
        <f t="shared" si="299"/>
        <v>49.210312320000007</v>
      </c>
      <c r="K136" s="81">
        <f t="shared" si="300"/>
        <v>42.420321917999999</v>
      </c>
      <c r="L136" s="34">
        <v>1152.7601809954751</v>
      </c>
      <c r="M136" s="34">
        <v>899.15294117647068</v>
      </c>
      <c r="N136" s="45">
        <f t="shared" si="301"/>
        <v>0.21999999999999997</v>
      </c>
      <c r="O136" s="46">
        <f>+'Trim Rwd'!H78</f>
        <v>256.5</v>
      </c>
      <c r="P136" s="47">
        <f t="shared" si="302"/>
        <v>322164</v>
      </c>
      <c r="Q136" s="46">
        <v>1326</v>
      </c>
      <c r="R136" s="498">
        <v>0</v>
      </c>
      <c r="S136" s="498">
        <v>70</v>
      </c>
      <c r="T136" s="36">
        <f t="shared" si="303"/>
        <v>39.756469896000006</v>
      </c>
      <c r="U136" s="36">
        <f t="shared" si="304"/>
        <v>37.657712058352942</v>
      </c>
      <c r="V136" s="36">
        <f t="shared" si="305"/>
        <v>2.2393835100000001</v>
      </c>
      <c r="W136" s="36">
        <f>+'26'!K15/1000</f>
        <v>34.552999999999997</v>
      </c>
      <c r="X136" s="37"/>
      <c r="Y136" s="210"/>
      <c r="Z136" s="36"/>
      <c r="AA136" s="36"/>
      <c r="AB136" s="36"/>
      <c r="AC136" s="36">
        <f>K136-T136</f>
        <v>2.6638520219999933</v>
      </c>
      <c r="AD136" s="36">
        <f t="shared" si="306"/>
        <v>0</v>
      </c>
      <c r="AE136" s="229" t="s">
        <v>283</v>
      </c>
      <c r="AF136" s="36"/>
      <c r="AG136" s="36">
        <v>0</v>
      </c>
      <c r="AH136" s="36"/>
      <c r="AI136" s="36"/>
      <c r="AJ136" s="36"/>
      <c r="AK136" s="36"/>
      <c r="AL136" s="36"/>
      <c r="AM136" s="36">
        <f t="shared" si="307"/>
        <v>0</v>
      </c>
      <c r="AN136" s="82"/>
      <c r="AO136" s="36"/>
      <c r="AP136" s="36"/>
      <c r="AQ136" s="36"/>
      <c r="AR136" s="36">
        <f t="shared" ref="AR136:AR137" si="309">SUM(AN136:AQ136)</f>
        <v>0</v>
      </c>
      <c r="AS136" s="36"/>
      <c r="AT136" s="36"/>
      <c r="AU136" s="36"/>
      <c r="AV136" s="36"/>
      <c r="AW136" s="36"/>
      <c r="AX136" s="36"/>
      <c r="AY136" s="36"/>
      <c r="AZ136" s="36"/>
      <c r="BA136" s="36">
        <f t="shared" si="308"/>
        <v>0</v>
      </c>
      <c r="BB136" s="49"/>
      <c r="BC136" s="50">
        <v>0</v>
      </c>
      <c r="BD136" s="50"/>
      <c r="BE136" s="49"/>
      <c r="BF136" s="50"/>
    </row>
    <row r="137" spans="1:58" ht="12.95" customHeight="1">
      <c r="A137" s="39"/>
      <c r="B137" s="40"/>
      <c r="C137" s="413"/>
      <c r="D137" s="40"/>
      <c r="E137" s="41"/>
      <c r="F137" s="41"/>
      <c r="G137" s="497"/>
      <c r="H137" s="43"/>
      <c r="I137" s="44"/>
      <c r="J137" s="81"/>
      <c r="K137" s="81"/>
      <c r="L137" s="34"/>
      <c r="M137" s="34"/>
      <c r="N137" s="45"/>
      <c r="O137" s="46"/>
      <c r="P137" s="47"/>
      <c r="Q137" s="46"/>
      <c r="R137" s="498"/>
      <c r="S137" s="498"/>
      <c r="T137" s="36"/>
      <c r="U137" s="36"/>
      <c r="V137" s="36"/>
      <c r="W137" s="36"/>
      <c r="X137" s="37"/>
      <c r="Y137" s="210"/>
      <c r="Z137" s="36"/>
      <c r="AA137" s="36"/>
      <c r="AB137" s="36"/>
      <c r="AC137" s="36"/>
      <c r="AD137" s="36">
        <f t="shared" si="306"/>
        <v>71</v>
      </c>
      <c r="AE137" s="229" t="s">
        <v>656</v>
      </c>
      <c r="AF137" s="32"/>
      <c r="AG137" s="32"/>
      <c r="AH137" s="32">
        <v>71</v>
      </c>
      <c r="AI137" s="36"/>
      <c r="AJ137" s="36"/>
      <c r="AK137" s="36"/>
      <c r="AL137" s="36"/>
      <c r="AM137" s="36">
        <f t="shared" si="307"/>
        <v>71</v>
      </c>
      <c r="AN137" s="36"/>
      <c r="AO137" s="36"/>
      <c r="AP137" s="36"/>
      <c r="AQ137" s="36"/>
      <c r="AR137" s="36">
        <f t="shared" si="309"/>
        <v>0</v>
      </c>
      <c r="AS137" s="36"/>
      <c r="AT137" s="36"/>
      <c r="AU137" s="36"/>
      <c r="AV137" s="36"/>
      <c r="AW137" s="36"/>
      <c r="AX137" s="36"/>
      <c r="AY137" s="36"/>
      <c r="AZ137" s="36"/>
      <c r="BA137" s="36">
        <f t="shared" si="308"/>
        <v>0</v>
      </c>
      <c r="BB137" s="32"/>
      <c r="BC137" s="501"/>
      <c r="BD137" s="501"/>
      <c r="BE137" s="32"/>
      <c r="BF137" s="501"/>
    </row>
    <row r="138" spans="1:58" ht="12.95" customHeight="1">
      <c r="A138" s="39"/>
      <c r="B138" s="40"/>
      <c r="C138" s="413"/>
      <c r="D138" s="40"/>
      <c r="E138" s="41"/>
      <c r="F138" s="41"/>
      <c r="G138" s="497"/>
      <c r="H138" s="43"/>
      <c r="I138" s="44"/>
      <c r="J138" s="81"/>
      <c r="K138" s="81"/>
      <c r="L138" s="34"/>
      <c r="M138" s="34"/>
      <c r="N138" s="45"/>
      <c r="O138" s="46"/>
      <c r="P138" s="47"/>
      <c r="Q138" s="46"/>
      <c r="R138" s="498"/>
      <c r="S138" s="498"/>
      <c r="T138" s="36"/>
      <c r="U138" s="36"/>
      <c r="V138" s="36"/>
      <c r="W138" s="36"/>
      <c r="X138" s="37"/>
      <c r="Y138" s="210"/>
      <c r="Z138" s="36"/>
      <c r="AA138" s="36"/>
      <c r="AB138" s="36"/>
      <c r="AC138" s="36"/>
      <c r="AD138" s="36"/>
      <c r="AE138" s="229"/>
      <c r="AF138" s="32"/>
      <c r="AG138" s="32"/>
      <c r="AH138" s="32"/>
      <c r="AI138" s="32"/>
      <c r="AJ138" s="36"/>
      <c r="AK138" s="36"/>
      <c r="AL138" s="36"/>
      <c r="AM138" s="36"/>
      <c r="AN138" s="36"/>
      <c r="AO138" s="36"/>
      <c r="AP138" s="36"/>
      <c r="AQ138" s="36"/>
      <c r="AR138" s="36"/>
      <c r="AS138" s="36"/>
      <c r="AT138" s="36"/>
      <c r="AU138" s="36"/>
      <c r="AV138" s="36"/>
      <c r="AW138" s="36"/>
      <c r="AX138" s="36"/>
      <c r="AY138" s="36"/>
      <c r="AZ138" s="36"/>
      <c r="BA138" s="36"/>
      <c r="BB138" s="32"/>
      <c r="BC138" s="501"/>
      <c r="BD138" s="501"/>
      <c r="BE138" s="32"/>
      <c r="BF138" s="501"/>
    </row>
    <row r="139" spans="1:58" ht="12.75" customHeight="1">
      <c r="A139" s="39">
        <v>46108</v>
      </c>
      <c r="B139" s="40" t="s">
        <v>551</v>
      </c>
      <c r="C139" s="413">
        <f t="shared" ref="C139" si="310">(M139*E139*O139*Q139)/100000000</f>
        <v>42.599437919999993</v>
      </c>
      <c r="D139" s="40" t="s">
        <v>301</v>
      </c>
      <c r="E139" s="41">
        <v>13</v>
      </c>
      <c r="F139" s="41">
        <v>1</v>
      </c>
      <c r="G139" s="497">
        <v>1230</v>
      </c>
      <c r="H139" s="43">
        <f t="shared" ref="H139" si="311">+N139</f>
        <v>0.21999999999999997</v>
      </c>
      <c r="I139" s="44">
        <v>0.88</v>
      </c>
      <c r="J139" s="81">
        <f t="shared" ref="J139" si="312">E139*G139*(1-H139)*1440/1000000*2.74</f>
        <v>49.210312320000007</v>
      </c>
      <c r="K139" s="81">
        <f t="shared" ref="K139" si="313">(IF(G139&lt;L139,L139,G139)*(1-IF(H139&lt;N139,H139,N139))*E139*O139*Q139)/100000000</f>
        <v>45.962551439999991</v>
      </c>
      <c r="L139" s="34">
        <v>1140</v>
      </c>
      <c r="M139" s="34">
        <v>889.2</v>
      </c>
      <c r="N139" s="45">
        <f t="shared" ref="N139" si="314">1-(M139/L139)</f>
        <v>0.21999999999999997</v>
      </c>
      <c r="O139" s="46">
        <f>+'Trim Rwd'!H80</f>
        <v>255.91666666666666</v>
      </c>
      <c r="P139" s="47">
        <f t="shared" ref="P139" si="315">O139*(Q139-R139-S139)</f>
        <v>349582.16666666663</v>
      </c>
      <c r="Q139" s="46">
        <v>1440</v>
      </c>
      <c r="R139" s="498">
        <v>0</v>
      </c>
      <c r="S139" s="498">
        <v>74</v>
      </c>
      <c r="T139" s="36">
        <f t="shared" ref="T139" si="316">E139*M139*O139*Q139/100000000</f>
        <v>42.599437919999993</v>
      </c>
      <c r="U139" s="36">
        <f t="shared" ref="U139" si="317">E139*M139*O139*(Q139-R139-S139)/100000000</f>
        <v>40.410300137999997</v>
      </c>
      <c r="V139" s="36">
        <f t="shared" ref="V139" si="318">E139*G139*(1-N139)*O139/100*(R139+S139)/1000000</f>
        <v>2.3619644490000002</v>
      </c>
      <c r="W139" s="36">
        <f>+'27'!K15/1000</f>
        <v>40.677</v>
      </c>
      <c r="X139" s="499">
        <f>SUM(W139:W142)/SUM(K139:K142)</f>
        <v>0.88500308894079116</v>
      </c>
      <c r="Y139" s="210">
        <v>0</v>
      </c>
      <c r="Z139" s="36">
        <v>0</v>
      </c>
      <c r="AA139" s="48">
        <f>SUM(U139:U142)-SUM(W139:W142)-SUM(Z139:Z142)-SUM(Y139:Y142)</f>
        <v>-0.26669986200000295</v>
      </c>
      <c r="AB139" s="48">
        <f>(SUM(K139:K142)-SUM(W139:W142)-SUM(Y139:Y142)-SUM(Z139:Z142)-SUM(AC139:AC142)-SUM(V139:V142))-AA139</f>
        <v>-0.17282666700000426</v>
      </c>
      <c r="AC139" s="36">
        <f>K139-T139</f>
        <v>3.3631135199999989</v>
      </c>
      <c r="AD139" s="36">
        <f t="shared" ref="AD139:AD141" si="319">+AM139+BA139</f>
        <v>14</v>
      </c>
      <c r="AE139" s="229" t="s">
        <v>435</v>
      </c>
      <c r="AF139" s="36">
        <v>14</v>
      </c>
      <c r="AG139" s="36"/>
      <c r="AH139" s="36"/>
      <c r="AI139" s="36"/>
      <c r="AJ139" s="36"/>
      <c r="AK139" s="36"/>
      <c r="AL139" s="36"/>
      <c r="AM139" s="36">
        <f t="shared" ref="AM139:AM141" si="320">SUM(AF139:AL139)+AT139+AV139+AX139</f>
        <v>14</v>
      </c>
      <c r="AN139" s="36"/>
      <c r="AO139" s="36"/>
      <c r="AP139" s="36"/>
      <c r="AQ139" s="36"/>
      <c r="AR139" s="36">
        <f>SUM(AN139:AQ139)</f>
        <v>0</v>
      </c>
      <c r="AS139" s="36"/>
      <c r="AT139" s="36"/>
      <c r="AU139" s="36"/>
      <c r="AV139" s="36"/>
      <c r="AW139" s="36"/>
      <c r="AX139" s="36"/>
      <c r="AY139" s="36"/>
      <c r="AZ139" s="36"/>
      <c r="BA139" s="36">
        <f t="shared" ref="BA139:BA141" si="321">+AR139+AS139+AU139+AW139+AY139+AZ139</f>
        <v>0</v>
      </c>
      <c r="BB139" s="32">
        <v>6</v>
      </c>
      <c r="BC139" s="50"/>
      <c r="BD139" s="50"/>
      <c r="BE139" s="32"/>
      <c r="BF139" s="50"/>
    </row>
    <row r="140" spans="1:58" ht="12.95" customHeight="1">
      <c r="A140" s="39"/>
      <c r="B140" s="40"/>
      <c r="C140" s="413"/>
      <c r="D140" s="40"/>
      <c r="E140" s="41"/>
      <c r="F140" s="41"/>
      <c r="G140" s="497"/>
      <c r="H140" s="43"/>
      <c r="I140" s="44"/>
      <c r="J140" s="81"/>
      <c r="K140" s="81"/>
      <c r="L140" s="34"/>
      <c r="M140" s="34"/>
      <c r="N140" s="45"/>
      <c r="O140" s="46"/>
      <c r="P140" s="47"/>
      <c r="Q140" s="46"/>
      <c r="R140" s="498"/>
      <c r="S140" s="498"/>
      <c r="T140" s="36"/>
      <c r="U140" s="36"/>
      <c r="V140" s="36"/>
      <c r="W140" s="36"/>
      <c r="X140" s="37"/>
      <c r="Y140" s="210"/>
      <c r="Z140" s="36"/>
      <c r="AA140" s="36"/>
      <c r="AB140" s="36"/>
      <c r="AC140" s="36">
        <f>K140-T140</f>
        <v>0</v>
      </c>
      <c r="AD140" s="36">
        <f t="shared" si="319"/>
        <v>0</v>
      </c>
      <c r="AE140" s="229" t="s">
        <v>283</v>
      </c>
      <c r="AF140" s="36"/>
      <c r="AG140" s="36">
        <v>0</v>
      </c>
      <c r="AH140" s="36"/>
      <c r="AI140" s="36"/>
      <c r="AJ140" s="36"/>
      <c r="AK140" s="36"/>
      <c r="AL140" s="36"/>
      <c r="AM140" s="36">
        <f t="shared" si="320"/>
        <v>0</v>
      </c>
      <c r="AN140" s="82"/>
      <c r="AO140" s="36"/>
      <c r="AP140" s="36"/>
      <c r="AQ140" s="36"/>
      <c r="AR140" s="36">
        <f t="shared" ref="AR140:AR141" si="322">SUM(AN140:AQ140)</f>
        <v>0</v>
      </c>
      <c r="AS140" s="36"/>
      <c r="AT140" s="36"/>
      <c r="AU140" s="36"/>
      <c r="AV140" s="36"/>
      <c r="AW140" s="36"/>
      <c r="AX140" s="36"/>
      <c r="AY140" s="36"/>
      <c r="AZ140" s="36"/>
      <c r="BA140" s="36">
        <f t="shared" si="321"/>
        <v>0</v>
      </c>
      <c r="BB140" s="49"/>
      <c r="BC140" s="50">
        <v>0</v>
      </c>
      <c r="BD140" s="50"/>
      <c r="BE140" s="49"/>
      <c r="BF140" s="50"/>
    </row>
    <row r="141" spans="1:58" ht="12.95" customHeight="1">
      <c r="A141" s="39"/>
      <c r="B141" s="40"/>
      <c r="C141" s="413"/>
      <c r="D141" s="40"/>
      <c r="E141" s="41"/>
      <c r="F141" s="41"/>
      <c r="G141" s="497"/>
      <c r="H141" s="43"/>
      <c r="I141" s="44"/>
      <c r="J141" s="81"/>
      <c r="K141" s="81"/>
      <c r="L141" s="34"/>
      <c r="M141" s="34"/>
      <c r="N141" s="45"/>
      <c r="O141" s="46"/>
      <c r="P141" s="47"/>
      <c r="Q141" s="46"/>
      <c r="R141" s="498"/>
      <c r="S141" s="498"/>
      <c r="T141" s="36"/>
      <c r="U141" s="36"/>
      <c r="V141" s="36"/>
      <c r="W141" s="36"/>
      <c r="X141" s="37"/>
      <c r="Y141" s="210"/>
      <c r="Z141" s="36"/>
      <c r="AA141" s="36"/>
      <c r="AB141" s="36"/>
      <c r="AC141" s="36"/>
      <c r="AD141" s="36">
        <f t="shared" si="319"/>
        <v>60</v>
      </c>
      <c r="AE141" s="229" t="s">
        <v>748</v>
      </c>
      <c r="AF141" s="32"/>
      <c r="AG141" s="32"/>
      <c r="AH141" s="32">
        <v>60</v>
      </c>
      <c r="AI141" s="36"/>
      <c r="AJ141" s="36"/>
      <c r="AK141" s="36"/>
      <c r="AL141" s="36"/>
      <c r="AM141" s="36">
        <f t="shared" si="320"/>
        <v>60</v>
      </c>
      <c r="AN141" s="36"/>
      <c r="AO141" s="36"/>
      <c r="AP141" s="36"/>
      <c r="AQ141" s="36"/>
      <c r="AR141" s="36">
        <f t="shared" si="322"/>
        <v>0</v>
      </c>
      <c r="AS141" s="36"/>
      <c r="AT141" s="36"/>
      <c r="AU141" s="36"/>
      <c r="AV141" s="36"/>
      <c r="AW141" s="36"/>
      <c r="AX141" s="36"/>
      <c r="AY141" s="36"/>
      <c r="AZ141" s="36"/>
      <c r="BA141" s="36">
        <f t="shared" si="321"/>
        <v>0</v>
      </c>
      <c r="BB141" s="32"/>
      <c r="BC141" s="501"/>
      <c r="BD141" s="501"/>
      <c r="BE141" s="32"/>
      <c r="BF141" s="501"/>
    </row>
    <row r="142" spans="1:58" ht="16.5" customHeight="1">
      <c r="A142" s="39"/>
      <c r="B142" s="40"/>
      <c r="C142" s="413"/>
      <c r="D142" s="40"/>
      <c r="E142" s="41"/>
      <c r="F142" s="41"/>
      <c r="G142" s="497"/>
      <c r="H142" s="43"/>
      <c r="I142" s="44"/>
      <c r="J142" s="81"/>
      <c r="K142" s="81"/>
      <c r="L142" s="34"/>
      <c r="M142" s="34"/>
      <c r="N142" s="45"/>
      <c r="O142" s="46"/>
      <c r="P142" s="47"/>
      <c r="Q142" s="46"/>
      <c r="R142" s="498"/>
      <c r="S142" s="498"/>
      <c r="T142" s="36"/>
      <c r="U142" s="36"/>
      <c r="V142" s="36"/>
      <c r="W142" s="36"/>
      <c r="X142" s="499"/>
      <c r="Y142" s="210"/>
      <c r="Z142" s="36"/>
      <c r="AA142" s="48"/>
      <c r="AB142" s="48"/>
      <c r="AC142" s="36"/>
      <c r="AD142" s="36"/>
      <c r="AE142" s="229"/>
      <c r="AF142" s="36"/>
      <c r="AG142" s="36"/>
      <c r="AH142" s="36"/>
      <c r="AI142" s="500"/>
      <c r="AJ142" s="36"/>
      <c r="AK142" s="36"/>
      <c r="AL142" s="36"/>
      <c r="AM142" s="36"/>
      <c r="AN142" s="36"/>
      <c r="AO142" s="36"/>
      <c r="AP142" s="36"/>
      <c r="AQ142" s="36"/>
      <c r="AR142" s="36"/>
      <c r="AS142" s="36"/>
      <c r="AT142" s="36"/>
      <c r="AU142" s="36"/>
      <c r="AV142" s="36"/>
      <c r="AW142" s="36"/>
      <c r="AX142" s="36"/>
      <c r="AY142" s="36"/>
      <c r="AZ142" s="36"/>
      <c r="BA142" s="36"/>
      <c r="BB142" s="32"/>
      <c r="BC142" s="50"/>
      <c r="BD142" s="501"/>
      <c r="BE142" s="32"/>
      <c r="BF142" s="501"/>
    </row>
    <row r="143" spans="1:58" ht="12.75" customHeight="1">
      <c r="A143" s="39">
        <v>46109</v>
      </c>
      <c r="B143" s="40" t="s">
        <v>551</v>
      </c>
      <c r="C143" s="413">
        <f t="shared" ref="C143" si="323">(M143*E143*O143*Q143)/100000000</f>
        <v>42.946225919999996</v>
      </c>
      <c r="D143" s="40" t="s">
        <v>301</v>
      </c>
      <c r="E143" s="41">
        <v>13</v>
      </c>
      <c r="F143" s="41">
        <v>1</v>
      </c>
      <c r="G143" s="497">
        <v>1230</v>
      </c>
      <c r="H143" s="43">
        <f t="shared" ref="H143" si="324">+N143</f>
        <v>0.22000000000000008</v>
      </c>
      <c r="I143" s="44">
        <v>0.88</v>
      </c>
      <c r="J143" s="81">
        <f t="shared" ref="J143" si="325">E143*G143*(1-H143)*1440/1000000*2.74</f>
        <v>49.210312320000007</v>
      </c>
      <c r="K143" s="81">
        <f t="shared" ref="K143" si="326">(IF(G143&lt;L143,L143,G143)*(1-IF(H143&lt;N143,H143,N143))*E143*O143*Q143)/100000000</f>
        <v>46.067317920000001</v>
      </c>
      <c r="L143" s="34">
        <v>1146.6666666666667</v>
      </c>
      <c r="M143" s="34">
        <v>894.4</v>
      </c>
      <c r="N143" s="45">
        <f t="shared" ref="N143" si="327">1-(M143/L143)</f>
        <v>0.22000000000000008</v>
      </c>
      <c r="O143" s="46">
        <f>+'Trim Rwd'!H84</f>
        <v>256.5</v>
      </c>
      <c r="P143" s="47">
        <f t="shared" ref="P143" si="328">O143*(Q143-R143-S143)</f>
        <v>352174.5</v>
      </c>
      <c r="Q143" s="46">
        <v>1440</v>
      </c>
      <c r="R143" s="498">
        <v>0</v>
      </c>
      <c r="S143" s="498">
        <v>67</v>
      </c>
      <c r="T143" s="36">
        <f t="shared" ref="T143" si="329">E143*M143*O143*Q143/100000000</f>
        <v>42.946225919999996</v>
      </c>
      <c r="U143" s="36">
        <f t="shared" ref="U143" si="330">E143*M143*O143*(Q143-R143-S143)/100000000</f>
        <v>40.948033463999998</v>
      </c>
      <c r="V143" s="36">
        <f t="shared" ref="V143" si="331">E143*G143*(1-N143)*O143/100*(R143+S143)/1000000</f>
        <v>2.1434099309999999</v>
      </c>
      <c r="W143" s="36">
        <f>+'28'!K15/1000</f>
        <v>39.438000000000002</v>
      </c>
      <c r="X143" s="499">
        <f>SUM(W143:W146)/SUM(K143:K146)</f>
        <v>0.85609498839258669</v>
      </c>
      <c r="Y143" s="210">
        <v>0</v>
      </c>
      <c r="Z143" s="36">
        <v>0</v>
      </c>
      <c r="AA143" s="48">
        <f>SUM(U143:U146)-SUM(W143:W146)-SUM(Z143:Z146)-SUM(Y143:Y146)</f>
        <v>1.5100334639999957</v>
      </c>
      <c r="AB143" s="48">
        <f>(SUM(K143:K146)-SUM(W143:W146)-SUM(Y143:Y146)-SUM(Z143:Z146)-SUM(AC143:AC146)-SUM(V143:V146))-AA143</f>
        <v>-0.14521747500000171</v>
      </c>
      <c r="AC143" s="36">
        <f>K143-T143</f>
        <v>3.1210920000000044</v>
      </c>
      <c r="AD143" s="36">
        <f t="shared" ref="AD143:AD145" si="332">+AM143+BA143</f>
        <v>16</v>
      </c>
      <c r="AE143" s="229" t="s">
        <v>435</v>
      </c>
      <c r="AF143" s="36">
        <v>16</v>
      </c>
      <c r="AG143" s="36"/>
      <c r="AH143" s="36"/>
      <c r="AI143" s="36"/>
      <c r="AJ143" s="36"/>
      <c r="AK143" s="36"/>
      <c r="AL143" s="36"/>
      <c r="AM143" s="36">
        <f t="shared" ref="AM143:AM145" si="333">SUM(AF143:AL143)+AT143+AV143+AX143</f>
        <v>16</v>
      </c>
      <c r="AN143" s="36"/>
      <c r="AO143" s="36"/>
      <c r="AP143" s="36"/>
      <c r="AQ143" s="36"/>
      <c r="AR143" s="36">
        <f>SUM(AN143:AQ143)</f>
        <v>0</v>
      </c>
      <c r="AS143" s="36"/>
      <c r="AT143" s="36"/>
      <c r="AU143" s="36"/>
      <c r="AV143" s="36"/>
      <c r="AW143" s="36"/>
      <c r="AX143" s="36"/>
      <c r="AY143" s="36"/>
      <c r="AZ143" s="36"/>
      <c r="BA143" s="36">
        <f t="shared" ref="BA143:BA145" si="334">+AR143+AS143+AU143+AW143+AY143+AZ143</f>
        <v>0</v>
      </c>
      <c r="BB143" s="32">
        <v>6</v>
      </c>
      <c r="BC143" s="50"/>
      <c r="BD143" s="50"/>
      <c r="BE143" s="32"/>
      <c r="BF143" s="50"/>
    </row>
    <row r="144" spans="1:58" ht="12.95" customHeight="1">
      <c r="A144" s="39"/>
      <c r="B144" s="40"/>
      <c r="C144" s="413"/>
      <c r="D144" s="40"/>
      <c r="E144" s="41"/>
      <c r="F144" s="41"/>
      <c r="G144" s="497"/>
      <c r="H144" s="43"/>
      <c r="I144" s="44"/>
      <c r="J144" s="81"/>
      <c r="K144" s="81"/>
      <c r="L144" s="34"/>
      <c r="M144" s="34"/>
      <c r="N144" s="45"/>
      <c r="O144" s="46"/>
      <c r="P144" s="47"/>
      <c r="Q144" s="46"/>
      <c r="R144" s="498"/>
      <c r="S144" s="498"/>
      <c r="T144" s="36"/>
      <c r="U144" s="36"/>
      <c r="V144" s="36"/>
      <c r="W144" s="36"/>
      <c r="X144" s="37"/>
      <c r="Y144" s="210"/>
      <c r="Z144" s="36"/>
      <c r="AA144" s="36"/>
      <c r="AB144" s="36"/>
      <c r="AC144" s="36">
        <f>K144-T144</f>
        <v>0</v>
      </c>
      <c r="AD144" s="36">
        <f t="shared" si="332"/>
        <v>0</v>
      </c>
      <c r="AE144" s="229" t="s">
        <v>283</v>
      </c>
      <c r="AF144" s="36"/>
      <c r="AG144" s="36">
        <v>0</v>
      </c>
      <c r="AH144" s="36"/>
      <c r="AI144" s="36"/>
      <c r="AJ144" s="36"/>
      <c r="AK144" s="36"/>
      <c r="AL144" s="36"/>
      <c r="AM144" s="36">
        <f t="shared" si="333"/>
        <v>0</v>
      </c>
      <c r="AN144" s="82"/>
      <c r="AO144" s="36"/>
      <c r="AP144" s="36"/>
      <c r="AQ144" s="36"/>
      <c r="AR144" s="36">
        <f t="shared" ref="AR144:AR145" si="335">SUM(AN144:AQ144)</f>
        <v>0</v>
      </c>
      <c r="AS144" s="36"/>
      <c r="AT144" s="36"/>
      <c r="AU144" s="36"/>
      <c r="AV144" s="36"/>
      <c r="AW144" s="36"/>
      <c r="AX144" s="36"/>
      <c r="AY144" s="36"/>
      <c r="AZ144" s="36"/>
      <c r="BA144" s="36">
        <f t="shared" si="334"/>
        <v>0</v>
      </c>
      <c r="BB144" s="49"/>
      <c r="BC144" s="50">
        <v>0</v>
      </c>
      <c r="BD144" s="50"/>
      <c r="BE144" s="49"/>
      <c r="BF144" s="50"/>
    </row>
    <row r="145" spans="1:58" ht="12.95" customHeight="1">
      <c r="A145" s="39"/>
      <c r="B145" s="40"/>
      <c r="C145" s="413"/>
      <c r="D145" s="40"/>
      <c r="E145" s="41"/>
      <c r="F145" s="41"/>
      <c r="G145" s="497"/>
      <c r="H145" s="43"/>
      <c r="I145" s="44"/>
      <c r="J145" s="81"/>
      <c r="K145" s="81"/>
      <c r="L145" s="34"/>
      <c r="M145" s="34"/>
      <c r="N145" s="45"/>
      <c r="O145" s="46"/>
      <c r="P145" s="47"/>
      <c r="Q145" s="46"/>
      <c r="R145" s="498"/>
      <c r="S145" s="498"/>
      <c r="T145" s="36"/>
      <c r="U145" s="36"/>
      <c r="V145" s="36"/>
      <c r="W145" s="36"/>
      <c r="X145" s="37"/>
      <c r="Y145" s="210"/>
      <c r="Z145" s="36"/>
      <c r="AA145" s="36"/>
      <c r="AB145" s="36"/>
      <c r="AC145" s="36"/>
      <c r="AD145" s="36">
        <f t="shared" si="332"/>
        <v>51</v>
      </c>
      <c r="AE145" s="229" t="s">
        <v>748</v>
      </c>
      <c r="AF145" s="32"/>
      <c r="AG145" s="32"/>
      <c r="AH145" s="32">
        <v>51</v>
      </c>
      <c r="AI145" s="36"/>
      <c r="AJ145" s="36"/>
      <c r="AK145" s="36"/>
      <c r="AL145" s="36"/>
      <c r="AM145" s="36">
        <f t="shared" si="333"/>
        <v>51</v>
      </c>
      <c r="AN145" s="36"/>
      <c r="AO145" s="36"/>
      <c r="AP145" s="36"/>
      <c r="AQ145" s="36"/>
      <c r="AR145" s="36">
        <f t="shared" si="335"/>
        <v>0</v>
      </c>
      <c r="AS145" s="36"/>
      <c r="AT145" s="36"/>
      <c r="AU145" s="36"/>
      <c r="AV145" s="36"/>
      <c r="AW145" s="36"/>
      <c r="AX145" s="36"/>
      <c r="AY145" s="36"/>
      <c r="AZ145" s="36"/>
      <c r="BA145" s="36">
        <f t="shared" si="334"/>
        <v>0</v>
      </c>
      <c r="BB145" s="32"/>
      <c r="BC145" s="501"/>
      <c r="BD145" s="501"/>
      <c r="BE145" s="32"/>
      <c r="BF145" s="501"/>
    </row>
    <row r="146" spans="1:58" ht="12.95" customHeight="1">
      <c r="A146" s="39"/>
      <c r="B146" s="40"/>
      <c r="C146" s="413"/>
      <c r="D146" s="40"/>
      <c r="E146" s="41"/>
      <c r="F146" s="41"/>
      <c r="G146" s="42"/>
      <c r="H146" s="43"/>
      <c r="I146" s="44"/>
      <c r="J146" s="81"/>
      <c r="K146" s="81"/>
      <c r="L146" s="34"/>
      <c r="M146" s="34"/>
      <c r="N146" s="45"/>
      <c r="O146" s="46"/>
      <c r="P146" s="47"/>
      <c r="Q146" s="46"/>
      <c r="R146" s="498"/>
      <c r="S146" s="498"/>
      <c r="T146" s="36"/>
      <c r="U146" s="36"/>
      <c r="V146" s="36"/>
      <c r="W146" s="36"/>
      <c r="X146" s="499"/>
      <c r="Y146" s="210"/>
      <c r="Z146" s="36"/>
      <c r="AA146" s="48"/>
      <c r="AB146" s="48"/>
      <c r="AC146" s="36"/>
      <c r="AD146" s="36"/>
      <c r="AE146" s="229"/>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2"/>
      <c r="BC146" s="50"/>
      <c r="BD146" s="50"/>
      <c r="BE146" s="50"/>
      <c r="BF146" s="50"/>
    </row>
    <row r="147" spans="1:58" ht="12.75" customHeight="1">
      <c r="A147" s="39">
        <v>46110</v>
      </c>
      <c r="B147" s="40" t="s">
        <v>551</v>
      </c>
      <c r="C147" s="413">
        <f t="shared" ref="C147" si="336">(M147*E147*O147*Q147)/100000000</f>
        <v>42.212769299999998</v>
      </c>
      <c r="D147" s="40" t="s">
        <v>301</v>
      </c>
      <c r="E147" s="41">
        <v>13</v>
      </c>
      <c r="F147" s="41">
        <v>1</v>
      </c>
      <c r="G147" s="497">
        <v>1230</v>
      </c>
      <c r="H147" s="43">
        <f t="shared" ref="H147" si="337">+N147</f>
        <v>0.21999999999999997</v>
      </c>
      <c r="I147" s="44">
        <v>0.88</v>
      </c>
      <c r="J147" s="81">
        <f t="shared" ref="J147" si="338">E147*G147*(1-H147)*1440/1000000*2.74</f>
        <v>49.210312320000007</v>
      </c>
      <c r="K147" s="81">
        <f t="shared" ref="K147" si="339">(IF(G147&lt;L147,L147,G147)*(1-IF(H147&lt;N147,H147,N147))*E147*O147*Q147)/100000000</f>
        <v>46.067317920000001</v>
      </c>
      <c r="L147" s="34">
        <v>1127.0833333333333</v>
      </c>
      <c r="M147" s="34">
        <v>879.125</v>
      </c>
      <c r="N147" s="45">
        <f t="shared" ref="N147" si="340">1-(M147/L147)</f>
        <v>0.21999999999999997</v>
      </c>
      <c r="O147" s="46">
        <f>+'Trim Rwd'!H87</f>
        <v>256.5</v>
      </c>
      <c r="P147" s="47">
        <f t="shared" ref="P147" si="341">O147*(Q147-R147-S147)</f>
        <v>352944</v>
      </c>
      <c r="Q147" s="46">
        <v>1440</v>
      </c>
      <c r="R147" s="498">
        <v>0</v>
      </c>
      <c r="S147" s="498">
        <v>64</v>
      </c>
      <c r="T147" s="36">
        <f t="shared" ref="T147" si="342">E147*M147*O147*Q147/100000000</f>
        <v>42.212769299999998</v>
      </c>
      <c r="U147" s="36">
        <f t="shared" ref="U147" si="343">E147*M147*O147*(Q147-R147-S147)/100000000</f>
        <v>40.336646219999999</v>
      </c>
      <c r="V147" s="36">
        <f t="shared" ref="V147" si="344">E147*G147*(1-N147)*O147/100*(R147+S147)/1000000</f>
        <v>2.0474363520000001</v>
      </c>
      <c r="W147" s="36">
        <f>+'29'!K15/1000</f>
        <v>38.027999999999999</v>
      </c>
      <c r="X147" s="499">
        <f>SUM(W147:W150)/SUM(K147:K150)</f>
        <v>0.82548760633382234</v>
      </c>
      <c r="Y147" s="210">
        <v>0</v>
      </c>
      <c r="Z147" s="36">
        <v>0</v>
      </c>
      <c r="AA147" s="48">
        <f>SUM(U147:U150)-SUM(W147:W150)-SUM(Z147:Z150)-SUM(Y147:Y150)</f>
        <v>2.30864622</v>
      </c>
      <c r="AB147" s="48">
        <f>(SUM(K147:K150)-SUM(W147:W150)-SUM(Y147:Y150)-SUM(Z147:Z150)-SUM(AC147:AC150)-SUM(V147:V150))-AA147</f>
        <v>-0.17131327200000079</v>
      </c>
      <c r="AC147" s="36">
        <f>K147-T147</f>
        <v>3.8545486200000028</v>
      </c>
      <c r="AD147" s="36">
        <f t="shared" ref="AD147:AD149" si="345">+AM147+BA147</f>
        <v>10</v>
      </c>
      <c r="AE147" s="229" t="s">
        <v>413</v>
      </c>
      <c r="AF147" s="36">
        <v>10</v>
      </c>
      <c r="AG147" s="36"/>
      <c r="AH147" s="36"/>
      <c r="AI147" s="36"/>
      <c r="AJ147" s="36"/>
      <c r="AK147" s="36"/>
      <c r="AL147" s="36"/>
      <c r="AM147" s="36">
        <f t="shared" ref="AM147:AM149" si="346">SUM(AF147:AL147)+AT147+AV147+AX147</f>
        <v>10</v>
      </c>
      <c r="AN147" s="36"/>
      <c r="AO147" s="36"/>
      <c r="AP147" s="36"/>
      <c r="AQ147" s="36"/>
      <c r="AR147" s="36">
        <f>SUM(AN147:AQ147)</f>
        <v>0</v>
      </c>
      <c r="AS147" s="36"/>
      <c r="AT147" s="36"/>
      <c r="AU147" s="36"/>
      <c r="AV147" s="36"/>
      <c r="AW147" s="36"/>
      <c r="AX147" s="36"/>
      <c r="AY147" s="36"/>
      <c r="AZ147" s="36"/>
      <c r="BA147" s="36">
        <f t="shared" ref="BA147:BA149" si="347">+AR147+AS147+AU147+AW147+AY147+AZ147</f>
        <v>0</v>
      </c>
      <c r="BB147" s="32">
        <v>4</v>
      </c>
      <c r="BC147" s="50"/>
      <c r="BD147" s="50"/>
      <c r="BE147" s="32"/>
      <c r="BF147" s="50"/>
    </row>
    <row r="148" spans="1:58" ht="12.95" customHeight="1">
      <c r="A148" s="39"/>
      <c r="B148" s="40"/>
      <c r="C148" s="413"/>
      <c r="D148" s="40"/>
      <c r="E148" s="41"/>
      <c r="F148" s="41"/>
      <c r="G148" s="497"/>
      <c r="H148" s="43"/>
      <c r="I148" s="44"/>
      <c r="J148" s="81"/>
      <c r="K148" s="81"/>
      <c r="L148" s="34"/>
      <c r="M148" s="34"/>
      <c r="N148" s="45"/>
      <c r="O148" s="46"/>
      <c r="P148" s="47"/>
      <c r="Q148" s="46"/>
      <c r="R148" s="498"/>
      <c r="S148" s="498"/>
      <c r="T148" s="36"/>
      <c r="U148" s="36"/>
      <c r="V148" s="36"/>
      <c r="W148" s="36"/>
      <c r="X148" s="37"/>
      <c r="Y148" s="210"/>
      <c r="Z148" s="36"/>
      <c r="AA148" s="36"/>
      <c r="AB148" s="36"/>
      <c r="AC148" s="36">
        <f>K148-T148</f>
        <v>0</v>
      </c>
      <c r="AD148" s="36">
        <f t="shared" si="345"/>
        <v>6</v>
      </c>
      <c r="AE148" s="229" t="s">
        <v>620</v>
      </c>
      <c r="AF148" s="36"/>
      <c r="AG148" s="36">
        <v>6</v>
      </c>
      <c r="AH148" s="36"/>
      <c r="AI148" s="36"/>
      <c r="AJ148" s="36"/>
      <c r="AK148" s="36"/>
      <c r="AL148" s="36"/>
      <c r="AM148" s="36">
        <f t="shared" si="346"/>
        <v>6</v>
      </c>
      <c r="AN148" s="82"/>
      <c r="AO148" s="36"/>
      <c r="AP148" s="36"/>
      <c r="AQ148" s="36"/>
      <c r="AR148" s="36">
        <f t="shared" ref="AR148:AR149" si="348">SUM(AN148:AQ148)</f>
        <v>0</v>
      </c>
      <c r="AS148" s="36"/>
      <c r="AT148" s="36"/>
      <c r="AU148" s="36"/>
      <c r="AV148" s="36"/>
      <c r="AW148" s="36"/>
      <c r="AX148" s="36"/>
      <c r="AY148" s="36"/>
      <c r="AZ148" s="36"/>
      <c r="BA148" s="36">
        <f t="shared" si="347"/>
        <v>0</v>
      </c>
      <c r="BB148" s="49"/>
      <c r="BC148" s="50">
        <v>8</v>
      </c>
      <c r="BD148" s="50"/>
      <c r="BE148" s="49"/>
      <c r="BF148" s="50"/>
    </row>
    <row r="149" spans="1:58" ht="12.95" customHeight="1">
      <c r="A149" s="39"/>
      <c r="B149" s="40"/>
      <c r="C149" s="413"/>
      <c r="D149" s="40"/>
      <c r="E149" s="41"/>
      <c r="F149" s="41"/>
      <c r="G149" s="497"/>
      <c r="H149" s="43"/>
      <c r="I149" s="44"/>
      <c r="J149" s="81"/>
      <c r="K149" s="81"/>
      <c r="L149" s="34"/>
      <c r="M149" s="34"/>
      <c r="N149" s="45"/>
      <c r="O149" s="46"/>
      <c r="P149" s="47"/>
      <c r="Q149" s="46"/>
      <c r="R149" s="498"/>
      <c r="S149" s="498"/>
      <c r="T149" s="36"/>
      <c r="U149" s="36"/>
      <c r="V149" s="36"/>
      <c r="W149" s="36"/>
      <c r="X149" s="37"/>
      <c r="Y149" s="210"/>
      <c r="Z149" s="36"/>
      <c r="AA149" s="36"/>
      <c r="AB149" s="36"/>
      <c r="AC149" s="36"/>
      <c r="AD149" s="36">
        <f t="shared" si="345"/>
        <v>48</v>
      </c>
      <c r="AE149" s="229" t="s">
        <v>656</v>
      </c>
      <c r="AF149" s="32"/>
      <c r="AG149" s="32"/>
      <c r="AH149" s="32">
        <v>48</v>
      </c>
      <c r="AI149" s="36"/>
      <c r="AJ149" s="36"/>
      <c r="AK149" s="36"/>
      <c r="AL149" s="36"/>
      <c r="AM149" s="36">
        <f t="shared" si="346"/>
        <v>48</v>
      </c>
      <c r="AN149" s="36"/>
      <c r="AO149" s="36"/>
      <c r="AP149" s="36"/>
      <c r="AQ149" s="36"/>
      <c r="AR149" s="36">
        <f t="shared" si="348"/>
        <v>0</v>
      </c>
      <c r="AS149" s="36"/>
      <c r="AT149" s="36"/>
      <c r="AU149" s="36"/>
      <c r="AV149" s="36"/>
      <c r="AW149" s="36"/>
      <c r="AX149" s="36"/>
      <c r="AY149" s="36"/>
      <c r="AZ149" s="36"/>
      <c r="BA149" s="36">
        <f t="shared" si="347"/>
        <v>0</v>
      </c>
      <c r="BB149" s="32"/>
      <c r="BC149" s="501"/>
      <c r="BD149" s="501"/>
      <c r="BE149" s="32"/>
      <c r="BF149" s="501"/>
    </row>
    <row r="150" spans="1:58" ht="12.95" customHeight="1">
      <c r="A150" s="39"/>
      <c r="B150" s="40"/>
      <c r="C150" s="413"/>
      <c r="D150" s="40"/>
      <c r="E150" s="41"/>
      <c r="F150" s="41"/>
      <c r="G150" s="42"/>
      <c r="H150" s="43"/>
      <c r="I150" s="44"/>
      <c r="J150" s="81"/>
      <c r="K150" s="81"/>
      <c r="L150" s="34"/>
      <c r="M150" s="34"/>
      <c r="N150" s="45"/>
      <c r="O150" s="46"/>
      <c r="P150" s="47"/>
      <c r="Q150" s="46"/>
      <c r="R150" s="498"/>
      <c r="S150" s="498"/>
      <c r="T150" s="36"/>
      <c r="U150" s="36"/>
      <c r="V150" s="36"/>
      <c r="W150" s="36"/>
      <c r="X150" s="37"/>
      <c r="Y150" s="210"/>
      <c r="Z150" s="36"/>
      <c r="AA150" s="36"/>
      <c r="AB150" s="36"/>
      <c r="AC150" s="36"/>
      <c r="AD150" s="36"/>
      <c r="AE150" s="229"/>
      <c r="AF150" s="32"/>
      <c r="AG150" s="32"/>
      <c r="AH150" s="32"/>
      <c r="AJ150" s="36"/>
      <c r="AK150" s="36"/>
      <c r="AL150" s="36"/>
      <c r="AM150" s="36"/>
      <c r="AN150" s="36"/>
      <c r="AO150" s="36"/>
      <c r="AP150" s="36"/>
      <c r="AQ150" s="36"/>
      <c r="AR150" s="36"/>
      <c r="AS150" s="36"/>
      <c r="AT150" s="36"/>
      <c r="AU150" s="36"/>
      <c r="AV150" s="36"/>
      <c r="AW150" s="36"/>
      <c r="AX150" s="36"/>
      <c r="AY150" s="36"/>
      <c r="AZ150" s="36"/>
      <c r="BA150" s="36"/>
      <c r="BB150" s="32"/>
      <c r="BC150" s="501"/>
      <c r="BD150" s="50"/>
      <c r="BE150" s="50"/>
      <c r="BF150" s="50"/>
    </row>
    <row r="151" spans="1:58" ht="12.75" customHeight="1">
      <c r="A151" s="39">
        <v>46111</v>
      </c>
      <c r="B151" s="40" t="s">
        <v>551</v>
      </c>
      <c r="C151" s="413">
        <f t="shared" ref="C151:C152" si="349">(M151*E151*O151*Q151)/100000000</f>
        <v>8.9358709440000013</v>
      </c>
      <c r="D151" s="40" t="s">
        <v>301</v>
      </c>
      <c r="E151" s="41">
        <v>13</v>
      </c>
      <c r="F151" s="41">
        <v>1</v>
      </c>
      <c r="G151" s="497">
        <v>1230</v>
      </c>
      <c r="H151" s="43">
        <f t="shared" ref="H151:H152" si="350">+N151</f>
        <v>0.21999999999999997</v>
      </c>
      <c r="I151" s="44">
        <v>0.88</v>
      </c>
      <c r="J151" s="81">
        <f t="shared" ref="J151:J152" si="351">E151*G151*(1-H151)*1440/1000000*2.74</f>
        <v>49.210312320000007</v>
      </c>
      <c r="K151" s="81">
        <f t="shared" ref="K151:K152" si="352">(IF(G151&lt;L151,L151,G151)*(1-IF(H151&lt;N151,H151,N151))*E151*O151*Q151)/100000000</f>
        <v>9.8135011259999985</v>
      </c>
      <c r="L151" s="34">
        <v>1120</v>
      </c>
      <c r="M151" s="34">
        <v>873.6</v>
      </c>
      <c r="N151" s="45">
        <f t="shared" ref="N151:N152" si="353">1-(M151/L151)</f>
        <v>0.21999999999999997</v>
      </c>
      <c r="O151" s="46">
        <f>+'Trim Rwd'!H90</f>
        <v>253</v>
      </c>
      <c r="P151" s="47">
        <f t="shared" ref="P151:P152" si="354">O151*(Q151-R151-S151)</f>
        <v>75394</v>
      </c>
      <c r="Q151" s="46">
        <v>311</v>
      </c>
      <c r="R151" s="498">
        <v>0</v>
      </c>
      <c r="S151" s="498">
        <v>13</v>
      </c>
      <c r="T151" s="36">
        <f t="shared" ref="T151:T152" si="355">E151*M151*O151*Q151/100000000</f>
        <v>8.9358709440000013</v>
      </c>
      <c r="U151" s="36">
        <f t="shared" ref="U151:U152" si="356">E151*M151*O151*(Q151-R151-S151)/100000000</f>
        <v>8.5623457920000021</v>
      </c>
      <c r="V151" s="36">
        <f t="shared" ref="V151:V152" si="357">E151*G151*(1-N151)*O151/100*(R151+S151)/1000000</f>
        <v>0.41021065800000001</v>
      </c>
      <c r="W151" s="36">
        <f>+'30'!K15/1000</f>
        <v>9.7159999999999993</v>
      </c>
      <c r="X151" s="499">
        <f>SUM(W151:W154)/SUM(K151:K154)</f>
        <v>0.82396085974574729</v>
      </c>
      <c r="Y151" s="210">
        <v>0</v>
      </c>
      <c r="Z151" s="36">
        <v>0</v>
      </c>
      <c r="AA151" s="48">
        <f>SUM(U151:U154)-SUM(W151:W154)-SUM(Z151:Z154)-SUM(Y151:Y154)</f>
        <v>3.7254082226637593</v>
      </c>
      <c r="AB151" s="48">
        <f>(SUM(K151:K154)-SUM(W151:W154)-SUM(Y151:Y154)-SUM(Z151:Z154)-SUM(AC151:AC154)-SUM(V151:V154))-AA151</f>
        <v>-7.9947246524015192E-2</v>
      </c>
      <c r="AC151" s="36">
        <f>K151-T151</f>
        <v>0.87763018199999721</v>
      </c>
      <c r="AD151" s="36">
        <f t="shared" ref="AD151:AD153" si="358">+AM151+BA151</f>
        <v>12</v>
      </c>
      <c r="AE151" s="229" t="s">
        <v>413</v>
      </c>
      <c r="AF151" s="36">
        <v>12</v>
      </c>
      <c r="AG151" s="36"/>
      <c r="AH151" s="36"/>
      <c r="AI151" s="36"/>
      <c r="AJ151" s="36"/>
      <c r="AK151" s="36"/>
      <c r="AL151" s="36"/>
      <c r="AM151" s="36">
        <f t="shared" ref="AM151:AM153" si="359">SUM(AF151:AL151)+AT151+AV151+AX151</f>
        <v>12</v>
      </c>
      <c r="AN151" s="36"/>
      <c r="AO151" s="36"/>
      <c r="AP151" s="36"/>
      <c r="AQ151" s="36"/>
      <c r="AR151" s="36">
        <f>SUM(AN151:AQ151)</f>
        <v>0</v>
      </c>
      <c r="AS151" s="36"/>
      <c r="AT151" s="36"/>
      <c r="AU151" s="36"/>
      <c r="AV151" s="36"/>
      <c r="AW151" s="36"/>
      <c r="AX151" s="36"/>
      <c r="AY151" s="36"/>
      <c r="AZ151" s="36"/>
      <c r="BA151" s="36">
        <f t="shared" ref="BA151:BA153" si="360">+AR151+AS151+AU151+AW151+AY151+AZ151</f>
        <v>0</v>
      </c>
      <c r="BB151" s="32">
        <v>4</v>
      </c>
      <c r="BC151" s="50"/>
      <c r="BD151" s="50"/>
      <c r="BE151" s="32"/>
      <c r="BF151" s="50"/>
    </row>
    <row r="152" spans="1:58" ht="12.95" customHeight="1">
      <c r="A152" s="39"/>
      <c r="B152" s="40" t="s">
        <v>7</v>
      </c>
      <c r="C152" s="413">
        <f t="shared" si="349"/>
        <v>31.895108030139742</v>
      </c>
      <c r="D152" s="40" t="s">
        <v>301</v>
      </c>
      <c r="E152" s="41">
        <v>11.5</v>
      </c>
      <c r="F152" s="41">
        <v>1</v>
      </c>
      <c r="G152" s="497">
        <v>1230</v>
      </c>
      <c r="H152" s="43">
        <f t="shared" si="350"/>
        <v>0.22999999999999998</v>
      </c>
      <c r="I152" s="44">
        <v>0.88</v>
      </c>
      <c r="J152" s="81">
        <f t="shared" si="351"/>
        <v>42.974094239999999</v>
      </c>
      <c r="K152" s="81">
        <f t="shared" si="352"/>
        <v>32.709149781000001</v>
      </c>
      <c r="L152" s="34">
        <v>1199.3886462882097</v>
      </c>
      <c r="M152" s="34">
        <v>923.5292576419215</v>
      </c>
      <c r="N152" s="45">
        <f t="shared" si="353"/>
        <v>0.22999999999999998</v>
      </c>
      <c r="O152" s="46">
        <f>+'Trim Rwd'!H92</f>
        <v>266</v>
      </c>
      <c r="P152" s="47">
        <f t="shared" si="354"/>
        <v>284354</v>
      </c>
      <c r="Q152" s="46">
        <v>1129</v>
      </c>
      <c r="R152" s="498">
        <v>0</v>
      </c>
      <c r="S152" s="498">
        <v>60</v>
      </c>
      <c r="T152" s="36">
        <f t="shared" si="355"/>
        <v>31.895108030139742</v>
      </c>
      <c r="U152" s="36">
        <f t="shared" si="356"/>
        <v>30.200062430663756</v>
      </c>
      <c r="V152" s="36">
        <f t="shared" si="357"/>
        <v>1.73830734</v>
      </c>
      <c r="W152" s="36">
        <f>+'30'!K13/1000</f>
        <v>25.321000000000002</v>
      </c>
      <c r="X152" s="37"/>
      <c r="Y152" s="210"/>
      <c r="Z152" s="36"/>
      <c r="AA152" s="36"/>
      <c r="AB152" s="36"/>
      <c r="AC152" s="36">
        <f>K152-T152</f>
        <v>0.81404175086025887</v>
      </c>
      <c r="AD152" s="36">
        <f t="shared" si="358"/>
        <v>11</v>
      </c>
      <c r="AE152" s="229" t="s">
        <v>718</v>
      </c>
      <c r="AF152" s="36"/>
      <c r="AG152" s="36">
        <v>11</v>
      </c>
      <c r="AH152" s="36"/>
      <c r="AI152" s="36"/>
      <c r="AJ152" s="36"/>
      <c r="AK152" s="36"/>
      <c r="AL152" s="36"/>
      <c r="AM152" s="36">
        <f t="shared" si="359"/>
        <v>11</v>
      </c>
      <c r="AN152" s="82"/>
      <c r="AO152" s="36"/>
      <c r="AP152" s="36"/>
      <c r="AQ152" s="36"/>
      <c r="AR152" s="36">
        <f t="shared" ref="AR152:AR153" si="361">SUM(AN152:AQ152)</f>
        <v>0</v>
      </c>
      <c r="AS152" s="36"/>
      <c r="AT152" s="36"/>
      <c r="AU152" s="36"/>
      <c r="AV152" s="36"/>
      <c r="AW152" s="36"/>
      <c r="AX152" s="36"/>
      <c r="AY152" s="36"/>
      <c r="AZ152" s="36"/>
      <c r="BA152" s="36">
        <f t="shared" si="360"/>
        <v>0</v>
      </c>
      <c r="BB152" s="49"/>
      <c r="BC152" s="50">
        <v>5</v>
      </c>
      <c r="BD152" s="50"/>
      <c r="BE152" s="49"/>
      <c r="BF152" s="50"/>
    </row>
    <row r="153" spans="1:58" ht="12.95" customHeight="1">
      <c r="A153" s="39"/>
      <c r="B153" s="40"/>
      <c r="C153" s="413"/>
      <c r="D153" s="40"/>
      <c r="E153" s="41"/>
      <c r="F153" s="41"/>
      <c r="G153" s="497"/>
      <c r="H153" s="43"/>
      <c r="I153" s="44"/>
      <c r="J153" s="81"/>
      <c r="K153" s="81"/>
      <c r="L153" s="34"/>
      <c r="M153" s="34"/>
      <c r="N153" s="45"/>
      <c r="O153" s="46"/>
      <c r="P153" s="47"/>
      <c r="Q153" s="46"/>
      <c r="R153" s="498"/>
      <c r="S153" s="498"/>
      <c r="T153" s="36"/>
      <c r="U153" s="36"/>
      <c r="V153" s="36"/>
      <c r="W153" s="36"/>
      <c r="X153" s="37"/>
      <c r="Y153" s="210"/>
      <c r="Z153" s="36"/>
      <c r="AA153" s="36"/>
      <c r="AB153" s="36"/>
      <c r="AC153" s="36"/>
      <c r="AD153" s="36">
        <f t="shared" si="358"/>
        <v>50</v>
      </c>
      <c r="AE153" s="229" t="s">
        <v>553</v>
      </c>
      <c r="AF153" s="32"/>
      <c r="AG153" s="32"/>
      <c r="AH153" s="32">
        <v>50</v>
      </c>
      <c r="AI153" s="36"/>
      <c r="AJ153" s="36"/>
      <c r="AK153" s="36"/>
      <c r="AL153" s="36"/>
      <c r="AM153" s="36">
        <f t="shared" si="359"/>
        <v>50</v>
      </c>
      <c r="AN153" s="36"/>
      <c r="AO153" s="36"/>
      <c r="AP153" s="36"/>
      <c r="AQ153" s="36"/>
      <c r="AR153" s="36">
        <f t="shared" si="361"/>
        <v>0</v>
      </c>
      <c r="AS153" s="36"/>
      <c r="AT153" s="36"/>
      <c r="AU153" s="36"/>
      <c r="AV153" s="36"/>
      <c r="AW153" s="36"/>
      <c r="AX153" s="36"/>
      <c r="AY153" s="36"/>
      <c r="AZ153" s="36"/>
      <c r="BA153" s="36">
        <f t="shared" si="360"/>
        <v>0</v>
      </c>
      <c r="BB153" s="32"/>
      <c r="BC153" s="501"/>
      <c r="BD153" s="501"/>
      <c r="BE153" s="32"/>
      <c r="BF153" s="501"/>
    </row>
    <row r="154" spans="1:58" ht="12.95" customHeight="1">
      <c r="A154" s="39"/>
      <c r="B154" s="40"/>
      <c r="C154" s="413"/>
      <c r="D154" s="40"/>
      <c r="E154" s="41"/>
      <c r="F154" s="41"/>
      <c r="G154" s="497"/>
      <c r="H154" s="43"/>
      <c r="I154" s="44"/>
      <c r="J154" s="81"/>
      <c r="K154" s="81"/>
      <c r="L154" s="34"/>
      <c r="M154" s="34"/>
      <c r="N154" s="45"/>
      <c r="O154" s="46"/>
      <c r="P154" s="47"/>
      <c r="Q154" s="46"/>
      <c r="R154" s="498"/>
      <c r="S154" s="498"/>
      <c r="T154" s="36"/>
      <c r="U154" s="36"/>
      <c r="V154" s="36"/>
      <c r="W154" s="36"/>
      <c r="X154" s="37"/>
      <c r="Y154" s="210"/>
      <c r="Z154" s="36"/>
      <c r="AA154" s="36"/>
      <c r="AB154" s="36"/>
      <c r="AC154" s="36"/>
      <c r="AD154" s="36"/>
      <c r="AE154" s="229"/>
      <c r="AF154" s="36"/>
      <c r="AG154" s="36"/>
      <c r="AH154" s="36"/>
      <c r="AI154" s="500"/>
      <c r="AJ154" s="36"/>
      <c r="AK154" s="36"/>
      <c r="AL154" s="36"/>
      <c r="AM154" s="36"/>
      <c r="AN154" s="82"/>
      <c r="AO154" s="36"/>
      <c r="AP154" s="36"/>
      <c r="AQ154" s="36"/>
      <c r="AR154" s="36"/>
      <c r="AS154" s="36"/>
      <c r="AT154" s="36"/>
      <c r="AU154" s="36"/>
      <c r="AV154" s="36"/>
      <c r="AW154" s="36"/>
      <c r="AX154" s="36"/>
      <c r="AY154" s="36"/>
      <c r="AZ154" s="36"/>
      <c r="BA154" s="36"/>
      <c r="BB154" s="49"/>
      <c r="BC154" s="50"/>
      <c r="BD154" s="50"/>
      <c r="BE154" s="50"/>
      <c r="BF154" s="50"/>
    </row>
    <row r="155" spans="1:58" ht="12.75" customHeight="1">
      <c r="A155" s="39">
        <v>46112</v>
      </c>
      <c r="B155" s="40" t="s">
        <v>7</v>
      </c>
      <c r="C155" s="413">
        <f t="shared" ref="C155" si="362">(M155*E155*O155*Q155)/100000000</f>
        <v>40.449401356913945</v>
      </c>
      <c r="D155" s="40" t="s">
        <v>301</v>
      </c>
      <c r="E155" s="41">
        <v>11.5</v>
      </c>
      <c r="F155" s="41">
        <v>1</v>
      </c>
      <c r="G155" s="497">
        <v>1230</v>
      </c>
      <c r="H155" s="43">
        <f t="shared" ref="H155" si="363">+N155</f>
        <v>0.24</v>
      </c>
      <c r="I155" s="44">
        <v>0.88</v>
      </c>
      <c r="J155" s="81">
        <f t="shared" ref="J155" si="364">E155*G155*(1-H155)*1440/1000000*2.74</f>
        <v>42.415989120000006</v>
      </c>
      <c r="K155" s="81">
        <f t="shared" ref="K155" si="365">(IF(G155&lt;L155,L155,G155)*(1-IF(H155&lt;N155,H155,N155))*E155*O155*Q155)/100000000</f>
        <v>41.177566079999998</v>
      </c>
      <c r="L155" s="34">
        <v>1208.2492581602373</v>
      </c>
      <c r="M155" s="34">
        <v>918.26943620178042</v>
      </c>
      <c r="N155" s="45">
        <f t="shared" ref="N155" si="366">1-(M155/L155)</f>
        <v>0.24</v>
      </c>
      <c r="O155" s="46">
        <f>+'Trim Rwd'!H94</f>
        <v>266</v>
      </c>
      <c r="P155" s="47">
        <f t="shared" ref="P155" si="367">O155*(Q155-R155-S155)</f>
        <v>342342</v>
      </c>
      <c r="Q155" s="46">
        <v>1440</v>
      </c>
      <c r="R155" s="498">
        <v>92</v>
      </c>
      <c r="S155" s="498">
        <v>61</v>
      </c>
      <c r="T155" s="36">
        <f t="shared" ref="T155" si="368">E155*M155*O155*Q155/100000000</f>
        <v>40.449401356913945</v>
      </c>
      <c r="U155" s="36">
        <f t="shared" ref="U155" si="369">E155*M155*O155*(Q155-R155-S155)/100000000</f>
        <v>36.151652462741843</v>
      </c>
      <c r="V155" s="36">
        <f t="shared" ref="V155" si="370">E155*G155*(1-N155)*O155/100*(R155+S155)/1000000</f>
        <v>4.375116396000001</v>
      </c>
      <c r="W155" s="36">
        <f>+'31'!K13/1000</f>
        <v>35.978999999999999</v>
      </c>
      <c r="X155" s="499">
        <f>SUM(W155:W158)/SUM(K155:K158)</f>
        <v>0.87375246827604636</v>
      </c>
      <c r="Y155" s="210">
        <f>+SUM(RBP!AG3:AG4)</f>
        <v>3.3039999999999998</v>
      </c>
      <c r="Z155" s="36">
        <v>0</v>
      </c>
      <c r="AA155" s="48">
        <f>SUM(U155:U158)-SUM(W155:W158)-SUM(Z155:Z158)-SUM(Y155:Y158)</f>
        <v>-3.1313475372581556</v>
      </c>
      <c r="AB155" s="48">
        <f>(SUM(K155:K158)-SUM(W155:W158)-SUM(Y155:Y158)-SUM(Z155:Z158)-SUM(AC155:AC158)-SUM(V155:V158))-AA155</f>
        <v>-7.7367501827898977E-2</v>
      </c>
      <c r="AC155" s="36">
        <f>K155-T155</f>
        <v>0.72816472308605285</v>
      </c>
      <c r="AD155" s="36">
        <f t="shared" ref="AD155:AD158" si="371">+AM155+BA155</f>
        <v>14</v>
      </c>
      <c r="AE155" s="229" t="s">
        <v>435</v>
      </c>
      <c r="AF155" s="36">
        <v>14</v>
      </c>
      <c r="AG155" s="36"/>
      <c r="AH155" s="36"/>
      <c r="AI155" s="36"/>
      <c r="AJ155" s="36"/>
      <c r="AK155" s="36"/>
      <c r="AL155" s="36"/>
      <c r="AM155" s="36">
        <f t="shared" ref="AM155:AM157" si="372">SUM(AF155:AL155)+AT155+AV155+AX155</f>
        <v>14</v>
      </c>
      <c r="AN155" s="36"/>
      <c r="AO155" s="36"/>
      <c r="AP155" s="36"/>
      <c r="AQ155" s="36"/>
      <c r="AR155" s="36">
        <f>SUM(AN155:AQ155)</f>
        <v>0</v>
      </c>
      <c r="AS155" s="36"/>
      <c r="AT155" s="36"/>
      <c r="AU155" s="36"/>
      <c r="AV155" s="36"/>
      <c r="AW155" s="36"/>
      <c r="AX155" s="36"/>
      <c r="AY155" s="36"/>
      <c r="AZ155" s="36"/>
      <c r="BA155" s="36">
        <f t="shared" ref="BA155:BA158" si="373">+AR155+AS155+AU155+AW155+AY155+AZ155</f>
        <v>0</v>
      </c>
      <c r="BB155" s="32">
        <v>6</v>
      </c>
      <c r="BC155" s="50"/>
      <c r="BD155" s="50"/>
      <c r="BE155" s="32"/>
      <c r="BF155" s="50"/>
    </row>
    <row r="156" spans="1:58" ht="12.95" customHeight="1">
      <c r="A156" s="39"/>
      <c r="B156" s="40"/>
      <c r="C156" s="413"/>
      <c r="D156" s="40"/>
      <c r="E156" s="41"/>
      <c r="F156" s="41"/>
      <c r="G156" s="497"/>
      <c r="H156" s="43"/>
      <c r="I156" s="44"/>
      <c r="J156" s="81"/>
      <c r="K156" s="81"/>
      <c r="L156" s="34"/>
      <c r="M156" s="34"/>
      <c r="N156" s="45"/>
      <c r="O156" s="46"/>
      <c r="P156" s="47"/>
      <c r="Q156" s="46"/>
      <c r="R156" s="498"/>
      <c r="S156" s="498"/>
      <c r="T156" s="36"/>
      <c r="U156" s="36"/>
      <c r="V156" s="36"/>
      <c r="W156" s="36"/>
      <c r="X156" s="37"/>
      <c r="Y156" s="210"/>
      <c r="Z156" s="36"/>
      <c r="AA156" s="36"/>
      <c r="AB156" s="36"/>
      <c r="AC156" s="36">
        <f>K156-T156</f>
        <v>0</v>
      </c>
      <c r="AD156" s="36">
        <f t="shared" si="371"/>
        <v>6</v>
      </c>
      <c r="AE156" s="229" t="s">
        <v>787</v>
      </c>
      <c r="AF156" s="36"/>
      <c r="AG156" s="36">
        <v>6</v>
      </c>
      <c r="AH156" s="36"/>
      <c r="AI156" s="36"/>
      <c r="AJ156" s="36"/>
      <c r="AK156" s="36"/>
      <c r="AL156" s="36"/>
      <c r="AM156" s="36">
        <f t="shared" si="372"/>
        <v>6</v>
      </c>
      <c r="AN156" s="82"/>
      <c r="AO156" s="36"/>
      <c r="AP156" s="36"/>
      <c r="AQ156" s="36"/>
      <c r="AR156" s="36">
        <f t="shared" ref="AR156:AR157" si="374">SUM(AN156:AQ156)</f>
        <v>0</v>
      </c>
      <c r="AS156" s="36"/>
      <c r="AT156" s="36"/>
      <c r="AU156" s="36"/>
      <c r="AV156" s="36"/>
      <c r="AW156" s="36"/>
      <c r="AX156" s="36"/>
      <c r="AY156" s="36"/>
      <c r="AZ156" s="36"/>
      <c r="BA156" s="36">
        <f t="shared" si="373"/>
        <v>0</v>
      </c>
      <c r="BB156" s="49"/>
      <c r="BC156" s="50">
        <v>3</v>
      </c>
      <c r="BD156" s="50"/>
      <c r="BE156" s="49"/>
      <c r="BF156" s="50"/>
    </row>
    <row r="157" spans="1:58" ht="12.95" customHeight="1">
      <c r="A157" s="39"/>
      <c r="B157" s="40"/>
      <c r="C157" s="413"/>
      <c r="D157" s="40"/>
      <c r="E157" s="41"/>
      <c r="F157" s="41"/>
      <c r="G157" s="497"/>
      <c r="H157" s="43"/>
      <c r="I157" s="44"/>
      <c r="J157" s="81"/>
      <c r="K157" s="81"/>
      <c r="L157" s="34"/>
      <c r="M157" s="34"/>
      <c r="N157" s="45"/>
      <c r="O157" s="46"/>
      <c r="P157" s="47"/>
      <c r="Q157" s="46"/>
      <c r="R157" s="498"/>
      <c r="S157" s="498"/>
      <c r="T157" s="36"/>
      <c r="U157" s="36"/>
      <c r="V157" s="36"/>
      <c r="W157" s="36"/>
      <c r="X157" s="37"/>
      <c r="Y157" s="210"/>
      <c r="Z157" s="36"/>
      <c r="AA157" s="36"/>
      <c r="AB157" s="36"/>
      <c r="AC157" s="36"/>
      <c r="AD157" s="36">
        <f t="shared" si="371"/>
        <v>41</v>
      </c>
      <c r="AE157" s="229" t="s">
        <v>573</v>
      </c>
      <c r="AF157" s="32"/>
      <c r="AG157" s="32"/>
      <c r="AH157" s="32">
        <v>41</v>
      </c>
      <c r="AI157" s="36"/>
      <c r="AJ157" s="36"/>
      <c r="AK157" s="36"/>
      <c r="AL157" s="36"/>
      <c r="AM157" s="36">
        <f t="shared" si="372"/>
        <v>41</v>
      </c>
      <c r="AN157" s="36"/>
      <c r="AO157" s="36"/>
      <c r="AP157" s="36"/>
      <c r="AQ157" s="36"/>
      <c r="AR157" s="36">
        <f t="shared" si="374"/>
        <v>0</v>
      </c>
      <c r="AS157" s="36"/>
      <c r="AT157" s="36"/>
      <c r="AU157" s="36"/>
      <c r="AV157" s="36"/>
      <c r="AW157" s="36"/>
      <c r="AX157" s="36"/>
      <c r="AY157" s="36"/>
      <c r="AZ157" s="36"/>
      <c r="BA157" s="36">
        <f t="shared" si="373"/>
        <v>0</v>
      </c>
      <c r="BB157" s="32"/>
      <c r="BC157" s="501"/>
      <c r="BD157" s="501"/>
      <c r="BE157" s="32"/>
      <c r="BF157" s="501"/>
    </row>
    <row r="158" spans="1:58" ht="12.95" customHeight="1">
      <c r="A158" s="39"/>
      <c r="B158" s="40"/>
      <c r="C158" s="413"/>
      <c r="D158" s="40"/>
      <c r="E158" s="41"/>
      <c r="F158" s="41"/>
      <c r="G158" s="497"/>
      <c r="H158" s="43"/>
      <c r="I158" s="44"/>
      <c r="J158" s="81"/>
      <c r="K158" s="81"/>
      <c r="L158" s="34"/>
      <c r="M158" s="34"/>
      <c r="N158" s="45"/>
      <c r="O158" s="46"/>
      <c r="P158" s="47"/>
      <c r="Q158" s="46"/>
      <c r="R158" s="498"/>
      <c r="S158" s="498"/>
      <c r="T158" s="36"/>
      <c r="U158" s="36"/>
      <c r="V158" s="36"/>
      <c r="W158" s="36"/>
      <c r="X158" s="37"/>
      <c r="Y158" s="210"/>
      <c r="Z158" s="36"/>
      <c r="AA158" s="36"/>
      <c r="AB158" s="36"/>
      <c r="AC158" s="36"/>
      <c r="AD158" s="36">
        <f t="shared" si="371"/>
        <v>92</v>
      </c>
      <c r="AE158" s="229" t="s">
        <v>792</v>
      </c>
      <c r="AF158" s="32"/>
      <c r="AG158" s="32"/>
      <c r="AH158" s="32"/>
      <c r="AI158" s="36"/>
      <c r="AJ158" s="36"/>
      <c r="AK158" s="36"/>
      <c r="AL158" s="36"/>
      <c r="AM158" s="36">
        <f t="shared" ref="AM158" si="375">SUM(AF158:AL158)+AT158+AV158+AX158</f>
        <v>0</v>
      </c>
      <c r="AN158" s="36"/>
      <c r="AO158" s="36">
        <v>92</v>
      </c>
      <c r="AP158" s="36"/>
      <c r="AQ158" s="36"/>
      <c r="AR158" s="36">
        <f t="shared" ref="AR158" si="376">SUM(AN158:AQ158)</f>
        <v>92</v>
      </c>
      <c r="AS158" s="36"/>
      <c r="AT158" s="36"/>
      <c r="AU158" s="36"/>
      <c r="AV158" s="36"/>
      <c r="AW158" s="36"/>
      <c r="AX158" s="36"/>
      <c r="AY158" s="36"/>
      <c r="AZ158" s="36"/>
      <c r="BA158" s="36">
        <f t="shared" si="373"/>
        <v>92</v>
      </c>
      <c r="BB158" s="32"/>
      <c r="BC158" s="501"/>
      <c r="BD158" s="501"/>
      <c r="BE158" s="32"/>
      <c r="BF158" s="501"/>
    </row>
    <row r="159" spans="1:58">
      <c r="R159" s="502"/>
      <c r="S159" s="502"/>
      <c r="AA159" s="246">
        <f>U159-W159-Z159</f>
        <v>0</v>
      </c>
      <c r="AB159" s="246"/>
      <c r="AC159" s="247">
        <f>K159-T159</f>
        <v>0</v>
      </c>
      <c r="AD159" s="36"/>
      <c r="AF159" s="51"/>
      <c r="AG159" s="51"/>
      <c r="AH159" s="51"/>
      <c r="AI159" s="51"/>
      <c r="AJ159" s="51"/>
      <c r="AK159" s="51"/>
      <c r="AL159" s="51"/>
      <c r="AM159" s="36">
        <f t="shared" ref="AM159" si="377">SUM(AF159:AL159)</f>
        <v>0</v>
      </c>
      <c r="AN159" s="51"/>
      <c r="AO159" s="51"/>
      <c r="AP159" s="51"/>
      <c r="AQ159" s="51"/>
      <c r="AR159" s="36">
        <f t="shared" ref="AR159" si="378">SUM(AN159:AQ159)</f>
        <v>0</v>
      </c>
      <c r="AS159" s="51"/>
      <c r="AT159" s="51"/>
      <c r="AU159" s="51"/>
      <c r="AV159" s="51"/>
      <c r="AW159" s="51"/>
      <c r="AX159" s="51"/>
      <c r="AY159" s="51"/>
      <c r="AZ159" s="51"/>
      <c r="BA159" s="36"/>
      <c r="BB159" s="32"/>
      <c r="BC159" s="50"/>
      <c r="BD159" s="50"/>
      <c r="BE159" s="50"/>
      <c r="BF159" s="50"/>
    </row>
    <row r="160" spans="1:58" s="26" customFormat="1" ht="12.95" customHeight="1">
      <c r="A160" s="55"/>
      <c r="B160" s="56"/>
      <c r="C160" s="414">
        <f>SUM(C6:C158)</f>
        <v>1037.5618214398842</v>
      </c>
      <c r="D160" s="56"/>
      <c r="E160" s="57"/>
      <c r="F160" s="57"/>
      <c r="G160" s="58"/>
      <c r="H160" s="58"/>
      <c r="I160" s="59">
        <v>0.85</v>
      </c>
      <c r="J160" s="81"/>
      <c r="K160" s="83">
        <f>SUM(K6:K158)</f>
        <v>1077.2886195041378</v>
      </c>
      <c r="L160" s="61"/>
      <c r="M160" s="61"/>
      <c r="N160" s="62"/>
      <c r="O160" s="63">
        <f>P160/(Q160-R160-S160)</f>
        <v>262.80545653943153</v>
      </c>
      <c r="P160" s="60">
        <f>SUM(P6:P158)</f>
        <v>8201369.8822260406</v>
      </c>
      <c r="Q160" s="332">
        <f>SUM(Q6:Q159)</f>
        <v>33824</v>
      </c>
      <c r="R160" s="60">
        <f t="shared" ref="R160:W160" si="379">SUM(R6:R158)</f>
        <v>565</v>
      </c>
      <c r="S160" s="60">
        <f t="shared" si="379"/>
        <v>2052</v>
      </c>
      <c r="T160" s="60">
        <f t="shared" si="379"/>
        <v>1037.5618214398842</v>
      </c>
      <c r="U160" s="60">
        <f t="shared" si="379"/>
        <v>958.12350821274958</v>
      </c>
      <c r="V160" s="356">
        <f t="shared" si="379"/>
        <v>82.516598465523018</v>
      </c>
      <c r="W160" s="445">
        <f t="shared" si="379"/>
        <v>906.26300000000003</v>
      </c>
      <c r="X160" s="493">
        <f>W160/K160</f>
        <v>0.8412443829743057</v>
      </c>
      <c r="Y160" s="357">
        <f>SUM(Y6:Y158)</f>
        <v>3.3039999999999998</v>
      </c>
      <c r="Z160" s="445">
        <f>SUM(Z6:Z158)</f>
        <v>1.1160000000000001</v>
      </c>
      <c r="AA160" s="60">
        <f>SUM(AA6:AA158)</f>
        <v>47.440508212749471</v>
      </c>
      <c r="AB160" s="60">
        <f>SUM(AB6:AB158)</f>
        <v>-3.0782852383886086</v>
      </c>
      <c r="AC160" s="60">
        <f>SUM(AC6:AC158)</f>
        <v>39.7267980642537</v>
      </c>
      <c r="AD160" s="36">
        <f>SUM(AD6:AD159)</f>
        <v>2617</v>
      </c>
      <c r="AE160" s="64"/>
      <c r="AF160" s="60">
        <f t="shared" ref="AF160:BF160" si="380">SUM(AF6:AF159)</f>
        <v>424</v>
      </c>
      <c r="AG160" s="60">
        <f t="shared" si="380"/>
        <v>108</v>
      </c>
      <c r="AH160" s="60">
        <f t="shared" si="380"/>
        <v>1167</v>
      </c>
      <c r="AI160" s="60">
        <f t="shared" si="380"/>
        <v>0</v>
      </c>
      <c r="AJ160" s="60">
        <f t="shared" si="380"/>
        <v>0</v>
      </c>
      <c r="AK160" s="60">
        <f t="shared" si="380"/>
        <v>353</v>
      </c>
      <c r="AL160" s="60">
        <f t="shared" si="380"/>
        <v>0</v>
      </c>
      <c r="AM160" s="60">
        <f t="shared" si="380"/>
        <v>2052</v>
      </c>
      <c r="AN160" s="51">
        <f t="shared" si="380"/>
        <v>105</v>
      </c>
      <c r="AO160" s="51">
        <f t="shared" si="380"/>
        <v>92</v>
      </c>
      <c r="AP160" s="51">
        <f t="shared" si="380"/>
        <v>145</v>
      </c>
      <c r="AQ160" s="51">
        <f t="shared" si="380"/>
        <v>0</v>
      </c>
      <c r="AR160" s="60">
        <f t="shared" si="380"/>
        <v>342</v>
      </c>
      <c r="AS160" s="60">
        <f t="shared" si="380"/>
        <v>0</v>
      </c>
      <c r="AT160" s="60">
        <f t="shared" si="380"/>
        <v>0</v>
      </c>
      <c r="AU160" s="60">
        <f t="shared" si="380"/>
        <v>0</v>
      </c>
      <c r="AV160" s="60">
        <f t="shared" si="380"/>
        <v>0</v>
      </c>
      <c r="AW160" s="60">
        <f t="shared" si="380"/>
        <v>223</v>
      </c>
      <c r="AX160" s="60">
        <f t="shared" si="380"/>
        <v>0</v>
      </c>
      <c r="AY160" s="60">
        <f t="shared" si="380"/>
        <v>0</v>
      </c>
      <c r="AZ160" s="60">
        <f t="shared" si="380"/>
        <v>0</v>
      </c>
      <c r="BA160" s="60">
        <f t="shared" si="380"/>
        <v>565</v>
      </c>
      <c r="BB160" s="51">
        <f t="shared" si="380"/>
        <v>151</v>
      </c>
      <c r="BC160" s="51">
        <f t="shared" si="380"/>
        <v>55</v>
      </c>
      <c r="BD160" s="51">
        <f t="shared" si="380"/>
        <v>2</v>
      </c>
      <c r="BE160" s="51">
        <f t="shared" si="380"/>
        <v>0</v>
      </c>
      <c r="BF160" s="51">
        <f t="shared" si="380"/>
        <v>1</v>
      </c>
    </row>
    <row r="161" spans="1:58" s="26" customFormat="1" ht="12.95" customHeight="1">
      <c r="A161" s="55"/>
      <c r="B161" s="56"/>
      <c r="C161" s="56"/>
      <c r="D161" s="56"/>
      <c r="E161" s="57"/>
      <c r="F161" s="57"/>
      <c r="G161" s="58"/>
      <c r="H161" s="58"/>
      <c r="I161" s="58"/>
      <c r="J161" s="84"/>
      <c r="K161" s="84"/>
      <c r="L161" s="61"/>
      <c r="M161" s="61"/>
      <c r="N161" s="62"/>
      <c r="O161" s="659"/>
      <c r="P161" s="660"/>
      <c r="Q161" s="58">
        <f>31*1440-Q160</f>
        <v>10816</v>
      </c>
      <c r="R161" s="65">
        <f>R160/Q160</f>
        <v>1.6704115421002839E-2</v>
      </c>
      <c r="S161" s="65">
        <f>S160/Q160</f>
        <v>6.0666982024597915E-2</v>
      </c>
      <c r="T161" s="343"/>
      <c r="U161" s="343"/>
      <c r="V161" s="345">
        <f>V160/K160</f>
        <v>7.6596556365279664E-2</v>
      </c>
      <c r="W161" s="361" t="s">
        <v>168</v>
      </c>
      <c r="X161" s="494">
        <v>0.85</v>
      </c>
      <c r="Y161" s="358">
        <f>Y160/K160</f>
        <v>3.0669589747646165E-3</v>
      </c>
      <c r="Z161" s="66">
        <f>Z160/K160</f>
        <v>1.0359340846965233E-3</v>
      </c>
      <c r="AA161" s="66">
        <f>AA160/K160</f>
        <v>4.403695291479616E-2</v>
      </c>
      <c r="AB161" s="66">
        <f>AB160/K160</f>
        <v>-2.8574378143950913E-3</v>
      </c>
      <c r="AC161" s="495">
        <f>AC160/K160</f>
        <v>3.6876652500552207E-2</v>
      </c>
      <c r="AD161" s="346"/>
      <c r="AE161" s="38"/>
      <c r="AF161" s="66">
        <f>AF160/$AD$160*$V$161</f>
        <v>1.2409988497851958E-2</v>
      </c>
      <c r="AG161" s="66">
        <f>AG160/$AD$160*$V$161</f>
        <v>3.1610348060566312E-3</v>
      </c>
      <c r="AH161" s="66">
        <f>AH160/$AD$160*$V$161</f>
        <v>3.4156737209889709E-2</v>
      </c>
      <c r="AI161" s="66">
        <f>AI160/$AD$160*$V$161</f>
        <v>0</v>
      </c>
      <c r="AJ161" s="66">
        <f t="shared" ref="AJ161:BA161" si="381">AJ160/$AD$160*$V$161</f>
        <v>0</v>
      </c>
      <c r="AK161" s="66">
        <f t="shared" si="381"/>
        <v>1.0331900801277692E-2</v>
      </c>
      <c r="AL161" s="66">
        <f t="shared" si="381"/>
        <v>0</v>
      </c>
      <c r="AM161" s="66">
        <f t="shared" si="381"/>
        <v>6.0059661315075993E-2</v>
      </c>
      <c r="AN161" s="66">
        <f t="shared" si="381"/>
        <v>3.0732282836661694E-3</v>
      </c>
      <c r="AO161" s="66">
        <f t="shared" si="381"/>
        <v>2.6927333533075005E-3</v>
      </c>
      <c r="AP161" s="66">
        <f t="shared" si="381"/>
        <v>4.2439819155389961E-3</v>
      </c>
      <c r="AQ161" s="66">
        <f t="shared" si="381"/>
        <v>0</v>
      </c>
      <c r="AR161" s="66">
        <f t="shared" si="381"/>
        <v>1.0009943552512666E-2</v>
      </c>
      <c r="AS161" s="66">
        <f t="shared" si="381"/>
        <v>0</v>
      </c>
      <c r="AT161" s="66">
        <f t="shared" si="381"/>
        <v>0</v>
      </c>
      <c r="AU161" s="66">
        <f t="shared" si="381"/>
        <v>0</v>
      </c>
      <c r="AV161" s="66">
        <f>AV160/$AD$160*$V$161</f>
        <v>0</v>
      </c>
      <c r="AW161" s="66">
        <f t="shared" ref="AW161:AZ161" si="382">AW160/$AD$160*$V$161</f>
        <v>6.5269514976910069E-3</v>
      </c>
      <c r="AX161" s="66">
        <f t="shared" si="382"/>
        <v>0</v>
      </c>
      <c r="AY161" s="66">
        <f t="shared" si="382"/>
        <v>0</v>
      </c>
      <c r="AZ161" s="66">
        <f t="shared" si="382"/>
        <v>0</v>
      </c>
      <c r="BA161" s="66">
        <f t="shared" si="381"/>
        <v>1.653689505020367E-2</v>
      </c>
      <c r="BB161" s="33" t="s">
        <v>167</v>
      </c>
      <c r="BC161" s="33" t="s">
        <v>167</v>
      </c>
      <c r="BD161" s="33" t="s">
        <v>399</v>
      </c>
      <c r="BE161" s="33" t="s">
        <v>399</v>
      </c>
      <c r="BF161" s="33" t="s">
        <v>399</v>
      </c>
    </row>
    <row r="162" spans="1:58" ht="12.95" customHeight="1">
      <c r="A162" s="55"/>
      <c r="B162" s="56"/>
      <c r="C162" s="56"/>
      <c r="D162" s="56"/>
      <c r="E162" s="57"/>
      <c r="F162" s="57"/>
      <c r="G162" s="33"/>
      <c r="H162" s="33"/>
      <c r="I162" s="33"/>
      <c r="J162" s="81"/>
      <c r="K162" s="81"/>
      <c r="L162" s="34"/>
      <c r="M162" s="34"/>
      <c r="N162" s="32"/>
      <c r="O162" s="35"/>
      <c r="P162" s="27"/>
      <c r="Q162" s="33"/>
      <c r="R162" s="36">
        <f>R160-(BA160)</f>
        <v>0</v>
      </c>
      <c r="S162" s="36">
        <f>S160-SUM(AF160:AL160)</f>
        <v>0</v>
      </c>
      <c r="T162" s="32"/>
      <c r="U162" s="32"/>
      <c r="V162" s="32"/>
      <c r="W162" s="359"/>
      <c r="X162" s="360"/>
      <c r="Y162" s="67">
        <f>+Y160-(SUM(RBP!AG3:AG4))</f>
        <v>0</v>
      </c>
      <c r="Z162" s="36"/>
      <c r="AA162" s="32"/>
      <c r="AB162" s="32"/>
      <c r="AC162" s="32"/>
      <c r="AD162" s="32"/>
      <c r="AE162" s="38"/>
      <c r="AF162" s="333"/>
      <c r="AG162" s="333"/>
      <c r="AH162" s="333"/>
      <c r="AI162" s="333"/>
      <c r="AJ162" s="76"/>
      <c r="AK162" s="76"/>
      <c r="AL162" s="76"/>
      <c r="AM162" s="76"/>
      <c r="AN162" s="76"/>
      <c r="AO162" s="76"/>
      <c r="AP162" s="76"/>
      <c r="AQ162" s="76"/>
      <c r="AR162" s="76"/>
      <c r="AS162" s="76"/>
      <c r="AT162" s="534">
        <v>0</v>
      </c>
      <c r="AU162" s="534">
        <v>0</v>
      </c>
      <c r="AV162" s="534">
        <v>0</v>
      </c>
      <c r="AW162" s="534">
        <v>948</v>
      </c>
      <c r="AX162" s="534">
        <v>0</v>
      </c>
      <c r="AY162" s="534">
        <v>0</v>
      </c>
      <c r="AZ162" s="534">
        <v>10091</v>
      </c>
      <c r="BA162" s="76"/>
      <c r="BB162" s="503">
        <f>BB160/($Q$160/1440)/2</f>
        <v>3.2142857142857144</v>
      </c>
      <c r="BC162" s="503">
        <f>BC160/($Q$160/1440)/2</f>
        <v>1.1707663197729423</v>
      </c>
      <c r="BD162" s="503">
        <f>BD160/($Q$160/1440)</f>
        <v>8.5146641438032175E-2</v>
      </c>
      <c r="BE162" s="503">
        <f>BE160/($Q$160/1440)</f>
        <v>0</v>
      </c>
      <c r="BF162" s="503">
        <f>BF160/($Q$160/1440)</f>
        <v>4.2573320719016088E-2</v>
      </c>
    </row>
    <row r="163" spans="1:58">
      <c r="A163" s="68"/>
      <c r="B163" s="69"/>
      <c r="C163" s="69"/>
      <c r="D163" s="69"/>
      <c r="E163" s="70"/>
      <c r="F163" s="70"/>
      <c r="G163" s="71"/>
      <c r="H163" s="71"/>
      <c r="I163" s="71"/>
      <c r="J163" s="85"/>
      <c r="K163" s="85"/>
      <c r="O163" s="72"/>
      <c r="P163" s="73"/>
      <c r="Q163" s="71"/>
      <c r="R163" s="52"/>
      <c r="S163" s="52"/>
      <c r="U163" s="74"/>
      <c r="V163" s="74"/>
      <c r="W163" s="75" t="s">
        <v>119</v>
      </c>
      <c r="X163" s="496">
        <f>W160/U160</f>
        <v>0.94587283605065875</v>
      </c>
      <c r="Y163" s="496"/>
      <c r="Z163" s="52"/>
      <c r="AD163" s="82"/>
      <c r="AE163" s="77"/>
      <c r="AF163" s="78"/>
      <c r="AG163" s="78"/>
      <c r="AH163" s="78"/>
      <c r="AI163" s="78"/>
      <c r="AJ163" s="78"/>
      <c r="AK163" s="78"/>
      <c r="AL163" s="78"/>
      <c r="AM163" s="78"/>
      <c r="AN163" s="76"/>
      <c r="AO163" s="76"/>
      <c r="AP163" s="76"/>
      <c r="AQ163" s="76"/>
      <c r="AR163" s="76"/>
      <c r="AS163" s="78"/>
      <c r="AT163" s="78"/>
      <c r="AU163" s="78"/>
      <c r="AV163" s="78"/>
      <c r="AW163" s="78"/>
      <c r="AX163" s="78"/>
      <c r="AY163" s="78"/>
      <c r="AZ163" s="78"/>
      <c r="BA163" s="76"/>
      <c r="BB163" s="26"/>
      <c r="BC163" s="76"/>
      <c r="BD163" s="76"/>
      <c r="BE163" s="26"/>
      <c r="BF163" s="76"/>
    </row>
    <row r="164" spans="1:58">
      <c r="A164" s="68"/>
      <c r="B164" s="69"/>
      <c r="C164" s="69"/>
      <c r="D164" s="69"/>
      <c r="E164" s="70"/>
      <c r="F164" s="70"/>
      <c r="G164" s="71"/>
      <c r="H164" s="71"/>
      <c r="I164" s="71"/>
      <c r="J164" s="85"/>
      <c r="K164" s="85"/>
      <c r="O164" s="72"/>
      <c r="P164" s="73"/>
      <c r="Q164" s="71"/>
      <c r="R164" s="52"/>
      <c r="S164" s="52"/>
      <c r="U164" s="74"/>
      <c r="V164" s="74"/>
      <c r="W164" s="75"/>
      <c r="X164" s="76"/>
      <c r="Y164" s="76"/>
      <c r="Z164" s="52"/>
      <c r="AA164" s="88"/>
      <c r="AB164" s="88"/>
      <c r="AD164" s="82"/>
      <c r="AE164" s="77"/>
      <c r="AF164" s="78"/>
      <c r="AG164" s="78"/>
      <c r="AH164" s="78"/>
      <c r="AI164" s="78"/>
      <c r="AJ164" s="78"/>
      <c r="AK164" s="78"/>
      <c r="AL164" s="78"/>
      <c r="AM164" s="78"/>
      <c r="AN164" s="78"/>
      <c r="AO164" s="76"/>
      <c r="AP164" s="76"/>
      <c r="AQ164" s="76"/>
      <c r="AR164" s="78"/>
      <c r="AS164" s="76"/>
      <c r="AT164" s="76"/>
      <c r="AU164" s="76"/>
      <c r="AV164" s="76"/>
      <c r="AW164" s="76"/>
      <c r="AX164" s="534">
        <f>+AW160+AV160+AX160+AY160</f>
        <v>223</v>
      </c>
      <c r="AY164" s="534">
        <f>+Efficiency1!AT160+Efficiency1!AU160+Efficiency1!AV160+Efficiency1!AW160+Efficiency1!AX160+Efficiency1!AY160+Efficiency1!AZ160</f>
        <v>11039</v>
      </c>
      <c r="AZ164" s="76"/>
      <c r="BA164" s="76"/>
      <c r="BB164" s="26"/>
      <c r="BC164" s="76"/>
      <c r="BD164" s="76"/>
      <c r="BE164" s="26"/>
      <c r="BF164" s="76"/>
    </row>
    <row r="165" spans="1:58">
      <c r="A165" s="68"/>
      <c r="B165" s="69"/>
      <c r="C165" s="69"/>
      <c r="D165" s="69"/>
      <c r="E165" s="70"/>
      <c r="F165" s="70"/>
      <c r="G165" s="71"/>
      <c r="H165" s="71"/>
      <c r="I165" s="71"/>
      <c r="J165" s="85"/>
      <c r="K165" s="85"/>
      <c r="O165" s="72"/>
      <c r="P165" s="73"/>
      <c r="Q165" s="71"/>
      <c r="R165" s="344"/>
      <c r="S165" s="52"/>
      <c r="U165" s="74"/>
      <c r="V165" s="74"/>
      <c r="W165" s="75" t="s">
        <v>143</v>
      </c>
      <c r="X165" s="333">
        <f>+W160+Y160</f>
        <v>909.56700000000001</v>
      </c>
      <c r="Y165" s="76"/>
      <c r="Z165" s="52"/>
      <c r="AD165" s="82"/>
      <c r="AE165" s="77"/>
      <c r="AF165" s="82"/>
      <c r="AG165" s="82"/>
      <c r="AH165" s="82"/>
      <c r="AI165" s="82"/>
      <c r="AJ165" s="76"/>
      <c r="AK165" s="76"/>
      <c r="AL165" s="76"/>
      <c r="AM165" s="78"/>
      <c r="AN165" s="76"/>
      <c r="AO165" s="76"/>
      <c r="AP165" s="76"/>
      <c r="AQ165" s="76"/>
      <c r="AR165" s="78"/>
      <c r="AS165" s="76"/>
      <c r="AT165" s="76"/>
      <c r="AU165" s="76"/>
      <c r="AV165" s="76"/>
      <c r="AW165" s="76"/>
      <c r="AX165" s="76"/>
      <c r="AY165" s="534">
        <f>31*1440*0.5%</f>
        <v>223.20000000000002</v>
      </c>
      <c r="AZ165" s="76"/>
      <c r="BA165" s="76"/>
      <c r="BB165" s="26"/>
      <c r="BC165" s="76"/>
      <c r="BD165" s="76"/>
      <c r="BE165" s="26"/>
      <c r="BF165" s="76"/>
    </row>
    <row r="166" spans="1:58">
      <c r="A166" s="68"/>
      <c r="C166" s="69" t="s">
        <v>297</v>
      </c>
      <c r="D166" s="69"/>
      <c r="E166" s="70"/>
      <c r="F166" s="70"/>
      <c r="G166" s="71"/>
      <c r="H166" s="71"/>
      <c r="I166" s="71"/>
      <c r="J166" s="85"/>
      <c r="K166" s="85"/>
      <c r="O166" s="72"/>
      <c r="P166" s="73"/>
      <c r="Q166" s="71">
        <f>+Q161-AY166</f>
        <v>0.2000000000007276</v>
      </c>
      <c r="R166" s="344"/>
      <c r="S166" s="52"/>
      <c r="U166" s="74"/>
      <c r="V166" s="354"/>
      <c r="W166" s="355"/>
      <c r="X166" s="349"/>
      <c r="Y166" s="355"/>
      <c r="Z166" s="349"/>
      <c r="AC166" s="592" t="s">
        <v>720</v>
      </c>
      <c r="AD166" s="593">
        <f>+AC122+AC123+AC130</f>
        <v>9.344119846050047</v>
      </c>
      <c r="AE166" s="77"/>
      <c r="AF166" s="342"/>
      <c r="AG166" s="342"/>
      <c r="AH166" s="342"/>
      <c r="AI166" s="342"/>
      <c r="AJ166" s="76"/>
      <c r="AK166" s="76"/>
      <c r="AL166" s="76"/>
      <c r="AM166" s="76"/>
      <c r="AN166" s="76"/>
      <c r="AO166" s="76"/>
      <c r="AP166" s="76"/>
      <c r="AQ166" s="76"/>
      <c r="AR166" s="76"/>
      <c r="AS166" s="76"/>
      <c r="AT166" s="76"/>
      <c r="AU166" s="76"/>
      <c r="AV166" s="76"/>
      <c r="AW166" s="76"/>
      <c r="AX166" s="76"/>
      <c r="AY166" s="534">
        <f>+AY164-AY165</f>
        <v>10815.8</v>
      </c>
      <c r="AZ166" s="76"/>
      <c r="BA166" s="76"/>
      <c r="BB166" s="26"/>
      <c r="BC166" s="76"/>
      <c r="BD166" s="76"/>
      <c r="BE166" s="26"/>
      <c r="BF166" s="76"/>
    </row>
    <row r="167" spans="1:58">
      <c r="A167" s="68"/>
      <c r="B167" s="69"/>
      <c r="C167" s="69" t="s">
        <v>298</v>
      </c>
      <c r="D167" s="69"/>
      <c r="E167" s="70"/>
      <c r="F167" s="70"/>
      <c r="G167" s="71"/>
      <c r="H167" s="71"/>
      <c r="I167" s="71"/>
      <c r="J167" s="85"/>
      <c r="K167" s="85"/>
      <c r="O167" s="72"/>
      <c r="P167" s="73"/>
      <c r="Q167" s="71"/>
      <c r="R167" s="344"/>
      <c r="S167" s="52"/>
      <c r="V167" s="347"/>
      <c r="W167" s="348" t="s">
        <v>304</v>
      </c>
      <c r="X167" s="347"/>
      <c r="Y167" s="347"/>
      <c r="Z167" s="349"/>
      <c r="AC167" s="28" t="s">
        <v>721</v>
      </c>
      <c r="AD167" s="594">
        <f>+AD166/K160</f>
        <v>8.6737385663194187E-3</v>
      </c>
      <c r="AE167" s="77"/>
      <c r="AF167" s="52"/>
      <c r="AG167" s="52"/>
      <c r="AH167" s="52"/>
      <c r="AI167" s="52"/>
      <c r="AJ167" s="52"/>
      <c r="AK167" s="52"/>
      <c r="AL167" s="52"/>
      <c r="AM167" s="52"/>
      <c r="AN167" s="52"/>
      <c r="AO167" s="52"/>
      <c r="AP167" s="52"/>
      <c r="AQ167" s="52"/>
      <c r="AS167" s="52"/>
      <c r="AT167" s="52"/>
      <c r="AU167" s="52"/>
      <c r="AV167" s="52"/>
      <c r="AW167" s="52"/>
      <c r="AX167" s="52"/>
      <c r="AY167" s="52"/>
      <c r="AZ167" s="52"/>
      <c r="BA167" s="52"/>
      <c r="BB167" s="26"/>
      <c r="BE167" s="26"/>
    </row>
    <row r="168" spans="1:58">
      <c r="A168" s="68"/>
      <c r="B168" s="69"/>
      <c r="C168" s="69"/>
      <c r="D168" s="69"/>
      <c r="E168" s="70"/>
      <c r="F168" s="70"/>
      <c r="G168" s="71"/>
      <c r="H168" s="71"/>
      <c r="I168" s="71"/>
      <c r="J168" s="85"/>
      <c r="K168" s="85"/>
      <c r="O168" s="72"/>
      <c r="P168" s="73"/>
      <c r="Q168" s="71"/>
      <c r="R168" s="344"/>
      <c r="S168" s="52"/>
      <c r="V168" s="347"/>
      <c r="W168" s="350" t="s">
        <v>293</v>
      </c>
      <c r="X168" s="504">
        <f>Y161</f>
        <v>3.0669589747646165E-3</v>
      </c>
      <c r="Y168" s="351"/>
      <c r="Z168" s="349"/>
      <c r="AE168" s="77"/>
      <c r="AF168" s="52"/>
      <c r="AG168" s="52"/>
      <c r="AH168" s="52"/>
      <c r="AI168" s="52"/>
      <c r="AJ168" s="52"/>
      <c r="AK168" s="52"/>
      <c r="AL168" s="52"/>
      <c r="AM168" s="52"/>
      <c r="AN168" s="52"/>
      <c r="AO168" s="52"/>
      <c r="AP168" s="52"/>
      <c r="AQ168" s="52"/>
      <c r="AS168" s="52"/>
      <c r="AT168" s="52"/>
      <c r="AU168" s="52"/>
      <c r="AV168" s="52"/>
      <c r="AW168" s="52"/>
      <c r="AX168" s="52"/>
      <c r="AY168" s="52"/>
      <c r="AZ168" s="52"/>
      <c r="BA168" s="52"/>
      <c r="BB168" s="26"/>
      <c r="BE168" s="26"/>
    </row>
    <row r="169" spans="1:58">
      <c r="R169" s="88"/>
      <c r="V169" s="347"/>
      <c r="W169" s="350" t="s">
        <v>147</v>
      </c>
      <c r="X169" s="353">
        <f>Z161</f>
        <v>1.0359340846965233E-3</v>
      </c>
      <c r="Y169" s="352"/>
      <c r="Z169" s="347"/>
    </row>
    <row r="170" spans="1:58">
      <c r="R170" s="88"/>
      <c r="V170" s="347"/>
      <c r="W170" s="350" t="s">
        <v>148</v>
      </c>
      <c r="X170" s="353">
        <f>+AC161-AD167</f>
        <v>2.8202913934232788E-2</v>
      </c>
      <c r="Y170" s="353"/>
      <c r="Z170" s="347"/>
    </row>
    <row r="171" spans="1:58">
      <c r="R171" s="88"/>
      <c r="V171" s="347"/>
      <c r="W171" s="350" t="s">
        <v>149</v>
      </c>
      <c r="X171" s="353">
        <f>AA161</f>
        <v>4.403695291479616E-2</v>
      </c>
      <c r="Y171" s="352"/>
      <c r="Z171" s="347"/>
    </row>
    <row r="172" spans="1:58">
      <c r="V172" s="347"/>
      <c r="W172" s="350" t="s">
        <v>165</v>
      </c>
      <c r="X172" s="353">
        <f>AB161</f>
        <v>-2.8574378143950913E-3</v>
      </c>
      <c r="Y172" s="352" t="s">
        <v>163</v>
      </c>
      <c r="Z172" s="347"/>
    </row>
    <row r="173" spans="1:58">
      <c r="V173" s="347"/>
      <c r="W173" s="350" t="s">
        <v>220</v>
      </c>
      <c r="X173" s="353">
        <f>AF161</f>
        <v>1.2409988497851958E-2</v>
      </c>
      <c r="Y173" s="352"/>
      <c r="Z173" s="347"/>
    </row>
    <row r="174" spans="1:58">
      <c r="V174" s="347"/>
      <c r="W174" s="350" t="s">
        <v>221</v>
      </c>
      <c r="X174" s="353">
        <f>+AG161</f>
        <v>3.1610348060566312E-3</v>
      </c>
      <c r="Y174" s="352"/>
      <c r="Z174" s="347"/>
    </row>
    <row r="175" spans="1:58">
      <c r="V175" s="347"/>
      <c r="W175" s="350" t="s">
        <v>299</v>
      </c>
      <c r="X175" s="353">
        <f>+AH161</f>
        <v>3.4156737209889709E-2</v>
      </c>
      <c r="Y175" s="352"/>
      <c r="Z175" s="347"/>
    </row>
    <row r="176" spans="1:58">
      <c r="V176" s="347"/>
      <c r="W176" s="350" t="s">
        <v>222</v>
      </c>
      <c r="X176" s="353">
        <f>+AI161</f>
        <v>0</v>
      </c>
      <c r="Y176" s="352"/>
      <c r="Z176" s="347"/>
    </row>
    <row r="177" spans="6:26">
      <c r="V177" s="347"/>
      <c r="W177" s="350" t="s">
        <v>156</v>
      </c>
      <c r="X177" s="353">
        <f>+AJ161</f>
        <v>0</v>
      </c>
      <c r="Y177" s="352"/>
      <c r="Z177" s="347"/>
    </row>
    <row r="178" spans="6:26">
      <c r="V178" s="347"/>
      <c r="W178" s="350" t="s">
        <v>158</v>
      </c>
      <c r="X178" s="353">
        <f>+AK161</f>
        <v>1.0331900801277692E-2</v>
      </c>
      <c r="Y178" s="352"/>
      <c r="Z178" s="347"/>
    </row>
    <row r="179" spans="6:26">
      <c r="V179" s="347"/>
      <c r="W179" s="350" t="s">
        <v>157</v>
      </c>
      <c r="X179" s="353">
        <f>+AL161</f>
        <v>0</v>
      </c>
      <c r="Y179" s="352"/>
      <c r="Z179" s="347"/>
    </row>
    <row r="180" spans="6:26">
      <c r="V180" s="347"/>
      <c r="W180" s="350" t="s">
        <v>150</v>
      </c>
      <c r="X180" s="353">
        <f>+AN161</f>
        <v>3.0732282836661694E-3</v>
      </c>
      <c r="Y180" s="352"/>
      <c r="Z180" s="347"/>
    </row>
    <row r="181" spans="6:26">
      <c r="V181" s="347"/>
      <c r="W181" s="350" t="s">
        <v>160</v>
      </c>
      <c r="X181" s="353">
        <f>+AO161</f>
        <v>2.6927333533075005E-3</v>
      </c>
      <c r="Y181" s="352"/>
      <c r="Z181" s="347"/>
    </row>
    <row r="182" spans="6:26">
      <c r="V182" s="347"/>
      <c r="W182" s="350" t="s">
        <v>151</v>
      </c>
      <c r="X182" s="353">
        <f>+AP161</f>
        <v>4.2439819155389961E-3</v>
      </c>
      <c r="Y182" s="352"/>
      <c r="Z182" s="347"/>
    </row>
    <row r="183" spans="6:26">
      <c r="V183" s="347"/>
      <c r="W183" s="350" t="s">
        <v>159</v>
      </c>
      <c r="X183" s="353">
        <f>+AQ161</f>
        <v>0</v>
      </c>
      <c r="Y183" s="352"/>
      <c r="Z183" s="347"/>
    </row>
    <row r="184" spans="6:26">
      <c r="V184" s="347"/>
      <c r="W184" s="350" t="s">
        <v>162</v>
      </c>
      <c r="X184" s="353">
        <f>+AS161</f>
        <v>0</v>
      </c>
      <c r="Y184" s="352"/>
      <c r="Z184" s="347"/>
    </row>
    <row r="185" spans="6:26">
      <c r="V185" s="347"/>
      <c r="W185" s="350" t="s">
        <v>300</v>
      </c>
      <c r="X185" s="353">
        <f>+AT161</f>
        <v>0</v>
      </c>
      <c r="Y185" s="352"/>
      <c r="Z185" s="347"/>
    </row>
    <row r="186" spans="6:26">
      <c r="V186" s="347"/>
      <c r="W186" s="350" t="s">
        <v>236</v>
      </c>
      <c r="X186" s="353">
        <f>+AU161</f>
        <v>0</v>
      </c>
      <c r="Y186" s="352"/>
      <c r="Z186" s="347"/>
    </row>
    <row r="187" spans="6:26">
      <c r="V187" s="347"/>
      <c r="W187" s="350" t="s">
        <v>306</v>
      </c>
      <c r="X187" s="353">
        <f>+AW161</f>
        <v>6.5269514976910069E-3</v>
      </c>
      <c r="Y187" s="352"/>
      <c r="Z187" s="347"/>
    </row>
    <row r="188" spans="6:26">
      <c r="V188" s="347"/>
      <c r="W188" s="350" t="s">
        <v>307</v>
      </c>
      <c r="X188" s="353">
        <f>+AV161</f>
        <v>0</v>
      </c>
      <c r="Y188" s="352"/>
      <c r="Z188" s="347"/>
    </row>
    <row r="189" spans="6:26">
      <c r="V189" s="347"/>
      <c r="W189" s="347" t="s">
        <v>161</v>
      </c>
      <c r="X189" s="353">
        <f>+AX161+AY161</f>
        <v>0</v>
      </c>
      <c r="Y189" s="353"/>
      <c r="Z189" s="347"/>
    </row>
    <row r="190" spans="6:26" ht="11.25" customHeight="1">
      <c r="F190" s="28"/>
      <c r="J190" s="28"/>
      <c r="K190" s="28"/>
      <c r="L190" s="28"/>
      <c r="M190" s="28"/>
      <c r="Q190" s="28"/>
      <c r="V190" s="347"/>
      <c r="W190" s="350" t="s">
        <v>722</v>
      </c>
      <c r="X190" s="353">
        <f>+AD167</f>
        <v>8.6737385663194187E-3</v>
      </c>
      <c r="Y190" s="353"/>
      <c r="Z190" s="347"/>
    </row>
    <row r="191" spans="6:26">
      <c r="V191" s="347"/>
      <c r="W191" s="347" t="s">
        <v>305</v>
      </c>
      <c r="X191" s="353">
        <f>+AZ161</f>
        <v>0</v>
      </c>
      <c r="Y191" s="347"/>
      <c r="Z191" s="347"/>
    </row>
    <row r="192" spans="6:26">
      <c r="V192" s="347"/>
      <c r="W192" s="347"/>
      <c r="X192" s="517">
        <f>SUM(X168:X191)</f>
        <v>0.15875561702569405</v>
      </c>
      <c r="Y192" s="347"/>
      <c r="Z192" s="347"/>
    </row>
    <row r="195" spans="24:24" hidden="1">
      <c r="X195" s="88">
        <f>+X192+X160</f>
        <v>0.99999999999999978</v>
      </c>
    </row>
    <row r="238" s="28" customFormat="1"/>
    <row r="239" s="28" customFormat="1"/>
    <row r="240" s="28" customFormat="1"/>
    <row r="241" s="28" customFormat="1"/>
    <row r="242" s="28" customFormat="1"/>
    <row r="243" s="28" customFormat="1"/>
    <row r="244" s="28" customFormat="1"/>
    <row r="245" s="28" customFormat="1"/>
    <row r="246" s="28" customFormat="1"/>
    <row r="247" s="28" customFormat="1"/>
    <row r="250" s="28" customFormat="1"/>
    <row r="251" s="28" customFormat="1"/>
    <row r="252" s="28" customFormat="1"/>
    <row r="253" s="28" customFormat="1"/>
  </sheetData>
  <mergeCells count="50">
    <mergeCell ref="X3:X5"/>
    <mergeCell ref="G3:K4"/>
    <mergeCell ref="L3:N4"/>
    <mergeCell ref="O3:O5"/>
    <mergeCell ref="P3:P5"/>
    <mergeCell ref="Q3:Q5"/>
    <mergeCell ref="R3:R5"/>
    <mergeCell ref="T3:T5"/>
    <mergeCell ref="U3:U5"/>
    <mergeCell ref="F3:F5"/>
    <mergeCell ref="A3:A5"/>
    <mergeCell ref="B3:B5"/>
    <mergeCell ref="C3:C5"/>
    <mergeCell ref="D3:D5"/>
    <mergeCell ref="E3:E5"/>
    <mergeCell ref="AZ3:AZ5"/>
    <mergeCell ref="AR4:AR5"/>
    <mergeCell ref="BD3:BD5"/>
    <mergeCell ref="BE3:BE5"/>
    <mergeCell ref="BF3:BF5"/>
    <mergeCell ref="BA3:BA5"/>
    <mergeCell ref="BB3:BB5"/>
    <mergeCell ref="BC3:BC5"/>
    <mergeCell ref="AT3:AU4"/>
    <mergeCell ref="AV3:AW3"/>
    <mergeCell ref="AX3:AY3"/>
    <mergeCell ref="AM3:AM5"/>
    <mergeCell ref="AN3:AR3"/>
    <mergeCell ref="AS3:AS5"/>
    <mergeCell ref="AF4:AH4"/>
    <mergeCell ref="AI4:AI5"/>
    <mergeCell ref="AJ4:AJ5"/>
    <mergeCell ref="AK4:AK5"/>
    <mergeCell ref="AQ4:AQ5"/>
    <mergeCell ref="O161:P161"/>
    <mergeCell ref="AL4:AL5"/>
    <mergeCell ref="AN4:AN5"/>
    <mergeCell ref="AO4:AO5"/>
    <mergeCell ref="AP4:AP5"/>
    <mergeCell ref="Y3:Y5"/>
    <mergeCell ref="Z3:Z5"/>
    <mergeCell ref="AA3:AA5"/>
    <mergeCell ref="AB3:AB5"/>
    <mergeCell ref="AC3:AC5"/>
    <mergeCell ref="AD3:AD5"/>
    <mergeCell ref="S3:S5"/>
    <mergeCell ref="V3:V5"/>
    <mergeCell ref="W3:W5"/>
    <mergeCell ref="AE3:AE5"/>
    <mergeCell ref="AF3:AL3"/>
  </mergeCells>
  <conditionalFormatting sqref="C161 B159:B161 C159">
    <cfRule type="cellIs" dxfId="727" priority="3583" stopIfTrue="1" operator="equal">
      <formula>"Towel"</formula>
    </cfRule>
    <cfRule type="cellIs" dxfId="726" priority="3584" stopIfTrue="1" operator="equal">
      <formula>"Napkin Hs"</formula>
    </cfRule>
  </conditionalFormatting>
  <conditionalFormatting sqref="B106:C106">
    <cfRule type="cellIs" dxfId="725" priority="2495" stopIfTrue="1" operator="equal">
      <formula>"Towel"</formula>
    </cfRule>
    <cfRule type="cellIs" dxfId="724" priority="2496" stopIfTrue="1" operator="equal">
      <formula>"Napkin Hs"</formula>
    </cfRule>
  </conditionalFormatting>
  <conditionalFormatting sqref="C106">
    <cfRule type="cellIs" dxfId="723" priority="2494" stopIfTrue="1" operator="equal">
      <formula>"Napkin Hs"</formula>
    </cfRule>
  </conditionalFormatting>
  <conditionalFormatting sqref="C106">
    <cfRule type="cellIs" dxfId="722" priority="2491" stopIfTrue="1" operator="equal">
      <formula>"Towel"</formula>
    </cfRule>
    <cfRule type="cellIs" dxfId="721" priority="2492" stopIfTrue="1" operator="equal">
      <formula>"Napkin Hs"</formula>
    </cfRule>
  </conditionalFormatting>
  <conditionalFormatting sqref="C106">
    <cfRule type="cellIs" dxfId="720" priority="2493" stopIfTrue="1" operator="equal">
      <formula>"Towel"</formula>
    </cfRule>
  </conditionalFormatting>
  <conditionalFormatting sqref="B111:C111">
    <cfRule type="cellIs" dxfId="719" priority="2471" stopIfTrue="1" operator="equal">
      <formula>"Towel"</formula>
    </cfRule>
    <cfRule type="cellIs" dxfId="718" priority="2472" stopIfTrue="1" operator="equal">
      <formula>"Napkin Hs"</formula>
    </cfRule>
  </conditionalFormatting>
  <conditionalFormatting sqref="C111">
    <cfRule type="cellIs" dxfId="717" priority="2470" stopIfTrue="1" operator="equal">
      <formula>"Napkin Hs"</formula>
    </cfRule>
  </conditionalFormatting>
  <conditionalFormatting sqref="C111">
    <cfRule type="cellIs" dxfId="716" priority="2467" stopIfTrue="1" operator="equal">
      <formula>"Towel"</formula>
    </cfRule>
    <cfRule type="cellIs" dxfId="715" priority="2468" stopIfTrue="1" operator="equal">
      <formula>"Napkin Hs"</formula>
    </cfRule>
  </conditionalFormatting>
  <conditionalFormatting sqref="C111">
    <cfRule type="cellIs" dxfId="714" priority="2469" stopIfTrue="1" operator="equal">
      <formula>"Towel"</formula>
    </cfRule>
  </conditionalFormatting>
  <conditionalFormatting sqref="B116:C116">
    <cfRule type="cellIs" dxfId="713" priority="2447" stopIfTrue="1" operator="equal">
      <formula>"Towel"</formula>
    </cfRule>
    <cfRule type="cellIs" dxfId="712" priority="2448" stopIfTrue="1" operator="equal">
      <formula>"Napkin Hs"</formula>
    </cfRule>
  </conditionalFormatting>
  <conditionalFormatting sqref="C116">
    <cfRule type="cellIs" dxfId="711" priority="2446" stopIfTrue="1" operator="equal">
      <formula>"Napkin Hs"</formula>
    </cfRule>
  </conditionalFormatting>
  <conditionalFormatting sqref="C116">
    <cfRule type="cellIs" dxfId="710" priority="2443" stopIfTrue="1" operator="equal">
      <formula>"Towel"</formula>
    </cfRule>
    <cfRule type="cellIs" dxfId="709" priority="2444" stopIfTrue="1" operator="equal">
      <formula>"Napkin Hs"</formula>
    </cfRule>
  </conditionalFormatting>
  <conditionalFormatting sqref="C116">
    <cfRule type="cellIs" dxfId="708" priority="2445" stopIfTrue="1" operator="equal">
      <formula>"Towel"</formula>
    </cfRule>
  </conditionalFormatting>
  <conditionalFormatting sqref="B121:C121">
    <cfRule type="cellIs" dxfId="707" priority="2423" stopIfTrue="1" operator="equal">
      <formula>"Towel"</formula>
    </cfRule>
    <cfRule type="cellIs" dxfId="706" priority="2424" stopIfTrue="1" operator="equal">
      <formula>"Napkin Hs"</formula>
    </cfRule>
  </conditionalFormatting>
  <conditionalFormatting sqref="C121">
    <cfRule type="cellIs" dxfId="705" priority="2422" stopIfTrue="1" operator="equal">
      <formula>"Napkin Hs"</formula>
    </cfRule>
  </conditionalFormatting>
  <conditionalFormatting sqref="C121">
    <cfRule type="cellIs" dxfId="704" priority="2419" stopIfTrue="1" operator="equal">
      <formula>"Towel"</formula>
    </cfRule>
    <cfRule type="cellIs" dxfId="703" priority="2420" stopIfTrue="1" operator="equal">
      <formula>"Napkin Hs"</formula>
    </cfRule>
  </conditionalFormatting>
  <conditionalFormatting sqref="C121">
    <cfRule type="cellIs" dxfId="702" priority="2421" stopIfTrue="1" operator="equal">
      <formula>"Towel"</formula>
    </cfRule>
  </conditionalFormatting>
  <conditionalFormatting sqref="B6:C6 B8:C8 B10:C10">
    <cfRule type="cellIs" dxfId="701" priority="1285" stopIfTrue="1" operator="equal">
      <formula>"Towel"</formula>
    </cfRule>
    <cfRule type="cellIs" dxfId="700" priority="1286" stopIfTrue="1" operator="equal">
      <formula>"Napkin Hs"</formula>
    </cfRule>
  </conditionalFormatting>
  <conditionalFormatting sqref="B7:C7">
    <cfRule type="cellIs" dxfId="699" priority="1279" stopIfTrue="1" operator="equal">
      <formula>"Towel"</formula>
    </cfRule>
    <cfRule type="cellIs" dxfId="698" priority="1280" stopIfTrue="1" operator="equal">
      <formula>"Napkin Hs"</formula>
    </cfRule>
  </conditionalFormatting>
  <conditionalFormatting sqref="C6 C8 C10">
    <cfRule type="cellIs" dxfId="697" priority="1284" stopIfTrue="1" operator="equal">
      <formula>"Napkin Hs"</formula>
    </cfRule>
  </conditionalFormatting>
  <conditionalFormatting sqref="C6:C8 C10">
    <cfRule type="cellIs" dxfId="696" priority="1277" stopIfTrue="1" operator="equal">
      <formula>"Towel"</formula>
    </cfRule>
    <cfRule type="cellIs" dxfId="695" priority="1278" stopIfTrue="1" operator="equal">
      <formula>"Napkin Hs"</formula>
    </cfRule>
  </conditionalFormatting>
  <conditionalFormatting sqref="C7">
    <cfRule type="cellIs" dxfId="694" priority="1275" stopIfTrue="1" operator="equal">
      <formula>"Towel"</formula>
    </cfRule>
    <cfRule type="cellIs" dxfId="693" priority="1276" stopIfTrue="1" operator="equal">
      <formula>"Napkin Hs"</formula>
    </cfRule>
  </conditionalFormatting>
  <conditionalFormatting sqref="C6 C8 C10">
    <cfRule type="cellIs" dxfId="692" priority="1283" stopIfTrue="1" operator="equal">
      <formula>"Towel"</formula>
    </cfRule>
  </conditionalFormatting>
  <conditionalFormatting sqref="B15:C15">
    <cfRule type="cellIs" dxfId="691" priority="1273" stopIfTrue="1" operator="equal">
      <formula>"Towel"</formula>
    </cfRule>
    <cfRule type="cellIs" dxfId="690" priority="1274" stopIfTrue="1" operator="equal">
      <formula>"Napkin Hs"</formula>
    </cfRule>
  </conditionalFormatting>
  <conditionalFormatting sqref="B9:C9">
    <cfRule type="cellIs" dxfId="689" priority="1267" stopIfTrue="1" operator="equal">
      <formula>"Towel"</formula>
    </cfRule>
    <cfRule type="cellIs" dxfId="688" priority="1268" stopIfTrue="1" operator="equal">
      <formula>"Napkin Hs"</formula>
    </cfRule>
  </conditionalFormatting>
  <conditionalFormatting sqref="C15">
    <cfRule type="cellIs" dxfId="687" priority="1272" stopIfTrue="1" operator="equal">
      <formula>"Napkin Hs"</formula>
    </cfRule>
  </conditionalFormatting>
  <conditionalFormatting sqref="C15">
    <cfRule type="cellIs" dxfId="686" priority="1269" stopIfTrue="1" operator="equal">
      <formula>"Towel"</formula>
    </cfRule>
    <cfRule type="cellIs" dxfId="685" priority="1270" stopIfTrue="1" operator="equal">
      <formula>"Napkin Hs"</formula>
    </cfRule>
  </conditionalFormatting>
  <conditionalFormatting sqref="C9">
    <cfRule type="cellIs" dxfId="684" priority="1263" stopIfTrue="1" operator="equal">
      <formula>"Towel"</formula>
    </cfRule>
    <cfRule type="cellIs" dxfId="683" priority="1264" stopIfTrue="1" operator="equal">
      <formula>"Napkin Hs"</formula>
    </cfRule>
  </conditionalFormatting>
  <conditionalFormatting sqref="C15">
    <cfRule type="cellIs" dxfId="682" priority="1271" stopIfTrue="1" operator="equal">
      <formula>"Towel"</formula>
    </cfRule>
  </conditionalFormatting>
  <conditionalFormatting sqref="C9">
    <cfRule type="cellIs" dxfId="681" priority="1266" stopIfTrue="1" operator="equal">
      <formula>"Napkin Hs"</formula>
    </cfRule>
  </conditionalFormatting>
  <conditionalFormatting sqref="C9">
    <cfRule type="cellIs" dxfId="680" priority="1265" stopIfTrue="1" operator="equal">
      <formula>"Towel"</formula>
    </cfRule>
  </conditionalFormatting>
  <conditionalFormatting sqref="B15:C15">
    <cfRule type="cellIs" dxfId="679" priority="1261" stopIfTrue="1" operator="equal">
      <formula>"Towel"</formula>
    </cfRule>
    <cfRule type="cellIs" dxfId="678" priority="1262" stopIfTrue="1" operator="equal">
      <formula>"Napkin Hs"</formula>
    </cfRule>
  </conditionalFormatting>
  <conditionalFormatting sqref="C15">
    <cfRule type="cellIs" dxfId="677" priority="1257" stopIfTrue="1" operator="equal">
      <formula>"Towel"</formula>
    </cfRule>
    <cfRule type="cellIs" dxfId="676" priority="1258" stopIfTrue="1" operator="equal">
      <formula>"Napkin Hs"</formula>
    </cfRule>
  </conditionalFormatting>
  <conditionalFormatting sqref="C15">
    <cfRule type="cellIs" dxfId="675" priority="1260" stopIfTrue="1" operator="equal">
      <formula>"Napkin Hs"</formula>
    </cfRule>
  </conditionalFormatting>
  <conditionalFormatting sqref="C15">
    <cfRule type="cellIs" dxfId="674" priority="1259" stopIfTrue="1" operator="equal">
      <formula>"Towel"</formula>
    </cfRule>
  </conditionalFormatting>
  <conditionalFormatting sqref="B20:C20">
    <cfRule type="cellIs" dxfId="673" priority="1255" stopIfTrue="1" operator="equal">
      <formula>"Towel"</formula>
    </cfRule>
    <cfRule type="cellIs" dxfId="672" priority="1256" stopIfTrue="1" operator="equal">
      <formula>"Napkin Hs"</formula>
    </cfRule>
  </conditionalFormatting>
  <conditionalFormatting sqref="C20">
    <cfRule type="cellIs" dxfId="671" priority="1254" stopIfTrue="1" operator="equal">
      <formula>"Napkin Hs"</formula>
    </cfRule>
  </conditionalFormatting>
  <conditionalFormatting sqref="C20">
    <cfRule type="cellIs" dxfId="670" priority="1251" stopIfTrue="1" operator="equal">
      <formula>"Towel"</formula>
    </cfRule>
    <cfRule type="cellIs" dxfId="669" priority="1252" stopIfTrue="1" operator="equal">
      <formula>"Napkin Hs"</formula>
    </cfRule>
  </conditionalFormatting>
  <conditionalFormatting sqref="C20">
    <cfRule type="cellIs" dxfId="668" priority="1253" stopIfTrue="1" operator="equal">
      <formula>"Towel"</formula>
    </cfRule>
  </conditionalFormatting>
  <conditionalFormatting sqref="B20:C20">
    <cfRule type="cellIs" dxfId="667" priority="1249" stopIfTrue="1" operator="equal">
      <formula>"Towel"</formula>
    </cfRule>
    <cfRule type="cellIs" dxfId="666" priority="1250" stopIfTrue="1" operator="equal">
      <formula>"Napkin Hs"</formula>
    </cfRule>
  </conditionalFormatting>
  <conditionalFormatting sqref="C20">
    <cfRule type="cellIs" dxfId="665" priority="1248" stopIfTrue="1" operator="equal">
      <formula>"Napkin Hs"</formula>
    </cfRule>
  </conditionalFormatting>
  <conditionalFormatting sqref="C20">
    <cfRule type="cellIs" dxfId="664" priority="1245" stopIfTrue="1" operator="equal">
      <formula>"Towel"</formula>
    </cfRule>
    <cfRule type="cellIs" dxfId="663" priority="1246" stopIfTrue="1" operator="equal">
      <formula>"Napkin Hs"</formula>
    </cfRule>
  </conditionalFormatting>
  <conditionalFormatting sqref="C20">
    <cfRule type="cellIs" dxfId="662" priority="1247" stopIfTrue="1" operator="equal">
      <formula>"Towel"</formula>
    </cfRule>
  </conditionalFormatting>
  <conditionalFormatting sqref="B25:C25">
    <cfRule type="cellIs" dxfId="661" priority="1243" stopIfTrue="1" operator="equal">
      <formula>"Towel"</formula>
    </cfRule>
    <cfRule type="cellIs" dxfId="660" priority="1244" stopIfTrue="1" operator="equal">
      <formula>"Napkin Hs"</formula>
    </cfRule>
  </conditionalFormatting>
  <conditionalFormatting sqref="C25">
    <cfRule type="cellIs" dxfId="659" priority="1242" stopIfTrue="1" operator="equal">
      <formula>"Napkin Hs"</formula>
    </cfRule>
  </conditionalFormatting>
  <conditionalFormatting sqref="C25">
    <cfRule type="cellIs" dxfId="658" priority="1239" stopIfTrue="1" operator="equal">
      <formula>"Towel"</formula>
    </cfRule>
    <cfRule type="cellIs" dxfId="657" priority="1240" stopIfTrue="1" operator="equal">
      <formula>"Napkin Hs"</formula>
    </cfRule>
  </conditionalFormatting>
  <conditionalFormatting sqref="C25">
    <cfRule type="cellIs" dxfId="656" priority="1241" stopIfTrue="1" operator="equal">
      <formula>"Towel"</formula>
    </cfRule>
  </conditionalFormatting>
  <conditionalFormatting sqref="B25:C25">
    <cfRule type="cellIs" dxfId="655" priority="1237" stopIfTrue="1" operator="equal">
      <formula>"Towel"</formula>
    </cfRule>
    <cfRule type="cellIs" dxfId="654" priority="1238" stopIfTrue="1" operator="equal">
      <formula>"Napkin Hs"</formula>
    </cfRule>
  </conditionalFormatting>
  <conditionalFormatting sqref="C25">
    <cfRule type="cellIs" dxfId="653" priority="1236" stopIfTrue="1" operator="equal">
      <formula>"Napkin Hs"</formula>
    </cfRule>
  </conditionalFormatting>
  <conditionalFormatting sqref="C25">
    <cfRule type="cellIs" dxfId="652" priority="1233" stopIfTrue="1" operator="equal">
      <formula>"Towel"</formula>
    </cfRule>
    <cfRule type="cellIs" dxfId="651" priority="1234" stopIfTrue="1" operator="equal">
      <formula>"Napkin Hs"</formula>
    </cfRule>
  </conditionalFormatting>
  <conditionalFormatting sqref="C25">
    <cfRule type="cellIs" dxfId="650" priority="1235" stopIfTrue="1" operator="equal">
      <formula>"Towel"</formula>
    </cfRule>
  </conditionalFormatting>
  <conditionalFormatting sqref="B11:C13">
    <cfRule type="cellIs" dxfId="649" priority="1177" stopIfTrue="1" operator="equal">
      <formula>"Towel"</formula>
    </cfRule>
    <cfRule type="cellIs" dxfId="648" priority="1178" stopIfTrue="1" operator="equal">
      <formula>"Napkin Hs"</formula>
    </cfRule>
  </conditionalFormatting>
  <conditionalFormatting sqref="C11:C13">
    <cfRule type="cellIs" dxfId="647" priority="1176" stopIfTrue="1" operator="equal">
      <formula>"Napkin Hs"</formula>
    </cfRule>
  </conditionalFormatting>
  <conditionalFormatting sqref="C11:C13">
    <cfRule type="cellIs" dxfId="646" priority="1173" stopIfTrue="1" operator="equal">
      <formula>"Towel"</formula>
    </cfRule>
    <cfRule type="cellIs" dxfId="645" priority="1174" stopIfTrue="1" operator="equal">
      <formula>"Napkin Hs"</formula>
    </cfRule>
  </conditionalFormatting>
  <conditionalFormatting sqref="C11:C13">
    <cfRule type="cellIs" dxfId="644" priority="1175" stopIfTrue="1" operator="equal">
      <formula>"Towel"</formula>
    </cfRule>
  </conditionalFormatting>
  <conditionalFormatting sqref="B14:C14">
    <cfRule type="cellIs" dxfId="643" priority="1171" stopIfTrue="1" operator="equal">
      <formula>"Towel"</formula>
    </cfRule>
    <cfRule type="cellIs" dxfId="642" priority="1172" stopIfTrue="1" operator="equal">
      <formula>"Napkin Hs"</formula>
    </cfRule>
  </conditionalFormatting>
  <conditionalFormatting sqref="C14">
    <cfRule type="cellIs" dxfId="641" priority="1167" stopIfTrue="1" operator="equal">
      <formula>"Towel"</formula>
    </cfRule>
    <cfRule type="cellIs" dxfId="640" priority="1168" stopIfTrue="1" operator="equal">
      <formula>"Napkin Hs"</formula>
    </cfRule>
  </conditionalFormatting>
  <conditionalFormatting sqref="C14">
    <cfRule type="cellIs" dxfId="639" priority="1170" stopIfTrue="1" operator="equal">
      <formula>"Napkin Hs"</formula>
    </cfRule>
  </conditionalFormatting>
  <conditionalFormatting sqref="C14">
    <cfRule type="cellIs" dxfId="638" priority="1169" stopIfTrue="1" operator="equal">
      <formula>"Towel"</formula>
    </cfRule>
  </conditionalFormatting>
  <conditionalFormatting sqref="B17:C18">
    <cfRule type="cellIs" dxfId="637" priority="1165" stopIfTrue="1" operator="equal">
      <formula>"Towel"</formula>
    </cfRule>
    <cfRule type="cellIs" dxfId="636" priority="1166" stopIfTrue="1" operator="equal">
      <formula>"Napkin Hs"</formula>
    </cfRule>
  </conditionalFormatting>
  <conditionalFormatting sqref="C17:C18">
    <cfRule type="cellIs" dxfId="635" priority="1164" stopIfTrue="1" operator="equal">
      <formula>"Napkin Hs"</formula>
    </cfRule>
  </conditionalFormatting>
  <conditionalFormatting sqref="C17:C18">
    <cfRule type="cellIs" dxfId="634" priority="1161" stopIfTrue="1" operator="equal">
      <formula>"Towel"</formula>
    </cfRule>
    <cfRule type="cellIs" dxfId="633" priority="1162" stopIfTrue="1" operator="equal">
      <formula>"Napkin Hs"</formula>
    </cfRule>
  </conditionalFormatting>
  <conditionalFormatting sqref="C17:C18">
    <cfRule type="cellIs" dxfId="632" priority="1163" stopIfTrue="1" operator="equal">
      <formula>"Towel"</formula>
    </cfRule>
  </conditionalFormatting>
  <conditionalFormatting sqref="B19:C19">
    <cfRule type="cellIs" dxfId="631" priority="1159" stopIfTrue="1" operator="equal">
      <formula>"Towel"</formula>
    </cfRule>
    <cfRule type="cellIs" dxfId="630" priority="1160" stopIfTrue="1" operator="equal">
      <formula>"Napkin Hs"</formula>
    </cfRule>
  </conditionalFormatting>
  <conditionalFormatting sqref="C19">
    <cfRule type="cellIs" dxfId="629" priority="1155" stopIfTrue="1" operator="equal">
      <formula>"Towel"</formula>
    </cfRule>
    <cfRule type="cellIs" dxfId="628" priority="1156" stopIfTrue="1" operator="equal">
      <formula>"Napkin Hs"</formula>
    </cfRule>
  </conditionalFormatting>
  <conditionalFormatting sqref="C19">
    <cfRule type="cellIs" dxfId="627" priority="1158" stopIfTrue="1" operator="equal">
      <formula>"Napkin Hs"</formula>
    </cfRule>
  </conditionalFormatting>
  <conditionalFormatting sqref="C19">
    <cfRule type="cellIs" dxfId="626" priority="1157" stopIfTrue="1" operator="equal">
      <formula>"Towel"</formula>
    </cfRule>
  </conditionalFormatting>
  <conditionalFormatting sqref="B16:C16">
    <cfRule type="cellIs" dxfId="625" priority="1153" stopIfTrue="1" operator="equal">
      <formula>"Towel"</formula>
    </cfRule>
    <cfRule type="cellIs" dxfId="624" priority="1154" stopIfTrue="1" operator="equal">
      <formula>"Napkin Hs"</formula>
    </cfRule>
  </conditionalFormatting>
  <conditionalFormatting sqref="C16">
    <cfRule type="cellIs" dxfId="623" priority="1152" stopIfTrue="1" operator="equal">
      <formula>"Napkin Hs"</formula>
    </cfRule>
  </conditionalFormatting>
  <conditionalFormatting sqref="C16">
    <cfRule type="cellIs" dxfId="622" priority="1149" stopIfTrue="1" operator="equal">
      <formula>"Towel"</formula>
    </cfRule>
    <cfRule type="cellIs" dxfId="621" priority="1150" stopIfTrue="1" operator="equal">
      <formula>"Napkin Hs"</formula>
    </cfRule>
  </conditionalFormatting>
  <conditionalFormatting sqref="C16">
    <cfRule type="cellIs" dxfId="620" priority="1151" stopIfTrue="1" operator="equal">
      <formula>"Towel"</formula>
    </cfRule>
  </conditionalFormatting>
  <conditionalFormatting sqref="B22:C23">
    <cfRule type="cellIs" dxfId="619" priority="1147" stopIfTrue="1" operator="equal">
      <formula>"Towel"</formula>
    </cfRule>
    <cfRule type="cellIs" dxfId="618" priority="1148" stopIfTrue="1" operator="equal">
      <formula>"Napkin Hs"</formula>
    </cfRule>
  </conditionalFormatting>
  <conditionalFormatting sqref="C22:C23">
    <cfRule type="cellIs" dxfId="617" priority="1146" stopIfTrue="1" operator="equal">
      <formula>"Napkin Hs"</formula>
    </cfRule>
  </conditionalFormatting>
  <conditionalFormatting sqref="C22:C23">
    <cfRule type="cellIs" dxfId="616" priority="1143" stopIfTrue="1" operator="equal">
      <formula>"Towel"</formula>
    </cfRule>
    <cfRule type="cellIs" dxfId="615" priority="1144" stopIfTrue="1" operator="equal">
      <formula>"Napkin Hs"</formula>
    </cfRule>
  </conditionalFormatting>
  <conditionalFormatting sqref="C22:C23">
    <cfRule type="cellIs" dxfId="614" priority="1145" stopIfTrue="1" operator="equal">
      <formula>"Towel"</formula>
    </cfRule>
  </conditionalFormatting>
  <conditionalFormatting sqref="B24:C24">
    <cfRule type="cellIs" dxfId="613" priority="1141" stopIfTrue="1" operator="equal">
      <formula>"Towel"</formula>
    </cfRule>
    <cfRule type="cellIs" dxfId="612" priority="1142" stopIfTrue="1" operator="equal">
      <formula>"Napkin Hs"</formula>
    </cfRule>
  </conditionalFormatting>
  <conditionalFormatting sqref="C24">
    <cfRule type="cellIs" dxfId="611" priority="1137" stopIfTrue="1" operator="equal">
      <formula>"Towel"</formula>
    </cfRule>
    <cfRule type="cellIs" dxfId="610" priority="1138" stopIfTrue="1" operator="equal">
      <formula>"Napkin Hs"</formula>
    </cfRule>
  </conditionalFormatting>
  <conditionalFormatting sqref="C24">
    <cfRule type="cellIs" dxfId="609" priority="1140" stopIfTrue="1" operator="equal">
      <formula>"Napkin Hs"</formula>
    </cfRule>
  </conditionalFormatting>
  <conditionalFormatting sqref="C24">
    <cfRule type="cellIs" dxfId="608" priority="1139" stopIfTrue="1" operator="equal">
      <formula>"Towel"</formula>
    </cfRule>
  </conditionalFormatting>
  <conditionalFormatting sqref="B21:C21">
    <cfRule type="cellIs" dxfId="607" priority="1135" stopIfTrue="1" operator="equal">
      <formula>"Towel"</formula>
    </cfRule>
    <cfRule type="cellIs" dxfId="606" priority="1136" stopIfTrue="1" operator="equal">
      <formula>"Napkin Hs"</formula>
    </cfRule>
  </conditionalFormatting>
  <conditionalFormatting sqref="C21">
    <cfRule type="cellIs" dxfId="605" priority="1134" stopIfTrue="1" operator="equal">
      <formula>"Napkin Hs"</formula>
    </cfRule>
  </conditionalFormatting>
  <conditionalFormatting sqref="C21">
    <cfRule type="cellIs" dxfId="604" priority="1131" stopIfTrue="1" operator="equal">
      <formula>"Towel"</formula>
    </cfRule>
    <cfRule type="cellIs" dxfId="603" priority="1132" stopIfTrue="1" operator="equal">
      <formula>"Napkin Hs"</formula>
    </cfRule>
  </conditionalFormatting>
  <conditionalFormatting sqref="C21">
    <cfRule type="cellIs" dxfId="602" priority="1133" stopIfTrue="1" operator="equal">
      <formula>"Towel"</formula>
    </cfRule>
  </conditionalFormatting>
  <conditionalFormatting sqref="B30:C30">
    <cfRule type="cellIs" dxfId="601" priority="1093" stopIfTrue="1" operator="equal">
      <formula>"Towel"</formula>
    </cfRule>
    <cfRule type="cellIs" dxfId="600" priority="1094" stopIfTrue="1" operator="equal">
      <formula>"Napkin Hs"</formula>
    </cfRule>
  </conditionalFormatting>
  <conditionalFormatting sqref="C30">
    <cfRule type="cellIs" dxfId="599" priority="1092" stopIfTrue="1" operator="equal">
      <formula>"Napkin Hs"</formula>
    </cfRule>
  </conditionalFormatting>
  <conditionalFormatting sqref="C30">
    <cfRule type="cellIs" dxfId="598" priority="1089" stopIfTrue="1" operator="equal">
      <formula>"Towel"</formula>
    </cfRule>
    <cfRule type="cellIs" dxfId="597" priority="1090" stopIfTrue="1" operator="equal">
      <formula>"Napkin Hs"</formula>
    </cfRule>
  </conditionalFormatting>
  <conditionalFormatting sqref="C30">
    <cfRule type="cellIs" dxfId="596" priority="1091" stopIfTrue="1" operator="equal">
      <formula>"Towel"</formula>
    </cfRule>
  </conditionalFormatting>
  <conditionalFormatting sqref="B30:C30">
    <cfRule type="cellIs" dxfId="595" priority="1087" stopIfTrue="1" operator="equal">
      <formula>"Towel"</formula>
    </cfRule>
    <cfRule type="cellIs" dxfId="594" priority="1088" stopIfTrue="1" operator="equal">
      <formula>"Napkin Hs"</formula>
    </cfRule>
  </conditionalFormatting>
  <conditionalFormatting sqref="C30">
    <cfRule type="cellIs" dxfId="593" priority="1086" stopIfTrue="1" operator="equal">
      <formula>"Napkin Hs"</formula>
    </cfRule>
  </conditionalFormatting>
  <conditionalFormatting sqref="C30">
    <cfRule type="cellIs" dxfId="592" priority="1083" stopIfTrue="1" operator="equal">
      <formula>"Towel"</formula>
    </cfRule>
    <cfRule type="cellIs" dxfId="591" priority="1084" stopIfTrue="1" operator="equal">
      <formula>"Napkin Hs"</formula>
    </cfRule>
  </conditionalFormatting>
  <conditionalFormatting sqref="C30">
    <cfRule type="cellIs" dxfId="590" priority="1085" stopIfTrue="1" operator="equal">
      <formula>"Towel"</formula>
    </cfRule>
  </conditionalFormatting>
  <conditionalFormatting sqref="B36:C36">
    <cfRule type="cellIs" dxfId="589" priority="1075" stopIfTrue="1" operator="equal">
      <formula>"Towel"</formula>
    </cfRule>
    <cfRule type="cellIs" dxfId="588" priority="1076" stopIfTrue="1" operator="equal">
      <formula>"Napkin Hs"</formula>
    </cfRule>
  </conditionalFormatting>
  <conditionalFormatting sqref="C36">
    <cfRule type="cellIs" dxfId="587" priority="1074" stopIfTrue="1" operator="equal">
      <formula>"Napkin Hs"</formula>
    </cfRule>
  </conditionalFormatting>
  <conditionalFormatting sqref="C36">
    <cfRule type="cellIs" dxfId="586" priority="1069" stopIfTrue="1" operator="equal">
      <formula>"Towel"</formula>
    </cfRule>
    <cfRule type="cellIs" dxfId="585" priority="1070" stopIfTrue="1" operator="equal">
      <formula>"Napkin Hs"</formula>
    </cfRule>
  </conditionalFormatting>
  <conditionalFormatting sqref="C36">
    <cfRule type="cellIs" dxfId="584" priority="1073" stopIfTrue="1" operator="equal">
      <formula>"Towel"</formula>
    </cfRule>
  </conditionalFormatting>
  <conditionalFormatting sqref="B36:C36">
    <cfRule type="cellIs" dxfId="583" priority="1055" stopIfTrue="1" operator="equal">
      <formula>"Towel"</formula>
    </cfRule>
    <cfRule type="cellIs" dxfId="582" priority="1056" stopIfTrue="1" operator="equal">
      <formula>"Napkin Hs"</formula>
    </cfRule>
  </conditionalFormatting>
  <conditionalFormatting sqref="C36">
    <cfRule type="cellIs" dxfId="581" priority="1051" stopIfTrue="1" operator="equal">
      <formula>"Towel"</formula>
    </cfRule>
    <cfRule type="cellIs" dxfId="580" priority="1052" stopIfTrue="1" operator="equal">
      <formula>"Napkin Hs"</formula>
    </cfRule>
  </conditionalFormatting>
  <conditionalFormatting sqref="C36">
    <cfRule type="cellIs" dxfId="579" priority="1054" stopIfTrue="1" operator="equal">
      <formula>"Napkin Hs"</formula>
    </cfRule>
  </conditionalFormatting>
  <conditionalFormatting sqref="C36">
    <cfRule type="cellIs" dxfId="578" priority="1053" stopIfTrue="1" operator="equal">
      <formula>"Towel"</formula>
    </cfRule>
  </conditionalFormatting>
  <conditionalFormatting sqref="B29:C29">
    <cfRule type="cellIs" dxfId="577" priority="1037" stopIfTrue="1" operator="equal">
      <formula>"Towel"</formula>
    </cfRule>
    <cfRule type="cellIs" dxfId="576" priority="1038" stopIfTrue="1" operator="equal">
      <formula>"Napkin Hs"</formula>
    </cfRule>
  </conditionalFormatting>
  <conditionalFormatting sqref="C29">
    <cfRule type="cellIs" dxfId="575" priority="1033" stopIfTrue="1" operator="equal">
      <formula>"Towel"</formula>
    </cfRule>
    <cfRule type="cellIs" dxfId="574" priority="1034" stopIfTrue="1" operator="equal">
      <formula>"Napkin Hs"</formula>
    </cfRule>
  </conditionalFormatting>
  <conditionalFormatting sqref="C29">
    <cfRule type="cellIs" dxfId="573" priority="1036" stopIfTrue="1" operator="equal">
      <formula>"Napkin Hs"</formula>
    </cfRule>
  </conditionalFormatting>
  <conditionalFormatting sqref="C29">
    <cfRule type="cellIs" dxfId="572" priority="1035" stopIfTrue="1" operator="equal">
      <formula>"Towel"</formula>
    </cfRule>
  </conditionalFormatting>
  <conditionalFormatting sqref="B26:C28">
    <cfRule type="cellIs" dxfId="571" priority="1031" stopIfTrue="1" operator="equal">
      <formula>"Towel"</formula>
    </cfRule>
    <cfRule type="cellIs" dxfId="570" priority="1032" stopIfTrue="1" operator="equal">
      <formula>"Napkin Hs"</formula>
    </cfRule>
  </conditionalFormatting>
  <conditionalFormatting sqref="C26:C28">
    <cfRule type="cellIs" dxfId="569" priority="1030" stopIfTrue="1" operator="equal">
      <formula>"Napkin Hs"</formula>
    </cfRule>
  </conditionalFormatting>
  <conditionalFormatting sqref="C26:C28">
    <cfRule type="cellIs" dxfId="568" priority="1027" stopIfTrue="1" operator="equal">
      <formula>"Towel"</formula>
    </cfRule>
    <cfRule type="cellIs" dxfId="567" priority="1028" stopIfTrue="1" operator="equal">
      <formula>"Napkin Hs"</formula>
    </cfRule>
  </conditionalFormatting>
  <conditionalFormatting sqref="C26:C28">
    <cfRule type="cellIs" dxfId="566" priority="1029" stopIfTrue="1" operator="equal">
      <formula>"Towel"</formula>
    </cfRule>
  </conditionalFormatting>
  <conditionalFormatting sqref="B33:C33">
    <cfRule type="cellIs" dxfId="565" priority="1025" stopIfTrue="1" operator="equal">
      <formula>"Towel"</formula>
    </cfRule>
    <cfRule type="cellIs" dxfId="564" priority="1026" stopIfTrue="1" operator="equal">
      <formula>"Napkin Hs"</formula>
    </cfRule>
  </conditionalFormatting>
  <conditionalFormatting sqref="C33">
    <cfRule type="cellIs" dxfId="563" priority="1024" stopIfTrue="1" operator="equal">
      <formula>"Napkin Hs"</formula>
    </cfRule>
  </conditionalFormatting>
  <conditionalFormatting sqref="C33">
    <cfRule type="cellIs" dxfId="562" priority="1021" stopIfTrue="1" operator="equal">
      <formula>"Towel"</formula>
    </cfRule>
    <cfRule type="cellIs" dxfId="561" priority="1022" stopIfTrue="1" operator="equal">
      <formula>"Napkin Hs"</formula>
    </cfRule>
  </conditionalFormatting>
  <conditionalFormatting sqref="C33">
    <cfRule type="cellIs" dxfId="560" priority="1023" stopIfTrue="1" operator="equal">
      <formula>"Towel"</formula>
    </cfRule>
  </conditionalFormatting>
  <conditionalFormatting sqref="B34:C35">
    <cfRule type="cellIs" dxfId="559" priority="1019" stopIfTrue="1" operator="equal">
      <formula>"Towel"</formula>
    </cfRule>
    <cfRule type="cellIs" dxfId="558" priority="1020" stopIfTrue="1" operator="equal">
      <formula>"Napkin Hs"</formula>
    </cfRule>
  </conditionalFormatting>
  <conditionalFormatting sqref="C34:C35">
    <cfRule type="cellIs" dxfId="557" priority="1015" stopIfTrue="1" operator="equal">
      <formula>"Towel"</formula>
    </cfRule>
    <cfRule type="cellIs" dxfId="556" priority="1016" stopIfTrue="1" operator="equal">
      <formula>"Napkin Hs"</formula>
    </cfRule>
  </conditionalFormatting>
  <conditionalFormatting sqref="C34:C35">
    <cfRule type="cellIs" dxfId="555" priority="1018" stopIfTrue="1" operator="equal">
      <formula>"Napkin Hs"</formula>
    </cfRule>
  </conditionalFormatting>
  <conditionalFormatting sqref="C34:C35">
    <cfRule type="cellIs" dxfId="554" priority="1017" stopIfTrue="1" operator="equal">
      <formula>"Towel"</formula>
    </cfRule>
  </conditionalFormatting>
  <conditionalFormatting sqref="B31:C32">
    <cfRule type="cellIs" dxfId="553" priority="1013" stopIfTrue="1" operator="equal">
      <formula>"Towel"</formula>
    </cfRule>
    <cfRule type="cellIs" dxfId="552" priority="1014" stopIfTrue="1" operator="equal">
      <formula>"Napkin Hs"</formula>
    </cfRule>
  </conditionalFormatting>
  <conditionalFormatting sqref="C31:C32">
    <cfRule type="cellIs" dxfId="551" priority="1012" stopIfTrue="1" operator="equal">
      <formula>"Napkin Hs"</formula>
    </cfRule>
  </conditionalFormatting>
  <conditionalFormatting sqref="C31:C32">
    <cfRule type="cellIs" dxfId="550" priority="1009" stopIfTrue="1" operator="equal">
      <formula>"Towel"</formula>
    </cfRule>
    <cfRule type="cellIs" dxfId="549" priority="1010" stopIfTrue="1" operator="equal">
      <formula>"Napkin Hs"</formula>
    </cfRule>
  </conditionalFormatting>
  <conditionalFormatting sqref="C31:C32">
    <cfRule type="cellIs" dxfId="548" priority="1011" stopIfTrue="1" operator="equal">
      <formula>"Towel"</formula>
    </cfRule>
  </conditionalFormatting>
  <conditionalFormatting sqref="B44:C44">
    <cfRule type="cellIs" dxfId="547" priority="1001" stopIfTrue="1" operator="equal">
      <formula>"Towel"</formula>
    </cfRule>
    <cfRule type="cellIs" dxfId="546" priority="1002" stopIfTrue="1" operator="equal">
      <formula>"Napkin Hs"</formula>
    </cfRule>
  </conditionalFormatting>
  <conditionalFormatting sqref="C44">
    <cfRule type="cellIs" dxfId="545" priority="1000" stopIfTrue="1" operator="equal">
      <formula>"Napkin Hs"</formula>
    </cfRule>
  </conditionalFormatting>
  <conditionalFormatting sqref="C44">
    <cfRule type="cellIs" dxfId="544" priority="997" stopIfTrue="1" operator="equal">
      <formula>"Towel"</formula>
    </cfRule>
    <cfRule type="cellIs" dxfId="543" priority="998" stopIfTrue="1" operator="equal">
      <formula>"Napkin Hs"</formula>
    </cfRule>
  </conditionalFormatting>
  <conditionalFormatting sqref="C44">
    <cfRule type="cellIs" dxfId="542" priority="999" stopIfTrue="1" operator="equal">
      <formula>"Towel"</formula>
    </cfRule>
  </conditionalFormatting>
  <conditionalFormatting sqref="B39:C39">
    <cfRule type="cellIs" dxfId="541" priority="995" stopIfTrue="1" operator="equal">
      <formula>"Towel"</formula>
    </cfRule>
    <cfRule type="cellIs" dxfId="540" priority="996" stopIfTrue="1" operator="equal">
      <formula>"Napkin Hs"</formula>
    </cfRule>
  </conditionalFormatting>
  <conditionalFormatting sqref="C39">
    <cfRule type="cellIs" dxfId="539" priority="994" stopIfTrue="1" operator="equal">
      <formula>"Napkin Hs"</formula>
    </cfRule>
  </conditionalFormatting>
  <conditionalFormatting sqref="C39">
    <cfRule type="cellIs" dxfId="538" priority="991" stopIfTrue="1" operator="equal">
      <formula>"Towel"</formula>
    </cfRule>
    <cfRule type="cellIs" dxfId="537" priority="992" stopIfTrue="1" operator="equal">
      <formula>"Napkin Hs"</formula>
    </cfRule>
  </conditionalFormatting>
  <conditionalFormatting sqref="C39">
    <cfRule type="cellIs" dxfId="536" priority="993" stopIfTrue="1" operator="equal">
      <formula>"Towel"</formula>
    </cfRule>
  </conditionalFormatting>
  <conditionalFormatting sqref="B40:C43">
    <cfRule type="cellIs" dxfId="535" priority="989" stopIfTrue="1" operator="equal">
      <formula>"Towel"</formula>
    </cfRule>
    <cfRule type="cellIs" dxfId="534" priority="990" stopIfTrue="1" operator="equal">
      <formula>"Napkin Hs"</formula>
    </cfRule>
  </conditionalFormatting>
  <conditionalFormatting sqref="C40:C43">
    <cfRule type="cellIs" dxfId="533" priority="985" stopIfTrue="1" operator="equal">
      <formula>"Towel"</formula>
    </cfRule>
    <cfRule type="cellIs" dxfId="532" priority="986" stopIfTrue="1" operator="equal">
      <formula>"Napkin Hs"</formula>
    </cfRule>
  </conditionalFormatting>
  <conditionalFormatting sqref="C40:C43">
    <cfRule type="cellIs" dxfId="531" priority="988" stopIfTrue="1" operator="equal">
      <formula>"Napkin Hs"</formula>
    </cfRule>
  </conditionalFormatting>
  <conditionalFormatting sqref="C40:C43">
    <cfRule type="cellIs" dxfId="530" priority="987" stopIfTrue="1" operator="equal">
      <formula>"Towel"</formula>
    </cfRule>
  </conditionalFormatting>
  <conditionalFormatting sqref="B37:C38">
    <cfRule type="cellIs" dxfId="529" priority="983" stopIfTrue="1" operator="equal">
      <formula>"Towel"</formula>
    </cfRule>
    <cfRule type="cellIs" dxfId="528" priority="984" stopIfTrue="1" operator="equal">
      <formula>"Napkin Hs"</formula>
    </cfRule>
  </conditionalFormatting>
  <conditionalFormatting sqref="C37:C38">
    <cfRule type="cellIs" dxfId="527" priority="982" stopIfTrue="1" operator="equal">
      <formula>"Napkin Hs"</formula>
    </cfRule>
  </conditionalFormatting>
  <conditionalFormatting sqref="C37:C38">
    <cfRule type="cellIs" dxfId="526" priority="979" stopIfTrue="1" operator="equal">
      <formula>"Towel"</formula>
    </cfRule>
    <cfRule type="cellIs" dxfId="525" priority="980" stopIfTrue="1" operator="equal">
      <formula>"Napkin Hs"</formula>
    </cfRule>
  </conditionalFormatting>
  <conditionalFormatting sqref="C37:C38">
    <cfRule type="cellIs" dxfId="524" priority="981" stopIfTrue="1" operator="equal">
      <formula>"Towel"</formula>
    </cfRule>
  </conditionalFormatting>
  <conditionalFormatting sqref="B51:C51">
    <cfRule type="cellIs" dxfId="523" priority="949" stopIfTrue="1" operator="equal">
      <formula>"Towel"</formula>
    </cfRule>
    <cfRule type="cellIs" dxfId="522" priority="950" stopIfTrue="1" operator="equal">
      <formula>"Napkin Hs"</formula>
    </cfRule>
  </conditionalFormatting>
  <conditionalFormatting sqref="C51">
    <cfRule type="cellIs" dxfId="521" priority="945" stopIfTrue="1" operator="equal">
      <formula>"Towel"</formula>
    </cfRule>
    <cfRule type="cellIs" dxfId="520" priority="946" stopIfTrue="1" operator="equal">
      <formula>"Napkin Hs"</formula>
    </cfRule>
  </conditionalFormatting>
  <conditionalFormatting sqref="C51">
    <cfRule type="cellIs" dxfId="519" priority="947" stopIfTrue="1" operator="equal">
      <formula>"Towel"</formula>
    </cfRule>
    <cfRule type="cellIs" dxfId="518" priority="948" stopIfTrue="1" operator="equal">
      <formula>"Napkin Hs"</formula>
    </cfRule>
  </conditionalFormatting>
  <conditionalFormatting sqref="B47:C47">
    <cfRule type="cellIs" dxfId="517" priority="931" stopIfTrue="1" operator="equal">
      <formula>"Towel"</formula>
    </cfRule>
    <cfRule type="cellIs" dxfId="516" priority="932" stopIfTrue="1" operator="equal">
      <formula>"Napkin Hs"</formula>
    </cfRule>
  </conditionalFormatting>
  <conditionalFormatting sqref="C47">
    <cfRule type="cellIs" dxfId="515" priority="930" stopIfTrue="1" operator="equal">
      <formula>"Napkin Hs"</formula>
    </cfRule>
  </conditionalFormatting>
  <conditionalFormatting sqref="C47">
    <cfRule type="cellIs" dxfId="514" priority="927" stopIfTrue="1" operator="equal">
      <formula>"Towel"</formula>
    </cfRule>
    <cfRule type="cellIs" dxfId="513" priority="928" stopIfTrue="1" operator="equal">
      <formula>"Napkin Hs"</formula>
    </cfRule>
  </conditionalFormatting>
  <conditionalFormatting sqref="C47">
    <cfRule type="cellIs" dxfId="512" priority="929" stopIfTrue="1" operator="equal">
      <formula>"Towel"</formula>
    </cfRule>
  </conditionalFormatting>
  <conditionalFormatting sqref="B48:C49">
    <cfRule type="cellIs" dxfId="511" priority="925" stopIfTrue="1" operator="equal">
      <formula>"Towel"</formula>
    </cfRule>
    <cfRule type="cellIs" dxfId="510" priority="926" stopIfTrue="1" operator="equal">
      <formula>"Napkin Hs"</formula>
    </cfRule>
  </conditionalFormatting>
  <conditionalFormatting sqref="C48:C49">
    <cfRule type="cellIs" dxfId="509" priority="921" stopIfTrue="1" operator="equal">
      <formula>"Towel"</formula>
    </cfRule>
    <cfRule type="cellIs" dxfId="508" priority="922" stopIfTrue="1" operator="equal">
      <formula>"Napkin Hs"</formula>
    </cfRule>
  </conditionalFormatting>
  <conditionalFormatting sqref="C48:C49">
    <cfRule type="cellIs" dxfId="507" priority="924" stopIfTrue="1" operator="equal">
      <formula>"Napkin Hs"</formula>
    </cfRule>
  </conditionalFormatting>
  <conditionalFormatting sqref="C48:C49">
    <cfRule type="cellIs" dxfId="506" priority="923" stopIfTrue="1" operator="equal">
      <formula>"Towel"</formula>
    </cfRule>
  </conditionalFormatting>
  <conditionalFormatting sqref="B45:C46">
    <cfRule type="cellIs" dxfId="505" priority="919" stopIfTrue="1" operator="equal">
      <formula>"Towel"</formula>
    </cfRule>
    <cfRule type="cellIs" dxfId="504" priority="920" stopIfTrue="1" operator="equal">
      <formula>"Napkin Hs"</formula>
    </cfRule>
  </conditionalFormatting>
  <conditionalFormatting sqref="C45:C46">
    <cfRule type="cellIs" dxfId="503" priority="918" stopIfTrue="1" operator="equal">
      <formula>"Napkin Hs"</formula>
    </cfRule>
  </conditionalFormatting>
  <conditionalFormatting sqref="C45:C46">
    <cfRule type="cellIs" dxfId="502" priority="915" stopIfTrue="1" operator="equal">
      <formula>"Towel"</formula>
    </cfRule>
    <cfRule type="cellIs" dxfId="501" priority="916" stopIfTrue="1" operator="equal">
      <formula>"Napkin Hs"</formula>
    </cfRule>
  </conditionalFormatting>
  <conditionalFormatting sqref="C45:C46">
    <cfRule type="cellIs" dxfId="500" priority="917" stopIfTrue="1" operator="equal">
      <formula>"Towel"</formula>
    </cfRule>
  </conditionalFormatting>
  <conditionalFormatting sqref="B50:C50">
    <cfRule type="cellIs" dxfId="499" priority="913" stopIfTrue="1" operator="equal">
      <formula>"Towel"</formula>
    </cfRule>
    <cfRule type="cellIs" dxfId="498" priority="914" stopIfTrue="1" operator="equal">
      <formula>"Napkin Hs"</formula>
    </cfRule>
  </conditionalFormatting>
  <conditionalFormatting sqref="C50">
    <cfRule type="cellIs" dxfId="497" priority="909" stopIfTrue="1" operator="equal">
      <formula>"Towel"</formula>
    </cfRule>
    <cfRule type="cellIs" dxfId="496" priority="910" stopIfTrue="1" operator="equal">
      <formula>"Napkin Hs"</formula>
    </cfRule>
  </conditionalFormatting>
  <conditionalFormatting sqref="C50">
    <cfRule type="cellIs" dxfId="495" priority="912" stopIfTrue="1" operator="equal">
      <formula>"Napkin Hs"</formula>
    </cfRule>
  </conditionalFormatting>
  <conditionalFormatting sqref="C50">
    <cfRule type="cellIs" dxfId="494" priority="911" stopIfTrue="1" operator="equal">
      <formula>"Towel"</formula>
    </cfRule>
  </conditionalFormatting>
  <conditionalFormatting sqref="B55:C55">
    <cfRule type="cellIs" dxfId="493" priority="837" stopIfTrue="1" operator="equal">
      <formula>"Towel"</formula>
    </cfRule>
    <cfRule type="cellIs" dxfId="492" priority="838" stopIfTrue="1" operator="equal">
      <formula>"Napkin Hs"</formula>
    </cfRule>
  </conditionalFormatting>
  <conditionalFormatting sqref="C55">
    <cfRule type="cellIs" dxfId="491" priority="836" stopIfTrue="1" operator="equal">
      <formula>"Napkin Hs"</formula>
    </cfRule>
  </conditionalFormatting>
  <conditionalFormatting sqref="C55">
    <cfRule type="cellIs" dxfId="490" priority="833" stopIfTrue="1" operator="equal">
      <formula>"Towel"</formula>
    </cfRule>
    <cfRule type="cellIs" dxfId="489" priority="834" stopIfTrue="1" operator="equal">
      <formula>"Napkin Hs"</formula>
    </cfRule>
  </conditionalFormatting>
  <conditionalFormatting sqref="C55">
    <cfRule type="cellIs" dxfId="488" priority="835" stopIfTrue="1" operator="equal">
      <formula>"Towel"</formula>
    </cfRule>
  </conditionalFormatting>
  <conditionalFormatting sqref="B59:C59">
    <cfRule type="cellIs" dxfId="487" priority="827" stopIfTrue="1" operator="equal">
      <formula>"Towel"</formula>
    </cfRule>
    <cfRule type="cellIs" dxfId="486" priority="828" stopIfTrue="1" operator="equal">
      <formula>"Napkin Hs"</formula>
    </cfRule>
  </conditionalFormatting>
  <conditionalFormatting sqref="C59">
    <cfRule type="cellIs" dxfId="485" priority="823" stopIfTrue="1" operator="equal">
      <formula>"Towel"</formula>
    </cfRule>
    <cfRule type="cellIs" dxfId="484" priority="824" stopIfTrue="1" operator="equal">
      <formula>"Napkin Hs"</formula>
    </cfRule>
  </conditionalFormatting>
  <conditionalFormatting sqref="C59">
    <cfRule type="cellIs" dxfId="483" priority="825" stopIfTrue="1" operator="equal">
      <formula>"Towel"</formula>
    </cfRule>
    <cfRule type="cellIs" dxfId="482" priority="826" stopIfTrue="1" operator="equal">
      <formula>"Napkin Hs"</formula>
    </cfRule>
  </conditionalFormatting>
  <conditionalFormatting sqref="B54:C54">
    <cfRule type="cellIs" dxfId="481" priority="815" stopIfTrue="1" operator="equal">
      <formula>"Towel"</formula>
    </cfRule>
    <cfRule type="cellIs" dxfId="480" priority="816" stopIfTrue="1" operator="equal">
      <formula>"Napkin Hs"</formula>
    </cfRule>
  </conditionalFormatting>
  <conditionalFormatting sqref="C54">
    <cfRule type="cellIs" dxfId="479" priority="814" stopIfTrue="1" operator="equal">
      <formula>"Napkin Hs"</formula>
    </cfRule>
  </conditionalFormatting>
  <conditionalFormatting sqref="C54">
    <cfRule type="cellIs" dxfId="478" priority="811" stopIfTrue="1" operator="equal">
      <formula>"Towel"</formula>
    </cfRule>
    <cfRule type="cellIs" dxfId="477" priority="812" stopIfTrue="1" operator="equal">
      <formula>"Napkin Hs"</formula>
    </cfRule>
  </conditionalFormatting>
  <conditionalFormatting sqref="C54">
    <cfRule type="cellIs" dxfId="476" priority="813" stopIfTrue="1" operator="equal">
      <formula>"Towel"</formula>
    </cfRule>
  </conditionalFormatting>
  <conditionalFormatting sqref="B53:C53">
    <cfRule type="cellIs" dxfId="475" priority="809" stopIfTrue="1" operator="equal">
      <formula>"Towel"</formula>
    </cfRule>
    <cfRule type="cellIs" dxfId="474" priority="810" stopIfTrue="1" operator="equal">
      <formula>"Napkin Hs"</formula>
    </cfRule>
  </conditionalFormatting>
  <conditionalFormatting sqref="C53">
    <cfRule type="cellIs" dxfId="473" priority="808" stopIfTrue="1" operator="equal">
      <formula>"Napkin Hs"</formula>
    </cfRule>
  </conditionalFormatting>
  <conditionalFormatting sqref="C53">
    <cfRule type="cellIs" dxfId="472" priority="805" stopIfTrue="1" operator="equal">
      <formula>"Towel"</formula>
    </cfRule>
    <cfRule type="cellIs" dxfId="471" priority="806" stopIfTrue="1" operator="equal">
      <formula>"Napkin Hs"</formula>
    </cfRule>
  </conditionalFormatting>
  <conditionalFormatting sqref="C53">
    <cfRule type="cellIs" dxfId="470" priority="807" stopIfTrue="1" operator="equal">
      <formula>"Towel"</formula>
    </cfRule>
  </conditionalFormatting>
  <conditionalFormatting sqref="B52:C52">
    <cfRule type="cellIs" dxfId="469" priority="803" stopIfTrue="1" operator="equal">
      <formula>"Towel"</formula>
    </cfRule>
    <cfRule type="cellIs" dxfId="468" priority="804" stopIfTrue="1" operator="equal">
      <formula>"Napkin Hs"</formula>
    </cfRule>
  </conditionalFormatting>
  <conditionalFormatting sqref="C52">
    <cfRule type="cellIs" dxfId="467" priority="802" stopIfTrue="1" operator="equal">
      <formula>"Napkin Hs"</formula>
    </cfRule>
  </conditionalFormatting>
  <conditionalFormatting sqref="C52">
    <cfRule type="cellIs" dxfId="466" priority="799" stopIfTrue="1" operator="equal">
      <formula>"Towel"</formula>
    </cfRule>
    <cfRule type="cellIs" dxfId="465" priority="800" stopIfTrue="1" operator="equal">
      <formula>"Napkin Hs"</formula>
    </cfRule>
  </conditionalFormatting>
  <conditionalFormatting sqref="C52">
    <cfRule type="cellIs" dxfId="464" priority="801" stopIfTrue="1" operator="equal">
      <formula>"Towel"</formula>
    </cfRule>
  </conditionalFormatting>
  <conditionalFormatting sqref="B58:C58">
    <cfRule type="cellIs" dxfId="463" priority="797" stopIfTrue="1" operator="equal">
      <formula>"Towel"</formula>
    </cfRule>
    <cfRule type="cellIs" dxfId="462" priority="798" stopIfTrue="1" operator="equal">
      <formula>"Napkin Hs"</formula>
    </cfRule>
  </conditionalFormatting>
  <conditionalFormatting sqref="C58">
    <cfRule type="cellIs" dxfId="461" priority="796" stopIfTrue="1" operator="equal">
      <formula>"Napkin Hs"</formula>
    </cfRule>
  </conditionalFormatting>
  <conditionalFormatting sqref="C58">
    <cfRule type="cellIs" dxfId="460" priority="793" stopIfTrue="1" operator="equal">
      <formula>"Towel"</formula>
    </cfRule>
    <cfRule type="cellIs" dxfId="459" priority="794" stopIfTrue="1" operator="equal">
      <formula>"Napkin Hs"</formula>
    </cfRule>
  </conditionalFormatting>
  <conditionalFormatting sqref="C58">
    <cfRule type="cellIs" dxfId="458" priority="795" stopIfTrue="1" operator="equal">
      <formula>"Towel"</formula>
    </cfRule>
  </conditionalFormatting>
  <conditionalFormatting sqref="B57:C57">
    <cfRule type="cellIs" dxfId="457" priority="791" stopIfTrue="1" operator="equal">
      <formula>"Towel"</formula>
    </cfRule>
    <cfRule type="cellIs" dxfId="456" priority="792" stopIfTrue="1" operator="equal">
      <formula>"Napkin Hs"</formula>
    </cfRule>
  </conditionalFormatting>
  <conditionalFormatting sqref="C57">
    <cfRule type="cellIs" dxfId="455" priority="790" stopIfTrue="1" operator="equal">
      <formula>"Napkin Hs"</formula>
    </cfRule>
  </conditionalFormatting>
  <conditionalFormatting sqref="C57">
    <cfRule type="cellIs" dxfId="454" priority="787" stopIfTrue="1" operator="equal">
      <formula>"Towel"</formula>
    </cfRule>
    <cfRule type="cellIs" dxfId="453" priority="788" stopIfTrue="1" operator="equal">
      <formula>"Napkin Hs"</formula>
    </cfRule>
  </conditionalFormatting>
  <conditionalFormatting sqref="C57">
    <cfRule type="cellIs" dxfId="452" priority="789" stopIfTrue="1" operator="equal">
      <formula>"Towel"</formula>
    </cfRule>
  </conditionalFormatting>
  <conditionalFormatting sqref="B56:C56">
    <cfRule type="cellIs" dxfId="451" priority="785" stopIfTrue="1" operator="equal">
      <formula>"Towel"</formula>
    </cfRule>
    <cfRule type="cellIs" dxfId="450" priority="786" stopIfTrue="1" operator="equal">
      <formula>"Napkin Hs"</formula>
    </cfRule>
  </conditionalFormatting>
  <conditionalFormatting sqref="C56">
    <cfRule type="cellIs" dxfId="449" priority="784" stopIfTrue="1" operator="equal">
      <formula>"Napkin Hs"</formula>
    </cfRule>
  </conditionalFormatting>
  <conditionalFormatting sqref="C56">
    <cfRule type="cellIs" dxfId="448" priority="781" stopIfTrue="1" operator="equal">
      <formula>"Towel"</formula>
    </cfRule>
    <cfRule type="cellIs" dxfId="447" priority="782" stopIfTrue="1" operator="equal">
      <formula>"Napkin Hs"</formula>
    </cfRule>
  </conditionalFormatting>
  <conditionalFormatting sqref="C56">
    <cfRule type="cellIs" dxfId="446" priority="783" stopIfTrue="1" operator="equal">
      <formula>"Towel"</formula>
    </cfRule>
  </conditionalFormatting>
  <conditionalFormatting sqref="B63:C63">
    <cfRule type="cellIs" dxfId="445" priority="763" stopIfTrue="1" operator="equal">
      <formula>"Towel"</formula>
    </cfRule>
    <cfRule type="cellIs" dxfId="444" priority="764" stopIfTrue="1" operator="equal">
      <formula>"Napkin Hs"</formula>
    </cfRule>
  </conditionalFormatting>
  <conditionalFormatting sqref="C63">
    <cfRule type="cellIs" dxfId="443" priority="762" stopIfTrue="1" operator="equal">
      <formula>"Napkin Hs"</formula>
    </cfRule>
  </conditionalFormatting>
  <conditionalFormatting sqref="C63">
    <cfRule type="cellIs" dxfId="442" priority="759" stopIfTrue="1" operator="equal">
      <formula>"Towel"</formula>
    </cfRule>
    <cfRule type="cellIs" dxfId="441" priority="760" stopIfTrue="1" operator="equal">
      <formula>"Napkin Hs"</formula>
    </cfRule>
  </conditionalFormatting>
  <conditionalFormatting sqref="C63">
    <cfRule type="cellIs" dxfId="440" priority="761" stopIfTrue="1" operator="equal">
      <formula>"Towel"</formula>
    </cfRule>
  </conditionalFormatting>
  <conditionalFormatting sqref="B62:C62">
    <cfRule type="cellIs" dxfId="439" priority="757" stopIfTrue="1" operator="equal">
      <formula>"Towel"</formula>
    </cfRule>
    <cfRule type="cellIs" dxfId="438" priority="758" stopIfTrue="1" operator="equal">
      <formula>"Napkin Hs"</formula>
    </cfRule>
  </conditionalFormatting>
  <conditionalFormatting sqref="C62">
    <cfRule type="cellIs" dxfId="437" priority="756" stopIfTrue="1" operator="equal">
      <formula>"Napkin Hs"</formula>
    </cfRule>
  </conditionalFormatting>
  <conditionalFormatting sqref="C62">
    <cfRule type="cellIs" dxfId="436" priority="753" stopIfTrue="1" operator="equal">
      <formula>"Towel"</formula>
    </cfRule>
    <cfRule type="cellIs" dxfId="435" priority="754" stopIfTrue="1" operator="equal">
      <formula>"Napkin Hs"</formula>
    </cfRule>
  </conditionalFormatting>
  <conditionalFormatting sqref="C62">
    <cfRule type="cellIs" dxfId="434" priority="755" stopIfTrue="1" operator="equal">
      <formula>"Towel"</formula>
    </cfRule>
  </conditionalFormatting>
  <conditionalFormatting sqref="B60:C61">
    <cfRule type="cellIs" dxfId="433" priority="751" stopIfTrue="1" operator="equal">
      <formula>"Towel"</formula>
    </cfRule>
    <cfRule type="cellIs" dxfId="432" priority="752" stopIfTrue="1" operator="equal">
      <formula>"Napkin Hs"</formula>
    </cfRule>
  </conditionalFormatting>
  <conditionalFormatting sqref="C60:C61">
    <cfRule type="cellIs" dxfId="431" priority="750" stopIfTrue="1" operator="equal">
      <formula>"Napkin Hs"</formula>
    </cfRule>
  </conditionalFormatting>
  <conditionalFormatting sqref="C60:C61">
    <cfRule type="cellIs" dxfId="430" priority="747" stopIfTrue="1" operator="equal">
      <formula>"Towel"</formula>
    </cfRule>
    <cfRule type="cellIs" dxfId="429" priority="748" stopIfTrue="1" operator="equal">
      <formula>"Napkin Hs"</formula>
    </cfRule>
  </conditionalFormatting>
  <conditionalFormatting sqref="C60:C61">
    <cfRule type="cellIs" dxfId="428" priority="749" stopIfTrue="1" operator="equal">
      <formula>"Towel"</formula>
    </cfRule>
  </conditionalFormatting>
  <conditionalFormatting sqref="B67:C67">
    <cfRule type="cellIs" dxfId="427" priority="653" stopIfTrue="1" operator="equal">
      <formula>"Towel"</formula>
    </cfRule>
    <cfRule type="cellIs" dxfId="426" priority="654" stopIfTrue="1" operator="equal">
      <formula>"Napkin Hs"</formula>
    </cfRule>
  </conditionalFormatting>
  <conditionalFormatting sqref="C67">
    <cfRule type="cellIs" dxfId="425" priority="652" stopIfTrue="1" operator="equal">
      <formula>"Napkin Hs"</formula>
    </cfRule>
  </conditionalFormatting>
  <conditionalFormatting sqref="C67">
    <cfRule type="cellIs" dxfId="424" priority="649" stopIfTrue="1" operator="equal">
      <formula>"Towel"</formula>
    </cfRule>
    <cfRule type="cellIs" dxfId="423" priority="650" stopIfTrue="1" operator="equal">
      <formula>"Napkin Hs"</formula>
    </cfRule>
  </conditionalFormatting>
  <conditionalFormatting sqref="C67">
    <cfRule type="cellIs" dxfId="422" priority="651" stopIfTrue="1" operator="equal">
      <formula>"Towel"</formula>
    </cfRule>
  </conditionalFormatting>
  <conditionalFormatting sqref="B64:C66">
    <cfRule type="cellIs" dxfId="421" priority="647" stopIfTrue="1" operator="equal">
      <formula>"Towel"</formula>
    </cfRule>
    <cfRule type="cellIs" dxfId="420" priority="648" stopIfTrue="1" operator="equal">
      <formula>"Napkin Hs"</formula>
    </cfRule>
  </conditionalFormatting>
  <conditionalFormatting sqref="C64:C66">
    <cfRule type="cellIs" dxfId="419" priority="646" stopIfTrue="1" operator="equal">
      <formula>"Napkin Hs"</formula>
    </cfRule>
  </conditionalFormatting>
  <conditionalFormatting sqref="C64:C66">
    <cfRule type="cellIs" dxfId="418" priority="643" stopIfTrue="1" operator="equal">
      <formula>"Towel"</formula>
    </cfRule>
    <cfRule type="cellIs" dxfId="417" priority="644" stopIfTrue="1" operator="equal">
      <formula>"Napkin Hs"</formula>
    </cfRule>
  </conditionalFormatting>
  <conditionalFormatting sqref="C64:C66">
    <cfRule type="cellIs" dxfId="416" priority="645" stopIfTrue="1" operator="equal">
      <formula>"Towel"</formula>
    </cfRule>
  </conditionalFormatting>
  <conditionalFormatting sqref="B71:C71">
    <cfRule type="cellIs" dxfId="415" priority="629" stopIfTrue="1" operator="equal">
      <formula>"Towel"</formula>
    </cfRule>
    <cfRule type="cellIs" dxfId="414" priority="630" stopIfTrue="1" operator="equal">
      <formula>"Napkin Hs"</formula>
    </cfRule>
  </conditionalFormatting>
  <conditionalFormatting sqref="C71">
    <cfRule type="cellIs" dxfId="413" priority="628" stopIfTrue="1" operator="equal">
      <formula>"Napkin Hs"</formula>
    </cfRule>
  </conditionalFormatting>
  <conditionalFormatting sqref="C71">
    <cfRule type="cellIs" dxfId="412" priority="625" stopIfTrue="1" operator="equal">
      <formula>"Towel"</formula>
    </cfRule>
    <cfRule type="cellIs" dxfId="411" priority="626" stopIfTrue="1" operator="equal">
      <formula>"Napkin Hs"</formula>
    </cfRule>
  </conditionalFormatting>
  <conditionalFormatting sqref="C71">
    <cfRule type="cellIs" dxfId="410" priority="627" stopIfTrue="1" operator="equal">
      <formula>"Towel"</formula>
    </cfRule>
  </conditionalFormatting>
  <conditionalFormatting sqref="B70:C70">
    <cfRule type="cellIs" dxfId="409" priority="623" stopIfTrue="1" operator="equal">
      <formula>"Towel"</formula>
    </cfRule>
    <cfRule type="cellIs" dxfId="408" priority="624" stopIfTrue="1" operator="equal">
      <formula>"Napkin Hs"</formula>
    </cfRule>
  </conditionalFormatting>
  <conditionalFormatting sqref="C70">
    <cfRule type="cellIs" dxfId="407" priority="622" stopIfTrue="1" operator="equal">
      <formula>"Napkin Hs"</formula>
    </cfRule>
  </conditionalFormatting>
  <conditionalFormatting sqref="C70">
    <cfRule type="cellIs" dxfId="406" priority="619" stopIfTrue="1" operator="equal">
      <formula>"Towel"</formula>
    </cfRule>
    <cfRule type="cellIs" dxfId="405" priority="620" stopIfTrue="1" operator="equal">
      <formula>"Napkin Hs"</formula>
    </cfRule>
  </conditionalFormatting>
  <conditionalFormatting sqref="C70">
    <cfRule type="cellIs" dxfId="404" priority="621" stopIfTrue="1" operator="equal">
      <formula>"Towel"</formula>
    </cfRule>
  </conditionalFormatting>
  <conditionalFormatting sqref="B68:C69">
    <cfRule type="cellIs" dxfId="403" priority="617" stopIfTrue="1" operator="equal">
      <formula>"Towel"</formula>
    </cfRule>
    <cfRule type="cellIs" dxfId="402" priority="618" stopIfTrue="1" operator="equal">
      <formula>"Napkin Hs"</formula>
    </cfRule>
  </conditionalFormatting>
  <conditionalFormatting sqref="C68:C69">
    <cfRule type="cellIs" dxfId="401" priority="616" stopIfTrue="1" operator="equal">
      <formula>"Napkin Hs"</formula>
    </cfRule>
  </conditionalFormatting>
  <conditionalFormatting sqref="C68:C69">
    <cfRule type="cellIs" dxfId="400" priority="613" stopIfTrue="1" operator="equal">
      <formula>"Towel"</formula>
    </cfRule>
    <cfRule type="cellIs" dxfId="399" priority="614" stopIfTrue="1" operator="equal">
      <formula>"Napkin Hs"</formula>
    </cfRule>
  </conditionalFormatting>
  <conditionalFormatting sqref="C68:C69">
    <cfRule type="cellIs" dxfId="398" priority="615" stopIfTrue="1" operator="equal">
      <formula>"Towel"</formula>
    </cfRule>
  </conditionalFormatting>
  <conditionalFormatting sqref="B76:C76">
    <cfRule type="cellIs" dxfId="397" priority="509" stopIfTrue="1" operator="equal">
      <formula>"Towel"</formula>
    </cfRule>
    <cfRule type="cellIs" dxfId="396" priority="510" stopIfTrue="1" operator="equal">
      <formula>"Napkin Hs"</formula>
    </cfRule>
  </conditionalFormatting>
  <conditionalFormatting sqref="C76">
    <cfRule type="cellIs" dxfId="395" priority="505" stopIfTrue="1" operator="equal">
      <formula>"Towel"</formula>
    </cfRule>
    <cfRule type="cellIs" dxfId="394" priority="506" stopIfTrue="1" operator="equal">
      <formula>"Napkin Hs"</formula>
    </cfRule>
  </conditionalFormatting>
  <conditionalFormatting sqref="C76">
    <cfRule type="cellIs" dxfId="393" priority="508" stopIfTrue="1" operator="equal">
      <formula>"Napkin Hs"</formula>
    </cfRule>
  </conditionalFormatting>
  <conditionalFormatting sqref="C76">
    <cfRule type="cellIs" dxfId="392" priority="507" stopIfTrue="1" operator="equal">
      <formula>"Towel"</formula>
    </cfRule>
  </conditionalFormatting>
  <conditionalFormatting sqref="B81:C81">
    <cfRule type="cellIs" dxfId="391" priority="503" stopIfTrue="1" operator="equal">
      <formula>"Towel"</formula>
    </cfRule>
    <cfRule type="cellIs" dxfId="390" priority="504" stopIfTrue="1" operator="equal">
      <formula>"Napkin Hs"</formula>
    </cfRule>
  </conditionalFormatting>
  <conditionalFormatting sqref="C81">
    <cfRule type="cellIs" dxfId="389" priority="502" stopIfTrue="1" operator="equal">
      <formula>"Napkin Hs"</formula>
    </cfRule>
  </conditionalFormatting>
  <conditionalFormatting sqref="C81">
    <cfRule type="cellIs" dxfId="388" priority="499" stopIfTrue="1" operator="equal">
      <formula>"Towel"</formula>
    </cfRule>
    <cfRule type="cellIs" dxfId="387" priority="500" stopIfTrue="1" operator="equal">
      <formula>"Napkin Hs"</formula>
    </cfRule>
  </conditionalFormatting>
  <conditionalFormatting sqref="C81">
    <cfRule type="cellIs" dxfId="386" priority="501" stopIfTrue="1" operator="equal">
      <formula>"Towel"</formula>
    </cfRule>
  </conditionalFormatting>
  <conditionalFormatting sqref="B86:C86">
    <cfRule type="cellIs" dxfId="385" priority="485" stopIfTrue="1" operator="equal">
      <formula>"Towel"</formula>
    </cfRule>
    <cfRule type="cellIs" dxfId="384" priority="486" stopIfTrue="1" operator="equal">
      <formula>"Napkin Hs"</formula>
    </cfRule>
  </conditionalFormatting>
  <conditionalFormatting sqref="C86">
    <cfRule type="cellIs" dxfId="383" priority="481" stopIfTrue="1" operator="equal">
      <formula>"Towel"</formula>
    </cfRule>
    <cfRule type="cellIs" dxfId="382" priority="482" stopIfTrue="1" operator="equal">
      <formula>"Napkin Hs"</formula>
    </cfRule>
  </conditionalFormatting>
  <conditionalFormatting sqref="C86">
    <cfRule type="cellIs" dxfId="381" priority="484" stopIfTrue="1" operator="equal">
      <formula>"Napkin Hs"</formula>
    </cfRule>
  </conditionalFormatting>
  <conditionalFormatting sqref="C86">
    <cfRule type="cellIs" dxfId="380" priority="483" stopIfTrue="1" operator="equal">
      <formula>"Towel"</formula>
    </cfRule>
  </conditionalFormatting>
  <conditionalFormatting sqref="B74:C75">
    <cfRule type="cellIs" dxfId="379" priority="479" stopIfTrue="1" operator="equal">
      <formula>"Towel"</formula>
    </cfRule>
    <cfRule type="cellIs" dxfId="378" priority="480" stopIfTrue="1" operator="equal">
      <formula>"Napkin Hs"</formula>
    </cfRule>
  </conditionalFormatting>
  <conditionalFormatting sqref="C74:C75">
    <cfRule type="cellIs" dxfId="377" priority="478" stopIfTrue="1" operator="equal">
      <formula>"Napkin Hs"</formula>
    </cfRule>
  </conditionalFormatting>
  <conditionalFormatting sqref="C74:C75">
    <cfRule type="cellIs" dxfId="376" priority="475" stopIfTrue="1" operator="equal">
      <formula>"Towel"</formula>
    </cfRule>
    <cfRule type="cellIs" dxfId="375" priority="476" stopIfTrue="1" operator="equal">
      <formula>"Napkin Hs"</formula>
    </cfRule>
  </conditionalFormatting>
  <conditionalFormatting sqref="C74:C75">
    <cfRule type="cellIs" dxfId="374" priority="477" stopIfTrue="1" operator="equal">
      <formula>"Towel"</formula>
    </cfRule>
  </conditionalFormatting>
  <conditionalFormatting sqref="B72:C72">
    <cfRule type="cellIs" dxfId="373" priority="473" stopIfTrue="1" operator="equal">
      <formula>"Towel"</formula>
    </cfRule>
    <cfRule type="cellIs" dxfId="372" priority="474" stopIfTrue="1" operator="equal">
      <formula>"Napkin Hs"</formula>
    </cfRule>
  </conditionalFormatting>
  <conditionalFormatting sqref="C72">
    <cfRule type="cellIs" dxfId="371" priority="472" stopIfTrue="1" operator="equal">
      <formula>"Napkin Hs"</formula>
    </cfRule>
  </conditionalFormatting>
  <conditionalFormatting sqref="C72">
    <cfRule type="cellIs" dxfId="370" priority="469" stopIfTrue="1" operator="equal">
      <formula>"Towel"</formula>
    </cfRule>
    <cfRule type="cellIs" dxfId="369" priority="470" stopIfTrue="1" operator="equal">
      <formula>"Napkin Hs"</formula>
    </cfRule>
  </conditionalFormatting>
  <conditionalFormatting sqref="C72">
    <cfRule type="cellIs" dxfId="368" priority="471" stopIfTrue="1" operator="equal">
      <formula>"Towel"</formula>
    </cfRule>
  </conditionalFormatting>
  <conditionalFormatting sqref="B73:C73">
    <cfRule type="cellIs" dxfId="367" priority="467" stopIfTrue="1" operator="equal">
      <formula>"Towel"</formula>
    </cfRule>
    <cfRule type="cellIs" dxfId="366" priority="468" stopIfTrue="1" operator="equal">
      <formula>"Napkin Hs"</formula>
    </cfRule>
  </conditionalFormatting>
  <conditionalFormatting sqref="C73">
    <cfRule type="cellIs" dxfId="365" priority="466" stopIfTrue="1" operator="equal">
      <formula>"Napkin Hs"</formula>
    </cfRule>
  </conditionalFormatting>
  <conditionalFormatting sqref="C73">
    <cfRule type="cellIs" dxfId="364" priority="463" stopIfTrue="1" operator="equal">
      <formula>"Towel"</formula>
    </cfRule>
    <cfRule type="cellIs" dxfId="363" priority="464" stopIfTrue="1" operator="equal">
      <formula>"Napkin Hs"</formula>
    </cfRule>
  </conditionalFormatting>
  <conditionalFormatting sqref="C73">
    <cfRule type="cellIs" dxfId="362" priority="465" stopIfTrue="1" operator="equal">
      <formula>"Towel"</formula>
    </cfRule>
  </conditionalFormatting>
  <conditionalFormatting sqref="B79:C80">
    <cfRule type="cellIs" dxfId="361" priority="461" stopIfTrue="1" operator="equal">
      <formula>"Towel"</formula>
    </cfRule>
    <cfRule type="cellIs" dxfId="360" priority="462" stopIfTrue="1" operator="equal">
      <formula>"Napkin Hs"</formula>
    </cfRule>
  </conditionalFormatting>
  <conditionalFormatting sqref="C79:C80">
    <cfRule type="cellIs" dxfId="359" priority="460" stopIfTrue="1" operator="equal">
      <formula>"Napkin Hs"</formula>
    </cfRule>
  </conditionalFormatting>
  <conditionalFormatting sqref="C79:C80">
    <cfRule type="cellIs" dxfId="358" priority="457" stopIfTrue="1" operator="equal">
      <formula>"Towel"</formula>
    </cfRule>
    <cfRule type="cellIs" dxfId="357" priority="458" stopIfTrue="1" operator="equal">
      <formula>"Napkin Hs"</formula>
    </cfRule>
  </conditionalFormatting>
  <conditionalFormatting sqref="C79:C80">
    <cfRule type="cellIs" dxfId="356" priority="459" stopIfTrue="1" operator="equal">
      <formula>"Towel"</formula>
    </cfRule>
  </conditionalFormatting>
  <conditionalFormatting sqref="B78:C78">
    <cfRule type="cellIs" dxfId="355" priority="455" stopIfTrue="1" operator="equal">
      <formula>"Towel"</formula>
    </cfRule>
    <cfRule type="cellIs" dxfId="354" priority="456" stopIfTrue="1" operator="equal">
      <formula>"Napkin Hs"</formula>
    </cfRule>
  </conditionalFormatting>
  <conditionalFormatting sqref="C78">
    <cfRule type="cellIs" dxfId="353" priority="454" stopIfTrue="1" operator="equal">
      <formula>"Napkin Hs"</formula>
    </cfRule>
  </conditionalFormatting>
  <conditionalFormatting sqref="C78">
    <cfRule type="cellIs" dxfId="352" priority="451" stopIfTrue="1" operator="equal">
      <formula>"Towel"</formula>
    </cfRule>
    <cfRule type="cellIs" dxfId="351" priority="452" stopIfTrue="1" operator="equal">
      <formula>"Napkin Hs"</formula>
    </cfRule>
  </conditionalFormatting>
  <conditionalFormatting sqref="C78">
    <cfRule type="cellIs" dxfId="350" priority="453" stopIfTrue="1" operator="equal">
      <formula>"Towel"</formula>
    </cfRule>
  </conditionalFormatting>
  <conditionalFormatting sqref="B77:C77">
    <cfRule type="cellIs" dxfId="349" priority="449" stopIfTrue="1" operator="equal">
      <formula>"Towel"</formula>
    </cfRule>
    <cfRule type="cellIs" dxfId="348" priority="450" stopIfTrue="1" operator="equal">
      <formula>"Napkin Hs"</formula>
    </cfRule>
  </conditionalFormatting>
  <conditionalFormatting sqref="C77">
    <cfRule type="cellIs" dxfId="347" priority="448" stopIfTrue="1" operator="equal">
      <formula>"Napkin Hs"</formula>
    </cfRule>
  </conditionalFormatting>
  <conditionalFormatting sqref="C77">
    <cfRule type="cellIs" dxfId="346" priority="445" stopIfTrue="1" operator="equal">
      <formula>"Towel"</formula>
    </cfRule>
    <cfRule type="cellIs" dxfId="345" priority="446" stopIfTrue="1" operator="equal">
      <formula>"Napkin Hs"</formula>
    </cfRule>
  </conditionalFormatting>
  <conditionalFormatting sqref="C77">
    <cfRule type="cellIs" dxfId="344" priority="447" stopIfTrue="1" operator="equal">
      <formula>"Towel"</formula>
    </cfRule>
  </conditionalFormatting>
  <conditionalFormatting sqref="B84:C85">
    <cfRule type="cellIs" dxfId="343" priority="443" stopIfTrue="1" operator="equal">
      <formula>"Towel"</formula>
    </cfRule>
    <cfRule type="cellIs" dxfId="342" priority="444" stopIfTrue="1" operator="equal">
      <formula>"Napkin Hs"</formula>
    </cfRule>
  </conditionalFormatting>
  <conditionalFormatting sqref="C84:C85">
    <cfRule type="cellIs" dxfId="341" priority="442" stopIfTrue="1" operator="equal">
      <formula>"Napkin Hs"</formula>
    </cfRule>
  </conditionalFormatting>
  <conditionalFormatting sqref="C84:C85">
    <cfRule type="cellIs" dxfId="340" priority="439" stopIfTrue="1" operator="equal">
      <formula>"Towel"</formula>
    </cfRule>
    <cfRule type="cellIs" dxfId="339" priority="440" stopIfTrue="1" operator="equal">
      <formula>"Napkin Hs"</formula>
    </cfRule>
  </conditionalFormatting>
  <conditionalFormatting sqref="C84:C85">
    <cfRule type="cellIs" dxfId="338" priority="441" stopIfTrue="1" operator="equal">
      <formula>"Towel"</formula>
    </cfRule>
  </conditionalFormatting>
  <conditionalFormatting sqref="B82:C83">
    <cfRule type="cellIs" dxfId="337" priority="437" stopIfTrue="1" operator="equal">
      <formula>"Towel"</formula>
    </cfRule>
    <cfRule type="cellIs" dxfId="336" priority="438" stopIfTrue="1" operator="equal">
      <formula>"Napkin Hs"</formula>
    </cfRule>
  </conditionalFormatting>
  <conditionalFormatting sqref="C82:C83">
    <cfRule type="cellIs" dxfId="335" priority="436" stopIfTrue="1" operator="equal">
      <formula>"Napkin Hs"</formula>
    </cfRule>
  </conditionalFormatting>
  <conditionalFormatting sqref="C82:C83">
    <cfRule type="cellIs" dxfId="334" priority="433" stopIfTrue="1" operator="equal">
      <formula>"Towel"</formula>
    </cfRule>
    <cfRule type="cellIs" dxfId="333" priority="434" stopIfTrue="1" operator="equal">
      <formula>"Napkin Hs"</formula>
    </cfRule>
  </conditionalFormatting>
  <conditionalFormatting sqref="C82:C83">
    <cfRule type="cellIs" dxfId="332" priority="435" stopIfTrue="1" operator="equal">
      <formula>"Towel"</formula>
    </cfRule>
  </conditionalFormatting>
  <conditionalFormatting sqref="B91:C91">
    <cfRule type="cellIs" dxfId="331" priority="431" stopIfTrue="1" operator="equal">
      <formula>"Towel"</formula>
    </cfRule>
    <cfRule type="cellIs" dxfId="330" priority="432" stopIfTrue="1" operator="equal">
      <formula>"Napkin Hs"</formula>
    </cfRule>
  </conditionalFormatting>
  <conditionalFormatting sqref="C91">
    <cfRule type="cellIs" dxfId="329" priority="427" stopIfTrue="1" operator="equal">
      <formula>"Towel"</formula>
    </cfRule>
    <cfRule type="cellIs" dxfId="328" priority="428" stopIfTrue="1" operator="equal">
      <formula>"Napkin Hs"</formula>
    </cfRule>
  </conditionalFormatting>
  <conditionalFormatting sqref="C91">
    <cfRule type="cellIs" dxfId="327" priority="430" stopIfTrue="1" operator="equal">
      <formula>"Napkin Hs"</formula>
    </cfRule>
  </conditionalFormatting>
  <conditionalFormatting sqref="C91">
    <cfRule type="cellIs" dxfId="326" priority="429" stopIfTrue="1" operator="equal">
      <formula>"Towel"</formula>
    </cfRule>
  </conditionalFormatting>
  <conditionalFormatting sqref="B89:C90">
    <cfRule type="cellIs" dxfId="325" priority="407" stopIfTrue="1" operator="equal">
      <formula>"Towel"</formula>
    </cfRule>
    <cfRule type="cellIs" dxfId="324" priority="408" stopIfTrue="1" operator="equal">
      <formula>"Napkin Hs"</formula>
    </cfRule>
  </conditionalFormatting>
  <conditionalFormatting sqref="C89:C90">
    <cfRule type="cellIs" dxfId="323" priority="406" stopIfTrue="1" operator="equal">
      <formula>"Napkin Hs"</formula>
    </cfRule>
  </conditionalFormatting>
  <conditionalFormatting sqref="C89:C90">
    <cfRule type="cellIs" dxfId="322" priority="403" stopIfTrue="1" operator="equal">
      <formula>"Towel"</formula>
    </cfRule>
    <cfRule type="cellIs" dxfId="321" priority="404" stopIfTrue="1" operator="equal">
      <formula>"Napkin Hs"</formula>
    </cfRule>
  </conditionalFormatting>
  <conditionalFormatting sqref="C89:C90">
    <cfRule type="cellIs" dxfId="320" priority="405" stopIfTrue="1" operator="equal">
      <formula>"Towel"</formula>
    </cfRule>
  </conditionalFormatting>
  <conditionalFormatting sqref="B88:C88">
    <cfRule type="cellIs" dxfId="319" priority="401" stopIfTrue="1" operator="equal">
      <formula>"Towel"</formula>
    </cfRule>
    <cfRule type="cellIs" dxfId="318" priority="402" stopIfTrue="1" operator="equal">
      <formula>"Napkin Hs"</formula>
    </cfRule>
  </conditionalFormatting>
  <conditionalFormatting sqref="C88">
    <cfRule type="cellIs" dxfId="317" priority="400" stopIfTrue="1" operator="equal">
      <formula>"Napkin Hs"</formula>
    </cfRule>
  </conditionalFormatting>
  <conditionalFormatting sqref="C88">
    <cfRule type="cellIs" dxfId="316" priority="397" stopIfTrue="1" operator="equal">
      <formula>"Towel"</formula>
    </cfRule>
    <cfRule type="cellIs" dxfId="315" priority="398" stopIfTrue="1" operator="equal">
      <formula>"Napkin Hs"</formula>
    </cfRule>
  </conditionalFormatting>
  <conditionalFormatting sqref="C88">
    <cfRule type="cellIs" dxfId="314" priority="399" stopIfTrue="1" operator="equal">
      <formula>"Towel"</formula>
    </cfRule>
  </conditionalFormatting>
  <conditionalFormatting sqref="B87:C87">
    <cfRule type="cellIs" dxfId="313" priority="395" stopIfTrue="1" operator="equal">
      <formula>"Towel"</formula>
    </cfRule>
    <cfRule type="cellIs" dxfId="312" priority="396" stopIfTrue="1" operator="equal">
      <formula>"Napkin Hs"</formula>
    </cfRule>
  </conditionalFormatting>
  <conditionalFormatting sqref="C87">
    <cfRule type="cellIs" dxfId="311" priority="394" stopIfTrue="1" operator="equal">
      <formula>"Napkin Hs"</formula>
    </cfRule>
  </conditionalFormatting>
  <conditionalFormatting sqref="C87">
    <cfRule type="cellIs" dxfId="310" priority="391" stopIfTrue="1" operator="equal">
      <formula>"Towel"</formula>
    </cfRule>
    <cfRule type="cellIs" dxfId="309" priority="392" stopIfTrue="1" operator="equal">
      <formula>"Napkin Hs"</formula>
    </cfRule>
  </conditionalFormatting>
  <conditionalFormatting sqref="C87">
    <cfRule type="cellIs" dxfId="308" priority="393" stopIfTrue="1" operator="equal">
      <formula>"Towel"</formula>
    </cfRule>
  </conditionalFormatting>
  <conditionalFormatting sqref="B96:C96">
    <cfRule type="cellIs" dxfId="307" priority="389" stopIfTrue="1" operator="equal">
      <formula>"Towel"</formula>
    </cfRule>
    <cfRule type="cellIs" dxfId="306" priority="390" stopIfTrue="1" operator="equal">
      <formula>"Napkin Hs"</formula>
    </cfRule>
  </conditionalFormatting>
  <conditionalFormatting sqref="C96">
    <cfRule type="cellIs" dxfId="305" priority="388" stopIfTrue="1" operator="equal">
      <formula>"Napkin Hs"</formula>
    </cfRule>
  </conditionalFormatting>
  <conditionalFormatting sqref="C96">
    <cfRule type="cellIs" dxfId="304" priority="385" stopIfTrue="1" operator="equal">
      <formula>"Towel"</formula>
    </cfRule>
    <cfRule type="cellIs" dxfId="303" priority="386" stopIfTrue="1" operator="equal">
      <formula>"Napkin Hs"</formula>
    </cfRule>
  </conditionalFormatting>
  <conditionalFormatting sqref="C96">
    <cfRule type="cellIs" dxfId="302" priority="387" stopIfTrue="1" operator="equal">
      <formula>"Towel"</formula>
    </cfRule>
  </conditionalFormatting>
  <conditionalFormatting sqref="B94:C95">
    <cfRule type="cellIs" dxfId="301" priority="383" stopIfTrue="1" operator="equal">
      <formula>"Towel"</formula>
    </cfRule>
    <cfRule type="cellIs" dxfId="300" priority="384" stopIfTrue="1" operator="equal">
      <formula>"Napkin Hs"</formula>
    </cfRule>
  </conditionalFormatting>
  <conditionalFormatting sqref="C94:C95">
    <cfRule type="cellIs" dxfId="299" priority="382" stopIfTrue="1" operator="equal">
      <formula>"Napkin Hs"</formula>
    </cfRule>
  </conditionalFormatting>
  <conditionalFormatting sqref="C94:C95">
    <cfRule type="cellIs" dxfId="298" priority="379" stopIfTrue="1" operator="equal">
      <formula>"Towel"</formula>
    </cfRule>
    <cfRule type="cellIs" dxfId="297" priority="380" stopIfTrue="1" operator="equal">
      <formula>"Napkin Hs"</formula>
    </cfRule>
  </conditionalFormatting>
  <conditionalFormatting sqref="C94:C95">
    <cfRule type="cellIs" dxfId="296" priority="381" stopIfTrue="1" operator="equal">
      <formula>"Towel"</formula>
    </cfRule>
  </conditionalFormatting>
  <conditionalFormatting sqref="B93:C93">
    <cfRule type="cellIs" dxfId="295" priority="377" stopIfTrue="1" operator="equal">
      <formula>"Towel"</formula>
    </cfRule>
    <cfRule type="cellIs" dxfId="294" priority="378" stopIfTrue="1" operator="equal">
      <formula>"Napkin Hs"</formula>
    </cfRule>
  </conditionalFormatting>
  <conditionalFormatting sqref="C93">
    <cfRule type="cellIs" dxfId="293" priority="376" stopIfTrue="1" operator="equal">
      <formula>"Napkin Hs"</formula>
    </cfRule>
  </conditionalFormatting>
  <conditionalFormatting sqref="C93">
    <cfRule type="cellIs" dxfId="292" priority="373" stopIfTrue="1" operator="equal">
      <formula>"Towel"</formula>
    </cfRule>
    <cfRule type="cellIs" dxfId="291" priority="374" stopIfTrue="1" operator="equal">
      <formula>"Napkin Hs"</formula>
    </cfRule>
  </conditionalFormatting>
  <conditionalFormatting sqref="C93">
    <cfRule type="cellIs" dxfId="290" priority="375" stopIfTrue="1" operator="equal">
      <formula>"Towel"</formula>
    </cfRule>
  </conditionalFormatting>
  <conditionalFormatting sqref="B92:C92">
    <cfRule type="cellIs" dxfId="289" priority="371" stopIfTrue="1" operator="equal">
      <formula>"Towel"</formula>
    </cfRule>
    <cfRule type="cellIs" dxfId="288" priority="372" stopIfTrue="1" operator="equal">
      <formula>"Napkin Hs"</formula>
    </cfRule>
  </conditionalFormatting>
  <conditionalFormatting sqref="C92">
    <cfRule type="cellIs" dxfId="287" priority="370" stopIfTrue="1" operator="equal">
      <formula>"Napkin Hs"</formula>
    </cfRule>
  </conditionalFormatting>
  <conditionalFormatting sqref="C92">
    <cfRule type="cellIs" dxfId="286" priority="367" stopIfTrue="1" operator="equal">
      <formula>"Towel"</formula>
    </cfRule>
    <cfRule type="cellIs" dxfId="285" priority="368" stopIfTrue="1" operator="equal">
      <formula>"Napkin Hs"</formula>
    </cfRule>
  </conditionalFormatting>
  <conditionalFormatting sqref="C92">
    <cfRule type="cellIs" dxfId="284" priority="369" stopIfTrue="1" operator="equal">
      <formula>"Towel"</formula>
    </cfRule>
  </conditionalFormatting>
  <conditionalFormatting sqref="B101:C101">
    <cfRule type="cellIs" dxfId="283" priority="365" stopIfTrue="1" operator="equal">
      <formula>"Towel"</formula>
    </cfRule>
    <cfRule type="cellIs" dxfId="282" priority="366" stopIfTrue="1" operator="equal">
      <formula>"Napkin Hs"</formula>
    </cfRule>
  </conditionalFormatting>
  <conditionalFormatting sqref="C101">
    <cfRule type="cellIs" dxfId="281" priority="364" stopIfTrue="1" operator="equal">
      <formula>"Napkin Hs"</formula>
    </cfRule>
  </conditionalFormatting>
  <conditionalFormatting sqref="C101">
    <cfRule type="cellIs" dxfId="280" priority="361" stopIfTrue="1" operator="equal">
      <formula>"Towel"</formula>
    </cfRule>
    <cfRule type="cellIs" dxfId="279" priority="362" stopIfTrue="1" operator="equal">
      <formula>"Napkin Hs"</formula>
    </cfRule>
  </conditionalFormatting>
  <conditionalFormatting sqref="C101">
    <cfRule type="cellIs" dxfId="278" priority="363" stopIfTrue="1" operator="equal">
      <formula>"Towel"</formula>
    </cfRule>
  </conditionalFormatting>
  <conditionalFormatting sqref="B99:C100">
    <cfRule type="cellIs" dxfId="277" priority="359" stopIfTrue="1" operator="equal">
      <formula>"Towel"</formula>
    </cfRule>
    <cfRule type="cellIs" dxfId="276" priority="360" stopIfTrue="1" operator="equal">
      <formula>"Napkin Hs"</formula>
    </cfRule>
  </conditionalFormatting>
  <conditionalFormatting sqref="C99:C100">
    <cfRule type="cellIs" dxfId="275" priority="358" stopIfTrue="1" operator="equal">
      <formula>"Napkin Hs"</formula>
    </cfRule>
  </conditionalFormatting>
  <conditionalFormatting sqref="C99:C100">
    <cfRule type="cellIs" dxfId="274" priority="355" stopIfTrue="1" operator="equal">
      <formula>"Towel"</formula>
    </cfRule>
    <cfRule type="cellIs" dxfId="273" priority="356" stopIfTrue="1" operator="equal">
      <formula>"Napkin Hs"</formula>
    </cfRule>
  </conditionalFormatting>
  <conditionalFormatting sqref="C99:C100">
    <cfRule type="cellIs" dxfId="272" priority="357" stopIfTrue="1" operator="equal">
      <formula>"Towel"</formula>
    </cfRule>
  </conditionalFormatting>
  <conditionalFormatting sqref="B98:C98">
    <cfRule type="cellIs" dxfId="271" priority="353" stopIfTrue="1" operator="equal">
      <formula>"Towel"</formula>
    </cfRule>
    <cfRule type="cellIs" dxfId="270" priority="354" stopIfTrue="1" operator="equal">
      <formula>"Napkin Hs"</formula>
    </cfRule>
  </conditionalFormatting>
  <conditionalFormatting sqref="C98">
    <cfRule type="cellIs" dxfId="269" priority="352" stopIfTrue="1" operator="equal">
      <formula>"Napkin Hs"</formula>
    </cfRule>
  </conditionalFormatting>
  <conditionalFormatting sqref="C98">
    <cfRule type="cellIs" dxfId="268" priority="349" stopIfTrue="1" operator="equal">
      <formula>"Towel"</formula>
    </cfRule>
    <cfRule type="cellIs" dxfId="267" priority="350" stopIfTrue="1" operator="equal">
      <formula>"Napkin Hs"</formula>
    </cfRule>
  </conditionalFormatting>
  <conditionalFormatting sqref="C98">
    <cfRule type="cellIs" dxfId="266" priority="351" stopIfTrue="1" operator="equal">
      <formula>"Towel"</formula>
    </cfRule>
  </conditionalFormatting>
  <conditionalFormatting sqref="B97:C97">
    <cfRule type="cellIs" dxfId="265" priority="347" stopIfTrue="1" operator="equal">
      <formula>"Towel"</formula>
    </cfRule>
    <cfRule type="cellIs" dxfId="264" priority="348" stopIfTrue="1" operator="equal">
      <formula>"Napkin Hs"</formula>
    </cfRule>
  </conditionalFormatting>
  <conditionalFormatting sqref="C97">
    <cfRule type="cellIs" dxfId="263" priority="346" stopIfTrue="1" operator="equal">
      <formula>"Napkin Hs"</formula>
    </cfRule>
  </conditionalFormatting>
  <conditionalFormatting sqref="C97">
    <cfRule type="cellIs" dxfId="262" priority="343" stopIfTrue="1" operator="equal">
      <formula>"Towel"</formula>
    </cfRule>
    <cfRule type="cellIs" dxfId="261" priority="344" stopIfTrue="1" operator="equal">
      <formula>"Napkin Hs"</formula>
    </cfRule>
  </conditionalFormatting>
  <conditionalFormatting sqref="C97">
    <cfRule type="cellIs" dxfId="260" priority="345" stopIfTrue="1" operator="equal">
      <formula>"Towel"</formula>
    </cfRule>
  </conditionalFormatting>
  <conditionalFormatting sqref="B104:C105">
    <cfRule type="cellIs" dxfId="259" priority="341" stopIfTrue="1" operator="equal">
      <formula>"Towel"</formula>
    </cfRule>
    <cfRule type="cellIs" dxfId="258" priority="342" stopIfTrue="1" operator="equal">
      <formula>"Napkin Hs"</formula>
    </cfRule>
  </conditionalFormatting>
  <conditionalFormatting sqref="C104:C105">
    <cfRule type="cellIs" dxfId="257" priority="340" stopIfTrue="1" operator="equal">
      <formula>"Napkin Hs"</formula>
    </cfRule>
  </conditionalFormatting>
  <conditionalFormatting sqref="C104:C105">
    <cfRule type="cellIs" dxfId="256" priority="337" stopIfTrue="1" operator="equal">
      <formula>"Towel"</formula>
    </cfRule>
    <cfRule type="cellIs" dxfId="255" priority="338" stopIfTrue="1" operator="equal">
      <formula>"Napkin Hs"</formula>
    </cfRule>
  </conditionalFormatting>
  <conditionalFormatting sqref="C104:C105">
    <cfRule type="cellIs" dxfId="254" priority="339" stopIfTrue="1" operator="equal">
      <formula>"Towel"</formula>
    </cfRule>
  </conditionalFormatting>
  <conditionalFormatting sqref="B103:C103">
    <cfRule type="cellIs" dxfId="253" priority="335" stopIfTrue="1" operator="equal">
      <formula>"Towel"</formula>
    </cfRule>
    <cfRule type="cellIs" dxfId="252" priority="336" stopIfTrue="1" operator="equal">
      <formula>"Napkin Hs"</formula>
    </cfRule>
  </conditionalFormatting>
  <conditionalFormatting sqref="C103">
    <cfRule type="cellIs" dxfId="251" priority="334" stopIfTrue="1" operator="equal">
      <formula>"Napkin Hs"</formula>
    </cfRule>
  </conditionalFormatting>
  <conditionalFormatting sqref="C103">
    <cfRule type="cellIs" dxfId="250" priority="331" stopIfTrue="1" operator="equal">
      <formula>"Towel"</formula>
    </cfRule>
    <cfRule type="cellIs" dxfId="249" priority="332" stopIfTrue="1" operator="equal">
      <formula>"Napkin Hs"</formula>
    </cfRule>
  </conditionalFormatting>
  <conditionalFormatting sqref="C103">
    <cfRule type="cellIs" dxfId="248" priority="333" stopIfTrue="1" operator="equal">
      <formula>"Towel"</formula>
    </cfRule>
  </conditionalFormatting>
  <conditionalFormatting sqref="B102:C102">
    <cfRule type="cellIs" dxfId="247" priority="329" stopIfTrue="1" operator="equal">
      <formula>"Towel"</formula>
    </cfRule>
    <cfRule type="cellIs" dxfId="246" priority="330" stopIfTrue="1" operator="equal">
      <formula>"Napkin Hs"</formula>
    </cfRule>
  </conditionalFormatting>
  <conditionalFormatting sqref="C102">
    <cfRule type="cellIs" dxfId="245" priority="328" stopIfTrue="1" operator="equal">
      <formula>"Napkin Hs"</formula>
    </cfRule>
  </conditionalFormatting>
  <conditionalFormatting sqref="C102">
    <cfRule type="cellIs" dxfId="244" priority="325" stopIfTrue="1" operator="equal">
      <formula>"Towel"</formula>
    </cfRule>
    <cfRule type="cellIs" dxfId="243" priority="326" stopIfTrue="1" operator="equal">
      <formula>"Napkin Hs"</formula>
    </cfRule>
  </conditionalFormatting>
  <conditionalFormatting sqref="C102">
    <cfRule type="cellIs" dxfId="242" priority="327" stopIfTrue="1" operator="equal">
      <formula>"Towel"</formula>
    </cfRule>
  </conditionalFormatting>
  <conditionalFormatting sqref="B109:C110">
    <cfRule type="cellIs" dxfId="241" priority="323" stopIfTrue="1" operator="equal">
      <formula>"Towel"</formula>
    </cfRule>
    <cfRule type="cellIs" dxfId="240" priority="324" stopIfTrue="1" operator="equal">
      <formula>"Napkin Hs"</formula>
    </cfRule>
  </conditionalFormatting>
  <conditionalFormatting sqref="C109:C110">
    <cfRule type="cellIs" dxfId="239" priority="322" stopIfTrue="1" operator="equal">
      <formula>"Napkin Hs"</formula>
    </cfRule>
  </conditionalFormatting>
  <conditionalFormatting sqref="C109:C110">
    <cfRule type="cellIs" dxfId="238" priority="319" stopIfTrue="1" operator="equal">
      <formula>"Towel"</formula>
    </cfRule>
    <cfRule type="cellIs" dxfId="237" priority="320" stopIfTrue="1" operator="equal">
      <formula>"Napkin Hs"</formula>
    </cfRule>
  </conditionalFormatting>
  <conditionalFormatting sqref="C109:C110">
    <cfRule type="cellIs" dxfId="236" priority="321" stopIfTrue="1" operator="equal">
      <formula>"Towel"</formula>
    </cfRule>
  </conditionalFormatting>
  <conditionalFormatting sqref="B108:C108">
    <cfRule type="cellIs" dxfId="235" priority="317" stopIfTrue="1" operator="equal">
      <formula>"Towel"</formula>
    </cfRule>
    <cfRule type="cellIs" dxfId="234" priority="318" stopIfTrue="1" operator="equal">
      <formula>"Napkin Hs"</formula>
    </cfRule>
  </conditionalFormatting>
  <conditionalFormatting sqref="C108">
    <cfRule type="cellIs" dxfId="233" priority="316" stopIfTrue="1" operator="equal">
      <formula>"Napkin Hs"</formula>
    </cfRule>
  </conditionalFormatting>
  <conditionalFormatting sqref="C108">
    <cfRule type="cellIs" dxfId="232" priority="313" stopIfTrue="1" operator="equal">
      <formula>"Towel"</formula>
    </cfRule>
    <cfRule type="cellIs" dxfId="231" priority="314" stopIfTrue="1" operator="equal">
      <formula>"Napkin Hs"</formula>
    </cfRule>
  </conditionalFormatting>
  <conditionalFormatting sqref="C108">
    <cfRule type="cellIs" dxfId="230" priority="315" stopIfTrue="1" operator="equal">
      <formula>"Towel"</formula>
    </cfRule>
  </conditionalFormatting>
  <conditionalFormatting sqref="B107:C107">
    <cfRule type="cellIs" dxfId="229" priority="311" stopIfTrue="1" operator="equal">
      <formula>"Towel"</formula>
    </cfRule>
    <cfRule type="cellIs" dxfId="228" priority="312" stopIfTrue="1" operator="equal">
      <formula>"Napkin Hs"</formula>
    </cfRule>
  </conditionalFormatting>
  <conditionalFormatting sqref="C107">
    <cfRule type="cellIs" dxfId="227" priority="310" stopIfTrue="1" operator="equal">
      <formula>"Napkin Hs"</formula>
    </cfRule>
  </conditionalFormatting>
  <conditionalFormatting sqref="C107">
    <cfRule type="cellIs" dxfId="226" priority="307" stopIfTrue="1" operator="equal">
      <formula>"Towel"</formula>
    </cfRule>
    <cfRule type="cellIs" dxfId="225" priority="308" stopIfTrue="1" operator="equal">
      <formula>"Napkin Hs"</formula>
    </cfRule>
  </conditionalFormatting>
  <conditionalFormatting sqref="C107">
    <cfRule type="cellIs" dxfId="224" priority="309" stopIfTrue="1" operator="equal">
      <formula>"Towel"</formula>
    </cfRule>
  </conditionalFormatting>
  <conditionalFormatting sqref="B114:C115">
    <cfRule type="cellIs" dxfId="223" priority="305" stopIfTrue="1" operator="equal">
      <formula>"Towel"</formula>
    </cfRule>
    <cfRule type="cellIs" dxfId="222" priority="306" stopIfTrue="1" operator="equal">
      <formula>"Napkin Hs"</formula>
    </cfRule>
  </conditionalFormatting>
  <conditionalFormatting sqref="C114:C115">
    <cfRule type="cellIs" dxfId="221" priority="304" stopIfTrue="1" operator="equal">
      <formula>"Napkin Hs"</formula>
    </cfRule>
  </conditionalFormatting>
  <conditionalFormatting sqref="C114:C115">
    <cfRule type="cellIs" dxfId="220" priority="301" stopIfTrue="1" operator="equal">
      <formula>"Towel"</formula>
    </cfRule>
    <cfRule type="cellIs" dxfId="219" priority="302" stopIfTrue="1" operator="equal">
      <formula>"Napkin Hs"</formula>
    </cfRule>
  </conditionalFormatting>
  <conditionalFormatting sqref="C114:C115">
    <cfRule type="cellIs" dxfId="218" priority="303" stopIfTrue="1" operator="equal">
      <formula>"Towel"</formula>
    </cfRule>
  </conditionalFormatting>
  <conditionalFormatting sqref="B113:C113">
    <cfRule type="cellIs" dxfId="217" priority="299" stopIfTrue="1" operator="equal">
      <formula>"Towel"</formula>
    </cfRule>
    <cfRule type="cellIs" dxfId="216" priority="300" stopIfTrue="1" operator="equal">
      <formula>"Napkin Hs"</formula>
    </cfRule>
  </conditionalFormatting>
  <conditionalFormatting sqref="C113">
    <cfRule type="cellIs" dxfId="215" priority="298" stopIfTrue="1" operator="equal">
      <formula>"Napkin Hs"</formula>
    </cfRule>
  </conditionalFormatting>
  <conditionalFormatting sqref="C113">
    <cfRule type="cellIs" dxfId="214" priority="295" stopIfTrue="1" operator="equal">
      <formula>"Towel"</formula>
    </cfRule>
    <cfRule type="cellIs" dxfId="213" priority="296" stopIfTrue="1" operator="equal">
      <formula>"Napkin Hs"</formula>
    </cfRule>
  </conditionalFormatting>
  <conditionalFormatting sqref="C113">
    <cfRule type="cellIs" dxfId="212" priority="297" stopIfTrue="1" operator="equal">
      <formula>"Towel"</formula>
    </cfRule>
  </conditionalFormatting>
  <conditionalFormatting sqref="B112:C112">
    <cfRule type="cellIs" dxfId="211" priority="293" stopIfTrue="1" operator="equal">
      <formula>"Towel"</formula>
    </cfRule>
    <cfRule type="cellIs" dxfId="210" priority="294" stopIfTrue="1" operator="equal">
      <formula>"Napkin Hs"</formula>
    </cfRule>
  </conditionalFormatting>
  <conditionalFormatting sqref="C112">
    <cfRule type="cellIs" dxfId="209" priority="292" stopIfTrue="1" operator="equal">
      <formula>"Napkin Hs"</formula>
    </cfRule>
  </conditionalFormatting>
  <conditionalFormatting sqref="C112">
    <cfRule type="cellIs" dxfId="208" priority="289" stopIfTrue="1" operator="equal">
      <formula>"Towel"</formula>
    </cfRule>
    <cfRule type="cellIs" dxfId="207" priority="290" stopIfTrue="1" operator="equal">
      <formula>"Napkin Hs"</formula>
    </cfRule>
  </conditionalFormatting>
  <conditionalFormatting sqref="C112">
    <cfRule type="cellIs" dxfId="206" priority="291" stopIfTrue="1" operator="equal">
      <formula>"Towel"</formula>
    </cfRule>
  </conditionalFormatting>
  <conditionalFormatting sqref="B119:C120">
    <cfRule type="cellIs" dxfId="205" priority="287" stopIfTrue="1" operator="equal">
      <formula>"Towel"</formula>
    </cfRule>
    <cfRule type="cellIs" dxfId="204" priority="288" stopIfTrue="1" operator="equal">
      <formula>"Napkin Hs"</formula>
    </cfRule>
  </conditionalFormatting>
  <conditionalFormatting sqref="C119:C120">
    <cfRule type="cellIs" dxfId="203" priority="286" stopIfTrue="1" operator="equal">
      <formula>"Napkin Hs"</formula>
    </cfRule>
  </conditionalFormatting>
  <conditionalFormatting sqref="C119:C120">
    <cfRule type="cellIs" dxfId="202" priority="283" stopIfTrue="1" operator="equal">
      <formula>"Towel"</formula>
    </cfRule>
    <cfRule type="cellIs" dxfId="201" priority="284" stopIfTrue="1" operator="equal">
      <formula>"Napkin Hs"</formula>
    </cfRule>
  </conditionalFormatting>
  <conditionalFormatting sqref="C119:C120">
    <cfRule type="cellIs" dxfId="200" priority="285" stopIfTrue="1" operator="equal">
      <formula>"Towel"</formula>
    </cfRule>
  </conditionalFormatting>
  <conditionalFormatting sqref="B118:C118">
    <cfRule type="cellIs" dxfId="199" priority="281" stopIfTrue="1" operator="equal">
      <formula>"Towel"</formula>
    </cfRule>
    <cfRule type="cellIs" dxfId="198" priority="282" stopIfTrue="1" operator="equal">
      <formula>"Napkin Hs"</formula>
    </cfRule>
  </conditionalFormatting>
  <conditionalFormatting sqref="C118">
    <cfRule type="cellIs" dxfId="197" priority="280" stopIfTrue="1" operator="equal">
      <formula>"Napkin Hs"</formula>
    </cfRule>
  </conditionalFormatting>
  <conditionalFormatting sqref="C118">
    <cfRule type="cellIs" dxfId="196" priority="277" stopIfTrue="1" operator="equal">
      <formula>"Towel"</formula>
    </cfRule>
    <cfRule type="cellIs" dxfId="195" priority="278" stopIfTrue="1" operator="equal">
      <formula>"Napkin Hs"</formula>
    </cfRule>
  </conditionalFormatting>
  <conditionalFormatting sqref="C118">
    <cfRule type="cellIs" dxfId="194" priority="279" stopIfTrue="1" operator="equal">
      <formula>"Towel"</formula>
    </cfRule>
  </conditionalFormatting>
  <conditionalFormatting sqref="B117:C117">
    <cfRule type="cellIs" dxfId="193" priority="275" stopIfTrue="1" operator="equal">
      <formula>"Towel"</formula>
    </cfRule>
    <cfRule type="cellIs" dxfId="192" priority="276" stopIfTrue="1" operator="equal">
      <formula>"Napkin Hs"</formula>
    </cfRule>
  </conditionalFormatting>
  <conditionalFormatting sqref="C117">
    <cfRule type="cellIs" dxfId="191" priority="274" stopIfTrue="1" operator="equal">
      <formula>"Napkin Hs"</formula>
    </cfRule>
  </conditionalFormatting>
  <conditionalFormatting sqref="C117">
    <cfRule type="cellIs" dxfId="190" priority="271" stopIfTrue="1" operator="equal">
      <formula>"Towel"</formula>
    </cfRule>
    <cfRule type="cellIs" dxfId="189" priority="272" stopIfTrue="1" operator="equal">
      <formula>"Napkin Hs"</formula>
    </cfRule>
  </conditionalFormatting>
  <conditionalFormatting sqref="C117">
    <cfRule type="cellIs" dxfId="188" priority="273" stopIfTrue="1" operator="equal">
      <formula>"Towel"</formula>
    </cfRule>
  </conditionalFormatting>
  <conditionalFormatting sqref="B129:C129">
    <cfRule type="cellIs" dxfId="187" priority="251" stopIfTrue="1" operator="equal">
      <formula>"Towel"</formula>
    </cfRule>
    <cfRule type="cellIs" dxfId="186" priority="252" stopIfTrue="1" operator="equal">
      <formula>"Napkin Hs"</formula>
    </cfRule>
  </conditionalFormatting>
  <conditionalFormatting sqref="C129">
    <cfRule type="cellIs" dxfId="185" priority="250" stopIfTrue="1" operator="equal">
      <formula>"Napkin Hs"</formula>
    </cfRule>
  </conditionalFormatting>
  <conditionalFormatting sqref="C129">
    <cfRule type="cellIs" dxfId="184" priority="247" stopIfTrue="1" operator="equal">
      <formula>"Towel"</formula>
    </cfRule>
    <cfRule type="cellIs" dxfId="183" priority="248" stopIfTrue="1" operator="equal">
      <formula>"Napkin Hs"</formula>
    </cfRule>
  </conditionalFormatting>
  <conditionalFormatting sqref="C129">
    <cfRule type="cellIs" dxfId="182" priority="249" stopIfTrue="1" operator="equal">
      <formula>"Towel"</formula>
    </cfRule>
  </conditionalFormatting>
  <conditionalFormatting sqref="B124:C125 B127:C128">
    <cfRule type="cellIs" dxfId="181" priority="245" stopIfTrue="1" operator="equal">
      <formula>"Towel"</formula>
    </cfRule>
    <cfRule type="cellIs" dxfId="180" priority="246" stopIfTrue="1" operator="equal">
      <formula>"Napkin Hs"</formula>
    </cfRule>
  </conditionalFormatting>
  <conditionalFormatting sqref="C124:C125 C127:C128">
    <cfRule type="cellIs" dxfId="179" priority="244" stopIfTrue="1" operator="equal">
      <formula>"Napkin Hs"</formula>
    </cfRule>
  </conditionalFormatting>
  <conditionalFormatting sqref="C124:C125 C127:C128">
    <cfRule type="cellIs" dxfId="178" priority="241" stopIfTrue="1" operator="equal">
      <formula>"Towel"</formula>
    </cfRule>
    <cfRule type="cellIs" dxfId="177" priority="242" stopIfTrue="1" operator="equal">
      <formula>"Napkin Hs"</formula>
    </cfRule>
  </conditionalFormatting>
  <conditionalFormatting sqref="C124:C125 C127:C128">
    <cfRule type="cellIs" dxfId="176" priority="243" stopIfTrue="1" operator="equal">
      <formula>"Towel"</formula>
    </cfRule>
  </conditionalFormatting>
  <conditionalFormatting sqref="B122:C123">
    <cfRule type="cellIs" dxfId="175" priority="239" stopIfTrue="1" operator="equal">
      <formula>"Towel"</formula>
    </cfRule>
    <cfRule type="cellIs" dxfId="174" priority="240" stopIfTrue="1" operator="equal">
      <formula>"Napkin Hs"</formula>
    </cfRule>
  </conditionalFormatting>
  <conditionalFormatting sqref="C122:C123">
    <cfRule type="cellIs" dxfId="173" priority="238" stopIfTrue="1" operator="equal">
      <formula>"Napkin Hs"</formula>
    </cfRule>
  </conditionalFormatting>
  <conditionalFormatting sqref="C122:C123">
    <cfRule type="cellIs" dxfId="172" priority="235" stopIfTrue="1" operator="equal">
      <formula>"Towel"</formula>
    </cfRule>
    <cfRule type="cellIs" dxfId="171" priority="236" stopIfTrue="1" operator="equal">
      <formula>"Napkin Hs"</formula>
    </cfRule>
  </conditionalFormatting>
  <conditionalFormatting sqref="C122:C123">
    <cfRule type="cellIs" dxfId="170" priority="237" stopIfTrue="1" operator="equal">
      <formula>"Towel"</formula>
    </cfRule>
  </conditionalFormatting>
  <conditionalFormatting sqref="B134:C134">
    <cfRule type="cellIs" dxfId="169" priority="233" stopIfTrue="1" operator="equal">
      <formula>"Towel"</formula>
    </cfRule>
    <cfRule type="cellIs" dxfId="168" priority="234" stopIfTrue="1" operator="equal">
      <formula>"Napkin Hs"</formula>
    </cfRule>
  </conditionalFormatting>
  <conditionalFormatting sqref="C134">
    <cfRule type="cellIs" dxfId="167" priority="232" stopIfTrue="1" operator="equal">
      <formula>"Napkin Hs"</formula>
    </cfRule>
  </conditionalFormatting>
  <conditionalFormatting sqref="C134">
    <cfRule type="cellIs" dxfId="166" priority="229" stopIfTrue="1" operator="equal">
      <formula>"Towel"</formula>
    </cfRule>
    <cfRule type="cellIs" dxfId="165" priority="230" stopIfTrue="1" operator="equal">
      <formula>"Napkin Hs"</formula>
    </cfRule>
  </conditionalFormatting>
  <conditionalFormatting sqref="C134">
    <cfRule type="cellIs" dxfId="164" priority="231" stopIfTrue="1" operator="equal">
      <formula>"Towel"</formula>
    </cfRule>
  </conditionalFormatting>
  <conditionalFormatting sqref="B132:C132">
    <cfRule type="cellIs" dxfId="163" priority="227" stopIfTrue="1" operator="equal">
      <formula>"Towel"</formula>
    </cfRule>
    <cfRule type="cellIs" dxfId="162" priority="228" stopIfTrue="1" operator="equal">
      <formula>"Napkin Hs"</formula>
    </cfRule>
  </conditionalFormatting>
  <conditionalFormatting sqref="C132">
    <cfRule type="cellIs" dxfId="161" priority="226" stopIfTrue="1" operator="equal">
      <formula>"Napkin Hs"</formula>
    </cfRule>
  </conditionalFormatting>
  <conditionalFormatting sqref="C132">
    <cfRule type="cellIs" dxfId="160" priority="223" stopIfTrue="1" operator="equal">
      <formula>"Towel"</formula>
    </cfRule>
    <cfRule type="cellIs" dxfId="159" priority="224" stopIfTrue="1" operator="equal">
      <formula>"Napkin Hs"</formula>
    </cfRule>
  </conditionalFormatting>
  <conditionalFormatting sqref="C132">
    <cfRule type="cellIs" dxfId="158" priority="225" stopIfTrue="1" operator="equal">
      <formula>"Towel"</formula>
    </cfRule>
  </conditionalFormatting>
  <conditionalFormatting sqref="B131:C131">
    <cfRule type="cellIs" dxfId="157" priority="221" stopIfTrue="1" operator="equal">
      <formula>"Towel"</formula>
    </cfRule>
    <cfRule type="cellIs" dxfId="156" priority="222" stopIfTrue="1" operator="equal">
      <formula>"Napkin Hs"</formula>
    </cfRule>
  </conditionalFormatting>
  <conditionalFormatting sqref="C131">
    <cfRule type="cellIs" dxfId="155" priority="220" stopIfTrue="1" operator="equal">
      <formula>"Napkin Hs"</formula>
    </cfRule>
  </conditionalFormatting>
  <conditionalFormatting sqref="C131">
    <cfRule type="cellIs" dxfId="154" priority="217" stopIfTrue="1" operator="equal">
      <formula>"Towel"</formula>
    </cfRule>
    <cfRule type="cellIs" dxfId="153" priority="218" stopIfTrue="1" operator="equal">
      <formula>"Napkin Hs"</formula>
    </cfRule>
  </conditionalFormatting>
  <conditionalFormatting sqref="C131">
    <cfRule type="cellIs" dxfId="152" priority="219" stopIfTrue="1" operator="equal">
      <formula>"Towel"</formula>
    </cfRule>
  </conditionalFormatting>
  <conditionalFormatting sqref="B130:C130">
    <cfRule type="cellIs" dxfId="151" priority="215" stopIfTrue="1" operator="equal">
      <formula>"Towel"</formula>
    </cfRule>
    <cfRule type="cellIs" dxfId="150" priority="216" stopIfTrue="1" operator="equal">
      <formula>"Napkin Hs"</formula>
    </cfRule>
  </conditionalFormatting>
  <conditionalFormatting sqref="C130">
    <cfRule type="cellIs" dxfId="149" priority="214" stopIfTrue="1" operator="equal">
      <formula>"Napkin Hs"</formula>
    </cfRule>
  </conditionalFormatting>
  <conditionalFormatting sqref="C130">
    <cfRule type="cellIs" dxfId="148" priority="211" stopIfTrue="1" operator="equal">
      <formula>"Towel"</formula>
    </cfRule>
    <cfRule type="cellIs" dxfId="147" priority="212" stopIfTrue="1" operator="equal">
      <formula>"Napkin Hs"</formula>
    </cfRule>
  </conditionalFormatting>
  <conditionalFormatting sqref="C130">
    <cfRule type="cellIs" dxfId="146" priority="213" stopIfTrue="1" operator="equal">
      <formula>"Towel"</formula>
    </cfRule>
  </conditionalFormatting>
  <conditionalFormatting sqref="B133:C133">
    <cfRule type="cellIs" dxfId="145" priority="209" stopIfTrue="1" operator="equal">
      <formula>"Towel"</formula>
    </cfRule>
    <cfRule type="cellIs" dxfId="144" priority="210" stopIfTrue="1" operator="equal">
      <formula>"Napkin Hs"</formula>
    </cfRule>
  </conditionalFormatting>
  <conditionalFormatting sqref="C133">
    <cfRule type="cellIs" dxfId="143" priority="208" stopIfTrue="1" operator="equal">
      <formula>"Napkin Hs"</formula>
    </cfRule>
  </conditionalFormatting>
  <conditionalFormatting sqref="C133">
    <cfRule type="cellIs" dxfId="142" priority="205" stopIfTrue="1" operator="equal">
      <formula>"Towel"</formula>
    </cfRule>
    <cfRule type="cellIs" dxfId="141" priority="206" stopIfTrue="1" operator="equal">
      <formula>"Napkin Hs"</formula>
    </cfRule>
  </conditionalFormatting>
  <conditionalFormatting sqref="C133">
    <cfRule type="cellIs" dxfId="140" priority="207" stopIfTrue="1" operator="equal">
      <formula>"Towel"</formula>
    </cfRule>
  </conditionalFormatting>
  <conditionalFormatting sqref="B137:C137">
    <cfRule type="cellIs" dxfId="139" priority="185" stopIfTrue="1" operator="equal">
      <formula>"Towel"</formula>
    </cfRule>
    <cfRule type="cellIs" dxfId="138" priority="186" stopIfTrue="1" operator="equal">
      <formula>"Napkin Hs"</formula>
    </cfRule>
  </conditionalFormatting>
  <conditionalFormatting sqref="C137">
    <cfRule type="cellIs" dxfId="137" priority="184" stopIfTrue="1" operator="equal">
      <formula>"Napkin Hs"</formula>
    </cfRule>
  </conditionalFormatting>
  <conditionalFormatting sqref="C137">
    <cfRule type="cellIs" dxfId="136" priority="181" stopIfTrue="1" operator="equal">
      <formula>"Towel"</formula>
    </cfRule>
    <cfRule type="cellIs" dxfId="135" priority="182" stopIfTrue="1" operator="equal">
      <formula>"Napkin Hs"</formula>
    </cfRule>
  </conditionalFormatting>
  <conditionalFormatting sqref="C137">
    <cfRule type="cellIs" dxfId="134" priority="183" stopIfTrue="1" operator="equal">
      <formula>"Towel"</formula>
    </cfRule>
  </conditionalFormatting>
  <conditionalFormatting sqref="B135:C136">
    <cfRule type="cellIs" dxfId="133" priority="179" stopIfTrue="1" operator="equal">
      <formula>"Towel"</formula>
    </cfRule>
    <cfRule type="cellIs" dxfId="132" priority="180" stopIfTrue="1" operator="equal">
      <formula>"Napkin Hs"</formula>
    </cfRule>
  </conditionalFormatting>
  <conditionalFormatting sqref="C135:C136">
    <cfRule type="cellIs" dxfId="131" priority="178" stopIfTrue="1" operator="equal">
      <formula>"Napkin Hs"</formula>
    </cfRule>
  </conditionalFormatting>
  <conditionalFormatting sqref="C135:C136">
    <cfRule type="cellIs" dxfId="130" priority="175" stopIfTrue="1" operator="equal">
      <formula>"Towel"</formula>
    </cfRule>
    <cfRule type="cellIs" dxfId="129" priority="176" stopIfTrue="1" operator="equal">
      <formula>"Napkin Hs"</formula>
    </cfRule>
  </conditionalFormatting>
  <conditionalFormatting sqref="C135:C136">
    <cfRule type="cellIs" dxfId="128" priority="177" stopIfTrue="1" operator="equal">
      <formula>"Towel"</formula>
    </cfRule>
  </conditionalFormatting>
  <conditionalFormatting sqref="B138:C138">
    <cfRule type="cellIs" dxfId="127" priority="173" stopIfTrue="1" operator="equal">
      <formula>"Towel"</formula>
    </cfRule>
    <cfRule type="cellIs" dxfId="126" priority="174" stopIfTrue="1" operator="equal">
      <formula>"Napkin Hs"</formula>
    </cfRule>
  </conditionalFormatting>
  <conditionalFormatting sqref="C138">
    <cfRule type="cellIs" dxfId="125" priority="172" stopIfTrue="1" operator="equal">
      <formula>"Napkin Hs"</formula>
    </cfRule>
  </conditionalFormatting>
  <conditionalFormatting sqref="C138">
    <cfRule type="cellIs" dxfId="124" priority="169" stopIfTrue="1" operator="equal">
      <formula>"Towel"</formula>
    </cfRule>
    <cfRule type="cellIs" dxfId="123" priority="170" stopIfTrue="1" operator="equal">
      <formula>"Napkin Hs"</formula>
    </cfRule>
  </conditionalFormatting>
  <conditionalFormatting sqref="C138">
    <cfRule type="cellIs" dxfId="122" priority="171" stopIfTrue="1" operator="equal">
      <formula>"Towel"</formula>
    </cfRule>
  </conditionalFormatting>
  <conditionalFormatting sqref="B142:C142">
    <cfRule type="cellIs" dxfId="121" priority="167" stopIfTrue="1" operator="equal">
      <formula>"Towel"</formula>
    </cfRule>
    <cfRule type="cellIs" dxfId="120" priority="168" stopIfTrue="1" operator="equal">
      <formula>"Napkin Hs"</formula>
    </cfRule>
  </conditionalFormatting>
  <conditionalFormatting sqref="C142">
    <cfRule type="cellIs" dxfId="119" priority="166" stopIfTrue="1" operator="equal">
      <formula>"Napkin Hs"</formula>
    </cfRule>
  </conditionalFormatting>
  <conditionalFormatting sqref="C142">
    <cfRule type="cellIs" dxfId="118" priority="163" stopIfTrue="1" operator="equal">
      <formula>"Towel"</formula>
    </cfRule>
    <cfRule type="cellIs" dxfId="117" priority="164" stopIfTrue="1" operator="equal">
      <formula>"Napkin Hs"</formula>
    </cfRule>
  </conditionalFormatting>
  <conditionalFormatting sqref="C142">
    <cfRule type="cellIs" dxfId="116" priority="165" stopIfTrue="1" operator="equal">
      <formula>"Towel"</formula>
    </cfRule>
  </conditionalFormatting>
  <conditionalFormatting sqref="B141:C141">
    <cfRule type="cellIs" dxfId="115" priority="161" stopIfTrue="1" operator="equal">
      <formula>"Towel"</formula>
    </cfRule>
    <cfRule type="cellIs" dxfId="114" priority="162" stopIfTrue="1" operator="equal">
      <formula>"Napkin Hs"</formula>
    </cfRule>
  </conditionalFormatting>
  <conditionalFormatting sqref="C141">
    <cfRule type="cellIs" dxfId="113" priority="160" stopIfTrue="1" operator="equal">
      <formula>"Napkin Hs"</formula>
    </cfRule>
  </conditionalFormatting>
  <conditionalFormatting sqref="C141">
    <cfRule type="cellIs" dxfId="112" priority="157" stopIfTrue="1" operator="equal">
      <formula>"Towel"</formula>
    </cfRule>
    <cfRule type="cellIs" dxfId="111" priority="158" stopIfTrue="1" operator="equal">
      <formula>"Napkin Hs"</formula>
    </cfRule>
  </conditionalFormatting>
  <conditionalFormatting sqref="C141">
    <cfRule type="cellIs" dxfId="110" priority="159" stopIfTrue="1" operator="equal">
      <formula>"Towel"</formula>
    </cfRule>
  </conditionalFormatting>
  <conditionalFormatting sqref="B140:C140">
    <cfRule type="cellIs" dxfId="109" priority="155" stopIfTrue="1" operator="equal">
      <formula>"Towel"</formula>
    </cfRule>
    <cfRule type="cellIs" dxfId="108" priority="156" stopIfTrue="1" operator="equal">
      <formula>"Napkin Hs"</formula>
    </cfRule>
  </conditionalFormatting>
  <conditionalFormatting sqref="C140">
    <cfRule type="cellIs" dxfId="107" priority="154" stopIfTrue="1" operator="equal">
      <formula>"Napkin Hs"</formula>
    </cfRule>
  </conditionalFormatting>
  <conditionalFormatting sqref="C140">
    <cfRule type="cellIs" dxfId="106" priority="151" stopIfTrue="1" operator="equal">
      <formula>"Towel"</formula>
    </cfRule>
    <cfRule type="cellIs" dxfId="105" priority="152" stopIfTrue="1" operator="equal">
      <formula>"Napkin Hs"</formula>
    </cfRule>
  </conditionalFormatting>
  <conditionalFormatting sqref="C140">
    <cfRule type="cellIs" dxfId="104" priority="153" stopIfTrue="1" operator="equal">
      <formula>"Towel"</formula>
    </cfRule>
  </conditionalFormatting>
  <conditionalFormatting sqref="B139:C139">
    <cfRule type="cellIs" dxfId="103" priority="149" stopIfTrue="1" operator="equal">
      <formula>"Towel"</formula>
    </cfRule>
    <cfRule type="cellIs" dxfId="102" priority="150" stopIfTrue="1" operator="equal">
      <formula>"Napkin Hs"</formula>
    </cfRule>
  </conditionalFormatting>
  <conditionalFormatting sqref="C139">
    <cfRule type="cellIs" dxfId="101" priority="148" stopIfTrue="1" operator="equal">
      <formula>"Napkin Hs"</formula>
    </cfRule>
  </conditionalFormatting>
  <conditionalFormatting sqref="C139">
    <cfRule type="cellIs" dxfId="100" priority="145" stopIfTrue="1" operator="equal">
      <formula>"Towel"</formula>
    </cfRule>
    <cfRule type="cellIs" dxfId="99" priority="146" stopIfTrue="1" operator="equal">
      <formula>"Napkin Hs"</formula>
    </cfRule>
  </conditionalFormatting>
  <conditionalFormatting sqref="C139">
    <cfRule type="cellIs" dxfId="98" priority="147" stopIfTrue="1" operator="equal">
      <formula>"Towel"</formula>
    </cfRule>
  </conditionalFormatting>
  <conditionalFormatting sqref="B143:C143">
    <cfRule type="cellIs" dxfId="97" priority="113" stopIfTrue="1" operator="equal">
      <formula>"Towel"</formula>
    </cfRule>
    <cfRule type="cellIs" dxfId="96" priority="114" stopIfTrue="1" operator="equal">
      <formula>"Napkin Hs"</formula>
    </cfRule>
  </conditionalFormatting>
  <conditionalFormatting sqref="C143">
    <cfRule type="cellIs" dxfId="95" priority="109" stopIfTrue="1" operator="equal">
      <formula>"Towel"</formula>
    </cfRule>
    <cfRule type="cellIs" dxfId="94" priority="110" stopIfTrue="1" operator="equal">
      <formula>"Napkin Hs"</formula>
    </cfRule>
  </conditionalFormatting>
  <conditionalFormatting sqref="B146:C146">
    <cfRule type="cellIs" dxfId="93" priority="137" stopIfTrue="1" operator="equal">
      <formula>"Towel"</formula>
    </cfRule>
    <cfRule type="cellIs" dxfId="92" priority="138" stopIfTrue="1" operator="equal">
      <formula>"Napkin Hs"</formula>
    </cfRule>
  </conditionalFormatting>
  <conditionalFormatting sqref="C146">
    <cfRule type="cellIs" dxfId="91" priority="135" stopIfTrue="1" operator="equal">
      <formula>"Towel"</formula>
    </cfRule>
    <cfRule type="cellIs" dxfId="90" priority="136" stopIfTrue="1" operator="equal">
      <formula>"Napkin Hs"</formula>
    </cfRule>
  </conditionalFormatting>
  <conditionalFormatting sqref="C146">
    <cfRule type="cellIs" dxfId="89" priority="133" stopIfTrue="1" operator="equal">
      <formula>"Towel"</formula>
    </cfRule>
    <cfRule type="cellIs" dxfId="88" priority="134" stopIfTrue="1" operator="equal">
      <formula>"Napkin Hs"</formula>
    </cfRule>
  </conditionalFormatting>
  <conditionalFormatting sqref="B145:C145">
    <cfRule type="cellIs" dxfId="87" priority="125" stopIfTrue="1" operator="equal">
      <formula>"Towel"</formula>
    </cfRule>
    <cfRule type="cellIs" dxfId="86" priority="126" stopIfTrue="1" operator="equal">
      <formula>"Napkin Hs"</formula>
    </cfRule>
  </conditionalFormatting>
  <conditionalFormatting sqref="C145">
    <cfRule type="cellIs" dxfId="85" priority="124" stopIfTrue="1" operator="equal">
      <formula>"Napkin Hs"</formula>
    </cfRule>
  </conditionalFormatting>
  <conditionalFormatting sqref="C145">
    <cfRule type="cellIs" dxfId="84" priority="121" stopIfTrue="1" operator="equal">
      <formula>"Towel"</formula>
    </cfRule>
    <cfRule type="cellIs" dxfId="83" priority="122" stopIfTrue="1" operator="equal">
      <formula>"Napkin Hs"</formula>
    </cfRule>
  </conditionalFormatting>
  <conditionalFormatting sqref="C145">
    <cfRule type="cellIs" dxfId="82" priority="123" stopIfTrue="1" operator="equal">
      <formula>"Towel"</formula>
    </cfRule>
  </conditionalFormatting>
  <conditionalFormatting sqref="B144:C144">
    <cfRule type="cellIs" dxfId="81" priority="119" stopIfTrue="1" operator="equal">
      <formula>"Towel"</formula>
    </cfRule>
    <cfRule type="cellIs" dxfId="80" priority="120" stopIfTrue="1" operator="equal">
      <formula>"Napkin Hs"</formula>
    </cfRule>
  </conditionalFormatting>
  <conditionalFormatting sqref="C144">
    <cfRule type="cellIs" dxfId="79" priority="118" stopIfTrue="1" operator="equal">
      <formula>"Napkin Hs"</formula>
    </cfRule>
  </conditionalFormatting>
  <conditionalFormatting sqref="C144">
    <cfRule type="cellIs" dxfId="78" priority="115" stopIfTrue="1" operator="equal">
      <formula>"Towel"</formula>
    </cfRule>
    <cfRule type="cellIs" dxfId="77" priority="116" stopIfTrue="1" operator="equal">
      <formula>"Napkin Hs"</formula>
    </cfRule>
  </conditionalFormatting>
  <conditionalFormatting sqref="C144">
    <cfRule type="cellIs" dxfId="76" priority="117" stopIfTrue="1" operator="equal">
      <formula>"Towel"</formula>
    </cfRule>
  </conditionalFormatting>
  <conditionalFormatting sqref="C143">
    <cfRule type="cellIs" dxfId="75" priority="112" stopIfTrue="1" operator="equal">
      <formula>"Napkin Hs"</formula>
    </cfRule>
  </conditionalFormatting>
  <conditionalFormatting sqref="C143">
    <cfRule type="cellIs" dxfId="74" priority="111" stopIfTrue="1" operator="equal">
      <formula>"Towel"</formula>
    </cfRule>
  </conditionalFormatting>
  <conditionalFormatting sqref="B149:C149">
    <cfRule type="cellIs" dxfId="73" priority="77" stopIfTrue="1" operator="equal">
      <formula>"Towel"</formula>
    </cfRule>
    <cfRule type="cellIs" dxfId="72" priority="78" stopIfTrue="1" operator="equal">
      <formula>"Napkin Hs"</formula>
    </cfRule>
  </conditionalFormatting>
  <conditionalFormatting sqref="C149">
    <cfRule type="cellIs" dxfId="71" priority="76" stopIfTrue="1" operator="equal">
      <formula>"Napkin Hs"</formula>
    </cfRule>
  </conditionalFormatting>
  <conditionalFormatting sqref="C149">
    <cfRule type="cellIs" dxfId="70" priority="73" stopIfTrue="1" operator="equal">
      <formula>"Towel"</formula>
    </cfRule>
    <cfRule type="cellIs" dxfId="69" priority="74" stopIfTrue="1" operator="equal">
      <formula>"Napkin Hs"</formula>
    </cfRule>
  </conditionalFormatting>
  <conditionalFormatting sqref="C149">
    <cfRule type="cellIs" dxfId="68" priority="75" stopIfTrue="1" operator="equal">
      <formula>"Towel"</formula>
    </cfRule>
  </conditionalFormatting>
  <conditionalFormatting sqref="B148:C148">
    <cfRule type="cellIs" dxfId="67" priority="71" stopIfTrue="1" operator="equal">
      <formula>"Towel"</formula>
    </cfRule>
    <cfRule type="cellIs" dxfId="66" priority="72" stopIfTrue="1" operator="equal">
      <formula>"Napkin Hs"</formula>
    </cfRule>
  </conditionalFormatting>
  <conditionalFormatting sqref="C148">
    <cfRule type="cellIs" dxfId="65" priority="70" stopIfTrue="1" operator="equal">
      <formula>"Napkin Hs"</formula>
    </cfRule>
  </conditionalFormatting>
  <conditionalFormatting sqref="C148">
    <cfRule type="cellIs" dxfId="64" priority="67" stopIfTrue="1" operator="equal">
      <formula>"Towel"</formula>
    </cfRule>
    <cfRule type="cellIs" dxfId="63" priority="68" stopIfTrue="1" operator="equal">
      <formula>"Napkin Hs"</formula>
    </cfRule>
  </conditionalFormatting>
  <conditionalFormatting sqref="C148">
    <cfRule type="cellIs" dxfId="62" priority="69" stopIfTrue="1" operator="equal">
      <formula>"Towel"</formula>
    </cfRule>
  </conditionalFormatting>
  <conditionalFormatting sqref="B147:C147">
    <cfRule type="cellIs" dxfId="61" priority="65" stopIfTrue="1" operator="equal">
      <formula>"Towel"</formula>
    </cfRule>
    <cfRule type="cellIs" dxfId="60" priority="66" stopIfTrue="1" operator="equal">
      <formula>"Napkin Hs"</formula>
    </cfRule>
  </conditionalFormatting>
  <conditionalFormatting sqref="C147">
    <cfRule type="cellIs" dxfId="59" priority="64" stopIfTrue="1" operator="equal">
      <formula>"Napkin Hs"</formula>
    </cfRule>
  </conditionalFormatting>
  <conditionalFormatting sqref="C147">
    <cfRule type="cellIs" dxfId="58" priority="61" stopIfTrue="1" operator="equal">
      <formula>"Towel"</formula>
    </cfRule>
    <cfRule type="cellIs" dxfId="57" priority="62" stopIfTrue="1" operator="equal">
      <formula>"Napkin Hs"</formula>
    </cfRule>
  </conditionalFormatting>
  <conditionalFormatting sqref="C147">
    <cfRule type="cellIs" dxfId="56" priority="63" stopIfTrue="1" operator="equal">
      <formula>"Towel"</formula>
    </cfRule>
  </conditionalFormatting>
  <conditionalFormatting sqref="B150:C150">
    <cfRule type="cellIs" dxfId="55" priority="83" stopIfTrue="1" operator="equal">
      <formula>"Towel"</formula>
    </cfRule>
    <cfRule type="cellIs" dxfId="54" priority="84" stopIfTrue="1" operator="equal">
      <formula>"Napkin Hs"</formula>
    </cfRule>
  </conditionalFormatting>
  <conditionalFormatting sqref="C150">
    <cfRule type="cellIs" dxfId="53" priority="82" stopIfTrue="1" operator="equal">
      <formula>"Napkin Hs"</formula>
    </cfRule>
  </conditionalFormatting>
  <conditionalFormatting sqref="C150">
    <cfRule type="cellIs" dxfId="52" priority="79" stopIfTrue="1" operator="equal">
      <formula>"Towel"</formula>
    </cfRule>
    <cfRule type="cellIs" dxfId="51" priority="80" stopIfTrue="1" operator="equal">
      <formula>"Napkin Hs"</formula>
    </cfRule>
  </conditionalFormatting>
  <conditionalFormatting sqref="C150">
    <cfRule type="cellIs" dxfId="50" priority="81" stopIfTrue="1" operator="equal">
      <formula>"Towel"</formula>
    </cfRule>
  </conditionalFormatting>
  <conditionalFormatting sqref="B126:C126">
    <cfRule type="cellIs" dxfId="49" priority="59" stopIfTrue="1" operator="equal">
      <formula>"Towel"</formula>
    </cfRule>
    <cfRule type="cellIs" dxfId="48" priority="60" stopIfTrue="1" operator="equal">
      <formula>"Napkin Hs"</formula>
    </cfRule>
  </conditionalFormatting>
  <conditionalFormatting sqref="C126">
    <cfRule type="cellIs" dxfId="47" priority="58" stopIfTrue="1" operator="equal">
      <formula>"Napkin Hs"</formula>
    </cfRule>
  </conditionalFormatting>
  <conditionalFormatting sqref="C126">
    <cfRule type="cellIs" dxfId="46" priority="55" stopIfTrue="1" operator="equal">
      <formula>"Towel"</formula>
    </cfRule>
    <cfRule type="cellIs" dxfId="45" priority="56" stopIfTrue="1" operator="equal">
      <formula>"Napkin Hs"</formula>
    </cfRule>
  </conditionalFormatting>
  <conditionalFormatting sqref="C126">
    <cfRule type="cellIs" dxfId="44" priority="57" stopIfTrue="1" operator="equal">
      <formula>"Towel"</formula>
    </cfRule>
  </conditionalFormatting>
  <conditionalFormatting sqref="B154:C154">
    <cfRule type="cellIs" dxfId="43" priority="47" stopIfTrue="1" operator="equal">
      <formula>"Towel"</formula>
    </cfRule>
    <cfRule type="cellIs" dxfId="42" priority="48" stopIfTrue="1" operator="equal">
      <formula>"Napkin Hs"</formula>
    </cfRule>
  </conditionalFormatting>
  <conditionalFormatting sqref="C154">
    <cfRule type="cellIs" dxfId="41" priority="46" stopIfTrue="1" operator="equal">
      <formula>"Napkin Hs"</formula>
    </cfRule>
  </conditionalFormatting>
  <conditionalFormatting sqref="C154">
    <cfRule type="cellIs" dxfId="40" priority="43" stopIfTrue="1" operator="equal">
      <formula>"Towel"</formula>
    </cfRule>
    <cfRule type="cellIs" dxfId="39" priority="44" stopIfTrue="1" operator="equal">
      <formula>"Napkin Hs"</formula>
    </cfRule>
  </conditionalFormatting>
  <conditionalFormatting sqref="C154">
    <cfRule type="cellIs" dxfId="38" priority="45" stopIfTrue="1" operator="equal">
      <formula>"Towel"</formula>
    </cfRule>
  </conditionalFormatting>
  <conditionalFormatting sqref="B153:C153">
    <cfRule type="cellIs" dxfId="37" priority="41" stopIfTrue="1" operator="equal">
      <formula>"Towel"</formula>
    </cfRule>
    <cfRule type="cellIs" dxfId="36" priority="42" stopIfTrue="1" operator="equal">
      <formula>"Napkin Hs"</formula>
    </cfRule>
  </conditionalFormatting>
  <conditionalFormatting sqref="C153">
    <cfRule type="cellIs" dxfId="35" priority="40" stopIfTrue="1" operator="equal">
      <formula>"Napkin Hs"</formula>
    </cfRule>
  </conditionalFormatting>
  <conditionalFormatting sqref="C153">
    <cfRule type="cellIs" dxfId="34" priority="37" stopIfTrue="1" operator="equal">
      <formula>"Towel"</formula>
    </cfRule>
    <cfRule type="cellIs" dxfId="33" priority="38" stopIfTrue="1" operator="equal">
      <formula>"Napkin Hs"</formula>
    </cfRule>
  </conditionalFormatting>
  <conditionalFormatting sqref="C153">
    <cfRule type="cellIs" dxfId="32" priority="39" stopIfTrue="1" operator="equal">
      <formula>"Towel"</formula>
    </cfRule>
  </conditionalFormatting>
  <conditionalFormatting sqref="B151:C152">
    <cfRule type="cellIs" dxfId="31" priority="35" stopIfTrue="1" operator="equal">
      <formula>"Towel"</formula>
    </cfRule>
    <cfRule type="cellIs" dxfId="30" priority="36" stopIfTrue="1" operator="equal">
      <formula>"Napkin Hs"</formula>
    </cfRule>
  </conditionalFormatting>
  <conditionalFormatting sqref="C151:C152">
    <cfRule type="cellIs" dxfId="29" priority="34" stopIfTrue="1" operator="equal">
      <formula>"Napkin Hs"</formula>
    </cfRule>
  </conditionalFormatting>
  <conditionalFormatting sqref="C151:C152">
    <cfRule type="cellIs" dxfId="28" priority="31" stopIfTrue="1" operator="equal">
      <formula>"Towel"</formula>
    </cfRule>
    <cfRule type="cellIs" dxfId="27" priority="32" stopIfTrue="1" operator="equal">
      <formula>"Napkin Hs"</formula>
    </cfRule>
  </conditionalFormatting>
  <conditionalFormatting sqref="C151:C152">
    <cfRule type="cellIs" dxfId="26" priority="33" stopIfTrue="1" operator="equal">
      <formula>"Towel"</formula>
    </cfRule>
  </conditionalFormatting>
  <conditionalFormatting sqref="B157:C158">
    <cfRule type="cellIs" dxfId="25" priority="17" stopIfTrue="1" operator="equal">
      <formula>"Towel"</formula>
    </cfRule>
    <cfRule type="cellIs" dxfId="24" priority="18" stopIfTrue="1" operator="equal">
      <formula>"Napkin Hs"</formula>
    </cfRule>
  </conditionalFormatting>
  <conditionalFormatting sqref="C157:C158">
    <cfRule type="cellIs" dxfId="23" priority="16" stopIfTrue="1" operator="equal">
      <formula>"Napkin Hs"</formula>
    </cfRule>
  </conditionalFormatting>
  <conditionalFormatting sqref="C157:C158">
    <cfRule type="cellIs" dxfId="22" priority="13" stopIfTrue="1" operator="equal">
      <formula>"Towel"</formula>
    </cfRule>
    <cfRule type="cellIs" dxfId="21" priority="14" stopIfTrue="1" operator="equal">
      <formula>"Napkin Hs"</formula>
    </cfRule>
  </conditionalFormatting>
  <conditionalFormatting sqref="C157:C158">
    <cfRule type="cellIs" dxfId="20" priority="15" stopIfTrue="1" operator="equal">
      <formula>"Towel"</formula>
    </cfRule>
  </conditionalFormatting>
  <conditionalFormatting sqref="B156:C156">
    <cfRule type="cellIs" dxfId="19" priority="11" stopIfTrue="1" operator="equal">
      <formula>"Towel"</formula>
    </cfRule>
    <cfRule type="cellIs" dxfId="18" priority="12" stopIfTrue="1" operator="equal">
      <formula>"Napkin Hs"</formula>
    </cfRule>
  </conditionalFormatting>
  <conditionalFormatting sqref="C156">
    <cfRule type="cellIs" dxfId="17" priority="10" stopIfTrue="1" operator="equal">
      <formula>"Napkin Hs"</formula>
    </cfRule>
  </conditionalFormatting>
  <conditionalFormatting sqref="C156">
    <cfRule type="cellIs" dxfId="16" priority="7" stopIfTrue="1" operator="equal">
      <formula>"Towel"</formula>
    </cfRule>
    <cfRule type="cellIs" dxfId="15" priority="8" stopIfTrue="1" operator="equal">
      <formula>"Napkin Hs"</formula>
    </cfRule>
  </conditionalFormatting>
  <conditionalFormatting sqref="C156">
    <cfRule type="cellIs" dxfId="14" priority="9" stopIfTrue="1" operator="equal">
      <formula>"Towel"</formula>
    </cfRule>
  </conditionalFormatting>
  <conditionalFormatting sqref="B155:C155">
    <cfRule type="cellIs" dxfId="13" priority="5" stopIfTrue="1" operator="equal">
      <formula>"Towel"</formula>
    </cfRule>
    <cfRule type="cellIs" dxfId="12" priority="6" stopIfTrue="1" operator="equal">
      <formula>"Napkin Hs"</formula>
    </cfRule>
  </conditionalFormatting>
  <conditionalFormatting sqref="C155">
    <cfRule type="cellIs" dxfId="11" priority="4" stopIfTrue="1" operator="equal">
      <formula>"Napkin Hs"</formula>
    </cfRule>
  </conditionalFormatting>
  <conditionalFormatting sqref="C155">
    <cfRule type="cellIs" dxfId="10" priority="1" stopIfTrue="1" operator="equal">
      <formula>"Towel"</formula>
    </cfRule>
    <cfRule type="cellIs" dxfId="9" priority="2" stopIfTrue="1" operator="equal">
      <formula>"Napkin Hs"</formula>
    </cfRule>
  </conditionalFormatting>
  <conditionalFormatting sqref="C155">
    <cfRule type="cellIs" dxfId="8" priority="3" stopIfTrue="1" operator="equal">
      <formula>"Towel"</formula>
    </cfRule>
  </conditionalFormatting>
  <pageMargins left="0.75" right="0.75" top="1" bottom="1" header="0.5" footer="0.5"/>
  <pageSetup scale="2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V45"/>
  <sheetViews>
    <sheetView tabSelected="1" zoomScale="80" zoomScaleNormal="80" workbookViewId="0">
      <pane xSplit="5" ySplit="8" topLeftCell="ET9" activePane="bottomRight" state="frozen"/>
      <selection pane="topRight" activeCell="F1" sqref="F1"/>
      <selection pane="bottomLeft" activeCell="A9" sqref="A9"/>
      <selection pane="bottomRight" activeCell="KW33" sqref="KW33"/>
    </sheetView>
  </sheetViews>
  <sheetFormatPr defaultColWidth="10.42578125" defaultRowHeight="12.75"/>
  <cols>
    <col min="1" max="1" width="8.140625" style="258" customWidth="1"/>
    <col min="2" max="2" width="13.5703125" style="258" customWidth="1"/>
    <col min="3" max="3" width="12.5703125" style="259" customWidth="1"/>
    <col min="4" max="4" width="11.140625" style="259" customWidth="1"/>
    <col min="5" max="5" width="11" style="260" customWidth="1"/>
    <col min="6" max="17" width="12.42578125" style="518" customWidth="1"/>
    <col min="18" max="20" width="12.42578125" style="518" hidden="1" customWidth="1"/>
    <col min="21" max="23" width="12.42578125" style="518" customWidth="1"/>
    <col min="24" max="26" width="12.42578125" style="518" hidden="1" customWidth="1"/>
    <col min="27" max="41" width="12.42578125" style="518" customWidth="1"/>
    <col min="42" max="47" width="12.42578125" style="518" hidden="1" customWidth="1"/>
    <col min="48" max="56" width="12.42578125" style="518" customWidth="1"/>
    <col min="57" max="65" width="12.42578125" style="518" hidden="1" customWidth="1"/>
    <col min="66" max="155" width="12.42578125" style="518" customWidth="1"/>
    <col min="156" max="269" width="12.42578125" style="518" hidden="1" customWidth="1"/>
    <col min="270" max="272" width="9.28515625" style="518" hidden="1" customWidth="1"/>
    <col min="273" max="303" width="5.5703125" style="518" hidden="1" customWidth="1"/>
    <col min="304" max="304" width="8.7109375" style="518" hidden="1" customWidth="1"/>
    <col min="305" max="305" width="7.7109375" style="518" hidden="1" customWidth="1"/>
    <col min="306" max="306" width="21" style="518" bestFit="1" customWidth="1"/>
    <col min="307" max="307" width="19.85546875" style="518" bestFit="1" customWidth="1"/>
    <col min="308" max="16384" width="10.42578125" style="258"/>
  </cols>
  <sheetData>
    <row r="1" spans="1:308" ht="15.75">
      <c r="A1" s="554"/>
      <c r="B1" s="255"/>
      <c r="C1" s="256"/>
      <c r="D1" s="256"/>
      <c r="E1" s="257"/>
    </row>
    <row r="2" spans="1:308" ht="15.75">
      <c r="A2" s="554"/>
    </row>
    <row r="3" spans="1:308" ht="15">
      <c r="A3" s="555"/>
    </row>
    <row r="4" spans="1:308" ht="15.75">
      <c r="A4" s="490" t="s">
        <v>288</v>
      </c>
    </row>
    <row r="5" spans="1:308" ht="13.5" thickBot="1">
      <c r="F5" s="711" t="s">
        <v>308</v>
      </c>
      <c r="G5" s="712"/>
      <c r="H5" s="712"/>
      <c r="I5" s="712"/>
      <c r="J5" s="712"/>
      <c r="K5" s="712"/>
      <c r="L5" s="712"/>
      <c r="M5" s="712"/>
      <c r="N5" s="712"/>
      <c r="O5" s="712"/>
      <c r="P5" s="712"/>
      <c r="Q5" s="712"/>
      <c r="R5" s="712"/>
      <c r="S5" s="712"/>
      <c r="T5" s="712"/>
      <c r="U5" s="712"/>
      <c r="V5" s="712"/>
      <c r="W5" s="712"/>
      <c r="X5" s="712"/>
      <c r="Y5" s="712"/>
      <c r="Z5" s="712"/>
      <c r="AA5" s="712"/>
      <c r="AB5" s="712"/>
      <c r="AC5" s="712"/>
      <c r="AD5" s="712"/>
      <c r="AE5" s="712"/>
      <c r="AF5" s="712"/>
      <c r="AG5" s="712"/>
      <c r="AH5" s="712"/>
      <c r="AI5" s="712"/>
      <c r="AJ5" s="712"/>
      <c r="AK5" s="712"/>
      <c r="AL5" s="712"/>
      <c r="AM5" s="712"/>
      <c r="AN5" s="712"/>
      <c r="AO5" s="712"/>
      <c r="AP5" s="712"/>
      <c r="AQ5" s="712"/>
      <c r="AR5" s="712"/>
      <c r="AS5" s="712"/>
      <c r="AT5" s="712"/>
      <c r="AU5" s="712"/>
      <c r="AV5" s="712"/>
      <c r="AW5" s="712"/>
      <c r="AX5" s="712"/>
      <c r="AY5" s="712"/>
      <c r="AZ5" s="712"/>
      <c r="BA5" s="712"/>
      <c r="BB5" s="712"/>
      <c r="BC5" s="712"/>
      <c r="BD5" s="712"/>
      <c r="BE5" s="712"/>
      <c r="BF5" s="712"/>
      <c r="BG5" s="712"/>
      <c r="BH5" s="712"/>
      <c r="BI5" s="712"/>
      <c r="BJ5" s="712"/>
      <c r="BK5" s="712"/>
      <c r="BL5" s="712"/>
      <c r="BM5" s="712"/>
      <c r="BN5" s="712"/>
      <c r="BO5" s="712"/>
      <c r="BP5" s="712"/>
      <c r="BQ5" s="712"/>
      <c r="BR5" s="712"/>
      <c r="BS5" s="712"/>
      <c r="BT5" s="712"/>
      <c r="BU5" s="712"/>
      <c r="BV5" s="712"/>
      <c r="BW5" s="712"/>
      <c r="BX5" s="712"/>
      <c r="BY5" s="712"/>
      <c r="BZ5" s="712"/>
      <c r="CA5" s="712"/>
      <c r="CB5" s="712"/>
      <c r="CC5" s="712"/>
      <c r="CD5" s="712"/>
      <c r="CE5" s="712"/>
      <c r="CF5" s="712"/>
      <c r="CG5" s="712"/>
      <c r="CH5" s="712"/>
      <c r="CI5" s="712"/>
      <c r="CJ5" s="712"/>
      <c r="CK5" s="712"/>
      <c r="CL5" s="712"/>
      <c r="CM5" s="712"/>
      <c r="CN5" s="712"/>
      <c r="CO5" s="712"/>
      <c r="CP5" s="712"/>
      <c r="CQ5" s="712"/>
      <c r="CR5" s="712"/>
      <c r="CS5" s="712"/>
      <c r="CT5" s="712"/>
      <c r="CU5" s="712"/>
      <c r="CV5" s="712"/>
      <c r="CW5" s="712"/>
      <c r="CX5" s="712"/>
      <c r="CY5" s="712"/>
      <c r="CZ5" s="712"/>
      <c r="DA5" s="712"/>
      <c r="DB5" s="712"/>
      <c r="DC5" s="712"/>
      <c r="DD5" s="712"/>
      <c r="DE5" s="712"/>
      <c r="DF5" s="712"/>
      <c r="DG5" s="712"/>
      <c r="DH5" s="712"/>
      <c r="DI5" s="712"/>
      <c r="DJ5" s="712"/>
      <c r="DK5" s="712"/>
      <c r="DL5" s="712"/>
      <c r="DM5" s="712"/>
      <c r="DN5" s="712"/>
      <c r="DO5" s="712"/>
      <c r="DP5" s="712"/>
      <c r="DQ5" s="712"/>
      <c r="DR5" s="712"/>
      <c r="DS5" s="712"/>
      <c r="DT5" s="712"/>
      <c r="DU5" s="712"/>
      <c r="DV5" s="712"/>
      <c r="DW5" s="712"/>
      <c r="DX5" s="712"/>
      <c r="DY5" s="712"/>
      <c r="DZ5" s="712"/>
      <c r="EA5" s="712"/>
      <c r="EB5" s="712"/>
      <c r="EC5" s="712"/>
      <c r="ED5" s="712"/>
      <c r="EE5" s="712"/>
      <c r="EF5" s="712"/>
      <c r="EG5" s="712"/>
      <c r="EH5" s="712"/>
      <c r="EI5" s="712"/>
      <c r="EJ5" s="712"/>
      <c r="EK5" s="712"/>
      <c r="EL5" s="712"/>
      <c r="EM5" s="712"/>
      <c r="EN5" s="712"/>
      <c r="EO5" s="712"/>
      <c r="EP5" s="712"/>
      <c r="EQ5" s="712"/>
      <c r="ER5" s="712"/>
      <c r="ES5" s="712"/>
      <c r="ET5" s="712"/>
      <c r="EU5" s="712"/>
      <c r="EV5" s="712"/>
      <c r="EW5" s="712"/>
      <c r="EX5" s="712"/>
      <c r="EY5" s="712"/>
      <c r="EZ5" s="712"/>
      <c r="FA5" s="712"/>
      <c r="FB5" s="712"/>
      <c r="FC5" s="712"/>
      <c r="FD5" s="712"/>
      <c r="FE5" s="712"/>
      <c r="FF5" s="712"/>
      <c r="FG5" s="712"/>
      <c r="FH5" s="712"/>
      <c r="FI5" s="712"/>
      <c r="FJ5" s="712"/>
      <c r="FK5" s="712"/>
      <c r="FL5" s="712"/>
      <c r="FM5" s="712"/>
      <c r="FN5" s="712"/>
      <c r="FO5" s="712"/>
      <c r="FP5" s="712"/>
      <c r="FQ5" s="712"/>
      <c r="FR5" s="712"/>
      <c r="FS5" s="712"/>
      <c r="FT5" s="712"/>
      <c r="FU5" s="712"/>
      <c r="FV5" s="712"/>
      <c r="FW5" s="712"/>
      <c r="FX5" s="712"/>
      <c r="FY5" s="712"/>
      <c r="FZ5" s="712"/>
      <c r="GA5" s="712"/>
      <c r="GB5" s="712"/>
      <c r="GC5" s="713"/>
      <c r="GD5" s="711" t="s">
        <v>309</v>
      </c>
      <c r="GE5" s="712"/>
      <c r="GF5" s="712"/>
      <c r="GG5" s="712"/>
      <c r="GH5" s="712"/>
      <c r="GI5" s="712"/>
      <c r="GJ5" s="712"/>
      <c r="GK5" s="712"/>
      <c r="GL5" s="712"/>
      <c r="GM5" s="712"/>
      <c r="GN5" s="712"/>
      <c r="GO5" s="712"/>
      <c r="GP5" s="712"/>
      <c r="GQ5" s="712"/>
      <c r="GR5" s="712"/>
      <c r="GS5" s="712"/>
      <c r="GT5" s="712"/>
      <c r="GU5" s="712"/>
      <c r="GV5" s="712"/>
      <c r="GW5" s="712"/>
      <c r="GX5" s="712"/>
      <c r="GY5" s="712"/>
      <c r="GZ5" s="712"/>
      <c r="HA5" s="712"/>
      <c r="HB5" s="712"/>
      <c r="HC5" s="712"/>
      <c r="HD5" s="712"/>
      <c r="HE5" s="712"/>
      <c r="HF5" s="712"/>
      <c r="HG5" s="712"/>
      <c r="HH5" s="712"/>
      <c r="HI5" s="712"/>
      <c r="HJ5" s="712"/>
      <c r="HK5" s="712"/>
      <c r="HL5" s="712"/>
      <c r="HM5" s="712"/>
      <c r="HN5" s="712"/>
      <c r="HO5" s="712"/>
      <c r="HP5" s="712"/>
      <c r="HQ5" s="712"/>
      <c r="HR5" s="712"/>
      <c r="HS5" s="712"/>
      <c r="HT5" s="712"/>
      <c r="HU5" s="712"/>
      <c r="HV5" s="712"/>
      <c r="HW5" s="712"/>
      <c r="HX5" s="712"/>
      <c r="HY5" s="712"/>
      <c r="HZ5" s="712"/>
      <c r="IA5" s="712"/>
      <c r="IB5" s="712"/>
      <c r="IC5" s="712"/>
      <c r="ID5" s="712"/>
      <c r="IE5" s="712"/>
      <c r="IF5" s="712"/>
      <c r="IG5" s="712"/>
      <c r="IH5" s="712"/>
      <c r="II5" s="712"/>
      <c r="IJ5" s="712"/>
      <c r="IK5" s="712"/>
      <c r="IL5" s="712"/>
      <c r="IM5" s="712"/>
      <c r="IN5" s="712"/>
      <c r="IO5" s="712"/>
      <c r="IP5" s="712"/>
      <c r="IQ5" s="712"/>
      <c r="IR5" s="712"/>
      <c r="IS5" s="712"/>
      <c r="IT5" s="712"/>
      <c r="IU5" s="712"/>
      <c r="IV5" s="712"/>
      <c r="IW5" s="712"/>
      <c r="IX5" s="712"/>
      <c r="IY5" s="712"/>
      <c r="IZ5" s="712"/>
      <c r="JA5" s="712"/>
      <c r="JB5" s="712"/>
      <c r="JC5" s="712"/>
      <c r="JD5" s="712"/>
      <c r="JE5" s="712"/>
      <c r="JF5" s="712"/>
      <c r="JG5" s="712"/>
      <c r="JH5" s="712"/>
      <c r="JI5" s="712"/>
      <c r="JJ5" s="712"/>
      <c r="JK5" s="712"/>
      <c r="JL5" s="712"/>
      <c r="JM5" s="712"/>
      <c r="JN5" s="712"/>
      <c r="JO5" s="712"/>
      <c r="JP5" s="712"/>
      <c r="JQ5" s="712"/>
      <c r="JR5" s="712"/>
      <c r="JS5" s="712"/>
      <c r="JT5" s="712"/>
      <c r="JU5" s="712"/>
      <c r="JV5" s="712"/>
      <c r="JW5" s="712"/>
      <c r="JX5" s="712"/>
      <c r="JY5" s="712"/>
      <c r="JZ5" s="712"/>
      <c r="KA5" s="712"/>
      <c r="KB5" s="712"/>
      <c r="KC5" s="712"/>
      <c r="KD5" s="712"/>
      <c r="KE5" s="712"/>
      <c r="KF5" s="712"/>
      <c r="KG5" s="712"/>
      <c r="KH5" s="712"/>
      <c r="KI5" s="712"/>
      <c r="KJ5" s="712"/>
      <c r="KK5" s="712"/>
      <c r="KL5" s="712"/>
      <c r="KM5" s="712"/>
      <c r="KN5" s="712"/>
      <c r="KO5" s="712"/>
      <c r="KP5" s="712"/>
      <c r="KQ5" s="712"/>
      <c r="KR5" s="712"/>
      <c r="KS5" s="713"/>
      <c r="KT5" s="714" t="s">
        <v>310</v>
      </c>
      <c r="KU5" s="714" t="s">
        <v>309</v>
      </c>
    </row>
    <row r="6" spans="1:308">
      <c r="A6" s="715" t="s">
        <v>29</v>
      </c>
      <c r="B6" s="718" t="s">
        <v>4</v>
      </c>
      <c r="C6" s="718" t="s">
        <v>5</v>
      </c>
      <c r="D6" s="721" t="s">
        <v>41</v>
      </c>
      <c r="E6" s="724" t="s">
        <v>39</v>
      </c>
      <c r="F6" s="701" t="s">
        <v>311</v>
      </c>
      <c r="G6" s="710"/>
      <c r="H6" s="702"/>
      <c r="I6" s="701" t="s">
        <v>312</v>
      </c>
      <c r="J6" s="710"/>
      <c r="K6" s="702"/>
      <c r="L6" s="701" t="s">
        <v>313</v>
      </c>
      <c r="M6" s="710"/>
      <c r="N6" s="702"/>
      <c r="O6" s="701" t="s">
        <v>314</v>
      </c>
      <c r="P6" s="710"/>
      <c r="Q6" s="702"/>
      <c r="R6" s="701" t="s">
        <v>315</v>
      </c>
      <c r="S6" s="710"/>
      <c r="T6" s="702"/>
      <c r="U6" s="701" t="s">
        <v>316</v>
      </c>
      <c r="V6" s="710"/>
      <c r="W6" s="702"/>
      <c r="X6" s="701" t="s">
        <v>317</v>
      </c>
      <c r="Y6" s="710"/>
      <c r="Z6" s="702"/>
      <c r="AA6" s="701" t="s">
        <v>318</v>
      </c>
      <c r="AB6" s="710"/>
      <c r="AC6" s="702"/>
      <c r="AD6" s="701" t="s">
        <v>319</v>
      </c>
      <c r="AE6" s="710"/>
      <c r="AF6" s="702"/>
      <c r="AG6" s="701" t="s">
        <v>320</v>
      </c>
      <c r="AH6" s="710"/>
      <c r="AI6" s="702"/>
      <c r="AJ6" s="701" t="s">
        <v>321</v>
      </c>
      <c r="AK6" s="710"/>
      <c r="AL6" s="702"/>
      <c r="AM6" s="701" t="s">
        <v>322</v>
      </c>
      <c r="AN6" s="710"/>
      <c r="AO6" s="702"/>
      <c r="AP6" s="701" t="s">
        <v>323</v>
      </c>
      <c r="AQ6" s="710"/>
      <c r="AR6" s="702"/>
      <c r="AS6" s="701" t="s">
        <v>324</v>
      </c>
      <c r="AT6" s="710"/>
      <c r="AU6" s="702"/>
      <c r="AV6" s="701" t="s">
        <v>325</v>
      </c>
      <c r="AW6" s="710"/>
      <c r="AX6" s="702"/>
      <c r="AY6" s="707" t="s">
        <v>326</v>
      </c>
      <c r="AZ6" s="708"/>
      <c r="BA6" s="708"/>
      <c r="BB6" s="707" t="s">
        <v>327</v>
      </c>
      <c r="BC6" s="708"/>
      <c r="BD6" s="709"/>
      <c r="BE6" s="707" t="s">
        <v>328</v>
      </c>
      <c r="BF6" s="708"/>
      <c r="BG6" s="708"/>
      <c r="BH6" s="707" t="s">
        <v>329</v>
      </c>
      <c r="BI6" s="708"/>
      <c r="BJ6" s="709"/>
      <c r="BK6" s="707" t="s">
        <v>330</v>
      </c>
      <c r="BL6" s="708"/>
      <c r="BM6" s="708"/>
      <c r="BN6" s="707" t="s">
        <v>331</v>
      </c>
      <c r="BO6" s="708"/>
      <c r="BP6" s="709"/>
      <c r="BQ6" s="707" t="s">
        <v>332</v>
      </c>
      <c r="BR6" s="708"/>
      <c r="BS6" s="708"/>
      <c r="BT6" s="707" t="s">
        <v>333</v>
      </c>
      <c r="BU6" s="708"/>
      <c r="BV6" s="709"/>
      <c r="BW6" s="707" t="s">
        <v>334</v>
      </c>
      <c r="BX6" s="708"/>
      <c r="BY6" s="708"/>
      <c r="BZ6" s="707" t="s">
        <v>335</v>
      </c>
      <c r="CA6" s="708"/>
      <c r="CB6" s="709"/>
      <c r="CC6" s="707" t="s">
        <v>336</v>
      </c>
      <c r="CD6" s="708"/>
      <c r="CE6" s="708"/>
      <c r="CF6" s="707" t="s">
        <v>337</v>
      </c>
      <c r="CG6" s="708"/>
      <c r="CH6" s="709"/>
      <c r="CI6" s="707" t="s">
        <v>338</v>
      </c>
      <c r="CJ6" s="708"/>
      <c r="CK6" s="708"/>
      <c r="CL6" s="707" t="s">
        <v>339</v>
      </c>
      <c r="CM6" s="708"/>
      <c r="CN6" s="709"/>
      <c r="CO6" s="707" t="s">
        <v>340</v>
      </c>
      <c r="CP6" s="708"/>
      <c r="CQ6" s="708"/>
      <c r="CR6" s="707" t="s">
        <v>341</v>
      </c>
      <c r="CS6" s="708"/>
      <c r="CT6" s="709"/>
      <c r="CU6" s="707" t="s">
        <v>223</v>
      </c>
      <c r="CV6" s="708"/>
      <c r="CW6" s="708"/>
      <c r="CX6" s="707" t="s">
        <v>342</v>
      </c>
      <c r="CY6" s="708"/>
      <c r="CZ6" s="709"/>
      <c r="DA6" s="707" t="s">
        <v>343</v>
      </c>
      <c r="DB6" s="708"/>
      <c r="DC6" s="708"/>
      <c r="DD6" s="707" t="s">
        <v>344</v>
      </c>
      <c r="DE6" s="708"/>
      <c r="DF6" s="709"/>
      <c r="DG6" s="707" t="s">
        <v>345</v>
      </c>
      <c r="DH6" s="708"/>
      <c r="DI6" s="708"/>
      <c r="DJ6" s="707" t="s">
        <v>346</v>
      </c>
      <c r="DK6" s="708"/>
      <c r="DL6" s="709"/>
      <c r="DM6" s="707" t="s">
        <v>347</v>
      </c>
      <c r="DN6" s="708"/>
      <c r="DO6" s="708"/>
      <c r="DP6" s="707" t="s">
        <v>348</v>
      </c>
      <c r="DQ6" s="708"/>
      <c r="DR6" s="709"/>
      <c r="DS6" s="707" t="s">
        <v>349</v>
      </c>
      <c r="DT6" s="708"/>
      <c r="DU6" s="708"/>
      <c r="DV6" s="707" t="s">
        <v>350</v>
      </c>
      <c r="DW6" s="708"/>
      <c r="DX6" s="709"/>
      <c r="DY6" s="707" t="s">
        <v>351</v>
      </c>
      <c r="DZ6" s="708"/>
      <c r="EA6" s="708"/>
      <c r="EB6" s="707" t="s">
        <v>381</v>
      </c>
      <c r="EC6" s="708"/>
      <c r="ED6" s="709"/>
      <c r="EE6" s="707" t="s">
        <v>420</v>
      </c>
      <c r="EF6" s="708"/>
      <c r="EG6" s="708"/>
      <c r="EH6" s="707" t="s">
        <v>421</v>
      </c>
      <c r="EI6" s="708"/>
      <c r="EJ6" s="709"/>
      <c r="EK6" s="707" t="s">
        <v>422</v>
      </c>
      <c r="EL6" s="708"/>
      <c r="EM6" s="708"/>
      <c r="EN6" s="707" t="s">
        <v>423</v>
      </c>
      <c r="EO6" s="708"/>
      <c r="EP6" s="709"/>
      <c r="EQ6" s="707" t="s">
        <v>443</v>
      </c>
      <c r="ER6" s="708"/>
      <c r="ES6" s="708"/>
      <c r="ET6" s="707" t="s">
        <v>444</v>
      </c>
      <c r="EU6" s="708"/>
      <c r="EV6" s="709"/>
      <c r="EW6" s="707"/>
      <c r="EX6" s="708"/>
      <c r="EY6" s="708"/>
      <c r="EZ6" s="707"/>
      <c r="FA6" s="708"/>
      <c r="FB6" s="709"/>
      <c r="FC6" s="707"/>
      <c r="FD6" s="708"/>
      <c r="FE6" s="708"/>
      <c r="FF6" s="707"/>
      <c r="FG6" s="708"/>
      <c r="FH6" s="709"/>
      <c r="FI6" s="707"/>
      <c r="FJ6" s="708"/>
      <c r="FK6" s="708"/>
      <c r="FL6" s="707"/>
      <c r="FM6" s="708"/>
      <c r="FN6" s="709"/>
      <c r="FO6" s="707"/>
      <c r="FP6" s="708"/>
      <c r="FQ6" s="708"/>
      <c r="FR6" s="707"/>
      <c r="FS6" s="708"/>
      <c r="FT6" s="709"/>
      <c r="FU6" s="707"/>
      <c r="FV6" s="708"/>
      <c r="FW6" s="708"/>
      <c r="FX6" s="707"/>
      <c r="FY6" s="708"/>
      <c r="FZ6" s="709"/>
      <c r="GA6" s="707"/>
      <c r="GB6" s="708"/>
      <c r="GC6" s="708"/>
      <c r="GD6" s="707" t="s">
        <v>352</v>
      </c>
      <c r="GE6" s="708"/>
      <c r="GF6" s="709"/>
      <c r="GG6" s="707" t="s">
        <v>353</v>
      </c>
      <c r="GH6" s="708"/>
      <c r="GI6" s="708"/>
      <c r="GJ6" s="707" t="s">
        <v>354</v>
      </c>
      <c r="GK6" s="708"/>
      <c r="GL6" s="709"/>
      <c r="GM6" s="707" t="s">
        <v>355</v>
      </c>
      <c r="GN6" s="708"/>
      <c r="GO6" s="708"/>
      <c r="GP6" s="707" t="s">
        <v>356</v>
      </c>
      <c r="GQ6" s="708"/>
      <c r="GR6" s="709"/>
      <c r="GS6" s="707" t="s">
        <v>357</v>
      </c>
      <c r="GT6" s="708"/>
      <c r="GU6" s="708"/>
      <c r="GV6" s="707" t="s">
        <v>358</v>
      </c>
      <c r="GW6" s="708"/>
      <c r="GX6" s="709"/>
      <c r="GY6" s="707" t="s">
        <v>359</v>
      </c>
      <c r="GZ6" s="708"/>
      <c r="HA6" s="708"/>
      <c r="HB6" s="707" t="s">
        <v>335</v>
      </c>
      <c r="HC6" s="708"/>
      <c r="HD6" s="709"/>
      <c r="HE6" s="707" t="s">
        <v>350</v>
      </c>
      <c r="HF6" s="708"/>
      <c r="HG6" s="708"/>
      <c r="HH6" s="707" t="s">
        <v>349</v>
      </c>
      <c r="HI6" s="708"/>
      <c r="HJ6" s="709"/>
      <c r="HK6" s="707" t="s">
        <v>331</v>
      </c>
      <c r="HL6" s="708"/>
      <c r="HM6" s="708"/>
      <c r="HN6" s="707" t="s">
        <v>360</v>
      </c>
      <c r="HO6" s="708"/>
      <c r="HP6" s="709"/>
      <c r="HQ6" s="707" t="s">
        <v>223</v>
      </c>
      <c r="HR6" s="708"/>
      <c r="HS6" s="708"/>
      <c r="HT6" s="707" t="s">
        <v>361</v>
      </c>
      <c r="HU6" s="708"/>
      <c r="HV6" s="709"/>
      <c r="HW6" s="707" t="s">
        <v>362</v>
      </c>
      <c r="HX6" s="708"/>
      <c r="HY6" s="708"/>
      <c r="HZ6" s="707" t="s">
        <v>363</v>
      </c>
      <c r="IA6" s="708"/>
      <c r="IB6" s="709"/>
      <c r="IC6" s="707" t="s">
        <v>364</v>
      </c>
      <c r="ID6" s="708"/>
      <c r="IE6" s="708"/>
      <c r="IF6" s="707" t="s">
        <v>365</v>
      </c>
      <c r="IG6" s="708"/>
      <c r="IH6" s="709"/>
      <c r="II6" s="703" t="s">
        <v>337</v>
      </c>
      <c r="IJ6" s="703"/>
      <c r="IK6" s="703"/>
      <c r="IL6" s="707" t="s">
        <v>340</v>
      </c>
      <c r="IM6" s="708"/>
      <c r="IN6" s="709"/>
      <c r="IO6" s="707" t="s">
        <v>341</v>
      </c>
      <c r="IP6" s="708"/>
      <c r="IQ6" s="708"/>
      <c r="IR6" s="707" t="s">
        <v>336</v>
      </c>
      <c r="IS6" s="708"/>
      <c r="IT6" s="709"/>
      <c r="IU6" s="707" t="s">
        <v>366</v>
      </c>
      <c r="IV6" s="708"/>
      <c r="IW6" s="708"/>
      <c r="IX6" s="707" t="s">
        <v>343</v>
      </c>
      <c r="IY6" s="708"/>
      <c r="IZ6" s="709"/>
      <c r="JA6" s="707" t="s">
        <v>367</v>
      </c>
      <c r="JB6" s="708"/>
      <c r="JC6" s="708"/>
      <c r="JD6" s="707" t="s">
        <v>368</v>
      </c>
      <c r="JE6" s="708"/>
      <c r="JF6" s="709"/>
      <c r="JG6" s="707" t="s">
        <v>369</v>
      </c>
      <c r="JH6" s="708"/>
      <c r="JI6" s="708"/>
      <c r="JJ6" s="707" t="s">
        <v>382</v>
      </c>
      <c r="JK6" s="708"/>
      <c r="JL6" s="709"/>
      <c r="JM6" s="707"/>
      <c r="JN6" s="708"/>
      <c r="JO6" s="708"/>
      <c r="JP6" s="707"/>
      <c r="JQ6" s="708"/>
      <c r="JR6" s="709"/>
      <c r="JS6" s="707"/>
      <c r="JT6" s="708"/>
      <c r="JU6" s="708"/>
      <c r="JV6" s="707"/>
      <c r="JW6" s="708"/>
      <c r="JX6" s="709"/>
      <c r="JY6" s="707"/>
      <c r="JZ6" s="708"/>
      <c r="KA6" s="708"/>
      <c r="KB6" s="707"/>
      <c r="KC6" s="708"/>
      <c r="KD6" s="709"/>
      <c r="KE6" s="707"/>
      <c r="KF6" s="708"/>
      <c r="KG6" s="708"/>
      <c r="KH6" s="707"/>
      <c r="KI6" s="708"/>
      <c r="KJ6" s="709"/>
      <c r="KK6" s="707"/>
      <c r="KL6" s="708"/>
      <c r="KM6" s="708"/>
      <c r="KN6" s="707"/>
      <c r="KO6" s="708"/>
      <c r="KP6" s="709"/>
      <c r="KQ6" s="703"/>
      <c r="KR6" s="703"/>
      <c r="KS6" s="703"/>
      <c r="KT6" s="714"/>
      <c r="KU6" s="714"/>
    </row>
    <row r="7" spans="1:308">
      <c r="A7" s="716"/>
      <c r="B7" s="719"/>
      <c r="C7" s="719"/>
      <c r="D7" s="722"/>
      <c r="E7" s="725"/>
      <c r="F7" s="701" t="s">
        <v>134</v>
      </c>
      <c r="G7" s="702"/>
      <c r="H7" s="519" t="s">
        <v>370</v>
      </c>
      <c r="I7" s="701" t="s">
        <v>134</v>
      </c>
      <c r="J7" s="702"/>
      <c r="K7" s="519" t="s">
        <v>370</v>
      </c>
      <c r="L7" s="701" t="s">
        <v>134</v>
      </c>
      <c r="M7" s="702"/>
      <c r="N7" s="519" t="s">
        <v>370</v>
      </c>
      <c r="O7" s="701" t="s">
        <v>134</v>
      </c>
      <c r="P7" s="702"/>
      <c r="Q7" s="519" t="s">
        <v>370</v>
      </c>
      <c r="R7" s="701" t="s">
        <v>134</v>
      </c>
      <c r="S7" s="702"/>
      <c r="T7" s="519" t="s">
        <v>370</v>
      </c>
      <c r="U7" s="701" t="s">
        <v>134</v>
      </c>
      <c r="V7" s="702"/>
      <c r="W7" s="519" t="s">
        <v>370</v>
      </c>
      <c r="X7" s="701" t="s">
        <v>134</v>
      </c>
      <c r="Y7" s="702"/>
      <c r="Z7" s="519" t="s">
        <v>370</v>
      </c>
      <c r="AA7" s="701" t="s">
        <v>134</v>
      </c>
      <c r="AB7" s="702"/>
      <c r="AC7" s="519" t="s">
        <v>370</v>
      </c>
      <c r="AD7" s="701" t="s">
        <v>134</v>
      </c>
      <c r="AE7" s="702"/>
      <c r="AF7" s="519" t="s">
        <v>370</v>
      </c>
      <c r="AG7" s="701" t="s">
        <v>134</v>
      </c>
      <c r="AH7" s="702"/>
      <c r="AI7" s="519" t="s">
        <v>370</v>
      </c>
      <c r="AJ7" s="701" t="s">
        <v>134</v>
      </c>
      <c r="AK7" s="702"/>
      <c r="AL7" s="519" t="s">
        <v>370</v>
      </c>
      <c r="AM7" s="701" t="s">
        <v>134</v>
      </c>
      <c r="AN7" s="702"/>
      <c r="AO7" s="519" t="s">
        <v>370</v>
      </c>
      <c r="AP7" s="701" t="s">
        <v>134</v>
      </c>
      <c r="AQ7" s="702"/>
      <c r="AR7" s="519" t="s">
        <v>370</v>
      </c>
      <c r="AS7" s="701" t="s">
        <v>134</v>
      </c>
      <c r="AT7" s="702"/>
      <c r="AU7" s="519" t="s">
        <v>370</v>
      </c>
      <c r="AV7" s="701" t="s">
        <v>134</v>
      </c>
      <c r="AW7" s="702"/>
      <c r="AX7" s="519" t="s">
        <v>370</v>
      </c>
      <c r="AY7" s="701" t="s">
        <v>134</v>
      </c>
      <c r="AZ7" s="702"/>
      <c r="BA7" s="519" t="s">
        <v>370</v>
      </c>
      <c r="BB7" s="701" t="s">
        <v>134</v>
      </c>
      <c r="BC7" s="702"/>
      <c r="BD7" s="519" t="s">
        <v>370</v>
      </c>
      <c r="BE7" s="701" t="s">
        <v>134</v>
      </c>
      <c r="BF7" s="702"/>
      <c r="BG7" s="519" t="s">
        <v>370</v>
      </c>
      <c r="BH7" s="701" t="s">
        <v>134</v>
      </c>
      <c r="BI7" s="702"/>
      <c r="BJ7" s="519" t="s">
        <v>370</v>
      </c>
      <c r="BK7" s="701" t="s">
        <v>134</v>
      </c>
      <c r="BL7" s="702"/>
      <c r="BM7" s="519" t="s">
        <v>370</v>
      </c>
      <c r="BN7" s="701" t="s">
        <v>134</v>
      </c>
      <c r="BO7" s="702"/>
      <c r="BP7" s="519" t="s">
        <v>370</v>
      </c>
      <c r="BQ7" s="701" t="s">
        <v>134</v>
      </c>
      <c r="BR7" s="702"/>
      <c r="BS7" s="519" t="s">
        <v>370</v>
      </c>
      <c r="BT7" s="701" t="s">
        <v>134</v>
      </c>
      <c r="BU7" s="702"/>
      <c r="BV7" s="519" t="s">
        <v>370</v>
      </c>
      <c r="BW7" s="701" t="s">
        <v>134</v>
      </c>
      <c r="BX7" s="702"/>
      <c r="BY7" s="519" t="s">
        <v>370</v>
      </c>
      <c r="BZ7" s="701" t="s">
        <v>134</v>
      </c>
      <c r="CA7" s="702"/>
      <c r="CB7" s="519" t="s">
        <v>370</v>
      </c>
      <c r="CC7" s="701" t="s">
        <v>134</v>
      </c>
      <c r="CD7" s="702"/>
      <c r="CE7" s="519" t="s">
        <v>370</v>
      </c>
      <c r="CF7" s="701" t="s">
        <v>134</v>
      </c>
      <c r="CG7" s="702"/>
      <c r="CH7" s="519" t="s">
        <v>370</v>
      </c>
      <c r="CI7" s="701" t="s">
        <v>134</v>
      </c>
      <c r="CJ7" s="702"/>
      <c r="CK7" s="519" t="s">
        <v>370</v>
      </c>
      <c r="CL7" s="701" t="s">
        <v>134</v>
      </c>
      <c r="CM7" s="702"/>
      <c r="CN7" s="519" t="s">
        <v>370</v>
      </c>
      <c r="CO7" s="701" t="s">
        <v>134</v>
      </c>
      <c r="CP7" s="702"/>
      <c r="CQ7" s="519" t="s">
        <v>370</v>
      </c>
      <c r="CR7" s="701" t="s">
        <v>134</v>
      </c>
      <c r="CS7" s="702"/>
      <c r="CT7" s="519" t="s">
        <v>370</v>
      </c>
      <c r="CU7" s="701" t="s">
        <v>134</v>
      </c>
      <c r="CV7" s="702"/>
      <c r="CW7" s="519" t="s">
        <v>370</v>
      </c>
      <c r="CX7" s="701" t="s">
        <v>134</v>
      </c>
      <c r="CY7" s="702"/>
      <c r="CZ7" s="519" t="s">
        <v>370</v>
      </c>
      <c r="DA7" s="701" t="s">
        <v>134</v>
      </c>
      <c r="DB7" s="702"/>
      <c r="DC7" s="519" t="s">
        <v>370</v>
      </c>
      <c r="DD7" s="701" t="s">
        <v>134</v>
      </c>
      <c r="DE7" s="702"/>
      <c r="DF7" s="519" t="s">
        <v>370</v>
      </c>
      <c r="DG7" s="701" t="s">
        <v>134</v>
      </c>
      <c r="DH7" s="702"/>
      <c r="DI7" s="519" t="s">
        <v>370</v>
      </c>
      <c r="DJ7" s="701" t="s">
        <v>134</v>
      </c>
      <c r="DK7" s="702"/>
      <c r="DL7" s="519" t="s">
        <v>370</v>
      </c>
      <c r="DM7" s="701" t="s">
        <v>134</v>
      </c>
      <c r="DN7" s="702"/>
      <c r="DO7" s="519" t="s">
        <v>370</v>
      </c>
      <c r="DP7" s="701" t="s">
        <v>134</v>
      </c>
      <c r="DQ7" s="702"/>
      <c r="DR7" s="519" t="s">
        <v>370</v>
      </c>
      <c r="DS7" s="701" t="s">
        <v>134</v>
      </c>
      <c r="DT7" s="702"/>
      <c r="DU7" s="519" t="s">
        <v>370</v>
      </c>
      <c r="DV7" s="701" t="s">
        <v>134</v>
      </c>
      <c r="DW7" s="702"/>
      <c r="DX7" s="519" t="s">
        <v>370</v>
      </c>
      <c r="DY7" s="701" t="s">
        <v>134</v>
      </c>
      <c r="DZ7" s="702"/>
      <c r="EA7" s="519" t="s">
        <v>370</v>
      </c>
      <c r="EB7" s="701" t="s">
        <v>134</v>
      </c>
      <c r="EC7" s="702"/>
      <c r="ED7" s="519" t="s">
        <v>370</v>
      </c>
      <c r="EE7" s="701" t="s">
        <v>134</v>
      </c>
      <c r="EF7" s="702"/>
      <c r="EG7" s="519" t="s">
        <v>370</v>
      </c>
      <c r="EH7" s="701" t="s">
        <v>134</v>
      </c>
      <c r="EI7" s="702"/>
      <c r="EJ7" s="519" t="s">
        <v>370</v>
      </c>
      <c r="EK7" s="701" t="s">
        <v>134</v>
      </c>
      <c r="EL7" s="702"/>
      <c r="EM7" s="519" t="s">
        <v>370</v>
      </c>
      <c r="EN7" s="701" t="s">
        <v>134</v>
      </c>
      <c r="EO7" s="702"/>
      <c r="EP7" s="519" t="s">
        <v>370</v>
      </c>
      <c r="EQ7" s="701" t="s">
        <v>134</v>
      </c>
      <c r="ER7" s="702"/>
      <c r="ES7" s="519" t="s">
        <v>370</v>
      </c>
      <c r="ET7" s="701" t="s">
        <v>134</v>
      </c>
      <c r="EU7" s="702"/>
      <c r="EV7" s="519" t="s">
        <v>370</v>
      </c>
      <c r="EW7" s="701" t="s">
        <v>134</v>
      </c>
      <c r="EX7" s="702"/>
      <c r="EY7" s="519" t="s">
        <v>370</v>
      </c>
      <c r="EZ7" s="701" t="s">
        <v>134</v>
      </c>
      <c r="FA7" s="702"/>
      <c r="FB7" s="519" t="s">
        <v>370</v>
      </c>
      <c r="FC7" s="701" t="s">
        <v>134</v>
      </c>
      <c r="FD7" s="702"/>
      <c r="FE7" s="519" t="s">
        <v>370</v>
      </c>
      <c r="FF7" s="701" t="s">
        <v>134</v>
      </c>
      <c r="FG7" s="702"/>
      <c r="FH7" s="519" t="s">
        <v>370</v>
      </c>
      <c r="FI7" s="701" t="s">
        <v>134</v>
      </c>
      <c r="FJ7" s="702"/>
      <c r="FK7" s="519" t="s">
        <v>370</v>
      </c>
      <c r="FL7" s="701" t="s">
        <v>134</v>
      </c>
      <c r="FM7" s="702"/>
      <c r="FN7" s="519" t="s">
        <v>370</v>
      </c>
      <c r="FO7" s="701" t="s">
        <v>134</v>
      </c>
      <c r="FP7" s="702"/>
      <c r="FQ7" s="519" t="s">
        <v>370</v>
      </c>
      <c r="FR7" s="701" t="s">
        <v>134</v>
      </c>
      <c r="FS7" s="702"/>
      <c r="FT7" s="519" t="s">
        <v>370</v>
      </c>
      <c r="FU7" s="701" t="s">
        <v>134</v>
      </c>
      <c r="FV7" s="702"/>
      <c r="FW7" s="519" t="s">
        <v>370</v>
      </c>
      <c r="FX7" s="701" t="s">
        <v>134</v>
      </c>
      <c r="FY7" s="702"/>
      <c r="FZ7" s="519" t="s">
        <v>370</v>
      </c>
      <c r="GA7" s="701" t="s">
        <v>134</v>
      </c>
      <c r="GB7" s="702"/>
      <c r="GC7" s="519" t="s">
        <v>370</v>
      </c>
      <c r="GD7" s="701" t="s">
        <v>134</v>
      </c>
      <c r="GE7" s="702"/>
      <c r="GF7" s="519" t="s">
        <v>370</v>
      </c>
      <c r="GG7" s="701" t="s">
        <v>134</v>
      </c>
      <c r="GH7" s="702"/>
      <c r="GI7" s="519" t="s">
        <v>370</v>
      </c>
      <c r="GJ7" s="701" t="s">
        <v>134</v>
      </c>
      <c r="GK7" s="702"/>
      <c r="GL7" s="519" t="s">
        <v>370</v>
      </c>
      <c r="GM7" s="701" t="s">
        <v>134</v>
      </c>
      <c r="GN7" s="702"/>
      <c r="GO7" s="519" t="s">
        <v>370</v>
      </c>
      <c r="GP7" s="701" t="s">
        <v>134</v>
      </c>
      <c r="GQ7" s="702"/>
      <c r="GR7" s="519" t="s">
        <v>370</v>
      </c>
      <c r="GS7" s="701" t="s">
        <v>134</v>
      </c>
      <c r="GT7" s="702"/>
      <c r="GU7" s="519" t="s">
        <v>370</v>
      </c>
      <c r="GV7" s="701" t="s">
        <v>134</v>
      </c>
      <c r="GW7" s="702"/>
      <c r="GX7" s="519" t="s">
        <v>370</v>
      </c>
      <c r="GY7" s="701" t="s">
        <v>134</v>
      </c>
      <c r="GZ7" s="702"/>
      <c r="HA7" s="519" t="s">
        <v>370</v>
      </c>
      <c r="HB7" s="701" t="s">
        <v>134</v>
      </c>
      <c r="HC7" s="702"/>
      <c r="HD7" s="519" t="s">
        <v>370</v>
      </c>
      <c r="HE7" s="701" t="s">
        <v>134</v>
      </c>
      <c r="HF7" s="702"/>
      <c r="HG7" s="519" t="s">
        <v>370</v>
      </c>
      <c r="HH7" s="701" t="s">
        <v>134</v>
      </c>
      <c r="HI7" s="702"/>
      <c r="HJ7" s="519" t="s">
        <v>370</v>
      </c>
      <c r="HK7" s="701" t="s">
        <v>134</v>
      </c>
      <c r="HL7" s="702"/>
      <c r="HM7" s="519" t="s">
        <v>370</v>
      </c>
      <c r="HN7" s="701" t="s">
        <v>134</v>
      </c>
      <c r="HO7" s="702"/>
      <c r="HP7" s="519" t="s">
        <v>370</v>
      </c>
      <c r="HQ7" s="701" t="s">
        <v>134</v>
      </c>
      <c r="HR7" s="702"/>
      <c r="HS7" s="519" t="s">
        <v>370</v>
      </c>
      <c r="HT7" s="701" t="s">
        <v>134</v>
      </c>
      <c r="HU7" s="702"/>
      <c r="HV7" s="519" t="s">
        <v>370</v>
      </c>
      <c r="HW7" s="701" t="s">
        <v>134</v>
      </c>
      <c r="HX7" s="702"/>
      <c r="HY7" s="519" t="s">
        <v>370</v>
      </c>
      <c r="HZ7" s="701" t="s">
        <v>134</v>
      </c>
      <c r="IA7" s="702"/>
      <c r="IB7" s="519" t="s">
        <v>370</v>
      </c>
      <c r="IC7" s="701" t="s">
        <v>134</v>
      </c>
      <c r="ID7" s="702"/>
      <c r="IE7" s="519" t="s">
        <v>370</v>
      </c>
      <c r="IF7" s="701" t="s">
        <v>134</v>
      </c>
      <c r="IG7" s="702"/>
      <c r="IH7" s="519" t="s">
        <v>370</v>
      </c>
      <c r="II7" s="703" t="s">
        <v>134</v>
      </c>
      <c r="IJ7" s="703"/>
      <c r="IK7" s="520" t="s">
        <v>370</v>
      </c>
      <c r="IL7" s="701" t="s">
        <v>134</v>
      </c>
      <c r="IM7" s="702"/>
      <c r="IN7" s="519" t="s">
        <v>370</v>
      </c>
      <c r="IO7" s="701" t="s">
        <v>134</v>
      </c>
      <c r="IP7" s="702"/>
      <c r="IQ7" s="519" t="s">
        <v>370</v>
      </c>
      <c r="IR7" s="701" t="s">
        <v>134</v>
      </c>
      <c r="IS7" s="702"/>
      <c r="IT7" s="519" t="s">
        <v>370</v>
      </c>
      <c r="IU7" s="701" t="s">
        <v>134</v>
      </c>
      <c r="IV7" s="702"/>
      <c r="IW7" s="519" t="s">
        <v>370</v>
      </c>
      <c r="IX7" s="701" t="s">
        <v>134</v>
      </c>
      <c r="IY7" s="702"/>
      <c r="IZ7" s="519" t="s">
        <v>370</v>
      </c>
      <c r="JA7" s="701" t="s">
        <v>134</v>
      </c>
      <c r="JB7" s="702"/>
      <c r="JC7" s="519" t="s">
        <v>370</v>
      </c>
      <c r="JD7" s="701" t="s">
        <v>134</v>
      </c>
      <c r="JE7" s="702"/>
      <c r="JF7" s="519" t="s">
        <v>370</v>
      </c>
      <c r="JG7" s="701" t="s">
        <v>134</v>
      </c>
      <c r="JH7" s="702"/>
      <c r="JI7" s="519" t="s">
        <v>370</v>
      </c>
      <c r="JJ7" s="701" t="s">
        <v>134</v>
      </c>
      <c r="JK7" s="702"/>
      <c r="JL7" s="519" t="s">
        <v>370</v>
      </c>
      <c r="JM7" s="701" t="s">
        <v>134</v>
      </c>
      <c r="JN7" s="702"/>
      <c r="JO7" s="519" t="s">
        <v>370</v>
      </c>
      <c r="JP7" s="701" t="s">
        <v>134</v>
      </c>
      <c r="JQ7" s="702"/>
      <c r="JR7" s="519" t="s">
        <v>370</v>
      </c>
      <c r="JS7" s="701" t="s">
        <v>134</v>
      </c>
      <c r="JT7" s="702"/>
      <c r="JU7" s="519" t="s">
        <v>370</v>
      </c>
      <c r="JV7" s="701" t="s">
        <v>134</v>
      </c>
      <c r="JW7" s="702"/>
      <c r="JX7" s="519" t="s">
        <v>370</v>
      </c>
      <c r="JY7" s="701" t="s">
        <v>134</v>
      </c>
      <c r="JZ7" s="702"/>
      <c r="KA7" s="519" t="s">
        <v>370</v>
      </c>
      <c r="KB7" s="701" t="s">
        <v>134</v>
      </c>
      <c r="KC7" s="702"/>
      <c r="KD7" s="519" t="s">
        <v>370</v>
      </c>
      <c r="KE7" s="701" t="s">
        <v>134</v>
      </c>
      <c r="KF7" s="702"/>
      <c r="KG7" s="519" t="s">
        <v>370</v>
      </c>
      <c r="KH7" s="701" t="s">
        <v>134</v>
      </c>
      <c r="KI7" s="702"/>
      <c r="KJ7" s="519" t="s">
        <v>370</v>
      </c>
      <c r="KK7" s="701" t="s">
        <v>134</v>
      </c>
      <c r="KL7" s="702"/>
      <c r="KM7" s="519" t="s">
        <v>370</v>
      </c>
      <c r="KN7" s="701" t="s">
        <v>134</v>
      </c>
      <c r="KO7" s="702"/>
      <c r="KP7" s="519" t="s">
        <v>370</v>
      </c>
      <c r="KQ7" s="703" t="s">
        <v>134</v>
      </c>
      <c r="KR7" s="703"/>
      <c r="KS7" s="520" t="s">
        <v>370</v>
      </c>
      <c r="KT7" s="714"/>
      <c r="KU7" s="714"/>
    </row>
    <row r="8" spans="1:308" ht="13.5" thickBot="1">
      <c r="A8" s="717"/>
      <c r="B8" s="720"/>
      <c r="C8" s="720"/>
      <c r="D8" s="723"/>
      <c r="E8" s="726"/>
      <c r="F8" s="535" t="s">
        <v>136</v>
      </c>
      <c r="G8" s="535" t="s">
        <v>40</v>
      </c>
      <c r="H8" s="536"/>
      <c r="I8" s="535" t="s">
        <v>136</v>
      </c>
      <c r="J8" s="535" t="s">
        <v>40</v>
      </c>
      <c r="K8" s="536"/>
      <c r="L8" s="535" t="s">
        <v>136</v>
      </c>
      <c r="M8" s="535" t="s">
        <v>40</v>
      </c>
      <c r="N8" s="536"/>
      <c r="O8" s="535" t="s">
        <v>136</v>
      </c>
      <c r="P8" s="535" t="s">
        <v>40</v>
      </c>
      <c r="Q8" s="536"/>
      <c r="R8" s="535" t="s">
        <v>136</v>
      </c>
      <c r="S8" s="535" t="s">
        <v>40</v>
      </c>
      <c r="T8" s="536"/>
      <c r="U8" s="535" t="s">
        <v>136</v>
      </c>
      <c r="V8" s="535" t="s">
        <v>40</v>
      </c>
      <c r="W8" s="536"/>
      <c r="X8" s="535" t="s">
        <v>136</v>
      </c>
      <c r="Y8" s="535" t="s">
        <v>40</v>
      </c>
      <c r="Z8" s="536"/>
      <c r="AA8" s="535" t="s">
        <v>136</v>
      </c>
      <c r="AB8" s="535" t="s">
        <v>40</v>
      </c>
      <c r="AC8" s="536"/>
      <c r="AD8" s="535" t="s">
        <v>136</v>
      </c>
      <c r="AE8" s="535" t="s">
        <v>40</v>
      </c>
      <c r="AF8" s="536"/>
      <c r="AG8" s="535" t="s">
        <v>136</v>
      </c>
      <c r="AH8" s="535" t="s">
        <v>40</v>
      </c>
      <c r="AI8" s="536"/>
      <c r="AJ8" s="535" t="s">
        <v>136</v>
      </c>
      <c r="AK8" s="535" t="s">
        <v>40</v>
      </c>
      <c r="AL8" s="536"/>
      <c r="AM8" s="535" t="s">
        <v>136</v>
      </c>
      <c r="AN8" s="535" t="s">
        <v>40</v>
      </c>
      <c r="AO8" s="536"/>
      <c r="AP8" s="535" t="s">
        <v>136</v>
      </c>
      <c r="AQ8" s="535" t="s">
        <v>40</v>
      </c>
      <c r="AR8" s="536"/>
      <c r="AS8" s="535" t="s">
        <v>136</v>
      </c>
      <c r="AT8" s="535" t="s">
        <v>40</v>
      </c>
      <c r="AU8" s="536"/>
      <c r="AV8" s="535" t="s">
        <v>136</v>
      </c>
      <c r="AW8" s="535" t="s">
        <v>40</v>
      </c>
      <c r="AX8" s="536"/>
      <c r="AY8" s="535" t="s">
        <v>136</v>
      </c>
      <c r="AZ8" s="535" t="s">
        <v>40</v>
      </c>
      <c r="BA8" s="536"/>
      <c r="BB8" s="535" t="s">
        <v>136</v>
      </c>
      <c r="BC8" s="535" t="s">
        <v>40</v>
      </c>
      <c r="BD8" s="536"/>
      <c r="BE8" s="535" t="s">
        <v>136</v>
      </c>
      <c r="BF8" s="535" t="s">
        <v>40</v>
      </c>
      <c r="BG8" s="536"/>
      <c r="BH8" s="535" t="s">
        <v>136</v>
      </c>
      <c r="BI8" s="535" t="s">
        <v>40</v>
      </c>
      <c r="BJ8" s="536"/>
      <c r="BK8" s="535" t="s">
        <v>136</v>
      </c>
      <c r="BL8" s="535" t="s">
        <v>40</v>
      </c>
      <c r="BM8" s="536"/>
      <c r="BN8" s="535" t="s">
        <v>136</v>
      </c>
      <c r="BO8" s="535" t="s">
        <v>40</v>
      </c>
      <c r="BP8" s="536"/>
      <c r="BQ8" s="535" t="s">
        <v>136</v>
      </c>
      <c r="BR8" s="535" t="s">
        <v>40</v>
      </c>
      <c r="BS8" s="536"/>
      <c r="BT8" s="535" t="s">
        <v>136</v>
      </c>
      <c r="BU8" s="535" t="s">
        <v>40</v>
      </c>
      <c r="BV8" s="536"/>
      <c r="BW8" s="535" t="s">
        <v>136</v>
      </c>
      <c r="BX8" s="535" t="s">
        <v>40</v>
      </c>
      <c r="BY8" s="536"/>
      <c r="BZ8" s="535" t="s">
        <v>136</v>
      </c>
      <c r="CA8" s="535" t="s">
        <v>40</v>
      </c>
      <c r="CB8" s="536"/>
      <c r="CC8" s="535" t="s">
        <v>136</v>
      </c>
      <c r="CD8" s="535" t="s">
        <v>40</v>
      </c>
      <c r="CE8" s="536"/>
      <c r="CF8" s="535" t="s">
        <v>136</v>
      </c>
      <c r="CG8" s="535" t="s">
        <v>40</v>
      </c>
      <c r="CH8" s="536"/>
      <c r="CI8" s="535" t="s">
        <v>136</v>
      </c>
      <c r="CJ8" s="535" t="s">
        <v>40</v>
      </c>
      <c r="CK8" s="536"/>
      <c r="CL8" s="535" t="s">
        <v>136</v>
      </c>
      <c r="CM8" s="535" t="s">
        <v>40</v>
      </c>
      <c r="CN8" s="536"/>
      <c r="CO8" s="535" t="s">
        <v>136</v>
      </c>
      <c r="CP8" s="535" t="s">
        <v>40</v>
      </c>
      <c r="CQ8" s="536"/>
      <c r="CR8" s="535" t="s">
        <v>136</v>
      </c>
      <c r="CS8" s="535" t="s">
        <v>40</v>
      </c>
      <c r="CT8" s="536"/>
      <c r="CU8" s="535" t="s">
        <v>136</v>
      </c>
      <c r="CV8" s="535" t="s">
        <v>40</v>
      </c>
      <c r="CW8" s="536"/>
      <c r="CX8" s="535" t="s">
        <v>136</v>
      </c>
      <c r="CY8" s="535" t="s">
        <v>40</v>
      </c>
      <c r="CZ8" s="536"/>
      <c r="DA8" s="535" t="s">
        <v>136</v>
      </c>
      <c r="DB8" s="535" t="s">
        <v>40</v>
      </c>
      <c r="DC8" s="536"/>
      <c r="DD8" s="535" t="s">
        <v>136</v>
      </c>
      <c r="DE8" s="535" t="s">
        <v>40</v>
      </c>
      <c r="DF8" s="536"/>
      <c r="DG8" s="535" t="s">
        <v>136</v>
      </c>
      <c r="DH8" s="535" t="s">
        <v>40</v>
      </c>
      <c r="DI8" s="536"/>
      <c r="DJ8" s="535" t="s">
        <v>136</v>
      </c>
      <c r="DK8" s="535" t="s">
        <v>40</v>
      </c>
      <c r="DL8" s="536"/>
      <c r="DM8" s="535" t="s">
        <v>136</v>
      </c>
      <c r="DN8" s="535" t="s">
        <v>40</v>
      </c>
      <c r="DO8" s="536"/>
      <c r="DP8" s="535" t="s">
        <v>136</v>
      </c>
      <c r="DQ8" s="535" t="s">
        <v>40</v>
      </c>
      <c r="DR8" s="536"/>
      <c r="DS8" s="535" t="s">
        <v>136</v>
      </c>
      <c r="DT8" s="535" t="s">
        <v>40</v>
      </c>
      <c r="DU8" s="536"/>
      <c r="DV8" s="535" t="s">
        <v>136</v>
      </c>
      <c r="DW8" s="535" t="s">
        <v>40</v>
      </c>
      <c r="DX8" s="536"/>
      <c r="DY8" s="535" t="s">
        <v>136</v>
      </c>
      <c r="DZ8" s="535" t="s">
        <v>40</v>
      </c>
      <c r="EA8" s="536"/>
      <c r="EB8" s="535" t="s">
        <v>136</v>
      </c>
      <c r="EC8" s="535" t="s">
        <v>40</v>
      </c>
      <c r="ED8" s="519"/>
      <c r="EE8" s="535" t="s">
        <v>136</v>
      </c>
      <c r="EF8" s="535" t="s">
        <v>40</v>
      </c>
      <c r="EG8" s="536"/>
      <c r="EH8" s="535" t="s">
        <v>136</v>
      </c>
      <c r="EI8" s="535" t="s">
        <v>40</v>
      </c>
      <c r="EJ8" s="536"/>
      <c r="EK8" s="535" t="s">
        <v>136</v>
      </c>
      <c r="EL8" s="535" t="s">
        <v>40</v>
      </c>
      <c r="EM8" s="536"/>
      <c r="EN8" s="535" t="s">
        <v>136</v>
      </c>
      <c r="EO8" s="535" t="s">
        <v>40</v>
      </c>
      <c r="EP8" s="536"/>
      <c r="EQ8" s="535" t="s">
        <v>136</v>
      </c>
      <c r="ER8" s="535" t="s">
        <v>40</v>
      </c>
      <c r="ES8" s="536"/>
      <c r="ET8" s="535" t="s">
        <v>136</v>
      </c>
      <c r="EU8" s="535" t="s">
        <v>40</v>
      </c>
      <c r="EV8" s="536"/>
      <c r="EW8" s="535" t="s">
        <v>136</v>
      </c>
      <c r="EX8" s="535" t="s">
        <v>40</v>
      </c>
      <c r="EY8" s="536"/>
      <c r="EZ8" s="535" t="s">
        <v>136</v>
      </c>
      <c r="FA8" s="535" t="s">
        <v>40</v>
      </c>
      <c r="FB8" s="536"/>
      <c r="FC8" s="535" t="s">
        <v>136</v>
      </c>
      <c r="FD8" s="535" t="s">
        <v>40</v>
      </c>
      <c r="FE8" s="536"/>
      <c r="FF8" s="535" t="s">
        <v>136</v>
      </c>
      <c r="FG8" s="535" t="s">
        <v>40</v>
      </c>
      <c r="FH8" s="536"/>
      <c r="FI8" s="535" t="s">
        <v>136</v>
      </c>
      <c r="FJ8" s="535" t="s">
        <v>40</v>
      </c>
      <c r="FK8" s="536"/>
      <c r="FL8" s="535" t="s">
        <v>136</v>
      </c>
      <c r="FM8" s="535" t="s">
        <v>40</v>
      </c>
      <c r="FN8" s="536"/>
      <c r="FO8" s="535" t="s">
        <v>136</v>
      </c>
      <c r="FP8" s="535" t="s">
        <v>40</v>
      </c>
      <c r="FQ8" s="536"/>
      <c r="FR8" s="535" t="s">
        <v>136</v>
      </c>
      <c r="FS8" s="535" t="s">
        <v>40</v>
      </c>
      <c r="FT8" s="536"/>
      <c r="FU8" s="535" t="s">
        <v>136</v>
      </c>
      <c r="FV8" s="535" t="s">
        <v>40</v>
      </c>
      <c r="FW8" s="536"/>
      <c r="FX8" s="535" t="s">
        <v>136</v>
      </c>
      <c r="FY8" s="535" t="s">
        <v>40</v>
      </c>
      <c r="FZ8" s="536"/>
      <c r="GA8" s="535" t="s">
        <v>136</v>
      </c>
      <c r="GB8" s="535" t="s">
        <v>40</v>
      </c>
      <c r="GC8" s="536"/>
      <c r="GD8" s="535" t="s">
        <v>136</v>
      </c>
      <c r="GE8" s="535" t="s">
        <v>40</v>
      </c>
      <c r="GF8" s="536"/>
      <c r="GG8" s="535" t="s">
        <v>136</v>
      </c>
      <c r="GH8" s="535" t="s">
        <v>40</v>
      </c>
      <c r="GI8" s="536"/>
      <c r="GJ8" s="535" t="s">
        <v>136</v>
      </c>
      <c r="GK8" s="535" t="s">
        <v>40</v>
      </c>
      <c r="GL8" s="536"/>
      <c r="GM8" s="535" t="s">
        <v>136</v>
      </c>
      <c r="GN8" s="535" t="s">
        <v>40</v>
      </c>
      <c r="GO8" s="536"/>
      <c r="GP8" s="535" t="s">
        <v>136</v>
      </c>
      <c r="GQ8" s="535" t="s">
        <v>40</v>
      </c>
      <c r="GR8" s="536"/>
      <c r="GS8" s="535" t="s">
        <v>136</v>
      </c>
      <c r="GT8" s="535" t="s">
        <v>40</v>
      </c>
      <c r="GU8" s="536"/>
      <c r="GV8" s="535" t="s">
        <v>136</v>
      </c>
      <c r="GW8" s="535" t="s">
        <v>40</v>
      </c>
      <c r="GX8" s="536"/>
      <c r="GY8" s="535" t="s">
        <v>136</v>
      </c>
      <c r="GZ8" s="535" t="s">
        <v>40</v>
      </c>
      <c r="HA8" s="536"/>
      <c r="HB8" s="535" t="s">
        <v>136</v>
      </c>
      <c r="HC8" s="535" t="s">
        <v>40</v>
      </c>
      <c r="HD8" s="536"/>
      <c r="HE8" s="535" t="s">
        <v>136</v>
      </c>
      <c r="HF8" s="535" t="s">
        <v>40</v>
      </c>
      <c r="HG8" s="536"/>
      <c r="HH8" s="535" t="s">
        <v>136</v>
      </c>
      <c r="HI8" s="535" t="s">
        <v>40</v>
      </c>
      <c r="HJ8" s="536"/>
      <c r="HK8" s="535" t="s">
        <v>136</v>
      </c>
      <c r="HL8" s="535" t="s">
        <v>40</v>
      </c>
      <c r="HM8" s="536"/>
      <c r="HN8" s="535" t="s">
        <v>136</v>
      </c>
      <c r="HO8" s="535" t="s">
        <v>40</v>
      </c>
      <c r="HP8" s="536"/>
      <c r="HQ8" s="535" t="s">
        <v>136</v>
      </c>
      <c r="HR8" s="535" t="s">
        <v>40</v>
      </c>
      <c r="HS8" s="536"/>
      <c r="HT8" s="535" t="s">
        <v>136</v>
      </c>
      <c r="HU8" s="535" t="s">
        <v>40</v>
      </c>
      <c r="HV8" s="536"/>
      <c r="HW8" s="535" t="s">
        <v>136</v>
      </c>
      <c r="HX8" s="535" t="s">
        <v>40</v>
      </c>
      <c r="HY8" s="536"/>
      <c r="HZ8" s="535" t="s">
        <v>136</v>
      </c>
      <c r="IA8" s="535" t="s">
        <v>40</v>
      </c>
      <c r="IB8" s="536"/>
      <c r="IC8" s="535" t="s">
        <v>136</v>
      </c>
      <c r="ID8" s="535" t="s">
        <v>40</v>
      </c>
      <c r="IE8" s="536"/>
      <c r="IF8" s="535" t="s">
        <v>136</v>
      </c>
      <c r="IG8" s="535" t="s">
        <v>40</v>
      </c>
      <c r="IH8" s="536"/>
      <c r="II8" s="535" t="s">
        <v>136</v>
      </c>
      <c r="IJ8" s="535" t="s">
        <v>40</v>
      </c>
      <c r="IK8" s="536"/>
      <c r="IL8" s="535" t="s">
        <v>136</v>
      </c>
      <c r="IM8" s="535" t="s">
        <v>40</v>
      </c>
      <c r="IN8" s="536"/>
      <c r="IO8" s="535" t="s">
        <v>136</v>
      </c>
      <c r="IP8" s="535" t="s">
        <v>40</v>
      </c>
      <c r="IQ8" s="536"/>
      <c r="IR8" s="535" t="s">
        <v>136</v>
      </c>
      <c r="IS8" s="535" t="s">
        <v>40</v>
      </c>
      <c r="IT8" s="536"/>
      <c r="IU8" s="535" t="s">
        <v>136</v>
      </c>
      <c r="IV8" s="535" t="s">
        <v>40</v>
      </c>
      <c r="IW8" s="536"/>
      <c r="IX8" s="535" t="s">
        <v>136</v>
      </c>
      <c r="IY8" s="535" t="s">
        <v>40</v>
      </c>
      <c r="IZ8" s="536"/>
      <c r="JA8" s="535" t="s">
        <v>136</v>
      </c>
      <c r="JB8" s="535" t="s">
        <v>40</v>
      </c>
      <c r="JC8" s="536"/>
      <c r="JD8" s="535" t="s">
        <v>136</v>
      </c>
      <c r="JE8" s="535" t="s">
        <v>40</v>
      </c>
      <c r="JF8" s="536"/>
      <c r="JG8" s="535" t="s">
        <v>136</v>
      </c>
      <c r="JH8" s="535" t="s">
        <v>40</v>
      </c>
      <c r="JI8" s="536"/>
      <c r="JJ8" s="535" t="s">
        <v>136</v>
      </c>
      <c r="JK8" s="535" t="s">
        <v>40</v>
      </c>
      <c r="JL8" s="536" t="s">
        <v>383</v>
      </c>
      <c r="JM8" s="535" t="s">
        <v>136</v>
      </c>
      <c r="JN8" s="535" t="s">
        <v>40</v>
      </c>
      <c r="JO8" s="536" t="s">
        <v>383</v>
      </c>
      <c r="JP8" s="535" t="s">
        <v>136</v>
      </c>
      <c r="JQ8" s="535" t="s">
        <v>40</v>
      </c>
      <c r="JR8" s="536" t="s">
        <v>383</v>
      </c>
      <c r="JS8" s="535" t="s">
        <v>136</v>
      </c>
      <c r="JT8" s="535" t="s">
        <v>40</v>
      </c>
      <c r="JU8" s="536" t="s">
        <v>383</v>
      </c>
      <c r="JV8" s="535" t="s">
        <v>136</v>
      </c>
      <c r="JW8" s="535" t="s">
        <v>40</v>
      </c>
      <c r="JX8" s="536" t="s">
        <v>383</v>
      </c>
      <c r="JY8" s="535" t="s">
        <v>136</v>
      </c>
      <c r="JZ8" s="535" t="s">
        <v>40</v>
      </c>
      <c r="KA8" s="536" t="s">
        <v>383</v>
      </c>
      <c r="KB8" s="535" t="s">
        <v>136</v>
      </c>
      <c r="KC8" s="535" t="s">
        <v>40</v>
      </c>
      <c r="KD8" s="536" t="s">
        <v>383</v>
      </c>
      <c r="KE8" s="535" t="s">
        <v>136</v>
      </c>
      <c r="KF8" s="535" t="s">
        <v>40</v>
      </c>
      <c r="KG8" s="536" t="s">
        <v>383</v>
      </c>
      <c r="KH8" s="535" t="s">
        <v>136</v>
      </c>
      <c r="KI8" s="535" t="s">
        <v>40</v>
      </c>
      <c r="KJ8" s="536" t="s">
        <v>383</v>
      </c>
      <c r="KK8" s="535" t="s">
        <v>136</v>
      </c>
      <c r="KL8" s="535" t="s">
        <v>40</v>
      </c>
      <c r="KM8" s="536" t="s">
        <v>383</v>
      </c>
      <c r="KN8" s="535" t="s">
        <v>136</v>
      </c>
      <c r="KO8" s="535" t="s">
        <v>40</v>
      </c>
      <c r="KP8" s="536" t="s">
        <v>383</v>
      </c>
      <c r="KQ8" s="535" t="s">
        <v>136</v>
      </c>
      <c r="KR8" s="535" t="s">
        <v>40</v>
      </c>
      <c r="KS8" s="536" t="s">
        <v>383</v>
      </c>
      <c r="KT8" s="714"/>
      <c r="KU8" s="714"/>
    </row>
    <row r="9" spans="1:308">
      <c r="A9" s="262">
        <f>+Report1!A9</f>
        <v>46082</v>
      </c>
      <c r="B9" s="263" t="str">
        <f>+Report1!B9</f>
        <v>Facial</v>
      </c>
      <c r="C9" s="263" t="str">
        <f>+Report1!C9</f>
        <v>12</v>
      </c>
      <c r="D9" s="264">
        <f>+Report1!P9</f>
        <v>36.384999999999998</v>
      </c>
      <c r="E9" s="556">
        <f>+Report1!R9</f>
        <v>36.905999999999999</v>
      </c>
      <c r="F9" s="521"/>
      <c r="G9" s="522">
        <f t="shared" ref="G9:G39" si="0">+F9/$E9</f>
        <v>0</v>
      </c>
      <c r="H9" s="523">
        <f>+F9*$H$8</f>
        <v>0</v>
      </c>
      <c r="I9" s="521">
        <v>242.12760000000003</v>
      </c>
      <c r="J9" s="522">
        <f t="shared" ref="J9:J39" si="1">+I9/$E9</f>
        <v>6.5606568037717459</v>
      </c>
      <c r="K9" s="523">
        <f>+I9*$H$8</f>
        <v>0</v>
      </c>
      <c r="L9" s="521"/>
      <c r="M9" s="522">
        <f t="shared" ref="M9:M39" si="2">+L9/$E9</f>
        <v>0</v>
      </c>
      <c r="N9" s="523">
        <f>+L9*$H$8</f>
        <v>0</v>
      </c>
      <c r="O9" s="521">
        <v>5.6840000000000117</v>
      </c>
      <c r="P9" s="522">
        <f t="shared" ref="P9:P39" si="3">+O9/$E9</f>
        <v>0.15401289763182172</v>
      </c>
      <c r="Q9" s="523">
        <f>+O9*$H$8</f>
        <v>0</v>
      </c>
      <c r="R9" s="521"/>
      <c r="S9" s="522">
        <f t="shared" ref="S9:S39" si="4">+R9/$E9</f>
        <v>0</v>
      </c>
      <c r="T9" s="523">
        <f>+R9*$H$8</f>
        <v>0</v>
      </c>
      <c r="U9" s="521">
        <v>7.2718000000000131</v>
      </c>
      <c r="V9" s="522">
        <f t="shared" ref="V9:V39" si="5">+U9/$E9</f>
        <v>0.19703571235029571</v>
      </c>
      <c r="W9" s="523">
        <f>+U9*$H$8</f>
        <v>0</v>
      </c>
      <c r="X9" s="521"/>
      <c r="Y9" s="522">
        <f t="shared" ref="Y9:Y39" si="6">+X9/$E9</f>
        <v>0</v>
      </c>
      <c r="Z9" s="523">
        <f>+X9*$H$8</f>
        <v>0</v>
      </c>
      <c r="AA9" s="521">
        <v>5.4687500000000071</v>
      </c>
      <c r="AB9" s="522">
        <f t="shared" ref="AB9:AB39" si="7">+AA9/$E9</f>
        <v>0.14818051265376922</v>
      </c>
      <c r="AC9" s="523">
        <f>+AA9*$H$8</f>
        <v>0</v>
      </c>
      <c r="AD9" s="521"/>
      <c r="AE9" s="522">
        <f t="shared" ref="AE9:AE39" si="8">+AD9/$E9</f>
        <v>0</v>
      </c>
      <c r="AF9" s="523">
        <f>+AD9*$H$8</f>
        <v>0</v>
      </c>
      <c r="AG9" s="521"/>
      <c r="AH9" s="522">
        <f t="shared" ref="AH9:AH39" si="9">+AG9/$E9</f>
        <v>0</v>
      </c>
      <c r="AI9" s="523">
        <f>+AG9*$H$8</f>
        <v>0</v>
      </c>
      <c r="AJ9" s="521"/>
      <c r="AK9" s="522">
        <f t="shared" ref="AK9:AK39" si="10">+AJ9/$E9</f>
        <v>0</v>
      </c>
      <c r="AL9" s="523">
        <f>+AJ9*$H$8</f>
        <v>0</v>
      </c>
      <c r="AM9" s="521"/>
      <c r="AN9" s="522">
        <f t="shared" ref="AN9:AN39" si="11">+AM9/$E9</f>
        <v>0</v>
      </c>
      <c r="AO9" s="523">
        <f>+AM9*$H$8</f>
        <v>0</v>
      </c>
      <c r="AP9" s="521"/>
      <c r="AQ9" s="522">
        <f t="shared" ref="AQ9:AQ39" si="12">+AP9/$E9</f>
        <v>0</v>
      </c>
      <c r="AR9" s="523">
        <f>+AP9*$H$8</f>
        <v>0</v>
      </c>
      <c r="AS9" s="521"/>
      <c r="AT9" s="522">
        <f t="shared" ref="AT9:AT39" si="13">+AS9/$E9</f>
        <v>0</v>
      </c>
      <c r="AU9" s="523">
        <f>+AS9*$H$8</f>
        <v>0</v>
      </c>
      <c r="AV9" s="521"/>
      <c r="AW9" s="522">
        <f t="shared" ref="AW9:AW39" si="14">+AV9/$E9</f>
        <v>0</v>
      </c>
      <c r="AX9" s="523">
        <f>+AV9*$H$8</f>
        <v>0</v>
      </c>
      <c r="AY9" s="521"/>
      <c r="AZ9" s="522">
        <f t="shared" ref="AZ9:AZ39" si="15">+AY9/$E9</f>
        <v>0</v>
      </c>
      <c r="BA9" s="523">
        <f>+AY9*$H$8</f>
        <v>0</v>
      </c>
      <c r="BB9" s="521"/>
      <c r="BC9" s="522">
        <f t="shared" ref="BC9:BC39" si="16">+BB9/$E9</f>
        <v>0</v>
      </c>
      <c r="BD9" s="523">
        <f>+BB9*$H$8</f>
        <v>0</v>
      </c>
      <c r="BE9" s="521"/>
      <c r="BF9" s="522">
        <f t="shared" ref="BF9:BF39" si="17">+BE9/$E9</f>
        <v>0</v>
      </c>
      <c r="BG9" s="523">
        <f>+BE9*$H$8</f>
        <v>0</v>
      </c>
      <c r="BH9" s="521"/>
      <c r="BI9" s="522">
        <f t="shared" ref="BI9:BI39" si="18">+BH9/$E9</f>
        <v>0</v>
      </c>
      <c r="BJ9" s="523">
        <f>+BH9*$H$8</f>
        <v>0</v>
      </c>
      <c r="BK9" s="521"/>
      <c r="BL9" s="522">
        <f t="shared" ref="BL9:BL39" si="19">+BK9/$E9</f>
        <v>0</v>
      </c>
      <c r="BM9" s="523">
        <f>+BK9*$H$8</f>
        <v>0</v>
      </c>
      <c r="BN9" s="521"/>
      <c r="BO9" s="522">
        <f t="shared" ref="BO9:BO39" si="20">+BN9/$E9</f>
        <v>0</v>
      </c>
      <c r="BP9" s="523">
        <f>+BN9*$H$8</f>
        <v>0</v>
      </c>
      <c r="BQ9" s="521"/>
      <c r="BR9" s="522">
        <f t="shared" ref="BR9:BR39" si="21">+BQ9/$E9</f>
        <v>0</v>
      </c>
      <c r="BS9" s="523">
        <f>+BQ9*$H$8</f>
        <v>0</v>
      </c>
      <c r="BT9" s="521"/>
      <c r="BU9" s="522">
        <f t="shared" ref="BU9:BU39" si="22">+BT9/$E9</f>
        <v>0</v>
      </c>
      <c r="BV9" s="523">
        <f>+BT9*$H$8</f>
        <v>0</v>
      </c>
      <c r="BW9" s="521"/>
      <c r="BX9" s="522">
        <f t="shared" ref="BX9:BX39" si="23">+BW9/$E9</f>
        <v>0</v>
      </c>
      <c r="BY9" s="523">
        <f>+BW9*$H$8</f>
        <v>0</v>
      </c>
      <c r="BZ9" s="521"/>
      <c r="CA9" s="522">
        <f t="shared" ref="CA9:CA39" si="24">+BZ9/$E9</f>
        <v>0</v>
      </c>
      <c r="CB9" s="523">
        <f>+BZ9*$H$8</f>
        <v>0</v>
      </c>
      <c r="CC9" s="521"/>
      <c r="CD9" s="522">
        <f t="shared" ref="CD9:CD39" si="25">+CC9/$E9</f>
        <v>0</v>
      </c>
      <c r="CE9" s="523">
        <f>+CC9*$H$8</f>
        <v>0</v>
      </c>
      <c r="CF9" s="521">
        <v>0.5</v>
      </c>
      <c r="CG9" s="522">
        <f t="shared" ref="CG9:CG39" si="26">+CF9/$E9</f>
        <v>1.3547932585487456E-2</v>
      </c>
      <c r="CH9" s="523">
        <f>+CF9*$H$8</f>
        <v>0</v>
      </c>
      <c r="CI9" s="521"/>
      <c r="CJ9" s="522">
        <f t="shared" ref="CJ9:CJ39" si="27">+CI9/$E9</f>
        <v>0</v>
      </c>
      <c r="CK9" s="523">
        <f>+CI9*$H$8</f>
        <v>0</v>
      </c>
      <c r="CL9" s="521"/>
      <c r="CM9" s="522">
        <f t="shared" ref="CM9:CM39" si="28">+CL9/$E9</f>
        <v>0</v>
      </c>
      <c r="CN9" s="523">
        <f>+CL9*$H$8</f>
        <v>0</v>
      </c>
      <c r="CO9" s="521"/>
      <c r="CP9" s="522">
        <f t="shared" ref="CP9:CP39" si="29">+CO9/$E9</f>
        <v>0</v>
      </c>
      <c r="CQ9" s="523">
        <f>+CO9*$H$8</f>
        <v>0</v>
      </c>
      <c r="CR9" s="521"/>
      <c r="CS9" s="522">
        <f t="shared" ref="CS9:CS39" si="30">+CR9/$E9</f>
        <v>0</v>
      </c>
      <c r="CT9" s="523">
        <f>+CR9*$H$8</f>
        <v>0</v>
      </c>
      <c r="CU9" s="521"/>
      <c r="CV9" s="522">
        <f t="shared" ref="CV9:CV39" si="31">+CU9/$E9</f>
        <v>0</v>
      </c>
      <c r="CW9" s="523">
        <f>+CU9*$H$8</f>
        <v>0</v>
      </c>
      <c r="CX9" s="521"/>
      <c r="CY9" s="522">
        <f t="shared" ref="CY9:CY39" si="32">+CX9/$E9</f>
        <v>0</v>
      </c>
      <c r="CZ9" s="523">
        <f>+CX9*$H$8</f>
        <v>0</v>
      </c>
      <c r="DA9" s="521"/>
      <c r="DB9" s="522">
        <f t="shared" ref="DB9:DB39" si="33">+DA9/$E9</f>
        <v>0</v>
      </c>
      <c r="DC9" s="523">
        <f>+DA9*$H$8</f>
        <v>0</v>
      </c>
      <c r="DD9" s="521"/>
      <c r="DE9" s="522">
        <f t="shared" ref="DE9:DE39" si="34">+DD9/$E9</f>
        <v>0</v>
      </c>
      <c r="DF9" s="523">
        <f>+DD9*$H$8</f>
        <v>0</v>
      </c>
      <c r="DG9" s="521"/>
      <c r="DH9" s="522">
        <f t="shared" ref="DH9:DH39" si="35">+DG9/$E9</f>
        <v>0</v>
      </c>
      <c r="DI9" s="523">
        <v>0</v>
      </c>
      <c r="DJ9" s="521"/>
      <c r="DK9" s="522">
        <f t="shared" ref="DK9:DK39" si="36">+DJ9/$E9</f>
        <v>0</v>
      </c>
      <c r="DL9" s="523">
        <f>+DJ9*$H$8</f>
        <v>0</v>
      </c>
      <c r="DM9" s="521"/>
      <c r="DN9" s="522">
        <f t="shared" ref="DN9:DN39" si="37">+DM9/$E9</f>
        <v>0</v>
      </c>
      <c r="DO9" s="523">
        <f>+DM9*$H$8</f>
        <v>0</v>
      </c>
      <c r="DP9" s="521"/>
      <c r="DQ9" s="522">
        <f t="shared" ref="DQ9:DQ39" si="38">+DP9/$E9</f>
        <v>0</v>
      </c>
      <c r="DR9" s="523">
        <f>+DP9*$H$8</f>
        <v>0</v>
      </c>
      <c r="DS9" s="521"/>
      <c r="DT9" s="522">
        <f t="shared" ref="DT9:DT39" si="39">+DS9/$E9</f>
        <v>0</v>
      </c>
      <c r="DU9" s="523">
        <f>+DS9*$H$8</f>
        <v>0</v>
      </c>
      <c r="DV9" s="521"/>
      <c r="DW9" s="522">
        <f t="shared" ref="DW9:DW39" si="40">+DV9/$E9</f>
        <v>0</v>
      </c>
      <c r="DX9" s="523">
        <f>+DV9*$H$8</f>
        <v>0</v>
      </c>
      <c r="DY9" s="521"/>
      <c r="DZ9" s="522">
        <f t="shared" ref="DZ9:DZ39" si="41">+DY9/$E9</f>
        <v>0</v>
      </c>
      <c r="EA9" s="523">
        <f>+DY9*$H$8</f>
        <v>0</v>
      </c>
      <c r="EB9" s="521"/>
      <c r="EC9" s="522">
        <f t="shared" ref="EC9:EC39" si="42">+EB9/$E9</f>
        <v>0</v>
      </c>
      <c r="ED9" s="523">
        <f>+EB9*$H$8</f>
        <v>0</v>
      </c>
      <c r="EE9" s="521">
        <v>21.802325581395351</v>
      </c>
      <c r="EF9" s="522">
        <f t="shared" ref="EF9:EF39" si="43">+EE9/$E9</f>
        <v>0.5907528743671856</v>
      </c>
      <c r="EG9" s="523">
        <f>+EE9*$H$8</f>
        <v>0</v>
      </c>
      <c r="EH9" s="521">
        <v>3</v>
      </c>
      <c r="EI9" s="522">
        <f t="shared" ref="EI9:EI39" si="44">+EH9/$E9</f>
        <v>8.1287595512924735E-2</v>
      </c>
      <c r="EJ9" s="523">
        <f>+EH9*$H$8</f>
        <v>0</v>
      </c>
      <c r="EK9" s="521">
        <v>31.74076500000001</v>
      </c>
      <c r="EL9" s="522">
        <f t="shared" ref="EL9:EL39" si="45">+EK9/$E9</f>
        <v>0.86004348886359971</v>
      </c>
      <c r="EM9" s="523">
        <f>+EK9*$H$8</f>
        <v>0</v>
      </c>
      <c r="EN9" s="521">
        <v>42.100500000000011</v>
      </c>
      <c r="EO9" s="522">
        <f t="shared" ref="EO9:EO39" si="46">+EN9/$E9</f>
        <v>1.1407494716306295</v>
      </c>
      <c r="EP9" s="523">
        <f>+EN9*$H$8</f>
        <v>0</v>
      </c>
      <c r="EQ9" s="521">
        <v>61.120000000000005</v>
      </c>
      <c r="ER9" s="522">
        <f t="shared" ref="ER9:ER39" si="47">+EQ9/$E9</f>
        <v>1.6560992792499867</v>
      </c>
      <c r="ES9" s="523">
        <f>+EQ9*$H$8</f>
        <v>0</v>
      </c>
      <c r="ET9" s="521"/>
      <c r="EU9" s="522">
        <f t="shared" ref="EU9:EU39" si="48">+ET9/$E9</f>
        <v>0</v>
      </c>
      <c r="EV9" s="523">
        <f>+ET9*$H$8</f>
        <v>0</v>
      </c>
      <c r="EW9" s="521"/>
      <c r="EX9" s="522">
        <f t="shared" ref="EX9:EX39" si="49">+EW9/$E9</f>
        <v>0</v>
      </c>
      <c r="EY9" s="523">
        <f>+EW9*$H$8</f>
        <v>0</v>
      </c>
      <c r="EZ9" s="521"/>
      <c r="FA9" s="522">
        <f t="shared" ref="FA9:FA39" si="50">+EZ9/$E9</f>
        <v>0</v>
      </c>
      <c r="FB9" s="523">
        <f>+EZ9*$H$8</f>
        <v>0</v>
      </c>
      <c r="FC9" s="521"/>
      <c r="FD9" s="522">
        <f t="shared" ref="FD9:FD39" si="51">+FC9/$E9</f>
        <v>0</v>
      </c>
      <c r="FE9" s="523">
        <f>+FC9*$H$8</f>
        <v>0</v>
      </c>
      <c r="FF9" s="521"/>
      <c r="FG9" s="522">
        <f t="shared" ref="FG9:FG39" si="52">+FF9/$E9</f>
        <v>0</v>
      </c>
      <c r="FH9" s="523">
        <f>+FF9*$H$8</f>
        <v>0</v>
      </c>
      <c r="FI9" s="521"/>
      <c r="FJ9" s="522">
        <f t="shared" ref="FJ9:FJ39" si="53">+FI9/$E9</f>
        <v>0</v>
      </c>
      <c r="FK9" s="523">
        <f>+FI9*$H$8</f>
        <v>0</v>
      </c>
      <c r="FL9" s="521"/>
      <c r="FM9" s="522">
        <f t="shared" ref="FM9:FM39" si="54">+FL9/$E9</f>
        <v>0</v>
      </c>
      <c r="FN9" s="523">
        <f>+FL9*$H$8</f>
        <v>0</v>
      </c>
      <c r="FO9" s="521"/>
      <c r="FP9" s="522">
        <f t="shared" ref="FP9:FP39" si="55">+FO9/$E9</f>
        <v>0</v>
      </c>
      <c r="FQ9" s="523">
        <f>+FO9*$H$8</f>
        <v>0</v>
      </c>
      <c r="FR9" s="521"/>
      <c r="FS9" s="522">
        <f t="shared" ref="FS9:FS39" si="56">+FR9/$E9</f>
        <v>0</v>
      </c>
      <c r="FT9" s="523">
        <f>+FR9*$H$8</f>
        <v>0</v>
      </c>
      <c r="FU9" s="521"/>
      <c r="FV9" s="522">
        <f t="shared" ref="FV9:FV39" si="57">+FU9/$E9</f>
        <v>0</v>
      </c>
      <c r="FW9" s="523">
        <f>+FU9*$H$8</f>
        <v>0</v>
      </c>
      <c r="FX9" s="521"/>
      <c r="FY9" s="522">
        <f t="shared" ref="FY9:FY39" si="58">+FX9/$E9</f>
        <v>0</v>
      </c>
      <c r="FZ9" s="523">
        <f>+FX9*$H$8</f>
        <v>0</v>
      </c>
      <c r="GA9" s="521"/>
      <c r="GB9" s="522">
        <f t="shared" ref="GB9:GB39" si="59">+GA9/$E9</f>
        <v>0</v>
      </c>
      <c r="GC9" s="523">
        <f>+GA9*$H$8</f>
        <v>0</v>
      </c>
      <c r="GD9" s="521"/>
      <c r="GE9" s="522">
        <f t="shared" ref="GE9:GE39" si="60">+GD9/$E9</f>
        <v>0</v>
      </c>
      <c r="GF9" s="523">
        <f>+GD9*$H$8</f>
        <v>0</v>
      </c>
      <c r="GG9" s="521"/>
      <c r="GH9" s="522">
        <f t="shared" ref="GH9:GH39" si="61">+GG9/$E9</f>
        <v>0</v>
      </c>
      <c r="GI9" s="523">
        <f>+GG9*$H$8</f>
        <v>0</v>
      </c>
      <c r="GJ9" s="521"/>
      <c r="GK9" s="522">
        <f t="shared" ref="GK9:GK39" si="62">+GJ9/$E9</f>
        <v>0</v>
      </c>
      <c r="GL9" s="523">
        <f>+GJ9*$H$8</f>
        <v>0</v>
      </c>
      <c r="GM9" s="521"/>
      <c r="GN9" s="522">
        <f t="shared" ref="GN9:GN39" si="63">+GM9/$E9</f>
        <v>0</v>
      </c>
      <c r="GO9" s="523">
        <f>+GM9*$H$8</f>
        <v>0</v>
      </c>
      <c r="GP9" s="521"/>
      <c r="GQ9" s="522">
        <f t="shared" ref="GQ9:GQ39" si="64">+GP9/$E9</f>
        <v>0</v>
      </c>
      <c r="GR9" s="523">
        <f>+GP9*$H$8</f>
        <v>0</v>
      </c>
      <c r="GS9" s="521"/>
      <c r="GT9" s="522">
        <f t="shared" ref="GT9:GT39" si="65">+GS9/$E9</f>
        <v>0</v>
      </c>
      <c r="GU9" s="523">
        <f>+GS9*$H$8</f>
        <v>0</v>
      </c>
      <c r="GV9" s="521"/>
      <c r="GW9" s="522">
        <f t="shared" ref="GW9:GW39" si="66">+GV9/$E9</f>
        <v>0</v>
      </c>
      <c r="GX9" s="523">
        <f>+GV9*$H$8</f>
        <v>0</v>
      </c>
      <c r="GY9" s="521"/>
      <c r="GZ9" s="522">
        <f t="shared" ref="GZ9:GZ39" si="67">+GY9/$E9</f>
        <v>0</v>
      </c>
      <c r="HA9" s="523">
        <f>+GY9*$H$8</f>
        <v>0</v>
      </c>
      <c r="HB9" s="521"/>
      <c r="HC9" s="522">
        <f t="shared" ref="HC9:HC39" si="68">+HB9/$E9</f>
        <v>0</v>
      </c>
      <c r="HD9" s="523">
        <f>+HB9*$H$8</f>
        <v>0</v>
      </c>
      <c r="HE9" s="521"/>
      <c r="HF9" s="522">
        <f t="shared" ref="HF9:HF39" si="69">+HE9/$E9</f>
        <v>0</v>
      </c>
      <c r="HG9" s="523">
        <f>+HE9*$H$8</f>
        <v>0</v>
      </c>
      <c r="HH9" s="521"/>
      <c r="HI9" s="522">
        <f t="shared" ref="HI9:HI39" si="70">+HH9/$E9</f>
        <v>0</v>
      </c>
      <c r="HJ9" s="523">
        <f>+HH9*$H$8</f>
        <v>0</v>
      </c>
      <c r="HK9" s="521"/>
      <c r="HL9" s="522">
        <f t="shared" ref="HL9:HL39" si="71">+HK9/$E9</f>
        <v>0</v>
      </c>
      <c r="HM9" s="523">
        <f>+HK9*$H$8</f>
        <v>0</v>
      </c>
      <c r="HN9" s="521"/>
      <c r="HO9" s="522">
        <f t="shared" ref="HO9:HO39" si="72">+HN9/$E9</f>
        <v>0</v>
      </c>
      <c r="HP9" s="523">
        <f>+HN9*$H$8</f>
        <v>0</v>
      </c>
      <c r="HQ9" s="521"/>
      <c r="HR9" s="522">
        <f t="shared" ref="HR9:HR39" si="73">+HQ9/$E9</f>
        <v>0</v>
      </c>
      <c r="HS9" s="523">
        <f>+HQ9*$H$8</f>
        <v>0</v>
      </c>
      <c r="HT9" s="521"/>
      <c r="HU9" s="522">
        <f t="shared" ref="HU9:HU39" si="74">+HT9/$E9</f>
        <v>0</v>
      </c>
      <c r="HV9" s="523">
        <f>+HT9*$H$8</f>
        <v>0</v>
      </c>
      <c r="HW9" s="521"/>
      <c r="HX9" s="522">
        <f t="shared" ref="HX9:HX39" si="75">+HW9/$E9</f>
        <v>0</v>
      </c>
      <c r="HY9" s="523">
        <f>+HW9*$H$8</f>
        <v>0</v>
      </c>
      <c r="HZ9" s="521"/>
      <c r="IA9" s="522">
        <f t="shared" ref="IA9:IA39" si="76">+HZ9/$E9</f>
        <v>0</v>
      </c>
      <c r="IB9" s="523">
        <f>+HZ9*$H$8</f>
        <v>0</v>
      </c>
      <c r="IC9" s="521"/>
      <c r="ID9" s="522">
        <f t="shared" ref="ID9:ID39" si="77">+IC9/$E9</f>
        <v>0</v>
      </c>
      <c r="IE9" s="523">
        <f>+IC9*$H$8</f>
        <v>0</v>
      </c>
      <c r="IF9" s="521"/>
      <c r="IG9" s="522">
        <f t="shared" ref="IG9:IG39" si="78">+IF9/$E9</f>
        <v>0</v>
      </c>
      <c r="IH9" s="523">
        <f>+IF9*$H$8</f>
        <v>0</v>
      </c>
      <c r="II9" s="521"/>
      <c r="IJ9" s="522">
        <f t="shared" ref="IJ9:IJ39" si="79">+II9/$E9</f>
        <v>0</v>
      </c>
      <c r="IK9" s="523">
        <f>+II9*$H$8</f>
        <v>0</v>
      </c>
      <c r="IL9" s="521"/>
      <c r="IM9" s="522">
        <f t="shared" ref="IM9:IM39" si="80">+IL9/$E9</f>
        <v>0</v>
      </c>
      <c r="IN9" s="523">
        <f>+IL9*$H$8</f>
        <v>0</v>
      </c>
      <c r="IO9" s="521"/>
      <c r="IP9" s="522">
        <f t="shared" ref="IP9:IP39" si="81">+IO9/$E9</f>
        <v>0</v>
      </c>
      <c r="IQ9" s="523">
        <f>+IO9*$H$8</f>
        <v>0</v>
      </c>
      <c r="IR9" s="521"/>
      <c r="IS9" s="522">
        <f t="shared" ref="IS9:IS39" si="82">+IR9/$E9</f>
        <v>0</v>
      </c>
      <c r="IT9" s="523">
        <f>+IR9*$H$8</f>
        <v>0</v>
      </c>
      <c r="IU9" s="521"/>
      <c r="IV9" s="522">
        <f t="shared" ref="IV9:IV39" si="83">+IU9/$E9</f>
        <v>0</v>
      </c>
      <c r="IW9" s="523">
        <f>+IU9*$H$8</f>
        <v>0</v>
      </c>
      <c r="IX9" s="521"/>
      <c r="IY9" s="522">
        <f t="shared" ref="IY9:IY39" si="84">+IX9/$E9</f>
        <v>0</v>
      </c>
      <c r="IZ9" s="523">
        <f>+IX9*$H$8</f>
        <v>0</v>
      </c>
      <c r="JA9" s="521"/>
      <c r="JB9" s="522">
        <f t="shared" ref="JB9:JB39" si="85">+JA9/$E9</f>
        <v>0</v>
      </c>
      <c r="JC9" s="523">
        <f>+JA9*$H$8</f>
        <v>0</v>
      </c>
      <c r="JD9" s="521"/>
      <c r="JE9" s="522">
        <f t="shared" ref="JE9:JE39" si="86">+JD9/$E9</f>
        <v>0</v>
      </c>
      <c r="JF9" s="523">
        <f>+JD9*$H$8</f>
        <v>0</v>
      </c>
      <c r="JG9" s="521"/>
      <c r="JH9" s="522">
        <f t="shared" ref="JH9:JH39" si="87">+JG9/$E9</f>
        <v>0</v>
      </c>
      <c r="JI9" s="523">
        <f>+JG9*$H$8</f>
        <v>0</v>
      </c>
      <c r="JJ9" s="521"/>
      <c r="JK9" s="523" t="str">
        <f t="shared" ref="JK9:JK39" si="88">IFERROR((JJ9/$L9),"0")</f>
        <v>0</v>
      </c>
      <c r="JL9" s="523" t="str">
        <f t="shared" ref="JL9:JL39" si="89">IFERROR(((JJ9*JL$8)/$L9),"0")</f>
        <v>0</v>
      </c>
      <c r="JM9" s="521"/>
      <c r="JN9" s="523" t="str">
        <f t="shared" ref="JN9:JN39" si="90">IFERROR((JM9/$L9),"0")</f>
        <v>0</v>
      </c>
      <c r="JO9" s="523" t="str">
        <f t="shared" ref="JO9:JO39" si="91">IFERROR(((JM9*JO$8)/$L9),"0")</f>
        <v>0</v>
      </c>
      <c r="JP9" s="521"/>
      <c r="JQ9" s="523" t="str">
        <f t="shared" ref="JQ9:JQ39" si="92">IFERROR((JP9/$L9),"0")</f>
        <v>0</v>
      </c>
      <c r="JR9" s="523" t="str">
        <f t="shared" ref="JR9:JR39" si="93">IFERROR(((JP9*JR$8)/$L9),"0")</f>
        <v>0</v>
      </c>
      <c r="JS9" s="521"/>
      <c r="JT9" s="523" t="str">
        <f t="shared" ref="JT9:JT39" si="94">IFERROR((JS9/$L9),"0")</f>
        <v>0</v>
      </c>
      <c r="JU9" s="523" t="str">
        <f t="shared" ref="JU9:JU39" si="95">IFERROR(((JS9*JU$8)/$L9),"0")</f>
        <v>0</v>
      </c>
      <c r="JV9" s="521"/>
      <c r="JW9" s="523" t="str">
        <f t="shared" ref="JW9:JW39" si="96">IFERROR((JV9/$L9),"0")</f>
        <v>0</v>
      </c>
      <c r="JX9" s="523" t="str">
        <f t="shared" ref="JX9:JX39" si="97">IFERROR(((JV9*JX$8)/$L9),"0")</f>
        <v>0</v>
      </c>
      <c r="JY9" s="521"/>
      <c r="JZ9" s="523" t="str">
        <f t="shared" ref="JZ9:JZ39" si="98">IFERROR((JY9/$L9),"0")</f>
        <v>0</v>
      </c>
      <c r="KA9" s="523" t="str">
        <f t="shared" ref="KA9:KA39" si="99">IFERROR(((JY9*KA$8)/$L9),"0")</f>
        <v>0</v>
      </c>
      <c r="KB9" s="521"/>
      <c r="KC9" s="523" t="str">
        <f t="shared" ref="KC9:KC39" si="100">IFERROR((KB9/$L9),"0")</f>
        <v>0</v>
      </c>
      <c r="KD9" s="523" t="str">
        <f t="shared" ref="KD9:KD39" si="101">IFERROR(((KB9*KD$8)/$L9),"0")</f>
        <v>0</v>
      </c>
      <c r="KE9" s="521"/>
      <c r="KF9" s="523" t="str">
        <f t="shared" ref="KF9:KF39" si="102">IFERROR((KE9/$L9),"0")</f>
        <v>0</v>
      </c>
      <c r="KG9" s="523" t="str">
        <f t="shared" ref="KG9:KG39" si="103">IFERROR(((KE9*KG$8)/$L9),"0")</f>
        <v>0</v>
      </c>
      <c r="KH9" s="521"/>
      <c r="KI9" s="523" t="str">
        <f t="shared" ref="KI9:KI39" si="104">IFERROR((KH9/$L9),"0")</f>
        <v>0</v>
      </c>
      <c r="KJ9" s="523" t="str">
        <f t="shared" ref="KJ9:KJ39" si="105">IFERROR(((KH9*KJ$8)/$L9),"0")</f>
        <v>0</v>
      </c>
      <c r="KK9" s="521"/>
      <c r="KL9" s="523" t="str">
        <f t="shared" ref="KL9:KL39" si="106">IFERROR((KK9/$L9),"0")</f>
        <v>0</v>
      </c>
      <c r="KM9" s="523" t="str">
        <f t="shared" ref="KM9:KM39" si="107">IFERROR(((KK9*KM$8)/$L9),"0")</f>
        <v>0</v>
      </c>
      <c r="KN9" s="521"/>
      <c r="KO9" s="523" t="str">
        <f t="shared" ref="KO9:KO39" si="108">IFERROR((KN9/$L9),"0")</f>
        <v>0</v>
      </c>
      <c r="KP9" s="523" t="str">
        <f t="shared" ref="KP9:KP39" si="109">IFERROR(((KN9*KP$8)/$L9),"0")</f>
        <v>0</v>
      </c>
      <c r="KQ9" s="521"/>
      <c r="KR9" s="523" t="str">
        <f t="shared" ref="KR9:KR39" si="110">IFERROR((KQ9/$L9),"0")</f>
        <v>0</v>
      </c>
      <c r="KS9" s="523" t="str">
        <f t="shared" ref="KS9:KS39" si="111">IFERROR(((KQ9*KS$8)/$L9),"0")</f>
        <v>0</v>
      </c>
      <c r="KT9" s="523">
        <f>H9+K9+N9+Q9+T9+W9+Z9+AC9+AF9+AI9+AL9+AO9+AR9+AU9+AX9+BA9+BD9+BG9+BJ9+BM9+BP9+BS9+BV9+BY9+CB9+CE9+CH9+CK9+CN9+CQ9+CT9+CW9+CZ9+DC9+DF9+DI9+DL9+DO9+DR9+DU9+DX9+EA9+ED9+EG9+EJ9+EM9+EP9+ES9+EV9+EY9+FB9+FE9+FH9+FK9+FN9+FQ9+FT9+FW9+FZ9+GC9</f>
        <v>0</v>
      </c>
      <c r="KU9" s="523">
        <f>GF9+GI9+GL9+GO9+GR9+GU9+GX9+HA9+HD9+HG9+HJ9+HM9+HP9+HS9+HV9+HY9+IB9+IE9+IH9+IK9+IN9+IQ9+IT9+IW9+IZ9+JC9+JF9+JI9+JL9+JO9+JR9+JU9+JX9++KA9+KD9+KG9+KJ9++KM9+KP9+KS9</f>
        <v>0</v>
      </c>
      <c r="KV9" s="261">
        <f>+F9+I9+L9+O9+R9+U9+X9+AA9+AD9+AG9+AJ9+AM9+AP9+AS9+AV9+AY9+BB9+BE9+BH9+BK9+BN9+BQ9+BT9+BW9+BZ9+CC9+CF9+CI9+CL9+CO9+CR9+CU9+CX9+DA9+DD9+DJ9+DM9+DP9+DS9+DV9+DY9+EB9+GG9+GJ9+GM9+GP9+GS9+HN9+II9+IR9+GV9+IU9++HT9+HW9+HZ9+IC9+JA9+JJ9+JM9+HB9+EE9+GD9+EH9+EQ9+EN9+EK9+ET9</f>
        <v>420.81574058139546</v>
      </c>
    </row>
    <row r="10" spans="1:308">
      <c r="A10" s="262">
        <f>+A9+1</f>
        <v>46083</v>
      </c>
      <c r="B10" s="263" t="str">
        <f>+Report1!B10</f>
        <v>Facial</v>
      </c>
      <c r="C10" s="263" t="str">
        <f>+Report1!C10</f>
        <v>12/14/16</v>
      </c>
      <c r="D10" s="264">
        <f>+Report1!P10</f>
        <v>46.337000000000003</v>
      </c>
      <c r="E10" s="556">
        <f>+Report1!R10</f>
        <v>48.463999999999999</v>
      </c>
      <c r="F10" s="521"/>
      <c r="G10" s="522">
        <f t="shared" si="0"/>
        <v>0</v>
      </c>
      <c r="H10" s="523">
        <f t="shared" ref="H10:H39" si="112">+F10*$H$8</f>
        <v>0</v>
      </c>
      <c r="I10" s="521">
        <v>267.44604651162786</v>
      </c>
      <c r="J10" s="522">
        <f t="shared" si="1"/>
        <v>5.5184476417882937</v>
      </c>
      <c r="K10" s="523">
        <f t="shared" ref="K10:K39" si="113">+I10*$H$8</f>
        <v>0</v>
      </c>
      <c r="L10" s="521"/>
      <c r="M10" s="522">
        <f t="shared" si="2"/>
        <v>0</v>
      </c>
      <c r="N10" s="523">
        <f t="shared" ref="N10:N39" si="114">+L10*$H$8</f>
        <v>0</v>
      </c>
      <c r="O10" s="521">
        <v>5.9959999999999951</v>
      </c>
      <c r="P10" s="522">
        <f t="shared" si="3"/>
        <v>0.12372069990095731</v>
      </c>
      <c r="Q10" s="523">
        <f t="shared" ref="Q10:Q39" si="115">+O10*$H$8</f>
        <v>0</v>
      </c>
      <c r="R10" s="521"/>
      <c r="S10" s="522">
        <f t="shared" si="4"/>
        <v>0</v>
      </c>
      <c r="T10" s="523">
        <f t="shared" ref="T10:T39" si="116">+R10*$H$8</f>
        <v>0</v>
      </c>
      <c r="U10" s="521">
        <v>7.6897999999999911</v>
      </c>
      <c r="V10" s="522">
        <f t="shared" si="5"/>
        <v>0.15867035325189813</v>
      </c>
      <c r="W10" s="523">
        <f t="shared" ref="W10:W39" si="117">+U10*$H$8</f>
        <v>0</v>
      </c>
      <c r="X10" s="521"/>
      <c r="Y10" s="522">
        <f t="shared" si="6"/>
        <v>0</v>
      </c>
      <c r="Z10" s="523">
        <f t="shared" ref="Z10:Z39" si="118">+X10*$H$8</f>
        <v>0</v>
      </c>
      <c r="AA10" s="521">
        <v>6.25</v>
      </c>
      <c r="AB10" s="522">
        <f t="shared" si="7"/>
        <v>0.12896170353251898</v>
      </c>
      <c r="AC10" s="523">
        <f t="shared" ref="AC10:AC39" si="119">+AA10*$H$8</f>
        <v>0</v>
      </c>
      <c r="AD10" s="521"/>
      <c r="AE10" s="522">
        <f t="shared" si="8"/>
        <v>0</v>
      </c>
      <c r="AF10" s="523">
        <f t="shared" ref="AF10:AF39" si="120">+AD10*$H$8</f>
        <v>0</v>
      </c>
      <c r="AG10" s="521"/>
      <c r="AH10" s="522">
        <f t="shared" si="9"/>
        <v>0</v>
      </c>
      <c r="AI10" s="523">
        <f t="shared" ref="AI10:AI39" si="121">+AG10*$H$8</f>
        <v>0</v>
      </c>
      <c r="AJ10" s="521"/>
      <c r="AK10" s="522">
        <f t="shared" si="10"/>
        <v>0</v>
      </c>
      <c r="AL10" s="523">
        <f t="shared" ref="AL10:AL39" si="122">+AJ10*$H$8</f>
        <v>0</v>
      </c>
      <c r="AM10" s="521"/>
      <c r="AN10" s="522">
        <f t="shared" si="11"/>
        <v>0</v>
      </c>
      <c r="AO10" s="523">
        <f t="shared" ref="AO10:AO39" si="123">+AM10*$H$8</f>
        <v>0</v>
      </c>
      <c r="AP10" s="521"/>
      <c r="AQ10" s="522">
        <f t="shared" si="12"/>
        <v>0</v>
      </c>
      <c r="AR10" s="523">
        <f t="shared" ref="AR10:AR39" si="124">+AP10*$H$8</f>
        <v>0</v>
      </c>
      <c r="AS10" s="521"/>
      <c r="AT10" s="522">
        <f t="shared" si="13"/>
        <v>0</v>
      </c>
      <c r="AU10" s="523">
        <f t="shared" ref="AU10:AU39" si="125">+AS10*$H$8</f>
        <v>0</v>
      </c>
      <c r="AV10" s="521"/>
      <c r="AW10" s="522">
        <f t="shared" si="14"/>
        <v>0</v>
      </c>
      <c r="AX10" s="523">
        <f t="shared" ref="AX10:AX39" si="126">+AV10*$H$8</f>
        <v>0</v>
      </c>
      <c r="AY10" s="521"/>
      <c r="AZ10" s="522">
        <f t="shared" si="15"/>
        <v>0</v>
      </c>
      <c r="BA10" s="523">
        <f t="shared" ref="BA10:BA39" si="127">+AY10*$H$8</f>
        <v>0</v>
      </c>
      <c r="BB10" s="521"/>
      <c r="BC10" s="522">
        <f t="shared" si="16"/>
        <v>0</v>
      </c>
      <c r="BD10" s="523">
        <f t="shared" ref="BD10:BD39" si="128">+BB10*$H$8</f>
        <v>0</v>
      </c>
      <c r="BE10" s="521"/>
      <c r="BF10" s="522">
        <f t="shared" si="17"/>
        <v>0</v>
      </c>
      <c r="BG10" s="523">
        <f t="shared" ref="BG10:BG39" si="129">+BE10*$H$8</f>
        <v>0</v>
      </c>
      <c r="BH10" s="521"/>
      <c r="BI10" s="522">
        <f t="shared" si="18"/>
        <v>0</v>
      </c>
      <c r="BJ10" s="523">
        <f t="shared" ref="BJ10:BJ39" si="130">+BH10*$H$8</f>
        <v>0</v>
      </c>
      <c r="BK10" s="521"/>
      <c r="BL10" s="522">
        <f t="shared" si="19"/>
        <v>0</v>
      </c>
      <c r="BM10" s="523">
        <f t="shared" ref="BM10:BM39" si="131">+BK10*$H$8</f>
        <v>0</v>
      </c>
      <c r="BN10" s="521"/>
      <c r="BO10" s="522">
        <f t="shared" si="20"/>
        <v>0</v>
      </c>
      <c r="BP10" s="523">
        <f t="shared" ref="BP10:BP39" si="132">+BN10*$H$8</f>
        <v>0</v>
      </c>
      <c r="BQ10" s="521">
        <v>25.316455696202411</v>
      </c>
      <c r="BR10" s="522">
        <f t="shared" si="21"/>
        <v>0.52237652063804907</v>
      </c>
      <c r="BS10" s="523">
        <f t="shared" ref="BS10:BS39" si="133">+BQ10*$H$8</f>
        <v>0</v>
      </c>
      <c r="BT10" s="521"/>
      <c r="BU10" s="522">
        <f t="shared" si="22"/>
        <v>0</v>
      </c>
      <c r="BV10" s="523">
        <f t="shared" ref="BV10:BV39" si="134">+BT10*$H$8</f>
        <v>0</v>
      </c>
      <c r="BW10" s="521"/>
      <c r="BX10" s="522">
        <f t="shared" si="23"/>
        <v>0</v>
      </c>
      <c r="BY10" s="523">
        <f t="shared" ref="BY10:BY39" si="135">+BW10*$H$8</f>
        <v>0</v>
      </c>
      <c r="BZ10" s="521"/>
      <c r="CA10" s="522">
        <f t="shared" si="24"/>
        <v>0</v>
      </c>
      <c r="CB10" s="523">
        <f t="shared" ref="CB10:CB39" si="136">+BZ10*$H$8</f>
        <v>0</v>
      </c>
      <c r="CC10" s="521"/>
      <c r="CD10" s="522">
        <f t="shared" si="25"/>
        <v>0</v>
      </c>
      <c r="CE10" s="523">
        <f t="shared" ref="CE10:CE39" si="137">+CC10*$H$8</f>
        <v>0</v>
      </c>
      <c r="CF10" s="521">
        <v>0.49999999999999645</v>
      </c>
      <c r="CG10" s="522">
        <f t="shared" si="26"/>
        <v>1.0316936282601446E-2</v>
      </c>
      <c r="CH10" s="523">
        <f t="shared" ref="CH10:CH39" si="138">+CF10*$H$8</f>
        <v>0</v>
      </c>
      <c r="CI10" s="521"/>
      <c r="CJ10" s="522">
        <f t="shared" si="27"/>
        <v>0</v>
      </c>
      <c r="CK10" s="523">
        <f t="shared" ref="CK10:CK39" si="139">+CI10*$H$8</f>
        <v>0</v>
      </c>
      <c r="CL10" s="521"/>
      <c r="CM10" s="522">
        <f t="shared" si="28"/>
        <v>0</v>
      </c>
      <c r="CN10" s="523">
        <f t="shared" ref="CN10:CN39" si="140">+CL10*$H$8</f>
        <v>0</v>
      </c>
      <c r="CO10" s="521"/>
      <c r="CP10" s="522">
        <f t="shared" si="29"/>
        <v>0</v>
      </c>
      <c r="CQ10" s="523">
        <f t="shared" ref="CQ10:CQ39" si="141">+CO10*$H$8</f>
        <v>0</v>
      </c>
      <c r="CR10" s="521"/>
      <c r="CS10" s="522">
        <f t="shared" si="30"/>
        <v>0</v>
      </c>
      <c r="CT10" s="523">
        <f t="shared" ref="CT10:CT39" si="142">+CR10*$H$8</f>
        <v>0</v>
      </c>
      <c r="CU10" s="521"/>
      <c r="CV10" s="522">
        <f t="shared" si="31"/>
        <v>0</v>
      </c>
      <c r="CW10" s="523">
        <f t="shared" ref="CW10:CW39" si="143">+CU10*$H$8</f>
        <v>0</v>
      </c>
      <c r="CX10" s="521"/>
      <c r="CY10" s="522">
        <f t="shared" si="32"/>
        <v>0</v>
      </c>
      <c r="CZ10" s="523">
        <f t="shared" ref="CZ10:CZ39" si="144">+CX10*$H$8</f>
        <v>0</v>
      </c>
      <c r="DA10" s="521"/>
      <c r="DB10" s="522">
        <f t="shared" si="33"/>
        <v>0</v>
      </c>
      <c r="DC10" s="523">
        <f t="shared" ref="DC10:DC39" si="145">+DA10*$H$8</f>
        <v>0</v>
      </c>
      <c r="DD10" s="521"/>
      <c r="DE10" s="522">
        <f t="shared" si="34"/>
        <v>0</v>
      </c>
      <c r="DF10" s="523">
        <f t="shared" ref="DF10:DF39" si="146">+DD10*$H$8</f>
        <v>0</v>
      </c>
      <c r="DG10" s="521"/>
      <c r="DH10" s="522">
        <f t="shared" si="35"/>
        <v>0</v>
      </c>
      <c r="DI10" s="523">
        <v>0</v>
      </c>
      <c r="DJ10" s="521"/>
      <c r="DK10" s="522">
        <f t="shared" si="36"/>
        <v>0</v>
      </c>
      <c r="DL10" s="523">
        <f t="shared" ref="DL10:DL39" si="147">+DJ10*$H$8</f>
        <v>0</v>
      </c>
      <c r="DM10" s="521"/>
      <c r="DN10" s="522">
        <f t="shared" si="37"/>
        <v>0</v>
      </c>
      <c r="DO10" s="523">
        <f t="shared" ref="DO10:DO39" si="148">+DM10*$H$8</f>
        <v>0</v>
      </c>
      <c r="DP10" s="521"/>
      <c r="DQ10" s="522">
        <f t="shared" si="38"/>
        <v>0</v>
      </c>
      <c r="DR10" s="523">
        <f t="shared" ref="DR10:DR39" si="149">+DP10*$H$8</f>
        <v>0</v>
      </c>
      <c r="DS10" s="521"/>
      <c r="DT10" s="522">
        <f t="shared" si="39"/>
        <v>0</v>
      </c>
      <c r="DU10" s="523">
        <f t="shared" ref="DU10:DU39" si="150">+DS10*$H$8</f>
        <v>0</v>
      </c>
      <c r="DV10" s="521"/>
      <c r="DW10" s="522">
        <f t="shared" si="40"/>
        <v>0</v>
      </c>
      <c r="DX10" s="523">
        <f t="shared" ref="DX10:DX39" si="151">+DV10*$H$8</f>
        <v>0</v>
      </c>
      <c r="DY10" s="521"/>
      <c r="DZ10" s="522">
        <f t="shared" si="41"/>
        <v>0</v>
      </c>
      <c r="EA10" s="523">
        <f t="shared" ref="EA10:EA39" si="152">+DY10*$H$8</f>
        <v>0</v>
      </c>
      <c r="EB10" s="521"/>
      <c r="EC10" s="522">
        <f t="shared" si="42"/>
        <v>0</v>
      </c>
      <c r="ED10" s="523">
        <f t="shared" ref="ED10:ED39" si="153">+EB10*$H$8</f>
        <v>0</v>
      </c>
      <c r="EE10" s="521">
        <v>21.802325581395337</v>
      </c>
      <c r="EF10" s="522">
        <f t="shared" si="43"/>
        <v>0.4498664076715776</v>
      </c>
      <c r="EG10" s="523">
        <f t="shared" ref="EG10:EG39" si="154">+EE10*$H$8</f>
        <v>0</v>
      </c>
      <c r="EH10" s="521">
        <v>3</v>
      </c>
      <c r="EI10" s="522">
        <f t="shared" si="44"/>
        <v>6.1901617695609111E-2</v>
      </c>
      <c r="EJ10" s="523">
        <f t="shared" ref="EJ10:EJ39" si="155">+EH10*$H$8</f>
        <v>0</v>
      </c>
      <c r="EK10" s="521">
        <v>48.780487804878021</v>
      </c>
      <c r="EL10" s="522">
        <f t="shared" si="45"/>
        <v>1.0065303690342939</v>
      </c>
      <c r="EM10" s="523">
        <f t="shared" ref="EM10:EM39" si="156">+EK10*$H$8</f>
        <v>0</v>
      </c>
      <c r="EN10" s="521">
        <v>34.592627906976759</v>
      </c>
      <c r="EO10" s="522">
        <f t="shared" si="46"/>
        <v>0.7137798759280447</v>
      </c>
      <c r="EP10" s="523">
        <f t="shared" ref="EP10:EP39" si="157">+EN10*$H$8</f>
        <v>0</v>
      </c>
      <c r="EQ10" s="521">
        <v>58.708823529411802</v>
      </c>
      <c r="ER10" s="522">
        <f t="shared" si="47"/>
        <v>1.2113903831588768</v>
      </c>
      <c r="ES10" s="523">
        <f t="shared" ref="ES10:ES39" si="158">+EQ10*$H$8</f>
        <v>0</v>
      </c>
      <c r="ET10" s="521">
        <v>500</v>
      </c>
      <c r="EU10" s="522">
        <f t="shared" si="48"/>
        <v>10.316936282601519</v>
      </c>
      <c r="EV10" s="523">
        <f t="shared" ref="EV10:EV39" si="159">+ET10*$H$8</f>
        <v>0</v>
      </c>
      <c r="EW10" s="521"/>
      <c r="EX10" s="522">
        <f t="shared" si="49"/>
        <v>0</v>
      </c>
      <c r="EY10" s="523">
        <f t="shared" ref="EY10:EY39" si="160">+EW10*$H$8</f>
        <v>0</v>
      </c>
      <c r="EZ10" s="521"/>
      <c r="FA10" s="522">
        <f t="shared" si="50"/>
        <v>0</v>
      </c>
      <c r="FB10" s="523">
        <f t="shared" ref="FB10:FB39" si="161">+EZ10*$H$8</f>
        <v>0</v>
      </c>
      <c r="FC10" s="521"/>
      <c r="FD10" s="522">
        <f t="shared" si="51"/>
        <v>0</v>
      </c>
      <c r="FE10" s="523">
        <f t="shared" ref="FE10:FE39" si="162">+FC10*$H$8</f>
        <v>0</v>
      </c>
      <c r="FF10" s="521"/>
      <c r="FG10" s="522">
        <f t="shared" si="52"/>
        <v>0</v>
      </c>
      <c r="FH10" s="523">
        <f t="shared" ref="FH10:FH39" si="163">+FF10*$H$8</f>
        <v>0</v>
      </c>
      <c r="FI10" s="521"/>
      <c r="FJ10" s="522">
        <f t="shared" si="53"/>
        <v>0</v>
      </c>
      <c r="FK10" s="523">
        <f t="shared" ref="FK10:FK39" si="164">+FI10*$H$8</f>
        <v>0</v>
      </c>
      <c r="FL10" s="521"/>
      <c r="FM10" s="522">
        <f t="shared" si="54"/>
        <v>0</v>
      </c>
      <c r="FN10" s="523">
        <f t="shared" ref="FN10:FN39" si="165">+FL10*$H$8</f>
        <v>0</v>
      </c>
      <c r="FO10" s="521"/>
      <c r="FP10" s="522">
        <f t="shared" si="55"/>
        <v>0</v>
      </c>
      <c r="FQ10" s="523">
        <f t="shared" ref="FQ10:FQ39" si="166">+FO10*$H$8</f>
        <v>0</v>
      </c>
      <c r="FR10" s="521"/>
      <c r="FS10" s="522">
        <f t="shared" si="56"/>
        <v>0</v>
      </c>
      <c r="FT10" s="523">
        <f t="shared" ref="FT10:FT39" si="167">+FR10*$H$8</f>
        <v>0</v>
      </c>
      <c r="FU10" s="521"/>
      <c r="FV10" s="522">
        <f t="shared" si="57"/>
        <v>0</v>
      </c>
      <c r="FW10" s="523">
        <f t="shared" ref="FW10:FW39" si="168">+FU10*$H$8</f>
        <v>0</v>
      </c>
      <c r="FX10" s="521"/>
      <c r="FY10" s="522">
        <f t="shared" si="58"/>
        <v>0</v>
      </c>
      <c r="FZ10" s="523">
        <f t="shared" ref="FZ10:FZ39" si="169">+FX10*$H$8</f>
        <v>0</v>
      </c>
      <c r="GA10" s="521"/>
      <c r="GB10" s="522">
        <f t="shared" si="59"/>
        <v>0</v>
      </c>
      <c r="GC10" s="523">
        <f t="shared" ref="GC10:GC39" si="170">+GA10*$H$8</f>
        <v>0</v>
      </c>
      <c r="GD10" s="521"/>
      <c r="GE10" s="522">
        <f t="shared" si="60"/>
        <v>0</v>
      </c>
      <c r="GF10" s="523">
        <f t="shared" ref="GF10:GF39" si="171">+GD10*$H$8</f>
        <v>0</v>
      </c>
      <c r="GG10" s="521"/>
      <c r="GH10" s="522">
        <f t="shared" si="61"/>
        <v>0</v>
      </c>
      <c r="GI10" s="523">
        <f t="shared" ref="GI10:GI39" si="172">+GG10*$H$8</f>
        <v>0</v>
      </c>
      <c r="GJ10" s="521"/>
      <c r="GK10" s="522">
        <f t="shared" si="62"/>
        <v>0</v>
      </c>
      <c r="GL10" s="523">
        <f t="shared" ref="GL10:GL39" si="173">+GJ10*$H$8</f>
        <v>0</v>
      </c>
      <c r="GM10" s="521"/>
      <c r="GN10" s="522">
        <f t="shared" si="63"/>
        <v>0</v>
      </c>
      <c r="GO10" s="523">
        <f t="shared" ref="GO10:GO39" si="174">+GM10*$H$8</f>
        <v>0</v>
      </c>
      <c r="GP10" s="521"/>
      <c r="GQ10" s="522">
        <f t="shared" si="64"/>
        <v>0</v>
      </c>
      <c r="GR10" s="523">
        <f t="shared" ref="GR10:GR39" si="175">+GP10*$H$8</f>
        <v>0</v>
      </c>
      <c r="GS10" s="521"/>
      <c r="GT10" s="522">
        <f t="shared" si="65"/>
        <v>0</v>
      </c>
      <c r="GU10" s="523">
        <f t="shared" ref="GU10:GU39" si="176">+GS10*$H$8</f>
        <v>0</v>
      </c>
      <c r="GV10" s="521"/>
      <c r="GW10" s="522">
        <f t="shared" si="66"/>
        <v>0</v>
      </c>
      <c r="GX10" s="523">
        <f t="shared" ref="GX10:GX39" si="177">+GV10*$H$8</f>
        <v>0</v>
      </c>
      <c r="GY10" s="521"/>
      <c r="GZ10" s="522">
        <f t="shared" si="67"/>
        <v>0</v>
      </c>
      <c r="HA10" s="523">
        <f t="shared" ref="HA10:HA39" si="178">+GY10*$H$8</f>
        <v>0</v>
      </c>
      <c r="HB10" s="521"/>
      <c r="HC10" s="522">
        <f t="shared" si="68"/>
        <v>0</v>
      </c>
      <c r="HD10" s="523">
        <f t="shared" ref="HD10:HD39" si="179">+HB10*$H$8</f>
        <v>0</v>
      </c>
      <c r="HE10" s="521"/>
      <c r="HF10" s="522">
        <f t="shared" si="69"/>
        <v>0</v>
      </c>
      <c r="HG10" s="523">
        <f t="shared" ref="HG10:HG39" si="180">+HE10*$H$8</f>
        <v>0</v>
      </c>
      <c r="HH10" s="521"/>
      <c r="HI10" s="522">
        <f t="shared" si="70"/>
        <v>0</v>
      </c>
      <c r="HJ10" s="523">
        <f t="shared" ref="HJ10:HJ39" si="181">+HH10*$H$8</f>
        <v>0</v>
      </c>
      <c r="HK10" s="521"/>
      <c r="HL10" s="522">
        <f t="shared" si="71"/>
        <v>0</v>
      </c>
      <c r="HM10" s="523">
        <f t="shared" ref="HM10:HM39" si="182">+HK10*$H$8</f>
        <v>0</v>
      </c>
      <c r="HN10" s="521"/>
      <c r="HO10" s="522">
        <f t="shared" si="72"/>
        <v>0</v>
      </c>
      <c r="HP10" s="523">
        <f t="shared" ref="HP10:HP39" si="183">+HN10*$H$8</f>
        <v>0</v>
      </c>
      <c r="HQ10" s="521"/>
      <c r="HR10" s="522">
        <f t="shared" si="73"/>
        <v>0</v>
      </c>
      <c r="HS10" s="523">
        <f t="shared" ref="HS10:HS39" si="184">+HQ10*$H$8</f>
        <v>0</v>
      </c>
      <c r="HT10" s="521"/>
      <c r="HU10" s="522">
        <f t="shared" si="74"/>
        <v>0</v>
      </c>
      <c r="HV10" s="523">
        <f t="shared" ref="HV10:HV39" si="185">+HT10*$H$8</f>
        <v>0</v>
      </c>
      <c r="HW10" s="521"/>
      <c r="HX10" s="522">
        <f t="shared" si="75"/>
        <v>0</v>
      </c>
      <c r="HY10" s="523">
        <f t="shared" ref="HY10:HY39" si="186">+HW10*$H$8</f>
        <v>0</v>
      </c>
      <c r="HZ10" s="521"/>
      <c r="IA10" s="522">
        <f t="shared" si="76"/>
        <v>0</v>
      </c>
      <c r="IB10" s="523">
        <f t="shared" ref="IB10:IB39" si="187">+HZ10*$H$8</f>
        <v>0</v>
      </c>
      <c r="IC10" s="521"/>
      <c r="ID10" s="522">
        <f t="shared" si="77"/>
        <v>0</v>
      </c>
      <c r="IE10" s="523">
        <f t="shared" ref="IE10:IE39" si="188">+IC10*$H$8</f>
        <v>0</v>
      </c>
      <c r="IF10" s="521"/>
      <c r="IG10" s="522">
        <f t="shared" si="78"/>
        <v>0</v>
      </c>
      <c r="IH10" s="523">
        <f t="shared" ref="IH10:IH39" si="189">+IF10*$H$8</f>
        <v>0</v>
      </c>
      <c r="II10" s="521"/>
      <c r="IJ10" s="522">
        <f t="shared" si="79"/>
        <v>0</v>
      </c>
      <c r="IK10" s="523">
        <f t="shared" ref="IK10:IK39" si="190">+II10*$H$8</f>
        <v>0</v>
      </c>
      <c r="IL10" s="521"/>
      <c r="IM10" s="522">
        <f t="shared" si="80"/>
        <v>0</v>
      </c>
      <c r="IN10" s="523">
        <f t="shared" ref="IN10:IN39" si="191">+IL10*$H$8</f>
        <v>0</v>
      </c>
      <c r="IO10" s="521"/>
      <c r="IP10" s="522">
        <f t="shared" si="81"/>
        <v>0</v>
      </c>
      <c r="IQ10" s="523">
        <f t="shared" ref="IQ10:IQ39" si="192">+IO10*$H$8</f>
        <v>0</v>
      </c>
      <c r="IR10" s="521"/>
      <c r="IS10" s="522">
        <f t="shared" si="82"/>
        <v>0</v>
      </c>
      <c r="IT10" s="523">
        <f t="shared" ref="IT10:IT39" si="193">+IR10*$H$8</f>
        <v>0</v>
      </c>
      <c r="IU10" s="521"/>
      <c r="IV10" s="522">
        <f t="shared" si="83"/>
        <v>0</v>
      </c>
      <c r="IW10" s="523">
        <f t="shared" ref="IW10:IW39" si="194">+IU10*$H$8</f>
        <v>0</v>
      </c>
      <c r="IX10" s="521"/>
      <c r="IY10" s="522">
        <f t="shared" si="84"/>
        <v>0</v>
      </c>
      <c r="IZ10" s="523">
        <f t="shared" ref="IZ10:IZ39" si="195">+IX10*$H$8</f>
        <v>0</v>
      </c>
      <c r="JA10" s="521"/>
      <c r="JB10" s="522">
        <f t="shared" si="85"/>
        <v>0</v>
      </c>
      <c r="JC10" s="523">
        <f t="shared" ref="JC10:JC39" si="196">+JA10*$H$8</f>
        <v>0</v>
      </c>
      <c r="JD10" s="521"/>
      <c r="JE10" s="522">
        <f t="shared" si="86"/>
        <v>0</v>
      </c>
      <c r="JF10" s="523">
        <f t="shared" ref="JF10:JF39" si="197">+JD10*$H$8</f>
        <v>0</v>
      </c>
      <c r="JG10" s="521"/>
      <c r="JH10" s="522">
        <f t="shared" si="87"/>
        <v>0</v>
      </c>
      <c r="JI10" s="523">
        <f t="shared" ref="JI10:JI39" si="198">+JG10*$H$8</f>
        <v>0</v>
      </c>
      <c r="JJ10" s="521"/>
      <c r="JK10" s="523" t="str">
        <f t="shared" si="88"/>
        <v>0</v>
      </c>
      <c r="JL10" s="523" t="str">
        <f t="shared" si="89"/>
        <v>0</v>
      </c>
      <c r="JM10" s="521"/>
      <c r="JN10" s="523" t="str">
        <f t="shared" si="90"/>
        <v>0</v>
      </c>
      <c r="JO10" s="523" t="str">
        <f t="shared" si="91"/>
        <v>0</v>
      </c>
      <c r="JP10" s="521"/>
      <c r="JQ10" s="523" t="str">
        <f t="shared" si="92"/>
        <v>0</v>
      </c>
      <c r="JR10" s="523" t="str">
        <f t="shared" si="93"/>
        <v>0</v>
      </c>
      <c r="JS10" s="521"/>
      <c r="JT10" s="523" t="str">
        <f t="shared" si="94"/>
        <v>0</v>
      </c>
      <c r="JU10" s="523" t="str">
        <f t="shared" si="95"/>
        <v>0</v>
      </c>
      <c r="JV10" s="521"/>
      <c r="JW10" s="523" t="str">
        <f t="shared" si="96"/>
        <v>0</v>
      </c>
      <c r="JX10" s="523" t="str">
        <f t="shared" si="97"/>
        <v>0</v>
      </c>
      <c r="JY10" s="521"/>
      <c r="JZ10" s="523" t="str">
        <f t="shared" si="98"/>
        <v>0</v>
      </c>
      <c r="KA10" s="523" t="str">
        <f t="shared" si="99"/>
        <v>0</v>
      </c>
      <c r="KB10" s="521"/>
      <c r="KC10" s="523" t="str">
        <f t="shared" si="100"/>
        <v>0</v>
      </c>
      <c r="KD10" s="523" t="str">
        <f t="shared" si="101"/>
        <v>0</v>
      </c>
      <c r="KE10" s="521"/>
      <c r="KF10" s="523" t="str">
        <f t="shared" si="102"/>
        <v>0</v>
      </c>
      <c r="KG10" s="523" t="str">
        <f t="shared" si="103"/>
        <v>0</v>
      </c>
      <c r="KH10" s="521"/>
      <c r="KI10" s="523" t="str">
        <f t="shared" si="104"/>
        <v>0</v>
      </c>
      <c r="KJ10" s="523" t="str">
        <f t="shared" si="105"/>
        <v>0</v>
      </c>
      <c r="KK10" s="521"/>
      <c r="KL10" s="523" t="str">
        <f t="shared" si="106"/>
        <v>0</v>
      </c>
      <c r="KM10" s="523" t="str">
        <f t="shared" si="107"/>
        <v>0</v>
      </c>
      <c r="KN10" s="521"/>
      <c r="KO10" s="523" t="str">
        <f t="shared" si="108"/>
        <v>0</v>
      </c>
      <c r="KP10" s="523" t="str">
        <f t="shared" si="109"/>
        <v>0</v>
      </c>
      <c r="KQ10" s="521"/>
      <c r="KR10" s="523" t="str">
        <f t="shared" si="110"/>
        <v>0</v>
      </c>
      <c r="KS10" s="523" t="str">
        <f t="shared" si="111"/>
        <v>0</v>
      </c>
      <c r="KT10" s="523">
        <f>H10+K10+N10+Q10+T10+W10+Z10+AC10+AF10+AI10+AL10+AO10+AR10+AU10+AX10+BA10+BD10+BG10+BJ10+BM10+BP10+BS10+BV10+BY10+CB10+CE10+CH10+CK10+CN10+CQ10+CT10+CW10+CZ10+DC10+DF10+DI10+DL10+DO10+DR10+DU10+DX10+EA10+ED10+EG10+EJ10+EM10+EP10+ES10+EV10+EY10+FB10+FE10+FH10+FK10+FN10+FQ10+FT10+FW10+FZ10+GC10</f>
        <v>0</v>
      </c>
      <c r="KU10" s="523">
        <f>GF10+GI10+GL10+GO10+GR10+GU10+GX10+HA10+HD10+HG10+HJ10+HM10+HP10+HS10+HV10+HY10+IB10+IE10+IH10+IK10+IN10+IQ10+IT10+IW10+IZ10+JC10+JF10+JI10+JL10+JO10+JR10+JU10+JX10++KA10+KD10+KG10+KJ10++KM10+KP10+KS10</f>
        <v>0</v>
      </c>
      <c r="KV10" s="261">
        <f t="shared" ref="KV10:KV41" si="199">+F10+I10+L10+O10+R10+U10+X10+AA10+AD10+AG10+AJ10+AM10+AP10+AS10+AV10+AY10+BB10+BE10+BH10+BK10+BN10+BQ10+BT10+BW10+BZ10+CC10+CF10+CI10+CL10+CO10+CR10+CU10+CX10+DA10+DD10+DJ10+DM10+DP10+DS10+DV10+DY10+EB10+GG10+GJ10+GM10+GP10+GS10+HN10+II10+IR10+GV10+IU10++HT10+HW10+HZ10+IC10+JA10+JJ10+JM10+HB10+EE10+GD10+EH10+EQ10+EN10+EK10+ET10</f>
        <v>980.0825670304921</v>
      </c>
    </row>
    <row r="11" spans="1:308">
      <c r="A11" s="262">
        <f t="shared" ref="A11:A39" si="200">+A10+1</f>
        <v>46084</v>
      </c>
      <c r="B11" s="263" t="str">
        <f>+Report1!B11</f>
        <v>Facial</v>
      </c>
      <c r="C11" s="263" t="str">
        <f>+Report1!C11</f>
        <v>16/14</v>
      </c>
      <c r="D11" s="264">
        <f>+Report1!P11</f>
        <v>46.03</v>
      </c>
      <c r="E11" s="556">
        <f>+Report1!R11</f>
        <v>40.542999999999999</v>
      </c>
      <c r="F11" s="521"/>
      <c r="G11" s="522">
        <f t="shared" si="0"/>
        <v>0</v>
      </c>
      <c r="H11" s="523">
        <f t="shared" si="112"/>
        <v>0</v>
      </c>
      <c r="I11" s="521">
        <v>255.81395348837214</v>
      </c>
      <c r="J11" s="522">
        <f t="shared" si="1"/>
        <v>6.3096947312328178</v>
      </c>
      <c r="K11" s="523">
        <f t="shared" si="113"/>
        <v>0</v>
      </c>
      <c r="L11" s="521"/>
      <c r="M11" s="522">
        <f t="shared" si="2"/>
        <v>0</v>
      </c>
      <c r="N11" s="523">
        <f t="shared" si="114"/>
        <v>0</v>
      </c>
      <c r="O11" s="521">
        <v>5.9999999999999858</v>
      </c>
      <c r="P11" s="522">
        <f t="shared" si="3"/>
        <v>0.14799102187800572</v>
      </c>
      <c r="Q11" s="523">
        <f t="shared" si="115"/>
        <v>0</v>
      </c>
      <c r="R11" s="521"/>
      <c r="S11" s="522">
        <f t="shared" si="4"/>
        <v>0</v>
      </c>
      <c r="T11" s="523">
        <f t="shared" si="116"/>
        <v>0</v>
      </c>
      <c r="U11" s="521">
        <v>7.6875</v>
      </c>
      <c r="V11" s="522">
        <f t="shared" si="5"/>
        <v>0.18961349678119527</v>
      </c>
      <c r="W11" s="523">
        <f t="shared" si="117"/>
        <v>0</v>
      </c>
      <c r="X11" s="521"/>
      <c r="Y11" s="522">
        <f t="shared" si="6"/>
        <v>0</v>
      </c>
      <c r="Z11" s="523">
        <f t="shared" si="118"/>
        <v>0</v>
      </c>
      <c r="AA11" s="521">
        <v>4.6874999999999858</v>
      </c>
      <c r="AB11" s="522">
        <f t="shared" si="7"/>
        <v>0.11561798584219189</v>
      </c>
      <c r="AC11" s="523">
        <f t="shared" si="119"/>
        <v>0</v>
      </c>
      <c r="AD11" s="521"/>
      <c r="AE11" s="522">
        <f t="shared" si="8"/>
        <v>0</v>
      </c>
      <c r="AF11" s="523">
        <f t="shared" si="120"/>
        <v>0</v>
      </c>
      <c r="AG11" s="521"/>
      <c r="AH11" s="522">
        <f t="shared" si="9"/>
        <v>0</v>
      </c>
      <c r="AI11" s="523">
        <f t="shared" si="121"/>
        <v>0</v>
      </c>
      <c r="AJ11" s="521"/>
      <c r="AK11" s="522">
        <f t="shared" si="10"/>
        <v>0</v>
      </c>
      <c r="AL11" s="523">
        <f t="shared" si="122"/>
        <v>0</v>
      </c>
      <c r="AM11" s="521"/>
      <c r="AN11" s="522">
        <f t="shared" si="11"/>
        <v>0</v>
      </c>
      <c r="AO11" s="523">
        <f t="shared" si="123"/>
        <v>0</v>
      </c>
      <c r="AP11" s="521"/>
      <c r="AQ11" s="522">
        <f t="shared" si="12"/>
        <v>0</v>
      </c>
      <c r="AR11" s="523">
        <f t="shared" si="124"/>
        <v>0</v>
      </c>
      <c r="AS11" s="521"/>
      <c r="AT11" s="522">
        <f t="shared" si="13"/>
        <v>0</v>
      </c>
      <c r="AU11" s="523">
        <f t="shared" si="125"/>
        <v>0</v>
      </c>
      <c r="AV11" s="521"/>
      <c r="AW11" s="522">
        <f t="shared" si="14"/>
        <v>0</v>
      </c>
      <c r="AX11" s="523">
        <f t="shared" si="126"/>
        <v>0</v>
      </c>
      <c r="AY11" s="521"/>
      <c r="AZ11" s="522">
        <f t="shared" si="15"/>
        <v>0</v>
      </c>
      <c r="BA11" s="523">
        <f t="shared" si="127"/>
        <v>0</v>
      </c>
      <c r="BB11" s="521"/>
      <c r="BC11" s="522">
        <f t="shared" si="16"/>
        <v>0</v>
      </c>
      <c r="BD11" s="523">
        <f t="shared" si="128"/>
        <v>0</v>
      </c>
      <c r="BE11" s="521"/>
      <c r="BF11" s="522">
        <f t="shared" si="17"/>
        <v>0</v>
      </c>
      <c r="BG11" s="523">
        <f t="shared" si="129"/>
        <v>0</v>
      </c>
      <c r="BH11" s="521"/>
      <c r="BI11" s="522">
        <f t="shared" si="18"/>
        <v>0</v>
      </c>
      <c r="BJ11" s="523">
        <f t="shared" si="130"/>
        <v>0</v>
      </c>
      <c r="BK11" s="521"/>
      <c r="BL11" s="522">
        <f t="shared" si="19"/>
        <v>0</v>
      </c>
      <c r="BM11" s="523">
        <f t="shared" si="131"/>
        <v>0</v>
      </c>
      <c r="BN11" s="521"/>
      <c r="BO11" s="522">
        <f t="shared" si="20"/>
        <v>0</v>
      </c>
      <c r="BP11" s="523">
        <f t="shared" si="132"/>
        <v>0</v>
      </c>
      <c r="BQ11" s="521"/>
      <c r="BR11" s="522">
        <f t="shared" si="21"/>
        <v>0</v>
      </c>
      <c r="BS11" s="523">
        <f t="shared" si="133"/>
        <v>0</v>
      </c>
      <c r="BT11" s="521"/>
      <c r="BU11" s="522">
        <f t="shared" si="22"/>
        <v>0</v>
      </c>
      <c r="BV11" s="523">
        <f t="shared" si="134"/>
        <v>0</v>
      </c>
      <c r="BW11" s="521"/>
      <c r="BX11" s="522">
        <f t="shared" si="23"/>
        <v>0</v>
      </c>
      <c r="BY11" s="523">
        <f t="shared" si="135"/>
        <v>0</v>
      </c>
      <c r="BZ11" s="521"/>
      <c r="CA11" s="522">
        <f t="shared" si="24"/>
        <v>0</v>
      </c>
      <c r="CB11" s="523">
        <f t="shared" si="136"/>
        <v>0</v>
      </c>
      <c r="CC11" s="521"/>
      <c r="CD11" s="522">
        <f t="shared" si="25"/>
        <v>0</v>
      </c>
      <c r="CE11" s="523">
        <f t="shared" si="137"/>
        <v>0</v>
      </c>
      <c r="CF11" s="521">
        <v>0.5</v>
      </c>
      <c r="CG11" s="522">
        <f t="shared" si="26"/>
        <v>1.2332585156500505E-2</v>
      </c>
      <c r="CH11" s="523">
        <f t="shared" si="138"/>
        <v>0</v>
      </c>
      <c r="CI11" s="521"/>
      <c r="CJ11" s="522">
        <f t="shared" si="27"/>
        <v>0</v>
      </c>
      <c r="CK11" s="523">
        <f t="shared" si="139"/>
        <v>0</v>
      </c>
      <c r="CL11" s="521"/>
      <c r="CM11" s="522">
        <f t="shared" si="28"/>
        <v>0</v>
      </c>
      <c r="CN11" s="523">
        <f t="shared" si="140"/>
        <v>0</v>
      </c>
      <c r="CO11" s="521"/>
      <c r="CP11" s="522">
        <f t="shared" si="29"/>
        <v>0</v>
      </c>
      <c r="CQ11" s="523">
        <f t="shared" si="141"/>
        <v>0</v>
      </c>
      <c r="CR11" s="521"/>
      <c r="CS11" s="522">
        <f t="shared" si="30"/>
        <v>0</v>
      </c>
      <c r="CT11" s="523">
        <f t="shared" si="142"/>
        <v>0</v>
      </c>
      <c r="CU11" s="521"/>
      <c r="CV11" s="522">
        <f t="shared" si="31"/>
        <v>0</v>
      </c>
      <c r="CW11" s="523">
        <f t="shared" si="143"/>
        <v>0</v>
      </c>
      <c r="CX11" s="521"/>
      <c r="CY11" s="522">
        <f t="shared" si="32"/>
        <v>0</v>
      </c>
      <c r="CZ11" s="523">
        <f t="shared" si="144"/>
        <v>0</v>
      </c>
      <c r="DA11" s="521"/>
      <c r="DB11" s="522">
        <f t="shared" si="33"/>
        <v>0</v>
      </c>
      <c r="DC11" s="523">
        <f t="shared" si="145"/>
        <v>0</v>
      </c>
      <c r="DD11" s="521"/>
      <c r="DE11" s="522">
        <f t="shared" si="34"/>
        <v>0</v>
      </c>
      <c r="DF11" s="523">
        <f t="shared" si="146"/>
        <v>0</v>
      </c>
      <c r="DG11" s="521"/>
      <c r="DH11" s="522">
        <f t="shared" si="35"/>
        <v>0</v>
      </c>
      <c r="DI11" s="523">
        <v>0</v>
      </c>
      <c r="DJ11" s="521"/>
      <c r="DK11" s="522">
        <f t="shared" si="36"/>
        <v>0</v>
      </c>
      <c r="DL11" s="523">
        <f t="shared" si="147"/>
        <v>0</v>
      </c>
      <c r="DM11" s="521"/>
      <c r="DN11" s="522">
        <f t="shared" si="37"/>
        <v>0</v>
      </c>
      <c r="DO11" s="523">
        <f t="shared" si="148"/>
        <v>0</v>
      </c>
      <c r="DP11" s="521"/>
      <c r="DQ11" s="522">
        <f t="shared" si="38"/>
        <v>0</v>
      </c>
      <c r="DR11" s="523">
        <f t="shared" si="149"/>
        <v>0</v>
      </c>
      <c r="DS11" s="521"/>
      <c r="DT11" s="522">
        <f t="shared" si="39"/>
        <v>0</v>
      </c>
      <c r="DU11" s="523">
        <f t="shared" si="150"/>
        <v>0</v>
      </c>
      <c r="DV11" s="521"/>
      <c r="DW11" s="522">
        <f t="shared" si="40"/>
        <v>0</v>
      </c>
      <c r="DX11" s="523">
        <f t="shared" si="151"/>
        <v>0</v>
      </c>
      <c r="DY11" s="521"/>
      <c r="DZ11" s="522">
        <f t="shared" si="41"/>
        <v>0</v>
      </c>
      <c r="EA11" s="523">
        <f t="shared" si="152"/>
        <v>0</v>
      </c>
      <c r="EB11" s="521"/>
      <c r="EC11" s="522">
        <f t="shared" si="42"/>
        <v>0</v>
      </c>
      <c r="ED11" s="523">
        <f t="shared" si="153"/>
        <v>0</v>
      </c>
      <c r="EE11" s="521">
        <v>21.802325581395365</v>
      </c>
      <c r="EF11" s="522">
        <f t="shared" si="43"/>
        <v>0.53775807368461548</v>
      </c>
      <c r="EG11" s="523">
        <f t="shared" si="154"/>
        <v>0</v>
      </c>
      <c r="EH11" s="521">
        <v>3</v>
      </c>
      <c r="EI11" s="522">
        <f t="shared" si="44"/>
        <v>7.3995510939003029E-2</v>
      </c>
      <c r="EJ11" s="523">
        <f t="shared" si="155"/>
        <v>0</v>
      </c>
      <c r="EK11" s="521">
        <v>24.390243902439011</v>
      </c>
      <c r="EL11" s="522">
        <f t="shared" si="45"/>
        <v>0.60158951982929265</v>
      </c>
      <c r="EM11" s="523">
        <f t="shared" si="156"/>
        <v>0</v>
      </c>
      <c r="EN11" s="521">
        <v>34.593023255813932</v>
      </c>
      <c r="EO11" s="522">
        <f t="shared" si="46"/>
        <v>0.85324281024625537</v>
      </c>
      <c r="EP11" s="523">
        <f t="shared" si="157"/>
        <v>0</v>
      </c>
      <c r="EQ11" s="521">
        <v>70.44705882352946</v>
      </c>
      <c r="ER11" s="522">
        <f t="shared" si="47"/>
        <v>1.7375887039323548</v>
      </c>
      <c r="ES11" s="523">
        <f t="shared" si="158"/>
        <v>0</v>
      </c>
      <c r="ET11" s="521">
        <v>488.37209302325584</v>
      </c>
      <c r="EU11" s="522">
        <f t="shared" si="48"/>
        <v>12.045780850535378</v>
      </c>
      <c r="EV11" s="523">
        <f t="shared" si="159"/>
        <v>0</v>
      </c>
      <c r="EW11" s="521"/>
      <c r="EX11" s="522">
        <f t="shared" si="49"/>
        <v>0</v>
      </c>
      <c r="EY11" s="523">
        <f t="shared" si="160"/>
        <v>0</v>
      </c>
      <c r="EZ11" s="521"/>
      <c r="FA11" s="522">
        <f t="shared" si="50"/>
        <v>0</v>
      </c>
      <c r="FB11" s="523">
        <f t="shared" si="161"/>
        <v>0</v>
      </c>
      <c r="FC11" s="521"/>
      <c r="FD11" s="522">
        <f t="shared" si="51"/>
        <v>0</v>
      </c>
      <c r="FE11" s="523">
        <f t="shared" si="162"/>
        <v>0</v>
      </c>
      <c r="FF11" s="521"/>
      <c r="FG11" s="522">
        <f t="shared" si="52"/>
        <v>0</v>
      </c>
      <c r="FH11" s="523">
        <f t="shared" si="163"/>
        <v>0</v>
      </c>
      <c r="FI11" s="521"/>
      <c r="FJ11" s="522">
        <f t="shared" si="53"/>
        <v>0</v>
      </c>
      <c r="FK11" s="523">
        <f t="shared" si="164"/>
        <v>0</v>
      </c>
      <c r="FL11" s="521"/>
      <c r="FM11" s="522">
        <f t="shared" si="54"/>
        <v>0</v>
      </c>
      <c r="FN11" s="523">
        <f t="shared" si="165"/>
        <v>0</v>
      </c>
      <c r="FO11" s="521"/>
      <c r="FP11" s="522">
        <f t="shared" si="55"/>
        <v>0</v>
      </c>
      <c r="FQ11" s="523">
        <f t="shared" si="166"/>
        <v>0</v>
      </c>
      <c r="FR11" s="521"/>
      <c r="FS11" s="522">
        <f t="shared" si="56"/>
        <v>0</v>
      </c>
      <c r="FT11" s="523">
        <f t="shared" si="167"/>
        <v>0</v>
      </c>
      <c r="FU11" s="521"/>
      <c r="FV11" s="522">
        <f t="shared" si="57"/>
        <v>0</v>
      </c>
      <c r="FW11" s="523">
        <f t="shared" si="168"/>
        <v>0</v>
      </c>
      <c r="FX11" s="521"/>
      <c r="FY11" s="522">
        <f t="shared" si="58"/>
        <v>0</v>
      </c>
      <c r="FZ11" s="523">
        <f t="shared" si="169"/>
        <v>0</v>
      </c>
      <c r="GA11" s="521"/>
      <c r="GB11" s="522">
        <f t="shared" si="59"/>
        <v>0</v>
      </c>
      <c r="GC11" s="523">
        <f t="shared" si="170"/>
        <v>0</v>
      </c>
      <c r="GD11" s="521"/>
      <c r="GE11" s="522">
        <f t="shared" si="60"/>
        <v>0</v>
      </c>
      <c r="GF11" s="523">
        <f t="shared" si="171"/>
        <v>0</v>
      </c>
      <c r="GG11" s="521"/>
      <c r="GH11" s="522">
        <f t="shared" si="61"/>
        <v>0</v>
      </c>
      <c r="GI11" s="523">
        <f t="shared" si="172"/>
        <v>0</v>
      </c>
      <c r="GJ11" s="521"/>
      <c r="GK11" s="522">
        <f t="shared" si="62"/>
        <v>0</v>
      </c>
      <c r="GL11" s="523">
        <f t="shared" si="173"/>
        <v>0</v>
      </c>
      <c r="GM11" s="521"/>
      <c r="GN11" s="522">
        <f t="shared" si="63"/>
        <v>0</v>
      </c>
      <c r="GO11" s="523">
        <f t="shared" si="174"/>
        <v>0</v>
      </c>
      <c r="GP11" s="521"/>
      <c r="GQ11" s="522">
        <f t="shared" si="64"/>
        <v>0</v>
      </c>
      <c r="GR11" s="523">
        <f t="shared" si="175"/>
        <v>0</v>
      </c>
      <c r="GS11" s="521"/>
      <c r="GT11" s="522">
        <f t="shared" si="65"/>
        <v>0</v>
      </c>
      <c r="GU11" s="523">
        <f t="shared" si="176"/>
        <v>0</v>
      </c>
      <c r="GV11" s="521"/>
      <c r="GW11" s="522">
        <f t="shared" si="66"/>
        <v>0</v>
      </c>
      <c r="GX11" s="523">
        <f t="shared" si="177"/>
        <v>0</v>
      </c>
      <c r="GY11" s="521"/>
      <c r="GZ11" s="522">
        <f t="shared" si="67"/>
        <v>0</v>
      </c>
      <c r="HA11" s="523">
        <f t="shared" si="178"/>
        <v>0</v>
      </c>
      <c r="HB11" s="521"/>
      <c r="HC11" s="522">
        <f t="shared" si="68"/>
        <v>0</v>
      </c>
      <c r="HD11" s="523">
        <f t="shared" si="179"/>
        <v>0</v>
      </c>
      <c r="HE11" s="521"/>
      <c r="HF11" s="522">
        <f t="shared" si="69"/>
        <v>0</v>
      </c>
      <c r="HG11" s="523">
        <f t="shared" si="180"/>
        <v>0</v>
      </c>
      <c r="HH11" s="521"/>
      <c r="HI11" s="522">
        <f t="shared" si="70"/>
        <v>0</v>
      </c>
      <c r="HJ11" s="523">
        <f t="shared" si="181"/>
        <v>0</v>
      </c>
      <c r="HK11" s="521"/>
      <c r="HL11" s="522">
        <f t="shared" si="71"/>
        <v>0</v>
      </c>
      <c r="HM11" s="523">
        <f t="shared" si="182"/>
        <v>0</v>
      </c>
      <c r="HN11" s="521"/>
      <c r="HO11" s="522">
        <f t="shared" si="72"/>
        <v>0</v>
      </c>
      <c r="HP11" s="523">
        <f t="shared" si="183"/>
        <v>0</v>
      </c>
      <c r="HQ11" s="521"/>
      <c r="HR11" s="522">
        <f t="shared" si="73"/>
        <v>0</v>
      </c>
      <c r="HS11" s="523">
        <f t="shared" si="184"/>
        <v>0</v>
      </c>
      <c r="HT11" s="521"/>
      <c r="HU11" s="522">
        <f t="shared" si="74"/>
        <v>0</v>
      </c>
      <c r="HV11" s="523">
        <f t="shared" si="185"/>
        <v>0</v>
      </c>
      <c r="HW11" s="521"/>
      <c r="HX11" s="522">
        <f t="shared" si="75"/>
        <v>0</v>
      </c>
      <c r="HY11" s="523">
        <f t="shared" si="186"/>
        <v>0</v>
      </c>
      <c r="HZ11" s="521"/>
      <c r="IA11" s="522">
        <f t="shared" si="76"/>
        <v>0</v>
      </c>
      <c r="IB11" s="523">
        <f t="shared" si="187"/>
        <v>0</v>
      </c>
      <c r="IC11" s="521"/>
      <c r="ID11" s="522">
        <f t="shared" si="77"/>
        <v>0</v>
      </c>
      <c r="IE11" s="523">
        <f t="shared" si="188"/>
        <v>0</v>
      </c>
      <c r="IF11" s="521"/>
      <c r="IG11" s="522">
        <f t="shared" si="78"/>
        <v>0</v>
      </c>
      <c r="IH11" s="523">
        <f t="shared" si="189"/>
        <v>0</v>
      </c>
      <c r="II11" s="521"/>
      <c r="IJ11" s="522">
        <f t="shared" si="79"/>
        <v>0</v>
      </c>
      <c r="IK11" s="523">
        <f t="shared" si="190"/>
        <v>0</v>
      </c>
      <c r="IL11" s="521"/>
      <c r="IM11" s="522">
        <f t="shared" si="80"/>
        <v>0</v>
      </c>
      <c r="IN11" s="523">
        <f t="shared" si="191"/>
        <v>0</v>
      </c>
      <c r="IO11" s="521"/>
      <c r="IP11" s="522">
        <f t="shared" si="81"/>
        <v>0</v>
      </c>
      <c r="IQ11" s="523">
        <f t="shared" si="192"/>
        <v>0</v>
      </c>
      <c r="IR11" s="521"/>
      <c r="IS11" s="522">
        <f t="shared" si="82"/>
        <v>0</v>
      </c>
      <c r="IT11" s="523">
        <f t="shared" si="193"/>
        <v>0</v>
      </c>
      <c r="IU11" s="521"/>
      <c r="IV11" s="522">
        <f t="shared" si="83"/>
        <v>0</v>
      </c>
      <c r="IW11" s="523">
        <f t="shared" si="194"/>
        <v>0</v>
      </c>
      <c r="IX11" s="521"/>
      <c r="IY11" s="522">
        <f t="shared" si="84"/>
        <v>0</v>
      </c>
      <c r="IZ11" s="523">
        <f t="shared" si="195"/>
        <v>0</v>
      </c>
      <c r="JA11" s="521"/>
      <c r="JB11" s="522">
        <f t="shared" si="85"/>
        <v>0</v>
      </c>
      <c r="JC11" s="523">
        <f t="shared" si="196"/>
        <v>0</v>
      </c>
      <c r="JD11" s="521"/>
      <c r="JE11" s="522">
        <f t="shared" si="86"/>
        <v>0</v>
      </c>
      <c r="JF11" s="523">
        <f t="shared" si="197"/>
        <v>0</v>
      </c>
      <c r="JG11" s="521"/>
      <c r="JH11" s="522">
        <f t="shared" si="87"/>
        <v>0</v>
      </c>
      <c r="JI11" s="523">
        <f t="shared" si="198"/>
        <v>0</v>
      </c>
      <c r="JJ11" s="521"/>
      <c r="JK11" s="523" t="str">
        <f t="shared" si="88"/>
        <v>0</v>
      </c>
      <c r="JL11" s="523" t="str">
        <f t="shared" si="89"/>
        <v>0</v>
      </c>
      <c r="JM11" s="521"/>
      <c r="JN11" s="523" t="str">
        <f t="shared" si="90"/>
        <v>0</v>
      </c>
      <c r="JO11" s="523" t="str">
        <f t="shared" si="91"/>
        <v>0</v>
      </c>
      <c r="JP11" s="521"/>
      <c r="JQ11" s="523" t="str">
        <f t="shared" si="92"/>
        <v>0</v>
      </c>
      <c r="JR11" s="523" t="str">
        <f t="shared" si="93"/>
        <v>0</v>
      </c>
      <c r="JS11" s="521"/>
      <c r="JT11" s="523" t="str">
        <f t="shared" si="94"/>
        <v>0</v>
      </c>
      <c r="JU11" s="523" t="str">
        <f t="shared" si="95"/>
        <v>0</v>
      </c>
      <c r="JV11" s="521"/>
      <c r="JW11" s="523" t="str">
        <f t="shared" si="96"/>
        <v>0</v>
      </c>
      <c r="JX11" s="523" t="str">
        <f t="shared" si="97"/>
        <v>0</v>
      </c>
      <c r="JY11" s="521"/>
      <c r="JZ11" s="523" t="str">
        <f t="shared" si="98"/>
        <v>0</v>
      </c>
      <c r="KA11" s="523" t="str">
        <f t="shared" si="99"/>
        <v>0</v>
      </c>
      <c r="KB11" s="521"/>
      <c r="KC11" s="523" t="str">
        <f t="shared" si="100"/>
        <v>0</v>
      </c>
      <c r="KD11" s="523" t="str">
        <f t="shared" si="101"/>
        <v>0</v>
      </c>
      <c r="KE11" s="521"/>
      <c r="KF11" s="523" t="str">
        <f t="shared" si="102"/>
        <v>0</v>
      </c>
      <c r="KG11" s="523" t="str">
        <f t="shared" si="103"/>
        <v>0</v>
      </c>
      <c r="KH11" s="521"/>
      <c r="KI11" s="523" t="str">
        <f t="shared" si="104"/>
        <v>0</v>
      </c>
      <c r="KJ11" s="523" t="str">
        <f t="shared" si="105"/>
        <v>0</v>
      </c>
      <c r="KK11" s="521"/>
      <c r="KL11" s="523" t="str">
        <f t="shared" si="106"/>
        <v>0</v>
      </c>
      <c r="KM11" s="523" t="str">
        <f t="shared" si="107"/>
        <v>0</v>
      </c>
      <c r="KN11" s="521"/>
      <c r="KO11" s="523" t="str">
        <f t="shared" si="108"/>
        <v>0</v>
      </c>
      <c r="KP11" s="523" t="str">
        <f t="shared" si="109"/>
        <v>0</v>
      </c>
      <c r="KQ11" s="521"/>
      <c r="KR11" s="523" t="str">
        <f t="shared" si="110"/>
        <v>0</v>
      </c>
      <c r="KS11" s="523" t="str">
        <f t="shared" si="111"/>
        <v>0</v>
      </c>
      <c r="KT11" s="523">
        <f t="shared" ref="KT11:KT41" si="201">H11+K11+N11+Q11+T11+W11+Z11+AC11+AF11+AI11+AL11+AO11+AR11+AU11+AX11+BA11+BD11+BG11+BJ11+BM11+BP11+BS11+BV11+BY11+CB11+CE11+CH11+CK11+CN11+CQ11+CT11+CW11+CZ11+DC11+DF11+DI11+DL11+DO11+DR11+DU11+DX11+EA11+ED11+EG11+EJ11+EM11+EP11+ES11+EV11+EY11+FB11+FE11+FH11+FK11+FN11+FQ11+FT11+FW11+FZ11+GC11</f>
        <v>0</v>
      </c>
      <c r="KU11" s="523">
        <f t="shared" ref="KU11:KU41" si="202">GF11+GI11+GL11+GO11+GR11+GU11+GX11+HA11+HD11+HG11+HJ11+HM11+HP11+HS11+HV11+HY11+IB11+IE11+IH11+IK11+IN11+IQ11+IT11+IW11+IZ11+JC11+JF11+JI11+JL11+JO11+JR11+JU11+JX11++KA11+KD11+KG11+KJ11++KM11+KP11+KS11</f>
        <v>0</v>
      </c>
      <c r="KV11" s="261">
        <f t="shared" si="199"/>
        <v>917.29369807480577</v>
      </c>
    </row>
    <row r="12" spans="1:308">
      <c r="A12" s="262">
        <f t="shared" si="200"/>
        <v>46085</v>
      </c>
      <c r="B12" s="263" t="str">
        <f>+Report1!B12</f>
        <v>Facial</v>
      </c>
      <c r="C12" s="263" t="str">
        <f>+Report1!C12</f>
        <v>14</v>
      </c>
      <c r="D12" s="264">
        <f>+Report1!P12</f>
        <v>42.442999999999998</v>
      </c>
      <c r="E12" s="556">
        <f>+Report1!R12</f>
        <v>39.755000000000003</v>
      </c>
      <c r="F12" s="521"/>
      <c r="G12" s="522">
        <f t="shared" si="0"/>
        <v>0</v>
      </c>
      <c r="H12" s="523">
        <f t="shared" si="112"/>
        <v>0</v>
      </c>
      <c r="I12" s="521">
        <v>267.44186046511618</v>
      </c>
      <c r="J12" s="522">
        <f t="shared" si="1"/>
        <v>6.7272509235345535</v>
      </c>
      <c r="K12" s="523">
        <f t="shared" si="113"/>
        <v>0</v>
      </c>
      <c r="L12" s="521"/>
      <c r="M12" s="522">
        <f t="shared" si="2"/>
        <v>0</v>
      </c>
      <c r="N12" s="523">
        <f t="shared" si="114"/>
        <v>0</v>
      </c>
      <c r="O12" s="521">
        <v>6</v>
      </c>
      <c r="P12" s="522">
        <f t="shared" si="3"/>
        <v>0.15092441202364482</v>
      </c>
      <c r="Q12" s="523">
        <f t="shared" si="115"/>
        <v>0</v>
      </c>
      <c r="R12" s="521"/>
      <c r="S12" s="522">
        <f t="shared" si="4"/>
        <v>0</v>
      </c>
      <c r="T12" s="523">
        <f t="shared" si="116"/>
        <v>0</v>
      </c>
      <c r="U12" s="521">
        <v>7.6874999999999716</v>
      </c>
      <c r="V12" s="522">
        <f t="shared" si="5"/>
        <v>0.19337190290529421</v>
      </c>
      <c r="W12" s="523">
        <f t="shared" si="117"/>
        <v>0</v>
      </c>
      <c r="X12" s="521"/>
      <c r="Y12" s="522">
        <f t="shared" si="6"/>
        <v>0</v>
      </c>
      <c r="Z12" s="523">
        <f t="shared" si="118"/>
        <v>0</v>
      </c>
      <c r="AA12" s="521">
        <v>4.6875</v>
      </c>
      <c r="AB12" s="522">
        <f t="shared" si="7"/>
        <v>0.11790969689347251</v>
      </c>
      <c r="AC12" s="523">
        <f t="shared" si="119"/>
        <v>0</v>
      </c>
      <c r="AD12" s="521"/>
      <c r="AE12" s="522">
        <f t="shared" si="8"/>
        <v>0</v>
      </c>
      <c r="AF12" s="523">
        <f t="shared" si="120"/>
        <v>0</v>
      </c>
      <c r="AG12" s="521"/>
      <c r="AH12" s="522">
        <f t="shared" si="9"/>
        <v>0</v>
      </c>
      <c r="AI12" s="523">
        <f t="shared" si="121"/>
        <v>0</v>
      </c>
      <c r="AJ12" s="521"/>
      <c r="AK12" s="522">
        <f t="shared" si="10"/>
        <v>0</v>
      </c>
      <c r="AL12" s="523">
        <f t="shared" si="122"/>
        <v>0</v>
      </c>
      <c r="AM12" s="521"/>
      <c r="AN12" s="522">
        <f t="shared" si="11"/>
        <v>0</v>
      </c>
      <c r="AO12" s="523">
        <f t="shared" si="123"/>
        <v>0</v>
      </c>
      <c r="AP12" s="521"/>
      <c r="AQ12" s="522">
        <f t="shared" si="12"/>
        <v>0</v>
      </c>
      <c r="AR12" s="523">
        <f t="shared" si="124"/>
        <v>0</v>
      </c>
      <c r="AS12" s="521"/>
      <c r="AT12" s="522">
        <f t="shared" si="13"/>
        <v>0</v>
      </c>
      <c r="AU12" s="523">
        <f t="shared" si="125"/>
        <v>0</v>
      </c>
      <c r="AV12" s="521"/>
      <c r="AW12" s="522">
        <f t="shared" si="14"/>
        <v>0</v>
      </c>
      <c r="AX12" s="523">
        <f t="shared" si="126"/>
        <v>0</v>
      </c>
      <c r="AY12" s="521"/>
      <c r="AZ12" s="522">
        <f t="shared" si="15"/>
        <v>0</v>
      </c>
      <c r="BA12" s="523">
        <f t="shared" si="127"/>
        <v>0</v>
      </c>
      <c r="BB12" s="521"/>
      <c r="BC12" s="522">
        <f t="shared" si="16"/>
        <v>0</v>
      </c>
      <c r="BD12" s="523">
        <f t="shared" si="128"/>
        <v>0</v>
      </c>
      <c r="BE12" s="521"/>
      <c r="BF12" s="522">
        <f t="shared" si="17"/>
        <v>0</v>
      </c>
      <c r="BG12" s="523">
        <f t="shared" si="129"/>
        <v>0</v>
      </c>
      <c r="BH12" s="521"/>
      <c r="BI12" s="522">
        <f t="shared" si="18"/>
        <v>0</v>
      </c>
      <c r="BJ12" s="523">
        <f t="shared" si="130"/>
        <v>0</v>
      </c>
      <c r="BK12" s="521"/>
      <c r="BL12" s="522">
        <f t="shared" si="19"/>
        <v>0</v>
      </c>
      <c r="BM12" s="523">
        <f t="shared" si="131"/>
        <v>0</v>
      </c>
      <c r="BN12" s="521"/>
      <c r="BO12" s="522">
        <f t="shared" si="20"/>
        <v>0</v>
      </c>
      <c r="BP12" s="523">
        <f t="shared" si="132"/>
        <v>0</v>
      </c>
      <c r="BQ12" s="521"/>
      <c r="BR12" s="522">
        <f t="shared" si="21"/>
        <v>0</v>
      </c>
      <c r="BS12" s="523">
        <f t="shared" si="133"/>
        <v>0</v>
      </c>
      <c r="BT12" s="521"/>
      <c r="BU12" s="522">
        <f t="shared" si="22"/>
        <v>0</v>
      </c>
      <c r="BV12" s="523">
        <f t="shared" si="134"/>
        <v>0</v>
      </c>
      <c r="BW12" s="521"/>
      <c r="BX12" s="522">
        <f t="shared" si="23"/>
        <v>0</v>
      </c>
      <c r="BY12" s="523">
        <f t="shared" si="135"/>
        <v>0</v>
      </c>
      <c r="BZ12" s="521"/>
      <c r="CA12" s="522">
        <f t="shared" si="24"/>
        <v>0</v>
      </c>
      <c r="CB12" s="523">
        <f t="shared" si="136"/>
        <v>0</v>
      </c>
      <c r="CC12" s="521"/>
      <c r="CD12" s="522">
        <f t="shared" si="25"/>
        <v>0</v>
      </c>
      <c r="CE12" s="523">
        <f t="shared" si="137"/>
        <v>0</v>
      </c>
      <c r="CF12" s="521">
        <v>0.5</v>
      </c>
      <c r="CG12" s="522">
        <f t="shared" si="26"/>
        <v>1.2577034335303735E-2</v>
      </c>
      <c r="CH12" s="523">
        <f t="shared" si="138"/>
        <v>0</v>
      </c>
      <c r="CI12" s="521"/>
      <c r="CJ12" s="522">
        <f t="shared" si="27"/>
        <v>0</v>
      </c>
      <c r="CK12" s="523">
        <f t="shared" si="139"/>
        <v>0</v>
      </c>
      <c r="CL12" s="521"/>
      <c r="CM12" s="522">
        <f t="shared" si="28"/>
        <v>0</v>
      </c>
      <c r="CN12" s="523">
        <f t="shared" si="140"/>
        <v>0</v>
      </c>
      <c r="CO12" s="521"/>
      <c r="CP12" s="522">
        <f t="shared" si="29"/>
        <v>0</v>
      </c>
      <c r="CQ12" s="523">
        <f t="shared" si="141"/>
        <v>0</v>
      </c>
      <c r="CR12" s="521"/>
      <c r="CS12" s="522">
        <f t="shared" si="30"/>
        <v>0</v>
      </c>
      <c r="CT12" s="523">
        <f t="shared" si="142"/>
        <v>0</v>
      </c>
      <c r="CU12" s="521"/>
      <c r="CV12" s="522">
        <f t="shared" si="31"/>
        <v>0</v>
      </c>
      <c r="CW12" s="523">
        <f t="shared" si="143"/>
        <v>0</v>
      </c>
      <c r="CX12" s="521"/>
      <c r="CY12" s="522">
        <f t="shared" si="32"/>
        <v>0</v>
      </c>
      <c r="CZ12" s="523">
        <f t="shared" si="144"/>
        <v>0</v>
      </c>
      <c r="DA12" s="521"/>
      <c r="DB12" s="522">
        <f t="shared" si="33"/>
        <v>0</v>
      </c>
      <c r="DC12" s="523">
        <f t="shared" si="145"/>
        <v>0</v>
      </c>
      <c r="DD12" s="521"/>
      <c r="DE12" s="522">
        <f t="shared" si="34"/>
        <v>0</v>
      </c>
      <c r="DF12" s="523">
        <f t="shared" si="146"/>
        <v>0</v>
      </c>
      <c r="DG12" s="521"/>
      <c r="DH12" s="522">
        <f t="shared" si="35"/>
        <v>0</v>
      </c>
      <c r="DI12" s="523">
        <v>0</v>
      </c>
      <c r="DJ12" s="521"/>
      <c r="DK12" s="522">
        <f t="shared" si="36"/>
        <v>0</v>
      </c>
      <c r="DL12" s="523">
        <f t="shared" si="147"/>
        <v>0</v>
      </c>
      <c r="DM12" s="521"/>
      <c r="DN12" s="522">
        <f t="shared" si="37"/>
        <v>0</v>
      </c>
      <c r="DO12" s="523">
        <f t="shared" si="148"/>
        <v>0</v>
      </c>
      <c r="DP12" s="521"/>
      <c r="DQ12" s="522">
        <f t="shared" si="38"/>
        <v>0</v>
      </c>
      <c r="DR12" s="523">
        <f t="shared" si="149"/>
        <v>0</v>
      </c>
      <c r="DS12" s="521"/>
      <c r="DT12" s="522">
        <f t="shared" si="39"/>
        <v>0</v>
      </c>
      <c r="DU12" s="523">
        <f t="shared" si="150"/>
        <v>0</v>
      </c>
      <c r="DV12" s="521"/>
      <c r="DW12" s="522">
        <f t="shared" si="40"/>
        <v>0</v>
      </c>
      <c r="DX12" s="523">
        <f t="shared" si="151"/>
        <v>0</v>
      </c>
      <c r="DY12" s="521"/>
      <c r="DZ12" s="522">
        <f t="shared" si="41"/>
        <v>0</v>
      </c>
      <c r="EA12" s="523">
        <f t="shared" si="152"/>
        <v>0</v>
      </c>
      <c r="EB12" s="521"/>
      <c r="EC12" s="522">
        <f t="shared" si="42"/>
        <v>0</v>
      </c>
      <c r="ED12" s="523">
        <f t="shared" si="153"/>
        <v>0</v>
      </c>
      <c r="EE12" s="521">
        <v>21.802325581395365</v>
      </c>
      <c r="EF12" s="522">
        <f t="shared" si="43"/>
        <v>0.54841719485336093</v>
      </c>
      <c r="EG12" s="523">
        <f t="shared" si="154"/>
        <v>0</v>
      </c>
      <c r="EH12" s="521">
        <v>3</v>
      </c>
      <c r="EI12" s="522">
        <f t="shared" si="44"/>
        <v>7.5462206011822408E-2</v>
      </c>
      <c r="EJ12" s="523">
        <f t="shared" si="155"/>
        <v>0</v>
      </c>
      <c r="EK12" s="521">
        <v>48.780487804878021</v>
      </c>
      <c r="EL12" s="522">
        <f t="shared" si="45"/>
        <v>1.2270277400296319</v>
      </c>
      <c r="EM12" s="523">
        <f t="shared" si="156"/>
        <v>0</v>
      </c>
      <c r="EN12" s="521">
        <v>34.593023255813819</v>
      </c>
      <c r="EO12" s="522">
        <f t="shared" si="46"/>
        <v>0.87015528250066199</v>
      </c>
      <c r="EP12" s="523">
        <f t="shared" si="157"/>
        <v>0</v>
      </c>
      <c r="EQ12" s="521">
        <v>82.18823529411759</v>
      </c>
      <c r="ER12" s="522">
        <f t="shared" si="47"/>
        <v>2.0673685145042784</v>
      </c>
      <c r="ES12" s="523">
        <f t="shared" si="158"/>
        <v>0</v>
      </c>
      <c r="ET12" s="521">
        <v>406.97674418604652</v>
      </c>
      <c r="EU12" s="522">
        <f t="shared" si="48"/>
        <v>10.237120970596063</v>
      </c>
      <c r="EV12" s="523">
        <f t="shared" si="159"/>
        <v>0</v>
      </c>
      <c r="EW12" s="521"/>
      <c r="EX12" s="522">
        <f t="shared" si="49"/>
        <v>0</v>
      </c>
      <c r="EY12" s="523">
        <f t="shared" si="160"/>
        <v>0</v>
      </c>
      <c r="EZ12" s="521"/>
      <c r="FA12" s="522">
        <f t="shared" si="50"/>
        <v>0</v>
      </c>
      <c r="FB12" s="523">
        <f t="shared" si="161"/>
        <v>0</v>
      </c>
      <c r="FC12" s="521"/>
      <c r="FD12" s="522">
        <f t="shared" si="51"/>
        <v>0</v>
      </c>
      <c r="FE12" s="523">
        <f t="shared" si="162"/>
        <v>0</v>
      </c>
      <c r="FF12" s="521"/>
      <c r="FG12" s="522">
        <f t="shared" si="52"/>
        <v>0</v>
      </c>
      <c r="FH12" s="523">
        <f t="shared" si="163"/>
        <v>0</v>
      </c>
      <c r="FI12" s="521"/>
      <c r="FJ12" s="522">
        <f t="shared" si="53"/>
        <v>0</v>
      </c>
      <c r="FK12" s="523">
        <f t="shared" si="164"/>
        <v>0</v>
      </c>
      <c r="FL12" s="521"/>
      <c r="FM12" s="522">
        <f t="shared" si="54"/>
        <v>0</v>
      </c>
      <c r="FN12" s="523">
        <f t="shared" si="165"/>
        <v>0</v>
      </c>
      <c r="FO12" s="521"/>
      <c r="FP12" s="522">
        <f t="shared" si="55"/>
        <v>0</v>
      </c>
      <c r="FQ12" s="523">
        <f t="shared" si="166"/>
        <v>0</v>
      </c>
      <c r="FR12" s="521"/>
      <c r="FS12" s="522">
        <f t="shared" si="56"/>
        <v>0</v>
      </c>
      <c r="FT12" s="523">
        <f t="shared" si="167"/>
        <v>0</v>
      </c>
      <c r="FU12" s="521"/>
      <c r="FV12" s="522">
        <f t="shared" si="57"/>
        <v>0</v>
      </c>
      <c r="FW12" s="523">
        <f t="shared" si="168"/>
        <v>0</v>
      </c>
      <c r="FX12" s="521"/>
      <c r="FY12" s="522">
        <f t="shared" si="58"/>
        <v>0</v>
      </c>
      <c r="FZ12" s="523">
        <f t="shared" si="169"/>
        <v>0</v>
      </c>
      <c r="GA12" s="521"/>
      <c r="GB12" s="522">
        <f t="shared" si="59"/>
        <v>0</v>
      </c>
      <c r="GC12" s="523">
        <f t="shared" si="170"/>
        <v>0</v>
      </c>
      <c r="GD12" s="521"/>
      <c r="GE12" s="522">
        <f t="shared" si="60"/>
        <v>0</v>
      </c>
      <c r="GF12" s="523">
        <f t="shared" si="171"/>
        <v>0</v>
      </c>
      <c r="GG12" s="521"/>
      <c r="GH12" s="522">
        <f t="shared" si="61"/>
        <v>0</v>
      </c>
      <c r="GI12" s="523">
        <f t="shared" si="172"/>
        <v>0</v>
      </c>
      <c r="GJ12" s="521"/>
      <c r="GK12" s="522">
        <f t="shared" si="62"/>
        <v>0</v>
      </c>
      <c r="GL12" s="523">
        <f t="shared" si="173"/>
        <v>0</v>
      </c>
      <c r="GM12" s="521"/>
      <c r="GN12" s="522">
        <f t="shared" si="63"/>
        <v>0</v>
      </c>
      <c r="GO12" s="523">
        <f t="shared" si="174"/>
        <v>0</v>
      </c>
      <c r="GP12" s="521"/>
      <c r="GQ12" s="522">
        <f t="shared" si="64"/>
        <v>0</v>
      </c>
      <c r="GR12" s="523">
        <f t="shared" si="175"/>
        <v>0</v>
      </c>
      <c r="GS12" s="521"/>
      <c r="GT12" s="522">
        <f t="shared" si="65"/>
        <v>0</v>
      </c>
      <c r="GU12" s="523">
        <f t="shared" si="176"/>
        <v>0</v>
      </c>
      <c r="GV12" s="521"/>
      <c r="GW12" s="522">
        <f t="shared" si="66"/>
        <v>0</v>
      </c>
      <c r="GX12" s="523">
        <f t="shared" si="177"/>
        <v>0</v>
      </c>
      <c r="GY12" s="521"/>
      <c r="GZ12" s="522">
        <f t="shared" si="67"/>
        <v>0</v>
      </c>
      <c r="HA12" s="523">
        <f t="shared" si="178"/>
        <v>0</v>
      </c>
      <c r="HB12" s="521"/>
      <c r="HC12" s="522">
        <f t="shared" si="68"/>
        <v>0</v>
      </c>
      <c r="HD12" s="523">
        <f t="shared" si="179"/>
        <v>0</v>
      </c>
      <c r="HE12" s="521"/>
      <c r="HF12" s="522">
        <f t="shared" si="69"/>
        <v>0</v>
      </c>
      <c r="HG12" s="523">
        <f t="shared" si="180"/>
        <v>0</v>
      </c>
      <c r="HH12" s="521"/>
      <c r="HI12" s="522">
        <f t="shared" si="70"/>
        <v>0</v>
      </c>
      <c r="HJ12" s="523">
        <f t="shared" si="181"/>
        <v>0</v>
      </c>
      <c r="HK12" s="521"/>
      <c r="HL12" s="522">
        <f t="shared" si="71"/>
        <v>0</v>
      </c>
      <c r="HM12" s="523">
        <f t="shared" si="182"/>
        <v>0</v>
      </c>
      <c r="HN12" s="521"/>
      <c r="HO12" s="522">
        <f t="shared" si="72"/>
        <v>0</v>
      </c>
      <c r="HP12" s="523">
        <f t="shared" si="183"/>
        <v>0</v>
      </c>
      <c r="HQ12" s="521"/>
      <c r="HR12" s="522">
        <f t="shared" si="73"/>
        <v>0</v>
      </c>
      <c r="HS12" s="523">
        <f t="shared" si="184"/>
        <v>0</v>
      </c>
      <c r="HT12" s="521"/>
      <c r="HU12" s="522">
        <f t="shared" si="74"/>
        <v>0</v>
      </c>
      <c r="HV12" s="523">
        <f t="shared" si="185"/>
        <v>0</v>
      </c>
      <c r="HW12" s="521"/>
      <c r="HX12" s="522">
        <f t="shared" si="75"/>
        <v>0</v>
      </c>
      <c r="HY12" s="523">
        <f t="shared" si="186"/>
        <v>0</v>
      </c>
      <c r="HZ12" s="521"/>
      <c r="IA12" s="522">
        <f t="shared" si="76"/>
        <v>0</v>
      </c>
      <c r="IB12" s="523">
        <f t="shared" si="187"/>
        <v>0</v>
      </c>
      <c r="IC12" s="521"/>
      <c r="ID12" s="522">
        <f t="shared" si="77"/>
        <v>0</v>
      </c>
      <c r="IE12" s="523">
        <f t="shared" si="188"/>
        <v>0</v>
      </c>
      <c r="IF12" s="521"/>
      <c r="IG12" s="522">
        <f t="shared" si="78"/>
        <v>0</v>
      </c>
      <c r="IH12" s="523">
        <f t="shared" si="189"/>
        <v>0</v>
      </c>
      <c r="II12" s="521"/>
      <c r="IJ12" s="522">
        <f t="shared" si="79"/>
        <v>0</v>
      </c>
      <c r="IK12" s="523">
        <f t="shared" si="190"/>
        <v>0</v>
      </c>
      <c r="IL12" s="521"/>
      <c r="IM12" s="522">
        <f t="shared" si="80"/>
        <v>0</v>
      </c>
      <c r="IN12" s="523">
        <f t="shared" si="191"/>
        <v>0</v>
      </c>
      <c r="IO12" s="521"/>
      <c r="IP12" s="522">
        <f t="shared" si="81"/>
        <v>0</v>
      </c>
      <c r="IQ12" s="523">
        <f t="shared" si="192"/>
        <v>0</v>
      </c>
      <c r="IR12" s="521"/>
      <c r="IS12" s="522">
        <f t="shared" si="82"/>
        <v>0</v>
      </c>
      <c r="IT12" s="523">
        <f t="shared" si="193"/>
        <v>0</v>
      </c>
      <c r="IU12" s="521"/>
      <c r="IV12" s="522">
        <f t="shared" si="83"/>
        <v>0</v>
      </c>
      <c r="IW12" s="523">
        <f t="shared" si="194"/>
        <v>0</v>
      </c>
      <c r="IX12" s="521"/>
      <c r="IY12" s="522">
        <f t="shared" si="84"/>
        <v>0</v>
      </c>
      <c r="IZ12" s="523">
        <f t="shared" si="195"/>
        <v>0</v>
      </c>
      <c r="JA12" s="521"/>
      <c r="JB12" s="522">
        <f t="shared" si="85"/>
        <v>0</v>
      </c>
      <c r="JC12" s="523">
        <f t="shared" si="196"/>
        <v>0</v>
      </c>
      <c r="JD12" s="521"/>
      <c r="JE12" s="522">
        <f t="shared" si="86"/>
        <v>0</v>
      </c>
      <c r="JF12" s="523">
        <f t="shared" si="197"/>
        <v>0</v>
      </c>
      <c r="JG12" s="521"/>
      <c r="JH12" s="522">
        <f t="shared" si="87"/>
        <v>0</v>
      </c>
      <c r="JI12" s="523">
        <f t="shared" si="198"/>
        <v>0</v>
      </c>
      <c r="JJ12" s="521"/>
      <c r="JK12" s="523" t="str">
        <f t="shared" si="88"/>
        <v>0</v>
      </c>
      <c r="JL12" s="523" t="str">
        <f t="shared" si="89"/>
        <v>0</v>
      </c>
      <c r="JM12" s="521"/>
      <c r="JN12" s="523" t="str">
        <f t="shared" si="90"/>
        <v>0</v>
      </c>
      <c r="JO12" s="523" t="str">
        <f t="shared" si="91"/>
        <v>0</v>
      </c>
      <c r="JP12" s="521"/>
      <c r="JQ12" s="523" t="str">
        <f t="shared" si="92"/>
        <v>0</v>
      </c>
      <c r="JR12" s="523" t="str">
        <f t="shared" si="93"/>
        <v>0</v>
      </c>
      <c r="JS12" s="521"/>
      <c r="JT12" s="523" t="str">
        <f t="shared" si="94"/>
        <v>0</v>
      </c>
      <c r="JU12" s="523" t="str">
        <f t="shared" si="95"/>
        <v>0</v>
      </c>
      <c r="JV12" s="521"/>
      <c r="JW12" s="523" t="str">
        <f t="shared" si="96"/>
        <v>0</v>
      </c>
      <c r="JX12" s="523" t="str">
        <f t="shared" si="97"/>
        <v>0</v>
      </c>
      <c r="JY12" s="521"/>
      <c r="JZ12" s="523" t="str">
        <f t="shared" si="98"/>
        <v>0</v>
      </c>
      <c r="KA12" s="523" t="str">
        <f t="shared" si="99"/>
        <v>0</v>
      </c>
      <c r="KB12" s="521"/>
      <c r="KC12" s="523" t="str">
        <f t="shared" si="100"/>
        <v>0</v>
      </c>
      <c r="KD12" s="523" t="str">
        <f t="shared" si="101"/>
        <v>0</v>
      </c>
      <c r="KE12" s="521"/>
      <c r="KF12" s="523" t="str">
        <f t="shared" si="102"/>
        <v>0</v>
      </c>
      <c r="KG12" s="523" t="str">
        <f t="shared" si="103"/>
        <v>0</v>
      </c>
      <c r="KH12" s="521"/>
      <c r="KI12" s="523" t="str">
        <f t="shared" si="104"/>
        <v>0</v>
      </c>
      <c r="KJ12" s="523" t="str">
        <f t="shared" si="105"/>
        <v>0</v>
      </c>
      <c r="KK12" s="521"/>
      <c r="KL12" s="523" t="str">
        <f t="shared" si="106"/>
        <v>0</v>
      </c>
      <c r="KM12" s="523" t="str">
        <f t="shared" si="107"/>
        <v>0</v>
      </c>
      <c r="KN12" s="521"/>
      <c r="KO12" s="523" t="str">
        <f t="shared" si="108"/>
        <v>0</v>
      </c>
      <c r="KP12" s="523" t="str">
        <f t="shared" si="109"/>
        <v>0</v>
      </c>
      <c r="KQ12" s="521"/>
      <c r="KR12" s="523" t="str">
        <f t="shared" si="110"/>
        <v>0</v>
      </c>
      <c r="KS12" s="523" t="str">
        <f t="shared" si="111"/>
        <v>0</v>
      </c>
      <c r="KT12" s="523">
        <f t="shared" si="201"/>
        <v>0</v>
      </c>
      <c r="KU12" s="523">
        <f t="shared" si="202"/>
        <v>0</v>
      </c>
      <c r="KV12" s="261">
        <f t="shared" si="199"/>
        <v>883.65767658736752</v>
      </c>
    </row>
    <row r="13" spans="1:308">
      <c r="A13" s="262">
        <f t="shared" si="200"/>
        <v>46086</v>
      </c>
      <c r="B13" s="263" t="str">
        <f>+Report1!B13</f>
        <v>Facial</v>
      </c>
      <c r="C13" s="263" t="str">
        <f>+Report1!C13</f>
        <v>14/13,5/16</v>
      </c>
      <c r="D13" s="264">
        <f>+Report1!P13</f>
        <v>42.963000000000001</v>
      </c>
      <c r="E13" s="556">
        <f>+Report1!R13</f>
        <v>38.893000000000001</v>
      </c>
      <c r="F13" s="521"/>
      <c r="G13" s="522">
        <f t="shared" si="0"/>
        <v>0</v>
      </c>
      <c r="H13" s="523">
        <f t="shared" si="112"/>
        <v>0</v>
      </c>
      <c r="I13" s="521">
        <v>244.18604651162786</v>
      </c>
      <c r="J13" s="522">
        <f t="shared" si="1"/>
        <v>6.278406050230835</v>
      </c>
      <c r="K13" s="523">
        <f t="shared" si="113"/>
        <v>0</v>
      </c>
      <c r="L13" s="521"/>
      <c r="M13" s="522">
        <f t="shared" si="2"/>
        <v>0</v>
      </c>
      <c r="N13" s="523">
        <f t="shared" si="114"/>
        <v>0</v>
      </c>
      <c r="O13" s="521">
        <v>6</v>
      </c>
      <c r="P13" s="522">
        <f t="shared" si="3"/>
        <v>0.15426940580567197</v>
      </c>
      <c r="Q13" s="523">
        <f t="shared" si="115"/>
        <v>0</v>
      </c>
      <c r="R13" s="521"/>
      <c r="S13" s="522">
        <f t="shared" si="4"/>
        <v>0</v>
      </c>
      <c r="T13" s="523">
        <f t="shared" si="116"/>
        <v>0</v>
      </c>
      <c r="U13" s="521">
        <v>7.6875</v>
      </c>
      <c r="V13" s="522">
        <f t="shared" si="5"/>
        <v>0.19765767618851721</v>
      </c>
      <c r="W13" s="523">
        <f t="shared" si="117"/>
        <v>0</v>
      </c>
      <c r="X13" s="521"/>
      <c r="Y13" s="522">
        <f t="shared" si="6"/>
        <v>0</v>
      </c>
      <c r="Z13" s="523">
        <f t="shared" si="118"/>
        <v>0</v>
      </c>
      <c r="AA13" s="521">
        <v>4.6875000000000142</v>
      </c>
      <c r="AB13" s="522">
        <f t="shared" si="7"/>
        <v>0.12052297328568159</v>
      </c>
      <c r="AC13" s="523">
        <f t="shared" si="119"/>
        <v>0</v>
      </c>
      <c r="AD13" s="521"/>
      <c r="AE13" s="522">
        <f t="shared" si="8"/>
        <v>0</v>
      </c>
      <c r="AF13" s="523">
        <f t="shared" si="120"/>
        <v>0</v>
      </c>
      <c r="AG13" s="521"/>
      <c r="AH13" s="522">
        <f t="shared" si="9"/>
        <v>0</v>
      </c>
      <c r="AI13" s="523">
        <f t="shared" si="121"/>
        <v>0</v>
      </c>
      <c r="AJ13" s="521"/>
      <c r="AK13" s="522">
        <f t="shared" si="10"/>
        <v>0</v>
      </c>
      <c r="AL13" s="523">
        <f t="shared" si="122"/>
        <v>0</v>
      </c>
      <c r="AM13" s="521"/>
      <c r="AN13" s="522">
        <f t="shared" si="11"/>
        <v>0</v>
      </c>
      <c r="AO13" s="523">
        <f t="shared" si="123"/>
        <v>0</v>
      </c>
      <c r="AP13" s="521"/>
      <c r="AQ13" s="522">
        <f t="shared" si="12"/>
        <v>0</v>
      </c>
      <c r="AR13" s="523">
        <f t="shared" si="124"/>
        <v>0</v>
      </c>
      <c r="AS13" s="521"/>
      <c r="AT13" s="522">
        <f t="shared" si="13"/>
        <v>0</v>
      </c>
      <c r="AU13" s="523">
        <f t="shared" si="125"/>
        <v>0</v>
      </c>
      <c r="AV13" s="521"/>
      <c r="AW13" s="522">
        <f t="shared" si="14"/>
        <v>0</v>
      </c>
      <c r="AX13" s="523">
        <f t="shared" si="126"/>
        <v>0</v>
      </c>
      <c r="AY13" s="521"/>
      <c r="AZ13" s="522">
        <f t="shared" si="15"/>
        <v>0</v>
      </c>
      <c r="BA13" s="523">
        <f t="shared" si="127"/>
        <v>0</v>
      </c>
      <c r="BB13" s="521"/>
      <c r="BC13" s="522">
        <f t="shared" si="16"/>
        <v>0</v>
      </c>
      <c r="BD13" s="523">
        <f t="shared" si="128"/>
        <v>0</v>
      </c>
      <c r="BE13" s="521"/>
      <c r="BF13" s="522">
        <f t="shared" si="17"/>
        <v>0</v>
      </c>
      <c r="BG13" s="523">
        <f t="shared" si="129"/>
        <v>0</v>
      </c>
      <c r="BH13" s="521"/>
      <c r="BI13" s="522">
        <f t="shared" si="18"/>
        <v>0</v>
      </c>
      <c r="BJ13" s="523">
        <f t="shared" si="130"/>
        <v>0</v>
      </c>
      <c r="BK13" s="521"/>
      <c r="BL13" s="522">
        <f t="shared" si="19"/>
        <v>0</v>
      </c>
      <c r="BM13" s="523">
        <f t="shared" si="131"/>
        <v>0</v>
      </c>
      <c r="BN13" s="521"/>
      <c r="BO13" s="522">
        <f t="shared" si="20"/>
        <v>0</v>
      </c>
      <c r="BP13" s="523">
        <f t="shared" si="132"/>
        <v>0</v>
      </c>
      <c r="BQ13" s="521"/>
      <c r="BR13" s="522">
        <f t="shared" si="21"/>
        <v>0</v>
      </c>
      <c r="BS13" s="523">
        <f t="shared" si="133"/>
        <v>0</v>
      </c>
      <c r="BT13" s="521"/>
      <c r="BU13" s="522">
        <f t="shared" si="22"/>
        <v>0</v>
      </c>
      <c r="BV13" s="523">
        <f t="shared" si="134"/>
        <v>0</v>
      </c>
      <c r="BW13" s="521"/>
      <c r="BX13" s="522">
        <f t="shared" si="23"/>
        <v>0</v>
      </c>
      <c r="BY13" s="523">
        <f t="shared" si="135"/>
        <v>0</v>
      </c>
      <c r="BZ13" s="521"/>
      <c r="CA13" s="522">
        <f t="shared" si="24"/>
        <v>0</v>
      </c>
      <c r="CB13" s="523">
        <f t="shared" si="136"/>
        <v>0</v>
      </c>
      <c r="CC13" s="521"/>
      <c r="CD13" s="522">
        <f t="shared" si="25"/>
        <v>0</v>
      </c>
      <c r="CE13" s="523">
        <f t="shared" si="137"/>
        <v>0</v>
      </c>
      <c r="CF13" s="521">
        <v>0.49999999999999645</v>
      </c>
      <c r="CG13" s="522">
        <f t="shared" si="26"/>
        <v>1.2855783817139239E-2</v>
      </c>
      <c r="CH13" s="523">
        <f t="shared" si="138"/>
        <v>0</v>
      </c>
      <c r="CI13" s="521"/>
      <c r="CJ13" s="522">
        <f t="shared" si="27"/>
        <v>0</v>
      </c>
      <c r="CK13" s="523">
        <f t="shared" si="139"/>
        <v>0</v>
      </c>
      <c r="CL13" s="521"/>
      <c r="CM13" s="522">
        <f t="shared" si="28"/>
        <v>0</v>
      </c>
      <c r="CN13" s="523">
        <f t="shared" si="140"/>
        <v>0</v>
      </c>
      <c r="CO13" s="521"/>
      <c r="CP13" s="522">
        <f t="shared" si="29"/>
        <v>0</v>
      </c>
      <c r="CQ13" s="523">
        <f t="shared" si="141"/>
        <v>0</v>
      </c>
      <c r="CR13" s="521"/>
      <c r="CS13" s="522">
        <f t="shared" si="30"/>
        <v>0</v>
      </c>
      <c r="CT13" s="523">
        <f t="shared" si="142"/>
        <v>0</v>
      </c>
      <c r="CU13" s="521"/>
      <c r="CV13" s="522">
        <f t="shared" si="31"/>
        <v>0</v>
      </c>
      <c r="CW13" s="523">
        <f t="shared" si="143"/>
        <v>0</v>
      </c>
      <c r="CX13" s="521"/>
      <c r="CY13" s="522">
        <f t="shared" si="32"/>
        <v>0</v>
      </c>
      <c r="CZ13" s="523">
        <f t="shared" si="144"/>
        <v>0</v>
      </c>
      <c r="DA13" s="521"/>
      <c r="DB13" s="522">
        <f t="shared" si="33"/>
        <v>0</v>
      </c>
      <c r="DC13" s="523">
        <f t="shared" si="145"/>
        <v>0</v>
      </c>
      <c r="DD13" s="521"/>
      <c r="DE13" s="522">
        <f t="shared" si="34"/>
        <v>0</v>
      </c>
      <c r="DF13" s="523">
        <f t="shared" si="146"/>
        <v>0</v>
      </c>
      <c r="DG13" s="521"/>
      <c r="DH13" s="522">
        <f t="shared" si="35"/>
        <v>0</v>
      </c>
      <c r="DI13" s="523">
        <v>0</v>
      </c>
      <c r="DJ13" s="521"/>
      <c r="DK13" s="522">
        <f t="shared" si="36"/>
        <v>0</v>
      </c>
      <c r="DL13" s="523">
        <f t="shared" si="147"/>
        <v>0</v>
      </c>
      <c r="DM13" s="521"/>
      <c r="DN13" s="522">
        <f t="shared" si="37"/>
        <v>0</v>
      </c>
      <c r="DO13" s="523">
        <f t="shared" si="148"/>
        <v>0</v>
      </c>
      <c r="DP13" s="521"/>
      <c r="DQ13" s="522">
        <f t="shared" si="38"/>
        <v>0</v>
      </c>
      <c r="DR13" s="523">
        <f t="shared" si="149"/>
        <v>0</v>
      </c>
      <c r="DS13" s="521"/>
      <c r="DT13" s="522">
        <f t="shared" si="39"/>
        <v>0</v>
      </c>
      <c r="DU13" s="523">
        <f t="shared" si="150"/>
        <v>0</v>
      </c>
      <c r="DV13" s="521"/>
      <c r="DW13" s="522">
        <f t="shared" si="40"/>
        <v>0</v>
      </c>
      <c r="DX13" s="523">
        <f t="shared" si="151"/>
        <v>0</v>
      </c>
      <c r="DY13" s="521"/>
      <c r="DZ13" s="522">
        <f t="shared" si="41"/>
        <v>0</v>
      </c>
      <c r="EA13" s="523">
        <f t="shared" si="152"/>
        <v>0</v>
      </c>
      <c r="EB13" s="521"/>
      <c r="EC13" s="522">
        <f t="shared" si="42"/>
        <v>0</v>
      </c>
      <c r="ED13" s="523">
        <f t="shared" si="153"/>
        <v>0</v>
      </c>
      <c r="EE13" s="521">
        <v>21.802325581395337</v>
      </c>
      <c r="EF13" s="522">
        <f t="shared" si="43"/>
        <v>0.56057196877061</v>
      </c>
      <c r="EG13" s="523">
        <f t="shared" si="154"/>
        <v>0</v>
      </c>
      <c r="EH13" s="521">
        <v>3</v>
      </c>
      <c r="EI13" s="522">
        <f t="shared" si="44"/>
        <v>7.7134702902835986E-2</v>
      </c>
      <c r="EJ13" s="523">
        <f t="shared" si="155"/>
        <v>0</v>
      </c>
      <c r="EK13" s="521">
        <v>36.585365853658573</v>
      </c>
      <c r="EL13" s="522">
        <f t="shared" si="45"/>
        <v>0.94066710857117142</v>
      </c>
      <c r="EM13" s="523">
        <f t="shared" si="156"/>
        <v>0</v>
      </c>
      <c r="EN13" s="521">
        <v>29.651162790697754</v>
      </c>
      <c r="EO13" s="522">
        <f t="shared" si="46"/>
        <v>0.7623778775280321</v>
      </c>
      <c r="EP13" s="523">
        <f t="shared" si="157"/>
        <v>0</v>
      </c>
      <c r="EQ13" s="521">
        <v>82.188235294117703</v>
      </c>
      <c r="ER13" s="522">
        <f t="shared" si="47"/>
        <v>2.113188370506716</v>
      </c>
      <c r="ES13" s="523">
        <f t="shared" si="158"/>
        <v>0</v>
      </c>
      <c r="ET13" s="521">
        <v>174.41860465116281</v>
      </c>
      <c r="EU13" s="522">
        <f t="shared" si="48"/>
        <v>4.4845757501648835</v>
      </c>
      <c r="EV13" s="523">
        <f t="shared" si="159"/>
        <v>0</v>
      </c>
      <c r="EW13" s="521"/>
      <c r="EX13" s="522">
        <f t="shared" si="49"/>
        <v>0</v>
      </c>
      <c r="EY13" s="523">
        <f t="shared" si="160"/>
        <v>0</v>
      </c>
      <c r="EZ13" s="521"/>
      <c r="FA13" s="522">
        <f t="shared" si="50"/>
        <v>0</v>
      </c>
      <c r="FB13" s="523">
        <f t="shared" si="161"/>
        <v>0</v>
      </c>
      <c r="FC13" s="521"/>
      <c r="FD13" s="522">
        <f t="shared" si="51"/>
        <v>0</v>
      </c>
      <c r="FE13" s="523">
        <f t="shared" si="162"/>
        <v>0</v>
      </c>
      <c r="FF13" s="521"/>
      <c r="FG13" s="522">
        <f t="shared" si="52"/>
        <v>0</v>
      </c>
      <c r="FH13" s="523">
        <f t="shared" si="163"/>
        <v>0</v>
      </c>
      <c r="FI13" s="521"/>
      <c r="FJ13" s="522">
        <f t="shared" si="53"/>
        <v>0</v>
      </c>
      <c r="FK13" s="523">
        <f t="shared" si="164"/>
        <v>0</v>
      </c>
      <c r="FL13" s="521"/>
      <c r="FM13" s="522">
        <f t="shared" si="54"/>
        <v>0</v>
      </c>
      <c r="FN13" s="523">
        <f t="shared" si="165"/>
        <v>0</v>
      </c>
      <c r="FO13" s="521"/>
      <c r="FP13" s="522">
        <f t="shared" si="55"/>
        <v>0</v>
      </c>
      <c r="FQ13" s="523">
        <f t="shared" si="166"/>
        <v>0</v>
      </c>
      <c r="FR13" s="521"/>
      <c r="FS13" s="522">
        <f t="shared" si="56"/>
        <v>0</v>
      </c>
      <c r="FT13" s="523">
        <f t="shared" si="167"/>
        <v>0</v>
      </c>
      <c r="FU13" s="521"/>
      <c r="FV13" s="522">
        <f t="shared" si="57"/>
        <v>0</v>
      </c>
      <c r="FW13" s="523">
        <f t="shared" si="168"/>
        <v>0</v>
      </c>
      <c r="FX13" s="521"/>
      <c r="FY13" s="522">
        <f t="shared" si="58"/>
        <v>0</v>
      </c>
      <c r="FZ13" s="523">
        <f t="shared" si="169"/>
        <v>0</v>
      </c>
      <c r="GA13" s="521"/>
      <c r="GB13" s="522">
        <f t="shared" si="59"/>
        <v>0</v>
      </c>
      <c r="GC13" s="523">
        <f t="shared" si="170"/>
        <v>0</v>
      </c>
      <c r="GD13" s="521"/>
      <c r="GE13" s="522">
        <f t="shared" si="60"/>
        <v>0</v>
      </c>
      <c r="GF13" s="523">
        <f t="shared" si="171"/>
        <v>0</v>
      </c>
      <c r="GG13" s="521"/>
      <c r="GH13" s="522">
        <f t="shared" si="61"/>
        <v>0</v>
      </c>
      <c r="GI13" s="523">
        <f t="shared" si="172"/>
        <v>0</v>
      </c>
      <c r="GJ13" s="521"/>
      <c r="GK13" s="522">
        <f t="shared" si="62"/>
        <v>0</v>
      </c>
      <c r="GL13" s="523">
        <f t="shared" si="173"/>
        <v>0</v>
      </c>
      <c r="GM13" s="521"/>
      <c r="GN13" s="522">
        <f t="shared" si="63"/>
        <v>0</v>
      </c>
      <c r="GO13" s="523">
        <f t="shared" si="174"/>
        <v>0</v>
      </c>
      <c r="GP13" s="521"/>
      <c r="GQ13" s="522">
        <f t="shared" si="64"/>
        <v>0</v>
      </c>
      <c r="GR13" s="523">
        <f t="shared" si="175"/>
        <v>0</v>
      </c>
      <c r="GS13" s="521"/>
      <c r="GT13" s="522">
        <f t="shared" si="65"/>
        <v>0</v>
      </c>
      <c r="GU13" s="523">
        <f t="shared" si="176"/>
        <v>0</v>
      </c>
      <c r="GV13" s="521"/>
      <c r="GW13" s="522">
        <f t="shared" si="66"/>
        <v>0</v>
      </c>
      <c r="GX13" s="523">
        <f t="shared" si="177"/>
        <v>0</v>
      </c>
      <c r="GY13" s="521"/>
      <c r="GZ13" s="522">
        <f t="shared" si="67"/>
        <v>0</v>
      </c>
      <c r="HA13" s="523">
        <f t="shared" si="178"/>
        <v>0</v>
      </c>
      <c r="HB13" s="521"/>
      <c r="HC13" s="522">
        <f t="shared" si="68"/>
        <v>0</v>
      </c>
      <c r="HD13" s="523">
        <f t="shared" si="179"/>
        <v>0</v>
      </c>
      <c r="HE13" s="521"/>
      <c r="HF13" s="522">
        <f t="shared" si="69"/>
        <v>0</v>
      </c>
      <c r="HG13" s="523">
        <f t="shared" si="180"/>
        <v>0</v>
      </c>
      <c r="HH13" s="521"/>
      <c r="HI13" s="522">
        <f t="shared" si="70"/>
        <v>0</v>
      </c>
      <c r="HJ13" s="523">
        <f t="shared" si="181"/>
        <v>0</v>
      </c>
      <c r="HK13" s="521"/>
      <c r="HL13" s="522">
        <f t="shared" si="71"/>
        <v>0</v>
      </c>
      <c r="HM13" s="523">
        <f t="shared" si="182"/>
        <v>0</v>
      </c>
      <c r="HN13" s="521"/>
      <c r="HO13" s="522">
        <f t="shared" si="72"/>
        <v>0</v>
      </c>
      <c r="HP13" s="523">
        <f t="shared" si="183"/>
        <v>0</v>
      </c>
      <c r="HQ13" s="521"/>
      <c r="HR13" s="522">
        <f t="shared" si="73"/>
        <v>0</v>
      </c>
      <c r="HS13" s="523">
        <f t="shared" si="184"/>
        <v>0</v>
      </c>
      <c r="HT13" s="521"/>
      <c r="HU13" s="522">
        <f t="shared" si="74"/>
        <v>0</v>
      </c>
      <c r="HV13" s="523">
        <f t="shared" si="185"/>
        <v>0</v>
      </c>
      <c r="HW13" s="521"/>
      <c r="HX13" s="522">
        <f t="shared" si="75"/>
        <v>0</v>
      </c>
      <c r="HY13" s="523">
        <f t="shared" si="186"/>
        <v>0</v>
      </c>
      <c r="HZ13" s="521"/>
      <c r="IA13" s="522">
        <f t="shared" si="76"/>
        <v>0</v>
      </c>
      <c r="IB13" s="523">
        <f t="shared" si="187"/>
        <v>0</v>
      </c>
      <c r="IC13" s="521"/>
      <c r="ID13" s="522">
        <f t="shared" si="77"/>
        <v>0</v>
      </c>
      <c r="IE13" s="523">
        <f t="shared" si="188"/>
        <v>0</v>
      </c>
      <c r="IF13" s="521"/>
      <c r="IG13" s="522">
        <f t="shared" si="78"/>
        <v>0</v>
      </c>
      <c r="IH13" s="523">
        <f t="shared" si="189"/>
        <v>0</v>
      </c>
      <c r="II13" s="521"/>
      <c r="IJ13" s="522">
        <f t="shared" si="79"/>
        <v>0</v>
      </c>
      <c r="IK13" s="523">
        <f t="shared" si="190"/>
        <v>0</v>
      </c>
      <c r="IL13" s="521"/>
      <c r="IM13" s="522">
        <f t="shared" si="80"/>
        <v>0</v>
      </c>
      <c r="IN13" s="523">
        <f t="shared" si="191"/>
        <v>0</v>
      </c>
      <c r="IO13" s="521"/>
      <c r="IP13" s="522">
        <f t="shared" si="81"/>
        <v>0</v>
      </c>
      <c r="IQ13" s="523">
        <f t="shared" si="192"/>
        <v>0</v>
      </c>
      <c r="IR13" s="521"/>
      <c r="IS13" s="522">
        <f t="shared" si="82"/>
        <v>0</v>
      </c>
      <c r="IT13" s="523">
        <f t="shared" si="193"/>
        <v>0</v>
      </c>
      <c r="IU13" s="521"/>
      <c r="IV13" s="522">
        <f t="shared" si="83"/>
        <v>0</v>
      </c>
      <c r="IW13" s="523">
        <f t="shared" si="194"/>
        <v>0</v>
      </c>
      <c r="IX13" s="521"/>
      <c r="IY13" s="522">
        <f t="shared" si="84"/>
        <v>0</v>
      </c>
      <c r="IZ13" s="523">
        <f t="shared" si="195"/>
        <v>0</v>
      </c>
      <c r="JA13" s="521"/>
      <c r="JB13" s="522">
        <f t="shared" si="85"/>
        <v>0</v>
      </c>
      <c r="JC13" s="523">
        <f t="shared" si="196"/>
        <v>0</v>
      </c>
      <c r="JD13" s="521"/>
      <c r="JE13" s="522">
        <f t="shared" si="86"/>
        <v>0</v>
      </c>
      <c r="JF13" s="523">
        <f t="shared" si="197"/>
        <v>0</v>
      </c>
      <c r="JG13" s="521"/>
      <c r="JH13" s="522">
        <f t="shared" si="87"/>
        <v>0</v>
      </c>
      <c r="JI13" s="523">
        <f t="shared" si="198"/>
        <v>0</v>
      </c>
      <c r="JJ13" s="521"/>
      <c r="JK13" s="523" t="str">
        <f t="shared" si="88"/>
        <v>0</v>
      </c>
      <c r="JL13" s="523" t="str">
        <f t="shared" si="89"/>
        <v>0</v>
      </c>
      <c r="JM13" s="521"/>
      <c r="JN13" s="523" t="str">
        <f t="shared" si="90"/>
        <v>0</v>
      </c>
      <c r="JO13" s="523" t="str">
        <f t="shared" si="91"/>
        <v>0</v>
      </c>
      <c r="JP13" s="521"/>
      <c r="JQ13" s="523" t="str">
        <f t="shared" si="92"/>
        <v>0</v>
      </c>
      <c r="JR13" s="523" t="str">
        <f t="shared" si="93"/>
        <v>0</v>
      </c>
      <c r="JS13" s="521"/>
      <c r="JT13" s="523" t="str">
        <f t="shared" si="94"/>
        <v>0</v>
      </c>
      <c r="JU13" s="523" t="str">
        <f t="shared" si="95"/>
        <v>0</v>
      </c>
      <c r="JV13" s="521"/>
      <c r="JW13" s="523" t="str">
        <f t="shared" si="96"/>
        <v>0</v>
      </c>
      <c r="JX13" s="523" t="str">
        <f t="shared" si="97"/>
        <v>0</v>
      </c>
      <c r="JY13" s="521"/>
      <c r="JZ13" s="523" t="str">
        <f t="shared" si="98"/>
        <v>0</v>
      </c>
      <c r="KA13" s="523" t="str">
        <f t="shared" si="99"/>
        <v>0</v>
      </c>
      <c r="KB13" s="521"/>
      <c r="KC13" s="523" t="str">
        <f t="shared" si="100"/>
        <v>0</v>
      </c>
      <c r="KD13" s="523" t="str">
        <f t="shared" si="101"/>
        <v>0</v>
      </c>
      <c r="KE13" s="521"/>
      <c r="KF13" s="523" t="str">
        <f t="shared" si="102"/>
        <v>0</v>
      </c>
      <c r="KG13" s="523" t="str">
        <f t="shared" si="103"/>
        <v>0</v>
      </c>
      <c r="KH13" s="521"/>
      <c r="KI13" s="523" t="str">
        <f t="shared" si="104"/>
        <v>0</v>
      </c>
      <c r="KJ13" s="523" t="str">
        <f t="shared" si="105"/>
        <v>0</v>
      </c>
      <c r="KK13" s="521"/>
      <c r="KL13" s="523" t="str">
        <f t="shared" si="106"/>
        <v>0</v>
      </c>
      <c r="KM13" s="523" t="str">
        <f t="shared" si="107"/>
        <v>0</v>
      </c>
      <c r="KN13" s="521"/>
      <c r="KO13" s="523" t="str">
        <f t="shared" si="108"/>
        <v>0</v>
      </c>
      <c r="KP13" s="523" t="str">
        <f t="shared" si="109"/>
        <v>0</v>
      </c>
      <c r="KQ13" s="521"/>
      <c r="KR13" s="523" t="str">
        <f t="shared" si="110"/>
        <v>0</v>
      </c>
      <c r="KS13" s="523" t="str">
        <f t="shared" si="111"/>
        <v>0</v>
      </c>
      <c r="KT13" s="523">
        <f t="shared" si="201"/>
        <v>0</v>
      </c>
      <c r="KU13" s="523">
        <f t="shared" si="202"/>
        <v>0</v>
      </c>
      <c r="KV13" s="261">
        <f t="shared" si="199"/>
        <v>610.70674068265998</v>
      </c>
    </row>
    <row r="14" spans="1:308">
      <c r="A14" s="262">
        <f t="shared" si="200"/>
        <v>46087</v>
      </c>
      <c r="B14" s="263" t="str">
        <f>+Report1!B14</f>
        <v>Facial</v>
      </c>
      <c r="C14" s="263" t="str">
        <f>+Report1!C14</f>
        <v>16/13</v>
      </c>
      <c r="D14" s="264">
        <f>+Report1!P14</f>
        <v>28.506999999999998</v>
      </c>
      <c r="E14" s="556">
        <f>+Report1!R14</f>
        <v>28.2</v>
      </c>
      <c r="F14" s="521"/>
      <c r="G14" s="522">
        <f t="shared" si="0"/>
        <v>0</v>
      </c>
      <c r="H14" s="523">
        <f t="shared" si="112"/>
        <v>0</v>
      </c>
      <c r="I14" s="521">
        <v>174.41860465116292</v>
      </c>
      <c r="J14" s="522">
        <f t="shared" si="1"/>
        <v>6.1850569025235078</v>
      </c>
      <c r="K14" s="523">
        <f t="shared" si="113"/>
        <v>0</v>
      </c>
      <c r="L14" s="521"/>
      <c r="M14" s="522">
        <f t="shared" si="2"/>
        <v>0</v>
      </c>
      <c r="N14" s="523">
        <f t="shared" si="114"/>
        <v>0</v>
      </c>
      <c r="O14" s="521">
        <v>9</v>
      </c>
      <c r="P14" s="522">
        <f t="shared" si="3"/>
        <v>0.31914893617021278</v>
      </c>
      <c r="Q14" s="523">
        <f t="shared" si="115"/>
        <v>0</v>
      </c>
      <c r="R14" s="521"/>
      <c r="S14" s="522">
        <f t="shared" si="4"/>
        <v>0</v>
      </c>
      <c r="T14" s="523">
        <f t="shared" si="116"/>
        <v>0</v>
      </c>
      <c r="U14" s="521">
        <v>5.1250000000000284</v>
      </c>
      <c r="V14" s="522">
        <f t="shared" si="5"/>
        <v>0.1817375886524833</v>
      </c>
      <c r="W14" s="523">
        <f t="shared" si="117"/>
        <v>0</v>
      </c>
      <c r="X14" s="521"/>
      <c r="Y14" s="522">
        <f t="shared" si="6"/>
        <v>0</v>
      </c>
      <c r="Z14" s="523">
        <f t="shared" si="118"/>
        <v>0</v>
      </c>
      <c r="AA14" s="521">
        <v>4.6874999999999858</v>
      </c>
      <c r="AB14" s="522">
        <f t="shared" si="7"/>
        <v>0.16622340425531865</v>
      </c>
      <c r="AC14" s="523">
        <f t="shared" si="119"/>
        <v>0</v>
      </c>
      <c r="AD14" s="521"/>
      <c r="AE14" s="522">
        <f t="shared" si="8"/>
        <v>0</v>
      </c>
      <c r="AF14" s="523">
        <f t="shared" si="120"/>
        <v>0</v>
      </c>
      <c r="AG14" s="521"/>
      <c r="AH14" s="522">
        <f t="shared" si="9"/>
        <v>0</v>
      </c>
      <c r="AI14" s="523">
        <f t="shared" si="121"/>
        <v>0</v>
      </c>
      <c r="AJ14" s="521"/>
      <c r="AK14" s="522">
        <f t="shared" si="10"/>
        <v>0</v>
      </c>
      <c r="AL14" s="523">
        <f t="shared" si="122"/>
        <v>0</v>
      </c>
      <c r="AM14" s="521"/>
      <c r="AN14" s="522">
        <f t="shared" si="11"/>
        <v>0</v>
      </c>
      <c r="AO14" s="523">
        <f t="shared" si="123"/>
        <v>0</v>
      </c>
      <c r="AP14" s="521"/>
      <c r="AQ14" s="522">
        <f t="shared" si="12"/>
        <v>0</v>
      </c>
      <c r="AR14" s="523">
        <f t="shared" si="124"/>
        <v>0</v>
      </c>
      <c r="AS14" s="521"/>
      <c r="AT14" s="522">
        <f t="shared" si="13"/>
        <v>0</v>
      </c>
      <c r="AU14" s="523">
        <f t="shared" si="125"/>
        <v>0</v>
      </c>
      <c r="AV14" s="521"/>
      <c r="AW14" s="522">
        <f t="shared" si="14"/>
        <v>0</v>
      </c>
      <c r="AX14" s="523">
        <f t="shared" si="126"/>
        <v>0</v>
      </c>
      <c r="AY14" s="521"/>
      <c r="AZ14" s="522">
        <f t="shared" si="15"/>
        <v>0</v>
      </c>
      <c r="BA14" s="523">
        <f t="shared" si="127"/>
        <v>0</v>
      </c>
      <c r="BB14" s="521"/>
      <c r="BC14" s="522">
        <f t="shared" si="16"/>
        <v>0</v>
      </c>
      <c r="BD14" s="523">
        <f t="shared" si="128"/>
        <v>0</v>
      </c>
      <c r="BE14" s="521"/>
      <c r="BF14" s="522">
        <f t="shared" si="17"/>
        <v>0</v>
      </c>
      <c r="BG14" s="523">
        <f t="shared" si="129"/>
        <v>0</v>
      </c>
      <c r="BH14" s="521"/>
      <c r="BI14" s="522">
        <f t="shared" si="18"/>
        <v>0</v>
      </c>
      <c r="BJ14" s="523">
        <f t="shared" si="130"/>
        <v>0</v>
      </c>
      <c r="BK14" s="521"/>
      <c r="BL14" s="522">
        <f t="shared" si="19"/>
        <v>0</v>
      </c>
      <c r="BM14" s="523">
        <f t="shared" si="131"/>
        <v>0</v>
      </c>
      <c r="BN14" s="521"/>
      <c r="BO14" s="522">
        <f t="shared" si="20"/>
        <v>0</v>
      </c>
      <c r="BP14" s="523">
        <f t="shared" si="132"/>
        <v>0</v>
      </c>
      <c r="BQ14" s="521"/>
      <c r="BR14" s="522">
        <f t="shared" si="21"/>
        <v>0</v>
      </c>
      <c r="BS14" s="523">
        <f t="shared" si="133"/>
        <v>0</v>
      </c>
      <c r="BT14" s="521"/>
      <c r="BU14" s="522">
        <f t="shared" si="22"/>
        <v>0</v>
      </c>
      <c r="BV14" s="523">
        <f t="shared" si="134"/>
        <v>0</v>
      </c>
      <c r="BW14" s="521"/>
      <c r="BX14" s="522">
        <f t="shared" si="23"/>
        <v>0</v>
      </c>
      <c r="BY14" s="523">
        <f t="shared" si="135"/>
        <v>0</v>
      </c>
      <c r="BZ14" s="521"/>
      <c r="CA14" s="522">
        <f t="shared" si="24"/>
        <v>0</v>
      </c>
      <c r="CB14" s="523">
        <f t="shared" si="136"/>
        <v>0</v>
      </c>
      <c r="CC14" s="521"/>
      <c r="CD14" s="522">
        <f t="shared" si="25"/>
        <v>0</v>
      </c>
      <c r="CE14" s="523">
        <f t="shared" si="137"/>
        <v>0</v>
      </c>
      <c r="CF14" s="521">
        <v>0.5</v>
      </c>
      <c r="CG14" s="522">
        <f t="shared" si="26"/>
        <v>1.7730496453900711E-2</v>
      </c>
      <c r="CH14" s="523">
        <f t="shared" si="138"/>
        <v>0</v>
      </c>
      <c r="CI14" s="521"/>
      <c r="CJ14" s="522">
        <f t="shared" si="27"/>
        <v>0</v>
      </c>
      <c r="CK14" s="523">
        <f t="shared" si="139"/>
        <v>0</v>
      </c>
      <c r="CL14" s="521"/>
      <c r="CM14" s="522">
        <f t="shared" si="28"/>
        <v>0</v>
      </c>
      <c r="CN14" s="523">
        <f t="shared" si="140"/>
        <v>0</v>
      </c>
      <c r="CO14" s="521"/>
      <c r="CP14" s="522">
        <f t="shared" si="29"/>
        <v>0</v>
      </c>
      <c r="CQ14" s="523">
        <f t="shared" si="141"/>
        <v>0</v>
      </c>
      <c r="CR14" s="521"/>
      <c r="CS14" s="522">
        <f t="shared" si="30"/>
        <v>0</v>
      </c>
      <c r="CT14" s="523">
        <f t="shared" si="142"/>
        <v>0</v>
      </c>
      <c r="CU14" s="521"/>
      <c r="CV14" s="522">
        <f t="shared" si="31"/>
        <v>0</v>
      </c>
      <c r="CW14" s="523">
        <f t="shared" si="143"/>
        <v>0</v>
      </c>
      <c r="CX14" s="521"/>
      <c r="CY14" s="522">
        <f t="shared" si="32"/>
        <v>0</v>
      </c>
      <c r="CZ14" s="523">
        <f t="shared" si="144"/>
        <v>0</v>
      </c>
      <c r="DA14" s="521"/>
      <c r="DB14" s="522">
        <f t="shared" si="33"/>
        <v>0</v>
      </c>
      <c r="DC14" s="523">
        <f t="shared" si="145"/>
        <v>0</v>
      </c>
      <c r="DD14" s="521"/>
      <c r="DE14" s="522">
        <f t="shared" si="34"/>
        <v>0</v>
      </c>
      <c r="DF14" s="523">
        <f t="shared" si="146"/>
        <v>0</v>
      </c>
      <c r="DG14" s="521"/>
      <c r="DH14" s="522">
        <f t="shared" si="35"/>
        <v>0</v>
      </c>
      <c r="DI14" s="523">
        <f t="shared" ref="DI14:DI39" si="203">+DG14*$H$8</f>
        <v>0</v>
      </c>
      <c r="DJ14" s="521"/>
      <c r="DK14" s="522">
        <f t="shared" si="36"/>
        <v>0</v>
      </c>
      <c r="DL14" s="523">
        <f t="shared" si="147"/>
        <v>0</v>
      </c>
      <c r="DM14" s="521"/>
      <c r="DN14" s="522">
        <f t="shared" si="37"/>
        <v>0</v>
      </c>
      <c r="DO14" s="523">
        <f t="shared" si="148"/>
        <v>0</v>
      </c>
      <c r="DP14" s="521"/>
      <c r="DQ14" s="522">
        <f t="shared" si="38"/>
        <v>0</v>
      </c>
      <c r="DR14" s="523">
        <f t="shared" si="149"/>
        <v>0</v>
      </c>
      <c r="DS14" s="521"/>
      <c r="DT14" s="522">
        <f t="shared" si="39"/>
        <v>0</v>
      </c>
      <c r="DU14" s="523">
        <f t="shared" si="150"/>
        <v>0</v>
      </c>
      <c r="DV14" s="521"/>
      <c r="DW14" s="522">
        <f t="shared" si="40"/>
        <v>0</v>
      </c>
      <c r="DX14" s="523">
        <f t="shared" si="151"/>
        <v>0</v>
      </c>
      <c r="DY14" s="521"/>
      <c r="DZ14" s="522">
        <f t="shared" si="41"/>
        <v>0</v>
      </c>
      <c r="EA14" s="523">
        <f t="shared" si="152"/>
        <v>0</v>
      </c>
      <c r="EB14" s="521"/>
      <c r="EC14" s="522">
        <f t="shared" si="42"/>
        <v>0</v>
      </c>
      <c r="ED14" s="523">
        <f t="shared" si="153"/>
        <v>0</v>
      </c>
      <c r="EE14" s="521">
        <v>14.534883720930225</v>
      </c>
      <c r="EF14" s="522">
        <f t="shared" si="43"/>
        <v>0.51542140854362495</v>
      </c>
      <c r="EG14" s="523">
        <f t="shared" si="154"/>
        <v>0</v>
      </c>
      <c r="EH14" s="521">
        <v>2</v>
      </c>
      <c r="EI14" s="522">
        <f t="shared" si="44"/>
        <v>7.0921985815602842E-2</v>
      </c>
      <c r="EJ14" s="523">
        <f t="shared" si="155"/>
        <v>0</v>
      </c>
      <c r="EK14" s="521">
        <v>24.390243902439011</v>
      </c>
      <c r="EL14" s="522">
        <f t="shared" si="45"/>
        <v>0.86490226604393661</v>
      </c>
      <c r="EM14" s="523">
        <f t="shared" si="156"/>
        <v>0</v>
      </c>
      <c r="EN14" s="521">
        <v>19.767441860465169</v>
      </c>
      <c r="EO14" s="522">
        <f t="shared" si="46"/>
        <v>0.70097311561933229</v>
      </c>
      <c r="EP14" s="523">
        <f t="shared" si="157"/>
        <v>0</v>
      </c>
      <c r="EQ14" s="521">
        <v>35.22352941176473</v>
      </c>
      <c r="ER14" s="522">
        <f t="shared" si="47"/>
        <v>1.2490613266583237</v>
      </c>
      <c r="ES14" s="523">
        <f t="shared" si="158"/>
        <v>0</v>
      </c>
      <c r="ET14" s="521"/>
      <c r="EU14" s="522">
        <f t="shared" si="48"/>
        <v>0</v>
      </c>
      <c r="EV14" s="523">
        <f t="shared" si="159"/>
        <v>0</v>
      </c>
      <c r="EW14" s="521"/>
      <c r="EX14" s="522">
        <f t="shared" si="49"/>
        <v>0</v>
      </c>
      <c r="EY14" s="523">
        <f t="shared" si="160"/>
        <v>0</v>
      </c>
      <c r="EZ14" s="521"/>
      <c r="FA14" s="522">
        <f t="shared" si="50"/>
        <v>0</v>
      </c>
      <c r="FB14" s="523">
        <f t="shared" si="161"/>
        <v>0</v>
      </c>
      <c r="FC14" s="521"/>
      <c r="FD14" s="522">
        <f t="shared" si="51"/>
        <v>0</v>
      </c>
      <c r="FE14" s="523">
        <f t="shared" si="162"/>
        <v>0</v>
      </c>
      <c r="FF14" s="521"/>
      <c r="FG14" s="522">
        <f t="shared" si="52"/>
        <v>0</v>
      </c>
      <c r="FH14" s="523">
        <f t="shared" si="163"/>
        <v>0</v>
      </c>
      <c r="FI14" s="521"/>
      <c r="FJ14" s="522">
        <f t="shared" si="53"/>
        <v>0</v>
      </c>
      <c r="FK14" s="523">
        <f t="shared" si="164"/>
        <v>0</v>
      </c>
      <c r="FL14" s="521"/>
      <c r="FM14" s="522">
        <f t="shared" si="54"/>
        <v>0</v>
      </c>
      <c r="FN14" s="523">
        <f t="shared" si="165"/>
        <v>0</v>
      </c>
      <c r="FO14" s="521"/>
      <c r="FP14" s="522">
        <f t="shared" si="55"/>
        <v>0</v>
      </c>
      <c r="FQ14" s="523">
        <f t="shared" si="166"/>
        <v>0</v>
      </c>
      <c r="FR14" s="521"/>
      <c r="FS14" s="522">
        <f t="shared" si="56"/>
        <v>0</v>
      </c>
      <c r="FT14" s="523">
        <f t="shared" si="167"/>
        <v>0</v>
      </c>
      <c r="FU14" s="521"/>
      <c r="FV14" s="522">
        <f t="shared" si="57"/>
        <v>0</v>
      </c>
      <c r="FW14" s="523">
        <f t="shared" si="168"/>
        <v>0</v>
      </c>
      <c r="FX14" s="521"/>
      <c r="FY14" s="522">
        <f t="shared" si="58"/>
        <v>0</v>
      </c>
      <c r="FZ14" s="523">
        <f t="shared" si="169"/>
        <v>0</v>
      </c>
      <c r="GA14" s="521"/>
      <c r="GB14" s="522">
        <f t="shared" si="59"/>
        <v>0</v>
      </c>
      <c r="GC14" s="523">
        <f t="shared" si="170"/>
        <v>0</v>
      </c>
      <c r="GD14" s="521"/>
      <c r="GE14" s="522">
        <f t="shared" si="60"/>
        <v>0</v>
      </c>
      <c r="GF14" s="523">
        <f t="shared" si="171"/>
        <v>0</v>
      </c>
      <c r="GG14" s="521"/>
      <c r="GH14" s="522">
        <f t="shared" si="61"/>
        <v>0</v>
      </c>
      <c r="GI14" s="523">
        <f t="shared" si="172"/>
        <v>0</v>
      </c>
      <c r="GJ14" s="521"/>
      <c r="GK14" s="522">
        <f t="shared" si="62"/>
        <v>0</v>
      </c>
      <c r="GL14" s="523">
        <f t="shared" si="173"/>
        <v>0</v>
      </c>
      <c r="GM14" s="521"/>
      <c r="GN14" s="522">
        <f t="shared" si="63"/>
        <v>0</v>
      </c>
      <c r="GO14" s="523">
        <f t="shared" si="174"/>
        <v>0</v>
      </c>
      <c r="GP14" s="521"/>
      <c r="GQ14" s="522">
        <f t="shared" si="64"/>
        <v>0</v>
      </c>
      <c r="GR14" s="523">
        <f t="shared" si="175"/>
        <v>0</v>
      </c>
      <c r="GS14" s="521"/>
      <c r="GT14" s="522">
        <f t="shared" si="65"/>
        <v>0</v>
      </c>
      <c r="GU14" s="523">
        <f t="shared" si="176"/>
        <v>0</v>
      </c>
      <c r="GV14" s="521"/>
      <c r="GW14" s="522">
        <f t="shared" si="66"/>
        <v>0</v>
      </c>
      <c r="GX14" s="523">
        <f t="shared" si="177"/>
        <v>0</v>
      </c>
      <c r="GY14" s="521"/>
      <c r="GZ14" s="522">
        <f t="shared" si="67"/>
        <v>0</v>
      </c>
      <c r="HA14" s="523">
        <f t="shared" si="178"/>
        <v>0</v>
      </c>
      <c r="HB14" s="521"/>
      <c r="HC14" s="522">
        <f t="shared" si="68"/>
        <v>0</v>
      </c>
      <c r="HD14" s="523">
        <f t="shared" si="179"/>
        <v>0</v>
      </c>
      <c r="HE14" s="521"/>
      <c r="HF14" s="522">
        <f t="shared" si="69"/>
        <v>0</v>
      </c>
      <c r="HG14" s="523">
        <f t="shared" si="180"/>
        <v>0</v>
      </c>
      <c r="HH14" s="521"/>
      <c r="HI14" s="522">
        <f t="shared" si="70"/>
        <v>0</v>
      </c>
      <c r="HJ14" s="523">
        <f t="shared" si="181"/>
        <v>0</v>
      </c>
      <c r="HK14" s="521"/>
      <c r="HL14" s="522">
        <f t="shared" si="71"/>
        <v>0</v>
      </c>
      <c r="HM14" s="523">
        <f t="shared" si="182"/>
        <v>0</v>
      </c>
      <c r="HN14" s="521"/>
      <c r="HO14" s="522">
        <f t="shared" si="72"/>
        <v>0</v>
      </c>
      <c r="HP14" s="523">
        <f t="shared" si="183"/>
        <v>0</v>
      </c>
      <c r="HQ14" s="521"/>
      <c r="HR14" s="522">
        <f t="shared" si="73"/>
        <v>0</v>
      </c>
      <c r="HS14" s="523">
        <f t="shared" si="184"/>
        <v>0</v>
      </c>
      <c r="HT14" s="521"/>
      <c r="HU14" s="522">
        <f t="shared" si="74"/>
        <v>0</v>
      </c>
      <c r="HV14" s="523">
        <f t="shared" si="185"/>
        <v>0</v>
      </c>
      <c r="HW14" s="521"/>
      <c r="HX14" s="522">
        <f t="shared" si="75"/>
        <v>0</v>
      </c>
      <c r="HY14" s="523">
        <f t="shared" si="186"/>
        <v>0</v>
      </c>
      <c r="HZ14" s="521"/>
      <c r="IA14" s="522">
        <f t="shared" si="76"/>
        <v>0</v>
      </c>
      <c r="IB14" s="523">
        <f t="shared" si="187"/>
        <v>0</v>
      </c>
      <c r="IC14" s="521"/>
      <c r="ID14" s="522">
        <f t="shared" si="77"/>
        <v>0</v>
      </c>
      <c r="IE14" s="523">
        <f t="shared" si="188"/>
        <v>0</v>
      </c>
      <c r="IF14" s="521"/>
      <c r="IG14" s="522">
        <f t="shared" si="78"/>
        <v>0</v>
      </c>
      <c r="IH14" s="523">
        <f t="shared" si="189"/>
        <v>0</v>
      </c>
      <c r="II14" s="521"/>
      <c r="IJ14" s="522">
        <f t="shared" si="79"/>
        <v>0</v>
      </c>
      <c r="IK14" s="523">
        <f t="shared" si="190"/>
        <v>0</v>
      </c>
      <c r="IL14" s="521"/>
      <c r="IM14" s="522">
        <f t="shared" si="80"/>
        <v>0</v>
      </c>
      <c r="IN14" s="523">
        <f t="shared" si="191"/>
        <v>0</v>
      </c>
      <c r="IO14" s="521"/>
      <c r="IP14" s="522">
        <f t="shared" si="81"/>
        <v>0</v>
      </c>
      <c r="IQ14" s="523">
        <f t="shared" si="192"/>
        <v>0</v>
      </c>
      <c r="IR14" s="521"/>
      <c r="IS14" s="522">
        <f t="shared" si="82"/>
        <v>0</v>
      </c>
      <c r="IT14" s="523">
        <f t="shared" si="193"/>
        <v>0</v>
      </c>
      <c r="IU14" s="521"/>
      <c r="IV14" s="522">
        <f t="shared" si="83"/>
        <v>0</v>
      </c>
      <c r="IW14" s="523">
        <f t="shared" si="194"/>
        <v>0</v>
      </c>
      <c r="IX14" s="521"/>
      <c r="IY14" s="522">
        <f t="shared" si="84"/>
        <v>0</v>
      </c>
      <c r="IZ14" s="523">
        <f t="shared" si="195"/>
        <v>0</v>
      </c>
      <c r="JA14" s="521"/>
      <c r="JB14" s="522">
        <f t="shared" si="85"/>
        <v>0</v>
      </c>
      <c r="JC14" s="523">
        <f t="shared" si="196"/>
        <v>0</v>
      </c>
      <c r="JD14" s="521"/>
      <c r="JE14" s="522">
        <f t="shared" si="86"/>
        <v>0</v>
      </c>
      <c r="JF14" s="523">
        <f t="shared" si="197"/>
        <v>0</v>
      </c>
      <c r="JG14" s="521"/>
      <c r="JH14" s="522">
        <f t="shared" si="87"/>
        <v>0</v>
      </c>
      <c r="JI14" s="523">
        <f t="shared" si="198"/>
        <v>0</v>
      </c>
      <c r="JJ14" s="521"/>
      <c r="JK14" s="523" t="str">
        <f t="shared" si="88"/>
        <v>0</v>
      </c>
      <c r="JL14" s="523" t="str">
        <f t="shared" si="89"/>
        <v>0</v>
      </c>
      <c r="JM14" s="521"/>
      <c r="JN14" s="523" t="str">
        <f t="shared" si="90"/>
        <v>0</v>
      </c>
      <c r="JO14" s="523" t="str">
        <f t="shared" si="91"/>
        <v>0</v>
      </c>
      <c r="JP14" s="521"/>
      <c r="JQ14" s="523" t="str">
        <f t="shared" si="92"/>
        <v>0</v>
      </c>
      <c r="JR14" s="523" t="str">
        <f t="shared" si="93"/>
        <v>0</v>
      </c>
      <c r="JS14" s="521"/>
      <c r="JT14" s="523" t="str">
        <f t="shared" si="94"/>
        <v>0</v>
      </c>
      <c r="JU14" s="523" t="str">
        <f t="shared" si="95"/>
        <v>0</v>
      </c>
      <c r="JV14" s="521"/>
      <c r="JW14" s="523" t="str">
        <f t="shared" si="96"/>
        <v>0</v>
      </c>
      <c r="JX14" s="523" t="str">
        <f t="shared" si="97"/>
        <v>0</v>
      </c>
      <c r="JY14" s="521"/>
      <c r="JZ14" s="523" t="str">
        <f t="shared" si="98"/>
        <v>0</v>
      </c>
      <c r="KA14" s="523" t="str">
        <f t="shared" si="99"/>
        <v>0</v>
      </c>
      <c r="KB14" s="521"/>
      <c r="KC14" s="523" t="str">
        <f t="shared" si="100"/>
        <v>0</v>
      </c>
      <c r="KD14" s="523" t="str">
        <f t="shared" si="101"/>
        <v>0</v>
      </c>
      <c r="KE14" s="521"/>
      <c r="KF14" s="523" t="str">
        <f t="shared" si="102"/>
        <v>0</v>
      </c>
      <c r="KG14" s="523" t="str">
        <f t="shared" si="103"/>
        <v>0</v>
      </c>
      <c r="KH14" s="521"/>
      <c r="KI14" s="523" t="str">
        <f t="shared" si="104"/>
        <v>0</v>
      </c>
      <c r="KJ14" s="523" t="str">
        <f t="shared" si="105"/>
        <v>0</v>
      </c>
      <c r="KK14" s="521"/>
      <c r="KL14" s="523" t="str">
        <f t="shared" si="106"/>
        <v>0</v>
      </c>
      <c r="KM14" s="523" t="str">
        <f t="shared" si="107"/>
        <v>0</v>
      </c>
      <c r="KN14" s="521"/>
      <c r="KO14" s="523" t="str">
        <f t="shared" si="108"/>
        <v>0</v>
      </c>
      <c r="KP14" s="523" t="str">
        <f t="shared" si="109"/>
        <v>0</v>
      </c>
      <c r="KQ14" s="521"/>
      <c r="KR14" s="523" t="str">
        <f t="shared" si="110"/>
        <v>0</v>
      </c>
      <c r="KS14" s="523" t="str">
        <f t="shared" si="111"/>
        <v>0</v>
      </c>
      <c r="KT14" s="523">
        <f t="shared" si="201"/>
        <v>0</v>
      </c>
      <c r="KU14" s="523">
        <f t="shared" si="202"/>
        <v>0</v>
      </c>
      <c r="KV14" s="261">
        <f t="shared" si="199"/>
        <v>289.64720354676206</v>
      </c>
    </row>
    <row r="15" spans="1:308">
      <c r="A15" s="262">
        <f t="shared" si="200"/>
        <v>46088</v>
      </c>
      <c r="B15" s="263" t="str">
        <f>+Report1!B15</f>
        <v>Toilet/Facial</v>
      </c>
      <c r="C15" s="263" t="str">
        <f>+Report1!C15</f>
        <v>14/13</v>
      </c>
      <c r="D15" s="264">
        <f>+Report1!P15</f>
        <v>21.948</v>
      </c>
      <c r="E15" s="556">
        <f>+Report1!R15</f>
        <v>17.338999999999999</v>
      </c>
      <c r="F15" s="521"/>
      <c r="G15" s="522">
        <f t="shared" si="0"/>
        <v>0</v>
      </c>
      <c r="H15" s="523">
        <f t="shared" si="112"/>
        <v>0</v>
      </c>
      <c r="I15" s="521">
        <v>151.3574883720928</v>
      </c>
      <c r="J15" s="522">
        <f t="shared" si="1"/>
        <v>8.7293089781471149</v>
      </c>
      <c r="K15" s="523">
        <f t="shared" si="113"/>
        <v>0</v>
      </c>
      <c r="L15" s="521"/>
      <c r="M15" s="522">
        <f t="shared" si="2"/>
        <v>0</v>
      </c>
      <c r="N15" s="523">
        <f t="shared" si="114"/>
        <v>0</v>
      </c>
      <c r="O15" s="521">
        <v>3.346800000000016</v>
      </c>
      <c r="P15" s="522">
        <f t="shared" si="3"/>
        <v>0.19302151219793623</v>
      </c>
      <c r="Q15" s="523">
        <f t="shared" si="115"/>
        <v>0</v>
      </c>
      <c r="R15" s="521"/>
      <c r="S15" s="522">
        <f t="shared" si="4"/>
        <v>0</v>
      </c>
      <c r="T15" s="523">
        <f t="shared" si="116"/>
        <v>0</v>
      </c>
      <c r="U15" s="521">
        <v>4.7665000000000077</v>
      </c>
      <c r="V15" s="522">
        <f t="shared" si="5"/>
        <v>0.27490051329373139</v>
      </c>
      <c r="W15" s="523">
        <f t="shared" si="117"/>
        <v>0</v>
      </c>
      <c r="X15" s="521"/>
      <c r="Y15" s="522">
        <f t="shared" si="6"/>
        <v>0</v>
      </c>
      <c r="Z15" s="523">
        <f t="shared" si="118"/>
        <v>0</v>
      </c>
      <c r="AA15" s="521">
        <v>4.6875000000000036</v>
      </c>
      <c r="AB15" s="522">
        <f t="shared" si="7"/>
        <v>0.2703443105138707</v>
      </c>
      <c r="AC15" s="523">
        <f t="shared" si="119"/>
        <v>0</v>
      </c>
      <c r="AD15" s="521"/>
      <c r="AE15" s="522">
        <f t="shared" si="8"/>
        <v>0</v>
      </c>
      <c r="AF15" s="523">
        <f t="shared" si="120"/>
        <v>0</v>
      </c>
      <c r="AG15" s="521"/>
      <c r="AH15" s="522">
        <f t="shared" si="9"/>
        <v>0</v>
      </c>
      <c r="AI15" s="523">
        <f t="shared" si="121"/>
        <v>0</v>
      </c>
      <c r="AJ15" s="521"/>
      <c r="AK15" s="522">
        <f t="shared" si="10"/>
        <v>0</v>
      </c>
      <c r="AL15" s="523">
        <f t="shared" si="122"/>
        <v>0</v>
      </c>
      <c r="AM15" s="521"/>
      <c r="AN15" s="522">
        <f t="shared" si="11"/>
        <v>0</v>
      </c>
      <c r="AO15" s="523">
        <f t="shared" si="123"/>
        <v>0</v>
      </c>
      <c r="AP15" s="521"/>
      <c r="AQ15" s="522">
        <f t="shared" si="12"/>
        <v>0</v>
      </c>
      <c r="AR15" s="523">
        <f t="shared" si="124"/>
        <v>0</v>
      </c>
      <c r="AS15" s="521"/>
      <c r="AT15" s="522">
        <f t="shared" si="13"/>
        <v>0</v>
      </c>
      <c r="AU15" s="523">
        <f t="shared" si="125"/>
        <v>0</v>
      </c>
      <c r="AV15" s="521"/>
      <c r="AW15" s="522">
        <f t="shared" si="14"/>
        <v>0</v>
      </c>
      <c r="AX15" s="523">
        <f t="shared" si="126"/>
        <v>0</v>
      </c>
      <c r="AY15" s="521"/>
      <c r="AZ15" s="522">
        <f t="shared" si="15"/>
        <v>0</v>
      </c>
      <c r="BA15" s="523">
        <f t="shared" si="127"/>
        <v>0</v>
      </c>
      <c r="BB15" s="521"/>
      <c r="BC15" s="522">
        <f t="shared" si="16"/>
        <v>0</v>
      </c>
      <c r="BD15" s="523">
        <f t="shared" si="128"/>
        <v>0</v>
      </c>
      <c r="BE15" s="521"/>
      <c r="BF15" s="522">
        <f t="shared" si="17"/>
        <v>0</v>
      </c>
      <c r="BG15" s="523">
        <f t="shared" si="129"/>
        <v>0</v>
      </c>
      <c r="BH15" s="521"/>
      <c r="BI15" s="522">
        <f t="shared" si="18"/>
        <v>0</v>
      </c>
      <c r="BJ15" s="523">
        <f t="shared" si="130"/>
        <v>0</v>
      </c>
      <c r="BK15" s="521"/>
      <c r="BL15" s="522">
        <f t="shared" si="19"/>
        <v>0</v>
      </c>
      <c r="BM15" s="523">
        <f t="shared" si="131"/>
        <v>0</v>
      </c>
      <c r="BN15" s="521"/>
      <c r="BO15" s="522">
        <f t="shared" si="20"/>
        <v>0</v>
      </c>
      <c r="BP15" s="523">
        <f t="shared" si="132"/>
        <v>0</v>
      </c>
      <c r="BQ15" s="521"/>
      <c r="BR15" s="522">
        <f t="shared" si="21"/>
        <v>0</v>
      </c>
      <c r="BS15" s="523">
        <f t="shared" si="133"/>
        <v>0</v>
      </c>
      <c r="BT15" s="521"/>
      <c r="BU15" s="522">
        <f t="shared" si="22"/>
        <v>0</v>
      </c>
      <c r="BV15" s="523">
        <f t="shared" si="134"/>
        <v>0</v>
      </c>
      <c r="BW15" s="521"/>
      <c r="BX15" s="522">
        <f t="shared" si="23"/>
        <v>0</v>
      </c>
      <c r="BY15" s="523">
        <f t="shared" si="135"/>
        <v>0</v>
      </c>
      <c r="BZ15" s="521"/>
      <c r="CA15" s="522">
        <f t="shared" si="24"/>
        <v>0</v>
      </c>
      <c r="CB15" s="523">
        <f t="shared" si="136"/>
        <v>0</v>
      </c>
      <c r="CC15" s="521"/>
      <c r="CD15" s="522">
        <f t="shared" si="25"/>
        <v>0</v>
      </c>
      <c r="CE15" s="523">
        <f t="shared" si="137"/>
        <v>0</v>
      </c>
      <c r="CF15" s="521">
        <v>0.25</v>
      </c>
      <c r="CG15" s="522">
        <f t="shared" si="26"/>
        <v>1.4418363227406425E-2</v>
      </c>
      <c r="CH15" s="523">
        <f t="shared" si="138"/>
        <v>0</v>
      </c>
      <c r="CI15" s="521"/>
      <c r="CJ15" s="522">
        <f t="shared" si="27"/>
        <v>0</v>
      </c>
      <c r="CK15" s="523">
        <f t="shared" si="139"/>
        <v>0</v>
      </c>
      <c r="CL15" s="521"/>
      <c r="CM15" s="522">
        <f t="shared" si="28"/>
        <v>0</v>
      </c>
      <c r="CN15" s="523">
        <f t="shared" si="140"/>
        <v>0</v>
      </c>
      <c r="CO15" s="521"/>
      <c r="CP15" s="522">
        <f t="shared" si="29"/>
        <v>0</v>
      </c>
      <c r="CQ15" s="523">
        <f t="shared" si="141"/>
        <v>0</v>
      </c>
      <c r="CR15" s="521"/>
      <c r="CS15" s="522">
        <f t="shared" si="30"/>
        <v>0</v>
      </c>
      <c r="CT15" s="523">
        <f t="shared" si="142"/>
        <v>0</v>
      </c>
      <c r="CU15" s="521"/>
      <c r="CV15" s="522">
        <f t="shared" si="31"/>
        <v>0</v>
      </c>
      <c r="CW15" s="523">
        <f t="shared" si="143"/>
        <v>0</v>
      </c>
      <c r="CX15" s="521"/>
      <c r="CY15" s="522">
        <f t="shared" si="32"/>
        <v>0</v>
      </c>
      <c r="CZ15" s="523">
        <f t="shared" si="144"/>
        <v>0</v>
      </c>
      <c r="DA15" s="521"/>
      <c r="DB15" s="522">
        <f t="shared" si="33"/>
        <v>0</v>
      </c>
      <c r="DC15" s="523">
        <f t="shared" si="145"/>
        <v>0</v>
      </c>
      <c r="DD15" s="521"/>
      <c r="DE15" s="522">
        <f t="shared" si="34"/>
        <v>0</v>
      </c>
      <c r="DF15" s="523">
        <f t="shared" si="146"/>
        <v>0</v>
      </c>
      <c r="DG15" s="521"/>
      <c r="DH15" s="522">
        <f t="shared" si="35"/>
        <v>0</v>
      </c>
      <c r="DI15" s="523">
        <f t="shared" si="203"/>
        <v>0</v>
      </c>
      <c r="DJ15" s="521"/>
      <c r="DK15" s="522">
        <f t="shared" si="36"/>
        <v>0</v>
      </c>
      <c r="DL15" s="523">
        <f t="shared" si="147"/>
        <v>0</v>
      </c>
      <c r="DM15" s="521"/>
      <c r="DN15" s="522">
        <f t="shared" si="37"/>
        <v>0</v>
      </c>
      <c r="DO15" s="523">
        <f t="shared" si="148"/>
        <v>0</v>
      </c>
      <c r="DP15" s="521"/>
      <c r="DQ15" s="522">
        <f t="shared" si="38"/>
        <v>0</v>
      </c>
      <c r="DR15" s="523">
        <f t="shared" si="149"/>
        <v>0</v>
      </c>
      <c r="DS15" s="521"/>
      <c r="DT15" s="522">
        <f t="shared" si="39"/>
        <v>0</v>
      </c>
      <c r="DU15" s="523">
        <f t="shared" si="150"/>
        <v>0</v>
      </c>
      <c r="DV15" s="521"/>
      <c r="DW15" s="522">
        <f t="shared" si="40"/>
        <v>0</v>
      </c>
      <c r="DX15" s="523">
        <f t="shared" si="151"/>
        <v>0</v>
      </c>
      <c r="DY15" s="521"/>
      <c r="DZ15" s="522">
        <f t="shared" si="41"/>
        <v>0</v>
      </c>
      <c r="EA15" s="523">
        <f t="shared" si="152"/>
        <v>0</v>
      </c>
      <c r="EB15" s="521"/>
      <c r="EC15" s="522">
        <f t="shared" si="42"/>
        <v>0</v>
      </c>
      <c r="ED15" s="523">
        <f t="shared" si="153"/>
        <v>0</v>
      </c>
      <c r="EE15" s="521">
        <v>10.901162790697676</v>
      </c>
      <c r="EF15" s="522">
        <f t="shared" si="43"/>
        <v>0.62870769886946631</v>
      </c>
      <c r="EG15" s="523">
        <f t="shared" si="154"/>
        <v>0</v>
      </c>
      <c r="EH15" s="521">
        <v>3</v>
      </c>
      <c r="EI15" s="522">
        <f t="shared" si="44"/>
        <v>0.17302035872887711</v>
      </c>
      <c r="EJ15" s="523">
        <f t="shared" si="155"/>
        <v>0</v>
      </c>
      <c r="EK15" s="521">
        <v>18.142427317073157</v>
      </c>
      <c r="EL15" s="522">
        <f t="shared" si="45"/>
        <v>1.0463364275375258</v>
      </c>
      <c r="EM15" s="523">
        <f t="shared" si="156"/>
        <v>0</v>
      </c>
      <c r="EN15" s="521">
        <v>20.219720930232597</v>
      </c>
      <c r="EO15" s="522">
        <f t="shared" si="46"/>
        <v>1.1661411229155429</v>
      </c>
      <c r="EP15" s="523">
        <f t="shared" si="157"/>
        <v>0</v>
      </c>
      <c r="EQ15" s="521">
        <v>34.934117647058713</v>
      </c>
      <c r="ER15" s="522">
        <f t="shared" si="47"/>
        <v>2.0147711890569648</v>
      </c>
      <c r="ES15" s="523">
        <f t="shared" si="158"/>
        <v>0</v>
      </c>
      <c r="ET15" s="521"/>
      <c r="EU15" s="522">
        <f t="shared" si="48"/>
        <v>0</v>
      </c>
      <c r="EV15" s="523">
        <f t="shared" si="159"/>
        <v>0</v>
      </c>
      <c r="EW15" s="521"/>
      <c r="EX15" s="522">
        <f t="shared" si="49"/>
        <v>0</v>
      </c>
      <c r="EY15" s="523">
        <f t="shared" si="160"/>
        <v>0</v>
      </c>
      <c r="EZ15" s="521"/>
      <c r="FA15" s="522">
        <f t="shared" si="50"/>
        <v>0</v>
      </c>
      <c r="FB15" s="523">
        <f t="shared" si="161"/>
        <v>0</v>
      </c>
      <c r="FC15" s="521"/>
      <c r="FD15" s="522">
        <f t="shared" si="51"/>
        <v>0</v>
      </c>
      <c r="FE15" s="523">
        <f t="shared" si="162"/>
        <v>0</v>
      </c>
      <c r="FF15" s="521"/>
      <c r="FG15" s="522">
        <f t="shared" si="52"/>
        <v>0</v>
      </c>
      <c r="FH15" s="523">
        <f t="shared" si="163"/>
        <v>0</v>
      </c>
      <c r="FI15" s="521"/>
      <c r="FJ15" s="522">
        <f t="shared" si="53"/>
        <v>0</v>
      </c>
      <c r="FK15" s="523">
        <f t="shared" si="164"/>
        <v>0</v>
      </c>
      <c r="FL15" s="521"/>
      <c r="FM15" s="522">
        <f t="shared" si="54"/>
        <v>0</v>
      </c>
      <c r="FN15" s="523">
        <f t="shared" si="165"/>
        <v>0</v>
      </c>
      <c r="FO15" s="521"/>
      <c r="FP15" s="522">
        <f t="shared" si="55"/>
        <v>0</v>
      </c>
      <c r="FQ15" s="523">
        <f t="shared" si="166"/>
        <v>0</v>
      </c>
      <c r="FR15" s="521"/>
      <c r="FS15" s="522">
        <f t="shared" si="56"/>
        <v>0</v>
      </c>
      <c r="FT15" s="523">
        <f t="shared" si="167"/>
        <v>0</v>
      </c>
      <c r="FU15" s="521"/>
      <c r="FV15" s="522">
        <f t="shared" si="57"/>
        <v>0</v>
      </c>
      <c r="FW15" s="523">
        <f t="shared" si="168"/>
        <v>0</v>
      </c>
      <c r="FX15" s="521"/>
      <c r="FY15" s="522">
        <f t="shared" si="58"/>
        <v>0</v>
      </c>
      <c r="FZ15" s="523">
        <f t="shared" si="169"/>
        <v>0</v>
      </c>
      <c r="GA15" s="521"/>
      <c r="GB15" s="522">
        <f t="shared" si="59"/>
        <v>0</v>
      </c>
      <c r="GC15" s="523">
        <f t="shared" si="170"/>
        <v>0</v>
      </c>
      <c r="GD15" s="521"/>
      <c r="GE15" s="522">
        <f t="shared" si="60"/>
        <v>0</v>
      </c>
      <c r="GF15" s="523">
        <f t="shared" si="171"/>
        <v>0</v>
      </c>
      <c r="GG15" s="521"/>
      <c r="GH15" s="522">
        <f t="shared" si="61"/>
        <v>0</v>
      </c>
      <c r="GI15" s="523">
        <f t="shared" si="172"/>
        <v>0</v>
      </c>
      <c r="GJ15" s="521"/>
      <c r="GK15" s="522">
        <f t="shared" si="62"/>
        <v>0</v>
      </c>
      <c r="GL15" s="523">
        <f t="shared" si="173"/>
        <v>0</v>
      </c>
      <c r="GM15" s="521"/>
      <c r="GN15" s="522">
        <f t="shared" si="63"/>
        <v>0</v>
      </c>
      <c r="GO15" s="523">
        <f t="shared" si="174"/>
        <v>0</v>
      </c>
      <c r="GP15" s="521"/>
      <c r="GQ15" s="522">
        <f t="shared" si="64"/>
        <v>0</v>
      </c>
      <c r="GR15" s="523">
        <f t="shared" si="175"/>
        <v>0</v>
      </c>
      <c r="GS15" s="521"/>
      <c r="GT15" s="522">
        <f t="shared" si="65"/>
        <v>0</v>
      </c>
      <c r="GU15" s="523">
        <f t="shared" si="176"/>
        <v>0</v>
      </c>
      <c r="GV15" s="521"/>
      <c r="GW15" s="522">
        <f t="shared" si="66"/>
        <v>0</v>
      </c>
      <c r="GX15" s="523">
        <f t="shared" si="177"/>
        <v>0</v>
      </c>
      <c r="GY15" s="521"/>
      <c r="GZ15" s="522">
        <f t="shared" si="67"/>
        <v>0</v>
      </c>
      <c r="HA15" s="523">
        <f t="shared" si="178"/>
        <v>0</v>
      </c>
      <c r="HB15" s="521"/>
      <c r="HC15" s="522">
        <f t="shared" si="68"/>
        <v>0</v>
      </c>
      <c r="HD15" s="523">
        <f t="shared" si="179"/>
        <v>0</v>
      </c>
      <c r="HE15" s="521"/>
      <c r="HF15" s="522">
        <f t="shared" si="69"/>
        <v>0</v>
      </c>
      <c r="HG15" s="523">
        <f t="shared" si="180"/>
        <v>0</v>
      </c>
      <c r="HH15" s="521"/>
      <c r="HI15" s="522">
        <f t="shared" si="70"/>
        <v>0</v>
      </c>
      <c r="HJ15" s="523">
        <f t="shared" si="181"/>
        <v>0</v>
      </c>
      <c r="HK15" s="521"/>
      <c r="HL15" s="522">
        <f t="shared" si="71"/>
        <v>0</v>
      </c>
      <c r="HM15" s="523">
        <f t="shared" si="182"/>
        <v>0</v>
      </c>
      <c r="HN15" s="521"/>
      <c r="HO15" s="522">
        <f t="shared" si="72"/>
        <v>0</v>
      </c>
      <c r="HP15" s="523">
        <f t="shared" si="183"/>
        <v>0</v>
      </c>
      <c r="HQ15" s="521"/>
      <c r="HR15" s="522">
        <f t="shared" si="73"/>
        <v>0</v>
      </c>
      <c r="HS15" s="523">
        <f t="shared" si="184"/>
        <v>0</v>
      </c>
      <c r="HT15" s="521"/>
      <c r="HU15" s="522">
        <f t="shared" si="74"/>
        <v>0</v>
      </c>
      <c r="HV15" s="523">
        <f t="shared" si="185"/>
        <v>0</v>
      </c>
      <c r="HW15" s="521"/>
      <c r="HX15" s="522">
        <f t="shared" si="75"/>
        <v>0</v>
      </c>
      <c r="HY15" s="523">
        <f t="shared" si="186"/>
        <v>0</v>
      </c>
      <c r="HZ15" s="521"/>
      <c r="IA15" s="522">
        <f t="shared" si="76"/>
        <v>0</v>
      </c>
      <c r="IB15" s="523">
        <f t="shared" si="187"/>
        <v>0</v>
      </c>
      <c r="IC15" s="521"/>
      <c r="ID15" s="522">
        <f t="shared" si="77"/>
        <v>0</v>
      </c>
      <c r="IE15" s="523">
        <f t="shared" si="188"/>
        <v>0</v>
      </c>
      <c r="IF15" s="521"/>
      <c r="IG15" s="522">
        <f t="shared" si="78"/>
        <v>0</v>
      </c>
      <c r="IH15" s="523">
        <f t="shared" si="189"/>
        <v>0</v>
      </c>
      <c r="II15" s="521"/>
      <c r="IJ15" s="522">
        <f t="shared" si="79"/>
        <v>0</v>
      </c>
      <c r="IK15" s="523">
        <f t="shared" si="190"/>
        <v>0</v>
      </c>
      <c r="IL15" s="521"/>
      <c r="IM15" s="522">
        <f t="shared" si="80"/>
        <v>0</v>
      </c>
      <c r="IN15" s="523">
        <f t="shared" si="191"/>
        <v>0</v>
      </c>
      <c r="IO15" s="521"/>
      <c r="IP15" s="522">
        <f t="shared" si="81"/>
        <v>0</v>
      </c>
      <c r="IQ15" s="523">
        <f t="shared" si="192"/>
        <v>0</v>
      </c>
      <c r="IR15" s="521"/>
      <c r="IS15" s="522">
        <f t="shared" si="82"/>
        <v>0</v>
      </c>
      <c r="IT15" s="523">
        <f t="shared" si="193"/>
        <v>0</v>
      </c>
      <c r="IU15" s="521"/>
      <c r="IV15" s="522">
        <f t="shared" si="83"/>
        <v>0</v>
      </c>
      <c r="IW15" s="523">
        <f t="shared" si="194"/>
        <v>0</v>
      </c>
      <c r="IX15" s="521"/>
      <c r="IY15" s="522">
        <f t="shared" si="84"/>
        <v>0</v>
      </c>
      <c r="IZ15" s="523">
        <f t="shared" si="195"/>
        <v>0</v>
      </c>
      <c r="JA15" s="521"/>
      <c r="JB15" s="522">
        <f t="shared" si="85"/>
        <v>0</v>
      </c>
      <c r="JC15" s="523">
        <f t="shared" si="196"/>
        <v>0</v>
      </c>
      <c r="JD15" s="521"/>
      <c r="JE15" s="522">
        <f t="shared" si="86"/>
        <v>0</v>
      </c>
      <c r="JF15" s="523">
        <f t="shared" si="197"/>
        <v>0</v>
      </c>
      <c r="JG15" s="521"/>
      <c r="JH15" s="522">
        <f t="shared" si="87"/>
        <v>0</v>
      </c>
      <c r="JI15" s="523">
        <f t="shared" si="198"/>
        <v>0</v>
      </c>
      <c r="JJ15" s="521"/>
      <c r="JK15" s="523" t="str">
        <f t="shared" si="88"/>
        <v>0</v>
      </c>
      <c r="JL15" s="523" t="str">
        <f t="shared" si="89"/>
        <v>0</v>
      </c>
      <c r="JM15" s="521"/>
      <c r="JN15" s="523" t="str">
        <f t="shared" si="90"/>
        <v>0</v>
      </c>
      <c r="JO15" s="523" t="str">
        <f t="shared" si="91"/>
        <v>0</v>
      </c>
      <c r="JP15" s="521"/>
      <c r="JQ15" s="523" t="str">
        <f t="shared" si="92"/>
        <v>0</v>
      </c>
      <c r="JR15" s="523" t="str">
        <f t="shared" si="93"/>
        <v>0</v>
      </c>
      <c r="JS15" s="521"/>
      <c r="JT15" s="523" t="str">
        <f t="shared" si="94"/>
        <v>0</v>
      </c>
      <c r="JU15" s="523" t="str">
        <f t="shared" si="95"/>
        <v>0</v>
      </c>
      <c r="JV15" s="521"/>
      <c r="JW15" s="523" t="str">
        <f t="shared" si="96"/>
        <v>0</v>
      </c>
      <c r="JX15" s="523" t="str">
        <f t="shared" si="97"/>
        <v>0</v>
      </c>
      <c r="JY15" s="521"/>
      <c r="JZ15" s="523" t="str">
        <f t="shared" si="98"/>
        <v>0</v>
      </c>
      <c r="KA15" s="523" t="str">
        <f t="shared" si="99"/>
        <v>0</v>
      </c>
      <c r="KB15" s="521"/>
      <c r="KC15" s="523" t="str">
        <f t="shared" si="100"/>
        <v>0</v>
      </c>
      <c r="KD15" s="523" t="str">
        <f t="shared" si="101"/>
        <v>0</v>
      </c>
      <c r="KE15" s="521"/>
      <c r="KF15" s="523" t="str">
        <f t="shared" si="102"/>
        <v>0</v>
      </c>
      <c r="KG15" s="523" t="str">
        <f t="shared" si="103"/>
        <v>0</v>
      </c>
      <c r="KH15" s="521"/>
      <c r="KI15" s="523" t="str">
        <f t="shared" si="104"/>
        <v>0</v>
      </c>
      <c r="KJ15" s="523" t="str">
        <f t="shared" si="105"/>
        <v>0</v>
      </c>
      <c r="KK15" s="521"/>
      <c r="KL15" s="523" t="str">
        <f t="shared" si="106"/>
        <v>0</v>
      </c>
      <c r="KM15" s="523" t="str">
        <f t="shared" si="107"/>
        <v>0</v>
      </c>
      <c r="KN15" s="521"/>
      <c r="KO15" s="523" t="str">
        <f t="shared" si="108"/>
        <v>0</v>
      </c>
      <c r="KP15" s="523" t="str">
        <f t="shared" si="109"/>
        <v>0</v>
      </c>
      <c r="KQ15" s="521"/>
      <c r="KR15" s="523" t="str">
        <f t="shared" si="110"/>
        <v>0</v>
      </c>
      <c r="KS15" s="523" t="str">
        <f t="shared" si="111"/>
        <v>0</v>
      </c>
      <c r="KT15" s="523">
        <f t="shared" si="201"/>
        <v>0</v>
      </c>
      <c r="KU15" s="523">
        <f t="shared" si="202"/>
        <v>0</v>
      </c>
      <c r="KV15" s="261">
        <f t="shared" si="199"/>
        <v>251.60571705715498</v>
      </c>
    </row>
    <row r="16" spans="1:308">
      <c r="A16" s="262">
        <f t="shared" si="200"/>
        <v>46089</v>
      </c>
      <c r="B16" s="263" t="str">
        <f>+Report1!B16</f>
        <v>Facial</v>
      </c>
      <c r="C16" s="263" t="str">
        <f>+Report1!C16</f>
        <v>13/11,5</v>
      </c>
      <c r="D16" s="264">
        <f>+Report1!P16</f>
        <v>37.067</v>
      </c>
      <c r="E16" s="556">
        <f>+Report1!R16</f>
        <v>35.731999999999999</v>
      </c>
      <c r="F16" s="521"/>
      <c r="G16" s="522">
        <f t="shared" si="0"/>
        <v>0</v>
      </c>
      <c r="H16" s="523">
        <f t="shared" si="112"/>
        <v>0</v>
      </c>
      <c r="I16" s="521">
        <v>255.62220000000013</v>
      </c>
      <c r="J16" s="522">
        <f t="shared" si="1"/>
        <v>7.1538732788536921</v>
      </c>
      <c r="K16" s="523">
        <f t="shared" si="113"/>
        <v>0</v>
      </c>
      <c r="L16" s="521"/>
      <c r="M16" s="522">
        <f t="shared" si="2"/>
        <v>0</v>
      </c>
      <c r="N16" s="523">
        <f t="shared" si="114"/>
        <v>0</v>
      </c>
      <c r="O16" s="521">
        <v>5.6491999999999933</v>
      </c>
      <c r="P16" s="522">
        <f t="shared" si="3"/>
        <v>0.15809918280532836</v>
      </c>
      <c r="Q16" s="523">
        <f t="shared" si="115"/>
        <v>0</v>
      </c>
      <c r="R16" s="521"/>
      <c r="S16" s="522">
        <f t="shared" si="4"/>
        <v>0</v>
      </c>
      <c r="T16" s="523">
        <f t="shared" si="116"/>
        <v>0</v>
      </c>
      <c r="U16" s="521">
        <v>8.0442999999999927</v>
      </c>
      <c r="V16" s="522">
        <f t="shared" si="5"/>
        <v>0.22512873614687096</v>
      </c>
      <c r="W16" s="523">
        <f t="shared" si="117"/>
        <v>0</v>
      </c>
      <c r="X16" s="521"/>
      <c r="Y16" s="522">
        <f t="shared" si="6"/>
        <v>0</v>
      </c>
      <c r="Z16" s="523">
        <f t="shared" si="118"/>
        <v>0</v>
      </c>
      <c r="AA16" s="521">
        <v>4.6875000000000036</v>
      </c>
      <c r="AB16" s="522">
        <f t="shared" si="7"/>
        <v>0.1311849322735924</v>
      </c>
      <c r="AC16" s="523">
        <f t="shared" si="119"/>
        <v>0</v>
      </c>
      <c r="AD16" s="521"/>
      <c r="AE16" s="522">
        <f t="shared" si="8"/>
        <v>0</v>
      </c>
      <c r="AF16" s="523">
        <f t="shared" si="120"/>
        <v>0</v>
      </c>
      <c r="AG16" s="521"/>
      <c r="AH16" s="522">
        <f t="shared" si="9"/>
        <v>0</v>
      </c>
      <c r="AI16" s="523">
        <f t="shared" si="121"/>
        <v>0</v>
      </c>
      <c r="AJ16" s="521"/>
      <c r="AK16" s="522">
        <f t="shared" si="10"/>
        <v>0</v>
      </c>
      <c r="AL16" s="523">
        <f t="shared" si="122"/>
        <v>0</v>
      </c>
      <c r="AM16" s="521"/>
      <c r="AN16" s="522">
        <f t="shared" si="11"/>
        <v>0</v>
      </c>
      <c r="AO16" s="523">
        <f t="shared" si="123"/>
        <v>0</v>
      </c>
      <c r="AP16" s="521"/>
      <c r="AQ16" s="522">
        <f t="shared" si="12"/>
        <v>0</v>
      </c>
      <c r="AR16" s="523">
        <f t="shared" si="124"/>
        <v>0</v>
      </c>
      <c r="AS16" s="521"/>
      <c r="AT16" s="522">
        <f t="shared" si="13"/>
        <v>0</v>
      </c>
      <c r="AU16" s="523">
        <f t="shared" si="125"/>
        <v>0</v>
      </c>
      <c r="AV16" s="521"/>
      <c r="AW16" s="522">
        <f t="shared" si="14"/>
        <v>0</v>
      </c>
      <c r="AX16" s="523">
        <f t="shared" si="126"/>
        <v>0</v>
      </c>
      <c r="AY16" s="521"/>
      <c r="AZ16" s="522">
        <f t="shared" si="15"/>
        <v>0</v>
      </c>
      <c r="BA16" s="523">
        <f t="shared" si="127"/>
        <v>0</v>
      </c>
      <c r="BB16" s="521"/>
      <c r="BC16" s="522">
        <f t="shared" si="16"/>
        <v>0</v>
      </c>
      <c r="BD16" s="523">
        <f t="shared" si="128"/>
        <v>0</v>
      </c>
      <c r="BE16" s="521"/>
      <c r="BF16" s="522">
        <f t="shared" si="17"/>
        <v>0</v>
      </c>
      <c r="BG16" s="523">
        <f t="shared" si="129"/>
        <v>0</v>
      </c>
      <c r="BH16" s="521"/>
      <c r="BI16" s="522">
        <f t="shared" si="18"/>
        <v>0</v>
      </c>
      <c r="BJ16" s="523">
        <f t="shared" si="130"/>
        <v>0</v>
      </c>
      <c r="BK16" s="521"/>
      <c r="BL16" s="522">
        <f t="shared" si="19"/>
        <v>0</v>
      </c>
      <c r="BM16" s="523">
        <f t="shared" si="131"/>
        <v>0</v>
      </c>
      <c r="BN16" s="521"/>
      <c r="BO16" s="522">
        <f t="shared" si="20"/>
        <v>0</v>
      </c>
      <c r="BP16" s="523">
        <f t="shared" si="132"/>
        <v>0</v>
      </c>
      <c r="BQ16" s="521">
        <v>15.189873417721515</v>
      </c>
      <c r="BR16" s="522">
        <f t="shared" si="21"/>
        <v>0.42510560331695718</v>
      </c>
      <c r="BS16" s="523">
        <f t="shared" si="133"/>
        <v>0</v>
      </c>
      <c r="BT16" s="521"/>
      <c r="BU16" s="522">
        <f t="shared" si="22"/>
        <v>0</v>
      </c>
      <c r="BV16" s="523">
        <f t="shared" si="134"/>
        <v>0</v>
      </c>
      <c r="BW16" s="521"/>
      <c r="BX16" s="522">
        <f t="shared" si="23"/>
        <v>0</v>
      </c>
      <c r="BY16" s="523">
        <f t="shared" si="135"/>
        <v>0</v>
      </c>
      <c r="BZ16" s="521"/>
      <c r="CA16" s="522">
        <f t="shared" si="24"/>
        <v>0</v>
      </c>
      <c r="CB16" s="523">
        <f t="shared" si="136"/>
        <v>0</v>
      </c>
      <c r="CC16" s="521"/>
      <c r="CD16" s="522">
        <f t="shared" si="25"/>
        <v>0</v>
      </c>
      <c r="CE16" s="523">
        <f t="shared" si="137"/>
        <v>0</v>
      </c>
      <c r="CF16" s="521">
        <v>0.25</v>
      </c>
      <c r="CG16" s="522">
        <f t="shared" si="26"/>
        <v>6.9965297212582558E-3</v>
      </c>
      <c r="CH16" s="523">
        <f t="shared" si="138"/>
        <v>0</v>
      </c>
      <c r="CI16" s="521"/>
      <c r="CJ16" s="522">
        <f t="shared" si="27"/>
        <v>0</v>
      </c>
      <c r="CK16" s="523">
        <f t="shared" si="139"/>
        <v>0</v>
      </c>
      <c r="CL16" s="521"/>
      <c r="CM16" s="522">
        <f t="shared" si="28"/>
        <v>0</v>
      </c>
      <c r="CN16" s="523">
        <f t="shared" si="140"/>
        <v>0</v>
      </c>
      <c r="CO16" s="521"/>
      <c r="CP16" s="522">
        <f t="shared" si="29"/>
        <v>0</v>
      </c>
      <c r="CQ16" s="523">
        <f t="shared" si="141"/>
        <v>0</v>
      </c>
      <c r="CR16" s="521"/>
      <c r="CS16" s="522">
        <f t="shared" si="30"/>
        <v>0</v>
      </c>
      <c r="CT16" s="523">
        <f t="shared" si="142"/>
        <v>0</v>
      </c>
      <c r="CU16" s="521"/>
      <c r="CV16" s="522">
        <f t="shared" si="31"/>
        <v>0</v>
      </c>
      <c r="CW16" s="523">
        <f t="shared" si="143"/>
        <v>0</v>
      </c>
      <c r="CX16" s="521"/>
      <c r="CY16" s="522">
        <f t="shared" si="32"/>
        <v>0</v>
      </c>
      <c r="CZ16" s="523">
        <f t="shared" si="144"/>
        <v>0</v>
      </c>
      <c r="DA16" s="521"/>
      <c r="DB16" s="522">
        <f t="shared" si="33"/>
        <v>0</v>
      </c>
      <c r="DC16" s="523">
        <f t="shared" si="145"/>
        <v>0</v>
      </c>
      <c r="DD16" s="521"/>
      <c r="DE16" s="522">
        <f t="shared" si="34"/>
        <v>0</v>
      </c>
      <c r="DF16" s="523">
        <f t="shared" si="146"/>
        <v>0</v>
      </c>
      <c r="DG16" s="521"/>
      <c r="DH16" s="522">
        <f t="shared" si="35"/>
        <v>0</v>
      </c>
      <c r="DI16" s="523">
        <f t="shared" si="203"/>
        <v>0</v>
      </c>
      <c r="DJ16" s="521"/>
      <c r="DK16" s="522">
        <f t="shared" si="36"/>
        <v>0</v>
      </c>
      <c r="DL16" s="523">
        <f t="shared" si="147"/>
        <v>0</v>
      </c>
      <c r="DM16" s="521"/>
      <c r="DN16" s="522">
        <f t="shared" si="37"/>
        <v>0</v>
      </c>
      <c r="DO16" s="523">
        <f t="shared" si="148"/>
        <v>0</v>
      </c>
      <c r="DP16" s="521"/>
      <c r="DQ16" s="522">
        <f t="shared" si="38"/>
        <v>0</v>
      </c>
      <c r="DR16" s="523">
        <f t="shared" si="149"/>
        <v>0</v>
      </c>
      <c r="DS16" s="521"/>
      <c r="DT16" s="522">
        <f t="shared" si="39"/>
        <v>0</v>
      </c>
      <c r="DU16" s="523">
        <f t="shared" si="150"/>
        <v>0</v>
      </c>
      <c r="DV16" s="521"/>
      <c r="DW16" s="522">
        <f t="shared" si="40"/>
        <v>0</v>
      </c>
      <c r="DX16" s="523">
        <f t="shared" si="151"/>
        <v>0</v>
      </c>
      <c r="DY16" s="521"/>
      <c r="DZ16" s="522">
        <f t="shared" si="41"/>
        <v>0</v>
      </c>
      <c r="EA16" s="523">
        <f t="shared" si="152"/>
        <v>0</v>
      </c>
      <c r="EB16" s="521"/>
      <c r="EC16" s="522">
        <f t="shared" si="42"/>
        <v>0</v>
      </c>
      <c r="ED16" s="523">
        <f t="shared" si="153"/>
        <v>0</v>
      </c>
      <c r="EE16" s="521">
        <v>10.901162790697676</v>
      </c>
      <c r="EF16" s="522">
        <f t="shared" si="43"/>
        <v>0.30508123784556351</v>
      </c>
      <c r="EG16" s="523">
        <f t="shared" si="154"/>
        <v>0</v>
      </c>
      <c r="EH16" s="521">
        <v>4</v>
      </c>
      <c r="EI16" s="522">
        <f t="shared" si="44"/>
        <v>0.11194447554013209</v>
      </c>
      <c r="EJ16" s="523">
        <f t="shared" si="155"/>
        <v>0</v>
      </c>
      <c r="EK16" s="521">
        <v>30.63784499999997</v>
      </c>
      <c r="EL16" s="522">
        <f t="shared" si="45"/>
        <v>0.8574343725512138</v>
      </c>
      <c r="EM16" s="523">
        <f t="shared" si="156"/>
        <v>0</v>
      </c>
      <c r="EN16" s="521">
        <v>34.14449999999988</v>
      </c>
      <c r="EO16" s="522">
        <f t="shared" si="46"/>
        <v>0.95557203627000675</v>
      </c>
      <c r="EP16" s="523">
        <f t="shared" si="157"/>
        <v>0</v>
      </c>
      <c r="EQ16" s="521">
        <v>59</v>
      </c>
      <c r="ER16" s="522">
        <f t="shared" si="47"/>
        <v>1.6511810142169485</v>
      </c>
      <c r="ES16" s="523">
        <f t="shared" si="158"/>
        <v>0</v>
      </c>
      <c r="ET16" s="521">
        <v>23.255813953488314</v>
      </c>
      <c r="EU16" s="522">
        <f t="shared" si="48"/>
        <v>0.65083997407053384</v>
      </c>
      <c r="EV16" s="523">
        <f t="shared" si="159"/>
        <v>0</v>
      </c>
      <c r="EW16" s="521"/>
      <c r="EX16" s="522">
        <f t="shared" si="49"/>
        <v>0</v>
      </c>
      <c r="EY16" s="523">
        <f t="shared" si="160"/>
        <v>0</v>
      </c>
      <c r="EZ16" s="521"/>
      <c r="FA16" s="522">
        <f t="shared" si="50"/>
        <v>0</v>
      </c>
      <c r="FB16" s="523">
        <f t="shared" si="161"/>
        <v>0</v>
      </c>
      <c r="FC16" s="521"/>
      <c r="FD16" s="522">
        <f t="shared" si="51"/>
        <v>0</v>
      </c>
      <c r="FE16" s="523">
        <f t="shared" si="162"/>
        <v>0</v>
      </c>
      <c r="FF16" s="521"/>
      <c r="FG16" s="522">
        <f t="shared" si="52"/>
        <v>0</v>
      </c>
      <c r="FH16" s="523">
        <f t="shared" si="163"/>
        <v>0</v>
      </c>
      <c r="FI16" s="521"/>
      <c r="FJ16" s="522">
        <f t="shared" si="53"/>
        <v>0</v>
      </c>
      <c r="FK16" s="523">
        <f t="shared" si="164"/>
        <v>0</v>
      </c>
      <c r="FL16" s="521"/>
      <c r="FM16" s="522">
        <f t="shared" si="54"/>
        <v>0</v>
      </c>
      <c r="FN16" s="523">
        <f t="shared" si="165"/>
        <v>0</v>
      </c>
      <c r="FO16" s="521"/>
      <c r="FP16" s="522">
        <f t="shared" si="55"/>
        <v>0</v>
      </c>
      <c r="FQ16" s="523">
        <f t="shared" si="166"/>
        <v>0</v>
      </c>
      <c r="FR16" s="521"/>
      <c r="FS16" s="522">
        <f t="shared" si="56"/>
        <v>0</v>
      </c>
      <c r="FT16" s="523">
        <f t="shared" si="167"/>
        <v>0</v>
      </c>
      <c r="FU16" s="521"/>
      <c r="FV16" s="522">
        <f t="shared" si="57"/>
        <v>0</v>
      </c>
      <c r="FW16" s="523">
        <f t="shared" si="168"/>
        <v>0</v>
      </c>
      <c r="FX16" s="521"/>
      <c r="FY16" s="522">
        <f t="shared" si="58"/>
        <v>0</v>
      </c>
      <c r="FZ16" s="523">
        <f t="shared" si="169"/>
        <v>0</v>
      </c>
      <c r="GA16" s="521"/>
      <c r="GB16" s="522">
        <f t="shared" si="59"/>
        <v>0</v>
      </c>
      <c r="GC16" s="523">
        <f t="shared" si="170"/>
        <v>0</v>
      </c>
      <c r="GD16" s="521"/>
      <c r="GE16" s="522">
        <f t="shared" si="60"/>
        <v>0</v>
      </c>
      <c r="GF16" s="523">
        <f t="shared" si="171"/>
        <v>0</v>
      </c>
      <c r="GG16" s="521"/>
      <c r="GH16" s="522">
        <f t="shared" si="61"/>
        <v>0</v>
      </c>
      <c r="GI16" s="523">
        <f t="shared" si="172"/>
        <v>0</v>
      </c>
      <c r="GJ16" s="521"/>
      <c r="GK16" s="522">
        <f t="shared" si="62"/>
        <v>0</v>
      </c>
      <c r="GL16" s="523">
        <f t="shared" si="173"/>
        <v>0</v>
      </c>
      <c r="GM16" s="521"/>
      <c r="GN16" s="522">
        <f t="shared" si="63"/>
        <v>0</v>
      </c>
      <c r="GO16" s="523">
        <f t="shared" si="174"/>
        <v>0</v>
      </c>
      <c r="GP16" s="521"/>
      <c r="GQ16" s="522">
        <f t="shared" si="64"/>
        <v>0</v>
      </c>
      <c r="GR16" s="523">
        <f t="shared" si="175"/>
        <v>0</v>
      </c>
      <c r="GS16" s="521"/>
      <c r="GT16" s="522">
        <f t="shared" si="65"/>
        <v>0</v>
      </c>
      <c r="GU16" s="523">
        <f t="shared" si="176"/>
        <v>0</v>
      </c>
      <c r="GV16" s="521"/>
      <c r="GW16" s="522">
        <f t="shared" si="66"/>
        <v>0</v>
      </c>
      <c r="GX16" s="523">
        <f t="shared" si="177"/>
        <v>0</v>
      </c>
      <c r="GY16" s="521"/>
      <c r="GZ16" s="522">
        <f t="shared" si="67"/>
        <v>0</v>
      </c>
      <c r="HA16" s="523">
        <f t="shared" si="178"/>
        <v>0</v>
      </c>
      <c r="HB16" s="521"/>
      <c r="HC16" s="522">
        <f t="shared" si="68"/>
        <v>0</v>
      </c>
      <c r="HD16" s="523">
        <f t="shared" si="179"/>
        <v>0</v>
      </c>
      <c r="HE16" s="521"/>
      <c r="HF16" s="522">
        <f t="shared" si="69"/>
        <v>0</v>
      </c>
      <c r="HG16" s="523">
        <f t="shared" si="180"/>
        <v>0</v>
      </c>
      <c r="HH16" s="521"/>
      <c r="HI16" s="522">
        <f t="shared" si="70"/>
        <v>0</v>
      </c>
      <c r="HJ16" s="523">
        <f t="shared" si="181"/>
        <v>0</v>
      </c>
      <c r="HK16" s="521"/>
      <c r="HL16" s="522">
        <f t="shared" si="71"/>
        <v>0</v>
      </c>
      <c r="HM16" s="523">
        <f t="shared" si="182"/>
        <v>0</v>
      </c>
      <c r="HN16" s="521"/>
      <c r="HO16" s="522">
        <f t="shared" si="72"/>
        <v>0</v>
      </c>
      <c r="HP16" s="523">
        <f t="shared" si="183"/>
        <v>0</v>
      </c>
      <c r="HQ16" s="521"/>
      <c r="HR16" s="522">
        <f t="shared" si="73"/>
        <v>0</v>
      </c>
      <c r="HS16" s="523">
        <f t="shared" si="184"/>
        <v>0</v>
      </c>
      <c r="HT16" s="521"/>
      <c r="HU16" s="522">
        <f t="shared" si="74"/>
        <v>0</v>
      </c>
      <c r="HV16" s="523">
        <f t="shared" si="185"/>
        <v>0</v>
      </c>
      <c r="HW16" s="521"/>
      <c r="HX16" s="522">
        <f t="shared" si="75"/>
        <v>0</v>
      </c>
      <c r="HY16" s="523">
        <f t="shared" si="186"/>
        <v>0</v>
      </c>
      <c r="HZ16" s="521"/>
      <c r="IA16" s="522">
        <f t="shared" si="76"/>
        <v>0</v>
      </c>
      <c r="IB16" s="523">
        <f t="shared" si="187"/>
        <v>0</v>
      </c>
      <c r="IC16" s="521"/>
      <c r="ID16" s="522">
        <f t="shared" si="77"/>
        <v>0</v>
      </c>
      <c r="IE16" s="523">
        <f t="shared" si="188"/>
        <v>0</v>
      </c>
      <c r="IF16" s="521"/>
      <c r="IG16" s="522">
        <f t="shared" si="78"/>
        <v>0</v>
      </c>
      <c r="IH16" s="523">
        <f t="shared" si="189"/>
        <v>0</v>
      </c>
      <c r="II16" s="521"/>
      <c r="IJ16" s="522">
        <f t="shared" si="79"/>
        <v>0</v>
      </c>
      <c r="IK16" s="523">
        <f t="shared" si="190"/>
        <v>0</v>
      </c>
      <c r="IL16" s="521"/>
      <c r="IM16" s="522">
        <f t="shared" si="80"/>
        <v>0</v>
      </c>
      <c r="IN16" s="523">
        <f t="shared" si="191"/>
        <v>0</v>
      </c>
      <c r="IO16" s="521"/>
      <c r="IP16" s="522">
        <f t="shared" si="81"/>
        <v>0</v>
      </c>
      <c r="IQ16" s="523">
        <f t="shared" si="192"/>
        <v>0</v>
      </c>
      <c r="IR16" s="521"/>
      <c r="IS16" s="522">
        <f t="shared" si="82"/>
        <v>0</v>
      </c>
      <c r="IT16" s="523">
        <f t="shared" si="193"/>
        <v>0</v>
      </c>
      <c r="IU16" s="521"/>
      <c r="IV16" s="522">
        <f t="shared" si="83"/>
        <v>0</v>
      </c>
      <c r="IW16" s="523">
        <f t="shared" si="194"/>
        <v>0</v>
      </c>
      <c r="IX16" s="521"/>
      <c r="IY16" s="522">
        <f t="shared" si="84"/>
        <v>0</v>
      </c>
      <c r="IZ16" s="523">
        <f t="shared" si="195"/>
        <v>0</v>
      </c>
      <c r="JA16" s="521"/>
      <c r="JB16" s="522">
        <f t="shared" si="85"/>
        <v>0</v>
      </c>
      <c r="JC16" s="523">
        <f t="shared" si="196"/>
        <v>0</v>
      </c>
      <c r="JD16" s="521"/>
      <c r="JE16" s="522">
        <f t="shared" si="86"/>
        <v>0</v>
      </c>
      <c r="JF16" s="523">
        <f t="shared" si="197"/>
        <v>0</v>
      </c>
      <c r="JG16" s="521"/>
      <c r="JH16" s="522">
        <f t="shared" si="87"/>
        <v>0</v>
      </c>
      <c r="JI16" s="523">
        <f t="shared" si="198"/>
        <v>0</v>
      </c>
      <c r="JJ16" s="521"/>
      <c r="JK16" s="523" t="str">
        <f t="shared" si="88"/>
        <v>0</v>
      </c>
      <c r="JL16" s="523" t="str">
        <f t="shared" si="89"/>
        <v>0</v>
      </c>
      <c r="JM16" s="521"/>
      <c r="JN16" s="523" t="str">
        <f t="shared" si="90"/>
        <v>0</v>
      </c>
      <c r="JO16" s="523" t="str">
        <f t="shared" si="91"/>
        <v>0</v>
      </c>
      <c r="JP16" s="521"/>
      <c r="JQ16" s="523" t="str">
        <f t="shared" si="92"/>
        <v>0</v>
      </c>
      <c r="JR16" s="523" t="str">
        <f t="shared" si="93"/>
        <v>0</v>
      </c>
      <c r="JS16" s="521"/>
      <c r="JT16" s="523" t="str">
        <f t="shared" si="94"/>
        <v>0</v>
      </c>
      <c r="JU16" s="523" t="str">
        <f t="shared" si="95"/>
        <v>0</v>
      </c>
      <c r="JV16" s="521"/>
      <c r="JW16" s="523" t="str">
        <f t="shared" si="96"/>
        <v>0</v>
      </c>
      <c r="JX16" s="523" t="str">
        <f t="shared" si="97"/>
        <v>0</v>
      </c>
      <c r="JY16" s="521"/>
      <c r="JZ16" s="523" t="str">
        <f t="shared" si="98"/>
        <v>0</v>
      </c>
      <c r="KA16" s="523" t="str">
        <f t="shared" si="99"/>
        <v>0</v>
      </c>
      <c r="KB16" s="521"/>
      <c r="KC16" s="523" t="str">
        <f t="shared" si="100"/>
        <v>0</v>
      </c>
      <c r="KD16" s="523" t="str">
        <f t="shared" si="101"/>
        <v>0</v>
      </c>
      <c r="KE16" s="521"/>
      <c r="KF16" s="523" t="str">
        <f t="shared" si="102"/>
        <v>0</v>
      </c>
      <c r="KG16" s="523" t="str">
        <f t="shared" si="103"/>
        <v>0</v>
      </c>
      <c r="KH16" s="521"/>
      <c r="KI16" s="523" t="str">
        <f t="shared" si="104"/>
        <v>0</v>
      </c>
      <c r="KJ16" s="523" t="str">
        <f t="shared" si="105"/>
        <v>0</v>
      </c>
      <c r="KK16" s="521"/>
      <c r="KL16" s="523" t="str">
        <f t="shared" si="106"/>
        <v>0</v>
      </c>
      <c r="KM16" s="523" t="str">
        <f t="shared" si="107"/>
        <v>0</v>
      </c>
      <c r="KN16" s="521"/>
      <c r="KO16" s="523" t="str">
        <f t="shared" si="108"/>
        <v>0</v>
      </c>
      <c r="KP16" s="523" t="str">
        <f t="shared" si="109"/>
        <v>0</v>
      </c>
      <c r="KQ16" s="521"/>
      <c r="KR16" s="523" t="str">
        <f t="shared" si="110"/>
        <v>0</v>
      </c>
      <c r="KS16" s="523" t="str">
        <f t="shared" si="111"/>
        <v>0</v>
      </c>
      <c r="KT16" s="523">
        <f t="shared" si="201"/>
        <v>0</v>
      </c>
      <c r="KU16" s="523">
        <f t="shared" si="202"/>
        <v>0</v>
      </c>
      <c r="KV16" s="261">
        <f t="shared" si="199"/>
        <v>451.38239516190748</v>
      </c>
    </row>
    <row r="17" spans="1:308">
      <c r="A17" s="262">
        <f t="shared" si="200"/>
        <v>46090</v>
      </c>
      <c r="B17" s="263" t="str">
        <f>+Report1!B17</f>
        <v>Facial</v>
      </c>
      <c r="C17" s="263" t="str">
        <f>+Report1!C17</f>
        <v>11,5/12</v>
      </c>
      <c r="D17" s="264">
        <f>+Report1!P17</f>
        <v>37.344999999999999</v>
      </c>
      <c r="E17" s="556">
        <f>+Report1!R17</f>
        <v>41.662999999999997</v>
      </c>
      <c r="F17" s="521"/>
      <c r="G17" s="522">
        <f t="shared" si="0"/>
        <v>0</v>
      </c>
      <c r="H17" s="523">
        <f t="shared" si="112"/>
        <v>0</v>
      </c>
      <c r="I17" s="521">
        <v>279.06682325581403</v>
      </c>
      <c r="J17" s="522">
        <f t="shared" si="1"/>
        <v>6.6981931991410617</v>
      </c>
      <c r="K17" s="523">
        <f t="shared" si="113"/>
        <v>0</v>
      </c>
      <c r="L17" s="521"/>
      <c r="M17" s="522">
        <f t="shared" si="2"/>
        <v>0</v>
      </c>
      <c r="N17" s="523">
        <f t="shared" si="114"/>
        <v>0</v>
      </c>
      <c r="O17" s="521">
        <v>6.0039999999999907</v>
      </c>
      <c r="P17" s="522">
        <f t="shared" si="3"/>
        <v>0.14410868156397741</v>
      </c>
      <c r="Q17" s="523">
        <f t="shared" si="115"/>
        <v>0</v>
      </c>
      <c r="R17" s="521"/>
      <c r="S17" s="522">
        <f t="shared" si="4"/>
        <v>0</v>
      </c>
      <c r="T17" s="523">
        <f t="shared" si="116"/>
        <v>0</v>
      </c>
      <c r="U17" s="521">
        <v>7.6891999999999712</v>
      </c>
      <c r="V17" s="522">
        <f t="shared" si="5"/>
        <v>0.18455704101960904</v>
      </c>
      <c r="W17" s="523">
        <f t="shared" si="117"/>
        <v>0</v>
      </c>
      <c r="X17" s="521"/>
      <c r="Y17" s="522">
        <f t="shared" si="6"/>
        <v>0</v>
      </c>
      <c r="Z17" s="523">
        <f t="shared" si="118"/>
        <v>0</v>
      </c>
      <c r="AA17" s="521">
        <v>6.25</v>
      </c>
      <c r="AB17" s="522">
        <f t="shared" si="7"/>
        <v>0.15001320116170225</v>
      </c>
      <c r="AC17" s="523">
        <f t="shared" si="119"/>
        <v>0</v>
      </c>
      <c r="AD17" s="521"/>
      <c r="AE17" s="522">
        <f t="shared" si="8"/>
        <v>0</v>
      </c>
      <c r="AF17" s="523">
        <f t="shared" si="120"/>
        <v>0</v>
      </c>
      <c r="AG17" s="521"/>
      <c r="AH17" s="522">
        <f t="shared" si="9"/>
        <v>0</v>
      </c>
      <c r="AI17" s="523">
        <f t="shared" si="121"/>
        <v>0</v>
      </c>
      <c r="AJ17" s="521"/>
      <c r="AK17" s="522">
        <f t="shared" si="10"/>
        <v>0</v>
      </c>
      <c r="AL17" s="523">
        <f t="shared" si="122"/>
        <v>0</v>
      </c>
      <c r="AM17" s="521"/>
      <c r="AN17" s="522">
        <f t="shared" si="11"/>
        <v>0</v>
      </c>
      <c r="AO17" s="523">
        <f t="shared" si="123"/>
        <v>0</v>
      </c>
      <c r="AP17" s="521"/>
      <c r="AQ17" s="522">
        <f t="shared" si="12"/>
        <v>0</v>
      </c>
      <c r="AR17" s="523">
        <f t="shared" si="124"/>
        <v>0</v>
      </c>
      <c r="AS17" s="521"/>
      <c r="AT17" s="522">
        <f t="shared" si="13"/>
        <v>0</v>
      </c>
      <c r="AU17" s="523">
        <f t="shared" si="125"/>
        <v>0</v>
      </c>
      <c r="AV17" s="521"/>
      <c r="AW17" s="522">
        <f t="shared" si="14"/>
        <v>0</v>
      </c>
      <c r="AX17" s="523">
        <f t="shared" si="126"/>
        <v>0</v>
      </c>
      <c r="AY17" s="521"/>
      <c r="AZ17" s="522">
        <f t="shared" si="15"/>
        <v>0</v>
      </c>
      <c r="BA17" s="523">
        <f t="shared" si="127"/>
        <v>0</v>
      </c>
      <c r="BB17" s="521"/>
      <c r="BC17" s="522">
        <f t="shared" si="16"/>
        <v>0</v>
      </c>
      <c r="BD17" s="523">
        <f t="shared" si="128"/>
        <v>0</v>
      </c>
      <c r="BE17" s="521"/>
      <c r="BF17" s="522">
        <f t="shared" si="17"/>
        <v>0</v>
      </c>
      <c r="BG17" s="523">
        <f t="shared" si="129"/>
        <v>0</v>
      </c>
      <c r="BH17" s="521"/>
      <c r="BI17" s="522">
        <f t="shared" si="18"/>
        <v>0</v>
      </c>
      <c r="BJ17" s="523">
        <f t="shared" si="130"/>
        <v>0</v>
      </c>
      <c r="BK17" s="521"/>
      <c r="BL17" s="522">
        <f t="shared" si="19"/>
        <v>0</v>
      </c>
      <c r="BM17" s="523">
        <f t="shared" si="131"/>
        <v>0</v>
      </c>
      <c r="BN17" s="521"/>
      <c r="BO17" s="522">
        <f t="shared" si="20"/>
        <v>0</v>
      </c>
      <c r="BP17" s="523">
        <f t="shared" si="132"/>
        <v>0</v>
      </c>
      <c r="BQ17" s="521">
        <v>68.354430379746873</v>
      </c>
      <c r="BR17" s="522">
        <f t="shared" si="21"/>
        <v>1.6406507063760862</v>
      </c>
      <c r="BS17" s="523">
        <f t="shared" si="133"/>
        <v>0</v>
      </c>
      <c r="BT17" s="521"/>
      <c r="BU17" s="522">
        <f t="shared" si="22"/>
        <v>0</v>
      </c>
      <c r="BV17" s="523">
        <f t="shared" si="134"/>
        <v>0</v>
      </c>
      <c r="BW17" s="521"/>
      <c r="BX17" s="522">
        <f t="shared" si="23"/>
        <v>0</v>
      </c>
      <c r="BY17" s="523">
        <f t="shared" si="135"/>
        <v>0</v>
      </c>
      <c r="BZ17" s="521"/>
      <c r="CA17" s="522">
        <f t="shared" si="24"/>
        <v>0</v>
      </c>
      <c r="CB17" s="523">
        <f t="shared" si="136"/>
        <v>0</v>
      </c>
      <c r="CC17" s="521">
        <v>7</v>
      </c>
      <c r="CD17" s="522">
        <f t="shared" si="25"/>
        <v>0.1680147853011065</v>
      </c>
      <c r="CE17" s="523">
        <f t="shared" si="137"/>
        <v>0</v>
      </c>
      <c r="CF17" s="521">
        <v>0.5</v>
      </c>
      <c r="CG17" s="522">
        <f t="shared" si="26"/>
        <v>1.2001056092936179E-2</v>
      </c>
      <c r="CH17" s="523">
        <f t="shared" si="138"/>
        <v>0</v>
      </c>
      <c r="CI17" s="521"/>
      <c r="CJ17" s="522">
        <f t="shared" si="27"/>
        <v>0</v>
      </c>
      <c r="CK17" s="523">
        <f t="shared" si="139"/>
        <v>0</v>
      </c>
      <c r="CL17" s="521"/>
      <c r="CM17" s="522">
        <f t="shared" si="28"/>
        <v>0</v>
      </c>
      <c r="CN17" s="523">
        <f t="shared" si="140"/>
        <v>0</v>
      </c>
      <c r="CO17" s="521"/>
      <c r="CP17" s="522">
        <f t="shared" si="29"/>
        <v>0</v>
      </c>
      <c r="CQ17" s="523">
        <f t="shared" si="141"/>
        <v>0</v>
      </c>
      <c r="CR17" s="521"/>
      <c r="CS17" s="522">
        <f t="shared" si="30"/>
        <v>0</v>
      </c>
      <c r="CT17" s="523">
        <f t="shared" si="142"/>
        <v>0</v>
      </c>
      <c r="CU17" s="521"/>
      <c r="CV17" s="522">
        <f t="shared" si="31"/>
        <v>0</v>
      </c>
      <c r="CW17" s="523">
        <f t="shared" si="143"/>
        <v>0</v>
      </c>
      <c r="CX17" s="521"/>
      <c r="CY17" s="522">
        <f t="shared" si="32"/>
        <v>0</v>
      </c>
      <c r="CZ17" s="523">
        <f t="shared" si="144"/>
        <v>0</v>
      </c>
      <c r="DA17" s="521"/>
      <c r="DB17" s="522">
        <f t="shared" si="33"/>
        <v>0</v>
      </c>
      <c r="DC17" s="523">
        <f t="shared" si="145"/>
        <v>0</v>
      </c>
      <c r="DD17" s="521"/>
      <c r="DE17" s="522">
        <f t="shared" si="34"/>
        <v>0</v>
      </c>
      <c r="DF17" s="523">
        <f t="shared" si="146"/>
        <v>0</v>
      </c>
      <c r="DG17" s="521"/>
      <c r="DH17" s="522">
        <f t="shared" si="35"/>
        <v>0</v>
      </c>
      <c r="DI17" s="523">
        <f t="shared" si="203"/>
        <v>0</v>
      </c>
      <c r="DJ17" s="521"/>
      <c r="DK17" s="522">
        <f t="shared" si="36"/>
        <v>0</v>
      </c>
      <c r="DL17" s="523">
        <f t="shared" si="147"/>
        <v>0</v>
      </c>
      <c r="DM17" s="521"/>
      <c r="DN17" s="522">
        <f t="shared" si="37"/>
        <v>0</v>
      </c>
      <c r="DO17" s="523">
        <f t="shared" si="148"/>
        <v>0</v>
      </c>
      <c r="DP17" s="521"/>
      <c r="DQ17" s="522">
        <f t="shared" si="38"/>
        <v>0</v>
      </c>
      <c r="DR17" s="523">
        <f t="shared" si="149"/>
        <v>0</v>
      </c>
      <c r="DS17" s="521"/>
      <c r="DT17" s="522">
        <f t="shared" si="39"/>
        <v>0</v>
      </c>
      <c r="DU17" s="523">
        <f t="shared" si="150"/>
        <v>0</v>
      </c>
      <c r="DV17" s="521"/>
      <c r="DW17" s="522">
        <f t="shared" si="40"/>
        <v>0</v>
      </c>
      <c r="DX17" s="523">
        <f t="shared" si="151"/>
        <v>0</v>
      </c>
      <c r="DY17" s="521"/>
      <c r="DZ17" s="522">
        <f t="shared" si="41"/>
        <v>0</v>
      </c>
      <c r="EA17" s="523">
        <f t="shared" si="152"/>
        <v>0</v>
      </c>
      <c r="EB17" s="521"/>
      <c r="EC17" s="522">
        <f t="shared" si="42"/>
        <v>0</v>
      </c>
      <c r="ED17" s="523">
        <f t="shared" si="153"/>
        <v>0</v>
      </c>
      <c r="EE17" s="521">
        <v>14.534883720930239</v>
      </c>
      <c r="EF17" s="522">
        <f t="shared" si="43"/>
        <v>0.34886790967837744</v>
      </c>
      <c r="EG17" s="523">
        <f t="shared" si="154"/>
        <v>0</v>
      </c>
      <c r="EH17" s="521">
        <v>3</v>
      </c>
      <c r="EI17" s="522">
        <f t="shared" si="44"/>
        <v>7.2006336557617082E-2</v>
      </c>
      <c r="EJ17" s="523">
        <f t="shared" si="155"/>
        <v>0</v>
      </c>
      <c r="EK17" s="521">
        <v>36.585581341463467</v>
      </c>
      <c r="EL17" s="522">
        <f t="shared" si="45"/>
        <v>0.87813122774316466</v>
      </c>
      <c r="EM17" s="523">
        <f t="shared" si="156"/>
        <v>0</v>
      </c>
      <c r="EN17" s="521">
        <v>39.531127906976735</v>
      </c>
      <c r="EO17" s="522">
        <f t="shared" si="46"/>
        <v>0.94883056685732514</v>
      </c>
      <c r="EP17" s="523">
        <f t="shared" si="157"/>
        <v>0</v>
      </c>
      <c r="EQ17" s="521">
        <v>58.70117647058828</v>
      </c>
      <c r="ER17" s="522">
        <f t="shared" si="47"/>
        <v>1.4089522230897507</v>
      </c>
      <c r="ES17" s="523">
        <f t="shared" si="158"/>
        <v>0</v>
      </c>
      <c r="ET17" s="521"/>
      <c r="EU17" s="522">
        <f t="shared" si="48"/>
        <v>0</v>
      </c>
      <c r="EV17" s="523">
        <f t="shared" si="159"/>
        <v>0</v>
      </c>
      <c r="EW17" s="521"/>
      <c r="EX17" s="522">
        <f t="shared" si="49"/>
        <v>0</v>
      </c>
      <c r="EY17" s="523">
        <f t="shared" si="160"/>
        <v>0</v>
      </c>
      <c r="EZ17" s="521"/>
      <c r="FA17" s="522">
        <f t="shared" si="50"/>
        <v>0</v>
      </c>
      <c r="FB17" s="523">
        <f t="shared" si="161"/>
        <v>0</v>
      </c>
      <c r="FC17" s="521"/>
      <c r="FD17" s="522">
        <f t="shared" si="51"/>
        <v>0</v>
      </c>
      <c r="FE17" s="523">
        <f t="shared" si="162"/>
        <v>0</v>
      </c>
      <c r="FF17" s="521"/>
      <c r="FG17" s="522">
        <f t="shared" si="52"/>
        <v>0</v>
      </c>
      <c r="FH17" s="523">
        <f t="shared" si="163"/>
        <v>0</v>
      </c>
      <c r="FI17" s="521"/>
      <c r="FJ17" s="522">
        <f t="shared" si="53"/>
        <v>0</v>
      </c>
      <c r="FK17" s="523">
        <f t="shared" si="164"/>
        <v>0</v>
      </c>
      <c r="FL17" s="521"/>
      <c r="FM17" s="522">
        <f t="shared" si="54"/>
        <v>0</v>
      </c>
      <c r="FN17" s="523">
        <f t="shared" si="165"/>
        <v>0</v>
      </c>
      <c r="FO17" s="521"/>
      <c r="FP17" s="522">
        <f t="shared" si="55"/>
        <v>0</v>
      </c>
      <c r="FQ17" s="523">
        <f t="shared" si="166"/>
        <v>0</v>
      </c>
      <c r="FR17" s="521"/>
      <c r="FS17" s="522">
        <f t="shared" si="56"/>
        <v>0</v>
      </c>
      <c r="FT17" s="523">
        <f t="shared" si="167"/>
        <v>0</v>
      </c>
      <c r="FU17" s="521"/>
      <c r="FV17" s="522">
        <f t="shared" si="57"/>
        <v>0</v>
      </c>
      <c r="FW17" s="523">
        <f t="shared" si="168"/>
        <v>0</v>
      </c>
      <c r="FX17" s="521"/>
      <c r="FY17" s="522">
        <f t="shared" si="58"/>
        <v>0</v>
      </c>
      <c r="FZ17" s="523">
        <f t="shared" si="169"/>
        <v>0</v>
      </c>
      <c r="GA17" s="521"/>
      <c r="GB17" s="522">
        <f t="shared" si="59"/>
        <v>0</v>
      </c>
      <c r="GC17" s="523">
        <f t="shared" si="170"/>
        <v>0</v>
      </c>
      <c r="GD17" s="521"/>
      <c r="GE17" s="522">
        <f t="shared" si="60"/>
        <v>0</v>
      </c>
      <c r="GF17" s="523">
        <f t="shared" si="171"/>
        <v>0</v>
      </c>
      <c r="GG17" s="521"/>
      <c r="GH17" s="522">
        <f t="shared" si="61"/>
        <v>0</v>
      </c>
      <c r="GI17" s="523">
        <f t="shared" si="172"/>
        <v>0</v>
      </c>
      <c r="GJ17" s="521"/>
      <c r="GK17" s="522">
        <f t="shared" si="62"/>
        <v>0</v>
      </c>
      <c r="GL17" s="523">
        <f t="shared" si="173"/>
        <v>0</v>
      </c>
      <c r="GM17" s="521"/>
      <c r="GN17" s="522">
        <f t="shared" si="63"/>
        <v>0</v>
      </c>
      <c r="GO17" s="523">
        <f t="shared" si="174"/>
        <v>0</v>
      </c>
      <c r="GP17" s="521"/>
      <c r="GQ17" s="522">
        <f t="shared" si="64"/>
        <v>0</v>
      </c>
      <c r="GR17" s="523">
        <f t="shared" si="175"/>
        <v>0</v>
      </c>
      <c r="GS17" s="521"/>
      <c r="GT17" s="522">
        <f t="shared" si="65"/>
        <v>0</v>
      </c>
      <c r="GU17" s="523">
        <f t="shared" si="176"/>
        <v>0</v>
      </c>
      <c r="GV17" s="521"/>
      <c r="GW17" s="522">
        <f t="shared" si="66"/>
        <v>0</v>
      </c>
      <c r="GX17" s="523">
        <f t="shared" si="177"/>
        <v>0</v>
      </c>
      <c r="GY17" s="521"/>
      <c r="GZ17" s="522">
        <f t="shared" si="67"/>
        <v>0</v>
      </c>
      <c r="HA17" s="523">
        <f t="shared" si="178"/>
        <v>0</v>
      </c>
      <c r="HB17" s="521"/>
      <c r="HC17" s="522">
        <f t="shared" si="68"/>
        <v>0</v>
      </c>
      <c r="HD17" s="523">
        <f t="shared" si="179"/>
        <v>0</v>
      </c>
      <c r="HE17" s="521"/>
      <c r="HF17" s="522">
        <f t="shared" si="69"/>
        <v>0</v>
      </c>
      <c r="HG17" s="523">
        <f t="shared" si="180"/>
        <v>0</v>
      </c>
      <c r="HH17" s="521"/>
      <c r="HI17" s="522">
        <f t="shared" si="70"/>
        <v>0</v>
      </c>
      <c r="HJ17" s="523">
        <f t="shared" si="181"/>
        <v>0</v>
      </c>
      <c r="HK17" s="521"/>
      <c r="HL17" s="522">
        <f t="shared" si="71"/>
        <v>0</v>
      </c>
      <c r="HM17" s="523">
        <f t="shared" si="182"/>
        <v>0</v>
      </c>
      <c r="HN17" s="521"/>
      <c r="HO17" s="522">
        <f t="shared" si="72"/>
        <v>0</v>
      </c>
      <c r="HP17" s="523">
        <f t="shared" si="183"/>
        <v>0</v>
      </c>
      <c r="HQ17" s="521"/>
      <c r="HR17" s="522">
        <f t="shared" si="73"/>
        <v>0</v>
      </c>
      <c r="HS17" s="523">
        <f t="shared" si="184"/>
        <v>0</v>
      </c>
      <c r="HT17" s="521"/>
      <c r="HU17" s="522">
        <f t="shared" si="74"/>
        <v>0</v>
      </c>
      <c r="HV17" s="523">
        <f t="shared" si="185"/>
        <v>0</v>
      </c>
      <c r="HW17" s="521"/>
      <c r="HX17" s="522">
        <f t="shared" si="75"/>
        <v>0</v>
      </c>
      <c r="HY17" s="523">
        <f t="shared" si="186"/>
        <v>0</v>
      </c>
      <c r="HZ17" s="521"/>
      <c r="IA17" s="522">
        <f t="shared" si="76"/>
        <v>0</v>
      </c>
      <c r="IB17" s="523">
        <f t="shared" si="187"/>
        <v>0</v>
      </c>
      <c r="IC17" s="521"/>
      <c r="ID17" s="522">
        <f t="shared" si="77"/>
        <v>0</v>
      </c>
      <c r="IE17" s="523">
        <f t="shared" si="188"/>
        <v>0</v>
      </c>
      <c r="IF17" s="521"/>
      <c r="IG17" s="522">
        <f t="shared" si="78"/>
        <v>0</v>
      </c>
      <c r="IH17" s="523">
        <f t="shared" si="189"/>
        <v>0</v>
      </c>
      <c r="II17" s="521"/>
      <c r="IJ17" s="522">
        <f t="shared" si="79"/>
        <v>0</v>
      </c>
      <c r="IK17" s="523">
        <f t="shared" si="190"/>
        <v>0</v>
      </c>
      <c r="IL17" s="521"/>
      <c r="IM17" s="522">
        <f t="shared" si="80"/>
        <v>0</v>
      </c>
      <c r="IN17" s="523">
        <f t="shared" si="191"/>
        <v>0</v>
      </c>
      <c r="IO17" s="521"/>
      <c r="IP17" s="522">
        <f t="shared" si="81"/>
        <v>0</v>
      </c>
      <c r="IQ17" s="523">
        <f t="shared" si="192"/>
        <v>0</v>
      </c>
      <c r="IR17" s="521"/>
      <c r="IS17" s="522">
        <f t="shared" si="82"/>
        <v>0</v>
      </c>
      <c r="IT17" s="523">
        <f t="shared" si="193"/>
        <v>0</v>
      </c>
      <c r="IU17" s="521"/>
      <c r="IV17" s="522">
        <f t="shared" si="83"/>
        <v>0</v>
      </c>
      <c r="IW17" s="523">
        <f t="shared" si="194"/>
        <v>0</v>
      </c>
      <c r="IX17" s="521"/>
      <c r="IY17" s="522">
        <f t="shared" si="84"/>
        <v>0</v>
      </c>
      <c r="IZ17" s="523">
        <f t="shared" si="195"/>
        <v>0</v>
      </c>
      <c r="JA17" s="521"/>
      <c r="JB17" s="522">
        <f t="shared" si="85"/>
        <v>0</v>
      </c>
      <c r="JC17" s="523">
        <f t="shared" si="196"/>
        <v>0</v>
      </c>
      <c r="JD17" s="521"/>
      <c r="JE17" s="522">
        <f t="shared" si="86"/>
        <v>0</v>
      </c>
      <c r="JF17" s="523">
        <f t="shared" si="197"/>
        <v>0</v>
      </c>
      <c r="JG17" s="521"/>
      <c r="JH17" s="522">
        <f t="shared" si="87"/>
        <v>0</v>
      </c>
      <c r="JI17" s="523">
        <f t="shared" si="198"/>
        <v>0</v>
      </c>
      <c r="JJ17" s="521"/>
      <c r="JK17" s="523" t="str">
        <f t="shared" si="88"/>
        <v>0</v>
      </c>
      <c r="JL17" s="523" t="str">
        <f t="shared" si="89"/>
        <v>0</v>
      </c>
      <c r="JM17" s="521"/>
      <c r="JN17" s="523" t="str">
        <f t="shared" si="90"/>
        <v>0</v>
      </c>
      <c r="JO17" s="523" t="str">
        <f t="shared" si="91"/>
        <v>0</v>
      </c>
      <c r="JP17" s="521"/>
      <c r="JQ17" s="523" t="str">
        <f t="shared" si="92"/>
        <v>0</v>
      </c>
      <c r="JR17" s="523" t="str">
        <f t="shared" si="93"/>
        <v>0</v>
      </c>
      <c r="JS17" s="521"/>
      <c r="JT17" s="523" t="str">
        <f t="shared" si="94"/>
        <v>0</v>
      </c>
      <c r="JU17" s="523" t="str">
        <f t="shared" si="95"/>
        <v>0</v>
      </c>
      <c r="JV17" s="521"/>
      <c r="JW17" s="523" t="str">
        <f t="shared" si="96"/>
        <v>0</v>
      </c>
      <c r="JX17" s="523" t="str">
        <f t="shared" si="97"/>
        <v>0</v>
      </c>
      <c r="JY17" s="521"/>
      <c r="JZ17" s="523" t="str">
        <f t="shared" si="98"/>
        <v>0</v>
      </c>
      <c r="KA17" s="523" t="str">
        <f t="shared" si="99"/>
        <v>0</v>
      </c>
      <c r="KB17" s="521"/>
      <c r="KC17" s="523" t="str">
        <f t="shared" si="100"/>
        <v>0</v>
      </c>
      <c r="KD17" s="523" t="str">
        <f t="shared" si="101"/>
        <v>0</v>
      </c>
      <c r="KE17" s="521"/>
      <c r="KF17" s="523" t="str">
        <f t="shared" si="102"/>
        <v>0</v>
      </c>
      <c r="KG17" s="523" t="str">
        <f t="shared" si="103"/>
        <v>0</v>
      </c>
      <c r="KH17" s="521"/>
      <c r="KI17" s="523" t="str">
        <f t="shared" si="104"/>
        <v>0</v>
      </c>
      <c r="KJ17" s="523" t="str">
        <f t="shared" si="105"/>
        <v>0</v>
      </c>
      <c r="KK17" s="521"/>
      <c r="KL17" s="523" t="str">
        <f t="shared" si="106"/>
        <v>0</v>
      </c>
      <c r="KM17" s="523" t="str">
        <f t="shared" si="107"/>
        <v>0</v>
      </c>
      <c r="KN17" s="521"/>
      <c r="KO17" s="523" t="str">
        <f t="shared" si="108"/>
        <v>0</v>
      </c>
      <c r="KP17" s="523" t="str">
        <f t="shared" si="109"/>
        <v>0</v>
      </c>
      <c r="KQ17" s="521"/>
      <c r="KR17" s="523" t="str">
        <f t="shared" si="110"/>
        <v>0</v>
      </c>
      <c r="KS17" s="523" t="str">
        <f t="shared" si="111"/>
        <v>0</v>
      </c>
      <c r="KT17" s="523">
        <f t="shared" si="201"/>
        <v>0</v>
      </c>
      <c r="KU17" s="523">
        <f t="shared" si="202"/>
        <v>0</v>
      </c>
      <c r="KV17" s="261">
        <f t="shared" si="199"/>
        <v>527.21722307551954</v>
      </c>
    </row>
    <row r="18" spans="1:308">
      <c r="A18" s="262">
        <f t="shared" si="200"/>
        <v>46091</v>
      </c>
      <c r="B18" s="263" t="str">
        <f>+Report1!B18</f>
        <v>Facial</v>
      </c>
      <c r="C18" s="263" t="str">
        <f>+Report1!C18</f>
        <v>12</v>
      </c>
      <c r="D18" s="264">
        <f>+Report1!P18</f>
        <v>39.841999999999999</v>
      </c>
      <c r="E18" s="556">
        <f>+Report1!R18</f>
        <v>41.02</v>
      </c>
      <c r="F18" s="521"/>
      <c r="G18" s="522">
        <f t="shared" si="0"/>
        <v>0</v>
      </c>
      <c r="H18" s="523">
        <f t="shared" si="112"/>
        <v>0</v>
      </c>
      <c r="I18" s="521">
        <v>279.06976744186045</v>
      </c>
      <c r="J18" s="522">
        <f t="shared" si="1"/>
        <v>6.8032610297869436</v>
      </c>
      <c r="K18" s="523">
        <f t="shared" si="113"/>
        <v>0</v>
      </c>
      <c r="L18" s="521"/>
      <c r="M18" s="522">
        <f t="shared" si="2"/>
        <v>0</v>
      </c>
      <c r="N18" s="523">
        <f t="shared" si="114"/>
        <v>0</v>
      </c>
      <c r="O18" s="521">
        <v>6.0000000000000071</v>
      </c>
      <c r="P18" s="522">
        <f t="shared" si="3"/>
        <v>0.14627011214041946</v>
      </c>
      <c r="Q18" s="523">
        <f t="shared" si="115"/>
        <v>0</v>
      </c>
      <c r="R18" s="521"/>
      <c r="S18" s="522">
        <f t="shared" si="4"/>
        <v>0</v>
      </c>
      <c r="T18" s="523">
        <f t="shared" si="116"/>
        <v>0</v>
      </c>
      <c r="U18" s="521">
        <v>7.6875</v>
      </c>
      <c r="V18" s="522">
        <f t="shared" si="5"/>
        <v>0.18740858117991221</v>
      </c>
      <c r="W18" s="523">
        <f t="shared" si="117"/>
        <v>0</v>
      </c>
      <c r="X18" s="521"/>
      <c r="Y18" s="522">
        <f t="shared" si="6"/>
        <v>0</v>
      </c>
      <c r="Z18" s="523">
        <f t="shared" si="118"/>
        <v>0</v>
      </c>
      <c r="AA18" s="521">
        <v>7.8125000000000284</v>
      </c>
      <c r="AB18" s="522">
        <f t="shared" si="7"/>
        <v>0.19045587518283832</v>
      </c>
      <c r="AC18" s="523">
        <f t="shared" si="119"/>
        <v>0</v>
      </c>
      <c r="AD18" s="521"/>
      <c r="AE18" s="522">
        <f t="shared" si="8"/>
        <v>0</v>
      </c>
      <c r="AF18" s="523">
        <f t="shared" si="120"/>
        <v>0</v>
      </c>
      <c r="AG18" s="521"/>
      <c r="AH18" s="522">
        <f t="shared" si="9"/>
        <v>0</v>
      </c>
      <c r="AI18" s="523">
        <f t="shared" si="121"/>
        <v>0</v>
      </c>
      <c r="AJ18" s="521"/>
      <c r="AK18" s="522">
        <f t="shared" si="10"/>
        <v>0</v>
      </c>
      <c r="AL18" s="523">
        <f t="shared" si="122"/>
        <v>0</v>
      </c>
      <c r="AM18" s="521"/>
      <c r="AN18" s="522">
        <f t="shared" si="11"/>
        <v>0</v>
      </c>
      <c r="AO18" s="523">
        <f t="shared" si="123"/>
        <v>0</v>
      </c>
      <c r="AP18" s="521"/>
      <c r="AQ18" s="522">
        <f t="shared" si="12"/>
        <v>0</v>
      </c>
      <c r="AR18" s="523">
        <f t="shared" si="124"/>
        <v>0</v>
      </c>
      <c r="AS18" s="521"/>
      <c r="AT18" s="522">
        <f t="shared" si="13"/>
        <v>0</v>
      </c>
      <c r="AU18" s="523">
        <f t="shared" si="125"/>
        <v>0</v>
      </c>
      <c r="AV18" s="521"/>
      <c r="AW18" s="522">
        <f t="shared" si="14"/>
        <v>0</v>
      </c>
      <c r="AX18" s="523">
        <f t="shared" si="126"/>
        <v>0</v>
      </c>
      <c r="AY18" s="521"/>
      <c r="AZ18" s="522">
        <f t="shared" si="15"/>
        <v>0</v>
      </c>
      <c r="BA18" s="523">
        <f t="shared" si="127"/>
        <v>0</v>
      </c>
      <c r="BB18" s="521"/>
      <c r="BC18" s="522">
        <f t="shared" si="16"/>
        <v>0</v>
      </c>
      <c r="BD18" s="523">
        <f t="shared" si="128"/>
        <v>0</v>
      </c>
      <c r="BE18" s="521"/>
      <c r="BF18" s="522">
        <f t="shared" si="17"/>
        <v>0</v>
      </c>
      <c r="BG18" s="523">
        <f t="shared" si="129"/>
        <v>0</v>
      </c>
      <c r="BH18" s="521"/>
      <c r="BI18" s="522">
        <f t="shared" si="18"/>
        <v>0</v>
      </c>
      <c r="BJ18" s="523">
        <f t="shared" si="130"/>
        <v>0</v>
      </c>
      <c r="BK18" s="521"/>
      <c r="BL18" s="522">
        <f t="shared" si="19"/>
        <v>0</v>
      </c>
      <c r="BM18" s="523">
        <f t="shared" si="131"/>
        <v>0</v>
      </c>
      <c r="BN18" s="521"/>
      <c r="BO18" s="522">
        <f t="shared" si="20"/>
        <v>0</v>
      </c>
      <c r="BP18" s="523">
        <f t="shared" si="132"/>
        <v>0</v>
      </c>
      <c r="BQ18" s="521"/>
      <c r="BR18" s="522">
        <f t="shared" si="21"/>
        <v>0</v>
      </c>
      <c r="BS18" s="523">
        <f t="shared" si="133"/>
        <v>0</v>
      </c>
      <c r="BT18" s="521"/>
      <c r="BU18" s="522">
        <f t="shared" si="22"/>
        <v>0</v>
      </c>
      <c r="BV18" s="523">
        <f t="shared" si="134"/>
        <v>0</v>
      </c>
      <c r="BW18" s="521"/>
      <c r="BX18" s="522">
        <f t="shared" si="23"/>
        <v>0</v>
      </c>
      <c r="BY18" s="523">
        <f t="shared" si="135"/>
        <v>0</v>
      </c>
      <c r="BZ18" s="521"/>
      <c r="CA18" s="522">
        <f t="shared" si="24"/>
        <v>0</v>
      </c>
      <c r="CB18" s="523">
        <f t="shared" si="136"/>
        <v>0</v>
      </c>
      <c r="CC18" s="521"/>
      <c r="CD18" s="522">
        <f t="shared" si="25"/>
        <v>0</v>
      </c>
      <c r="CE18" s="523">
        <f t="shared" si="137"/>
        <v>0</v>
      </c>
      <c r="CF18" s="521">
        <v>0.5</v>
      </c>
      <c r="CG18" s="522">
        <f t="shared" si="26"/>
        <v>1.2189176011701608E-2</v>
      </c>
      <c r="CH18" s="523">
        <f t="shared" si="138"/>
        <v>0</v>
      </c>
      <c r="CI18" s="521"/>
      <c r="CJ18" s="522">
        <f t="shared" si="27"/>
        <v>0</v>
      </c>
      <c r="CK18" s="523">
        <f t="shared" si="139"/>
        <v>0</v>
      </c>
      <c r="CL18" s="521"/>
      <c r="CM18" s="522">
        <f t="shared" si="28"/>
        <v>0</v>
      </c>
      <c r="CN18" s="523">
        <f t="shared" si="140"/>
        <v>0</v>
      </c>
      <c r="CO18" s="521"/>
      <c r="CP18" s="522">
        <f t="shared" si="29"/>
        <v>0</v>
      </c>
      <c r="CQ18" s="523">
        <f t="shared" si="141"/>
        <v>0</v>
      </c>
      <c r="CR18" s="521"/>
      <c r="CS18" s="522">
        <f t="shared" si="30"/>
        <v>0</v>
      </c>
      <c r="CT18" s="523">
        <f t="shared" si="142"/>
        <v>0</v>
      </c>
      <c r="CU18" s="521"/>
      <c r="CV18" s="522">
        <f t="shared" si="31"/>
        <v>0</v>
      </c>
      <c r="CW18" s="523">
        <f t="shared" si="143"/>
        <v>0</v>
      </c>
      <c r="CX18" s="521"/>
      <c r="CY18" s="522">
        <f t="shared" si="32"/>
        <v>0</v>
      </c>
      <c r="CZ18" s="523">
        <f t="shared" si="144"/>
        <v>0</v>
      </c>
      <c r="DA18" s="521"/>
      <c r="DB18" s="522">
        <f t="shared" si="33"/>
        <v>0</v>
      </c>
      <c r="DC18" s="523">
        <f t="shared" si="145"/>
        <v>0</v>
      </c>
      <c r="DD18" s="521"/>
      <c r="DE18" s="522">
        <f t="shared" si="34"/>
        <v>0</v>
      </c>
      <c r="DF18" s="523">
        <f t="shared" si="146"/>
        <v>0</v>
      </c>
      <c r="DG18" s="521"/>
      <c r="DH18" s="522">
        <f t="shared" si="35"/>
        <v>0</v>
      </c>
      <c r="DI18" s="523">
        <f t="shared" si="203"/>
        <v>0</v>
      </c>
      <c r="DJ18" s="521"/>
      <c r="DK18" s="522">
        <f t="shared" si="36"/>
        <v>0</v>
      </c>
      <c r="DL18" s="523">
        <f t="shared" si="147"/>
        <v>0</v>
      </c>
      <c r="DM18" s="521"/>
      <c r="DN18" s="522">
        <f t="shared" si="37"/>
        <v>0</v>
      </c>
      <c r="DO18" s="523">
        <f t="shared" si="148"/>
        <v>0</v>
      </c>
      <c r="DP18" s="521"/>
      <c r="DQ18" s="522">
        <f t="shared" si="38"/>
        <v>0</v>
      </c>
      <c r="DR18" s="523">
        <f t="shared" si="149"/>
        <v>0</v>
      </c>
      <c r="DS18" s="521"/>
      <c r="DT18" s="522">
        <f t="shared" si="39"/>
        <v>0</v>
      </c>
      <c r="DU18" s="523">
        <f t="shared" si="150"/>
        <v>0</v>
      </c>
      <c r="DV18" s="521"/>
      <c r="DW18" s="522">
        <f t="shared" si="40"/>
        <v>0</v>
      </c>
      <c r="DX18" s="523">
        <f t="shared" si="151"/>
        <v>0</v>
      </c>
      <c r="DY18" s="521"/>
      <c r="DZ18" s="522">
        <f t="shared" si="41"/>
        <v>0</v>
      </c>
      <c r="EA18" s="523">
        <f t="shared" si="152"/>
        <v>0</v>
      </c>
      <c r="EB18" s="521"/>
      <c r="EC18" s="522">
        <f t="shared" si="42"/>
        <v>0</v>
      </c>
      <c r="ED18" s="523">
        <f t="shared" si="153"/>
        <v>0</v>
      </c>
      <c r="EE18" s="521">
        <v>21.802325581395337</v>
      </c>
      <c r="EF18" s="522">
        <f t="shared" si="43"/>
        <v>0.53150476795210466</v>
      </c>
      <c r="EG18" s="523">
        <f t="shared" si="154"/>
        <v>0</v>
      </c>
      <c r="EH18" s="521">
        <v>3</v>
      </c>
      <c r="EI18" s="522">
        <f t="shared" si="44"/>
        <v>7.3135056070209647E-2</v>
      </c>
      <c r="EJ18" s="523">
        <f t="shared" si="155"/>
        <v>0</v>
      </c>
      <c r="EK18" s="521">
        <v>36.585365853658573</v>
      </c>
      <c r="EL18" s="522">
        <f t="shared" si="45"/>
        <v>0.89189092768548439</v>
      </c>
      <c r="EM18" s="523">
        <f t="shared" si="156"/>
        <v>0</v>
      </c>
      <c r="EN18" s="521">
        <v>44.476744186046631</v>
      </c>
      <c r="EO18" s="522">
        <f t="shared" si="46"/>
        <v>1.0842697266222971</v>
      </c>
      <c r="EP18" s="523">
        <f t="shared" si="157"/>
        <v>0</v>
      </c>
      <c r="EQ18" s="521">
        <v>93.929411764705947</v>
      </c>
      <c r="ER18" s="522">
        <f t="shared" si="47"/>
        <v>2.289844265351193</v>
      </c>
      <c r="ES18" s="523">
        <f t="shared" si="158"/>
        <v>0</v>
      </c>
      <c r="ET18" s="521"/>
      <c r="EU18" s="522">
        <f t="shared" si="48"/>
        <v>0</v>
      </c>
      <c r="EV18" s="523">
        <f t="shared" si="159"/>
        <v>0</v>
      </c>
      <c r="EW18" s="521"/>
      <c r="EX18" s="522">
        <f t="shared" si="49"/>
        <v>0</v>
      </c>
      <c r="EY18" s="523">
        <f t="shared" si="160"/>
        <v>0</v>
      </c>
      <c r="EZ18" s="521"/>
      <c r="FA18" s="522">
        <f t="shared" si="50"/>
        <v>0</v>
      </c>
      <c r="FB18" s="523">
        <f t="shared" si="161"/>
        <v>0</v>
      </c>
      <c r="FC18" s="521"/>
      <c r="FD18" s="522">
        <f t="shared" si="51"/>
        <v>0</v>
      </c>
      <c r="FE18" s="523">
        <f t="shared" si="162"/>
        <v>0</v>
      </c>
      <c r="FF18" s="521"/>
      <c r="FG18" s="522">
        <f t="shared" si="52"/>
        <v>0</v>
      </c>
      <c r="FH18" s="523">
        <f t="shared" si="163"/>
        <v>0</v>
      </c>
      <c r="FI18" s="521"/>
      <c r="FJ18" s="522">
        <f t="shared" si="53"/>
        <v>0</v>
      </c>
      <c r="FK18" s="523">
        <f t="shared" si="164"/>
        <v>0</v>
      </c>
      <c r="FL18" s="521"/>
      <c r="FM18" s="522">
        <f t="shared" si="54"/>
        <v>0</v>
      </c>
      <c r="FN18" s="523">
        <f t="shared" si="165"/>
        <v>0</v>
      </c>
      <c r="FO18" s="521"/>
      <c r="FP18" s="522">
        <f t="shared" si="55"/>
        <v>0</v>
      </c>
      <c r="FQ18" s="523">
        <f t="shared" si="166"/>
        <v>0</v>
      </c>
      <c r="FR18" s="521"/>
      <c r="FS18" s="522">
        <f t="shared" si="56"/>
        <v>0</v>
      </c>
      <c r="FT18" s="523">
        <f t="shared" si="167"/>
        <v>0</v>
      </c>
      <c r="FU18" s="521"/>
      <c r="FV18" s="522">
        <f t="shared" si="57"/>
        <v>0</v>
      </c>
      <c r="FW18" s="523">
        <f t="shared" si="168"/>
        <v>0</v>
      </c>
      <c r="FX18" s="521"/>
      <c r="FY18" s="522">
        <f t="shared" si="58"/>
        <v>0</v>
      </c>
      <c r="FZ18" s="523">
        <f t="shared" si="169"/>
        <v>0</v>
      </c>
      <c r="GA18" s="521"/>
      <c r="GB18" s="522">
        <f t="shared" si="59"/>
        <v>0</v>
      </c>
      <c r="GC18" s="523">
        <f t="shared" si="170"/>
        <v>0</v>
      </c>
      <c r="GD18" s="521"/>
      <c r="GE18" s="522">
        <f t="shared" si="60"/>
        <v>0</v>
      </c>
      <c r="GF18" s="523">
        <f t="shared" si="171"/>
        <v>0</v>
      </c>
      <c r="GG18" s="521"/>
      <c r="GH18" s="522">
        <f t="shared" si="61"/>
        <v>0</v>
      </c>
      <c r="GI18" s="523">
        <f t="shared" si="172"/>
        <v>0</v>
      </c>
      <c r="GJ18" s="521"/>
      <c r="GK18" s="522">
        <f t="shared" si="62"/>
        <v>0</v>
      </c>
      <c r="GL18" s="523">
        <f t="shared" si="173"/>
        <v>0</v>
      </c>
      <c r="GM18" s="521"/>
      <c r="GN18" s="522">
        <f t="shared" si="63"/>
        <v>0</v>
      </c>
      <c r="GO18" s="523">
        <f t="shared" si="174"/>
        <v>0</v>
      </c>
      <c r="GP18" s="521"/>
      <c r="GQ18" s="522">
        <f t="shared" si="64"/>
        <v>0</v>
      </c>
      <c r="GR18" s="523">
        <f t="shared" si="175"/>
        <v>0</v>
      </c>
      <c r="GS18" s="521"/>
      <c r="GT18" s="522">
        <f t="shared" si="65"/>
        <v>0</v>
      </c>
      <c r="GU18" s="523">
        <f t="shared" si="176"/>
        <v>0</v>
      </c>
      <c r="GV18" s="521"/>
      <c r="GW18" s="522">
        <f t="shared" si="66"/>
        <v>0</v>
      </c>
      <c r="GX18" s="523">
        <f t="shared" si="177"/>
        <v>0</v>
      </c>
      <c r="GY18" s="521"/>
      <c r="GZ18" s="522">
        <f t="shared" si="67"/>
        <v>0</v>
      </c>
      <c r="HA18" s="523">
        <f t="shared" si="178"/>
        <v>0</v>
      </c>
      <c r="HB18" s="521"/>
      <c r="HC18" s="522">
        <f t="shared" si="68"/>
        <v>0</v>
      </c>
      <c r="HD18" s="523">
        <f t="shared" si="179"/>
        <v>0</v>
      </c>
      <c r="HE18" s="521"/>
      <c r="HF18" s="522">
        <f t="shared" si="69"/>
        <v>0</v>
      </c>
      <c r="HG18" s="523">
        <f t="shared" si="180"/>
        <v>0</v>
      </c>
      <c r="HH18" s="521"/>
      <c r="HI18" s="522">
        <f t="shared" si="70"/>
        <v>0</v>
      </c>
      <c r="HJ18" s="523">
        <f t="shared" si="181"/>
        <v>0</v>
      </c>
      <c r="HK18" s="521"/>
      <c r="HL18" s="522">
        <f t="shared" si="71"/>
        <v>0</v>
      </c>
      <c r="HM18" s="523">
        <f t="shared" si="182"/>
        <v>0</v>
      </c>
      <c r="HN18" s="521"/>
      <c r="HO18" s="522">
        <f t="shared" si="72"/>
        <v>0</v>
      </c>
      <c r="HP18" s="523">
        <f t="shared" si="183"/>
        <v>0</v>
      </c>
      <c r="HQ18" s="521"/>
      <c r="HR18" s="522">
        <f t="shared" si="73"/>
        <v>0</v>
      </c>
      <c r="HS18" s="523">
        <f t="shared" si="184"/>
        <v>0</v>
      </c>
      <c r="HT18" s="521"/>
      <c r="HU18" s="522">
        <f t="shared" si="74"/>
        <v>0</v>
      </c>
      <c r="HV18" s="523">
        <f t="shared" si="185"/>
        <v>0</v>
      </c>
      <c r="HW18" s="521"/>
      <c r="HX18" s="522">
        <f t="shared" si="75"/>
        <v>0</v>
      </c>
      <c r="HY18" s="523">
        <f t="shared" si="186"/>
        <v>0</v>
      </c>
      <c r="HZ18" s="521"/>
      <c r="IA18" s="522">
        <f t="shared" si="76"/>
        <v>0</v>
      </c>
      <c r="IB18" s="523">
        <f t="shared" si="187"/>
        <v>0</v>
      </c>
      <c r="IC18" s="521"/>
      <c r="ID18" s="522">
        <f t="shared" si="77"/>
        <v>0</v>
      </c>
      <c r="IE18" s="523">
        <f t="shared" si="188"/>
        <v>0</v>
      </c>
      <c r="IF18" s="521"/>
      <c r="IG18" s="522">
        <f t="shared" si="78"/>
        <v>0</v>
      </c>
      <c r="IH18" s="523">
        <f t="shared" si="189"/>
        <v>0</v>
      </c>
      <c r="II18" s="521"/>
      <c r="IJ18" s="522">
        <f t="shared" si="79"/>
        <v>0</v>
      </c>
      <c r="IK18" s="523">
        <f t="shared" si="190"/>
        <v>0</v>
      </c>
      <c r="IL18" s="521"/>
      <c r="IM18" s="522">
        <f t="shared" si="80"/>
        <v>0</v>
      </c>
      <c r="IN18" s="523">
        <f t="shared" si="191"/>
        <v>0</v>
      </c>
      <c r="IO18" s="521"/>
      <c r="IP18" s="522">
        <f t="shared" si="81"/>
        <v>0</v>
      </c>
      <c r="IQ18" s="523">
        <f t="shared" si="192"/>
        <v>0</v>
      </c>
      <c r="IR18" s="521"/>
      <c r="IS18" s="522">
        <f t="shared" si="82"/>
        <v>0</v>
      </c>
      <c r="IT18" s="523">
        <f t="shared" si="193"/>
        <v>0</v>
      </c>
      <c r="IU18" s="521"/>
      <c r="IV18" s="522">
        <f t="shared" si="83"/>
        <v>0</v>
      </c>
      <c r="IW18" s="523">
        <f t="shared" si="194"/>
        <v>0</v>
      </c>
      <c r="IX18" s="521"/>
      <c r="IY18" s="522">
        <f t="shared" si="84"/>
        <v>0</v>
      </c>
      <c r="IZ18" s="523">
        <f t="shared" si="195"/>
        <v>0</v>
      </c>
      <c r="JA18" s="521"/>
      <c r="JB18" s="522">
        <f t="shared" si="85"/>
        <v>0</v>
      </c>
      <c r="JC18" s="523">
        <f t="shared" si="196"/>
        <v>0</v>
      </c>
      <c r="JD18" s="521"/>
      <c r="JE18" s="522">
        <f t="shared" si="86"/>
        <v>0</v>
      </c>
      <c r="JF18" s="523">
        <f t="shared" si="197"/>
        <v>0</v>
      </c>
      <c r="JG18" s="521"/>
      <c r="JH18" s="522">
        <f t="shared" si="87"/>
        <v>0</v>
      </c>
      <c r="JI18" s="523">
        <f t="shared" si="198"/>
        <v>0</v>
      </c>
      <c r="JJ18" s="521"/>
      <c r="JK18" s="523" t="str">
        <f t="shared" si="88"/>
        <v>0</v>
      </c>
      <c r="JL18" s="523" t="str">
        <f t="shared" si="89"/>
        <v>0</v>
      </c>
      <c r="JM18" s="521"/>
      <c r="JN18" s="523" t="str">
        <f t="shared" si="90"/>
        <v>0</v>
      </c>
      <c r="JO18" s="523" t="str">
        <f t="shared" si="91"/>
        <v>0</v>
      </c>
      <c r="JP18" s="521"/>
      <c r="JQ18" s="523" t="str">
        <f t="shared" si="92"/>
        <v>0</v>
      </c>
      <c r="JR18" s="523" t="str">
        <f t="shared" si="93"/>
        <v>0</v>
      </c>
      <c r="JS18" s="521"/>
      <c r="JT18" s="523" t="str">
        <f t="shared" si="94"/>
        <v>0</v>
      </c>
      <c r="JU18" s="523" t="str">
        <f t="shared" si="95"/>
        <v>0</v>
      </c>
      <c r="JV18" s="521"/>
      <c r="JW18" s="523" t="str">
        <f t="shared" si="96"/>
        <v>0</v>
      </c>
      <c r="JX18" s="523" t="str">
        <f t="shared" si="97"/>
        <v>0</v>
      </c>
      <c r="JY18" s="521"/>
      <c r="JZ18" s="523" t="str">
        <f t="shared" si="98"/>
        <v>0</v>
      </c>
      <c r="KA18" s="523" t="str">
        <f t="shared" si="99"/>
        <v>0</v>
      </c>
      <c r="KB18" s="521"/>
      <c r="KC18" s="523" t="str">
        <f t="shared" si="100"/>
        <v>0</v>
      </c>
      <c r="KD18" s="523" t="str">
        <f t="shared" si="101"/>
        <v>0</v>
      </c>
      <c r="KE18" s="521"/>
      <c r="KF18" s="523" t="str">
        <f t="shared" si="102"/>
        <v>0</v>
      </c>
      <c r="KG18" s="523" t="str">
        <f t="shared" si="103"/>
        <v>0</v>
      </c>
      <c r="KH18" s="521"/>
      <c r="KI18" s="523" t="str">
        <f t="shared" si="104"/>
        <v>0</v>
      </c>
      <c r="KJ18" s="523" t="str">
        <f t="shared" si="105"/>
        <v>0</v>
      </c>
      <c r="KK18" s="521"/>
      <c r="KL18" s="523" t="str">
        <f t="shared" si="106"/>
        <v>0</v>
      </c>
      <c r="KM18" s="523" t="str">
        <f t="shared" si="107"/>
        <v>0</v>
      </c>
      <c r="KN18" s="521"/>
      <c r="KO18" s="523" t="str">
        <f t="shared" si="108"/>
        <v>0</v>
      </c>
      <c r="KP18" s="523" t="str">
        <f t="shared" si="109"/>
        <v>0</v>
      </c>
      <c r="KQ18" s="521"/>
      <c r="KR18" s="523" t="str">
        <f t="shared" si="110"/>
        <v>0</v>
      </c>
      <c r="KS18" s="523" t="str">
        <f t="shared" si="111"/>
        <v>0</v>
      </c>
      <c r="KT18" s="523">
        <f t="shared" si="201"/>
        <v>0</v>
      </c>
      <c r="KU18" s="523">
        <f t="shared" si="202"/>
        <v>0</v>
      </c>
      <c r="KV18" s="261">
        <f t="shared" si="199"/>
        <v>500.86361482766694</v>
      </c>
    </row>
    <row r="19" spans="1:308">
      <c r="A19" s="262">
        <f t="shared" si="200"/>
        <v>46092</v>
      </c>
      <c r="B19" s="263" t="str">
        <f>+Report1!B19</f>
        <v>Facial</v>
      </c>
      <c r="C19" s="263" t="str">
        <f>+Report1!C19</f>
        <v>12/12,5</v>
      </c>
      <c r="D19" s="264">
        <f>+Report1!P19</f>
        <v>40.427999999999997</v>
      </c>
      <c r="E19" s="556">
        <f>+Report1!R19</f>
        <v>38.755000000000003</v>
      </c>
      <c r="F19" s="521"/>
      <c r="G19" s="522">
        <f t="shared" si="0"/>
        <v>0</v>
      </c>
      <c r="H19" s="523">
        <f t="shared" si="112"/>
        <v>0</v>
      </c>
      <c r="I19" s="521">
        <v>279.06976744186045</v>
      </c>
      <c r="J19" s="522">
        <f t="shared" si="1"/>
        <v>7.2008713054279561</v>
      </c>
      <c r="K19" s="523">
        <f t="shared" si="113"/>
        <v>0</v>
      </c>
      <c r="L19" s="521"/>
      <c r="M19" s="522">
        <f t="shared" si="2"/>
        <v>0</v>
      </c>
      <c r="N19" s="523">
        <f t="shared" si="114"/>
        <v>0</v>
      </c>
      <c r="O19" s="521">
        <v>5.9999999999999929</v>
      </c>
      <c r="P19" s="522">
        <f t="shared" si="3"/>
        <v>0.15481873306670088</v>
      </c>
      <c r="Q19" s="523">
        <f t="shared" si="115"/>
        <v>0</v>
      </c>
      <c r="R19" s="521"/>
      <c r="S19" s="522">
        <f t="shared" si="4"/>
        <v>0</v>
      </c>
      <c r="T19" s="523">
        <f t="shared" si="116"/>
        <v>0</v>
      </c>
      <c r="U19" s="521">
        <v>7.6875</v>
      </c>
      <c r="V19" s="522">
        <f t="shared" si="5"/>
        <v>0.19836150174171074</v>
      </c>
      <c r="W19" s="523">
        <f t="shared" si="117"/>
        <v>0</v>
      </c>
      <c r="X19" s="521"/>
      <c r="Y19" s="522">
        <f t="shared" si="6"/>
        <v>0</v>
      </c>
      <c r="Z19" s="523">
        <f t="shared" si="118"/>
        <v>0</v>
      </c>
      <c r="AA19" s="521">
        <v>9.3749999999999716</v>
      </c>
      <c r="AB19" s="522">
        <f t="shared" si="7"/>
        <v>0.24190427041671966</v>
      </c>
      <c r="AC19" s="523">
        <f t="shared" si="119"/>
        <v>0</v>
      </c>
      <c r="AD19" s="521"/>
      <c r="AE19" s="522">
        <f t="shared" si="8"/>
        <v>0</v>
      </c>
      <c r="AF19" s="523">
        <f t="shared" si="120"/>
        <v>0</v>
      </c>
      <c r="AG19" s="521"/>
      <c r="AH19" s="522">
        <f t="shared" si="9"/>
        <v>0</v>
      </c>
      <c r="AI19" s="523">
        <f t="shared" si="121"/>
        <v>0</v>
      </c>
      <c r="AJ19" s="521"/>
      <c r="AK19" s="522">
        <f t="shared" si="10"/>
        <v>0</v>
      </c>
      <c r="AL19" s="523">
        <f t="shared" si="122"/>
        <v>0</v>
      </c>
      <c r="AM19" s="521"/>
      <c r="AN19" s="522">
        <f t="shared" si="11"/>
        <v>0</v>
      </c>
      <c r="AO19" s="523">
        <f t="shared" si="123"/>
        <v>0</v>
      </c>
      <c r="AP19" s="521"/>
      <c r="AQ19" s="522">
        <f t="shared" si="12"/>
        <v>0</v>
      </c>
      <c r="AR19" s="523">
        <f t="shared" si="124"/>
        <v>0</v>
      </c>
      <c r="AS19" s="521"/>
      <c r="AT19" s="522">
        <f t="shared" si="13"/>
        <v>0</v>
      </c>
      <c r="AU19" s="523">
        <f t="shared" si="125"/>
        <v>0</v>
      </c>
      <c r="AV19" s="521"/>
      <c r="AW19" s="522">
        <f t="shared" si="14"/>
        <v>0</v>
      </c>
      <c r="AX19" s="523">
        <f t="shared" si="126"/>
        <v>0</v>
      </c>
      <c r="AY19" s="521"/>
      <c r="AZ19" s="522">
        <f t="shared" si="15"/>
        <v>0</v>
      </c>
      <c r="BA19" s="523">
        <f t="shared" si="127"/>
        <v>0</v>
      </c>
      <c r="BB19" s="521"/>
      <c r="BC19" s="522">
        <f t="shared" si="16"/>
        <v>0</v>
      </c>
      <c r="BD19" s="523">
        <f t="shared" si="128"/>
        <v>0</v>
      </c>
      <c r="BE19" s="521"/>
      <c r="BF19" s="522">
        <f t="shared" si="17"/>
        <v>0</v>
      </c>
      <c r="BG19" s="523">
        <f t="shared" si="129"/>
        <v>0</v>
      </c>
      <c r="BH19" s="521"/>
      <c r="BI19" s="522">
        <f t="shared" si="18"/>
        <v>0</v>
      </c>
      <c r="BJ19" s="523">
        <f t="shared" si="130"/>
        <v>0</v>
      </c>
      <c r="BK19" s="521"/>
      <c r="BL19" s="522">
        <f t="shared" si="19"/>
        <v>0</v>
      </c>
      <c r="BM19" s="523">
        <f t="shared" si="131"/>
        <v>0</v>
      </c>
      <c r="BN19" s="521"/>
      <c r="BO19" s="522">
        <f t="shared" si="20"/>
        <v>0</v>
      </c>
      <c r="BP19" s="523">
        <f t="shared" si="132"/>
        <v>0</v>
      </c>
      <c r="BQ19" s="521">
        <v>22.784810126582215</v>
      </c>
      <c r="BR19" s="522">
        <f t="shared" si="21"/>
        <v>0.58791923949379987</v>
      </c>
      <c r="BS19" s="523">
        <f t="shared" si="133"/>
        <v>0</v>
      </c>
      <c r="BT19" s="521"/>
      <c r="BU19" s="522">
        <f t="shared" si="22"/>
        <v>0</v>
      </c>
      <c r="BV19" s="523">
        <f t="shared" si="134"/>
        <v>0</v>
      </c>
      <c r="BW19" s="521"/>
      <c r="BX19" s="522">
        <f t="shared" si="23"/>
        <v>0</v>
      </c>
      <c r="BY19" s="523">
        <f t="shared" si="135"/>
        <v>0</v>
      </c>
      <c r="BZ19" s="521"/>
      <c r="CA19" s="522">
        <f t="shared" si="24"/>
        <v>0</v>
      </c>
      <c r="CB19" s="523">
        <f t="shared" si="136"/>
        <v>0</v>
      </c>
      <c r="CC19" s="521"/>
      <c r="CD19" s="522">
        <f t="shared" si="25"/>
        <v>0</v>
      </c>
      <c r="CE19" s="523">
        <f t="shared" si="137"/>
        <v>0</v>
      </c>
      <c r="CF19" s="521">
        <v>0.50000000000000089</v>
      </c>
      <c r="CG19" s="522">
        <f t="shared" si="26"/>
        <v>1.2901561088891778E-2</v>
      </c>
      <c r="CH19" s="523">
        <f t="shared" si="138"/>
        <v>0</v>
      </c>
      <c r="CI19" s="521"/>
      <c r="CJ19" s="522">
        <f t="shared" si="27"/>
        <v>0</v>
      </c>
      <c r="CK19" s="523">
        <f t="shared" si="139"/>
        <v>0</v>
      </c>
      <c r="CL19" s="521"/>
      <c r="CM19" s="522">
        <f t="shared" si="28"/>
        <v>0</v>
      </c>
      <c r="CN19" s="523">
        <f t="shared" si="140"/>
        <v>0</v>
      </c>
      <c r="CO19" s="521"/>
      <c r="CP19" s="522">
        <f t="shared" si="29"/>
        <v>0</v>
      </c>
      <c r="CQ19" s="523">
        <f t="shared" si="141"/>
        <v>0</v>
      </c>
      <c r="CR19" s="521"/>
      <c r="CS19" s="522">
        <f t="shared" si="30"/>
        <v>0</v>
      </c>
      <c r="CT19" s="523">
        <f t="shared" si="142"/>
        <v>0</v>
      </c>
      <c r="CU19" s="521"/>
      <c r="CV19" s="522">
        <f t="shared" si="31"/>
        <v>0</v>
      </c>
      <c r="CW19" s="523">
        <f t="shared" si="143"/>
        <v>0</v>
      </c>
      <c r="CX19" s="521"/>
      <c r="CY19" s="522">
        <f t="shared" si="32"/>
        <v>0</v>
      </c>
      <c r="CZ19" s="523">
        <f t="shared" si="144"/>
        <v>0</v>
      </c>
      <c r="DA19" s="521"/>
      <c r="DB19" s="522">
        <f t="shared" si="33"/>
        <v>0</v>
      </c>
      <c r="DC19" s="523">
        <f t="shared" si="145"/>
        <v>0</v>
      </c>
      <c r="DD19" s="521"/>
      <c r="DE19" s="522">
        <f t="shared" si="34"/>
        <v>0</v>
      </c>
      <c r="DF19" s="523">
        <f t="shared" si="146"/>
        <v>0</v>
      </c>
      <c r="DG19" s="521"/>
      <c r="DH19" s="522">
        <f t="shared" si="35"/>
        <v>0</v>
      </c>
      <c r="DI19" s="523">
        <f t="shared" si="203"/>
        <v>0</v>
      </c>
      <c r="DJ19" s="521"/>
      <c r="DK19" s="522">
        <f t="shared" si="36"/>
        <v>0</v>
      </c>
      <c r="DL19" s="523">
        <f t="shared" si="147"/>
        <v>0</v>
      </c>
      <c r="DM19" s="521"/>
      <c r="DN19" s="522">
        <f t="shared" si="37"/>
        <v>0</v>
      </c>
      <c r="DO19" s="523">
        <f t="shared" si="148"/>
        <v>0</v>
      </c>
      <c r="DP19" s="521"/>
      <c r="DQ19" s="522">
        <f t="shared" si="38"/>
        <v>0</v>
      </c>
      <c r="DR19" s="523">
        <f t="shared" si="149"/>
        <v>0</v>
      </c>
      <c r="DS19" s="521"/>
      <c r="DT19" s="522">
        <f t="shared" si="39"/>
        <v>0</v>
      </c>
      <c r="DU19" s="523">
        <f t="shared" si="150"/>
        <v>0</v>
      </c>
      <c r="DV19" s="521"/>
      <c r="DW19" s="522">
        <f t="shared" si="40"/>
        <v>0</v>
      </c>
      <c r="DX19" s="523">
        <f t="shared" si="151"/>
        <v>0</v>
      </c>
      <c r="DY19" s="521"/>
      <c r="DZ19" s="522">
        <f t="shared" si="41"/>
        <v>0</v>
      </c>
      <c r="EA19" s="523">
        <f t="shared" si="152"/>
        <v>0</v>
      </c>
      <c r="EB19" s="521"/>
      <c r="EC19" s="522">
        <f t="shared" si="42"/>
        <v>0</v>
      </c>
      <c r="ED19" s="523">
        <f t="shared" si="153"/>
        <v>0</v>
      </c>
      <c r="EE19" s="521">
        <v>21.802325581395358</v>
      </c>
      <c r="EF19" s="522">
        <f t="shared" si="43"/>
        <v>0.56256807073655934</v>
      </c>
      <c r="EG19" s="523">
        <f t="shared" si="154"/>
        <v>0</v>
      </c>
      <c r="EH19" s="521">
        <v>4</v>
      </c>
      <c r="EI19" s="522">
        <f t="shared" si="44"/>
        <v>0.10321248871113405</v>
      </c>
      <c r="EJ19" s="523">
        <f t="shared" si="155"/>
        <v>0</v>
      </c>
      <c r="EK19" s="521">
        <v>42.682926829268297</v>
      </c>
      <c r="EL19" s="522">
        <f t="shared" si="45"/>
        <v>1.1013527758810036</v>
      </c>
      <c r="EM19" s="523">
        <f t="shared" si="156"/>
        <v>0</v>
      </c>
      <c r="EN19" s="521">
        <v>39.534883720930225</v>
      </c>
      <c r="EO19" s="522">
        <f t="shared" si="46"/>
        <v>1.020123434935627</v>
      </c>
      <c r="EP19" s="523">
        <f t="shared" si="157"/>
        <v>0</v>
      </c>
      <c r="EQ19" s="521">
        <v>35.22352941176473</v>
      </c>
      <c r="ER19" s="522">
        <f t="shared" si="47"/>
        <v>0.90887703294451627</v>
      </c>
      <c r="ES19" s="523">
        <f t="shared" si="158"/>
        <v>0</v>
      </c>
      <c r="ET19" s="521"/>
      <c r="EU19" s="522">
        <f t="shared" si="48"/>
        <v>0</v>
      </c>
      <c r="EV19" s="523">
        <f t="shared" si="159"/>
        <v>0</v>
      </c>
      <c r="EW19" s="521"/>
      <c r="EX19" s="522">
        <f t="shared" si="49"/>
        <v>0</v>
      </c>
      <c r="EY19" s="523">
        <f t="shared" si="160"/>
        <v>0</v>
      </c>
      <c r="EZ19" s="521"/>
      <c r="FA19" s="522">
        <f t="shared" si="50"/>
        <v>0</v>
      </c>
      <c r="FB19" s="523">
        <f t="shared" si="161"/>
        <v>0</v>
      </c>
      <c r="FC19" s="521"/>
      <c r="FD19" s="522">
        <f t="shared" si="51"/>
        <v>0</v>
      </c>
      <c r="FE19" s="523">
        <f t="shared" si="162"/>
        <v>0</v>
      </c>
      <c r="FF19" s="521"/>
      <c r="FG19" s="522">
        <f t="shared" si="52"/>
        <v>0</v>
      </c>
      <c r="FH19" s="523">
        <f t="shared" si="163"/>
        <v>0</v>
      </c>
      <c r="FI19" s="521"/>
      <c r="FJ19" s="522">
        <f t="shared" si="53"/>
        <v>0</v>
      </c>
      <c r="FK19" s="523">
        <f t="shared" si="164"/>
        <v>0</v>
      </c>
      <c r="FL19" s="521"/>
      <c r="FM19" s="522">
        <f t="shared" si="54"/>
        <v>0</v>
      </c>
      <c r="FN19" s="523">
        <f t="shared" si="165"/>
        <v>0</v>
      </c>
      <c r="FO19" s="521"/>
      <c r="FP19" s="522">
        <f t="shared" si="55"/>
        <v>0</v>
      </c>
      <c r="FQ19" s="523">
        <f t="shared" si="166"/>
        <v>0</v>
      </c>
      <c r="FR19" s="521"/>
      <c r="FS19" s="522">
        <f t="shared" si="56"/>
        <v>0</v>
      </c>
      <c r="FT19" s="523">
        <f t="shared" si="167"/>
        <v>0</v>
      </c>
      <c r="FU19" s="521"/>
      <c r="FV19" s="522">
        <f t="shared" si="57"/>
        <v>0</v>
      </c>
      <c r="FW19" s="523">
        <f t="shared" si="168"/>
        <v>0</v>
      </c>
      <c r="FX19" s="521"/>
      <c r="FY19" s="522">
        <f t="shared" si="58"/>
        <v>0</v>
      </c>
      <c r="FZ19" s="523">
        <f t="shared" si="169"/>
        <v>0</v>
      </c>
      <c r="GA19" s="521"/>
      <c r="GB19" s="522">
        <f t="shared" si="59"/>
        <v>0</v>
      </c>
      <c r="GC19" s="523">
        <f t="shared" si="170"/>
        <v>0</v>
      </c>
      <c r="GD19" s="521"/>
      <c r="GE19" s="522">
        <f t="shared" si="60"/>
        <v>0</v>
      </c>
      <c r="GF19" s="523">
        <f t="shared" si="171"/>
        <v>0</v>
      </c>
      <c r="GG19" s="521"/>
      <c r="GH19" s="522">
        <f t="shared" si="61"/>
        <v>0</v>
      </c>
      <c r="GI19" s="523">
        <f t="shared" si="172"/>
        <v>0</v>
      </c>
      <c r="GJ19" s="521"/>
      <c r="GK19" s="522">
        <f t="shared" si="62"/>
        <v>0</v>
      </c>
      <c r="GL19" s="523">
        <f t="shared" si="173"/>
        <v>0</v>
      </c>
      <c r="GM19" s="521"/>
      <c r="GN19" s="522">
        <f t="shared" si="63"/>
        <v>0</v>
      </c>
      <c r="GO19" s="523">
        <f t="shared" si="174"/>
        <v>0</v>
      </c>
      <c r="GP19" s="521"/>
      <c r="GQ19" s="522">
        <f t="shared" si="64"/>
        <v>0</v>
      </c>
      <c r="GR19" s="523">
        <f t="shared" si="175"/>
        <v>0</v>
      </c>
      <c r="GS19" s="521"/>
      <c r="GT19" s="522">
        <f t="shared" si="65"/>
        <v>0</v>
      </c>
      <c r="GU19" s="523">
        <f t="shared" si="176"/>
        <v>0</v>
      </c>
      <c r="GV19" s="521"/>
      <c r="GW19" s="522">
        <f t="shared" si="66"/>
        <v>0</v>
      </c>
      <c r="GX19" s="523">
        <f t="shared" si="177"/>
        <v>0</v>
      </c>
      <c r="GY19" s="521"/>
      <c r="GZ19" s="522">
        <f t="shared" si="67"/>
        <v>0</v>
      </c>
      <c r="HA19" s="523">
        <f t="shared" si="178"/>
        <v>0</v>
      </c>
      <c r="HB19" s="521"/>
      <c r="HC19" s="522">
        <f t="shared" si="68"/>
        <v>0</v>
      </c>
      <c r="HD19" s="523">
        <f t="shared" si="179"/>
        <v>0</v>
      </c>
      <c r="HE19" s="521"/>
      <c r="HF19" s="522">
        <f t="shared" si="69"/>
        <v>0</v>
      </c>
      <c r="HG19" s="523">
        <f t="shared" si="180"/>
        <v>0</v>
      </c>
      <c r="HH19" s="521"/>
      <c r="HI19" s="522">
        <f t="shared" si="70"/>
        <v>0</v>
      </c>
      <c r="HJ19" s="523">
        <f t="shared" si="181"/>
        <v>0</v>
      </c>
      <c r="HK19" s="521"/>
      <c r="HL19" s="522">
        <f t="shared" si="71"/>
        <v>0</v>
      </c>
      <c r="HM19" s="523">
        <f t="shared" si="182"/>
        <v>0</v>
      </c>
      <c r="HN19" s="521"/>
      <c r="HO19" s="522">
        <f t="shared" si="72"/>
        <v>0</v>
      </c>
      <c r="HP19" s="523">
        <f t="shared" si="183"/>
        <v>0</v>
      </c>
      <c r="HQ19" s="521"/>
      <c r="HR19" s="522">
        <f t="shared" si="73"/>
        <v>0</v>
      </c>
      <c r="HS19" s="523">
        <f t="shared" si="184"/>
        <v>0</v>
      </c>
      <c r="HT19" s="521"/>
      <c r="HU19" s="522">
        <f t="shared" si="74"/>
        <v>0</v>
      </c>
      <c r="HV19" s="523">
        <f t="shared" si="185"/>
        <v>0</v>
      </c>
      <c r="HW19" s="521"/>
      <c r="HX19" s="522">
        <f t="shared" si="75"/>
        <v>0</v>
      </c>
      <c r="HY19" s="523">
        <f t="shared" si="186"/>
        <v>0</v>
      </c>
      <c r="HZ19" s="521"/>
      <c r="IA19" s="522">
        <f t="shared" si="76"/>
        <v>0</v>
      </c>
      <c r="IB19" s="523">
        <f t="shared" si="187"/>
        <v>0</v>
      </c>
      <c r="IC19" s="521"/>
      <c r="ID19" s="522">
        <f t="shared" si="77"/>
        <v>0</v>
      </c>
      <c r="IE19" s="523">
        <f t="shared" si="188"/>
        <v>0</v>
      </c>
      <c r="IF19" s="521"/>
      <c r="IG19" s="522">
        <f t="shared" si="78"/>
        <v>0</v>
      </c>
      <c r="IH19" s="523">
        <f t="shared" si="189"/>
        <v>0</v>
      </c>
      <c r="II19" s="521"/>
      <c r="IJ19" s="522">
        <f t="shared" si="79"/>
        <v>0</v>
      </c>
      <c r="IK19" s="523">
        <f t="shared" si="190"/>
        <v>0</v>
      </c>
      <c r="IL19" s="521"/>
      <c r="IM19" s="522">
        <f t="shared" si="80"/>
        <v>0</v>
      </c>
      <c r="IN19" s="523">
        <f t="shared" si="191"/>
        <v>0</v>
      </c>
      <c r="IO19" s="521"/>
      <c r="IP19" s="522">
        <f t="shared" si="81"/>
        <v>0</v>
      </c>
      <c r="IQ19" s="523">
        <f t="shared" si="192"/>
        <v>0</v>
      </c>
      <c r="IR19" s="521"/>
      <c r="IS19" s="522">
        <f t="shared" si="82"/>
        <v>0</v>
      </c>
      <c r="IT19" s="523">
        <f t="shared" si="193"/>
        <v>0</v>
      </c>
      <c r="IU19" s="521"/>
      <c r="IV19" s="522">
        <f t="shared" si="83"/>
        <v>0</v>
      </c>
      <c r="IW19" s="523">
        <f t="shared" si="194"/>
        <v>0</v>
      </c>
      <c r="IX19" s="521"/>
      <c r="IY19" s="522">
        <f t="shared" si="84"/>
        <v>0</v>
      </c>
      <c r="IZ19" s="523">
        <f t="shared" si="195"/>
        <v>0</v>
      </c>
      <c r="JA19" s="521"/>
      <c r="JB19" s="522">
        <f t="shared" si="85"/>
        <v>0</v>
      </c>
      <c r="JC19" s="523">
        <f t="shared" si="196"/>
        <v>0</v>
      </c>
      <c r="JD19" s="521"/>
      <c r="JE19" s="522">
        <f t="shared" si="86"/>
        <v>0</v>
      </c>
      <c r="JF19" s="523">
        <f t="shared" si="197"/>
        <v>0</v>
      </c>
      <c r="JG19" s="521"/>
      <c r="JH19" s="522">
        <f t="shared" si="87"/>
        <v>0</v>
      </c>
      <c r="JI19" s="523">
        <f t="shared" si="198"/>
        <v>0</v>
      </c>
      <c r="JJ19" s="521"/>
      <c r="JK19" s="523" t="str">
        <f t="shared" si="88"/>
        <v>0</v>
      </c>
      <c r="JL19" s="523" t="str">
        <f t="shared" si="89"/>
        <v>0</v>
      </c>
      <c r="JM19" s="521"/>
      <c r="JN19" s="523" t="str">
        <f t="shared" si="90"/>
        <v>0</v>
      </c>
      <c r="JO19" s="523" t="str">
        <f t="shared" si="91"/>
        <v>0</v>
      </c>
      <c r="JP19" s="521"/>
      <c r="JQ19" s="523" t="str">
        <f t="shared" si="92"/>
        <v>0</v>
      </c>
      <c r="JR19" s="523" t="str">
        <f t="shared" si="93"/>
        <v>0</v>
      </c>
      <c r="JS19" s="521"/>
      <c r="JT19" s="523" t="str">
        <f t="shared" si="94"/>
        <v>0</v>
      </c>
      <c r="JU19" s="523" t="str">
        <f t="shared" si="95"/>
        <v>0</v>
      </c>
      <c r="JV19" s="521"/>
      <c r="JW19" s="523" t="str">
        <f t="shared" si="96"/>
        <v>0</v>
      </c>
      <c r="JX19" s="523" t="str">
        <f t="shared" si="97"/>
        <v>0</v>
      </c>
      <c r="JY19" s="521"/>
      <c r="JZ19" s="523" t="str">
        <f t="shared" si="98"/>
        <v>0</v>
      </c>
      <c r="KA19" s="523" t="str">
        <f t="shared" si="99"/>
        <v>0</v>
      </c>
      <c r="KB19" s="521"/>
      <c r="KC19" s="523" t="str">
        <f t="shared" si="100"/>
        <v>0</v>
      </c>
      <c r="KD19" s="523" t="str">
        <f t="shared" si="101"/>
        <v>0</v>
      </c>
      <c r="KE19" s="521"/>
      <c r="KF19" s="523" t="str">
        <f t="shared" si="102"/>
        <v>0</v>
      </c>
      <c r="KG19" s="523" t="str">
        <f t="shared" si="103"/>
        <v>0</v>
      </c>
      <c r="KH19" s="521"/>
      <c r="KI19" s="523" t="str">
        <f t="shared" si="104"/>
        <v>0</v>
      </c>
      <c r="KJ19" s="523" t="str">
        <f t="shared" si="105"/>
        <v>0</v>
      </c>
      <c r="KK19" s="521"/>
      <c r="KL19" s="523" t="str">
        <f t="shared" si="106"/>
        <v>0</v>
      </c>
      <c r="KM19" s="523" t="str">
        <f t="shared" si="107"/>
        <v>0</v>
      </c>
      <c r="KN19" s="521"/>
      <c r="KO19" s="523" t="str">
        <f t="shared" si="108"/>
        <v>0</v>
      </c>
      <c r="KP19" s="523" t="str">
        <f t="shared" si="109"/>
        <v>0</v>
      </c>
      <c r="KQ19" s="521"/>
      <c r="KR19" s="523" t="str">
        <f t="shared" si="110"/>
        <v>0</v>
      </c>
      <c r="KS19" s="523" t="str">
        <f t="shared" si="111"/>
        <v>0</v>
      </c>
      <c r="KT19" s="523">
        <f t="shared" si="201"/>
        <v>0</v>
      </c>
      <c r="KU19" s="523">
        <f t="shared" si="202"/>
        <v>0</v>
      </c>
      <c r="KV19" s="261">
        <f t="shared" si="199"/>
        <v>468.66074311180125</v>
      </c>
    </row>
    <row r="20" spans="1:308">
      <c r="A20" s="262">
        <f t="shared" si="200"/>
        <v>46093</v>
      </c>
      <c r="B20" s="263" t="str">
        <f>+Report1!B20</f>
        <v>Facial/Toilet</v>
      </c>
      <c r="C20" s="263" t="str">
        <f>+Report1!C20</f>
        <v>12,5/14/13</v>
      </c>
      <c r="D20" s="264">
        <f>+Report1!P20</f>
        <v>43.361000000000004</v>
      </c>
      <c r="E20" s="556">
        <f>+Report1!R20</f>
        <v>40.625999999999998</v>
      </c>
      <c r="F20" s="521"/>
      <c r="G20" s="522">
        <f t="shared" si="0"/>
        <v>0</v>
      </c>
      <c r="H20" s="523">
        <f t="shared" si="112"/>
        <v>0</v>
      </c>
      <c r="I20" s="521">
        <v>151.1627906976745</v>
      </c>
      <c r="J20" s="522">
        <f t="shared" si="1"/>
        <v>3.72083864268386</v>
      </c>
      <c r="K20" s="523">
        <f t="shared" si="113"/>
        <v>0</v>
      </c>
      <c r="L20" s="521"/>
      <c r="M20" s="522">
        <f t="shared" si="2"/>
        <v>0</v>
      </c>
      <c r="N20" s="523">
        <f t="shared" si="114"/>
        <v>0</v>
      </c>
      <c r="O20" s="521">
        <v>6</v>
      </c>
      <c r="P20" s="522">
        <f t="shared" si="3"/>
        <v>0.14768867227883622</v>
      </c>
      <c r="Q20" s="523">
        <f t="shared" si="115"/>
        <v>0</v>
      </c>
      <c r="R20" s="521"/>
      <c r="S20" s="522">
        <f t="shared" si="4"/>
        <v>0</v>
      </c>
      <c r="T20" s="523">
        <f t="shared" si="116"/>
        <v>0</v>
      </c>
      <c r="U20" s="521">
        <v>7.6875000000000284</v>
      </c>
      <c r="V20" s="522">
        <f t="shared" si="5"/>
        <v>0.18922611135725961</v>
      </c>
      <c r="W20" s="523">
        <f t="shared" si="117"/>
        <v>0</v>
      </c>
      <c r="X20" s="521"/>
      <c r="Y20" s="522">
        <f t="shared" si="6"/>
        <v>0</v>
      </c>
      <c r="Z20" s="523">
        <f t="shared" si="118"/>
        <v>0</v>
      </c>
      <c r="AA20" s="521">
        <v>6.2500000000000284</v>
      </c>
      <c r="AB20" s="522">
        <f t="shared" si="7"/>
        <v>0.15384236695712175</v>
      </c>
      <c r="AC20" s="523">
        <f t="shared" si="119"/>
        <v>0</v>
      </c>
      <c r="AD20" s="521"/>
      <c r="AE20" s="522">
        <f t="shared" si="8"/>
        <v>0</v>
      </c>
      <c r="AF20" s="523">
        <f t="shared" si="120"/>
        <v>0</v>
      </c>
      <c r="AG20" s="521"/>
      <c r="AH20" s="522">
        <f t="shared" si="9"/>
        <v>0</v>
      </c>
      <c r="AI20" s="523">
        <f t="shared" si="121"/>
        <v>0</v>
      </c>
      <c r="AJ20" s="521"/>
      <c r="AK20" s="522">
        <f t="shared" si="10"/>
        <v>0</v>
      </c>
      <c r="AL20" s="523">
        <f t="shared" si="122"/>
        <v>0</v>
      </c>
      <c r="AM20" s="521"/>
      <c r="AN20" s="522">
        <f t="shared" si="11"/>
        <v>0</v>
      </c>
      <c r="AO20" s="523">
        <f t="shared" si="123"/>
        <v>0</v>
      </c>
      <c r="AP20" s="521"/>
      <c r="AQ20" s="522">
        <f t="shared" si="12"/>
        <v>0</v>
      </c>
      <c r="AR20" s="523">
        <f t="shared" si="124"/>
        <v>0</v>
      </c>
      <c r="AS20" s="521"/>
      <c r="AT20" s="522">
        <f t="shared" si="13"/>
        <v>0</v>
      </c>
      <c r="AU20" s="523">
        <f t="shared" si="125"/>
        <v>0</v>
      </c>
      <c r="AV20" s="521"/>
      <c r="AW20" s="522">
        <f t="shared" si="14"/>
        <v>0</v>
      </c>
      <c r="AX20" s="523">
        <f t="shared" si="126"/>
        <v>0</v>
      </c>
      <c r="AY20" s="521"/>
      <c r="AZ20" s="522">
        <f t="shared" si="15"/>
        <v>0</v>
      </c>
      <c r="BA20" s="523">
        <f t="shared" si="127"/>
        <v>0</v>
      </c>
      <c r="BB20" s="521"/>
      <c r="BC20" s="522">
        <f t="shared" si="16"/>
        <v>0</v>
      </c>
      <c r="BD20" s="523">
        <f t="shared" si="128"/>
        <v>0</v>
      </c>
      <c r="BE20" s="521"/>
      <c r="BF20" s="522">
        <f t="shared" si="17"/>
        <v>0</v>
      </c>
      <c r="BG20" s="523">
        <f t="shared" si="129"/>
        <v>0</v>
      </c>
      <c r="BH20" s="521"/>
      <c r="BI20" s="522">
        <f t="shared" si="18"/>
        <v>0</v>
      </c>
      <c r="BJ20" s="523">
        <f t="shared" si="130"/>
        <v>0</v>
      </c>
      <c r="BK20" s="521"/>
      <c r="BL20" s="522">
        <f t="shared" si="19"/>
        <v>0</v>
      </c>
      <c r="BM20" s="523">
        <f t="shared" si="131"/>
        <v>0</v>
      </c>
      <c r="BN20" s="521"/>
      <c r="BO20" s="522">
        <f t="shared" si="20"/>
        <v>0</v>
      </c>
      <c r="BP20" s="523">
        <f t="shared" si="132"/>
        <v>0</v>
      </c>
      <c r="BQ20" s="521">
        <v>43.037974683544348</v>
      </c>
      <c r="BR20" s="522">
        <f t="shared" si="21"/>
        <v>1.0593702230971385</v>
      </c>
      <c r="BS20" s="523">
        <f t="shared" si="133"/>
        <v>0</v>
      </c>
      <c r="BT20" s="521"/>
      <c r="BU20" s="522">
        <f t="shared" si="22"/>
        <v>0</v>
      </c>
      <c r="BV20" s="523">
        <f t="shared" si="134"/>
        <v>0</v>
      </c>
      <c r="BW20" s="521"/>
      <c r="BX20" s="522">
        <f t="shared" si="23"/>
        <v>0</v>
      </c>
      <c r="BY20" s="523">
        <f t="shared" si="135"/>
        <v>0</v>
      </c>
      <c r="BZ20" s="521"/>
      <c r="CA20" s="522">
        <f t="shared" si="24"/>
        <v>0</v>
      </c>
      <c r="CB20" s="523">
        <f t="shared" si="136"/>
        <v>0</v>
      </c>
      <c r="CC20" s="521"/>
      <c r="CD20" s="522">
        <f t="shared" si="25"/>
        <v>0</v>
      </c>
      <c r="CE20" s="523">
        <f t="shared" si="137"/>
        <v>0</v>
      </c>
      <c r="CF20" s="521">
        <v>0.79999999999999716</v>
      </c>
      <c r="CG20" s="522">
        <f t="shared" si="26"/>
        <v>1.9691822970511426E-2</v>
      </c>
      <c r="CH20" s="523">
        <f t="shared" si="138"/>
        <v>0</v>
      </c>
      <c r="CI20" s="521"/>
      <c r="CJ20" s="522">
        <f t="shared" si="27"/>
        <v>0</v>
      </c>
      <c r="CK20" s="523">
        <f t="shared" si="139"/>
        <v>0</v>
      </c>
      <c r="CL20" s="521"/>
      <c r="CM20" s="522">
        <f t="shared" si="28"/>
        <v>0</v>
      </c>
      <c r="CN20" s="523">
        <f t="shared" si="140"/>
        <v>0</v>
      </c>
      <c r="CO20" s="521"/>
      <c r="CP20" s="522">
        <f t="shared" si="29"/>
        <v>0</v>
      </c>
      <c r="CQ20" s="523">
        <f t="shared" si="141"/>
        <v>0</v>
      </c>
      <c r="CR20" s="521"/>
      <c r="CS20" s="522">
        <f t="shared" si="30"/>
        <v>0</v>
      </c>
      <c r="CT20" s="523">
        <f t="shared" si="142"/>
        <v>0</v>
      </c>
      <c r="CU20" s="521"/>
      <c r="CV20" s="522">
        <f t="shared" si="31"/>
        <v>0</v>
      </c>
      <c r="CW20" s="523">
        <f t="shared" si="143"/>
        <v>0</v>
      </c>
      <c r="CX20" s="521"/>
      <c r="CY20" s="522">
        <f t="shared" si="32"/>
        <v>0</v>
      </c>
      <c r="CZ20" s="523">
        <f t="shared" si="144"/>
        <v>0</v>
      </c>
      <c r="DA20" s="521">
        <v>72.674418604651237</v>
      </c>
      <c r="DB20" s="522">
        <f t="shared" si="33"/>
        <v>1.788864732059549</v>
      </c>
      <c r="DC20" s="523">
        <f t="shared" si="145"/>
        <v>0</v>
      </c>
      <c r="DD20" s="521"/>
      <c r="DE20" s="522">
        <f t="shared" si="34"/>
        <v>0</v>
      </c>
      <c r="DF20" s="523">
        <f t="shared" si="146"/>
        <v>0</v>
      </c>
      <c r="DG20" s="521"/>
      <c r="DH20" s="522">
        <f t="shared" si="35"/>
        <v>0</v>
      </c>
      <c r="DI20" s="523">
        <f t="shared" si="203"/>
        <v>0</v>
      </c>
      <c r="DJ20" s="521"/>
      <c r="DK20" s="522">
        <f t="shared" si="36"/>
        <v>0</v>
      </c>
      <c r="DL20" s="523">
        <f t="shared" si="147"/>
        <v>0</v>
      </c>
      <c r="DM20" s="521"/>
      <c r="DN20" s="522">
        <f t="shared" si="37"/>
        <v>0</v>
      </c>
      <c r="DO20" s="523">
        <f t="shared" si="148"/>
        <v>0</v>
      </c>
      <c r="DP20" s="521"/>
      <c r="DQ20" s="522">
        <f t="shared" si="38"/>
        <v>0</v>
      </c>
      <c r="DR20" s="523">
        <f t="shared" si="149"/>
        <v>0</v>
      </c>
      <c r="DS20" s="521"/>
      <c r="DT20" s="522">
        <f t="shared" si="39"/>
        <v>0</v>
      </c>
      <c r="DU20" s="523">
        <f t="shared" si="150"/>
        <v>0</v>
      </c>
      <c r="DV20" s="521"/>
      <c r="DW20" s="522">
        <f t="shared" si="40"/>
        <v>0</v>
      </c>
      <c r="DX20" s="523">
        <f t="shared" si="151"/>
        <v>0</v>
      </c>
      <c r="DY20" s="521"/>
      <c r="DZ20" s="522">
        <f t="shared" si="41"/>
        <v>0</v>
      </c>
      <c r="EA20" s="523">
        <f t="shared" si="152"/>
        <v>0</v>
      </c>
      <c r="EB20" s="521"/>
      <c r="EC20" s="522">
        <f t="shared" si="42"/>
        <v>0</v>
      </c>
      <c r="ED20" s="523">
        <f t="shared" si="153"/>
        <v>0</v>
      </c>
      <c r="EE20" s="521">
        <v>14.534883720930239</v>
      </c>
      <c r="EF20" s="522">
        <f t="shared" si="43"/>
        <v>0.3577729464119096</v>
      </c>
      <c r="EG20" s="523">
        <f t="shared" si="154"/>
        <v>0</v>
      </c>
      <c r="EH20" s="521">
        <v>4</v>
      </c>
      <c r="EI20" s="522">
        <f t="shared" si="44"/>
        <v>9.8459114852557483E-2</v>
      </c>
      <c r="EJ20" s="523">
        <f t="shared" si="155"/>
        <v>0</v>
      </c>
      <c r="EK20" s="521">
        <v>42.68292682926824</v>
      </c>
      <c r="EL20" s="522">
        <f t="shared" si="45"/>
        <v>1.0506307987315573</v>
      </c>
      <c r="EM20" s="523">
        <f t="shared" si="156"/>
        <v>0</v>
      </c>
      <c r="EN20" s="521">
        <v>34.59302325581416</v>
      </c>
      <c r="EO20" s="522">
        <f t="shared" si="46"/>
        <v>0.85149961246034955</v>
      </c>
      <c r="EP20" s="523">
        <f t="shared" si="157"/>
        <v>0</v>
      </c>
      <c r="EQ20" s="521">
        <v>70.44705882352946</v>
      </c>
      <c r="ER20" s="522">
        <f t="shared" si="47"/>
        <v>1.73403876393269</v>
      </c>
      <c r="ES20" s="523">
        <f t="shared" si="158"/>
        <v>0</v>
      </c>
      <c r="ET20" s="521"/>
      <c r="EU20" s="522">
        <f t="shared" si="48"/>
        <v>0</v>
      </c>
      <c r="EV20" s="523">
        <f t="shared" si="159"/>
        <v>0</v>
      </c>
      <c r="EW20" s="521"/>
      <c r="EX20" s="522">
        <f t="shared" si="49"/>
        <v>0</v>
      </c>
      <c r="EY20" s="523">
        <f t="shared" si="160"/>
        <v>0</v>
      </c>
      <c r="EZ20" s="521"/>
      <c r="FA20" s="522">
        <f t="shared" si="50"/>
        <v>0</v>
      </c>
      <c r="FB20" s="523">
        <f t="shared" si="161"/>
        <v>0</v>
      </c>
      <c r="FC20" s="521"/>
      <c r="FD20" s="522">
        <f t="shared" si="51"/>
        <v>0</v>
      </c>
      <c r="FE20" s="523">
        <f t="shared" si="162"/>
        <v>0</v>
      </c>
      <c r="FF20" s="521"/>
      <c r="FG20" s="522">
        <f t="shared" si="52"/>
        <v>0</v>
      </c>
      <c r="FH20" s="523">
        <f t="shared" si="163"/>
        <v>0</v>
      </c>
      <c r="FI20" s="521"/>
      <c r="FJ20" s="522">
        <f t="shared" si="53"/>
        <v>0</v>
      </c>
      <c r="FK20" s="523">
        <f t="shared" si="164"/>
        <v>0</v>
      </c>
      <c r="FL20" s="521"/>
      <c r="FM20" s="522">
        <f t="shared" si="54"/>
        <v>0</v>
      </c>
      <c r="FN20" s="523">
        <f t="shared" si="165"/>
        <v>0</v>
      </c>
      <c r="FO20" s="521"/>
      <c r="FP20" s="522">
        <f t="shared" si="55"/>
        <v>0</v>
      </c>
      <c r="FQ20" s="523">
        <f t="shared" si="166"/>
        <v>0</v>
      </c>
      <c r="FR20" s="521"/>
      <c r="FS20" s="522">
        <f t="shared" si="56"/>
        <v>0</v>
      </c>
      <c r="FT20" s="523">
        <f t="shared" si="167"/>
        <v>0</v>
      </c>
      <c r="FU20" s="521"/>
      <c r="FV20" s="522">
        <f t="shared" si="57"/>
        <v>0</v>
      </c>
      <c r="FW20" s="523">
        <f t="shared" si="168"/>
        <v>0</v>
      </c>
      <c r="FX20" s="521"/>
      <c r="FY20" s="522">
        <f t="shared" si="58"/>
        <v>0</v>
      </c>
      <c r="FZ20" s="523">
        <f t="shared" si="169"/>
        <v>0</v>
      </c>
      <c r="GA20" s="521"/>
      <c r="GB20" s="522">
        <f t="shared" si="59"/>
        <v>0</v>
      </c>
      <c r="GC20" s="523">
        <f t="shared" si="170"/>
        <v>0</v>
      </c>
      <c r="GD20" s="521"/>
      <c r="GE20" s="522">
        <f t="shared" si="60"/>
        <v>0</v>
      </c>
      <c r="GF20" s="523">
        <f t="shared" si="171"/>
        <v>0</v>
      </c>
      <c r="GG20" s="521"/>
      <c r="GH20" s="522">
        <f t="shared" si="61"/>
        <v>0</v>
      </c>
      <c r="GI20" s="523">
        <f t="shared" si="172"/>
        <v>0</v>
      </c>
      <c r="GJ20" s="521"/>
      <c r="GK20" s="522">
        <f t="shared" si="62"/>
        <v>0</v>
      </c>
      <c r="GL20" s="523">
        <f t="shared" si="173"/>
        <v>0</v>
      </c>
      <c r="GM20" s="521"/>
      <c r="GN20" s="522">
        <f t="shared" si="63"/>
        <v>0</v>
      </c>
      <c r="GO20" s="523">
        <f t="shared" si="174"/>
        <v>0</v>
      </c>
      <c r="GP20" s="521"/>
      <c r="GQ20" s="522">
        <f t="shared" si="64"/>
        <v>0</v>
      </c>
      <c r="GR20" s="523">
        <f t="shared" si="175"/>
        <v>0</v>
      </c>
      <c r="GS20" s="521"/>
      <c r="GT20" s="522">
        <f t="shared" si="65"/>
        <v>0</v>
      </c>
      <c r="GU20" s="523">
        <f t="shared" si="176"/>
        <v>0</v>
      </c>
      <c r="GV20" s="521"/>
      <c r="GW20" s="522">
        <f t="shared" si="66"/>
        <v>0</v>
      </c>
      <c r="GX20" s="523">
        <f t="shared" si="177"/>
        <v>0</v>
      </c>
      <c r="GY20" s="521"/>
      <c r="GZ20" s="522">
        <f t="shared" si="67"/>
        <v>0</v>
      </c>
      <c r="HA20" s="523">
        <f t="shared" si="178"/>
        <v>0</v>
      </c>
      <c r="HB20" s="521"/>
      <c r="HC20" s="522">
        <f t="shared" si="68"/>
        <v>0</v>
      </c>
      <c r="HD20" s="523">
        <f t="shared" si="179"/>
        <v>0</v>
      </c>
      <c r="HE20" s="521"/>
      <c r="HF20" s="522">
        <f t="shared" si="69"/>
        <v>0</v>
      </c>
      <c r="HG20" s="523">
        <f t="shared" si="180"/>
        <v>0</v>
      </c>
      <c r="HH20" s="521"/>
      <c r="HI20" s="522">
        <f t="shared" si="70"/>
        <v>0</v>
      </c>
      <c r="HJ20" s="523">
        <f t="shared" si="181"/>
        <v>0</v>
      </c>
      <c r="HK20" s="521"/>
      <c r="HL20" s="522">
        <f t="shared" si="71"/>
        <v>0</v>
      </c>
      <c r="HM20" s="523">
        <f t="shared" si="182"/>
        <v>0</v>
      </c>
      <c r="HN20" s="521"/>
      <c r="HO20" s="522">
        <f t="shared" si="72"/>
        <v>0</v>
      </c>
      <c r="HP20" s="523">
        <f t="shared" si="183"/>
        <v>0</v>
      </c>
      <c r="HQ20" s="521"/>
      <c r="HR20" s="522">
        <f t="shared" si="73"/>
        <v>0</v>
      </c>
      <c r="HS20" s="523">
        <f t="shared" si="184"/>
        <v>0</v>
      </c>
      <c r="HT20" s="521"/>
      <c r="HU20" s="522">
        <f t="shared" si="74"/>
        <v>0</v>
      </c>
      <c r="HV20" s="523">
        <f t="shared" si="185"/>
        <v>0</v>
      </c>
      <c r="HW20" s="521"/>
      <c r="HX20" s="522">
        <f t="shared" si="75"/>
        <v>0</v>
      </c>
      <c r="HY20" s="523">
        <f t="shared" si="186"/>
        <v>0</v>
      </c>
      <c r="HZ20" s="521"/>
      <c r="IA20" s="522">
        <f t="shared" si="76"/>
        <v>0</v>
      </c>
      <c r="IB20" s="523">
        <f t="shared" si="187"/>
        <v>0</v>
      </c>
      <c r="IC20" s="521"/>
      <c r="ID20" s="522">
        <f t="shared" si="77"/>
        <v>0</v>
      </c>
      <c r="IE20" s="523">
        <f t="shared" si="188"/>
        <v>0</v>
      </c>
      <c r="IF20" s="521"/>
      <c r="IG20" s="522">
        <f t="shared" si="78"/>
        <v>0</v>
      </c>
      <c r="IH20" s="523">
        <f t="shared" si="189"/>
        <v>0</v>
      </c>
      <c r="II20" s="521"/>
      <c r="IJ20" s="522">
        <f t="shared" si="79"/>
        <v>0</v>
      </c>
      <c r="IK20" s="523">
        <f t="shared" si="190"/>
        <v>0</v>
      </c>
      <c r="IL20" s="521"/>
      <c r="IM20" s="522">
        <f t="shared" si="80"/>
        <v>0</v>
      </c>
      <c r="IN20" s="523">
        <f t="shared" si="191"/>
        <v>0</v>
      </c>
      <c r="IO20" s="521"/>
      <c r="IP20" s="522">
        <f t="shared" si="81"/>
        <v>0</v>
      </c>
      <c r="IQ20" s="523">
        <f t="shared" si="192"/>
        <v>0</v>
      </c>
      <c r="IR20" s="521"/>
      <c r="IS20" s="522">
        <f t="shared" si="82"/>
        <v>0</v>
      </c>
      <c r="IT20" s="523">
        <f t="shared" si="193"/>
        <v>0</v>
      </c>
      <c r="IU20" s="521"/>
      <c r="IV20" s="522">
        <f t="shared" si="83"/>
        <v>0</v>
      </c>
      <c r="IW20" s="523">
        <f t="shared" si="194"/>
        <v>0</v>
      </c>
      <c r="IX20" s="521"/>
      <c r="IY20" s="522">
        <f t="shared" si="84"/>
        <v>0</v>
      </c>
      <c r="IZ20" s="523">
        <f t="shared" si="195"/>
        <v>0</v>
      </c>
      <c r="JA20" s="521"/>
      <c r="JB20" s="522">
        <f t="shared" si="85"/>
        <v>0</v>
      </c>
      <c r="JC20" s="523">
        <f t="shared" si="196"/>
        <v>0</v>
      </c>
      <c r="JD20" s="521"/>
      <c r="JE20" s="522">
        <f t="shared" si="86"/>
        <v>0</v>
      </c>
      <c r="JF20" s="523">
        <f t="shared" si="197"/>
        <v>0</v>
      </c>
      <c r="JG20" s="521"/>
      <c r="JH20" s="522">
        <f t="shared" si="87"/>
        <v>0</v>
      </c>
      <c r="JI20" s="523">
        <f t="shared" si="198"/>
        <v>0</v>
      </c>
      <c r="JJ20" s="521"/>
      <c r="JK20" s="523" t="str">
        <f t="shared" si="88"/>
        <v>0</v>
      </c>
      <c r="JL20" s="523" t="str">
        <f t="shared" si="89"/>
        <v>0</v>
      </c>
      <c r="JM20" s="521"/>
      <c r="JN20" s="523" t="str">
        <f t="shared" si="90"/>
        <v>0</v>
      </c>
      <c r="JO20" s="523" t="str">
        <f t="shared" si="91"/>
        <v>0</v>
      </c>
      <c r="JP20" s="521"/>
      <c r="JQ20" s="523" t="str">
        <f t="shared" si="92"/>
        <v>0</v>
      </c>
      <c r="JR20" s="523" t="str">
        <f t="shared" si="93"/>
        <v>0</v>
      </c>
      <c r="JS20" s="521"/>
      <c r="JT20" s="523" t="str">
        <f t="shared" si="94"/>
        <v>0</v>
      </c>
      <c r="JU20" s="523" t="str">
        <f t="shared" si="95"/>
        <v>0</v>
      </c>
      <c r="JV20" s="521"/>
      <c r="JW20" s="523" t="str">
        <f t="shared" si="96"/>
        <v>0</v>
      </c>
      <c r="JX20" s="523" t="str">
        <f t="shared" si="97"/>
        <v>0</v>
      </c>
      <c r="JY20" s="521"/>
      <c r="JZ20" s="523" t="str">
        <f t="shared" si="98"/>
        <v>0</v>
      </c>
      <c r="KA20" s="523" t="str">
        <f t="shared" si="99"/>
        <v>0</v>
      </c>
      <c r="KB20" s="521"/>
      <c r="KC20" s="523" t="str">
        <f t="shared" si="100"/>
        <v>0</v>
      </c>
      <c r="KD20" s="523" t="str">
        <f t="shared" si="101"/>
        <v>0</v>
      </c>
      <c r="KE20" s="521"/>
      <c r="KF20" s="523" t="str">
        <f t="shared" si="102"/>
        <v>0</v>
      </c>
      <c r="KG20" s="523" t="str">
        <f t="shared" si="103"/>
        <v>0</v>
      </c>
      <c r="KH20" s="521"/>
      <c r="KI20" s="523" t="str">
        <f t="shared" si="104"/>
        <v>0</v>
      </c>
      <c r="KJ20" s="523" t="str">
        <f t="shared" si="105"/>
        <v>0</v>
      </c>
      <c r="KK20" s="521"/>
      <c r="KL20" s="523" t="str">
        <f t="shared" si="106"/>
        <v>0</v>
      </c>
      <c r="KM20" s="523" t="str">
        <f t="shared" si="107"/>
        <v>0</v>
      </c>
      <c r="KN20" s="521"/>
      <c r="KO20" s="523" t="str">
        <f t="shared" si="108"/>
        <v>0</v>
      </c>
      <c r="KP20" s="523" t="str">
        <f t="shared" si="109"/>
        <v>0</v>
      </c>
      <c r="KQ20" s="521"/>
      <c r="KR20" s="523" t="str">
        <f t="shared" si="110"/>
        <v>0</v>
      </c>
      <c r="KS20" s="523" t="str">
        <f t="shared" si="111"/>
        <v>0</v>
      </c>
      <c r="KT20" s="523">
        <f t="shared" si="201"/>
        <v>0</v>
      </c>
      <c r="KU20" s="523">
        <f t="shared" si="202"/>
        <v>0</v>
      </c>
      <c r="KV20" s="261">
        <f t="shared" si="199"/>
        <v>453.87057661541223</v>
      </c>
    </row>
    <row r="21" spans="1:308">
      <c r="A21" s="262">
        <f t="shared" si="200"/>
        <v>46094</v>
      </c>
      <c r="B21" s="263" t="str">
        <f>+Report1!B21</f>
        <v>Toilet</v>
      </c>
      <c r="C21" s="263" t="str">
        <f>+Report1!C21</f>
        <v>13/12,5</v>
      </c>
      <c r="D21" s="264">
        <f>+Report1!P21</f>
        <v>40.203000000000003</v>
      </c>
      <c r="E21" s="556">
        <f>+Report1!R21</f>
        <v>38.853000000000002</v>
      </c>
      <c r="F21" s="521"/>
      <c r="G21" s="522">
        <f t="shared" si="0"/>
        <v>0</v>
      </c>
      <c r="H21" s="523">
        <f t="shared" si="112"/>
        <v>0</v>
      </c>
      <c r="I21" s="521"/>
      <c r="J21" s="522">
        <f t="shared" si="1"/>
        <v>0</v>
      </c>
      <c r="K21" s="523">
        <f t="shared" si="113"/>
        <v>0</v>
      </c>
      <c r="L21" s="521"/>
      <c r="M21" s="522">
        <f t="shared" si="2"/>
        <v>0</v>
      </c>
      <c r="N21" s="523">
        <f t="shared" si="114"/>
        <v>0</v>
      </c>
      <c r="O21" s="521">
        <v>6</v>
      </c>
      <c r="P21" s="522">
        <f t="shared" si="3"/>
        <v>0.15442822948034901</v>
      </c>
      <c r="Q21" s="523">
        <f t="shared" si="115"/>
        <v>0</v>
      </c>
      <c r="R21" s="521"/>
      <c r="S21" s="522">
        <f t="shared" si="4"/>
        <v>0</v>
      </c>
      <c r="T21" s="523">
        <f t="shared" si="116"/>
        <v>0</v>
      </c>
      <c r="U21" s="521">
        <v>7.6875</v>
      </c>
      <c r="V21" s="522">
        <f t="shared" si="5"/>
        <v>0.19786116902169715</v>
      </c>
      <c r="W21" s="523">
        <f t="shared" si="117"/>
        <v>0</v>
      </c>
      <c r="X21" s="521"/>
      <c r="Y21" s="522">
        <f t="shared" si="6"/>
        <v>0</v>
      </c>
      <c r="Z21" s="523">
        <f t="shared" si="118"/>
        <v>0</v>
      </c>
      <c r="AA21" s="521">
        <v>7.8124999999999716</v>
      </c>
      <c r="AB21" s="522">
        <f t="shared" si="7"/>
        <v>0.20107842380253704</v>
      </c>
      <c r="AC21" s="523">
        <f t="shared" si="119"/>
        <v>0</v>
      </c>
      <c r="AD21" s="521"/>
      <c r="AE21" s="522">
        <f t="shared" si="8"/>
        <v>0</v>
      </c>
      <c r="AF21" s="523">
        <f t="shared" si="120"/>
        <v>0</v>
      </c>
      <c r="AG21" s="521"/>
      <c r="AH21" s="522">
        <f t="shared" si="9"/>
        <v>0</v>
      </c>
      <c r="AI21" s="523">
        <f t="shared" si="121"/>
        <v>0</v>
      </c>
      <c r="AJ21" s="521"/>
      <c r="AK21" s="522">
        <f t="shared" si="10"/>
        <v>0</v>
      </c>
      <c r="AL21" s="523">
        <f t="shared" si="122"/>
        <v>0</v>
      </c>
      <c r="AM21" s="521"/>
      <c r="AN21" s="522">
        <f t="shared" si="11"/>
        <v>0</v>
      </c>
      <c r="AO21" s="523">
        <f t="shared" si="123"/>
        <v>0</v>
      </c>
      <c r="AP21" s="521"/>
      <c r="AQ21" s="522">
        <f t="shared" si="12"/>
        <v>0</v>
      </c>
      <c r="AR21" s="523">
        <f t="shared" si="124"/>
        <v>0</v>
      </c>
      <c r="AS21" s="521"/>
      <c r="AT21" s="522">
        <f t="shared" si="13"/>
        <v>0</v>
      </c>
      <c r="AU21" s="523">
        <f t="shared" si="125"/>
        <v>0</v>
      </c>
      <c r="AV21" s="521"/>
      <c r="AW21" s="522">
        <f t="shared" si="14"/>
        <v>0</v>
      </c>
      <c r="AX21" s="523">
        <f t="shared" si="126"/>
        <v>0</v>
      </c>
      <c r="AY21" s="521"/>
      <c r="AZ21" s="522">
        <f t="shared" si="15"/>
        <v>0</v>
      </c>
      <c r="BA21" s="523">
        <f t="shared" si="127"/>
        <v>0</v>
      </c>
      <c r="BB21" s="521"/>
      <c r="BC21" s="522">
        <f t="shared" si="16"/>
        <v>0</v>
      </c>
      <c r="BD21" s="523">
        <f t="shared" si="128"/>
        <v>0</v>
      </c>
      <c r="BE21" s="521"/>
      <c r="BF21" s="522">
        <f t="shared" si="17"/>
        <v>0</v>
      </c>
      <c r="BG21" s="523">
        <f t="shared" si="129"/>
        <v>0</v>
      </c>
      <c r="BH21" s="521"/>
      <c r="BI21" s="522">
        <f t="shared" si="18"/>
        <v>0</v>
      </c>
      <c r="BJ21" s="523">
        <f t="shared" si="130"/>
        <v>0</v>
      </c>
      <c r="BK21" s="521"/>
      <c r="BL21" s="522">
        <f t="shared" si="19"/>
        <v>0</v>
      </c>
      <c r="BM21" s="523">
        <f t="shared" si="131"/>
        <v>0</v>
      </c>
      <c r="BN21" s="521"/>
      <c r="BO21" s="522">
        <f t="shared" si="20"/>
        <v>0</v>
      </c>
      <c r="BP21" s="523">
        <f t="shared" si="132"/>
        <v>0</v>
      </c>
      <c r="BQ21" s="521">
        <v>15.189873417721515</v>
      </c>
      <c r="BR21" s="522">
        <f t="shared" si="21"/>
        <v>0.39095754298822522</v>
      </c>
      <c r="BS21" s="523">
        <f t="shared" si="133"/>
        <v>0</v>
      </c>
      <c r="BT21" s="521"/>
      <c r="BU21" s="522">
        <f t="shared" si="22"/>
        <v>0</v>
      </c>
      <c r="BV21" s="523">
        <f t="shared" si="134"/>
        <v>0</v>
      </c>
      <c r="BW21" s="521"/>
      <c r="BX21" s="522">
        <f t="shared" si="23"/>
        <v>0</v>
      </c>
      <c r="BY21" s="523">
        <f t="shared" si="135"/>
        <v>0</v>
      </c>
      <c r="BZ21" s="521"/>
      <c r="CA21" s="522">
        <f t="shared" si="24"/>
        <v>0</v>
      </c>
      <c r="CB21" s="523">
        <f t="shared" si="136"/>
        <v>0</v>
      </c>
      <c r="CC21" s="521"/>
      <c r="CD21" s="522">
        <f t="shared" si="25"/>
        <v>0</v>
      </c>
      <c r="CE21" s="523">
        <f t="shared" si="137"/>
        <v>0</v>
      </c>
      <c r="CF21" s="521">
        <v>1</v>
      </c>
      <c r="CG21" s="522">
        <f t="shared" si="26"/>
        <v>2.5738038246724833E-2</v>
      </c>
      <c r="CH21" s="523">
        <f t="shared" si="138"/>
        <v>0</v>
      </c>
      <c r="CI21" s="521"/>
      <c r="CJ21" s="522">
        <f t="shared" si="27"/>
        <v>0</v>
      </c>
      <c r="CK21" s="523">
        <f t="shared" si="139"/>
        <v>0</v>
      </c>
      <c r="CL21" s="521"/>
      <c r="CM21" s="522">
        <f t="shared" si="28"/>
        <v>0</v>
      </c>
      <c r="CN21" s="523">
        <f t="shared" si="140"/>
        <v>0</v>
      </c>
      <c r="CO21" s="521"/>
      <c r="CP21" s="522">
        <f t="shared" si="29"/>
        <v>0</v>
      </c>
      <c r="CQ21" s="523">
        <f t="shared" si="141"/>
        <v>0</v>
      </c>
      <c r="CR21" s="521"/>
      <c r="CS21" s="522">
        <f t="shared" si="30"/>
        <v>0</v>
      </c>
      <c r="CT21" s="523">
        <f t="shared" si="142"/>
        <v>0</v>
      </c>
      <c r="CU21" s="521"/>
      <c r="CV21" s="522">
        <f t="shared" si="31"/>
        <v>0</v>
      </c>
      <c r="CW21" s="523">
        <f t="shared" si="143"/>
        <v>0</v>
      </c>
      <c r="CX21" s="521"/>
      <c r="CY21" s="522">
        <f t="shared" si="32"/>
        <v>0</v>
      </c>
      <c r="CZ21" s="523">
        <f t="shared" si="144"/>
        <v>0</v>
      </c>
      <c r="DA21" s="521">
        <v>116.2790697674418</v>
      </c>
      <c r="DB21" s="522">
        <f t="shared" si="33"/>
        <v>2.9927951449680021</v>
      </c>
      <c r="DC21" s="523">
        <f t="shared" si="145"/>
        <v>0</v>
      </c>
      <c r="DD21" s="521"/>
      <c r="DE21" s="522">
        <f t="shared" si="34"/>
        <v>0</v>
      </c>
      <c r="DF21" s="523">
        <f t="shared" si="146"/>
        <v>0</v>
      </c>
      <c r="DG21" s="521"/>
      <c r="DH21" s="522">
        <f t="shared" si="35"/>
        <v>0</v>
      </c>
      <c r="DI21" s="523">
        <f t="shared" si="203"/>
        <v>0</v>
      </c>
      <c r="DJ21" s="521"/>
      <c r="DK21" s="522">
        <f t="shared" si="36"/>
        <v>0</v>
      </c>
      <c r="DL21" s="523">
        <f t="shared" si="147"/>
        <v>0</v>
      </c>
      <c r="DM21" s="521"/>
      <c r="DN21" s="522">
        <f t="shared" si="37"/>
        <v>0</v>
      </c>
      <c r="DO21" s="523">
        <f t="shared" si="148"/>
        <v>0</v>
      </c>
      <c r="DP21" s="521"/>
      <c r="DQ21" s="522">
        <f t="shared" si="38"/>
        <v>0</v>
      </c>
      <c r="DR21" s="523">
        <f t="shared" si="149"/>
        <v>0</v>
      </c>
      <c r="DS21" s="521"/>
      <c r="DT21" s="522">
        <f t="shared" si="39"/>
        <v>0</v>
      </c>
      <c r="DU21" s="523">
        <f t="shared" si="150"/>
        <v>0</v>
      </c>
      <c r="DV21" s="521"/>
      <c r="DW21" s="522">
        <f t="shared" si="40"/>
        <v>0</v>
      </c>
      <c r="DX21" s="523">
        <f t="shared" si="151"/>
        <v>0</v>
      </c>
      <c r="DY21" s="521"/>
      <c r="DZ21" s="522">
        <f t="shared" si="41"/>
        <v>0</v>
      </c>
      <c r="EA21" s="523">
        <f t="shared" si="152"/>
        <v>0</v>
      </c>
      <c r="EB21" s="521"/>
      <c r="EC21" s="522">
        <f t="shared" si="42"/>
        <v>0</v>
      </c>
      <c r="ED21" s="523">
        <f t="shared" si="153"/>
        <v>0</v>
      </c>
      <c r="EE21" s="521">
        <v>14.534883720930228</v>
      </c>
      <c r="EF21" s="522">
        <f t="shared" si="43"/>
        <v>0.37409939312100038</v>
      </c>
      <c r="EG21" s="523">
        <f t="shared" si="154"/>
        <v>0</v>
      </c>
      <c r="EH21" s="521">
        <v>4</v>
      </c>
      <c r="EI21" s="522">
        <f t="shared" si="44"/>
        <v>0.10295215298689933</v>
      </c>
      <c r="EJ21" s="523">
        <f t="shared" si="155"/>
        <v>0</v>
      </c>
      <c r="EK21" s="521">
        <v>36.585365853658573</v>
      </c>
      <c r="EL21" s="522">
        <f t="shared" si="45"/>
        <v>0.94163554561188512</v>
      </c>
      <c r="EM21" s="523">
        <f t="shared" si="156"/>
        <v>0</v>
      </c>
      <c r="EN21" s="521">
        <v>44.47674418604629</v>
      </c>
      <c r="EO21" s="522">
        <f t="shared" si="46"/>
        <v>1.1447441429502558</v>
      </c>
      <c r="EP21" s="523">
        <f t="shared" si="157"/>
        <v>0</v>
      </c>
      <c r="EQ21" s="521">
        <v>129.15294117647068</v>
      </c>
      <c r="ER21" s="522">
        <f t="shared" si="47"/>
        <v>3.324143339677005</v>
      </c>
      <c r="ES21" s="523">
        <f t="shared" si="158"/>
        <v>0</v>
      </c>
      <c r="ET21" s="521"/>
      <c r="EU21" s="522">
        <f t="shared" si="48"/>
        <v>0</v>
      </c>
      <c r="EV21" s="523">
        <f t="shared" si="159"/>
        <v>0</v>
      </c>
      <c r="EW21" s="521"/>
      <c r="EX21" s="522">
        <f t="shared" si="49"/>
        <v>0</v>
      </c>
      <c r="EY21" s="523">
        <f t="shared" si="160"/>
        <v>0</v>
      </c>
      <c r="EZ21" s="521"/>
      <c r="FA21" s="522">
        <f t="shared" si="50"/>
        <v>0</v>
      </c>
      <c r="FB21" s="523">
        <f t="shared" si="161"/>
        <v>0</v>
      </c>
      <c r="FC21" s="521"/>
      <c r="FD21" s="522">
        <f t="shared" si="51"/>
        <v>0</v>
      </c>
      <c r="FE21" s="523">
        <f t="shared" si="162"/>
        <v>0</v>
      </c>
      <c r="FF21" s="521"/>
      <c r="FG21" s="522">
        <f t="shared" si="52"/>
        <v>0</v>
      </c>
      <c r="FH21" s="523">
        <f t="shared" si="163"/>
        <v>0</v>
      </c>
      <c r="FI21" s="521"/>
      <c r="FJ21" s="522">
        <f t="shared" si="53"/>
        <v>0</v>
      </c>
      <c r="FK21" s="523">
        <f t="shared" si="164"/>
        <v>0</v>
      </c>
      <c r="FL21" s="521"/>
      <c r="FM21" s="522">
        <f t="shared" si="54"/>
        <v>0</v>
      </c>
      <c r="FN21" s="523">
        <f t="shared" si="165"/>
        <v>0</v>
      </c>
      <c r="FO21" s="521"/>
      <c r="FP21" s="522">
        <f t="shared" si="55"/>
        <v>0</v>
      </c>
      <c r="FQ21" s="523">
        <f t="shared" si="166"/>
        <v>0</v>
      </c>
      <c r="FR21" s="521"/>
      <c r="FS21" s="522">
        <f t="shared" si="56"/>
        <v>0</v>
      </c>
      <c r="FT21" s="523">
        <f t="shared" si="167"/>
        <v>0</v>
      </c>
      <c r="FU21" s="521"/>
      <c r="FV21" s="522">
        <f t="shared" si="57"/>
        <v>0</v>
      </c>
      <c r="FW21" s="523">
        <f t="shared" si="168"/>
        <v>0</v>
      </c>
      <c r="FX21" s="521"/>
      <c r="FY21" s="522">
        <f t="shared" si="58"/>
        <v>0</v>
      </c>
      <c r="FZ21" s="523">
        <f t="shared" si="169"/>
        <v>0</v>
      </c>
      <c r="GA21" s="521"/>
      <c r="GB21" s="522">
        <f t="shared" si="59"/>
        <v>0</v>
      </c>
      <c r="GC21" s="523">
        <f t="shared" si="170"/>
        <v>0</v>
      </c>
      <c r="GD21" s="521"/>
      <c r="GE21" s="522">
        <f t="shared" si="60"/>
        <v>0</v>
      </c>
      <c r="GF21" s="523">
        <f t="shared" si="171"/>
        <v>0</v>
      </c>
      <c r="GG21" s="521"/>
      <c r="GH21" s="522">
        <f t="shared" si="61"/>
        <v>0</v>
      </c>
      <c r="GI21" s="523">
        <f t="shared" si="172"/>
        <v>0</v>
      </c>
      <c r="GJ21" s="521"/>
      <c r="GK21" s="522">
        <f t="shared" si="62"/>
        <v>0</v>
      </c>
      <c r="GL21" s="523">
        <f t="shared" si="173"/>
        <v>0</v>
      </c>
      <c r="GM21" s="521"/>
      <c r="GN21" s="522">
        <f t="shared" si="63"/>
        <v>0</v>
      </c>
      <c r="GO21" s="523">
        <f t="shared" si="174"/>
        <v>0</v>
      </c>
      <c r="GP21" s="521"/>
      <c r="GQ21" s="522">
        <f t="shared" si="64"/>
        <v>0</v>
      </c>
      <c r="GR21" s="523">
        <f t="shared" si="175"/>
        <v>0</v>
      </c>
      <c r="GS21" s="521"/>
      <c r="GT21" s="522">
        <f t="shared" si="65"/>
        <v>0</v>
      </c>
      <c r="GU21" s="523">
        <f t="shared" si="176"/>
        <v>0</v>
      </c>
      <c r="GV21" s="521"/>
      <c r="GW21" s="522">
        <f t="shared" si="66"/>
        <v>0</v>
      </c>
      <c r="GX21" s="523">
        <f t="shared" si="177"/>
        <v>0</v>
      </c>
      <c r="GY21" s="521"/>
      <c r="GZ21" s="522">
        <f t="shared" si="67"/>
        <v>0</v>
      </c>
      <c r="HA21" s="523">
        <f t="shared" si="178"/>
        <v>0</v>
      </c>
      <c r="HB21" s="521"/>
      <c r="HC21" s="522">
        <f t="shared" si="68"/>
        <v>0</v>
      </c>
      <c r="HD21" s="523">
        <f t="shared" si="179"/>
        <v>0</v>
      </c>
      <c r="HE21" s="521"/>
      <c r="HF21" s="522">
        <f t="shared" si="69"/>
        <v>0</v>
      </c>
      <c r="HG21" s="523">
        <f t="shared" si="180"/>
        <v>0</v>
      </c>
      <c r="HH21" s="521"/>
      <c r="HI21" s="522">
        <f t="shared" si="70"/>
        <v>0</v>
      </c>
      <c r="HJ21" s="523">
        <f t="shared" si="181"/>
        <v>0</v>
      </c>
      <c r="HK21" s="521"/>
      <c r="HL21" s="522">
        <f t="shared" si="71"/>
        <v>0</v>
      </c>
      <c r="HM21" s="523">
        <f t="shared" si="182"/>
        <v>0</v>
      </c>
      <c r="HN21" s="521"/>
      <c r="HO21" s="522">
        <f t="shared" si="72"/>
        <v>0</v>
      </c>
      <c r="HP21" s="523">
        <f t="shared" si="183"/>
        <v>0</v>
      </c>
      <c r="HQ21" s="521"/>
      <c r="HR21" s="522">
        <f t="shared" si="73"/>
        <v>0</v>
      </c>
      <c r="HS21" s="523">
        <f t="shared" si="184"/>
        <v>0</v>
      </c>
      <c r="HT21" s="521"/>
      <c r="HU21" s="522">
        <f t="shared" si="74"/>
        <v>0</v>
      </c>
      <c r="HV21" s="523">
        <f t="shared" si="185"/>
        <v>0</v>
      </c>
      <c r="HW21" s="521"/>
      <c r="HX21" s="522">
        <f t="shared" si="75"/>
        <v>0</v>
      </c>
      <c r="HY21" s="523">
        <f t="shared" si="186"/>
        <v>0</v>
      </c>
      <c r="HZ21" s="521"/>
      <c r="IA21" s="522">
        <f t="shared" si="76"/>
        <v>0</v>
      </c>
      <c r="IB21" s="523">
        <f t="shared" si="187"/>
        <v>0</v>
      </c>
      <c r="IC21" s="521"/>
      <c r="ID21" s="522">
        <f t="shared" si="77"/>
        <v>0</v>
      </c>
      <c r="IE21" s="523">
        <f t="shared" si="188"/>
        <v>0</v>
      </c>
      <c r="IF21" s="521"/>
      <c r="IG21" s="522">
        <f t="shared" si="78"/>
        <v>0</v>
      </c>
      <c r="IH21" s="523">
        <f t="shared" si="189"/>
        <v>0</v>
      </c>
      <c r="II21" s="521"/>
      <c r="IJ21" s="522">
        <f t="shared" si="79"/>
        <v>0</v>
      </c>
      <c r="IK21" s="523">
        <f t="shared" si="190"/>
        <v>0</v>
      </c>
      <c r="IL21" s="521"/>
      <c r="IM21" s="522">
        <f t="shared" si="80"/>
        <v>0</v>
      </c>
      <c r="IN21" s="523">
        <f t="shared" si="191"/>
        <v>0</v>
      </c>
      <c r="IO21" s="521"/>
      <c r="IP21" s="522">
        <f t="shared" si="81"/>
        <v>0</v>
      </c>
      <c r="IQ21" s="523">
        <f t="shared" si="192"/>
        <v>0</v>
      </c>
      <c r="IR21" s="521"/>
      <c r="IS21" s="522">
        <f t="shared" si="82"/>
        <v>0</v>
      </c>
      <c r="IT21" s="523">
        <f t="shared" si="193"/>
        <v>0</v>
      </c>
      <c r="IU21" s="521"/>
      <c r="IV21" s="522">
        <f t="shared" si="83"/>
        <v>0</v>
      </c>
      <c r="IW21" s="523">
        <f t="shared" si="194"/>
        <v>0</v>
      </c>
      <c r="IX21" s="521"/>
      <c r="IY21" s="522">
        <f t="shared" si="84"/>
        <v>0</v>
      </c>
      <c r="IZ21" s="523">
        <f t="shared" si="195"/>
        <v>0</v>
      </c>
      <c r="JA21" s="521"/>
      <c r="JB21" s="522">
        <f t="shared" si="85"/>
        <v>0</v>
      </c>
      <c r="JC21" s="523">
        <f t="shared" si="196"/>
        <v>0</v>
      </c>
      <c r="JD21" s="521"/>
      <c r="JE21" s="522">
        <f t="shared" si="86"/>
        <v>0</v>
      </c>
      <c r="JF21" s="523">
        <f t="shared" si="197"/>
        <v>0</v>
      </c>
      <c r="JG21" s="521"/>
      <c r="JH21" s="522">
        <f t="shared" si="87"/>
        <v>0</v>
      </c>
      <c r="JI21" s="523">
        <f t="shared" si="198"/>
        <v>0</v>
      </c>
      <c r="JJ21" s="521"/>
      <c r="JK21" s="523" t="str">
        <f t="shared" si="88"/>
        <v>0</v>
      </c>
      <c r="JL21" s="523" t="str">
        <f t="shared" si="89"/>
        <v>0</v>
      </c>
      <c r="JM21" s="521"/>
      <c r="JN21" s="523" t="str">
        <f t="shared" si="90"/>
        <v>0</v>
      </c>
      <c r="JO21" s="523" t="str">
        <f t="shared" si="91"/>
        <v>0</v>
      </c>
      <c r="JP21" s="521"/>
      <c r="JQ21" s="523" t="str">
        <f t="shared" si="92"/>
        <v>0</v>
      </c>
      <c r="JR21" s="523" t="str">
        <f t="shared" si="93"/>
        <v>0</v>
      </c>
      <c r="JS21" s="521"/>
      <c r="JT21" s="523" t="str">
        <f t="shared" si="94"/>
        <v>0</v>
      </c>
      <c r="JU21" s="523" t="str">
        <f t="shared" si="95"/>
        <v>0</v>
      </c>
      <c r="JV21" s="521"/>
      <c r="JW21" s="523" t="str">
        <f t="shared" si="96"/>
        <v>0</v>
      </c>
      <c r="JX21" s="523" t="str">
        <f t="shared" si="97"/>
        <v>0</v>
      </c>
      <c r="JY21" s="521"/>
      <c r="JZ21" s="523" t="str">
        <f t="shared" si="98"/>
        <v>0</v>
      </c>
      <c r="KA21" s="523" t="str">
        <f t="shared" si="99"/>
        <v>0</v>
      </c>
      <c r="KB21" s="521"/>
      <c r="KC21" s="523" t="str">
        <f t="shared" si="100"/>
        <v>0</v>
      </c>
      <c r="KD21" s="523" t="str">
        <f t="shared" si="101"/>
        <v>0</v>
      </c>
      <c r="KE21" s="521"/>
      <c r="KF21" s="523" t="str">
        <f t="shared" si="102"/>
        <v>0</v>
      </c>
      <c r="KG21" s="523" t="str">
        <f t="shared" si="103"/>
        <v>0</v>
      </c>
      <c r="KH21" s="521"/>
      <c r="KI21" s="523" t="str">
        <f t="shared" si="104"/>
        <v>0</v>
      </c>
      <c r="KJ21" s="523" t="str">
        <f t="shared" si="105"/>
        <v>0</v>
      </c>
      <c r="KK21" s="521"/>
      <c r="KL21" s="523" t="str">
        <f t="shared" si="106"/>
        <v>0</v>
      </c>
      <c r="KM21" s="523" t="str">
        <f t="shared" si="107"/>
        <v>0</v>
      </c>
      <c r="KN21" s="521"/>
      <c r="KO21" s="523" t="str">
        <f t="shared" si="108"/>
        <v>0</v>
      </c>
      <c r="KP21" s="523" t="str">
        <f t="shared" si="109"/>
        <v>0</v>
      </c>
      <c r="KQ21" s="521"/>
      <c r="KR21" s="523" t="str">
        <f t="shared" si="110"/>
        <v>0</v>
      </c>
      <c r="KS21" s="523" t="str">
        <f t="shared" si="111"/>
        <v>0</v>
      </c>
      <c r="KT21" s="523">
        <f t="shared" si="201"/>
        <v>0</v>
      </c>
      <c r="KU21" s="523">
        <f t="shared" si="202"/>
        <v>0</v>
      </c>
      <c r="KV21" s="261">
        <f t="shared" si="199"/>
        <v>382.71887812226907</v>
      </c>
    </row>
    <row r="22" spans="1:308">
      <c r="A22" s="262">
        <f t="shared" si="200"/>
        <v>46095</v>
      </c>
      <c r="B22" s="263" t="str">
        <f>+Report1!B22</f>
        <v>Toilet</v>
      </c>
      <c r="C22" s="263" t="str">
        <f>+Report1!C22</f>
        <v>12,5/13</v>
      </c>
      <c r="D22" s="264">
        <f>+Report1!P22</f>
        <v>40.817</v>
      </c>
      <c r="E22" s="556">
        <f>+Report1!R22</f>
        <v>40.228999999999999</v>
      </c>
      <c r="F22" s="521"/>
      <c r="G22" s="522">
        <f t="shared" si="0"/>
        <v>0</v>
      </c>
      <c r="H22" s="523">
        <f t="shared" si="112"/>
        <v>0</v>
      </c>
      <c r="I22" s="521"/>
      <c r="J22" s="522">
        <f t="shared" si="1"/>
        <v>0</v>
      </c>
      <c r="K22" s="523">
        <f t="shared" si="113"/>
        <v>0</v>
      </c>
      <c r="L22" s="521"/>
      <c r="M22" s="522">
        <f t="shared" si="2"/>
        <v>0</v>
      </c>
      <c r="N22" s="523">
        <f t="shared" si="114"/>
        <v>0</v>
      </c>
      <c r="O22" s="521">
        <v>6</v>
      </c>
      <c r="P22" s="522">
        <f t="shared" si="3"/>
        <v>0.14914613835790103</v>
      </c>
      <c r="Q22" s="523">
        <f t="shared" si="115"/>
        <v>0</v>
      </c>
      <c r="R22" s="521"/>
      <c r="S22" s="522">
        <f t="shared" si="4"/>
        <v>0</v>
      </c>
      <c r="T22" s="523">
        <f t="shared" si="116"/>
        <v>0</v>
      </c>
      <c r="U22" s="521">
        <v>7.6875</v>
      </c>
      <c r="V22" s="522">
        <f t="shared" si="5"/>
        <v>0.19109348977106069</v>
      </c>
      <c r="W22" s="523">
        <f t="shared" si="117"/>
        <v>0</v>
      </c>
      <c r="X22" s="521"/>
      <c r="Y22" s="522">
        <f t="shared" si="6"/>
        <v>0</v>
      </c>
      <c r="Z22" s="523">
        <f t="shared" si="118"/>
        <v>0</v>
      </c>
      <c r="AA22" s="521">
        <v>6.25</v>
      </c>
      <c r="AB22" s="522">
        <f t="shared" si="7"/>
        <v>0.15536056078948024</v>
      </c>
      <c r="AC22" s="523">
        <f t="shared" si="119"/>
        <v>0</v>
      </c>
      <c r="AD22" s="521"/>
      <c r="AE22" s="522">
        <f t="shared" si="8"/>
        <v>0</v>
      </c>
      <c r="AF22" s="523">
        <f t="shared" si="120"/>
        <v>0</v>
      </c>
      <c r="AG22" s="521"/>
      <c r="AH22" s="522">
        <f t="shared" si="9"/>
        <v>0</v>
      </c>
      <c r="AI22" s="523">
        <f t="shared" si="121"/>
        <v>0</v>
      </c>
      <c r="AJ22" s="521"/>
      <c r="AK22" s="522">
        <f t="shared" si="10"/>
        <v>0</v>
      </c>
      <c r="AL22" s="523">
        <f t="shared" si="122"/>
        <v>0</v>
      </c>
      <c r="AM22" s="521"/>
      <c r="AN22" s="522">
        <f t="shared" si="11"/>
        <v>0</v>
      </c>
      <c r="AO22" s="523">
        <f t="shared" si="123"/>
        <v>0</v>
      </c>
      <c r="AP22" s="521"/>
      <c r="AQ22" s="522">
        <f t="shared" si="12"/>
        <v>0</v>
      </c>
      <c r="AR22" s="523">
        <f t="shared" si="124"/>
        <v>0</v>
      </c>
      <c r="AS22" s="521"/>
      <c r="AT22" s="522">
        <f t="shared" si="13"/>
        <v>0</v>
      </c>
      <c r="AU22" s="523">
        <f t="shared" si="125"/>
        <v>0</v>
      </c>
      <c r="AV22" s="521"/>
      <c r="AW22" s="522">
        <f t="shared" si="14"/>
        <v>0</v>
      </c>
      <c r="AX22" s="523">
        <f t="shared" si="126"/>
        <v>0</v>
      </c>
      <c r="AY22" s="521"/>
      <c r="AZ22" s="522">
        <f t="shared" si="15"/>
        <v>0</v>
      </c>
      <c r="BA22" s="523">
        <f t="shared" si="127"/>
        <v>0</v>
      </c>
      <c r="BB22" s="521"/>
      <c r="BC22" s="522">
        <f t="shared" si="16"/>
        <v>0</v>
      </c>
      <c r="BD22" s="523">
        <f t="shared" si="128"/>
        <v>0</v>
      </c>
      <c r="BE22" s="521"/>
      <c r="BF22" s="522">
        <f t="shared" si="17"/>
        <v>0</v>
      </c>
      <c r="BG22" s="523">
        <f t="shared" si="129"/>
        <v>0</v>
      </c>
      <c r="BH22" s="521"/>
      <c r="BI22" s="522">
        <f t="shared" si="18"/>
        <v>0</v>
      </c>
      <c r="BJ22" s="523">
        <f t="shared" si="130"/>
        <v>0</v>
      </c>
      <c r="BK22" s="521"/>
      <c r="BL22" s="522">
        <f t="shared" si="19"/>
        <v>0</v>
      </c>
      <c r="BM22" s="523">
        <f t="shared" si="131"/>
        <v>0</v>
      </c>
      <c r="BN22" s="521"/>
      <c r="BO22" s="522">
        <f t="shared" si="20"/>
        <v>0</v>
      </c>
      <c r="BP22" s="523">
        <f t="shared" si="132"/>
        <v>0</v>
      </c>
      <c r="BQ22" s="521"/>
      <c r="BR22" s="522">
        <f t="shared" si="21"/>
        <v>0</v>
      </c>
      <c r="BS22" s="523">
        <f t="shared" si="133"/>
        <v>0</v>
      </c>
      <c r="BT22" s="521"/>
      <c r="BU22" s="522">
        <f t="shared" si="22"/>
        <v>0</v>
      </c>
      <c r="BV22" s="523">
        <f t="shared" si="134"/>
        <v>0</v>
      </c>
      <c r="BW22" s="521"/>
      <c r="BX22" s="522">
        <f t="shared" si="23"/>
        <v>0</v>
      </c>
      <c r="BY22" s="523">
        <f t="shared" si="135"/>
        <v>0</v>
      </c>
      <c r="BZ22" s="521"/>
      <c r="CA22" s="522">
        <f t="shared" si="24"/>
        <v>0</v>
      </c>
      <c r="CB22" s="523">
        <f t="shared" si="136"/>
        <v>0</v>
      </c>
      <c r="CC22" s="521"/>
      <c r="CD22" s="522">
        <f t="shared" si="25"/>
        <v>0</v>
      </c>
      <c r="CE22" s="523">
        <f t="shared" si="137"/>
        <v>0</v>
      </c>
      <c r="CF22" s="521">
        <v>1.5</v>
      </c>
      <c r="CG22" s="522">
        <f t="shared" si="26"/>
        <v>3.7286534589475256E-2</v>
      </c>
      <c r="CH22" s="523">
        <f t="shared" si="138"/>
        <v>0</v>
      </c>
      <c r="CI22" s="521"/>
      <c r="CJ22" s="522">
        <f t="shared" si="27"/>
        <v>0</v>
      </c>
      <c r="CK22" s="523">
        <f t="shared" si="139"/>
        <v>0</v>
      </c>
      <c r="CL22" s="521"/>
      <c r="CM22" s="522">
        <f t="shared" si="28"/>
        <v>0</v>
      </c>
      <c r="CN22" s="523">
        <f t="shared" si="140"/>
        <v>0</v>
      </c>
      <c r="CO22" s="521"/>
      <c r="CP22" s="522">
        <f t="shared" si="29"/>
        <v>0</v>
      </c>
      <c r="CQ22" s="523">
        <f t="shared" si="141"/>
        <v>0</v>
      </c>
      <c r="CR22" s="521"/>
      <c r="CS22" s="522">
        <f t="shared" si="30"/>
        <v>0</v>
      </c>
      <c r="CT22" s="523">
        <f t="shared" si="142"/>
        <v>0</v>
      </c>
      <c r="CU22" s="521"/>
      <c r="CV22" s="522">
        <f t="shared" si="31"/>
        <v>0</v>
      </c>
      <c r="CW22" s="523">
        <f t="shared" si="143"/>
        <v>0</v>
      </c>
      <c r="CX22" s="521"/>
      <c r="CY22" s="522">
        <f t="shared" si="32"/>
        <v>0</v>
      </c>
      <c r="CZ22" s="523">
        <f t="shared" si="144"/>
        <v>0</v>
      </c>
      <c r="DA22" s="521">
        <v>101.74418604651163</v>
      </c>
      <c r="DB22" s="522">
        <f t="shared" si="33"/>
        <v>2.5291254082008408</v>
      </c>
      <c r="DC22" s="523">
        <f t="shared" si="145"/>
        <v>0</v>
      </c>
      <c r="DD22" s="521"/>
      <c r="DE22" s="522">
        <f t="shared" si="34"/>
        <v>0</v>
      </c>
      <c r="DF22" s="523">
        <f t="shared" si="146"/>
        <v>0</v>
      </c>
      <c r="DG22" s="521"/>
      <c r="DH22" s="522">
        <f t="shared" si="35"/>
        <v>0</v>
      </c>
      <c r="DI22" s="523">
        <f t="shared" si="203"/>
        <v>0</v>
      </c>
      <c r="DJ22" s="521"/>
      <c r="DK22" s="522">
        <f t="shared" si="36"/>
        <v>0</v>
      </c>
      <c r="DL22" s="523">
        <f t="shared" si="147"/>
        <v>0</v>
      </c>
      <c r="DM22" s="521"/>
      <c r="DN22" s="522">
        <f t="shared" si="37"/>
        <v>0</v>
      </c>
      <c r="DO22" s="523">
        <f t="shared" si="148"/>
        <v>0</v>
      </c>
      <c r="DP22" s="521"/>
      <c r="DQ22" s="522">
        <f t="shared" si="38"/>
        <v>0</v>
      </c>
      <c r="DR22" s="523">
        <f t="shared" si="149"/>
        <v>0</v>
      </c>
      <c r="DS22" s="521"/>
      <c r="DT22" s="522">
        <f t="shared" si="39"/>
        <v>0</v>
      </c>
      <c r="DU22" s="523">
        <f t="shared" si="150"/>
        <v>0</v>
      </c>
      <c r="DV22" s="521"/>
      <c r="DW22" s="522">
        <f t="shared" si="40"/>
        <v>0</v>
      </c>
      <c r="DX22" s="523">
        <f t="shared" si="151"/>
        <v>0</v>
      </c>
      <c r="DY22" s="521"/>
      <c r="DZ22" s="522">
        <f t="shared" si="41"/>
        <v>0</v>
      </c>
      <c r="EA22" s="523">
        <f t="shared" si="152"/>
        <v>0</v>
      </c>
      <c r="EB22" s="521"/>
      <c r="EC22" s="522">
        <f t="shared" si="42"/>
        <v>0</v>
      </c>
      <c r="ED22" s="523">
        <f t="shared" si="153"/>
        <v>0</v>
      </c>
      <c r="EE22" s="521">
        <v>14.534883720930234</v>
      </c>
      <c r="EF22" s="522">
        <f t="shared" si="43"/>
        <v>0.36130362974297731</v>
      </c>
      <c r="EG22" s="523">
        <f t="shared" si="154"/>
        <v>0</v>
      </c>
      <c r="EH22" s="521">
        <v>4</v>
      </c>
      <c r="EI22" s="522">
        <f t="shared" si="44"/>
        <v>9.9430758905267341E-2</v>
      </c>
      <c r="EJ22" s="523">
        <f t="shared" si="155"/>
        <v>0</v>
      </c>
      <c r="EK22" s="521">
        <v>42.682926829268268</v>
      </c>
      <c r="EL22" s="522">
        <f t="shared" si="45"/>
        <v>1.0609989517330352</v>
      </c>
      <c r="EM22" s="523">
        <f t="shared" si="156"/>
        <v>0</v>
      </c>
      <c r="EN22" s="521">
        <v>34.593023255814046</v>
      </c>
      <c r="EO22" s="522">
        <f t="shared" si="46"/>
        <v>0.85990263878828821</v>
      </c>
      <c r="EP22" s="523">
        <f t="shared" si="157"/>
        <v>0</v>
      </c>
      <c r="EQ22" s="521">
        <v>23.482352941176487</v>
      </c>
      <c r="ER22" s="522">
        <f t="shared" si="47"/>
        <v>0.58371704345562869</v>
      </c>
      <c r="ES22" s="523">
        <f t="shared" si="158"/>
        <v>0</v>
      </c>
      <c r="ET22" s="521"/>
      <c r="EU22" s="522">
        <f t="shared" si="48"/>
        <v>0</v>
      </c>
      <c r="EV22" s="523">
        <f t="shared" si="159"/>
        <v>0</v>
      </c>
      <c r="EW22" s="521"/>
      <c r="EX22" s="522">
        <f t="shared" si="49"/>
        <v>0</v>
      </c>
      <c r="EY22" s="523">
        <f t="shared" si="160"/>
        <v>0</v>
      </c>
      <c r="EZ22" s="521"/>
      <c r="FA22" s="522">
        <f t="shared" si="50"/>
        <v>0</v>
      </c>
      <c r="FB22" s="523">
        <f t="shared" si="161"/>
        <v>0</v>
      </c>
      <c r="FC22" s="521"/>
      <c r="FD22" s="522">
        <f t="shared" si="51"/>
        <v>0</v>
      </c>
      <c r="FE22" s="523">
        <f t="shared" si="162"/>
        <v>0</v>
      </c>
      <c r="FF22" s="521"/>
      <c r="FG22" s="522">
        <f t="shared" si="52"/>
        <v>0</v>
      </c>
      <c r="FH22" s="523">
        <f t="shared" si="163"/>
        <v>0</v>
      </c>
      <c r="FI22" s="521"/>
      <c r="FJ22" s="522">
        <f t="shared" si="53"/>
        <v>0</v>
      </c>
      <c r="FK22" s="523">
        <f t="shared" si="164"/>
        <v>0</v>
      </c>
      <c r="FL22" s="521"/>
      <c r="FM22" s="522">
        <f t="shared" si="54"/>
        <v>0</v>
      </c>
      <c r="FN22" s="523">
        <f t="shared" si="165"/>
        <v>0</v>
      </c>
      <c r="FO22" s="521"/>
      <c r="FP22" s="522">
        <f t="shared" si="55"/>
        <v>0</v>
      </c>
      <c r="FQ22" s="523">
        <f t="shared" si="166"/>
        <v>0</v>
      </c>
      <c r="FR22" s="521"/>
      <c r="FS22" s="522">
        <f t="shared" si="56"/>
        <v>0</v>
      </c>
      <c r="FT22" s="523">
        <f t="shared" si="167"/>
        <v>0</v>
      </c>
      <c r="FU22" s="521"/>
      <c r="FV22" s="522">
        <f t="shared" si="57"/>
        <v>0</v>
      </c>
      <c r="FW22" s="523">
        <f t="shared" si="168"/>
        <v>0</v>
      </c>
      <c r="FX22" s="521"/>
      <c r="FY22" s="522">
        <f t="shared" si="58"/>
        <v>0</v>
      </c>
      <c r="FZ22" s="523">
        <f t="shared" si="169"/>
        <v>0</v>
      </c>
      <c r="GA22" s="521"/>
      <c r="GB22" s="522">
        <f t="shared" si="59"/>
        <v>0</v>
      </c>
      <c r="GC22" s="523">
        <f t="shared" si="170"/>
        <v>0</v>
      </c>
      <c r="GD22" s="521"/>
      <c r="GE22" s="522">
        <f t="shared" si="60"/>
        <v>0</v>
      </c>
      <c r="GF22" s="523">
        <f t="shared" si="171"/>
        <v>0</v>
      </c>
      <c r="GG22" s="521"/>
      <c r="GH22" s="522">
        <f t="shared" si="61"/>
        <v>0</v>
      </c>
      <c r="GI22" s="523">
        <f t="shared" si="172"/>
        <v>0</v>
      </c>
      <c r="GJ22" s="521"/>
      <c r="GK22" s="522">
        <f t="shared" si="62"/>
        <v>0</v>
      </c>
      <c r="GL22" s="523">
        <f t="shared" si="173"/>
        <v>0</v>
      </c>
      <c r="GM22" s="521"/>
      <c r="GN22" s="522">
        <f t="shared" si="63"/>
        <v>0</v>
      </c>
      <c r="GO22" s="523">
        <f t="shared" si="174"/>
        <v>0</v>
      </c>
      <c r="GP22" s="521"/>
      <c r="GQ22" s="522">
        <f t="shared" si="64"/>
        <v>0</v>
      </c>
      <c r="GR22" s="523">
        <f t="shared" si="175"/>
        <v>0</v>
      </c>
      <c r="GS22" s="521"/>
      <c r="GT22" s="522">
        <f t="shared" si="65"/>
        <v>0</v>
      </c>
      <c r="GU22" s="523">
        <f t="shared" si="176"/>
        <v>0</v>
      </c>
      <c r="GV22" s="521"/>
      <c r="GW22" s="522">
        <f t="shared" si="66"/>
        <v>0</v>
      </c>
      <c r="GX22" s="523">
        <f t="shared" si="177"/>
        <v>0</v>
      </c>
      <c r="GY22" s="521"/>
      <c r="GZ22" s="522">
        <f t="shared" si="67"/>
        <v>0</v>
      </c>
      <c r="HA22" s="523">
        <f t="shared" si="178"/>
        <v>0</v>
      </c>
      <c r="HB22" s="521"/>
      <c r="HC22" s="522">
        <f t="shared" si="68"/>
        <v>0</v>
      </c>
      <c r="HD22" s="523">
        <f t="shared" si="179"/>
        <v>0</v>
      </c>
      <c r="HE22" s="521"/>
      <c r="HF22" s="522">
        <f t="shared" si="69"/>
        <v>0</v>
      </c>
      <c r="HG22" s="523">
        <f t="shared" si="180"/>
        <v>0</v>
      </c>
      <c r="HH22" s="521"/>
      <c r="HI22" s="522">
        <f t="shared" si="70"/>
        <v>0</v>
      </c>
      <c r="HJ22" s="523">
        <f t="shared" si="181"/>
        <v>0</v>
      </c>
      <c r="HK22" s="521"/>
      <c r="HL22" s="522">
        <f t="shared" si="71"/>
        <v>0</v>
      </c>
      <c r="HM22" s="523">
        <f t="shared" si="182"/>
        <v>0</v>
      </c>
      <c r="HN22" s="521"/>
      <c r="HO22" s="522">
        <f t="shared" si="72"/>
        <v>0</v>
      </c>
      <c r="HP22" s="523">
        <f t="shared" si="183"/>
        <v>0</v>
      </c>
      <c r="HQ22" s="521"/>
      <c r="HR22" s="522">
        <f t="shared" si="73"/>
        <v>0</v>
      </c>
      <c r="HS22" s="523">
        <f t="shared" si="184"/>
        <v>0</v>
      </c>
      <c r="HT22" s="521"/>
      <c r="HU22" s="522">
        <f t="shared" si="74"/>
        <v>0</v>
      </c>
      <c r="HV22" s="523">
        <f t="shared" si="185"/>
        <v>0</v>
      </c>
      <c r="HW22" s="521"/>
      <c r="HX22" s="522">
        <f t="shared" si="75"/>
        <v>0</v>
      </c>
      <c r="HY22" s="523">
        <f t="shared" si="186"/>
        <v>0</v>
      </c>
      <c r="HZ22" s="521"/>
      <c r="IA22" s="522">
        <f t="shared" si="76"/>
        <v>0</v>
      </c>
      <c r="IB22" s="523">
        <f t="shared" si="187"/>
        <v>0</v>
      </c>
      <c r="IC22" s="521"/>
      <c r="ID22" s="522">
        <f t="shared" si="77"/>
        <v>0</v>
      </c>
      <c r="IE22" s="523">
        <f t="shared" si="188"/>
        <v>0</v>
      </c>
      <c r="IF22" s="521"/>
      <c r="IG22" s="522">
        <f t="shared" si="78"/>
        <v>0</v>
      </c>
      <c r="IH22" s="523">
        <f t="shared" si="189"/>
        <v>0</v>
      </c>
      <c r="II22" s="521"/>
      <c r="IJ22" s="522">
        <f t="shared" si="79"/>
        <v>0</v>
      </c>
      <c r="IK22" s="523">
        <f t="shared" si="190"/>
        <v>0</v>
      </c>
      <c r="IL22" s="521"/>
      <c r="IM22" s="522">
        <f t="shared" si="80"/>
        <v>0</v>
      </c>
      <c r="IN22" s="523">
        <f t="shared" si="191"/>
        <v>0</v>
      </c>
      <c r="IO22" s="521"/>
      <c r="IP22" s="522">
        <f t="shared" si="81"/>
        <v>0</v>
      </c>
      <c r="IQ22" s="523">
        <f t="shared" si="192"/>
        <v>0</v>
      </c>
      <c r="IR22" s="521"/>
      <c r="IS22" s="522">
        <f t="shared" si="82"/>
        <v>0</v>
      </c>
      <c r="IT22" s="523">
        <f t="shared" si="193"/>
        <v>0</v>
      </c>
      <c r="IU22" s="521"/>
      <c r="IV22" s="522">
        <f t="shared" si="83"/>
        <v>0</v>
      </c>
      <c r="IW22" s="523">
        <f t="shared" si="194"/>
        <v>0</v>
      </c>
      <c r="IX22" s="521"/>
      <c r="IY22" s="522">
        <f t="shared" si="84"/>
        <v>0</v>
      </c>
      <c r="IZ22" s="523">
        <f t="shared" si="195"/>
        <v>0</v>
      </c>
      <c r="JA22" s="521"/>
      <c r="JB22" s="522">
        <f t="shared" si="85"/>
        <v>0</v>
      </c>
      <c r="JC22" s="523">
        <f t="shared" si="196"/>
        <v>0</v>
      </c>
      <c r="JD22" s="521"/>
      <c r="JE22" s="522">
        <f t="shared" si="86"/>
        <v>0</v>
      </c>
      <c r="JF22" s="523">
        <f t="shared" si="197"/>
        <v>0</v>
      </c>
      <c r="JG22" s="521"/>
      <c r="JH22" s="522">
        <f t="shared" si="87"/>
        <v>0</v>
      </c>
      <c r="JI22" s="523">
        <f t="shared" si="198"/>
        <v>0</v>
      </c>
      <c r="JJ22" s="521"/>
      <c r="JK22" s="523" t="str">
        <f t="shared" si="88"/>
        <v>0</v>
      </c>
      <c r="JL22" s="523" t="str">
        <f t="shared" si="89"/>
        <v>0</v>
      </c>
      <c r="JM22" s="521"/>
      <c r="JN22" s="523" t="str">
        <f t="shared" si="90"/>
        <v>0</v>
      </c>
      <c r="JO22" s="523" t="str">
        <f t="shared" si="91"/>
        <v>0</v>
      </c>
      <c r="JP22" s="521"/>
      <c r="JQ22" s="523" t="str">
        <f t="shared" si="92"/>
        <v>0</v>
      </c>
      <c r="JR22" s="523" t="str">
        <f t="shared" si="93"/>
        <v>0</v>
      </c>
      <c r="JS22" s="521"/>
      <c r="JT22" s="523" t="str">
        <f t="shared" si="94"/>
        <v>0</v>
      </c>
      <c r="JU22" s="523" t="str">
        <f t="shared" si="95"/>
        <v>0</v>
      </c>
      <c r="JV22" s="521"/>
      <c r="JW22" s="523" t="str">
        <f t="shared" si="96"/>
        <v>0</v>
      </c>
      <c r="JX22" s="523" t="str">
        <f t="shared" si="97"/>
        <v>0</v>
      </c>
      <c r="JY22" s="521"/>
      <c r="JZ22" s="523" t="str">
        <f t="shared" si="98"/>
        <v>0</v>
      </c>
      <c r="KA22" s="523" t="str">
        <f t="shared" si="99"/>
        <v>0</v>
      </c>
      <c r="KB22" s="521"/>
      <c r="KC22" s="523" t="str">
        <f t="shared" si="100"/>
        <v>0</v>
      </c>
      <c r="KD22" s="523" t="str">
        <f t="shared" si="101"/>
        <v>0</v>
      </c>
      <c r="KE22" s="521"/>
      <c r="KF22" s="523" t="str">
        <f t="shared" si="102"/>
        <v>0</v>
      </c>
      <c r="KG22" s="523" t="str">
        <f t="shared" si="103"/>
        <v>0</v>
      </c>
      <c r="KH22" s="521"/>
      <c r="KI22" s="523" t="str">
        <f t="shared" si="104"/>
        <v>0</v>
      </c>
      <c r="KJ22" s="523" t="str">
        <f t="shared" si="105"/>
        <v>0</v>
      </c>
      <c r="KK22" s="521"/>
      <c r="KL22" s="523" t="str">
        <f t="shared" si="106"/>
        <v>0</v>
      </c>
      <c r="KM22" s="523" t="str">
        <f t="shared" si="107"/>
        <v>0</v>
      </c>
      <c r="KN22" s="521"/>
      <c r="KO22" s="523" t="str">
        <f t="shared" si="108"/>
        <v>0</v>
      </c>
      <c r="KP22" s="523" t="str">
        <f t="shared" si="109"/>
        <v>0</v>
      </c>
      <c r="KQ22" s="521"/>
      <c r="KR22" s="523" t="str">
        <f t="shared" si="110"/>
        <v>0</v>
      </c>
      <c r="KS22" s="523" t="str">
        <f t="shared" si="111"/>
        <v>0</v>
      </c>
      <c r="KT22" s="523">
        <f t="shared" si="201"/>
        <v>0</v>
      </c>
      <c r="KU22" s="523">
        <f t="shared" si="202"/>
        <v>0</v>
      </c>
      <c r="KV22" s="261">
        <f t="shared" si="199"/>
        <v>242.47487279370065</v>
      </c>
    </row>
    <row r="23" spans="1:308">
      <c r="A23" s="262">
        <f t="shared" si="200"/>
        <v>46096</v>
      </c>
      <c r="B23" s="263" t="str">
        <f>+Report1!B23</f>
        <v>Toilet</v>
      </c>
      <c r="C23" s="263" t="str">
        <f>+Report1!C23</f>
        <v>13</v>
      </c>
      <c r="D23" s="264">
        <f>+Report1!P23</f>
        <v>41.332000000000001</v>
      </c>
      <c r="E23" s="556">
        <f>+Report1!R23</f>
        <v>40.756999999999998</v>
      </c>
      <c r="F23" s="521"/>
      <c r="G23" s="522">
        <f t="shared" si="0"/>
        <v>0</v>
      </c>
      <c r="H23" s="523">
        <f t="shared" si="112"/>
        <v>0</v>
      </c>
      <c r="I23" s="521"/>
      <c r="J23" s="522">
        <f t="shared" si="1"/>
        <v>0</v>
      </c>
      <c r="K23" s="523">
        <f t="shared" si="113"/>
        <v>0</v>
      </c>
      <c r="L23" s="521"/>
      <c r="M23" s="522">
        <f t="shared" si="2"/>
        <v>0</v>
      </c>
      <c r="N23" s="523">
        <f t="shared" si="114"/>
        <v>0</v>
      </c>
      <c r="O23" s="521">
        <v>6</v>
      </c>
      <c r="P23" s="522">
        <f t="shared" si="3"/>
        <v>0.14721397551340876</v>
      </c>
      <c r="Q23" s="523">
        <f t="shared" si="115"/>
        <v>0</v>
      </c>
      <c r="R23" s="521"/>
      <c r="S23" s="522">
        <f t="shared" si="4"/>
        <v>0</v>
      </c>
      <c r="T23" s="523">
        <f t="shared" si="116"/>
        <v>0</v>
      </c>
      <c r="U23" s="521">
        <v>7.6875</v>
      </c>
      <c r="V23" s="522">
        <f t="shared" si="5"/>
        <v>0.18861790612655496</v>
      </c>
      <c r="W23" s="523">
        <f t="shared" si="117"/>
        <v>0</v>
      </c>
      <c r="X23" s="521"/>
      <c r="Y23" s="522">
        <f t="shared" si="6"/>
        <v>0</v>
      </c>
      <c r="Z23" s="523">
        <f t="shared" si="118"/>
        <v>0</v>
      </c>
      <c r="AA23" s="521">
        <v>6.25</v>
      </c>
      <c r="AB23" s="522">
        <f t="shared" si="7"/>
        <v>0.15334789115980077</v>
      </c>
      <c r="AC23" s="523">
        <f t="shared" si="119"/>
        <v>0</v>
      </c>
      <c r="AD23" s="521"/>
      <c r="AE23" s="522">
        <f t="shared" si="8"/>
        <v>0</v>
      </c>
      <c r="AF23" s="523">
        <f t="shared" si="120"/>
        <v>0</v>
      </c>
      <c r="AG23" s="521"/>
      <c r="AH23" s="522">
        <f t="shared" si="9"/>
        <v>0</v>
      </c>
      <c r="AI23" s="523">
        <f t="shared" si="121"/>
        <v>0</v>
      </c>
      <c r="AJ23" s="521"/>
      <c r="AK23" s="522">
        <f t="shared" si="10"/>
        <v>0</v>
      </c>
      <c r="AL23" s="523">
        <f t="shared" si="122"/>
        <v>0</v>
      </c>
      <c r="AM23" s="521"/>
      <c r="AN23" s="522">
        <f t="shared" si="11"/>
        <v>0</v>
      </c>
      <c r="AO23" s="523">
        <f t="shared" si="123"/>
        <v>0</v>
      </c>
      <c r="AP23" s="521"/>
      <c r="AQ23" s="522">
        <f t="shared" si="12"/>
        <v>0</v>
      </c>
      <c r="AR23" s="523">
        <f t="shared" si="124"/>
        <v>0</v>
      </c>
      <c r="AS23" s="521"/>
      <c r="AT23" s="522">
        <f t="shared" si="13"/>
        <v>0</v>
      </c>
      <c r="AU23" s="523">
        <f t="shared" si="125"/>
        <v>0</v>
      </c>
      <c r="AV23" s="521"/>
      <c r="AW23" s="522">
        <f t="shared" si="14"/>
        <v>0</v>
      </c>
      <c r="AX23" s="523">
        <f t="shared" si="126"/>
        <v>0</v>
      </c>
      <c r="AY23" s="521"/>
      <c r="AZ23" s="522">
        <f t="shared" si="15"/>
        <v>0</v>
      </c>
      <c r="BA23" s="523">
        <f t="shared" si="127"/>
        <v>0</v>
      </c>
      <c r="BB23" s="521"/>
      <c r="BC23" s="522">
        <f t="shared" si="16"/>
        <v>0</v>
      </c>
      <c r="BD23" s="523">
        <f t="shared" si="128"/>
        <v>0</v>
      </c>
      <c r="BE23" s="521"/>
      <c r="BF23" s="522">
        <f t="shared" si="17"/>
        <v>0</v>
      </c>
      <c r="BG23" s="523">
        <f t="shared" si="129"/>
        <v>0</v>
      </c>
      <c r="BH23" s="521"/>
      <c r="BI23" s="522">
        <f t="shared" si="18"/>
        <v>0</v>
      </c>
      <c r="BJ23" s="523">
        <f t="shared" si="130"/>
        <v>0</v>
      </c>
      <c r="BK23" s="521"/>
      <c r="BL23" s="522">
        <f t="shared" si="19"/>
        <v>0</v>
      </c>
      <c r="BM23" s="523">
        <f t="shared" si="131"/>
        <v>0</v>
      </c>
      <c r="BN23" s="521"/>
      <c r="BO23" s="522">
        <f t="shared" si="20"/>
        <v>0</v>
      </c>
      <c r="BP23" s="523">
        <f t="shared" si="132"/>
        <v>0</v>
      </c>
      <c r="BQ23" s="521"/>
      <c r="BR23" s="522">
        <f t="shared" si="21"/>
        <v>0</v>
      </c>
      <c r="BS23" s="523">
        <f t="shared" si="133"/>
        <v>0</v>
      </c>
      <c r="BT23" s="521"/>
      <c r="BU23" s="522">
        <f t="shared" si="22"/>
        <v>0</v>
      </c>
      <c r="BV23" s="523">
        <f t="shared" si="134"/>
        <v>0</v>
      </c>
      <c r="BW23" s="521"/>
      <c r="BX23" s="522">
        <f t="shared" si="23"/>
        <v>0</v>
      </c>
      <c r="BY23" s="523">
        <f t="shared" si="135"/>
        <v>0</v>
      </c>
      <c r="BZ23" s="521"/>
      <c r="CA23" s="522">
        <f t="shared" si="24"/>
        <v>0</v>
      </c>
      <c r="CB23" s="523">
        <f t="shared" si="136"/>
        <v>0</v>
      </c>
      <c r="CC23" s="521"/>
      <c r="CD23" s="522">
        <f t="shared" si="25"/>
        <v>0</v>
      </c>
      <c r="CE23" s="523">
        <f t="shared" si="137"/>
        <v>0</v>
      </c>
      <c r="CF23" s="521">
        <v>1.5</v>
      </c>
      <c r="CG23" s="522">
        <f t="shared" si="26"/>
        <v>3.6803493878352189E-2</v>
      </c>
      <c r="CH23" s="523">
        <f t="shared" si="138"/>
        <v>0</v>
      </c>
      <c r="CI23" s="521"/>
      <c r="CJ23" s="522">
        <f t="shared" si="27"/>
        <v>0</v>
      </c>
      <c r="CK23" s="523">
        <f t="shared" si="139"/>
        <v>0</v>
      </c>
      <c r="CL23" s="521"/>
      <c r="CM23" s="522">
        <f t="shared" si="28"/>
        <v>0</v>
      </c>
      <c r="CN23" s="523">
        <f t="shared" si="140"/>
        <v>0</v>
      </c>
      <c r="CO23" s="521"/>
      <c r="CP23" s="522">
        <f t="shared" si="29"/>
        <v>0</v>
      </c>
      <c r="CQ23" s="523">
        <f t="shared" si="141"/>
        <v>0</v>
      </c>
      <c r="CR23" s="521"/>
      <c r="CS23" s="522">
        <f t="shared" si="30"/>
        <v>0</v>
      </c>
      <c r="CT23" s="523">
        <f t="shared" si="142"/>
        <v>0</v>
      </c>
      <c r="CU23" s="521"/>
      <c r="CV23" s="522">
        <f t="shared" si="31"/>
        <v>0</v>
      </c>
      <c r="CW23" s="523">
        <f t="shared" si="143"/>
        <v>0</v>
      </c>
      <c r="CX23" s="521"/>
      <c r="CY23" s="522">
        <f t="shared" si="32"/>
        <v>0</v>
      </c>
      <c r="CZ23" s="523">
        <f t="shared" si="144"/>
        <v>0</v>
      </c>
      <c r="DA23" s="521">
        <v>101.74418604651163</v>
      </c>
      <c r="DB23" s="522">
        <f t="shared" si="33"/>
        <v>2.4963610188804779</v>
      </c>
      <c r="DC23" s="523">
        <f t="shared" si="145"/>
        <v>0</v>
      </c>
      <c r="DD23" s="521"/>
      <c r="DE23" s="522">
        <f t="shared" si="34"/>
        <v>0</v>
      </c>
      <c r="DF23" s="523">
        <f t="shared" si="146"/>
        <v>0</v>
      </c>
      <c r="DG23" s="521"/>
      <c r="DH23" s="522">
        <f t="shared" si="35"/>
        <v>0</v>
      </c>
      <c r="DI23" s="523">
        <f t="shared" si="203"/>
        <v>0</v>
      </c>
      <c r="DJ23" s="521"/>
      <c r="DK23" s="522">
        <f t="shared" si="36"/>
        <v>0</v>
      </c>
      <c r="DL23" s="523">
        <f t="shared" si="147"/>
        <v>0</v>
      </c>
      <c r="DM23" s="521"/>
      <c r="DN23" s="522">
        <f t="shared" si="37"/>
        <v>0</v>
      </c>
      <c r="DO23" s="523">
        <f t="shared" si="148"/>
        <v>0</v>
      </c>
      <c r="DP23" s="521"/>
      <c r="DQ23" s="522">
        <f t="shared" si="38"/>
        <v>0</v>
      </c>
      <c r="DR23" s="523">
        <f t="shared" si="149"/>
        <v>0</v>
      </c>
      <c r="DS23" s="521"/>
      <c r="DT23" s="522">
        <f t="shared" si="39"/>
        <v>0</v>
      </c>
      <c r="DU23" s="523">
        <f t="shared" si="150"/>
        <v>0</v>
      </c>
      <c r="DV23" s="521"/>
      <c r="DW23" s="522">
        <f t="shared" si="40"/>
        <v>0</v>
      </c>
      <c r="DX23" s="523">
        <f t="shared" si="151"/>
        <v>0</v>
      </c>
      <c r="DY23" s="521"/>
      <c r="DZ23" s="522">
        <f t="shared" si="41"/>
        <v>0</v>
      </c>
      <c r="EA23" s="523">
        <f t="shared" si="152"/>
        <v>0</v>
      </c>
      <c r="EB23" s="521"/>
      <c r="EC23" s="522">
        <f t="shared" si="42"/>
        <v>0</v>
      </c>
      <c r="ED23" s="523">
        <f t="shared" si="153"/>
        <v>0</v>
      </c>
      <c r="EE23" s="521">
        <v>14.534883720930234</v>
      </c>
      <c r="EF23" s="522">
        <f t="shared" si="43"/>
        <v>0.35662300269721114</v>
      </c>
      <c r="EG23" s="523">
        <f t="shared" si="154"/>
        <v>0</v>
      </c>
      <c r="EH23" s="521">
        <v>4</v>
      </c>
      <c r="EI23" s="522">
        <f t="shared" si="44"/>
        <v>9.81426503422725E-2</v>
      </c>
      <c r="EJ23" s="523">
        <f t="shared" si="155"/>
        <v>0</v>
      </c>
      <c r="EK23" s="521">
        <v>42.682926829268268</v>
      </c>
      <c r="EL23" s="522">
        <f t="shared" si="45"/>
        <v>1.0472538908474194</v>
      </c>
      <c r="EM23" s="523">
        <f t="shared" si="156"/>
        <v>0</v>
      </c>
      <c r="EN23" s="521">
        <v>34.593023255814046</v>
      </c>
      <c r="EO23" s="522">
        <f t="shared" si="46"/>
        <v>0.84876274641936467</v>
      </c>
      <c r="EP23" s="523">
        <f t="shared" si="157"/>
        <v>0</v>
      </c>
      <c r="EQ23" s="521">
        <v>23.482352941176487</v>
      </c>
      <c r="ER23" s="522">
        <f t="shared" si="47"/>
        <v>0.57615508847992958</v>
      </c>
      <c r="ES23" s="523">
        <f t="shared" si="158"/>
        <v>0</v>
      </c>
      <c r="ET23" s="521"/>
      <c r="EU23" s="522">
        <f t="shared" si="48"/>
        <v>0</v>
      </c>
      <c r="EV23" s="523">
        <f t="shared" si="159"/>
        <v>0</v>
      </c>
      <c r="EW23" s="521"/>
      <c r="EX23" s="522">
        <f t="shared" si="49"/>
        <v>0</v>
      </c>
      <c r="EY23" s="523">
        <f t="shared" si="160"/>
        <v>0</v>
      </c>
      <c r="EZ23" s="521"/>
      <c r="FA23" s="522">
        <f t="shared" si="50"/>
        <v>0</v>
      </c>
      <c r="FB23" s="523">
        <f t="shared" si="161"/>
        <v>0</v>
      </c>
      <c r="FC23" s="521"/>
      <c r="FD23" s="522">
        <f t="shared" si="51"/>
        <v>0</v>
      </c>
      <c r="FE23" s="523">
        <f t="shared" si="162"/>
        <v>0</v>
      </c>
      <c r="FF23" s="521"/>
      <c r="FG23" s="522">
        <f t="shared" si="52"/>
        <v>0</v>
      </c>
      <c r="FH23" s="523">
        <f t="shared" si="163"/>
        <v>0</v>
      </c>
      <c r="FI23" s="521"/>
      <c r="FJ23" s="522">
        <f t="shared" si="53"/>
        <v>0</v>
      </c>
      <c r="FK23" s="523">
        <f t="shared" si="164"/>
        <v>0</v>
      </c>
      <c r="FL23" s="521"/>
      <c r="FM23" s="522">
        <f t="shared" si="54"/>
        <v>0</v>
      </c>
      <c r="FN23" s="523">
        <f t="shared" si="165"/>
        <v>0</v>
      </c>
      <c r="FO23" s="521"/>
      <c r="FP23" s="522">
        <f t="shared" si="55"/>
        <v>0</v>
      </c>
      <c r="FQ23" s="523">
        <f t="shared" si="166"/>
        <v>0</v>
      </c>
      <c r="FR23" s="521"/>
      <c r="FS23" s="522">
        <f t="shared" si="56"/>
        <v>0</v>
      </c>
      <c r="FT23" s="523">
        <f t="shared" si="167"/>
        <v>0</v>
      </c>
      <c r="FU23" s="521"/>
      <c r="FV23" s="522">
        <f t="shared" si="57"/>
        <v>0</v>
      </c>
      <c r="FW23" s="523">
        <f t="shared" si="168"/>
        <v>0</v>
      </c>
      <c r="FX23" s="521"/>
      <c r="FY23" s="522">
        <f t="shared" si="58"/>
        <v>0</v>
      </c>
      <c r="FZ23" s="523">
        <f t="shared" si="169"/>
        <v>0</v>
      </c>
      <c r="GA23" s="521"/>
      <c r="GB23" s="522">
        <f t="shared" si="59"/>
        <v>0</v>
      </c>
      <c r="GC23" s="523">
        <f t="shared" si="170"/>
        <v>0</v>
      </c>
      <c r="GD23" s="521"/>
      <c r="GE23" s="522">
        <f t="shared" si="60"/>
        <v>0</v>
      </c>
      <c r="GF23" s="523">
        <f t="shared" si="171"/>
        <v>0</v>
      </c>
      <c r="GG23" s="521"/>
      <c r="GH23" s="522">
        <f t="shared" si="61"/>
        <v>0</v>
      </c>
      <c r="GI23" s="523">
        <f t="shared" si="172"/>
        <v>0</v>
      </c>
      <c r="GJ23" s="521"/>
      <c r="GK23" s="522">
        <f t="shared" si="62"/>
        <v>0</v>
      </c>
      <c r="GL23" s="523">
        <f t="shared" si="173"/>
        <v>0</v>
      </c>
      <c r="GM23" s="521"/>
      <c r="GN23" s="522">
        <f t="shared" si="63"/>
        <v>0</v>
      </c>
      <c r="GO23" s="523">
        <f t="shared" si="174"/>
        <v>0</v>
      </c>
      <c r="GP23" s="521"/>
      <c r="GQ23" s="522">
        <f t="shared" si="64"/>
        <v>0</v>
      </c>
      <c r="GR23" s="523">
        <f t="shared" si="175"/>
        <v>0</v>
      </c>
      <c r="GS23" s="521"/>
      <c r="GT23" s="522">
        <f t="shared" si="65"/>
        <v>0</v>
      </c>
      <c r="GU23" s="523">
        <f t="shared" si="176"/>
        <v>0</v>
      </c>
      <c r="GV23" s="521"/>
      <c r="GW23" s="522">
        <f t="shared" si="66"/>
        <v>0</v>
      </c>
      <c r="GX23" s="523">
        <f t="shared" si="177"/>
        <v>0</v>
      </c>
      <c r="GY23" s="521"/>
      <c r="GZ23" s="522">
        <f t="shared" si="67"/>
        <v>0</v>
      </c>
      <c r="HA23" s="523">
        <f t="shared" si="178"/>
        <v>0</v>
      </c>
      <c r="HB23" s="521"/>
      <c r="HC23" s="522">
        <f t="shared" si="68"/>
        <v>0</v>
      </c>
      <c r="HD23" s="523">
        <f t="shared" si="179"/>
        <v>0</v>
      </c>
      <c r="HE23" s="521"/>
      <c r="HF23" s="522">
        <f t="shared" si="69"/>
        <v>0</v>
      </c>
      <c r="HG23" s="523">
        <f t="shared" si="180"/>
        <v>0</v>
      </c>
      <c r="HH23" s="521"/>
      <c r="HI23" s="522">
        <f t="shared" si="70"/>
        <v>0</v>
      </c>
      <c r="HJ23" s="523">
        <f t="shared" si="181"/>
        <v>0</v>
      </c>
      <c r="HK23" s="521"/>
      <c r="HL23" s="522">
        <f t="shared" si="71"/>
        <v>0</v>
      </c>
      <c r="HM23" s="523">
        <f t="shared" si="182"/>
        <v>0</v>
      </c>
      <c r="HN23" s="521"/>
      <c r="HO23" s="522">
        <f t="shared" si="72"/>
        <v>0</v>
      </c>
      <c r="HP23" s="523">
        <f t="shared" si="183"/>
        <v>0</v>
      </c>
      <c r="HQ23" s="521"/>
      <c r="HR23" s="522">
        <f t="shared" si="73"/>
        <v>0</v>
      </c>
      <c r="HS23" s="523">
        <f t="shared" si="184"/>
        <v>0</v>
      </c>
      <c r="HT23" s="521"/>
      <c r="HU23" s="522">
        <f t="shared" si="74"/>
        <v>0</v>
      </c>
      <c r="HV23" s="523">
        <f t="shared" si="185"/>
        <v>0</v>
      </c>
      <c r="HW23" s="521"/>
      <c r="HX23" s="522">
        <f t="shared" si="75"/>
        <v>0</v>
      </c>
      <c r="HY23" s="523">
        <f t="shared" si="186"/>
        <v>0</v>
      </c>
      <c r="HZ23" s="521"/>
      <c r="IA23" s="522">
        <f t="shared" si="76"/>
        <v>0</v>
      </c>
      <c r="IB23" s="523">
        <f t="shared" si="187"/>
        <v>0</v>
      </c>
      <c r="IC23" s="521"/>
      <c r="ID23" s="522">
        <f t="shared" si="77"/>
        <v>0</v>
      </c>
      <c r="IE23" s="523">
        <f t="shared" si="188"/>
        <v>0</v>
      </c>
      <c r="IF23" s="521"/>
      <c r="IG23" s="522">
        <f t="shared" si="78"/>
        <v>0</v>
      </c>
      <c r="IH23" s="523">
        <f t="shared" si="189"/>
        <v>0</v>
      </c>
      <c r="II23" s="521"/>
      <c r="IJ23" s="522">
        <f t="shared" si="79"/>
        <v>0</v>
      </c>
      <c r="IK23" s="523">
        <f t="shared" si="190"/>
        <v>0</v>
      </c>
      <c r="IL23" s="521"/>
      <c r="IM23" s="522">
        <f t="shared" si="80"/>
        <v>0</v>
      </c>
      <c r="IN23" s="523">
        <f t="shared" si="191"/>
        <v>0</v>
      </c>
      <c r="IO23" s="521"/>
      <c r="IP23" s="522">
        <f t="shared" si="81"/>
        <v>0</v>
      </c>
      <c r="IQ23" s="523">
        <f t="shared" si="192"/>
        <v>0</v>
      </c>
      <c r="IR23" s="521"/>
      <c r="IS23" s="522">
        <f t="shared" si="82"/>
        <v>0</v>
      </c>
      <c r="IT23" s="523">
        <f t="shared" si="193"/>
        <v>0</v>
      </c>
      <c r="IU23" s="521"/>
      <c r="IV23" s="522">
        <f t="shared" si="83"/>
        <v>0</v>
      </c>
      <c r="IW23" s="523">
        <f t="shared" si="194"/>
        <v>0</v>
      </c>
      <c r="IX23" s="521"/>
      <c r="IY23" s="522">
        <f t="shared" si="84"/>
        <v>0</v>
      </c>
      <c r="IZ23" s="523">
        <f t="shared" si="195"/>
        <v>0</v>
      </c>
      <c r="JA23" s="521"/>
      <c r="JB23" s="522">
        <f t="shared" si="85"/>
        <v>0</v>
      </c>
      <c r="JC23" s="523">
        <f t="shared" si="196"/>
        <v>0</v>
      </c>
      <c r="JD23" s="521"/>
      <c r="JE23" s="522">
        <f t="shared" si="86"/>
        <v>0</v>
      </c>
      <c r="JF23" s="523">
        <f t="shared" si="197"/>
        <v>0</v>
      </c>
      <c r="JG23" s="521"/>
      <c r="JH23" s="522">
        <f t="shared" si="87"/>
        <v>0</v>
      </c>
      <c r="JI23" s="523">
        <f t="shared" si="198"/>
        <v>0</v>
      </c>
      <c r="JJ23" s="521"/>
      <c r="JK23" s="523" t="str">
        <f t="shared" si="88"/>
        <v>0</v>
      </c>
      <c r="JL23" s="523" t="str">
        <f t="shared" si="89"/>
        <v>0</v>
      </c>
      <c r="JM23" s="521"/>
      <c r="JN23" s="523" t="str">
        <f t="shared" si="90"/>
        <v>0</v>
      </c>
      <c r="JO23" s="523" t="str">
        <f t="shared" si="91"/>
        <v>0</v>
      </c>
      <c r="JP23" s="521"/>
      <c r="JQ23" s="523" t="str">
        <f t="shared" si="92"/>
        <v>0</v>
      </c>
      <c r="JR23" s="523" t="str">
        <f t="shared" si="93"/>
        <v>0</v>
      </c>
      <c r="JS23" s="521"/>
      <c r="JT23" s="523" t="str">
        <f t="shared" si="94"/>
        <v>0</v>
      </c>
      <c r="JU23" s="523" t="str">
        <f t="shared" si="95"/>
        <v>0</v>
      </c>
      <c r="JV23" s="521"/>
      <c r="JW23" s="523" t="str">
        <f t="shared" si="96"/>
        <v>0</v>
      </c>
      <c r="JX23" s="523" t="str">
        <f t="shared" si="97"/>
        <v>0</v>
      </c>
      <c r="JY23" s="521"/>
      <c r="JZ23" s="523" t="str">
        <f t="shared" si="98"/>
        <v>0</v>
      </c>
      <c r="KA23" s="523" t="str">
        <f t="shared" si="99"/>
        <v>0</v>
      </c>
      <c r="KB23" s="521"/>
      <c r="KC23" s="523" t="str">
        <f t="shared" si="100"/>
        <v>0</v>
      </c>
      <c r="KD23" s="523" t="str">
        <f t="shared" si="101"/>
        <v>0</v>
      </c>
      <c r="KE23" s="521"/>
      <c r="KF23" s="523" t="str">
        <f t="shared" si="102"/>
        <v>0</v>
      </c>
      <c r="KG23" s="523" t="str">
        <f t="shared" si="103"/>
        <v>0</v>
      </c>
      <c r="KH23" s="521"/>
      <c r="KI23" s="523" t="str">
        <f t="shared" si="104"/>
        <v>0</v>
      </c>
      <c r="KJ23" s="523" t="str">
        <f t="shared" si="105"/>
        <v>0</v>
      </c>
      <c r="KK23" s="521"/>
      <c r="KL23" s="523" t="str">
        <f t="shared" si="106"/>
        <v>0</v>
      </c>
      <c r="KM23" s="523" t="str">
        <f t="shared" si="107"/>
        <v>0</v>
      </c>
      <c r="KN23" s="521"/>
      <c r="KO23" s="523" t="str">
        <f t="shared" si="108"/>
        <v>0</v>
      </c>
      <c r="KP23" s="523" t="str">
        <f t="shared" si="109"/>
        <v>0</v>
      </c>
      <c r="KQ23" s="521"/>
      <c r="KR23" s="523" t="str">
        <f t="shared" si="110"/>
        <v>0</v>
      </c>
      <c r="KS23" s="523" t="str">
        <f t="shared" si="111"/>
        <v>0</v>
      </c>
      <c r="KT23" s="523">
        <f t="shared" si="201"/>
        <v>0</v>
      </c>
      <c r="KU23" s="523">
        <f t="shared" si="202"/>
        <v>0</v>
      </c>
      <c r="KV23" s="261">
        <f t="shared" si="199"/>
        <v>242.47487279370065</v>
      </c>
    </row>
    <row r="24" spans="1:308">
      <c r="A24" s="262">
        <f t="shared" si="200"/>
        <v>46097</v>
      </c>
      <c r="B24" s="263" t="str">
        <f>+Report1!B24</f>
        <v>Toilet</v>
      </c>
      <c r="C24" s="263" t="str">
        <f>+Report1!C24</f>
        <v>13/12,5</v>
      </c>
      <c r="D24" s="264">
        <f>+Report1!P24</f>
        <v>41.796999999999997</v>
      </c>
      <c r="E24" s="556">
        <f>+Report1!R24</f>
        <v>39.503</v>
      </c>
      <c r="F24" s="521"/>
      <c r="G24" s="522">
        <f t="shared" si="0"/>
        <v>0</v>
      </c>
      <c r="H24" s="523">
        <f t="shared" si="112"/>
        <v>0</v>
      </c>
      <c r="I24" s="521"/>
      <c r="J24" s="522">
        <f t="shared" si="1"/>
        <v>0</v>
      </c>
      <c r="K24" s="523">
        <f t="shared" si="113"/>
        <v>0</v>
      </c>
      <c r="L24" s="521"/>
      <c r="M24" s="522">
        <f t="shared" si="2"/>
        <v>0</v>
      </c>
      <c r="N24" s="523">
        <f t="shared" si="114"/>
        <v>0</v>
      </c>
      <c r="O24" s="521">
        <v>6</v>
      </c>
      <c r="P24" s="522">
        <f t="shared" si="3"/>
        <v>0.15188719844062476</v>
      </c>
      <c r="Q24" s="523">
        <f t="shared" si="115"/>
        <v>0</v>
      </c>
      <c r="R24" s="521"/>
      <c r="S24" s="522">
        <f t="shared" si="4"/>
        <v>0</v>
      </c>
      <c r="T24" s="523">
        <f t="shared" si="116"/>
        <v>0</v>
      </c>
      <c r="U24" s="521">
        <v>7.6874999999999858</v>
      </c>
      <c r="V24" s="522">
        <f t="shared" si="5"/>
        <v>0.19460547300205011</v>
      </c>
      <c r="W24" s="523">
        <f t="shared" si="117"/>
        <v>0</v>
      </c>
      <c r="X24" s="521"/>
      <c r="Y24" s="522">
        <f t="shared" si="6"/>
        <v>0</v>
      </c>
      <c r="Z24" s="523">
        <f t="shared" si="118"/>
        <v>0</v>
      </c>
      <c r="AA24" s="521">
        <v>6.25</v>
      </c>
      <c r="AB24" s="522">
        <f t="shared" si="7"/>
        <v>0.15821583170898412</v>
      </c>
      <c r="AC24" s="523">
        <f t="shared" si="119"/>
        <v>0</v>
      </c>
      <c r="AD24" s="521"/>
      <c r="AE24" s="522">
        <f t="shared" si="8"/>
        <v>0</v>
      </c>
      <c r="AF24" s="523">
        <f t="shared" si="120"/>
        <v>0</v>
      </c>
      <c r="AG24" s="521"/>
      <c r="AH24" s="522">
        <f t="shared" si="9"/>
        <v>0</v>
      </c>
      <c r="AI24" s="523">
        <f t="shared" si="121"/>
        <v>0</v>
      </c>
      <c r="AJ24" s="521"/>
      <c r="AK24" s="522">
        <f t="shared" si="10"/>
        <v>0</v>
      </c>
      <c r="AL24" s="523">
        <f t="shared" si="122"/>
        <v>0</v>
      </c>
      <c r="AM24" s="521"/>
      <c r="AN24" s="522">
        <f t="shared" si="11"/>
        <v>0</v>
      </c>
      <c r="AO24" s="523">
        <f t="shared" si="123"/>
        <v>0</v>
      </c>
      <c r="AP24" s="521"/>
      <c r="AQ24" s="522">
        <f t="shared" si="12"/>
        <v>0</v>
      </c>
      <c r="AR24" s="523">
        <f t="shared" si="124"/>
        <v>0</v>
      </c>
      <c r="AS24" s="521"/>
      <c r="AT24" s="522">
        <f t="shared" si="13"/>
        <v>0</v>
      </c>
      <c r="AU24" s="523">
        <f t="shared" si="125"/>
        <v>0</v>
      </c>
      <c r="AV24" s="521"/>
      <c r="AW24" s="522">
        <f t="shared" si="14"/>
        <v>0</v>
      </c>
      <c r="AX24" s="523">
        <f t="shared" si="126"/>
        <v>0</v>
      </c>
      <c r="AY24" s="521"/>
      <c r="AZ24" s="522">
        <f t="shared" si="15"/>
        <v>0</v>
      </c>
      <c r="BA24" s="523">
        <f t="shared" si="127"/>
        <v>0</v>
      </c>
      <c r="BB24" s="521"/>
      <c r="BC24" s="522">
        <f t="shared" si="16"/>
        <v>0</v>
      </c>
      <c r="BD24" s="523">
        <f t="shared" si="128"/>
        <v>0</v>
      </c>
      <c r="BE24" s="521"/>
      <c r="BF24" s="522">
        <f t="shared" si="17"/>
        <v>0</v>
      </c>
      <c r="BG24" s="523">
        <f t="shared" si="129"/>
        <v>0</v>
      </c>
      <c r="BH24" s="521"/>
      <c r="BI24" s="522">
        <f t="shared" si="18"/>
        <v>0</v>
      </c>
      <c r="BJ24" s="523">
        <f t="shared" si="130"/>
        <v>0</v>
      </c>
      <c r="BK24" s="521"/>
      <c r="BL24" s="522">
        <f t="shared" si="19"/>
        <v>0</v>
      </c>
      <c r="BM24" s="523">
        <f t="shared" si="131"/>
        <v>0</v>
      </c>
      <c r="BN24" s="521"/>
      <c r="BO24" s="522">
        <f t="shared" si="20"/>
        <v>0</v>
      </c>
      <c r="BP24" s="523">
        <f t="shared" si="132"/>
        <v>0</v>
      </c>
      <c r="BQ24" s="521"/>
      <c r="BR24" s="522">
        <f t="shared" si="21"/>
        <v>0</v>
      </c>
      <c r="BS24" s="523">
        <f t="shared" si="133"/>
        <v>0</v>
      </c>
      <c r="BT24" s="521"/>
      <c r="BU24" s="522">
        <f t="shared" si="22"/>
        <v>0</v>
      </c>
      <c r="BV24" s="523">
        <f t="shared" si="134"/>
        <v>0</v>
      </c>
      <c r="BW24" s="521"/>
      <c r="BX24" s="522">
        <f t="shared" si="23"/>
        <v>0</v>
      </c>
      <c r="BY24" s="523">
        <f t="shared" si="135"/>
        <v>0</v>
      </c>
      <c r="BZ24" s="521"/>
      <c r="CA24" s="522">
        <f t="shared" si="24"/>
        <v>0</v>
      </c>
      <c r="CB24" s="523">
        <f t="shared" si="136"/>
        <v>0</v>
      </c>
      <c r="CC24" s="521"/>
      <c r="CD24" s="522">
        <f t="shared" si="25"/>
        <v>0</v>
      </c>
      <c r="CE24" s="523">
        <f t="shared" si="137"/>
        <v>0</v>
      </c>
      <c r="CF24" s="521">
        <v>1.5</v>
      </c>
      <c r="CG24" s="522">
        <f t="shared" si="26"/>
        <v>3.797179961015619E-2</v>
      </c>
      <c r="CH24" s="523">
        <f t="shared" si="138"/>
        <v>0</v>
      </c>
      <c r="CI24" s="521"/>
      <c r="CJ24" s="522">
        <f t="shared" si="27"/>
        <v>0</v>
      </c>
      <c r="CK24" s="523">
        <f t="shared" si="139"/>
        <v>0</v>
      </c>
      <c r="CL24" s="521"/>
      <c r="CM24" s="522">
        <f t="shared" si="28"/>
        <v>0</v>
      </c>
      <c r="CN24" s="523">
        <f t="shared" si="140"/>
        <v>0</v>
      </c>
      <c r="CO24" s="521"/>
      <c r="CP24" s="522">
        <f t="shared" si="29"/>
        <v>0</v>
      </c>
      <c r="CQ24" s="523">
        <f t="shared" si="141"/>
        <v>0</v>
      </c>
      <c r="CR24" s="521"/>
      <c r="CS24" s="522">
        <f t="shared" si="30"/>
        <v>0</v>
      </c>
      <c r="CT24" s="523">
        <f t="shared" si="142"/>
        <v>0</v>
      </c>
      <c r="CU24" s="521"/>
      <c r="CV24" s="522">
        <f t="shared" si="31"/>
        <v>0</v>
      </c>
      <c r="CW24" s="523">
        <f t="shared" si="143"/>
        <v>0</v>
      </c>
      <c r="CX24" s="521"/>
      <c r="CY24" s="522">
        <f t="shared" si="32"/>
        <v>0</v>
      </c>
      <c r="CZ24" s="523">
        <f t="shared" si="144"/>
        <v>0</v>
      </c>
      <c r="DA24" s="521">
        <v>145.34883720930233</v>
      </c>
      <c r="DB24" s="522">
        <f t="shared" si="33"/>
        <v>3.6794379467205611</v>
      </c>
      <c r="DC24" s="523">
        <f t="shared" si="145"/>
        <v>0</v>
      </c>
      <c r="DD24" s="521"/>
      <c r="DE24" s="522">
        <f t="shared" si="34"/>
        <v>0</v>
      </c>
      <c r="DF24" s="523">
        <f t="shared" si="146"/>
        <v>0</v>
      </c>
      <c r="DG24" s="521"/>
      <c r="DH24" s="522">
        <f t="shared" si="35"/>
        <v>0</v>
      </c>
      <c r="DI24" s="523">
        <f t="shared" si="203"/>
        <v>0</v>
      </c>
      <c r="DJ24" s="521"/>
      <c r="DK24" s="522">
        <f t="shared" si="36"/>
        <v>0</v>
      </c>
      <c r="DL24" s="523">
        <f t="shared" si="147"/>
        <v>0</v>
      </c>
      <c r="DM24" s="521"/>
      <c r="DN24" s="522">
        <f t="shared" si="37"/>
        <v>0</v>
      </c>
      <c r="DO24" s="523">
        <f t="shared" si="148"/>
        <v>0</v>
      </c>
      <c r="DP24" s="521"/>
      <c r="DQ24" s="522">
        <f t="shared" si="38"/>
        <v>0</v>
      </c>
      <c r="DR24" s="523">
        <f t="shared" si="149"/>
        <v>0</v>
      </c>
      <c r="DS24" s="521"/>
      <c r="DT24" s="522">
        <f t="shared" si="39"/>
        <v>0</v>
      </c>
      <c r="DU24" s="523">
        <f t="shared" si="150"/>
        <v>0</v>
      </c>
      <c r="DV24" s="521"/>
      <c r="DW24" s="522">
        <f t="shared" si="40"/>
        <v>0</v>
      </c>
      <c r="DX24" s="523">
        <f t="shared" si="151"/>
        <v>0</v>
      </c>
      <c r="DY24" s="521"/>
      <c r="DZ24" s="522">
        <f t="shared" si="41"/>
        <v>0</v>
      </c>
      <c r="EA24" s="523">
        <f t="shared" si="152"/>
        <v>0</v>
      </c>
      <c r="EB24" s="521"/>
      <c r="EC24" s="522">
        <f t="shared" si="42"/>
        <v>0</v>
      </c>
      <c r="ED24" s="523">
        <f t="shared" si="153"/>
        <v>0</v>
      </c>
      <c r="EE24" s="521">
        <v>14.534883720930225</v>
      </c>
      <c r="EF24" s="522">
        <f t="shared" si="43"/>
        <v>0.3679437946720559</v>
      </c>
      <c r="EG24" s="523">
        <f t="shared" si="154"/>
        <v>0</v>
      </c>
      <c r="EH24" s="521">
        <v>4</v>
      </c>
      <c r="EI24" s="522">
        <f t="shared" si="44"/>
        <v>0.10125813229374984</v>
      </c>
      <c r="EJ24" s="523">
        <f t="shared" si="155"/>
        <v>0</v>
      </c>
      <c r="EK24" s="521">
        <v>36.585365853658573</v>
      </c>
      <c r="EL24" s="522">
        <f t="shared" si="45"/>
        <v>0.92614145390624947</v>
      </c>
      <c r="EM24" s="523">
        <f t="shared" si="156"/>
        <v>0</v>
      </c>
      <c r="EN24" s="521">
        <v>44.476744186046403</v>
      </c>
      <c r="EO24" s="522">
        <f t="shared" si="46"/>
        <v>1.125908011696489</v>
      </c>
      <c r="EP24" s="523">
        <f t="shared" si="157"/>
        <v>0</v>
      </c>
      <c r="EQ24" s="521">
        <v>70.447058823529403</v>
      </c>
      <c r="ER24" s="522">
        <f t="shared" si="47"/>
        <v>1.7833344005146294</v>
      </c>
      <c r="ES24" s="523">
        <f t="shared" si="158"/>
        <v>0</v>
      </c>
      <c r="ET24" s="521"/>
      <c r="EU24" s="522">
        <f t="shared" si="48"/>
        <v>0</v>
      </c>
      <c r="EV24" s="523">
        <f t="shared" si="159"/>
        <v>0</v>
      </c>
      <c r="EW24" s="521"/>
      <c r="EX24" s="522">
        <f t="shared" si="49"/>
        <v>0</v>
      </c>
      <c r="EY24" s="523">
        <f t="shared" si="160"/>
        <v>0</v>
      </c>
      <c r="EZ24" s="521"/>
      <c r="FA24" s="522">
        <f t="shared" si="50"/>
        <v>0</v>
      </c>
      <c r="FB24" s="523">
        <f t="shared" si="161"/>
        <v>0</v>
      </c>
      <c r="FC24" s="521"/>
      <c r="FD24" s="522">
        <f t="shared" si="51"/>
        <v>0</v>
      </c>
      <c r="FE24" s="523">
        <f t="shared" si="162"/>
        <v>0</v>
      </c>
      <c r="FF24" s="521"/>
      <c r="FG24" s="522">
        <f t="shared" si="52"/>
        <v>0</v>
      </c>
      <c r="FH24" s="523">
        <f t="shared" si="163"/>
        <v>0</v>
      </c>
      <c r="FI24" s="521"/>
      <c r="FJ24" s="522">
        <f t="shared" si="53"/>
        <v>0</v>
      </c>
      <c r="FK24" s="523">
        <f t="shared" si="164"/>
        <v>0</v>
      </c>
      <c r="FL24" s="521"/>
      <c r="FM24" s="522">
        <f t="shared" si="54"/>
        <v>0</v>
      </c>
      <c r="FN24" s="523">
        <f t="shared" si="165"/>
        <v>0</v>
      </c>
      <c r="FO24" s="521"/>
      <c r="FP24" s="522">
        <f t="shared" si="55"/>
        <v>0</v>
      </c>
      <c r="FQ24" s="523">
        <f t="shared" si="166"/>
        <v>0</v>
      </c>
      <c r="FR24" s="521"/>
      <c r="FS24" s="522">
        <f t="shared" si="56"/>
        <v>0</v>
      </c>
      <c r="FT24" s="523">
        <f t="shared" si="167"/>
        <v>0</v>
      </c>
      <c r="FU24" s="521"/>
      <c r="FV24" s="522">
        <f t="shared" si="57"/>
        <v>0</v>
      </c>
      <c r="FW24" s="523">
        <f t="shared" si="168"/>
        <v>0</v>
      </c>
      <c r="FX24" s="521"/>
      <c r="FY24" s="522">
        <f t="shared" si="58"/>
        <v>0</v>
      </c>
      <c r="FZ24" s="523">
        <f t="shared" si="169"/>
        <v>0</v>
      </c>
      <c r="GA24" s="521"/>
      <c r="GB24" s="522">
        <f t="shared" si="59"/>
        <v>0</v>
      </c>
      <c r="GC24" s="523">
        <f t="shared" si="170"/>
        <v>0</v>
      </c>
      <c r="GD24" s="521"/>
      <c r="GE24" s="522">
        <f t="shared" si="60"/>
        <v>0</v>
      </c>
      <c r="GF24" s="523">
        <f t="shared" si="171"/>
        <v>0</v>
      </c>
      <c r="GG24" s="521"/>
      <c r="GH24" s="522">
        <f t="shared" si="61"/>
        <v>0</v>
      </c>
      <c r="GI24" s="523">
        <f t="shared" si="172"/>
        <v>0</v>
      </c>
      <c r="GJ24" s="521"/>
      <c r="GK24" s="522">
        <f t="shared" si="62"/>
        <v>0</v>
      </c>
      <c r="GL24" s="523">
        <f t="shared" si="173"/>
        <v>0</v>
      </c>
      <c r="GM24" s="521"/>
      <c r="GN24" s="522">
        <f t="shared" si="63"/>
        <v>0</v>
      </c>
      <c r="GO24" s="523">
        <f t="shared" si="174"/>
        <v>0</v>
      </c>
      <c r="GP24" s="521"/>
      <c r="GQ24" s="522">
        <f t="shared" si="64"/>
        <v>0</v>
      </c>
      <c r="GR24" s="523">
        <f t="shared" si="175"/>
        <v>0</v>
      </c>
      <c r="GS24" s="521"/>
      <c r="GT24" s="522">
        <f t="shared" si="65"/>
        <v>0</v>
      </c>
      <c r="GU24" s="523">
        <f t="shared" si="176"/>
        <v>0</v>
      </c>
      <c r="GV24" s="521"/>
      <c r="GW24" s="522">
        <f t="shared" si="66"/>
        <v>0</v>
      </c>
      <c r="GX24" s="523">
        <f t="shared" si="177"/>
        <v>0</v>
      </c>
      <c r="GY24" s="521"/>
      <c r="GZ24" s="522">
        <f t="shared" si="67"/>
        <v>0</v>
      </c>
      <c r="HA24" s="523">
        <f t="shared" si="178"/>
        <v>0</v>
      </c>
      <c r="HB24" s="521"/>
      <c r="HC24" s="522">
        <f t="shared" si="68"/>
        <v>0</v>
      </c>
      <c r="HD24" s="523">
        <f t="shared" si="179"/>
        <v>0</v>
      </c>
      <c r="HE24" s="521"/>
      <c r="HF24" s="522">
        <f t="shared" si="69"/>
        <v>0</v>
      </c>
      <c r="HG24" s="523">
        <f t="shared" si="180"/>
        <v>0</v>
      </c>
      <c r="HH24" s="521"/>
      <c r="HI24" s="522">
        <f t="shared" si="70"/>
        <v>0</v>
      </c>
      <c r="HJ24" s="523">
        <f t="shared" si="181"/>
        <v>0</v>
      </c>
      <c r="HK24" s="521"/>
      <c r="HL24" s="522">
        <f t="shared" si="71"/>
        <v>0</v>
      </c>
      <c r="HM24" s="523">
        <f t="shared" si="182"/>
        <v>0</v>
      </c>
      <c r="HN24" s="521"/>
      <c r="HO24" s="522">
        <f t="shared" si="72"/>
        <v>0</v>
      </c>
      <c r="HP24" s="523">
        <f t="shared" si="183"/>
        <v>0</v>
      </c>
      <c r="HQ24" s="521"/>
      <c r="HR24" s="522">
        <f t="shared" si="73"/>
        <v>0</v>
      </c>
      <c r="HS24" s="523">
        <f t="shared" si="184"/>
        <v>0</v>
      </c>
      <c r="HT24" s="521"/>
      <c r="HU24" s="522">
        <f t="shared" si="74"/>
        <v>0</v>
      </c>
      <c r="HV24" s="523">
        <f t="shared" si="185"/>
        <v>0</v>
      </c>
      <c r="HW24" s="521"/>
      <c r="HX24" s="522">
        <f t="shared" si="75"/>
        <v>0</v>
      </c>
      <c r="HY24" s="523">
        <f t="shared" si="186"/>
        <v>0</v>
      </c>
      <c r="HZ24" s="521"/>
      <c r="IA24" s="522">
        <f t="shared" si="76"/>
        <v>0</v>
      </c>
      <c r="IB24" s="523">
        <f t="shared" si="187"/>
        <v>0</v>
      </c>
      <c r="IC24" s="521"/>
      <c r="ID24" s="522">
        <f t="shared" si="77"/>
        <v>0</v>
      </c>
      <c r="IE24" s="523">
        <f t="shared" si="188"/>
        <v>0</v>
      </c>
      <c r="IF24" s="521"/>
      <c r="IG24" s="522">
        <f t="shared" si="78"/>
        <v>0</v>
      </c>
      <c r="IH24" s="523">
        <f t="shared" si="189"/>
        <v>0</v>
      </c>
      <c r="II24" s="521"/>
      <c r="IJ24" s="522">
        <f t="shared" si="79"/>
        <v>0</v>
      </c>
      <c r="IK24" s="523">
        <f t="shared" si="190"/>
        <v>0</v>
      </c>
      <c r="IL24" s="521"/>
      <c r="IM24" s="522">
        <f t="shared" si="80"/>
        <v>0</v>
      </c>
      <c r="IN24" s="523">
        <f t="shared" si="191"/>
        <v>0</v>
      </c>
      <c r="IO24" s="521"/>
      <c r="IP24" s="522">
        <f t="shared" si="81"/>
        <v>0</v>
      </c>
      <c r="IQ24" s="523">
        <f t="shared" si="192"/>
        <v>0</v>
      </c>
      <c r="IR24" s="521"/>
      <c r="IS24" s="522">
        <f t="shared" si="82"/>
        <v>0</v>
      </c>
      <c r="IT24" s="523">
        <f t="shared" si="193"/>
        <v>0</v>
      </c>
      <c r="IU24" s="521"/>
      <c r="IV24" s="522">
        <f t="shared" si="83"/>
        <v>0</v>
      </c>
      <c r="IW24" s="523">
        <f t="shared" si="194"/>
        <v>0</v>
      </c>
      <c r="IX24" s="521"/>
      <c r="IY24" s="522">
        <f t="shared" si="84"/>
        <v>0</v>
      </c>
      <c r="IZ24" s="523">
        <f t="shared" si="195"/>
        <v>0</v>
      </c>
      <c r="JA24" s="521"/>
      <c r="JB24" s="522">
        <f t="shared" si="85"/>
        <v>0</v>
      </c>
      <c r="JC24" s="523">
        <f t="shared" si="196"/>
        <v>0</v>
      </c>
      <c r="JD24" s="521"/>
      <c r="JE24" s="522">
        <f t="shared" si="86"/>
        <v>0</v>
      </c>
      <c r="JF24" s="523">
        <f t="shared" si="197"/>
        <v>0</v>
      </c>
      <c r="JG24" s="521"/>
      <c r="JH24" s="522">
        <f t="shared" si="87"/>
        <v>0</v>
      </c>
      <c r="JI24" s="523">
        <f t="shared" si="198"/>
        <v>0</v>
      </c>
      <c r="JJ24" s="521"/>
      <c r="JK24" s="523" t="str">
        <f t="shared" si="88"/>
        <v>0</v>
      </c>
      <c r="JL24" s="523" t="str">
        <f t="shared" si="89"/>
        <v>0</v>
      </c>
      <c r="JM24" s="521"/>
      <c r="JN24" s="523" t="str">
        <f t="shared" si="90"/>
        <v>0</v>
      </c>
      <c r="JO24" s="523" t="str">
        <f t="shared" si="91"/>
        <v>0</v>
      </c>
      <c r="JP24" s="521"/>
      <c r="JQ24" s="523" t="str">
        <f t="shared" si="92"/>
        <v>0</v>
      </c>
      <c r="JR24" s="523" t="str">
        <f t="shared" si="93"/>
        <v>0</v>
      </c>
      <c r="JS24" s="521"/>
      <c r="JT24" s="523" t="str">
        <f t="shared" si="94"/>
        <v>0</v>
      </c>
      <c r="JU24" s="523" t="str">
        <f t="shared" si="95"/>
        <v>0</v>
      </c>
      <c r="JV24" s="521"/>
      <c r="JW24" s="523" t="str">
        <f t="shared" si="96"/>
        <v>0</v>
      </c>
      <c r="JX24" s="523" t="str">
        <f t="shared" si="97"/>
        <v>0</v>
      </c>
      <c r="JY24" s="521"/>
      <c r="JZ24" s="523" t="str">
        <f t="shared" si="98"/>
        <v>0</v>
      </c>
      <c r="KA24" s="523" t="str">
        <f t="shared" si="99"/>
        <v>0</v>
      </c>
      <c r="KB24" s="521"/>
      <c r="KC24" s="523" t="str">
        <f t="shared" si="100"/>
        <v>0</v>
      </c>
      <c r="KD24" s="523" t="str">
        <f t="shared" si="101"/>
        <v>0</v>
      </c>
      <c r="KE24" s="521"/>
      <c r="KF24" s="523" t="str">
        <f t="shared" si="102"/>
        <v>0</v>
      </c>
      <c r="KG24" s="523" t="str">
        <f t="shared" si="103"/>
        <v>0</v>
      </c>
      <c r="KH24" s="521"/>
      <c r="KI24" s="523" t="str">
        <f t="shared" si="104"/>
        <v>0</v>
      </c>
      <c r="KJ24" s="523" t="str">
        <f t="shared" si="105"/>
        <v>0</v>
      </c>
      <c r="KK24" s="521"/>
      <c r="KL24" s="523" t="str">
        <f t="shared" si="106"/>
        <v>0</v>
      </c>
      <c r="KM24" s="523" t="str">
        <f t="shared" si="107"/>
        <v>0</v>
      </c>
      <c r="KN24" s="521"/>
      <c r="KO24" s="523" t="str">
        <f t="shared" si="108"/>
        <v>0</v>
      </c>
      <c r="KP24" s="523" t="str">
        <f t="shared" si="109"/>
        <v>0</v>
      </c>
      <c r="KQ24" s="521"/>
      <c r="KR24" s="523" t="str">
        <f t="shared" si="110"/>
        <v>0</v>
      </c>
      <c r="KS24" s="523" t="str">
        <f t="shared" si="111"/>
        <v>0</v>
      </c>
      <c r="KT24" s="523">
        <f t="shared" si="201"/>
        <v>0</v>
      </c>
      <c r="KU24" s="523">
        <f t="shared" si="202"/>
        <v>0</v>
      </c>
      <c r="KV24" s="261">
        <f t="shared" si="199"/>
        <v>336.83038979346691</v>
      </c>
    </row>
    <row r="25" spans="1:308">
      <c r="A25" s="262">
        <f t="shared" si="200"/>
        <v>46098</v>
      </c>
      <c r="B25" s="263" t="str">
        <f>+Report1!B25</f>
        <v>Toilet</v>
      </c>
      <c r="C25" s="263" t="str">
        <f>+Report1!C25</f>
        <v>12,5</v>
      </c>
      <c r="D25" s="264">
        <f>+Report1!P25</f>
        <v>5.4</v>
      </c>
      <c r="E25" s="556">
        <f>+Report1!R25</f>
        <v>5.859</v>
      </c>
      <c r="F25" s="521"/>
      <c r="G25" s="522">
        <f t="shared" si="0"/>
        <v>0</v>
      </c>
      <c r="H25" s="523">
        <f t="shared" si="112"/>
        <v>0</v>
      </c>
      <c r="I25" s="521"/>
      <c r="J25" s="522">
        <f t="shared" si="1"/>
        <v>0</v>
      </c>
      <c r="K25" s="523">
        <f t="shared" si="113"/>
        <v>0</v>
      </c>
      <c r="L25" s="521"/>
      <c r="M25" s="522">
        <f t="shared" si="2"/>
        <v>0</v>
      </c>
      <c r="N25" s="523">
        <f t="shared" si="114"/>
        <v>0</v>
      </c>
      <c r="O25" s="521"/>
      <c r="P25" s="522">
        <f t="shared" si="3"/>
        <v>0</v>
      </c>
      <c r="Q25" s="523">
        <f t="shared" si="115"/>
        <v>0</v>
      </c>
      <c r="R25" s="521"/>
      <c r="S25" s="522">
        <f t="shared" si="4"/>
        <v>0</v>
      </c>
      <c r="T25" s="523">
        <f t="shared" si="116"/>
        <v>0</v>
      </c>
      <c r="U25" s="521"/>
      <c r="V25" s="522">
        <f t="shared" si="5"/>
        <v>0</v>
      </c>
      <c r="W25" s="523">
        <f t="shared" si="117"/>
        <v>0</v>
      </c>
      <c r="X25" s="521"/>
      <c r="Y25" s="522">
        <f t="shared" si="6"/>
        <v>0</v>
      </c>
      <c r="Z25" s="523">
        <f t="shared" si="118"/>
        <v>0</v>
      </c>
      <c r="AA25" s="521">
        <v>6.25</v>
      </c>
      <c r="AB25" s="522">
        <f t="shared" si="7"/>
        <v>1.0667349377026796</v>
      </c>
      <c r="AC25" s="523">
        <f t="shared" si="119"/>
        <v>0</v>
      </c>
      <c r="AD25" s="521"/>
      <c r="AE25" s="522">
        <f t="shared" si="8"/>
        <v>0</v>
      </c>
      <c r="AF25" s="523">
        <f t="shared" si="120"/>
        <v>0</v>
      </c>
      <c r="AG25" s="521"/>
      <c r="AH25" s="522">
        <f t="shared" si="9"/>
        <v>0</v>
      </c>
      <c r="AI25" s="523">
        <f t="shared" si="121"/>
        <v>0</v>
      </c>
      <c r="AJ25" s="521"/>
      <c r="AK25" s="522">
        <f t="shared" si="10"/>
        <v>0</v>
      </c>
      <c r="AL25" s="523">
        <f t="shared" si="122"/>
        <v>0</v>
      </c>
      <c r="AM25" s="521"/>
      <c r="AN25" s="522">
        <f t="shared" si="11"/>
        <v>0</v>
      </c>
      <c r="AO25" s="523">
        <f t="shared" si="123"/>
        <v>0</v>
      </c>
      <c r="AP25" s="521"/>
      <c r="AQ25" s="522">
        <f t="shared" si="12"/>
        <v>0</v>
      </c>
      <c r="AR25" s="523">
        <f t="shared" si="124"/>
        <v>0</v>
      </c>
      <c r="AS25" s="521"/>
      <c r="AT25" s="522">
        <f t="shared" si="13"/>
        <v>0</v>
      </c>
      <c r="AU25" s="523">
        <f t="shared" si="125"/>
        <v>0</v>
      </c>
      <c r="AV25" s="521"/>
      <c r="AW25" s="522">
        <f t="shared" si="14"/>
        <v>0</v>
      </c>
      <c r="AX25" s="523">
        <f t="shared" si="126"/>
        <v>0</v>
      </c>
      <c r="AY25" s="521"/>
      <c r="AZ25" s="522">
        <f t="shared" si="15"/>
        <v>0</v>
      </c>
      <c r="BA25" s="523">
        <f t="shared" si="127"/>
        <v>0</v>
      </c>
      <c r="BB25" s="521"/>
      <c r="BC25" s="522">
        <f t="shared" si="16"/>
        <v>0</v>
      </c>
      <c r="BD25" s="523">
        <f t="shared" si="128"/>
        <v>0</v>
      </c>
      <c r="BE25" s="521"/>
      <c r="BF25" s="522">
        <f t="shared" si="17"/>
        <v>0</v>
      </c>
      <c r="BG25" s="523">
        <f t="shared" si="129"/>
        <v>0</v>
      </c>
      <c r="BH25" s="521"/>
      <c r="BI25" s="522">
        <f t="shared" si="18"/>
        <v>0</v>
      </c>
      <c r="BJ25" s="523">
        <f t="shared" si="130"/>
        <v>0</v>
      </c>
      <c r="BK25" s="521"/>
      <c r="BL25" s="522">
        <f t="shared" si="19"/>
        <v>0</v>
      </c>
      <c r="BM25" s="523">
        <f t="shared" si="131"/>
        <v>0</v>
      </c>
      <c r="BN25" s="521"/>
      <c r="BO25" s="522">
        <f t="shared" si="20"/>
        <v>0</v>
      </c>
      <c r="BP25" s="523">
        <f t="shared" si="132"/>
        <v>0</v>
      </c>
      <c r="BQ25" s="521"/>
      <c r="BR25" s="522">
        <f t="shared" si="21"/>
        <v>0</v>
      </c>
      <c r="BS25" s="523">
        <f t="shared" si="133"/>
        <v>0</v>
      </c>
      <c r="BT25" s="521"/>
      <c r="BU25" s="522">
        <f t="shared" si="22"/>
        <v>0</v>
      </c>
      <c r="BV25" s="523">
        <f t="shared" si="134"/>
        <v>0</v>
      </c>
      <c r="BW25" s="521"/>
      <c r="BX25" s="522">
        <f t="shared" si="23"/>
        <v>0</v>
      </c>
      <c r="BY25" s="523">
        <f t="shared" si="135"/>
        <v>0</v>
      </c>
      <c r="BZ25" s="579">
        <v>3564.1295348837207</v>
      </c>
      <c r="CA25" s="522">
        <f t="shared" si="24"/>
        <v>608.31703957735465</v>
      </c>
      <c r="CB25" s="523">
        <f t="shared" si="136"/>
        <v>0</v>
      </c>
      <c r="CC25" s="521"/>
      <c r="CD25" s="522">
        <f t="shared" si="25"/>
        <v>0</v>
      </c>
      <c r="CE25" s="523">
        <f t="shared" si="137"/>
        <v>0</v>
      </c>
      <c r="CF25" s="521">
        <v>4.5</v>
      </c>
      <c r="CG25" s="522">
        <f t="shared" si="26"/>
        <v>0.76804915514592931</v>
      </c>
      <c r="CH25" s="523">
        <f t="shared" si="138"/>
        <v>0</v>
      </c>
      <c r="CI25" s="521"/>
      <c r="CJ25" s="522">
        <f t="shared" si="27"/>
        <v>0</v>
      </c>
      <c r="CK25" s="523">
        <f t="shared" si="139"/>
        <v>0</v>
      </c>
      <c r="CL25" s="521"/>
      <c r="CM25" s="522">
        <f t="shared" si="28"/>
        <v>0</v>
      </c>
      <c r="CN25" s="523">
        <f t="shared" si="140"/>
        <v>0</v>
      </c>
      <c r="CO25" s="521"/>
      <c r="CP25" s="522">
        <f t="shared" si="29"/>
        <v>0</v>
      </c>
      <c r="CQ25" s="523">
        <f t="shared" si="141"/>
        <v>0</v>
      </c>
      <c r="CR25" s="521"/>
      <c r="CS25" s="522">
        <f t="shared" si="30"/>
        <v>0</v>
      </c>
      <c r="CT25" s="523">
        <f t="shared" si="142"/>
        <v>0</v>
      </c>
      <c r="CU25" s="521"/>
      <c r="CV25" s="522">
        <f t="shared" si="31"/>
        <v>0</v>
      </c>
      <c r="CW25" s="523">
        <f t="shared" si="143"/>
        <v>0</v>
      </c>
      <c r="CX25" s="521"/>
      <c r="CY25" s="522">
        <f t="shared" si="32"/>
        <v>0</v>
      </c>
      <c r="CZ25" s="523">
        <f t="shared" si="144"/>
        <v>0</v>
      </c>
      <c r="DA25" s="521">
        <v>14.534883720930225</v>
      </c>
      <c r="DB25" s="522">
        <f t="shared" si="33"/>
        <v>2.4807789248899512</v>
      </c>
      <c r="DC25" s="523">
        <f t="shared" si="145"/>
        <v>0</v>
      </c>
      <c r="DD25" s="521"/>
      <c r="DE25" s="522">
        <f t="shared" si="34"/>
        <v>0</v>
      </c>
      <c r="DF25" s="523">
        <f t="shared" si="146"/>
        <v>0</v>
      </c>
      <c r="DG25" s="521"/>
      <c r="DH25" s="522">
        <f t="shared" si="35"/>
        <v>0</v>
      </c>
      <c r="DI25" s="523">
        <f t="shared" si="203"/>
        <v>0</v>
      </c>
      <c r="DJ25" s="521"/>
      <c r="DK25" s="522">
        <f t="shared" si="36"/>
        <v>0</v>
      </c>
      <c r="DL25" s="523">
        <f t="shared" si="147"/>
        <v>0</v>
      </c>
      <c r="DM25" s="521"/>
      <c r="DN25" s="522">
        <f t="shared" si="37"/>
        <v>0</v>
      </c>
      <c r="DO25" s="523">
        <f t="shared" si="148"/>
        <v>0</v>
      </c>
      <c r="DP25" s="521"/>
      <c r="DQ25" s="522">
        <f t="shared" si="38"/>
        <v>0</v>
      </c>
      <c r="DR25" s="523">
        <f t="shared" si="149"/>
        <v>0</v>
      </c>
      <c r="DS25" s="521"/>
      <c r="DT25" s="522">
        <f t="shared" si="39"/>
        <v>0</v>
      </c>
      <c r="DU25" s="523">
        <f t="shared" si="150"/>
        <v>0</v>
      </c>
      <c r="DV25" s="521"/>
      <c r="DW25" s="522">
        <f t="shared" si="40"/>
        <v>0</v>
      </c>
      <c r="DX25" s="523">
        <f t="shared" si="151"/>
        <v>0</v>
      </c>
      <c r="DY25" s="521"/>
      <c r="DZ25" s="522">
        <f t="shared" si="41"/>
        <v>0</v>
      </c>
      <c r="EA25" s="523">
        <f t="shared" si="152"/>
        <v>0</v>
      </c>
      <c r="EB25" s="521"/>
      <c r="EC25" s="522">
        <f t="shared" si="42"/>
        <v>0</v>
      </c>
      <c r="ED25" s="523">
        <f t="shared" si="153"/>
        <v>0</v>
      </c>
      <c r="EE25" s="521">
        <v>21.802325581395394</v>
      </c>
      <c r="EF25" s="522">
        <f t="shared" si="43"/>
        <v>3.7211683873349366</v>
      </c>
      <c r="EG25" s="523">
        <f t="shared" si="154"/>
        <v>0</v>
      </c>
      <c r="EH25" s="521">
        <v>0.5</v>
      </c>
      <c r="EI25" s="522">
        <f t="shared" si="44"/>
        <v>8.5338795016214372E-2</v>
      </c>
      <c r="EJ25" s="523">
        <f t="shared" si="155"/>
        <v>0</v>
      </c>
      <c r="EK25" s="521">
        <v>6.0975609756097811</v>
      </c>
      <c r="EL25" s="522">
        <f t="shared" si="45"/>
        <v>1.0407170123928624</v>
      </c>
      <c r="EM25" s="523">
        <f t="shared" si="156"/>
        <v>0</v>
      </c>
      <c r="EN25" s="521">
        <v>4.9418604651162923</v>
      </c>
      <c r="EO25" s="522">
        <f t="shared" si="46"/>
        <v>0.84346483446258613</v>
      </c>
      <c r="EP25" s="523">
        <f t="shared" si="157"/>
        <v>0</v>
      </c>
      <c r="EQ25" s="521">
        <v>5.8705882352941217</v>
      </c>
      <c r="ER25" s="522">
        <f t="shared" si="47"/>
        <v>1.0019778520727294</v>
      </c>
      <c r="ES25" s="523">
        <f t="shared" si="158"/>
        <v>0</v>
      </c>
      <c r="ET25" s="521"/>
      <c r="EU25" s="522">
        <f t="shared" si="48"/>
        <v>0</v>
      </c>
      <c r="EV25" s="523">
        <f t="shared" si="159"/>
        <v>0</v>
      </c>
      <c r="EW25" s="521"/>
      <c r="EX25" s="522">
        <f t="shared" si="49"/>
        <v>0</v>
      </c>
      <c r="EY25" s="523">
        <f t="shared" si="160"/>
        <v>0</v>
      </c>
      <c r="EZ25" s="521"/>
      <c r="FA25" s="522">
        <f t="shared" si="50"/>
        <v>0</v>
      </c>
      <c r="FB25" s="523">
        <f t="shared" si="161"/>
        <v>0</v>
      </c>
      <c r="FC25" s="521"/>
      <c r="FD25" s="522">
        <f t="shared" si="51"/>
        <v>0</v>
      </c>
      <c r="FE25" s="523">
        <f t="shared" si="162"/>
        <v>0</v>
      </c>
      <c r="FF25" s="521"/>
      <c r="FG25" s="522">
        <f t="shared" si="52"/>
        <v>0</v>
      </c>
      <c r="FH25" s="523">
        <f t="shared" si="163"/>
        <v>0</v>
      </c>
      <c r="FI25" s="521"/>
      <c r="FJ25" s="522">
        <f t="shared" si="53"/>
        <v>0</v>
      </c>
      <c r="FK25" s="523">
        <f t="shared" si="164"/>
        <v>0</v>
      </c>
      <c r="FL25" s="521"/>
      <c r="FM25" s="522">
        <f t="shared" si="54"/>
        <v>0</v>
      </c>
      <c r="FN25" s="523">
        <f t="shared" si="165"/>
        <v>0</v>
      </c>
      <c r="FO25" s="521"/>
      <c r="FP25" s="522">
        <f t="shared" si="55"/>
        <v>0</v>
      </c>
      <c r="FQ25" s="523">
        <f t="shared" si="166"/>
        <v>0</v>
      </c>
      <c r="FR25" s="521"/>
      <c r="FS25" s="522">
        <f t="shared" si="56"/>
        <v>0</v>
      </c>
      <c r="FT25" s="523">
        <f t="shared" si="167"/>
        <v>0</v>
      </c>
      <c r="FU25" s="521"/>
      <c r="FV25" s="522">
        <f t="shared" si="57"/>
        <v>0</v>
      </c>
      <c r="FW25" s="523">
        <f t="shared" si="168"/>
        <v>0</v>
      </c>
      <c r="FX25" s="521"/>
      <c r="FY25" s="522">
        <f t="shared" si="58"/>
        <v>0</v>
      </c>
      <c r="FZ25" s="523">
        <f t="shared" si="169"/>
        <v>0</v>
      </c>
      <c r="GA25" s="521"/>
      <c r="GB25" s="522">
        <f t="shared" si="59"/>
        <v>0</v>
      </c>
      <c r="GC25" s="523">
        <f t="shared" si="170"/>
        <v>0</v>
      </c>
      <c r="GD25" s="521"/>
      <c r="GE25" s="522">
        <f t="shared" si="60"/>
        <v>0</v>
      </c>
      <c r="GF25" s="523">
        <f t="shared" si="171"/>
        <v>0</v>
      </c>
      <c r="GG25" s="521"/>
      <c r="GH25" s="522">
        <f t="shared" si="61"/>
        <v>0</v>
      </c>
      <c r="GI25" s="523">
        <f t="shared" si="172"/>
        <v>0</v>
      </c>
      <c r="GJ25" s="521"/>
      <c r="GK25" s="522">
        <f t="shared" si="62"/>
        <v>0</v>
      </c>
      <c r="GL25" s="523">
        <f t="shared" si="173"/>
        <v>0</v>
      </c>
      <c r="GM25" s="521"/>
      <c r="GN25" s="522">
        <f t="shared" si="63"/>
        <v>0</v>
      </c>
      <c r="GO25" s="523">
        <f t="shared" si="174"/>
        <v>0</v>
      </c>
      <c r="GP25" s="521"/>
      <c r="GQ25" s="522">
        <f t="shared" si="64"/>
        <v>0</v>
      </c>
      <c r="GR25" s="523">
        <f t="shared" si="175"/>
        <v>0</v>
      </c>
      <c r="GS25" s="521"/>
      <c r="GT25" s="522">
        <f t="shared" si="65"/>
        <v>0</v>
      </c>
      <c r="GU25" s="523">
        <f t="shared" si="176"/>
        <v>0</v>
      </c>
      <c r="GV25" s="521"/>
      <c r="GW25" s="522">
        <f t="shared" si="66"/>
        <v>0</v>
      </c>
      <c r="GX25" s="523">
        <f t="shared" si="177"/>
        <v>0</v>
      </c>
      <c r="GY25" s="521"/>
      <c r="GZ25" s="522">
        <f t="shared" si="67"/>
        <v>0</v>
      </c>
      <c r="HA25" s="523">
        <f t="shared" si="178"/>
        <v>0</v>
      </c>
      <c r="HB25" s="521"/>
      <c r="HC25" s="522">
        <f t="shared" si="68"/>
        <v>0</v>
      </c>
      <c r="HD25" s="523">
        <f t="shared" si="179"/>
        <v>0</v>
      </c>
      <c r="HE25" s="521"/>
      <c r="HF25" s="522">
        <f t="shared" si="69"/>
        <v>0</v>
      </c>
      <c r="HG25" s="523">
        <f t="shared" si="180"/>
        <v>0</v>
      </c>
      <c r="HH25" s="521"/>
      <c r="HI25" s="522">
        <f t="shared" si="70"/>
        <v>0</v>
      </c>
      <c r="HJ25" s="523">
        <f t="shared" si="181"/>
        <v>0</v>
      </c>
      <c r="HK25" s="521"/>
      <c r="HL25" s="522">
        <f t="shared" si="71"/>
        <v>0</v>
      </c>
      <c r="HM25" s="523">
        <f t="shared" si="182"/>
        <v>0</v>
      </c>
      <c r="HN25" s="521"/>
      <c r="HO25" s="522">
        <f t="shared" si="72"/>
        <v>0</v>
      </c>
      <c r="HP25" s="523">
        <f t="shared" si="183"/>
        <v>0</v>
      </c>
      <c r="HQ25" s="521"/>
      <c r="HR25" s="522">
        <f t="shared" si="73"/>
        <v>0</v>
      </c>
      <c r="HS25" s="523">
        <f t="shared" si="184"/>
        <v>0</v>
      </c>
      <c r="HT25" s="521"/>
      <c r="HU25" s="522">
        <f t="shared" si="74"/>
        <v>0</v>
      </c>
      <c r="HV25" s="523">
        <f t="shared" si="185"/>
        <v>0</v>
      </c>
      <c r="HW25" s="521"/>
      <c r="HX25" s="522">
        <f t="shared" si="75"/>
        <v>0</v>
      </c>
      <c r="HY25" s="523">
        <f t="shared" si="186"/>
        <v>0</v>
      </c>
      <c r="HZ25" s="521"/>
      <c r="IA25" s="522">
        <f t="shared" si="76"/>
        <v>0</v>
      </c>
      <c r="IB25" s="523">
        <f t="shared" si="187"/>
        <v>0</v>
      </c>
      <c r="IC25" s="521"/>
      <c r="ID25" s="522">
        <f t="shared" si="77"/>
        <v>0</v>
      </c>
      <c r="IE25" s="523">
        <f t="shared" si="188"/>
        <v>0</v>
      </c>
      <c r="IF25" s="521"/>
      <c r="IG25" s="522">
        <f t="shared" si="78"/>
        <v>0</v>
      </c>
      <c r="IH25" s="523">
        <f t="shared" si="189"/>
        <v>0</v>
      </c>
      <c r="II25" s="521"/>
      <c r="IJ25" s="522">
        <f t="shared" si="79"/>
        <v>0</v>
      </c>
      <c r="IK25" s="523">
        <f t="shared" si="190"/>
        <v>0</v>
      </c>
      <c r="IL25" s="521"/>
      <c r="IM25" s="522">
        <f t="shared" si="80"/>
        <v>0</v>
      </c>
      <c r="IN25" s="523">
        <f t="shared" si="191"/>
        <v>0</v>
      </c>
      <c r="IO25" s="521"/>
      <c r="IP25" s="522">
        <f t="shared" si="81"/>
        <v>0</v>
      </c>
      <c r="IQ25" s="523">
        <f t="shared" si="192"/>
        <v>0</v>
      </c>
      <c r="IR25" s="521"/>
      <c r="IS25" s="522">
        <f t="shared" si="82"/>
        <v>0</v>
      </c>
      <c r="IT25" s="523">
        <f t="shared" si="193"/>
        <v>0</v>
      </c>
      <c r="IU25" s="521"/>
      <c r="IV25" s="522">
        <f t="shared" si="83"/>
        <v>0</v>
      </c>
      <c r="IW25" s="523">
        <f t="shared" si="194"/>
        <v>0</v>
      </c>
      <c r="IX25" s="521"/>
      <c r="IY25" s="522">
        <f t="shared" si="84"/>
        <v>0</v>
      </c>
      <c r="IZ25" s="523">
        <f t="shared" si="195"/>
        <v>0</v>
      </c>
      <c r="JA25" s="521"/>
      <c r="JB25" s="522">
        <f t="shared" si="85"/>
        <v>0</v>
      </c>
      <c r="JC25" s="523">
        <f t="shared" si="196"/>
        <v>0</v>
      </c>
      <c r="JD25" s="521"/>
      <c r="JE25" s="522">
        <f t="shared" si="86"/>
        <v>0</v>
      </c>
      <c r="JF25" s="523">
        <f t="shared" si="197"/>
        <v>0</v>
      </c>
      <c r="JG25" s="521"/>
      <c r="JH25" s="522">
        <f t="shared" si="87"/>
        <v>0</v>
      </c>
      <c r="JI25" s="523">
        <f t="shared" si="198"/>
        <v>0</v>
      </c>
      <c r="JJ25" s="521"/>
      <c r="JK25" s="523" t="str">
        <f t="shared" si="88"/>
        <v>0</v>
      </c>
      <c r="JL25" s="523" t="str">
        <f t="shared" si="89"/>
        <v>0</v>
      </c>
      <c r="JM25" s="521"/>
      <c r="JN25" s="523" t="str">
        <f t="shared" si="90"/>
        <v>0</v>
      </c>
      <c r="JO25" s="523" t="str">
        <f t="shared" si="91"/>
        <v>0</v>
      </c>
      <c r="JP25" s="521"/>
      <c r="JQ25" s="523" t="str">
        <f t="shared" si="92"/>
        <v>0</v>
      </c>
      <c r="JR25" s="523" t="str">
        <f t="shared" si="93"/>
        <v>0</v>
      </c>
      <c r="JS25" s="521"/>
      <c r="JT25" s="523" t="str">
        <f t="shared" si="94"/>
        <v>0</v>
      </c>
      <c r="JU25" s="523" t="str">
        <f t="shared" si="95"/>
        <v>0</v>
      </c>
      <c r="JV25" s="521"/>
      <c r="JW25" s="523" t="str">
        <f t="shared" si="96"/>
        <v>0</v>
      </c>
      <c r="JX25" s="523" t="str">
        <f t="shared" si="97"/>
        <v>0</v>
      </c>
      <c r="JY25" s="521"/>
      <c r="JZ25" s="523" t="str">
        <f t="shared" si="98"/>
        <v>0</v>
      </c>
      <c r="KA25" s="523" t="str">
        <f t="shared" si="99"/>
        <v>0</v>
      </c>
      <c r="KB25" s="521"/>
      <c r="KC25" s="523" t="str">
        <f t="shared" si="100"/>
        <v>0</v>
      </c>
      <c r="KD25" s="523" t="str">
        <f t="shared" si="101"/>
        <v>0</v>
      </c>
      <c r="KE25" s="521"/>
      <c r="KF25" s="523" t="str">
        <f t="shared" si="102"/>
        <v>0</v>
      </c>
      <c r="KG25" s="523" t="str">
        <f t="shared" si="103"/>
        <v>0</v>
      </c>
      <c r="KH25" s="521"/>
      <c r="KI25" s="523" t="str">
        <f t="shared" si="104"/>
        <v>0</v>
      </c>
      <c r="KJ25" s="523" t="str">
        <f t="shared" si="105"/>
        <v>0</v>
      </c>
      <c r="KK25" s="521"/>
      <c r="KL25" s="523" t="str">
        <f t="shared" si="106"/>
        <v>0</v>
      </c>
      <c r="KM25" s="523" t="str">
        <f t="shared" si="107"/>
        <v>0</v>
      </c>
      <c r="KN25" s="521"/>
      <c r="KO25" s="523" t="str">
        <f t="shared" si="108"/>
        <v>0</v>
      </c>
      <c r="KP25" s="523" t="str">
        <f t="shared" si="109"/>
        <v>0</v>
      </c>
      <c r="KQ25" s="521"/>
      <c r="KR25" s="523" t="str">
        <f t="shared" si="110"/>
        <v>0</v>
      </c>
      <c r="KS25" s="523" t="str">
        <f t="shared" si="111"/>
        <v>0</v>
      </c>
      <c r="KT25" s="523">
        <f t="shared" si="201"/>
        <v>0</v>
      </c>
      <c r="KU25" s="523">
        <f t="shared" si="202"/>
        <v>0</v>
      </c>
      <c r="KV25" s="261">
        <f t="shared" si="199"/>
        <v>3628.6267538620668</v>
      </c>
    </row>
    <row r="26" spans="1:308">
      <c r="A26" s="262">
        <f t="shared" si="200"/>
        <v>46099</v>
      </c>
      <c r="B26" s="263" t="str">
        <f>+Report1!B26</f>
        <v>Toilet</v>
      </c>
      <c r="C26" s="263" t="str">
        <f>+Report1!C26</f>
        <v>12,5</v>
      </c>
      <c r="D26" s="264">
        <f>+Report1!P26</f>
        <v>0</v>
      </c>
      <c r="E26" s="556">
        <f>+Report1!R26</f>
        <v>0</v>
      </c>
      <c r="F26" s="521"/>
      <c r="G26" s="522" t="e">
        <f t="shared" si="0"/>
        <v>#DIV/0!</v>
      </c>
      <c r="H26" s="523">
        <f t="shared" si="112"/>
        <v>0</v>
      </c>
      <c r="I26" s="521"/>
      <c r="J26" s="522" t="e">
        <f t="shared" si="1"/>
        <v>#DIV/0!</v>
      </c>
      <c r="K26" s="523">
        <f t="shared" si="113"/>
        <v>0</v>
      </c>
      <c r="L26" s="521"/>
      <c r="M26" s="522" t="e">
        <f t="shared" si="2"/>
        <v>#DIV/0!</v>
      </c>
      <c r="N26" s="523">
        <f t="shared" si="114"/>
        <v>0</v>
      </c>
      <c r="O26" s="521"/>
      <c r="P26" s="522" t="e">
        <f t="shared" si="3"/>
        <v>#DIV/0!</v>
      </c>
      <c r="Q26" s="523">
        <f t="shared" si="115"/>
        <v>0</v>
      </c>
      <c r="R26" s="521"/>
      <c r="S26" s="522" t="e">
        <f t="shared" si="4"/>
        <v>#DIV/0!</v>
      </c>
      <c r="T26" s="523">
        <f t="shared" si="116"/>
        <v>0</v>
      </c>
      <c r="U26" s="521"/>
      <c r="V26" s="522" t="e">
        <f t="shared" si="5"/>
        <v>#DIV/0!</v>
      </c>
      <c r="W26" s="523">
        <f t="shared" si="117"/>
        <v>0</v>
      </c>
      <c r="X26" s="521"/>
      <c r="Y26" s="522" t="e">
        <f t="shared" si="6"/>
        <v>#DIV/0!</v>
      </c>
      <c r="Z26" s="523">
        <f t="shared" si="118"/>
        <v>0</v>
      </c>
      <c r="AA26" s="521"/>
      <c r="AB26" s="522" t="e">
        <f t="shared" si="7"/>
        <v>#DIV/0!</v>
      </c>
      <c r="AC26" s="523">
        <f t="shared" si="119"/>
        <v>0</v>
      </c>
      <c r="AD26" s="521"/>
      <c r="AE26" s="522" t="e">
        <f t="shared" si="8"/>
        <v>#DIV/0!</v>
      </c>
      <c r="AF26" s="523">
        <f t="shared" si="120"/>
        <v>0</v>
      </c>
      <c r="AG26" s="521"/>
      <c r="AH26" s="522" t="e">
        <f t="shared" si="9"/>
        <v>#DIV/0!</v>
      </c>
      <c r="AI26" s="523">
        <f t="shared" si="121"/>
        <v>0</v>
      </c>
      <c r="AJ26" s="521"/>
      <c r="AK26" s="522" t="e">
        <f t="shared" si="10"/>
        <v>#DIV/0!</v>
      </c>
      <c r="AL26" s="523">
        <f t="shared" si="122"/>
        <v>0</v>
      </c>
      <c r="AM26" s="521"/>
      <c r="AN26" s="522" t="e">
        <f t="shared" si="11"/>
        <v>#DIV/0!</v>
      </c>
      <c r="AO26" s="523">
        <f t="shared" si="123"/>
        <v>0</v>
      </c>
      <c r="AP26" s="521"/>
      <c r="AQ26" s="522" t="e">
        <f t="shared" si="12"/>
        <v>#DIV/0!</v>
      </c>
      <c r="AR26" s="523">
        <f t="shared" si="124"/>
        <v>0</v>
      </c>
      <c r="AS26" s="521"/>
      <c r="AT26" s="522" t="e">
        <f t="shared" si="13"/>
        <v>#DIV/0!</v>
      </c>
      <c r="AU26" s="523">
        <f t="shared" si="125"/>
        <v>0</v>
      </c>
      <c r="AV26" s="521"/>
      <c r="AW26" s="522" t="e">
        <f t="shared" si="14"/>
        <v>#DIV/0!</v>
      </c>
      <c r="AX26" s="523">
        <f t="shared" si="126"/>
        <v>0</v>
      </c>
      <c r="AY26" s="521"/>
      <c r="AZ26" s="522" t="e">
        <f t="shared" si="15"/>
        <v>#DIV/0!</v>
      </c>
      <c r="BA26" s="523">
        <f t="shared" si="127"/>
        <v>0</v>
      </c>
      <c r="BB26" s="521"/>
      <c r="BC26" s="522" t="e">
        <f t="shared" si="16"/>
        <v>#DIV/0!</v>
      </c>
      <c r="BD26" s="523">
        <f t="shared" si="128"/>
        <v>0</v>
      </c>
      <c r="BE26" s="521"/>
      <c r="BF26" s="522" t="e">
        <f t="shared" si="17"/>
        <v>#DIV/0!</v>
      </c>
      <c r="BG26" s="523">
        <f t="shared" si="129"/>
        <v>0</v>
      </c>
      <c r="BH26" s="521"/>
      <c r="BI26" s="522" t="e">
        <f t="shared" si="18"/>
        <v>#DIV/0!</v>
      </c>
      <c r="BJ26" s="523">
        <f t="shared" si="130"/>
        <v>0</v>
      </c>
      <c r="BK26" s="521"/>
      <c r="BL26" s="522" t="e">
        <f t="shared" si="19"/>
        <v>#DIV/0!</v>
      </c>
      <c r="BM26" s="523">
        <f t="shared" si="131"/>
        <v>0</v>
      </c>
      <c r="BN26" s="521"/>
      <c r="BO26" s="522" t="e">
        <f t="shared" si="20"/>
        <v>#DIV/0!</v>
      </c>
      <c r="BP26" s="523">
        <f t="shared" si="132"/>
        <v>0</v>
      </c>
      <c r="BQ26" s="521"/>
      <c r="BR26" s="522" t="e">
        <f t="shared" si="21"/>
        <v>#DIV/0!</v>
      </c>
      <c r="BS26" s="523">
        <f t="shared" si="133"/>
        <v>0</v>
      </c>
      <c r="BT26" s="521"/>
      <c r="BU26" s="522" t="e">
        <f t="shared" si="22"/>
        <v>#DIV/0!</v>
      </c>
      <c r="BV26" s="523">
        <f t="shared" si="134"/>
        <v>0</v>
      </c>
      <c r="BW26" s="521"/>
      <c r="BX26" s="522" t="e">
        <f t="shared" si="23"/>
        <v>#DIV/0!</v>
      </c>
      <c r="BY26" s="523">
        <f t="shared" si="135"/>
        <v>0</v>
      </c>
      <c r="BZ26" s="521"/>
      <c r="CA26" s="522" t="e">
        <f t="shared" si="24"/>
        <v>#DIV/0!</v>
      </c>
      <c r="CB26" s="523">
        <f t="shared" si="136"/>
        <v>0</v>
      </c>
      <c r="CC26" s="521"/>
      <c r="CD26" s="522" t="e">
        <f t="shared" si="25"/>
        <v>#DIV/0!</v>
      </c>
      <c r="CE26" s="523">
        <f t="shared" si="137"/>
        <v>0</v>
      </c>
      <c r="CF26" s="521"/>
      <c r="CG26" s="522" t="e">
        <f t="shared" si="26"/>
        <v>#DIV/0!</v>
      </c>
      <c r="CH26" s="523">
        <f t="shared" si="138"/>
        <v>0</v>
      </c>
      <c r="CI26" s="521"/>
      <c r="CJ26" s="522" t="e">
        <f t="shared" si="27"/>
        <v>#DIV/0!</v>
      </c>
      <c r="CK26" s="523">
        <f t="shared" si="139"/>
        <v>0</v>
      </c>
      <c r="CL26" s="521"/>
      <c r="CM26" s="522" t="e">
        <f t="shared" si="28"/>
        <v>#DIV/0!</v>
      </c>
      <c r="CN26" s="523">
        <f t="shared" si="140"/>
        <v>0</v>
      </c>
      <c r="CO26" s="521"/>
      <c r="CP26" s="522" t="e">
        <f t="shared" si="29"/>
        <v>#DIV/0!</v>
      </c>
      <c r="CQ26" s="523">
        <f t="shared" si="141"/>
        <v>0</v>
      </c>
      <c r="CR26" s="521"/>
      <c r="CS26" s="522" t="e">
        <f t="shared" si="30"/>
        <v>#DIV/0!</v>
      </c>
      <c r="CT26" s="523">
        <f t="shared" si="142"/>
        <v>0</v>
      </c>
      <c r="CU26" s="521"/>
      <c r="CV26" s="522" t="e">
        <f t="shared" si="31"/>
        <v>#DIV/0!</v>
      </c>
      <c r="CW26" s="523">
        <f t="shared" si="143"/>
        <v>0</v>
      </c>
      <c r="CX26" s="521"/>
      <c r="CY26" s="522" t="e">
        <f t="shared" si="32"/>
        <v>#DIV/0!</v>
      </c>
      <c r="CZ26" s="523">
        <f t="shared" si="144"/>
        <v>0</v>
      </c>
      <c r="DA26" s="521"/>
      <c r="DB26" s="522" t="e">
        <f t="shared" si="33"/>
        <v>#DIV/0!</v>
      </c>
      <c r="DC26" s="523">
        <f t="shared" si="145"/>
        <v>0</v>
      </c>
      <c r="DD26" s="521"/>
      <c r="DE26" s="522" t="e">
        <f t="shared" si="34"/>
        <v>#DIV/0!</v>
      </c>
      <c r="DF26" s="523">
        <f t="shared" si="146"/>
        <v>0</v>
      </c>
      <c r="DG26" s="521"/>
      <c r="DH26" s="522" t="e">
        <f t="shared" si="35"/>
        <v>#DIV/0!</v>
      </c>
      <c r="DI26" s="523">
        <f t="shared" si="203"/>
        <v>0</v>
      </c>
      <c r="DJ26" s="521"/>
      <c r="DK26" s="522" t="e">
        <f t="shared" si="36"/>
        <v>#DIV/0!</v>
      </c>
      <c r="DL26" s="523">
        <f t="shared" si="147"/>
        <v>0</v>
      </c>
      <c r="DM26" s="521"/>
      <c r="DN26" s="522" t="e">
        <f t="shared" si="37"/>
        <v>#DIV/0!</v>
      </c>
      <c r="DO26" s="523">
        <f t="shared" si="148"/>
        <v>0</v>
      </c>
      <c r="DP26" s="521"/>
      <c r="DQ26" s="522" t="e">
        <f t="shared" si="38"/>
        <v>#DIV/0!</v>
      </c>
      <c r="DR26" s="523">
        <f t="shared" si="149"/>
        <v>0</v>
      </c>
      <c r="DS26" s="521"/>
      <c r="DT26" s="522" t="e">
        <f t="shared" si="39"/>
        <v>#DIV/0!</v>
      </c>
      <c r="DU26" s="523">
        <f t="shared" si="150"/>
        <v>0</v>
      </c>
      <c r="DV26" s="521"/>
      <c r="DW26" s="522" t="e">
        <f t="shared" si="40"/>
        <v>#DIV/0!</v>
      </c>
      <c r="DX26" s="523">
        <f t="shared" si="151"/>
        <v>0</v>
      </c>
      <c r="DY26" s="521"/>
      <c r="DZ26" s="522" t="e">
        <f t="shared" si="41"/>
        <v>#DIV/0!</v>
      </c>
      <c r="EA26" s="523">
        <f t="shared" si="152"/>
        <v>0</v>
      </c>
      <c r="EB26" s="521"/>
      <c r="EC26" s="522" t="e">
        <f t="shared" si="42"/>
        <v>#DIV/0!</v>
      </c>
      <c r="ED26" s="523">
        <f t="shared" si="153"/>
        <v>0</v>
      </c>
      <c r="EE26" s="521"/>
      <c r="EF26" s="522" t="e">
        <f t="shared" si="43"/>
        <v>#DIV/0!</v>
      </c>
      <c r="EG26" s="523">
        <f t="shared" si="154"/>
        <v>0</v>
      </c>
      <c r="EH26" s="521"/>
      <c r="EI26" s="522" t="e">
        <f t="shared" si="44"/>
        <v>#DIV/0!</v>
      </c>
      <c r="EJ26" s="523">
        <f t="shared" si="155"/>
        <v>0</v>
      </c>
      <c r="EK26" s="521"/>
      <c r="EL26" s="522" t="e">
        <f t="shared" si="45"/>
        <v>#DIV/0!</v>
      </c>
      <c r="EM26" s="523">
        <f t="shared" si="156"/>
        <v>0</v>
      </c>
      <c r="EN26" s="521"/>
      <c r="EO26" s="522" t="e">
        <f t="shared" si="46"/>
        <v>#DIV/0!</v>
      </c>
      <c r="EP26" s="523">
        <f t="shared" si="157"/>
        <v>0</v>
      </c>
      <c r="EQ26" s="521"/>
      <c r="ER26" s="522" t="e">
        <f t="shared" si="47"/>
        <v>#DIV/0!</v>
      </c>
      <c r="ES26" s="523">
        <f t="shared" si="158"/>
        <v>0</v>
      </c>
      <c r="ET26" s="521"/>
      <c r="EU26" s="522" t="e">
        <f t="shared" si="48"/>
        <v>#DIV/0!</v>
      </c>
      <c r="EV26" s="523">
        <f t="shared" si="159"/>
        <v>0</v>
      </c>
      <c r="EW26" s="521"/>
      <c r="EX26" s="522" t="e">
        <f t="shared" si="49"/>
        <v>#DIV/0!</v>
      </c>
      <c r="EY26" s="523">
        <f t="shared" si="160"/>
        <v>0</v>
      </c>
      <c r="EZ26" s="521"/>
      <c r="FA26" s="522" t="e">
        <f t="shared" si="50"/>
        <v>#DIV/0!</v>
      </c>
      <c r="FB26" s="523">
        <f t="shared" si="161"/>
        <v>0</v>
      </c>
      <c r="FC26" s="521"/>
      <c r="FD26" s="522" t="e">
        <f t="shared" si="51"/>
        <v>#DIV/0!</v>
      </c>
      <c r="FE26" s="523">
        <f t="shared" si="162"/>
        <v>0</v>
      </c>
      <c r="FF26" s="521"/>
      <c r="FG26" s="522" t="e">
        <f t="shared" si="52"/>
        <v>#DIV/0!</v>
      </c>
      <c r="FH26" s="523">
        <f t="shared" si="163"/>
        <v>0</v>
      </c>
      <c r="FI26" s="521"/>
      <c r="FJ26" s="522" t="e">
        <f t="shared" si="53"/>
        <v>#DIV/0!</v>
      </c>
      <c r="FK26" s="523">
        <f t="shared" si="164"/>
        <v>0</v>
      </c>
      <c r="FL26" s="521"/>
      <c r="FM26" s="522" t="e">
        <f t="shared" si="54"/>
        <v>#DIV/0!</v>
      </c>
      <c r="FN26" s="523">
        <f t="shared" si="165"/>
        <v>0</v>
      </c>
      <c r="FO26" s="521"/>
      <c r="FP26" s="522" t="e">
        <f t="shared" si="55"/>
        <v>#DIV/0!</v>
      </c>
      <c r="FQ26" s="523">
        <f t="shared" si="166"/>
        <v>0</v>
      </c>
      <c r="FR26" s="521"/>
      <c r="FS26" s="522" t="e">
        <f t="shared" si="56"/>
        <v>#DIV/0!</v>
      </c>
      <c r="FT26" s="523">
        <f t="shared" si="167"/>
        <v>0</v>
      </c>
      <c r="FU26" s="521"/>
      <c r="FV26" s="522" t="e">
        <f t="shared" si="57"/>
        <v>#DIV/0!</v>
      </c>
      <c r="FW26" s="523">
        <f t="shared" si="168"/>
        <v>0</v>
      </c>
      <c r="FX26" s="521"/>
      <c r="FY26" s="522" t="e">
        <f t="shared" si="58"/>
        <v>#DIV/0!</v>
      </c>
      <c r="FZ26" s="523">
        <f t="shared" si="169"/>
        <v>0</v>
      </c>
      <c r="GA26" s="521"/>
      <c r="GB26" s="522" t="e">
        <f t="shared" si="59"/>
        <v>#DIV/0!</v>
      </c>
      <c r="GC26" s="523">
        <f t="shared" si="170"/>
        <v>0</v>
      </c>
      <c r="GD26" s="521"/>
      <c r="GE26" s="522" t="e">
        <f t="shared" si="60"/>
        <v>#DIV/0!</v>
      </c>
      <c r="GF26" s="523">
        <f t="shared" si="171"/>
        <v>0</v>
      </c>
      <c r="GG26" s="521"/>
      <c r="GH26" s="522" t="e">
        <f t="shared" si="61"/>
        <v>#DIV/0!</v>
      </c>
      <c r="GI26" s="523">
        <f t="shared" si="172"/>
        <v>0</v>
      </c>
      <c r="GJ26" s="521"/>
      <c r="GK26" s="522" t="e">
        <f t="shared" si="62"/>
        <v>#DIV/0!</v>
      </c>
      <c r="GL26" s="523">
        <f t="shared" si="173"/>
        <v>0</v>
      </c>
      <c r="GM26" s="521"/>
      <c r="GN26" s="522" t="e">
        <f t="shared" si="63"/>
        <v>#DIV/0!</v>
      </c>
      <c r="GO26" s="523">
        <f t="shared" si="174"/>
        <v>0</v>
      </c>
      <c r="GP26" s="521"/>
      <c r="GQ26" s="522" t="e">
        <f t="shared" si="64"/>
        <v>#DIV/0!</v>
      </c>
      <c r="GR26" s="523">
        <f t="shared" si="175"/>
        <v>0</v>
      </c>
      <c r="GS26" s="521"/>
      <c r="GT26" s="522" t="e">
        <f t="shared" si="65"/>
        <v>#DIV/0!</v>
      </c>
      <c r="GU26" s="523">
        <f t="shared" si="176"/>
        <v>0</v>
      </c>
      <c r="GV26" s="521"/>
      <c r="GW26" s="522" t="e">
        <f t="shared" si="66"/>
        <v>#DIV/0!</v>
      </c>
      <c r="GX26" s="523">
        <f t="shared" si="177"/>
        <v>0</v>
      </c>
      <c r="GY26" s="521"/>
      <c r="GZ26" s="522" t="e">
        <f t="shared" si="67"/>
        <v>#DIV/0!</v>
      </c>
      <c r="HA26" s="523">
        <f t="shared" si="178"/>
        <v>0</v>
      </c>
      <c r="HB26" s="521"/>
      <c r="HC26" s="522" t="e">
        <f t="shared" si="68"/>
        <v>#DIV/0!</v>
      </c>
      <c r="HD26" s="523">
        <f t="shared" si="179"/>
        <v>0</v>
      </c>
      <c r="HE26" s="521"/>
      <c r="HF26" s="522" t="e">
        <f t="shared" si="69"/>
        <v>#DIV/0!</v>
      </c>
      <c r="HG26" s="523">
        <f t="shared" si="180"/>
        <v>0</v>
      </c>
      <c r="HH26" s="521"/>
      <c r="HI26" s="522" t="e">
        <f t="shared" si="70"/>
        <v>#DIV/0!</v>
      </c>
      <c r="HJ26" s="523">
        <f t="shared" si="181"/>
        <v>0</v>
      </c>
      <c r="HK26" s="521"/>
      <c r="HL26" s="522" t="e">
        <f t="shared" si="71"/>
        <v>#DIV/0!</v>
      </c>
      <c r="HM26" s="523">
        <f t="shared" si="182"/>
        <v>0</v>
      </c>
      <c r="HN26" s="521"/>
      <c r="HO26" s="522" t="e">
        <f t="shared" si="72"/>
        <v>#DIV/0!</v>
      </c>
      <c r="HP26" s="523">
        <f t="shared" si="183"/>
        <v>0</v>
      </c>
      <c r="HQ26" s="521"/>
      <c r="HR26" s="522" t="e">
        <f t="shared" si="73"/>
        <v>#DIV/0!</v>
      </c>
      <c r="HS26" s="523">
        <f t="shared" si="184"/>
        <v>0</v>
      </c>
      <c r="HT26" s="521"/>
      <c r="HU26" s="522" t="e">
        <f t="shared" si="74"/>
        <v>#DIV/0!</v>
      </c>
      <c r="HV26" s="523">
        <f t="shared" si="185"/>
        <v>0</v>
      </c>
      <c r="HW26" s="521"/>
      <c r="HX26" s="522" t="e">
        <f t="shared" si="75"/>
        <v>#DIV/0!</v>
      </c>
      <c r="HY26" s="523">
        <f t="shared" si="186"/>
        <v>0</v>
      </c>
      <c r="HZ26" s="521"/>
      <c r="IA26" s="522" t="e">
        <f t="shared" si="76"/>
        <v>#DIV/0!</v>
      </c>
      <c r="IB26" s="523">
        <f t="shared" si="187"/>
        <v>0</v>
      </c>
      <c r="IC26" s="521"/>
      <c r="ID26" s="522" t="e">
        <f t="shared" si="77"/>
        <v>#DIV/0!</v>
      </c>
      <c r="IE26" s="523">
        <f t="shared" si="188"/>
        <v>0</v>
      </c>
      <c r="IF26" s="521"/>
      <c r="IG26" s="522" t="e">
        <f t="shared" si="78"/>
        <v>#DIV/0!</v>
      </c>
      <c r="IH26" s="523">
        <f t="shared" si="189"/>
        <v>0</v>
      </c>
      <c r="II26" s="521"/>
      <c r="IJ26" s="522" t="e">
        <f t="shared" si="79"/>
        <v>#DIV/0!</v>
      </c>
      <c r="IK26" s="523">
        <f t="shared" si="190"/>
        <v>0</v>
      </c>
      <c r="IL26" s="521"/>
      <c r="IM26" s="522" t="e">
        <f t="shared" si="80"/>
        <v>#DIV/0!</v>
      </c>
      <c r="IN26" s="523">
        <f t="shared" si="191"/>
        <v>0</v>
      </c>
      <c r="IO26" s="521"/>
      <c r="IP26" s="522" t="e">
        <f t="shared" si="81"/>
        <v>#DIV/0!</v>
      </c>
      <c r="IQ26" s="523">
        <f t="shared" si="192"/>
        <v>0</v>
      </c>
      <c r="IR26" s="521"/>
      <c r="IS26" s="522" t="e">
        <f t="shared" si="82"/>
        <v>#DIV/0!</v>
      </c>
      <c r="IT26" s="523">
        <f t="shared" si="193"/>
        <v>0</v>
      </c>
      <c r="IU26" s="521"/>
      <c r="IV26" s="522" t="e">
        <f t="shared" si="83"/>
        <v>#DIV/0!</v>
      </c>
      <c r="IW26" s="523">
        <f t="shared" si="194"/>
        <v>0</v>
      </c>
      <c r="IX26" s="521"/>
      <c r="IY26" s="522" t="e">
        <f t="shared" si="84"/>
        <v>#DIV/0!</v>
      </c>
      <c r="IZ26" s="523">
        <f t="shared" si="195"/>
        <v>0</v>
      </c>
      <c r="JA26" s="521"/>
      <c r="JB26" s="522" t="e">
        <f t="shared" si="85"/>
        <v>#DIV/0!</v>
      </c>
      <c r="JC26" s="523">
        <f t="shared" si="196"/>
        <v>0</v>
      </c>
      <c r="JD26" s="521"/>
      <c r="JE26" s="522" t="e">
        <f t="shared" si="86"/>
        <v>#DIV/0!</v>
      </c>
      <c r="JF26" s="523">
        <f t="shared" si="197"/>
        <v>0</v>
      </c>
      <c r="JG26" s="521"/>
      <c r="JH26" s="522" t="e">
        <f t="shared" si="87"/>
        <v>#DIV/0!</v>
      </c>
      <c r="JI26" s="523">
        <f t="shared" si="198"/>
        <v>0</v>
      </c>
      <c r="JJ26" s="521"/>
      <c r="JK26" s="523" t="str">
        <f t="shared" si="88"/>
        <v>0</v>
      </c>
      <c r="JL26" s="523" t="str">
        <f t="shared" si="89"/>
        <v>0</v>
      </c>
      <c r="JM26" s="521"/>
      <c r="JN26" s="523" t="str">
        <f t="shared" si="90"/>
        <v>0</v>
      </c>
      <c r="JO26" s="523" t="str">
        <f t="shared" si="91"/>
        <v>0</v>
      </c>
      <c r="JP26" s="521"/>
      <c r="JQ26" s="523" t="str">
        <f t="shared" si="92"/>
        <v>0</v>
      </c>
      <c r="JR26" s="523" t="str">
        <f t="shared" si="93"/>
        <v>0</v>
      </c>
      <c r="JS26" s="521"/>
      <c r="JT26" s="523" t="str">
        <f t="shared" si="94"/>
        <v>0</v>
      </c>
      <c r="JU26" s="523" t="str">
        <f t="shared" si="95"/>
        <v>0</v>
      </c>
      <c r="JV26" s="521"/>
      <c r="JW26" s="523" t="str">
        <f t="shared" si="96"/>
        <v>0</v>
      </c>
      <c r="JX26" s="523" t="str">
        <f t="shared" si="97"/>
        <v>0</v>
      </c>
      <c r="JY26" s="521"/>
      <c r="JZ26" s="523" t="str">
        <f t="shared" si="98"/>
        <v>0</v>
      </c>
      <c r="KA26" s="523" t="str">
        <f t="shared" si="99"/>
        <v>0</v>
      </c>
      <c r="KB26" s="521"/>
      <c r="KC26" s="523" t="str">
        <f t="shared" si="100"/>
        <v>0</v>
      </c>
      <c r="KD26" s="523" t="str">
        <f t="shared" si="101"/>
        <v>0</v>
      </c>
      <c r="KE26" s="521"/>
      <c r="KF26" s="523" t="str">
        <f t="shared" si="102"/>
        <v>0</v>
      </c>
      <c r="KG26" s="523" t="str">
        <f t="shared" si="103"/>
        <v>0</v>
      </c>
      <c r="KH26" s="521"/>
      <c r="KI26" s="523" t="str">
        <f t="shared" si="104"/>
        <v>0</v>
      </c>
      <c r="KJ26" s="523" t="str">
        <f t="shared" si="105"/>
        <v>0</v>
      </c>
      <c r="KK26" s="521"/>
      <c r="KL26" s="523" t="str">
        <f t="shared" si="106"/>
        <v>0</v>
      </c>
      <c r="KM26" s="523" t="str">
        <f t="shared" si="107"/>
        <v>0</v>
      </c>
      <c r="KN26" s="521"/>
      <c r="KO26" s="523" t="str">
        <f t="shared" si="108"/>
        <v>0</v>
      </c>
      <c r="KP26" s="523" t="str">
        <f t="shared" si="109"/>
        <v>0</v>
      </c>
      <c r="KQ26" s="521"/>
      <c r="KR26" s="523" t="str">
        <f t="shared" si="110"/>
        <v>0</v>
      </c>
      <c r="KS26" s="523" t="str">
        <f t="shared" si="111"/>
        <v>0</v>
      </c>
      <c r="KT26" s="523">
        <f t="shared" si="201"/>
        <v>0</v>
      </c>
      <c r="KU26" s="523">
        <f t="shared" si="202"/>
        <v>0</v>
      </c>
      <c r="KV26" s="261">
        <f t="shared" si="199"/>
        <v>0</v>
      </c>
    </row>
    <row r="27" spans="1:308">
      <c r="A27" s="262">
        <f t="shared" si="200"/>
        <v>46100</v>
      </c>
      <c r="B27" s="263" t="str">
        <f>+Report1!B27</f>
        <v>Toilet</v>
      </c>
      <c r="C27" s="263" t="str">
        <f>+Report1!C27</f>
        <v>12,5</v>
      </c>
      <c r="D27" s="264">
        <f>+Report1!P27</f>
        <v>0</v>
      </c>
      <c r="E27" s="556">
        <f>+Report1!R27</f>
        <v>0</v>
      </c>
      <c r="F27" s="521"/>
      <c r="G27" s="522" t="e">
        <f t="shared" si="0"/>
        <v>#DIV/0!</v>
      </c>
      <c r="H27" s="523">
        <f t="shared" si="112"/>
        <v>0</v>
      </c>
      <c r="I27" s="521"/>
      <c r="J27" s="522" t="e">
        <f t="shared" si="1"/>
        <v>#DIV/0!</v>
      </c>
      <c r="K27" s="523">
        <f t="shared" si="113"/>
        <v>0</v>
      </c>
      <c r="L27" s="521"/>
      <c r="M27" s="522" t="e">
        <f t="shared" si="2"/>
        <v>#DIV/0!</v>
      </c>
      <c r="N27" s="523">
        <f t="shared" si="114"/>
        <v>0</v>
      </c>
      <c r="O27" s="521"/>
      <c r="P27" s="522" t="e">
        <f t="shared" si="3"/>
        <v>#DIV/0!</v>
      </c>
      <c r="Q27" s="523">
        <f t="shared" si="115"/>
        <v>0</v>
      </c>
      <c r="R27" s="521"/>
      <c r="S27" s="522" t="e">
        <f t="shared" si="4"/>
        <v>#DIV/0!</v>
      </c>
      <c r="T27" s="523">
        <f t="shared" si="116"/>
        <v>0</v>
      </c>
      <c r="U27" s="521"/>
      <c r="V27" s="522" t="e">
        <f t="shared" si="5"/>
        <v>#DIV/0!</v>
      </c>
      <c r="W27" s="523">
        <f t="shared" si="117"/>
        <v>0</v>
      </c>
      <c r="X27" s="521"/>
      <c r="Y27" s="522" t="e">
        <f t="shared" si="6"/>
        <v>#DIV/0!</v>
      </c>
      <c r="Z27" s="523">
        <f t="shared" si="118"/>
        <v>0</v>
      </c>
      <c r="AA27" s="521"/>
      <c r="AB27" s="522" t="e">
        <f t="shared" si="7"/>
        <v>#DIV/0!</v>
      </c>
      <c r="AC27" s="523">
        <f t="shared" si="119"/>
        <v>0</v>
      </c>
      <c r="AD27" s="521"/>
      <c r="AE27" s="522" t="e">
        <f t="shared" si="8"/>
        <v>#DIV/0!</v>
      </c>
      <c r="AF27" s="523">
        <f t="shared" si="120"/>
        <v>0</v>
      </c>
      <c r="AG27" s="521"/>
      <c r="AH27" s="522" t="e">
        <f t="shared" si="9"/>
        <v>#DIV/0!</v>
      </c>
      <c r="AI27" s="523">
        <f t="shared" si="121"/>
        <v>0</v>
      </c>
      <c r="AJ27" s="521"/>
      <c r="AK27" s="522" t="e">
        <f t="shared" si="10"/>
        <v>#DIV/0!</v>
      </c>
      <c r="AL27" s="523">
        <f t="shared" si="122"/>
        <v>0</v>
      </c>
      <c r="AM27" s="521"/>
      <c r="AN27" s="522" t="e">
        <f t="shared" si="11"/>
        <v>#DIV/0!</v>
      </c>
      <c r="AO27" s="523">
        <f t="shared" si="123"/>
        <v>0</v>
      </c>
      <c r="AP27" s="521"/>
      <c r="AQ27" s="522" t="e">
        <f t="shared" si="12"/>
        <v>#DIV/0!</v>
      </c>
      <c r="AR27" s="523">
        <f t="shared" si="124"/>
        <v>0</v>
      </c>
      <c r="AS27" s="521"/>
      <c r="AT27" s="522" t="e">
        <f t="shared" si="13"/>
        <v>#DIV/0!</v>
      </c>
      <c r="AU27" s="523">
        <f t="shared" si="125"/>
        <v>0</v>
      </c>
      <c r="AV27" s="521"/>
      <c r="AW27" s="522" t="e">
        <f t="shared" si="14"/>
        <v>#DIV/0!</v>
      </c>
      <c r="AX27" s="523">
        <f t="shared" si="126"/>
        <v>0</v>
      </c>
      <c r="AY27" s="521"/>
      <c r="AZ27" s="522" t="e">
        <f t="shared" si="15"/>
        <v>#DIV/0!</v>
      </c>
      <c r="BA27" s="523">
        <f t="shared" si="127"/>
        <v>0</v>
      </c>
      <c r="BB27" s="521"/>
      <c r="BC27" s="522" t="e">
        <f t="shared" si="16"/>
        <v>#DIV/0!</v>
      </c>
      <c r="BD27" s="523">
        <f t="shared" si="128"/>
        <v>0</v>
      </c>
      <c r="BE27" s="521"/>
      <c r="BF27" s="522" t="e">
        <f t="shared" si="17"/>
        <v>#DIV/0!</v>
      </c>
      <c r="BG27" s="523">
        <f t="shared" si="129"/>
        <v>0</v>
      </c>
      <c r="BH27" s="521"/>
      <c r="BI27" s="522" t="e">
        <f t="shared" si="18"/>
        <v>#DIV/0!</v>
      </c>
      <c r="BJ27" s="523">
        <f t="shared" si="130"/>
        <v>0</v>
      </c>
      <c r="BK27" s="521"/>
      <c r="BL27" s="522" t="e">
        <f t="shared" si="19"/>
        <v>#DIV/0!</v>
      </c>
      <c r="BM27" s="523">
        <f t="shared" si="131"/>
        <v>0</v>
      </c>
      <c r="BN27" s="521"/>
      <c r="BO27" s="522" t="e">
        <f t="shared" si="20"/>
        <v>#DIV/0!</v>
      </c>
      <c r="BP27" s="523">
        <f t="shared" si="132"/>
        <v>0</v>
      </c>
      <c r="BQ27" s="521"/>
      <c r="BR27" s="522" t="e">
        <f t="shared" si="21"/>
        <v>#DIV/0!</v>
      </c>
      <c r="BS27" s="523">
        <f t="shared" si="133"/>
        <v>0</v>
      </c>
      <c r="BT27" s="521"/>
      <c r="BU27" s="522" t="e">
        <f t="shared" si="22"/>
        <v>#DIV/0!</v>
      </c>
      <c r="BV27" s="523">
        <f t="shared" si="134"/>
        <v>0</v>
      </c>
      <c r="BW27" s="521"/>
      <c r="BX27" s="522" t="e">
        <f t="shared" si="23"/>
        <v>#DIV/0!</v>
      </c>
      <c r="BY27" s="523">
        <f t="shared" si="135"/>
        <v>0</v>
      </c>
      <c r="BZ27" s="521"/>
      <c r="CA27" s="522" t="e">
        <f t="shared" si="24"/>
        <v>#DIV/0!</v>
      </c>
      <c r="CB27" s="523">
        <f t="shared" si="136"/>
        <v>0</v>
      </c>
      <c r="CC27" s="521"/>
      <c r="CD27" s="522" t="e">
        <f t="shared" si="25"/>
        <v>#DIV/0!</v>
      </c>
      <c r="CE27" s="523">
        <f t="shared" si="137"/>
        <v>0</v>
      </c>
      <c r="CF27" s="521"/>
      <c r="CG27" s="522" t="e">
        <f t="shared" si="26"/>
        <v>#DIV/0!</v>
      </c>
      <c r="CH27" s="523">
        <f t="shared" si="138"/>
        <v>0</v>
      </c>
      <c r="CI27" s="521"/>
      <c r="CJ27" s="522" t="e">
        <f t="shared" si="27"/>
        <v>#DIV/0!</v>
      </c>
      <c r="CK27" s="523">
        <f t="shared" si="139"/>
        <v>0</v>
      </c>
      <c r="CL27" s="521"/>
      <c r="CM27" s="522" t="e">
        <f t="shared" si="28"/>
        <v>#DIV/0!</v>
      </c>
      <c r="CN27" s="523">
        <f t="shared" si="140"/>
        <v>0</v>
      </c>
      <c r="CO27" s="521"/>
      <c r="CP27" s="522" t="e">
        <f t="shared" si="29"/>
        <v>#DIV/0!</v>
      </c>
      <c r="CQ27" s="523">
        <f t="shared" si="141"/>
        <v>0</v>
      </c>
      <c r="CR27" s="521"/>
      <c r="CS27" s="522" t="e">
        <f t="shared" si="30"/>
        <v>#DIV/0!</v>
      </c>
      <c r="CT27" s="523">
        <f t="shared" si="142"/>
        <v>0</v>
      </c>
      <c r="CU27" s="521"/>
      <c r="CV27" s="522" t="e">
        <f t="shared" si="31"/>
        <v>#DIV/0!</v>
      </c>
      <c r="CW27" s="523">
        <f t="shared" si="143"/>
        <v>0</v>
      </c>
      <c r="CX27" s="521"/>
      <c r="CY27" s="522" t="e">
        <f t="shared" si="32"/>
        <v>#DIV/0!</v>
      </c>
      <c r="CZ27" s="523">
        <f t="shared" si="144"/>
        <v>0</v>
      </c>
      <c r="DA27" s="521"/>
      <c r="DB27" s="522" t="e">
        <f t="shared" si="33"/>
        <v>#DIV/0!</v>
      </c>
      <c r="DC27" s="523">
        <f t="shared" si="145"/>
        <v>0</v>
      </c>
      <c r="DD27" s="521"/>
      <c r="DE27" s="522" t="e">
        <f t="shared" si="34"/>
        <v>#DIV/0!</v>
      </c>
      <c r="DF27" s="523">
        <f t="shared" si="146"/>
        <v>0</v>
      </c>
      <c r="DG27" s="521"/>
      <c r="DH27" s="522" t="e">
        <f t="shared" si="35"/>
        <v>#DIV/0!</v>
      </c>
      <c r="DI27" s="523">
        <f t="shared" si="203"/>
        <v>0</v>
      </c>
      <c r="DJ27" s="521"/>
      <c r="DK27" s="522" t="e">
        <f t="shared" si="36"/>
        <v>#DIV/0!</v>
      </c>
      <c r="DL27" s="523">
        <f t="shared" si="147"/>
        <v>0</v>
      </c>
      <c r="DM27" s="521"/>
      <c r="DN27" s="522" t="e">
        <f t="shared" si="37"/>
        <v>#DIV/0!</v>
      </c>
      <c r="DO27" s="523">
        <f t="shared" si="148"/>
        <v>0</v>
      </c>
      <c r="DP27" s="521"/>
      <c r="DQ27" s="522" t="e">
        <f t="shared" si="38"/>
        <v>#DIV/0!</v>
      </c>
      <c r="DR27" s="523">
        <f t="shared" si="149"/>
        <v>0</v>
      </c>
      <c r="DS27" s="521"/>
      <c r="DT27" s="522" t="e">
        <f t="shared" si="39"/>
        <v>#DIV/0!</v>
      </c>
      <c r="DU27" s="523">
        <f t="shared" si="150"/>
        <v>0</v>
      </c>
      <c r="DV27" s="521"/>
      <c r="DW27" s="522" t="e">
        <f t="shared" si="40"/>
        <v>#DIV/0!</v>
      </c>
      <c r="DX27" s="523">
        <f t="shared" si="151"/>
        <v>0</v>
      </c>
      <c r="DY27" s="521"/>
      <c r="DZ27" s="522" t="e">
        <f t="shared" si="41"/>
        <v>#DIV/0!</v>
      </c>
      <c r="EA27" s="523">
        <f t="shared" si="152"/>
        <v>0</v>
      </c>
      <c r="EB27" s="521"/>
      <c r="EC27" s="522" t="e">
        <f t="shared" si="42"/>
        <v>#DIV/0!</v>
      </c>
      <c r="ED27" s="523">
        <f t="shared" si="153"/>
        <v>0</v>
      </c>
      <c r="EE27" s="521"/>
      <c r="EF27" s="522" t="e">
        <f t="shared" si="43"/>
        <v>#DIV/0!</v>
      </c>
      <c r="EG27" s="523">
        <f t="shared" si="154"/>
        <v>0</v>
      </c>
      <c r="EH27" s="521"/>
      <c r="EI27" s="522" t="e">
        <f t="shared" si="44"/>
        <v>#DIV/0!</v>
      </c>
      <c r="EJ27" s="523">
        <f t="shared" si="155"/>
        <v>0</v>
      </c>
      <c r="EK27" s="521"/>
      <c r="EL27" s="522" t="e">
        <f t="shared" si="45"/>
        <v>#DIV/0!</v>
      </c>
      <c r="EM27" s="523">
        <f t="shared" si="156"/>
        <v>0</v>
      </c>
      <c r="EN27" s="521"/>
      <c r="EO27" s="522" t="e">
        <f t="shared" si="46"/>
        <v>#DIV/0!</v>
      </c>
      <c r="EP27" s="523">
        <f t="shared" si="157"/>
        <v>0</v>
      </c>
      <c r="EQ27" s="521"/>
      <c r="ER27" s="522" t="e">
        <f t="shared" si="47"/>
        <v>#DIV/0!</v>
      </c>
      <c r="ES27" s="523">
        <f t="shared" si="158"/>
        <v>0</v>
      </c>
      <c r="ET27" s="521"/>
      <c r="EU27" s="522" t="e">
        <f t="shared" si="48"/>
        <v>#DIV/0!</v>
      </c>
      <c r="EV27" s="523">
        <f t="shared" si="159"/>
        <v>0</v>
      </c>
      <c r="EW27" s="521"/>
      <c r="EX27" s="522" t="e">
        <f t="shared" si="49"/>
        <v>#DIV/0!</v>
      </c>
      <c r="EY27" s="523">
        <f t="shared" si="160"/>
        <v>0</v>
      </c>
      <c r="EZ27" s="521"/>
      <c r="FA27" s="522" t="e">
        <f t="shared" si="50"/>
        <v>#DIV/0!</v>
      </c>
      <c r="FB27" s="523">
        <f t="shared" si="161"/>
        <v>0</v>
      </c>
      <c r="FC27" s="521"/>
      <c r="FD27" s="522" t="e">
        <f t="shared" si="51"/>
        <v>#DIV/0!</v>
      </c>
      <c r="FE27" s="523">
        <f t="shared" si="162"/>
        <v>0</v>
      </c>
      <c r="FF27" s="521"/>
      <c r="FG27" s="522" t="e">
        <f t="shared" si="52"/>
        <v>#DIV/0!</v>
      </c>
      <c r="FH27" s="523">
        <f t="shared" si="163"/>
        <v>0</v>
      </c>
      <c r="FI27" s="521"/>
      <c r="FJ27" s="522" t="e">
        <f t="shared" si="53"/>
        <v>#DIV/0!</v>
      </c>
      <c r="FK27" s="523">
        <f t="shared" si="164"/>
        <v>0</v>
      </c>
      <c r="FL27" s="521"/>
      <c r="FM27" s="522" t="e">
        <f t="shared" si="54"/>
        <v>#DIV/0!</v>
      </c>
      <c r="FN27" s="523">
        <f t="shared" si="165"/>
        <v>0</v>
      </c>
      <c r="FO27" s="521"/>
      <c r="FP27" s="522" t="e">
        <f t="shared" si="55"/>
        <v>#DIV/0!</v>
      </c>
      <c r="FQ27" s="523">
        <f t="shared" si="166"/>
        <v>0</v>
      </c>
      <c r="FR27" s="521"/>
      <c r="FS27" s="522" t="e">
        <f t="shared" si="56"/>
        <v>#DIV/0!</v>
      </c>
      <c r="FT27" s="523">
        <f t="shared" si="167"/>
        <v>0</v>
      </c>
      <c r="FU27" s="521"/>
      <c r="FV27" s="522" t="e">
        <f t="shared" si="57"/>
        <v>#DIV/0!</v>
      </c>
      <c r="FW27" s="523">
        <f t="shared" si="168"/>
        <v>0</v>
      </c>
      <c r="FX27" s="521"/>
      <c r="FY27" s="522" t="e">
        <f t="shared" si="58"/>
        <v>#DIV/0!</v>
      </c>
      <c r="FZ27" s="523">
        <f t="shared" si="169"/>
        <v>0</v>
      </c>
      <c r="GA27" s="521"/>
      <c r="GB27" s="522" t="e">
        <f t="shared" si="59"/>
        <v>#DIV/0!</v>
      </c>
      <c r="GC27" s="523">
        <f t="shared" si="170"/>
        <v>0</v>
      </c>
      <c r="GD27" s="521"/>
      <c r="GE27" s="522" t="e">
        <f t="shared" si="60"/>
        <v>#DIV/0!</v>
      </c>
      <c r="GF27" s="523">
        <f t="shared" si="171"/>
        <v>0</v>
      </c>
      <c r="GG27" s="521"/>
      <c r="GH27" s="522" t="e">
        <f t="shared" si="61"/>
        <v>#DIV/0!</v>
      </c>
      <c r="GI27" s="523">
        <f t="shared" si="172"/>
        <v>0</v>
      </c>
      <c r="GJ27" s="521"/>
      <c r="GK27" s="522" t="e">
        <f t="shared" si="62"/>
        <v>#DIV/0!</v>
      </c>
      <c r="GL27" s="523">
        <f t="shared" si="173"/>
        <v>0</v>
      </c>
      <c r="GM27" s="521"/>
      <c r="GN27" s="522" t="e">
        <f t="shared" si="63"/>
        <v>#DIV/0!</v>
      </c>
      <c r="GO27" s="523">
        <f t="shared" si="174"/>
        <v>0</v>
      </c>
      <c r="GP27" s="521"/>
      <c r="GQ27" s="522" t="e">
        <f t="shared" si="64"/>
        <v>#DIV/0!</v>
      </c>
      <c r="GR27" s="523">
        <f t="shared" si="175"/>
        <v>0</v>
      </c>
      <c r="GS27" s="521"/>
      <c r="GT27" s="522" t="e">
        <f t="shared" si="65"/>
        <v>#DIV/0!</v>
      </c>
      <c r="GU27" s="523">
        <f t="shared" si="176"/>
        <v>0</v>
      </c>
      <c r="GV27" s="521"/>
      <c r="GW27" s="522" t="e">
        <f t="shared" si="66"/>
        <v>#DIV/0!</v>
      </c>
      <c r="GX27" s="523">
        <f t="shared" si="177"/>
        <v>0</v>
      </c>
      <c r="GY27" s="521"/>
      <c r="GZ27" s="522" t="e">
        <f t="shared" si="67"/>
        <v>#DIV/0!</v>
      </c>
      <c r="HA27" s="523">
        <f t="shared" si="178"/>
        <v>0</v>
      </c>
      <c r="HB27" s="521"/>
      <c r="HC27" s="522" t="e">
        <f t="shared" si="68"/>
        <v>#DIV/0!</v>
      </c>
      <c r="HD27" s="523">
        <f t="shared" si="179"/>
        <v>0</v>
      </c>
      <c r="HE27" s="521"/>
      <c r="HF27" s="522" t="e">
        <f t="shared" si="69"/>
        <v>#DIV/0!</v>
      </c>
      <c r="HG27" s="523">
        <f t="shared" si="180"/>
        <v>0</v>
      </c>
      <c r="HH27" s="521"/>
      <c r="HI27" s="522" t="e">
        <f t="shared" si="70"/>
        <v>#DIV/0!</v>
      </c>
      <c r="HJ27" s="523">
        <f t="shared" si="181"/>
        <v>0</v>
      </c>
      <c r="HK27" s="521"/>
      <c r="HL27" s="522" t="e">
        <f t="shared" si="71"/>
        <v>#DIV/0!</v>
      </c>
      <c r="HM27" s="523">
        <f t="shared" si="182"/>
        <v>0</v>
      </c>
      <c r="HN27" s="521"/>
      <c r="HO27" s="522" t="e">
        <f t="shared" si="72"/>
        <v>#DIV/0!</v>
      </c>
      <c r="HP27" s="523">
        <f t="shared" si="183"/>
        <v>0</v>
      </c>
      <c r="HQ27" s="521"/>
      <c r="HR27" s="522" t="e">
        <f t="shared" si="73"/>
        <v>#DIV/0!</v>
      </c>
      <c r="HS27" s="523">
        <f t="shared" si="184"/>
        <v>0</v>
      </c>
      <c r="HT27" s="521"/>
      <c r="HU27" s="522" t="e">
        <f t="shared" si="74"/>
        <v>#DIV/0!</v>
      </c>
      <c r="HV27" s="523">
        <f t="shared" si="185"/>
        <v>0</v>
      </c>
      <c r="HW27" s="521"/>
      <c r="HX27" s="522" t="e">
        <f t="shared" si="75"/>
        <v>#DIV/0!</v>
      </c>
      <c r="HY27" s="523">
        <f t="shared" si="186"/>
        <v>0</v>
      </c>
      <c r="HZ27" s="521"/>
      <c r="IA27" s="522" t="e">
        <f t="shared" si="76"/>
        <v>#DIV/0!</v>
      </c>
      <c r="IB27" s="523">
        <f t="shared" si="187"/>
        <v>0</v>
      </c>
      <c r="IC27" s="521"/>
      <c r="ID27" s="522" t="e">
        <f t="shared" si="77"/>
        <v>#DIV/0!</v>
      </c>
      <c r="IE27" s="523">
        <f t="shared" si="188"/>
        <v>0</v>
      </c>
      <c r="IF27" s="521"/>
      <c r="IG27" s="522" t="e">
        <f t="shared" si="78"/>
        <v>#DIV/0!</v>
      </c>
      <c r="IH27" s="523">
        <f t="shared" si="189"/>
        <v>0</v>
      </c>
      <c r="II27" s="521"/>
      <c r="IJ27" s="522" t="e">
        <f t="shared" si="79"/>
        <v>#DIV/0!</v>
      </c>
      <c r="IK27" s="523">
        <f t="shared" si="190"/>
        <v>0</v>
      </c>
      <c r="IL27" s="521"/>
      <c r="IM27" s="522" t="e">
        <f t="shared" si="80"/>
        <v>#DIV/0!</v>
      </c>
      <c r="IN27" s="523">
        <f t="shared" si="191"/>
        <v>0</v>
      </c>
      <c r="IO27" s="521"/>
      <c r="IP27" s="522" t="e">
        <f t="shared" si="81"/>
        <v>#DIV/0!</v>
      </c>
      <c r="IQ27" s="523">
        <f t="shared" si="192"/>
        <v>0</v>
      </c>
      <c r="IR27" s="521"/>
      <c r="IS27" s="522" t="e">
        <f t="shared" si="82"/>
        <v>#DIV/0!</v>
      </c>
      <c r="IT27" s="523">
        <f t="shared" si="193"/>
        <v>0</v>
      </c>
      <c r="IU27" s="521"/>
      <c r="IV27" s="522" t="e">
        <f t="shared" si="83"/>
        <v>#DIV/0!</v>
      </c>
      <c r="IW27" s="523">
        <f t="shared" si="194"/>
        <v>0</v>
      </c>
      <c r="IX27" s="521"/>
      <c r="IY27" s="522" t="e">
        <f t="shared" si="84"/>
        <v>#DIV/0!</v>
      </c>
      <c r="IZ27" s="523">
        <f t="shared" si="195"/>
        <v>0</v>
      </c>
      <c r="JA27" s="521"/>
      <c r="JB27" s="522" t="e">
        <f t="shared" si="85"/>
        <v>#DIV/0!</v>
      </c>
      <c r="JC27" s="523">
        <f t="shared" si="196"/>
        <v>0</v>
      </c>
      <c r="JD27" s="521"/>
      <c r="JE27" s="522" t="e">
        <f t="shared" si="86"/>
        <v>#DIV/0!</v>
      </c>
      <c r="JF27" s="523">
        <f t="shared" si="197"/>
        <v>0</v>
      </c>
      <c r="JG27" s="521"/>
      <c r="JH27" s="522" t="e">
        <f t="shared" si="87"/>
        <v>#DIV/0!</v>
      </c>
      <c r="JI27" s="523">
        <f t="shared" si="198"/>
        <v>0</v>
      </c>
      <c r="JJ27" s="521"/>
      <c r="JK27" s="523" t="str">
        <f t="shared" si="88"/>
        <v>0</v>
      </c>
      <c r="JL27" s="523" t="str">
        <f t="shared" si="89"/>
        <v>0</v>
      </c>
      <c r="JM27" s="521"/>
      <c r="JN27" s="523" t="str">
        <f t="shared" si="90"/>
        <v>0</v>
      </c>
      <c r="JO27" s="523" t="str">
        <f t="shared" si="91"/>
        <v>0</v>
      </c>
      <c r="JP27" s="521"/>
      <c r="JQ27" s="523" t="str">
        <f t="shared" si="92"/>
        <v>0</v>
      </c>
      <c r="JR27" s="523" t="str">
        <f t="shared" si="93"/>
        <v>0</v>
      </c>
      <c r="JS27" s="521"/>
      <c r="JT27" s="523" t="str">
        <f t="shared" si="94"/>
        <v>0</v>
      </c>
      <c r="JU27" s="523" t="str">
        <f t="shared" si="95"/>
        <v>0</v>
      </c>
      <c r="JV27" s="521"/>
      <c r="JW27" s="523" t="str">
        <f t="shared" si="96"/>
        <v>0</v>
      </c>
      <c r="JX27" s="523" t="str">
        <f t="shared" si="97"/>
        <v>0</v>
      </c>
      <c r="JY27" s="521"/>
      <c r="JZ27" s="523" t="str">
        <f t="shared" si="98"/>
        <v>0</v>
      </c>
      <c r="KA27" s="523" t="str">
        <f t="shared" si="99"/>
        <v>0</v>
      </c>
      <c r="KB27" s="521"/>
      <c r="KC27" s="523" t="str">
        <f t="shared" si="100"/>
        <v>0</v>
      </c>
      <c r="KD27" s="523" t="str">
        <f t="shared" si="101"/>
        <v>0</v>
      </c>
      <c r="KE27" s="521"/>
      <c r="KF27" s="523" t="str">
        <f t="shared" si="102"/>
        <v>0</v>
      </c>
      <c r="KG27" s="523" t="str">
        <f t="shared" si="103"/>
        <v>0</v>
      </c>
      <c r="KH27" s="521"/>
      <c r="KI27" s="523" t="str">
        <f t="shared" si="104"/>
        <v>0</v>
      </c>
      <c r="KJ27" s="523" t="str">
        <f t="shared" si="105"/>
        <v>0</v>
      </c>
      <c r="KK27" s="521"/>
      <c r="KL27" s="523" t="str">
        <f t="shared" si="106"/>
        <v>0</v>
      </c>
      <c r="KM27" s="523" t="str">
        <f t="shared" si="107"/>
        <v>0</v>
      </c>
      <c r="KN27" s="521"/>
      <c r="KO27" s="523" t="str">
        <f t="shared" si="108"/>
        <v>0</v>
      </c>
      <c r="KP27" s="523" t="str">
        <f t="shared" si="109"/>
        <v>0</v>
      </c>
      <c r="KQ27" s="521"/>
      <c r="KR27" s="523" t="str">
        <f t="shared" si="110"/>
        <v>0</v>
      </c>
      <c r="KS27" s="523" t="str">
        <f t="shared" si="111"/>
        <v>0</v>
      </c>
      <c r="KT27" s="523">
        <f t="shared" si="201"/>
        <v>0</v>
      </c>
      <c r="KU27" s="523">
        <f t="shared" si="202"/>
        <v>0</v>
      </c>
      <c r="KV27" s="261">
        <f t="shared" si="199"/>
        <v>0</v>
      </c>
    </row>
    <row r="28" spans="1:308">
      <c r="A28" s="262">
        <f t="shared" si="200"/>
        <v>46101</v>
      </c>
      <c r="B28" s="263" t="str">
        <f>+Report1!B28</f>
        <v>Toilet</v>
      </c>
      <c r="C28" s="263" t="str">
        <f>+Report1!C28</f>
        <v>12,5</v>
      </c>
      <c r="D28" s="264">
        <f>+Report1!P28</f>
        <v>0</v>
      </c>
      <c r="E28" s="556">
        <f>+Report1!R28</f>
        <v>0</v>
      </c>
      <c r="F28" s="521"/>
      <c r="G28" s="522" t="e">
        <f t="shared" si="0"/>
        <v>#DIV/0!</v>
      </c>
      <c r="H28" s="523">
        <f t="shared" si="112"/>
        <v>0</v>
      </c>
      <c r="I28" s="521"/>
      <c r="J28" s="522" t="e">
        <f t="shared" si="1"/>
        <v>#DIV/0!</v>
      </c>
      <c r="K28" s="523">
        <f t="shared" si="113"/>
        <v>0</v>
      </c>
      <c r="L28" s="521"/>
      <c r="M28" s="522" t="e">
        <f t="shared" si="2"/>
        <v>#DIV/0!</v>
      </c>
      <c r="N28" s="523">
        <f t="shared" si="114"/>
        <v>0</v>
      </c>
      <c r="O28" s="521"/>
      <c r="P28" s="522" t="e">
        <f t="shared" si="3"/>
        <v>#DIV/0!</v>
      </c>
      <c r="Q28" s="523">
        <f t="shared" si="115"/>
        <v>0</v>
      </c>
      <c r="R28" s="521"/>
      <c r="S28" s="522" t="e">
        <f t="shared" si="4"/>
        <v>#DIV/0!</v>
      </c>
      <c r="T28" s="523">
        <f t="shared" si="116"/>
        <v>0</v>
      </c>
      <c r="U28" s="521"/>
      <c r="V28" s="522" t="e">
        <f t="shared" si="5"/>
        <v>#DIV/0!</v>
      </c>
      <c r="W28" s="523">
        <f t="shared" si="117"/>
        <v>0</v>
      </c>
      <c r="X28" s="521"/>
      <c r="Y28" s="522" t="e">
        <f t="shared" si="6"/>
        <v>#DIV/0!</v>
      </c>
      <c r="Z28" s="523">
        <f t="shared" si="118"/>
        <v>0</v>
      </c>
      <c r="AA28" s="521"/>
      <c r="AB28" s="522" t="e">
        <f t="shared" si="7"/>
        <v>#DIV/0!</v>
      </c>
      <c r="AC28" s="523">
        <f t="shared" si="119"/>
        <v>0</v>
      </c>
      <c r="AD28" s="521"/>
      <c r="AE28" s="522" t="e">
        <f t="shared" si="8"/>
        <v>#DIV/0!</v>
      </c>
      <c r="AF28" s="523">
        <f t="shared" si="120"/>
        <v>0</v>
      </c>
      <c r="AG28" s="521"/>
      <c r="AH28" s="522" t="e">
        <f t="shared" si="9"/>
        <v>#DIV/0!</v>
      </c>
      <c r="AI28" s="523">
        <f t="shared" si="121"/>
        <v>0</v>
      </c>
      <c r="AJ28" s="521"/>
      <c r="AK28" s="522" t="e">
        <f t="shared" si="10"/>
        <v>#DIV/0!</v>
      </c>
      <c r="AL28" s="523">
        <f t="shared" si="122"/>
        <v>0</v>
      </c>
      <c r="AM28" s="521"/>
      <c r="AN28" s="522" t="e">
        <f t="shared" si="11"/>
        <v>#DIV/0!</v>
      </c>
      <c r="AO28" s="523">
        <f t="shared" si="123"/>
        <v>0</v>
      </c>
      <c r="AP28" s="521"/>
      <c r="AQ28" s="522" t="e">
        <f t="shared" si="12"/>
        <v>#DIV/0!</v>
      </c>
      <c r="AR28" s="523">
        <f t="shared" si="124"/>
        <v>0</v>
      </c>
      <c r="AS28" s="521"/>
      <c r="AT28" s="522" t="e">
        <f t="shared" si="13"/>
        <v>#DIV/0!</v>
      </c>
      <c r="AU28" s="523">
        <f t="shared" si="125"/>
        <v>0</v>
      </c>
      <c r="AV28" s="521"/>
      <c r="AW28" s="522" t="e">
        <f t="shared" si="14"/>
        <v>#DIV/0!</v>
      </c>
      <c r="AX28" s="523">
        <f t="shared" si="126"/>
        <v>0</v>
      </c>
      <c r="AY28" s="521"/>
      <c r="AZ28" s="522" t="e">
        <f t="shared" si="15"/>
        <v>#DIV/0!</v>
      </c>
      <c r="BA28" s="523">
        <f t="shared" si="127"/>
        <v>0</v>
      </c>
      <c r="BB28" s="521"/>
      <c r="BC28" s="522" t="e">
        <f t="shared" si="16"/>
        <v>#DIV/0!</v>
      </c>
      <c r="BD28" s="523">
        <f t="shared" si="128"/>
        <v>0</v>
      </c>
      <c r="BE28" s="521"/>
      <c r="BF28" s="522" t="e">
        <f t="shared" si="17"/>
        <v>#DIV/0!</v>
      </c>
      <c r="BG28" s="523">
        <f t="shared" si="129"/>
        <v>0</v>
      </c>
      <c r="BH28" s="521"/>
      <c r="BI28" s="522" t="e">
        <f t="shared" si="18"/>
        <v>#DIV/0!</v>
      </c>
      <c r="BJ28" s="523">
        <f t="shared" si="130"/>
        <v>0</v>
      </c>
      <c r="BK28" s="521"/>
      <c r="BL28" s="522" t="e">
        <f t="shared" si="19"/>
        <v>#DIV/0!</v>
      </c>
      <c r="BM28" s="523">
        <f t="shared" si="131"/>
        <v>0</v>
      </c>
      <c r="BN28" s="521"/>
      <c r="BO28" s="522" t="e">
        <f t="shared" si="20"/>
        <v>#DIV/0!</v>
      </c>
      <c r="BP28" s="523">
        <f t="shared" si="132"/>
        <v>0</v>
      </c>
      <c r="BQ28" s="521"/>
      <c r="BR28" s="522" t="e">
        <f t="shared" si="21"/>
        <v>#DIV/0!</v>
      </c>
      <c r="BS28" s="523">
        <f t="shared" si="133"/>
        <v>0</v>
      </c>
      <c r="BT28" s="521"/>
      <c r="BU28" s="522" t="e">
        <f t="shared" si="22"/>
        <v>#DIV/0!</v>
      </c>
      <c r="BV28" s="523">
        <f t="shared" si="134"/>
        <v>0</v>
      </c>
      <c r="BW28" s="521"/>
      <c r="BX28" s="522" t="e">
        <f t="shared" si="23"/>
        <v>#DIV/0!</v>
      </c>
      <c r="BY28" s="523">
        <f t="shared" si="135"/>
        <v>0</v>
      </c>
      <c r="BZ28" s="521"/>
      <c r="CA28" s="522" t="e">
        <f t="shared" si="24"/>
        <v>#DIV/0!</v>
      </c>
      <c r="CB28" s="523">
        <f t="shared" si="136"/>
        <v>0</v>
      </c>
      <c r="CC28" s="521"/>
      <c r="CD28" s="522" t="e">
        <f t="shared" si="25"/>
        <v>#DIV/0!</v>
      </c>
      <c r="CE28" s="523">
        <f t="shared" si="137"/>
        <v>0</v>
      </c>
      <c r="CF28" s="521"/>
      <c r="CG28" s="522" t="e">
        <f t="shared" si="26"/>
        <v>#DIV/0!</v>
      </c>
      <c r="CH28" s="523">
        <f t="shared" si="138"/>
        <v>0</v>
      </c>
      <c r="CI28" s="521"/>
      <c r="CJ28" s="522" t="e">
        <f t="shared" si="27"/>
        <v>#DIV/0!</v>
      </c>
      <c r="CK28" s="523">
        <f t="shared" si="139"/>
        <v>0</v>
      </c>
      <c r="CL28" s="521"/>
      <c r="CM28" s="522" t="e">
        <f t="shared" si="28"/>
        <v>#DIV/0!</v>
      </c>
      <c r="CN28" s="523">
        <f t="shared" si="140"/>
        <v>0</v>
      </c>
      <c r="CO28" s="521"/>
      <c r="CP28" s="522" t="e">
        <f t="shared" si="29"/>
        <v>#DIV/0!</v>
      </c>
      <c r="CQ28" s="523">
        <f t="shared" si="141"/>
        <v>0</v>
      </c>
      <c r="CR28" s="521"/>
      <c r="CS28" s="522" t="e">
        <f t="shared" si="30"/>
        <v>#DIV/0!</v>
      </c>
      <c r="CT28" s="523">
        <f t="shared" si="142"/>
        <v>0</v>
      </c>
      <c r="CU28" s="521"/>
      <c r="CV28" s="522" t="e">
        <f t="shared" si="31"/>
        <v>#DIV/0!</v>
      </c>
      <c r="CW28" s="523">
        <f t="shared" si="143"/>
        <v>0</v>
      </c>
      <c r="CX28" s="521"/>
      <c r="CY28" s="522" t="e">
        <f t="shared" si="32"/>
        <v>#DIV/0!</v>
      </c>
      <c r="CZ28" s="523">
        <f t="shared" si="144"/>
        <v>0</v>
      </c>
      <c r="DA28" s="521"/>
      <c r="DB28" s="522" t="e">
        <f t="shared" si="33"/>
        <v>#DIV/0!</v>
      </c>
      <c r="DC28" s="523">
        <f t="shared" si="145"/>
        <v>0</v>
      </c>
      <c r="DD28" s="521"/>
      <c r="DE28" s="522" t="e">
        <f t="shared" si="34"/>
        <v>#DIV/0!</v>
      </c>
      <c r="DF28" s="523">
        <f t="shared" si="146"/>
        <v>0</v>
      </c>
      <c r="DG28" s="521"/>
      <c r="DH28" s="522" t="e">
        <f t="shared" si="35"/>
        <v>#DIV/0!</v>
      </c>
      <c r="DI28" s="523">
        <f t="shared" si="203"/>
        <v>0</v>
      </c>
      <c r="DJ28" s="521"/>
      <c r="DK28" s="522" t="e">
        <f t="shared" si="36"/>
        <v>#DIV/0!</v>
      </c>
      <c r="DL28" s="523">
        <f t="shared" si="147"/>
        <v>0</v>
      </c>
      <c r="DM28" s="521"/>
      <c r="DN28" s="522" t="e">
        <f t="shared" si="37"/>
        <v>#DIV/0!</v>
      </c>
      <c r="DO28" s="523">
        <f t="shared" si="148"/>
        <v>0</v>
      </c>
      <c r="DP28" s="521"/>
      <c r="DQ28" s="522" t="e">
        <f t="shared" si="38"/>
        <v>#DIV/0!</v>
      </c>
      <c r="DR28" s="523">
        <f t="shared" si="149"/>
        <v>0</v>
      </c>
      <c r="DS28" s="521"/>
      <c r="DT28" s="522" t="e">
        <f t="shared" si="39"/>
        <v>#DIV/0!</v>
      </c>
      <c r="DU28" s="523">
        <f t="shared" si="150"/>
        <v>0</v>
      </c>
      <c r="DV28" s="521"/>
      <c r="DW28" s="522" t="e">
        <f t="shared" si="40"/>
        <v>#DIV/0!</v>
      </c>
      <c r="DX28" s="523">
        <f t="shared" si="151"/>
        <v>0</v>
      </c>
      <c r="DY28" s="521"/>
      <c r="DZ28" s="522" t="e">
        <f t="shared" si="41"/>
        <v>#DIV/0!</v>
      </c>
      <c r="EA28" s="523">
        <f t="shared" si="152"/>
        <v>0</v>
      </c>
      <c r="EB28" s="521"/>
      <c r="EC28" s="522" t="e">
        <f t="shared" si="42"/>
        <v>#DIV/0!</v>
      </c>
      <c r="ED28" s="523">
        <f t="shared" si="153"/>
        <v>0</v>
      </c>
      <c r="EE28" s="521"/>
      <c r="EF28" s="522" t="e">
        <f t="shared" si="43"/>
        <v>#DIV/0!</v>
      </c>
      <c r="EG28" s="523">
        <f t="shared" si="154"/>
        <v>0</v>
      </c>
      <c r="EH28" s="521"/>
      <c r="EI28" s="522" t="e">
        <f t="shared" si="44"/>
        <v>#DIV/0!</v>
      </c>
      <c r="EJ28" s="523">
        <f t="shared" si="155"/>
        <v>0</v>
      </c>
      <c r="EK28" s="521"/>
      <c r="EL28" s="522" t="e">
        <f t="shared" si="45"/>
        <v>#DIV/0!</v>
      </c>
      <c r="EM28" s="523">
        <f t="shared" si="156"/>
        <v>0</v>
      </c>
      <c r="EN28" s="521"/>
      <c r="EO28" s="522" t="e">
        <f t="shared" si="46"/>
        <v>#DIV/0!</v>
      </c>
      <c r="EP28" s="523">
        <f t="shared" si="157"/>
        <v>0</v>
      </c>
      <c r="EQ28" s="521"/>
      <c r="ER28" s="522" t="e">
        <f t="shared" si="47"/>
        <v>#DIV/0!</v>
      </c>
      <c r="ES28" s="523">
        <f t="shared" si="158"/>
        <v>0</v>
      </c>
      <c r="ET28" s="521"/>
      <c r="EU28" s="522" t="e">
        <f t="shared" si="48"/>
        <v>#DIV/0!</v>
      </c>
      <c r="EV28" s="523">
        <f t="shared" si="159"/>
        <v>0</v>
      </c>
      <c r="EW28" s="521"/>
      <c r="EX28" s="522" t="e">
        <f t="shared" si="49"/>
        <v>#DIV/0!</v>
      </c>
      <c r="EY28" s="523">
        <f t="shared" si="160"/>
        <v>0</v>
      </c>
      <c r="EZ28" s="521"/>
      <c r="FA28" s="522" t="e">
        <f t="shared" si="50"/>
        <v>#DIV/0!</v>
      </c>
      <c r="FB28" s="523">
        <f t="shared" si="161"/>
        <v>0</v>
      </c>
      <c r="FC28" s="521"/>
      <c r="FD28" s="522" t="e">
        <f t="shared" si="51"/>
        <v>#DIV/0!</v>
      </c>
      <c r="FE28" s="523">
        <f t="shared" si="162"/>
        <v>0</v>
      </c>
      <c r="FF28" s="521"/>
      <c r="FG28" s="522" t="e">
        <f t="shared" si="52"/>
        <v>#DIV/0!</v>
      </c>
      <c r="FH28" s="523">
        <f t="shared" si="163"/>
        <v>0</v>
      </c>
      <c r="FI28" s="521"/>
      <c r="FJ28" s="522" t="e">
        <f t="shared" si="53"/>
        <v>#DIV/0!</v>
      </c>
      <c r="FK28" s="523">
        <f t="shared" si="164"/>
        <v>0</v>
      </c>
      <c r="FL28" s="521"/>
      <c r="FM28" s="522" t="e">
        <f t="shared" si="54"/>
        <v>#DIV/0!</v>
      </c>
      <c r="FN28" s="523">
        <f t="shared" si="165"/>
        <v>0</v>
      </c>
      <c r="FO28" s="521"/>
      <c r="FP28" s="522" t="e">
        <f t="shared" si="55"/>
        <v>#DIV/0!</v>
      </c>
      <c r="FQ28" s="523">
        <f t="shared" si="166"/>
        <v>0</v>
      </c>
      <c r="FR28" s="521"/>
      <c r="FS28" s="522" t="e">
        <f t="shared" si="56"/>
        <v>#DIV/0!</v>
      </c>
      <c r="FT28" s="523">
        <f t="shared" si="167"/>
        <v>0</v>
      </c>
      <c r="FU28" s="521"/>
      <c r="FV28" s="522" t="e">
        <f t="shared" si="57"/>
        <v>#DIV/0!</v>
      </c>
      <c r="FW28" s="523">
        <f t="shared" si="168"/>
        <v>0</v>
      </c>
      <c r="FX28" s="521"/>
      <c r="FY28" s="522" t="e">
        <f t="shared" si="58"/>
        <v>#DIV/0!</v>
      </c>
      <c r="FZ28" s="523">
        <f t="shared" si="169"/>
        <v>0</v>
      </c>
      <c r="GA28" s="521"/>
      <c r="GB28" s="522" t="e">
        <f t="shared" si="59"/>
        <v>#DIV/0!</v>
      </c>
      <c r="GC28" s="523">
        <f t="shared" si="170"/>
        <v>0</v>
      </c>
      <c r="GD28" s="521"/>
      <c r="GE28" s="522" t="e">
        <f t="shared" si="60"/>
        <v>#DIV/0!</v>
      </c>
      <c r="GF28" s="523">
        <f t="shared" si="171"/>
        <v>0</v>
      </c>
      <c r="GG28" s="521"/>
      <c r="GH28" s="522" t="e">
        <f t="shared" si="61"/>
        <v>#DIV/0!</v>
      </c>
      <c r="GI28" s="523">
        <f t="shared" si="172"/>
        <v>0</v>
      </c>
      <c r="GJ28" s="521"/>
      <c r="GK28" s="522" t="e">
        <f t="shared" si="62"/>
        <v>#DIV/0!</v>
      </c>
      <c r="GL28" s="523">
        <f t="shared" si="173"/>
        <v>0</v>
      </c>
      <c r="GM28" s="521"/>
      <c r="GN28" s="522" t="e">
        <f t="shared" si="63"/>
        <v>#DIV/0!</v>
      </c>
      <c r="GO28" s="523">
        <f t="shared" si="174"/>
        <v>0</v>
      </c>
      <c r="GP28" s="521"/>
      <c r="GQ28" s="522" t="e">
        <f t="shared" si="64"/>
        <v>#DIV/0!</v>
      </c>
      <c r="GR28" s="523">
        <f t="shared" si="175"/>
        <v>0</v>
      </c>
      <c r="GS28" s="521"/>
      <c r="GT28" s="522" t="e">
        <f t="shared" si="65"/>
        <v>#DIV/0!</v>
      </c>
      <c r="GU28" s="523">
        <f t="shared" si="176"/>
        <v>0</v>
      </c>
      <c r="GV28" s="521"/>
      <c r="GW28" s="522" t="e">
        <f t="shared" si="66"/>
        <v>#DIV/0!</v>
      </c>
      <c r="GX28" s="523">
        <f t="shared" si="177"/>
        <v>0</v>
      </c>
      <c r="GY28" s="521"/>
      <c r="GZ28" s="522" t="e">
        <f t="shared" si="67"/>
        <v>#DIV/0!</v>
      </c>
      <c r="HA28" s="523">
        <f t="shared" si="178"/>
        <v>0</v>
      </c>
      <c r="HB28" s="521"/>
      <c r="HC28" s="522" t="e">
        <f t="shared" si="68"/>
        <v>#DIV/0!</v>
      </c>
      <c r="HD28" s="523">
        <f t="shared" si="179"/>
        <v>0</v>
      </c>
      <c r="HE28" s="521"/>
      <c r="HF28" s="522" t="e">
        <f t="shared" si="69"/>
        <v>#DIV/0!</v>
      </c>
      <c r="HG28" s="523">
        <f t="shared" si="180"/>
        <v>0</v>
      </c>
      <c r="HH28" s="521"/>
      <c r="HI28" s="522" t="e">
        <f t="shared" si="70"/>
        <v>#DIV/0!</v>
      </c>
      <c r="HJ28" s="523">
        <f t="shared" si="181"/>
        <v>0</v>
      </c>
      <c r="HK28" s="521"/>
      <c r="HL28" s="522" t="e">
        <f t="shared" si="71"/>
        <v>#DIV/0!</v>
      </c>
      <c r="HM28" s="523">
        <f t="shared" si="182"/>
        <v>0</v>
      </c>
      <c r="HN28" s="521"/>
      <c r="HO28" s="522" t="e">
        <f t="shared" si="72"/>
        <v>#DIV/0!</v>
      </c>
      <c r="HP28" s="523">
        <f t="shared" si="183"/>
        <v>0</v>
      </c>
      <c r="HQ28" s="521"/>
      <c r="HR28" s="522" t="e">
        <f t="shared" si="73"/>
        <v>#DIV/0!</v>
      </c>
      <c r="HS28" s="523">
        <f t="shared" si="184"/>
        <v>0</v>
      </c>
      <c r="HT28" s="521"/>
      <c r="HU28" s="522" t="e">
        <f t="shared" si="74"/>
        <v>#DIV/0!</v>
      </c>
      <c r="HV28" s="523">
        <f t="shared" si="185"/>
        <v>0</v>
      </c>
      <c r="HW28" s="521"/>
      <c r="HX28" s="522" t="e">
        <f t="shared" si="75"/>
        <v>#DIV/0!</v>
      </c>
      <c r="HY28" s="523">
        <f t="shared" si="186"/>
        <v>0</v>
      </c>
      <c r="HZ28" s="521"/>
      <c r="IA28" s="522" t="e">
        <f t="shared" si="76"/>
        <v>#DIV/0!</v>
      </c>
      <c r="IB28" s="523">
        <f t="shared" si="187"/>
        <v>0</v>
      </c>
      <c r="IC28" s="521"/>
      <c r="ID28" s="522" t="e">
        <f t="shared" si="77"/>
        <v>#DIV/0!</v>
      </c>
      <c r="IE28" s="523">
        <f t="shared" si="188"/>
        <v>0</v>
      </c>
      <c r="IF28" s="521"/>
      <c r="IG28" s="522" t="e">
        <f t="shared" si="78"/>
        <v>#DIV/0!</v>
      </c>
      <c r="IH28" s="523">
        <f t="shared" si="189"/>
        <v>0</v>
      </c>
      <c r="II28" s="521"/>
      <c r="IJ28" s="522" t="e">
        <f t="shared" si="79"/>
        <v>#DIV/0!</v>
      </c>
      <c r="IK28" s="523">
        <f t="shared" si="190"/>
        <v>0</v>
      </c>
      <c r="IL28" s="521"/>
      <c r="IM28" s="522" t="e">
        <f t="shared" si="80"/>
        <v>#DIV/0!</v>
      </c>
      <c r="IN28" s="523">
        <f t="shared" si="191"/>
        <v>0</v>
      </c>
      <c r="IO28" s="521"/>
      <c r="IP28" s="522" t="e">
        <f t="shared" si="81"/>
        <v>#DIV/0!</v>
      </c>
      <c r="IQ28" s="523">
        <f t="shared" si="192"/>
        <v>0</v>
      </c>
      <c r="IR28" s="521"/>
      <c r="IS28" s="522" t="e">
        <f t="shared" si="82"/>
        <v>#DIV/0!</v>
      </c>
      <c r="IT28" s="523">
        <f t="shared" si="193"/>
        <v>0</v>
      </c>
      <c r="IU28" s="521"/>
      <c r="IV28" s="522" t="e">
        <f t="shared" si="83"/>
        <v>#DIV/0!</v>
      </c>
      <c r="IW28" s="523">
        <f t="shared" si="194"/>
        <v>0</v>
      </c>
      <c r="IX28" s="521"/>
      <c r="IY28" s="522" t="e">
        <f t="shared" si="84"/>
        <v>#DIV/0!</v>
      </c>
      <c r="IZ28" s="523">
        <f t="shared" si="195"/>
        <v>0</v>
      </c>
      <c r="JA28" s="521"/>
      <c r="JB28" s="522" t="e">
        <f t="shared" si="85"/>
        <v>#DIV/0!</v>
      </c>
      <c r="JC28" s="523">
        <f t="shared" si="196"/>
        <v>0</v>
      </c>
      <c r="JD28" s="521"/>
      <c r="JE28" s="522" t="e">
        <f t="shared" si="86"/>
        <v>#DIV/0!</v>
      </c>
      <c r="JF28" s="523">
        <f t="shared" si="197"/>
        <v>0</v>
      </c>
      <c r="JG28" s="521"/>
      <c r="JH28" s="522" t="e">
        <f t="shared" si="87"/>
        <v>#DIV/0!</v>
      </c>
      <c r="JI28" s="523">
        <f t="shared" si="198"/>
        <v>0</v>
      </c>
      <c r="JJ28" s="521"/>
      <c r="JK28" s="523" t="str">
        <f t="shared" si="88"/>
        <v>0</v>
      </c>
      <c r="JL28" s="523" t="str">
        <f t="shared" si="89"/>
        <v>0</v>
      </c>
      <c r="JM28" s="521"/>
      <c r="JN28" s="523" t="str">
        <f t="shared" si="90"/>
        <v>0</v>
      </c>
      <c r="JO28" s="523" t="str">
        <f t="shared" si="91"/>
        <v>0</v>
      </c>
      <c r="JP28" s="521"/>
      <c r="JQ28" s="523" t="str">
        <f t="shared" si="92"/>
        <v>0</v>
      </c>
      <c r="JR28" s="523" t="str">
        <f t="shared" si="93"/>
        <v>0</v>
      </c>
      <c r="JS28" s="521"/>
      <c r="JT28" s="523" t="str">
        <f t="shared" si="94"/>
        <v>0</v>
      </c>
      <c r="JU28" s="523" t="str">
        <f t="shared" si="95"/>
        <v>0</v>
      </c>
      <c r="JV28" s="521"/>
      <c r="JW28" s="523" t="str">
        <f t="shared" si="96"/>
        <v>0</v>
      </c>
      <c r="JX28" s="523" t="str">
        <f t="shared" si="97"/>
        <v>0</v>
      </c>
      <c r="JY28" s="521"/>
      <c r="JZ28" s="523" t="str">
        <f t="shared" si="98"/>
        <v>0</v>
      </c>
      <c r="KA28" s="523" t="str">
        <f t="shared" si="99"/>
        <v>0</v>
      </c>
      <c r="KB28" s="521"/>
      <c r="KC28" s="523" t="str">
        <f t="shared" si="100"/>
        <v>0</v>
      </c>
      <c r="KD28" s="523" t="str">
        <f t="shared" si="101"/>
        <v>0</v>
      </c>
      <c r="KE28" s="521"/>
      <c r="KF28" s="523" t="str">
        <f t="shared" si="102"/>
        <v>0</v>
      </c>
      <c r="KG28" s="523" t="str">
        <f t="shared" si="103"/>
        <v>0</v>
      </c>
      <c r="KH28" s="521"/>
      <c r="KI28" s="523" t="str">
        <f t="shared" si="104"/>
        <v>0</v>
      </c>
      <c r="KJ28" s="523" t="str">
        <f t="shared" si="105"/>
        <v>0</v>
      </c>
      <c r="KK28" s="521"/>
      <c r="KL28" s="523" t="str">
        <f t="shared" si="106"/>
        <v>0</v>
      </c>
      <c r="KM28" s="523" t="str">
        <f t="shared" si="107"/>
        <v>0</v>
      </c>
      <c r="KN28" s="521"/>
      <c r="KO28" s="523" t="str">
        <f t="shared" si="108"/>
        <v>0</v>
      </c>
      <c r="KP28" s="523" t="str">
        <f t="shared" si="109"/>
        <v>0</v>
      </c>
      <c r="KQ28" s="521"/>
      <c r="KR28" s="523" t="str">
        <f t="shared" si="110"/>
        <v>0</v>
      </c>
      <c r="KS28" s="523" t="str">
        <f t="shared" si="111"/>
        <v>0</v>
      </c>
      <c r="KT28" s="523">
        <f t="shared" si="201"/>
        <v>0</v>
      </c>
      <c r="KU28" s="523">
        <f t="shared" si="202"/>
        <v>0</v>
      </c>
      <c r="KV28" s="261">
        <f t="shared" si="199"/>
        <v>0</v>
      </c>
    </row>
    <row r="29" spans="1:308">
      <c r="A29" s="262">
        <f t="shared" si="200"/>
        <v>46102</v>
      </c>
      <c r="B29" s="263" t="str">
        <f>+Report1!B29</f>
        <v>Toilet</v>
      </c>
      <c r="C29" s="263" t="str">
        <f>+Report1!C29</f>
        <v>12,5</v>
      </c>
      <c r="D29" s="264">
        <f>+Report1!P29</f>
        <v>0</v>
      </c>
      <c r="E29" s="556">
        <f>+Report1!R29</f>
        <v>0</v>
      </c>
      <c r="F29" s="521"/>
      <c r="G29" s="522" t="e">
        <f t="shared" si="0"/>
        <v>#DIV/0!</v>
      </c>
      <c r="H29" s="523">
        <f t="shared" si="112"/>
        <v>0</v>
      </c>
      <c r="I29" s="521"/>
      <c r="J29" s="522" t="e">
        <f t="shared" si="1"/>
        <v>#DIV/0!</v>
      </c>
      <c r="K29" s="523">
        <f t="shared" si="113"/>
        <v>0</v>
      </c>
      <c r="L29" s="521"/>
      <c r="M29" s="522" t="e">
        <f t="shared" si="2"/>
        <v>#DIV/0!</v>
      </c>
      <c r="N29" s="523">
        <f t="shared" si="114"/>
        <v>0</v>
      </c>
      <c r="O29" s="521"/>
      <c r="P29" s="522" t="e">
        <f t="shared" si="3"/>
        <v>#DIV/0!</v>
      </c>
      <c r="Q29" s="523">
        <f t="shared" si="115"/>
        <v>0</v>
      </c>
      <c r="R29" s="521"/>
      <c r="S29" s="522" t="e">
        <f t="shared" si="4"/>
        <v>#DIV/0!</v>
      </c>
      <c r="T29" s="523">
        <f t="shared" si="116"/>
        <v>0</v>
      </c>
      <c r="U29" s="521"/>
      <c r="V29" s="522" t="e">
        <f t="shared" si="5"/>
        <v>#DIV/0!</v>
      </c>
      <c r="W29" s="523">
        <f t="shared" si="117"/>
        <v>0</v>
      </c>
      <c r="X29" s="521"/>
      <c r="Y29" s="522" t="e">
        <f t="shared" si="6"/>
        <v>#DIV/0!</v>
      </c>
      <c r="Z29" s="523">
        <f t="shared" si="118"/>
        <v>0</v>
      </c>
      <c r="AA29" s="521"/>
      <c r="AB29" s="522" t="e">
        <f t="shared" si="7"/>
        <v>#DIV/0!</v>
      </c>
      <c r="AC29" s="523">
        <f t="shared" si="119"/>
        <v>0</v>
      </c>
      <c r="AD29" s="521"/>
      <c r="AE29" s="522" t="e">
        <f t="shared" si="8"/>
        <v>#DIV/0!</v>
      </c>
      <c r="AF29" s="523">
        <f t="shared" si="120"/>
        <v>0</v>
      </c>
      <c r="AG29" s="521"/>
      <c r="AH29" s="522" t="e">
        <f t="shared" si="9"/>
        <v>#DIV/0!</v>
      </c>
      <c r="AI29" s="523">
        <f t="shared" si="121"/>
        <v>0</v>
      </c>
      <c r="AJ29" s="521"/>
      <c r="AK29" s="522" t="e">
        <f t="shared" si="10"/>
        <v>#DIV/0!</v>
      </c>
      <c r="AL29" s="523">
        <f t="shared" si="122"/>
        <v>0</v>
      </c>
      <c r="AM29" s="521"/>
      <c r="AN29" s="522" t="e">
        <f t="shared" si="11"/>
        <v>#DIV/0!</v>
      </c>
      <c r="AO29" s="523">
        <f t="shared" si="123"/>
        <v>0</v>
      </c>
      <c r="AP29" s="521"/>
      <c r="AQ29" s="522" t="e">
        <f t="shared" si="12"/>
        <v>#DIV/0!</v>
      </c>
      <c r="AR29" s="523">
        <f t="shared" si="124"/>
        <v>0</v>
      </c>
      <c r="AS29" s="521"/>
      <c r="AT29" s="522" t="e">
        <f t="shared" si="13"/>
        <v>#DIV/0!</v>
      </c>
      <c r="AU29" s="523">
        <f t="shared" si="125"/>
        <v>0</v>
      </c>
      <c r="AV29" s="521"/>
      <c r="AW29" s="522" t="e">
        <f t="shared" si="14"/>
        <v>#DIV/0!</v>
      </c>
      <c r="AX29" s="523">
        <f t="shared" si="126"/>
        <v>0</v>
      </c>
      <c r="AY29" s="521"/>
      <c r="AZ29" s="522" t="e">
        <f t="shared" si="15"/>
        <v>#DIV/0!</v>
      </c>
      <c r="BA29" s="523">
        <f t="shared" si="127"/>
        <v>0</v>
      </c>
      <c r="BB29" s="521"/>
      <c r="BC29" s="522" t="e">
        <f t="shared" si="16"/>
        <v>#DIV/0!</v>
      </c>
      <c r="BD29" s="523">
        <f t="shared" si="128"/>
        <v>0</v>
      </c>
      <c r="BE29" s="521"/>
      <c r="BF29" s="522" t="e">
        <f t="shared" si="17"/>
        <v>#DIV/0!</v>
      </c>
      <c r="BG29" s="523">
        <f t="shared" si="129"/>
        <v>0</v>
      </c>
      <c r="BH29" s="521"/>
      <c r="BI29" s="522" t="e">
        <f t="shared" si="18"/>
        <v>#DIV/0!</v>
      </c>
      <c r="BJ29" s="523">
        <f t="shared" si="130"/>
        <v>0</v>
      </c>
      <c r="BK29" s="521"/>
      <c r="BL29" s="522" t="e">
        <f t="shared" si="19"/>
        <v>#DIV/0!</v>
      </c>
      <c r="BM29" s="523">
        <f t="shared" si="131"/>
        <v>0</v>
      </c>
      <c r="BN29" s="521"/>
      <c r="BO29" s="522" t="e">
        <f t="shared" si="20"/>
        <v>#DIV/0!</v>
      </c>
      <c r="BP29" s="523">
        <f t="shared" si="132"/>
        <v>0</v>
      </c>
      <c r="BQ29" s="521"/>
      <c r="BR29" s="522" t="e">
        <f t="shared" si="21"/>
        <v>#DIV/0!</v>
      </c>
      <c r="BS29" s="523">
        <f t="shared" si="133"/>
        <v>0</v>
      </c>
      <c r="BT29" s="521"/>
      <c r="BU29" s="522" t="e">
        <f t="shared" si="22"/>
        <v>#DIV/0!</v>
      </c>
      <c r="BV29" s="523">
        <f t="shared" si="134"/>
        <v>0</v>
      </c>
      <c r="BW29" s="521"/>
      <c r="BX29" s="522" t="e">
        <f t="shared" si="23"/>
        <v>#DIV/0!</v>
      </c>
      <c r="BY29" s="523">
        <f t="shared" si="135"/>
        <v>0</v>
      </c>
      <c r="BZ29" s="521"/>
      <c r="CA29" s="522" t="e">
        <f t="shared" si="24"/>
        <v>#DIV/0!</v>
      </c>
      <c r="CB29" s="523">
        <f t="shared" si="136"/>
        <v>0</v>
      </c>
      <c r="CC29" s="521"/>
      <c r="CD29" s="522" t="e">
        <f t="shared" si="25"/>
        <v>#DIV/0!</v>
      </c>
      <c r="CE29" s="523">
        <f t="shared" si="137"/>
        <v>0</v>
      </c>
      <c r="CF29" s="521"/>
      <c r="CG29" s="522" t="e">
        <f t="shared" si="26"/>
        <v>#DIV/0!</v>
      </c>
      <c r="CH29" s="523">
        <f t="shared" si="138"/>
        <v>0</v>
      </c>
      <c r="CI29" s="521"/>
      <c r="CJ29" s="522" t="e">
        <f t="shared" si="27"/>
        <v>#DIV/0!</v>
      </c>
      <c r="CK29" s="523">
        <f t="shared" si="139"/>
        <v>0</v>
      </c>
      <c r="CL29" s="521"/>
      <c r="CM29" s="522" t="e">
        <f t="shared" si="28"/>
        <v>#DIV/0!</v>
      </c>
      <c r="CN29" s="523">
        <f t="shared" si="140"/>
        <v>0</v>
      </c>
      <c r="CO29" s="521"/>
      <c r="CP29" s="522" t="e">
        <f t="shared" si="29"/>
        <v>#DIV/0!</v>
      </c>
      <c r="CQ29" s="523">
        <f t="shared" si="141"/>
        <v>0</v>
      </c>
      <c r="CR29" s="521"/>
      <c r="CS29" s="522" t="e">
        <f t="shared" si="30"/>
        <v>#DIV/0!</v>
      </c>
      <c r="CT29" s="523">
        <f t="shared" si="142"/>
        <v>0</v>
      </c>
      <c r="CU29" s="521"/>
      <c r="CV29" s="522" t="e">
        <f t="shared" si="31"/>
        <v>#DIV/0!</v>
      </c>
      <c r="CW29" s="523">
        <f t="shared" si="143"/>
        <v>0</v>
      </c>
      <c r="CX29" s="521"/>
      <c r="CY29" s="522" t="e">
        <f t="shared" si="32"/>
        <v>#DIV/0!</v>
      </c>
      <c r="CZ29" s="523">
        <f t="shared" si="144"/>
        <v>0</v>
      </c>
      <c r="DA29" s="521"/>
      <c r="DB29" s="522" t="e">
        <f t="shared" si="33"/>
        <v>#DIV/0!</v>
      </c>
      <c r="DC29" s="523">
        <f t="shared" si="145"/>
        <v>0</v>
      </c>
      <c r="DD29" s="521"/>
      <c r="DE29" s="522" t="e">
        <f t="shared" si="34"/>
        <v>#DIV/0!</v>
      </c>
      <c r="DF29" s="523">
        <f t="shared" si="146"/>
        <v>0</v>
      </c>
      <c r="DG29" s="521"/>
      <c r="DH29" s="522" t="e">
        <f t="shared" si="35"/>
        <v>#DIV/0!</v>
      </c>
      <c r="DI29" s="523">
        <f t="shared" si="203"/>
        <v>0</v>
      </c>
      <c r="DJ29" s="521"/>
      <c r="DK29" s="522" t="e">
        <f t="shared" si="36"/>
        <v>#DIV/0!</v>
      </c>
      <c r="DL29" s="523">
        <f t="shared" si="147"/>
        <v>0</v>
      </c>
      <c r="DM29" s="521"/>
      <c r="DN29" s="522" t="e">
        <f t="shared" si="37"/>
        <v>#DIV/0!</v>
      </c>
      <c r="DO29" s="523">
        <f t="shared" si="148"/>
        <v>0</v>
      </c>
      <c r="DP29" s="521"/>
      <c r="DQ29" s="522" t="e">
        <f t="shared" si="38"/>
        <v>#DIV/0!</v>
      </c>
      <c r="DR29" s="523">
        <f t="shared" si="149"/>
        <v>0</v>
      </c>
      <c r="DS29" s="521"/>
      <c r="DT29" s="522" t="e">
        <f t="shared" si="39"/>
        <v>#DIV/0!</v>
      </c>
      <c r="DU29" s="523">
        <f t="shared" si="150"/>
        <v>0</v>
      </c>
      <c r="DV29" s="521"/>
      <c r="DW29" s="522" t="e">
        <f t="shared" si="40"/>
        <v>#DIV/0!</v>
      </c>
      <c r="DX29" s="523">
        <f t="shared" si="151"/>
        <v>0</v>
      </c>
      <c r="DY29" s="521"/>
      <c r="DZ29" s="522" t="e">
        <f t="shared" si="41"/>
        <v>#DIV/0!</v>
      </c>
      <c r="EA29" s="523">
        <f t="shared" si="152"/>
        <v>0</v>
      </c>
      <c r="EB29" s="521"/>
      <c r="EC29" s="522" t="e">
        <f t="shared" si="42"/>
        <v>#DIV/0!</v>
      </c>
      <c r="ED29" s="523">
        <f t="shared" si="153"/>
        <v>0</v>
      </c>
      <c r="EE29" s="521"/>
      <c r="EF29" s="522" t="e">
        <f t="shared" si="43"/>
        <v>#DIV/0!</v>
      </c>
      <c r="EG29" s="523">
        <f t="shared" si="154"/>
        <v>0</v>
      </c>
      <c r="EH29" s="521"/>
      <c r="EI29" s="522" t="e">
        <f t="shared" si="44"/>
        <v>#DIV/0!</v>
      </c>
      <c r="EJ29" s="523">
        <f t="shared" si="155"/>
        <v>0</v>
      </c>
      <c r="EK29" s="521"/>
      <c r="EL29" s="522" t="e">
        <f t="shared" si="45"/>
        <v>#DIV/0!</v>
      </c>
      <c r="EM29" s="523">
        <f t="shared" si="156"/>
        <v>0</v>
      </c>
      <c r="EN29" s="521">
        <v>29.65116279069764</v>
      </c>
      <c r="EO29" s="522" t="e">
        <f t="shared" si="46"/>
        <v>#DIV/0!</v>
      </c>
      <c r="EP29" s="523">
        <f t="shared" si="157"/>
        <v>0</v>
      </c>
      <c r="EQ29" s="521"/>
      <c r="ER29" s="522" t="e">
        <f t="shared" si="47"/>
        <v>#DIV/0!</v>
      </c>
      <c r="ES29" s="523">
        <f t="shared" si="158"/>
        <v>0</v>
      </c>
      <c r="ET29" s="521"/>
      <c r="EU29" s="522" t="e">
        <f t="shared" si="48"/>
        <v>#DIV/0!</v>
      </c>
      <c r="EV29" s="523">
        <f t="shared" si="159"/>
        <v>0</v>
      </c>
      <c r="EW29" s="521"/>
      <c r="EX29" s="522" t="e">
        <f t="shared" si="49"/>
        <v>#DIV/0!</v>
      </c>
      <c r="EY29" s="523">
        <f t="shared" si="160"/>
        <v>0</v>
      </c>
      <c r="EZ29" s="521"/>
      <c r="FA29" s="522" t="e">
        <f t="shared" si="50"/>
        <v>#DIV/0!</v>
      </c>
      <c r="FB29" s="523">
        <f t="shared" si="161"/>
        <v>0</v>
      </c>
      <c r="FC29" s="521"/>
      <c r="FD29" s="522" t="e">
        <f t="shared" si="51"/>
        <v>#DIV/0!</v>
      </c>
      <c r="FE29" s="523">
        <f t="shared" si="162"/>
        <v>0</v>
      </c>
      <c r="FF29" s="521"/>
      <c r="FG29" s="522" t="e">
        <f t="shared" si="52"/>
        <v>#DIV/0!</v>
      </c>
      <c r="FH29" s="523">
        <f t="shared" si="163"/>
        <v>0</v>
      </c>
      <c r="FI29" s="521"/>
      <c r="FJ29" s="522" t="e">
        <f t="shared" si="53"/>
        <v>#DIV/0!</v>
      </c>
      <c r="FK29" s="523">
        <f t="shared" si="164"/>
        <v>0</v>
      </c>
      <c r="FL29" s="521"/>
      <c r="FM29" s="522" t="e">
        <f t="shared" si="54"/>
        <v>#DIV/0!</v>
      </c>
      <c r="FN29" s="523">
        <f t="shared" si="165"/>
        <v>0</v>
      </c>
      <c r="FO29" s="521"/>
      <c r="FP29" s="522" t="e">
        <f t="shared" si="55"/>
        <v>#DIV/0!</v>
      </c>
      <c r="FQ29" s="523">
        <f t="shared" si="166"/>
        <v>0</v>
      </c>
      <c r="FR29" s="521"/>
      <c r="FS29" s="522" t="e">
        <f t="shared" si="56"/>
        <v>#DIV/0!</v>
      </c>
      <c r="FT29" s="523">
        <f t="shared" si="167"/>
        <v>0</v>
      </c>
      <c r="FU29" s="521"/>
      <c r="FV29" s="522" t="e">
        <f t="shared" si="57"/>
        <v>#DIV/0!</v>
      </c>
      <c r="FW29" s="523">
        <f t="shared" si="168"/>
        <v>0</v>
      </c>
      <c r="FX29" s="521"/>
      <c r="FY29" s="522" t="e">
        <f t="shared" si="58"/>
        <v>#DIV/0!</v>
      </c>
      <c r="FZ29" s="523">
        <f t="shared" si="169"/>
        <v>0</v>
      </c>
      <c r="GA29" s="521"/>
      <c r="GB29" s="522" t="e">
        <f t="shared" si="59"/>
        <v>#DIV/0!</v>
      </c>
      <c r="GC29" s="523">
        <f t="shared" si="170"/>
        <v>0</v>
      </c>
      <c r="GD29" s="521"/>
      <c r="GE29" s="522" t="e">
        <f t="shared" si="60"/>
        <v>#DIV/0!</v>
      </c>
      <c r="GF29" s="523">
        <f t="shared" si="171"/>
        <v>0</v>
      </c>
      <c r="GG29" s="521"/>
      <c r="GH29" s="522" t="e">
        <f t="shared" si="61"/>
        <v>#DIV/0!</v>
      </c>
      <c r="GI29" s="523">
        <f t="shared" si="172"/>
        <v>0</v>
      </c>
      <c r="GJ29" s="521"/>
      <c r="GK29" s="522" t="e">
        <f t="shared" si="62"/>
        <v>#DIV/0!</v>
      </c>
      <c r="GL29" s="523">
        <f t="shared" si="173"/>
        <v>0</v>
      </c>
      <c r="GM29" s="521"/>
      <c r="GN29" s="522" t="e">
        <f t="shared" si="63"/>
        <v>#DIV/0!</v>
      </c>
      <c r="GO29" s="523">
        <f t="shared" si="174"/>
        <v>0</v>
      </c>
      <c r="GP29" s="521"/>
      <c r="GQ29" s="522" t="e">
        <f t="shared" si="64"/>
        <v>#DIV/0!</v>
      </c>
      <c r="GR29" s="523">
        <f t="shared" si="175"/>
        <v>0</v>
      </c>
      <c r="GS29" s="521"/>
      <c r="GT29" s="522" t="e">
        <f t="shared" si="65"/>
        <v>#DIV/0!</v>
      </c>
      <c r="GU29" s="523">
        <f t="shared" si="176"/>
        <v>0</v>
      </c>
      <c r="GV29" s="521"/>
      <c r="GW29" s="522" t="e">
        <f t="shared" si="66"/>
        <v>#DIV/0!</v>
      </c>
      <c r="GX29" s="523">
        <f t="shared" si="177"/>
        <v>0</v>
      </c>
      <c r="GY29" s="521"/>
      <c r="GZ29" s="522" t="e">
        <f t="shared" si="67"/>
        <v>#DIV/0!</v>
      </c>
      <c r="HA29" s="523">
        <f t="shared" si="178"/>
        <v>0</v>
      </c>
      <c r="HB29" s="521"/>
      <c r="HC29" s="522" t="e">
        <f t="shared" si="68"/>
        <v>#DIV/0!</v>
      </c>
      <c r="HD29" s="523">
        <f t="shared" si="179"/>
        <v>0</v>
      </c>
      <c r="HE29" s="521"/>
      <c r="HF29" s="522" t="e">
        <f t="shared" si="69"/>
        <v>#DIV/0!</v>
      </c>
      <c r="HG29" s="523">
        <f t="shared" si="180"/>
        <v>0</v>
      </c>
      <c r="HH29" s="521"/>
      <c r="HI29" s="522" t="e">
        <f t="shared" si="70"/>
        <v>#DIV/0!</v>
      </c>
      <c r="HJ29" s="523">
        <f t="shared" si="181"/>
        <v>0</v>
      </c>
      <c r="HK29" s="521"/>
      <c r="HL29" s="522" t="e">
        <f t="shared" si="71"/>
        <v>#DIV/0!</v>
      </c>
      <c r="HM29" s="523">
        <f t="shared" si="182"/>
        <v>0</v>
      </c>
      <c r="HN29" s="521"/>
      <c r="HO29" s="522" t="e">
        <f t="shared" si="72"/>
        <v>#DIV/0!</v>
      </c>
      <c r="HP29" s="523">
        <f t="shared" si="183"/>
        <v>0</v>
      </c>
      <c r="HQ29" s="521"/>
      <c r="HR29" s="522" t="e">
        <f t="shared" si="73"/>
        <v>#DIV/0!</v>
      </c>
      <c r="HS29" s="523">
        <f t="shared" si="184"/>
        <v>0</v>
      </c>
      <c r="HT29" s="521"/>
      <c r="HU29" s="522" t="e">
        <f t="shared" si="74"/>
        <v>#DIV/0!</v>
      </c>
      <c r="HV29" s="523">
        <f t="shared" si="185"/>
        <v>0</v>
      </c>
      <c r="HW29" s="521"/>
      <c r="HX29" s="522" t="e">
        <f t="shared" si="75"/>
        <v>#DIV/0!</v>
      </c>
      <c r="HY29" s="523">
        <f t="shared" si="186"/>
        <v>0</v>
      </c>
      <c r="HZ29" s="521"/>
      <c r="IA29" s="522" t="e">
        <f t="shared" si="76"/>
        <v>#DIV/0!</v>
      </c>
      <c r="IB29" s="523">
        <f t="shared" si="187"/>
        <v>0</v>
      </c>
      <c r="IC29" s="521"/>
      <c r="ID29" s="522" t="e">
        <f t="shared" si="77"/>
        <v>#DIV/0!</v>
      </c>
      <c r="IE29" s="523">
        <f t="shared" si="188"/>
        <v>0</v>
      </c>
      <c r="IF29" s="521"/>
      <c r="IG29" s="522" t="e">
        <f t="shared" si="78"/>
        <v>#DIV/0!</v>
      </c>
      <c r="IH29" s="523">
        <f t="shared" si="189"/>
        <v>0</v>
      </c>
      <c r="II29" s="521"/>
      <c r="IJ29" s="522" t="e">
        <f t="shared" si="79"/>
        <v>#DIV/0!</v>
      </c>
      <c r="IK29" s="523">
        <f t="shared" si="190"/>
        <v>0</v>
      </c>
      <c r="IL29" s="521"/>
      <c r="IM29" s="522" t="e">
        <f t="shared" si="80"/>
        <v>#DIV/0!</v>
      </c>
      <c r="IN29" s="523">
        <f t="shared" si="191"/>
        <v>0</v>
      </c>
      <c r="IO29" s="521"/>
      <c r="IP29" s="522" t="e">
        <f t="shared" si="81"/>
        <v>#DIV/0!</v>
      </c>
      <c r="IQ29" s="523">
        <f t="shared" si="192"/>
        <v>0</v>
      </c>
      <c r="IR29" s="521"/>
      <c r="IS29" s="522" t="e">
        <f t="shared" si="82"/>
        <v>#DIV/0!</v>
      </c>
      <c r="IT29" s="523">
        <f t="shared" si="193"/>
        <v>0</v>
      </c>
      <c r="IU29" s="521"/>
      <c r="IV29" s="522" t="e">
        <f t="shared" si="83"/>
        <v>#DIV/0!</v>
      </c>
      <c r="IW29" s="523">
        <f t="shared" si="194"/>
        <v>0</v>
      </c>
      <c r="IX29" s="521"/>
      <c r="IY29" s="522" t="e">
        <f t="shared" si="84"/>
        <v>#DIV/0!</v>
      </c>
      <c r="IZ29" s="523">
        <f t="shared" si="195"/>
        <v>0</v>
      </c>
      <c r="JA29" s="521"/>
      <c r="JB29" s="522" t="e">
        <f t="shared" si="85"/>
        <v>#DIV/0!</v>
      </c>
      <c r="JC29" s="523">
        <f t="shared" si="196"/>
        <v>0</v>
      </c>
      <c r="JD29" s="521"/>
      <c r="JE29" s="522" t="e">
        <f t="shared" si="86"/>
        <v>#DIV/0!</v>
      </c>
      <c r="JF29" s="523">
        <f t="shared" si="197"/>
        <v>0</v>
      </c>
      <c r="JG29" s="521"/>
      <c r="JH29" s="522" t="e">
        <f t="shared" si="87"/>
        <v>#DIV/0!</v>
      </c>
      <c r="JI29" s="523">
        <f t="shared" si="198"/>
        <v>0</v>
      </c>
      <c r="JJ29" s="521"/>
      <c r="JK29" s="523" t="str">
        <f t="shared" si="88"/>
        <v>0</v>
      </c>
      <c r="JL29" s="523" t="str">
        <f t="shared" si="89"/>
        <v>0</v>
      </c>
      <c r="JM29" s="521"/>
      <c r="JN29" s="523" t="str">
        <f t="shared" si="90"/>
        <v>0</v>
      </c>
      <c r="JO29" s="523" t="str">
        <f t="shared" si="91"/>
        <v>0</v>
      </c>
      <c r="JP29" s="521"/>
      <c r="JQ29" s="523" t="str">
        <f t="shared" si="92"/>
        <v>0</v>
      </c>
      <c r="JR29" s="523" t="str">
        <f t="shared" si="93"/>
        <v>0</v>
      </c>
      <c r="JS29" s="521"/>
      <c r="JT29" s="523" t="str">
        <f t="shared" si="94"/>
        <v>0</v>
      </c>
      <c r="JU29" s="523" t="str">
        <f t="shared" si="95"/>
        <v>0</v>
      </c>
      <c r="JV29" s="521"/>
      <c r="JW29" s="523" t="str">
        <f t="shared" si="96"/>
        <v>0</v>
      </c>
      <c r="JX29" s="523" t="str">
        <f t="shared" si="97"/>
        <v>0</v>
      </c>
      <c r="JY29" s="521"/>
      <c r="JZ29" s="523" t="str">
        <f t="shared" si="98"/>
        <v>0</v>
      </c>
      <c r="KA29" s="523" t="str">
        <f t="shared" si="99"/>
        <v>0</v>
      </c>
      <c r="KB29" s="521"/>
      <c r="KC29" s="523" t="str">
        <f t="shared" si="100"/>
        <v>0</v>
      </c>
      <c r="KD29" s="523" t="str">
        <f t="shared" si="101"/>
        <v>0</v>
      </c>
      <c r="KE29" s="521"/>
      <c r="KF29" s="523" t="str">
        <f t="shared" si="102"/>
        <v>0</v>
      </c>
      <c r="KG29" s="523" t="str">
        <f t="shared" si="103"/>
        <v>0</v>
      </c>
      <c r="KH29" s="521"/>
      <c r="KI29" s="523" t="str">
        <f t="shared" si="104"/>
        <v>0</v>
      </c>
      <c r="KJ29" s="523" t="str">
        <f t="shared" si="105"/>
        <v>0</v>
      </c>
      <c r="KK29" s="521"/>
      <c r="KL29" s="523" t="str">
        <f t="shared" si="106"/>
        <v>0</v>
      </c>
      <c r="KM29" s="523" t="str">
        <f t="shared" si="107"/>
        <v>0</v>
      </c>
      <c r="KN29" s="521"/>
      <c r="KO29" s="523" t="str">
        <f t="shared" si="108"/>
        <v>0</v>
      </c>
      <c r="KP29" s="523" t="str">
        <f t="shared" si="109"/>
        <v>0</v>
      </c>
      <c r="KQ29" s="521"/>
      <c r="KR29" s="523" t="str">
        <f t="shared" si="110"/>
        <v>0</v>
      </c>
      <c r="KS29" s="523" t="str">
        <f t="shared" si="111"/>
        <v>0</v>
      </c>
      <c r="KT29" s="523">
        <f t="shared" si="201"/>
        <v>0</v>
      </c>
      <c r="KU29" s="523">
        <f t="shared" si="202"/>
        <v>0</v>
      </c>
      <c r="KV29" s="261">
        <f t="shared" si="199"/>
        <v>29.65116279069764</v>
      </c>
    </row>
    <row r="30" spans="1:308">
      <c r="A30" s="262">
        <f t="shared" si="200"/>
        <v>46103</v>
      </c>
      <c r="B30" s="263" t="str">
        <f>+Report1!B30</f>
        <v>Toilet</v>
      </c>
      <c r="C30" s="263" t="str">
        <f>+Report1!C30</f>
        <v>12,5</v>
      </c>
      <c r="D30" s="264">
        <f>+Report1!P30</f>
        <v>0</v>
      </c>
      <c r="E30" s="556">
        <f>+Report1!R30</f>
        <v>0</v>
      </c>
      <c r="F30" s="521"/>
      <c r="G30" s="522" t="e">
        <f t="shared" si="0"/>
        <v>#DIV/0!</v>
      </c>
      <c r="H30" s="523">
        <f t="shared" si="112"/>
        <v>0</v>
      </c>
      <c r="I30" s="521"/>
      <c r="J30" s="522" t="e">
        <f t="shared" si="1"/>
        <v>#DIV/0!</v>
      </c>
      <c r="K30" s="523">
        <f t="shared" si="113"/>
        <v>0</v>
      </c>
      <c r="L30" s="521"/>
      <c r="M30" s="522" t="e">
        <f t="shared" si="2"/>
        <v>#DIV/0!</v>
      </c>
      <c r="N30" s="523">
        <f t="shared" si="114"/>
        <v>0</v>
      </c>
      <c r="O30" s="521"/>
      <c r="P30" s="522" t="e">
        <f t="shared" si="3"/>
        <v>#DIV/0!</v>
      </c>
      <c r="Q30" s="523">
        <f t="shared" si="115"/>
        <v>0</v>
      </c>
      <c r="R30" s="521"/>
      <c r="S30" s="522" t="e">
        <f t="shared" si="4"/>
        <v>#DIV/0!</v>
      </c>
      <c r="T30" s="523">
        <f t="shared" si="116"/>
        <v>0</v>
      </c>
      <c r="U30" s="521"/>
      <c r="V30" s="522" t="e">
        <f t="shared" si="5"/>
        <v>#DIV/0!</v>
      </c>
      <c r="W30" s="523">
        <f t="shared" si="117"/>
        <v>0</v>
      </c>
      <c r="X30" s="521"/>
      <c r="Y30" s="522" t="e">
        <f t="shared" si="6"/>
        <v>#DIV/0!</v>
      </c>
      <c r="Z30" s="523">
        <f t="shared" si="118"/>
        <v>0</v>
      </c>
      <c r="AA30" s="521"/>
      <c r="AB30" s="522" t="e">
        <f t="shared" si="7"/>
        <v>#DIV/0!</v>
      </c>
      <c r="AC30" s="523">
        <f t="shared" si="119"/>
        <v>0</v>
      </c>
      <c r="AD30" s="521"/>
      <c r="AE30" s="522" t="e">
        <f t="shared" si="8"/>
        <v>#DIV/0!</v>
      </c>
      <c r="AF30" s="523">
        <f t="shared" si="120"/>
        <v>0</v>
      </c>
      <c r="AG30" s="521"/>
      <c r="AH30" s="522" t="e">
        <f t="shared" si="9"/>
        <v>#DIV/0!</v>
      </c>
      <c r="AI30" s="523">
        <f t="shared" si="121"/>
        <v>0</v>
      </c>
      <c r="AJ30" s="521"/>
      <c r="AK30" s="522" t="e">
        <f t="shared" si="10"/>
        <v>#DIV/0!</v>
      </c>
      <c r="AL30" s="523">
        <f t="shared" si="122"/>
        <v>0</v>
      </c>
      <c r="AM30" s="521"/>
      <c r="AN30" s="522" t="e">
        <f t="shared" si="11"/>
        <v>#DIV/0!</v>
      </c>
      <c r="AO30" s="523">
        <f t="shared" si="123"/>
        <v>0</v>
      </c>
      <c r="AP30" s="521"/>
      <c r="AQ30" s="522" t="e">
        <f t="shared" si="12"/>
        <v>#DIV/0!</v>
      </c>
      <c r="AR30" s="523">
        <f t="shared" si="124"/>
        <v>0</v>
      </c>
      <c r="AS30" s="521"/>
      <c r="AT30" s="522" t="e">
        <f t="shared" si="13"/>
        <v>#DIV/0!</v>
      </c>
      <c r="AU30" s="523">
        <f t="shared" si="125"/>
        <v>0</v>
      </c>
      <c r="AV30" s="521"/>
      <c r="AW30" s="522" t="e">
        <f t="shared" si="14"/>
        <v>#DIV/0!</v>
      </c>
      <c r="AX30" s="523">
        <f t="shared" si="126"/>
        <v>0</v>
      </c>
      <c r="AY30" s="521"/>
      <c r="AZ30" s="522" t="e">
        <f t="shared" si="15"/>
        <v>#DIV/0!</v>
      </c>
      <c r="BA30" s="523">
        <f t="shared" si="127"/>
        <v>0</v>
      </c>
      <c r="BB30" s="521"/>
      <c r="BC30" s="522" t="e">
        <f t="shared" si="16"/>
        <v>#DIV/0!</v>
      </c>
      <c r="BD30" s="523">
        <f t="shared" si="128"/>
        <v>0</v>
      </c>
      <c r="BE30" s="521"/>
      <c r="BF30" s="522" t="e">
        <f t="shared" si="17"/>
        <v>#DIV/0!</v>
      </c>
      <c r="BG30" s="523">
        <f t="shared" si="129"/>
        <v>0</v>
      </c>
      <c r="BH30" s="521"/>
      <c r="BI30" s="522" t="e">
        <f t="shared" si="18"/>
        <v>#DIV/0!</v>
      </c>
      <c r="BJ30" s="523">
        <f t="shared" si="130"/>
        <v>0</v>
      </c>
      <c r="BK30" s="521"/>
      <c r="BL30" s="522" t="e">
        <f t="shared" si="19"/>
        <v>#DIV/0!</v>
      </c>
      <c r="BM30" s="523">
        <f t="shared" si="131"/>
        <v>0</v>
      </c>
      <c r="BN30" s="521"/>
      <c r="BO30" s="522" t="e">
        <f t="shared" si="20"/>
        <v>#DIV/0!</v>
      </c>
      <c r="BP30" s="523">
        <f t="shared" si="132"/>
        <v>0</v>
      </c>
      <c r="BQ30" s="521"/>
      <c r="BR30" s="522" t="e">
        <f t="shared" si="21"/>
        <v>#DIV/0!</v>
      </c>
      <c r="BS30" s="523">
        <f t="shared" si="133"/>
        <v>0</v>
      </c>
      <c r="BT30" s="521"/>
      <c r="BU30" s="522" t="e">
        <f t="shared" si="22"/>
        <v>#DIV/0!</v>
      </c>
      <c r="BV30" s="523">
        <f t="shared" si="134"/>
        <v>0</v>
      </c>
      <c r="BW30" s="521"/>
      <c r="BX30" s="522" t="e">
        <f t="shared" si="23"/>
        <v>#DIV/0!</v>
      </c>
      <c r="BY30" s="523">
        <f t="shared" si="135"/>
        <v>0</v>
      </c>
      <c r="BZ30" s="521"/>
      <c r="CA30" s="522" t="e">
        <f t="shared" si="24"/>
        <v>#DIV/0!</v>
      </c>
      <c r="CB30" s="523">
        <f t="shared" si="136"/>
        <v>0</v>
      </c>
      <c r="CC30" s="521"/>
      <c r="CD30" s="522" t="e">
        <f t="shared" si="25"/>
        <v>#DIV/0!</v>
      </c>
      <c r="CE30" s="523">
        <f t="shared" si="137"/>
        <v>0</v>
      </c>
      <c r="CF30" s="521"/>
      <c r="CG30" s="522" t="e">
        <f t="shared" si="26"/>
        <v>#DIV/0!</v>
      </c>
      <c r="CH30" s="523">
        <f t="shared" si="138"/>
        <v>0</v>
      </c>
      <c r="CI30" s="521"/>
      <c r="CJ30" s="522" t="e">
        <f t="shared" si="27"/>
        <v>#DIV/0!</v>
      </c>
      <c r="CK30" s="523">
        <f t="shared" si="139"/>
        <v>0</v>
      </c>
      <c r="CL30" s="521"/>
      <c r="CM30" s="522" t="e">
        <f t="shared" si="28"/>
        <v>#DIV/0!</v>
      </c>
      <c r="CN30" s="523">
        <f t="shared" si="140"/>
        <v>0</v>
      </c>
      <c r="CO30" s="521"/>
      <c r="CP30" s="522" t="e">
        <f t="shared" si="29"/>
        <v>#DIV/0!</v>
      </c>
      <c r="CQ30" s="523">
        <f t="shared" si="141"/>
        <v>0</v>
      </c>
      <c r="CR30" s="521"/>
      <c r="CS30" s="522" t="e">
        <f t="shared" si="30"/>
        <v>#DIV/0!</v>
      </c>
      <c r="CT30" s="523">
        <f t="shared" si="142"/>
        <v>0</v>
      </c>
      <c r="CU30" s="521"/>
      <c r="CV30" s="522" t="e">
        <f t="shared" si="31"/>
        <v>#DIV/0!</v>
      </c>
      <c r="CW30" s="523">
        <f t="shared" si="143"/>
        <v>0</v>
      </c>
      <c r="CX30" s="521"/>
      <c r="CY30" s="522" t="e">
        <f t="shared" si="32"/>
        <v>#DIV/0!</v>
      </c>
      <c r="CZ30" s="523">
        <f t="shared" si="144"/>
        <v>0</v>
      </c>
      <c r="DA30" s="521"/>
      <c r="DB30" s="522" t="e">
        <f t="shared" si="33"/>
        <v>#DIV/0!</v>
      </c>
      <c r="DC30" s="523">
        <f t="shared" si="145"/>
        <v>0</v>
      </c>
      <c r="DD30" s="521"/>
      <c r="DE30" s="522" t="e">
        <f t="shared" si="34"/>
        <v>#DIV/0!</v>
      </c>
      <c r="DF30" s="523">
        <f t="shared" si="146"/>
        <v>0</v>
      </c>
      <c r="DG30" s="521"/>
      <c r="DH30" s="522" t="e">
        <f t="shared" si="35"/>
        <v>#DIV/0!</v>
      </c>
      <c r="DI30" s="523">
        <f t="shared" si="203"/>
        <v>0</v>
      </c>
      <c r="DJ30" s="521"/>
      <c r="DK30" s="522" t="e">
        <f t="shared" si="36"/>
        <v>#DIV/0!</v>
      </c>
      <c r="DL30" s="523">
        <f t="shared" si="147"/>
        <v>0</v>
      </c>
      <c r="DM30" s="521"/>
      <c r="DN30" s="522" t="e">
        <f t="shared" si="37"/>
        <v>#DIV/0!</v>
      </c>
      <c r="DO30" s="523">
        <f t="shared" si="148"/>
        <v>0</v>
      </c>
      <c r="DP30" s="521"/>
      <c r="DQ30" s="522" t="e">
        <f t="shared" si="38"/>
        <v>#DIV/0!</v>
      </c>
      <c r="DR30" s="523">
        <f t="shared" si="149"/>
        <v>0</v>
      </c>
      <c r="DS30" s="521"/>
      <c r="DT30" s="522" t="e">
        <f t="shared" si="39"/>
        <v>#DIV/0!</v>
      </c>
      <c r="DU30" s="523">
        <f t="shared" si="150"/>
        <v>0</v>
      </c>
      <c r="DV30" s="521"/>
      <c r="DW30" s="522" t="e">
        <f t="shared" si="40"/>
        <v>#DIV/0!</v>
      </c>
      <c r="DX30" s="523">
        <f t="shared" si="151"/>
        <v>0</v>
      </c>
      <c r="DY30" s="521"/>
      <c r="DZ30" s="522" t="e">
        <f t="shared" si="41"/>
        <v>#DIV/0!</v>
      </c>
      <c r="EA30" s="523">
        <f t="shared" si="152"/>
        <v>0</v>
      </c>
      <c r="EB30" s="521"/>
      <c r="EC30" s="522" t="e">
        <f t="shared" si="42"/>
        <v>#DIV/0!</v>
      </c>
      <c r="ED30" s="523">
        <f t="shared" si="153"/>
        <v>0</v>
      </c>
      <c r="EE30" s="521"/>
      <c r="EF30" s="522" t="e">
        <f t="shared" si="43"/>
        <v>#DIV/0!</v>
      </c>
      <c r="EG30" s="523">
        <f t="shared" si="154"/>
        <v>0</v>
      </c>
      <c r="EH30" s="521"/>
      <c r="EI30" s="522" t="e">
        <f t="shared" si="44"/>
        <v>#DIV/0!</v>
      </c>
      <c r="EJ30" s="523">
        <f t="shared" si="155"/>
        <v>0</v>
      </c>
      <c r="EK30" s="521"/>
      <c r="EL30" s="522" t="e">
        <f t="shared" si="45"/>
        <v>#DIV/0!</v>
      </c>
      <c r="EM30" s="523">
        <f t="shared" si="156"/>
        <v>0</v>
      </c>
      <c r="EN30" s="521"/>
      <c r="EO30" s="522" t="e">
        <f t="shared" si="46"/>
        <v>#DIV/0!</v>
      </c>
      <c r="EP30" s="523">
        <f t="shared" si="157"/>
        <v>0</v>
      </c>
      <c r="EQ30" s="521"/>
      <c r="ER30" s="522" t="e">
        <f t="shared" si="47"/>
        <v>#DIV/0!</v>
      </c>
      <c r="ES30" s="523">
        <f t="shared" si="158"/>
        <v>0</v>
      </c>
      <c r="ET30" s="521"/>
      <c r="EU30" s="522" t="e">
        <f t="shared" si="48"/>
        <v>#DIV/0!</v>
      </c>
      <c r="EV30" s="523">
        <f t="shared" si="159"/>
        <v>0</v>
      </c>
      <c r="EW30" s="521"/>
      <c r="EX30" s="522" t="e">
        <f t="shared" si="49"/>
        <v>#DIV/0!</v>
      </c>
      <c r="EY30" s="523">
        <f t="shared" si="160"/>
        <v>0</v>
      </c>
      <c r="EZ30" s="521"/>
      <c r="FA30" s="522" t="e">
        <f t="shared" si="50"/>
        <v>#DIV/0!</v>
      </c>
      <c r="FB30" s="523">
        <f t="shared" si="161"/>
        <v>0</v>
      </c>
      <c r="FC30" s="521"/>
      <c r="FD30" s="522" t="e">
        <f t="shared" si="51"/>
        <v>#DIV/0!</v>
      </c>
      <c r="FE30" s="523">
        <f t="shared" si="162"/>
        <v>0</v>
      </c>
      <c r="FF30" s="521"/>
      <c r="FG30" s="522" t="e">
        <f t="shared" si="52"/>
        <v>#DIV/0!</v>
      </c>
      <c r="FH30" s="523">
        <f t="shared" si="163"/>
        <v>0</v>
      </c>
      <c r="FI30" s="521"/>
      <c r="FJ30" s="522" t="e">
        <f t="shared" si="53"/>
        <v>#DIV/0!</v>
      </c>
      <c r="FK30" s="523">
        <f t="shared" si="164"/>
        <v>0</v>
      </c>
      <c r="FL30" s="521"/>
      <c r="FM30" s="522" t="e">
        <f t="shared" si="54"/>
        <v>#DIV/0!</v>
      </c>
      <c r="FN30" s="523">
        <f t="shared" si="165"/>
        <v>0</v>
      </c>
      <c r="FO30" s="521"/>
      <c r="FP30" s="522" t="e">
        <f t="shared" si="55"/>
        <v>#DIV/0!</v>
      </c>
      <c r="FQ30" s="523">
        <f t="shared" si="166"/>
        <v>0</v>
      </c>
      <c r="FR30" s="521"/>
      <c r="FS30" s="522" t="e">
        <f t="shared" si="56"/>
        <v>#DIV/0!</v>
      </c>
      <c r="FT30" s="523">
        <f t="shared" si="167"/>
        <v>0</v>
      </c>
      <c r="FU30" s="521"/>
      <c r="FV30" s="522" t="e">
        <f t="shared" si="57"/>
        <v>#DIV/0!</v>
      </c>
      <c r="FW30" s="523">
        <f t="shared" si="168"/>
        <v>0</v>
      </c>
      <c r="FX30" s="521"/>
      <c r="FY30" s="522" t="e">
        <f t="shared" si="58"/>
        <v>#DIV/0!</v>
      </c>
      <c r="FZ30" s="523">
        <f t="shared" si="169"/>
        <v>0</v>
      </c>
      <c r="GA30" s="521"/>
      <c r="GB30" s="522" t="e">
        <f t="shared" si="59"/>
        <v>#DIV/0!</v>
      </c>
      <c r="GC30" s="523">
        <f t="shared" si="170"/>
        <v>0</v>
      </c>
      <c r="GD30" s="521"/>
      <c r="GE30" s="522" t="e">
        <f t="shared" si="60"/>
        <v>#DIV/0!</v>
      </c>
      <c r="GF30" s="523">
        <f t="shared" si="171"/>
        <v>0</v>
      </c>
      <c r="GG30" s="521"/>
      <c r="GH30" s="522" t="e">
        <f t="shared" si="61"/>
        <v>#DIV/0!</v>
      </c>
      <c r="GI30" s="523">
        <f t="shared" si="172"/>
        <v>0</v>
      </c>
      <c r="GJ30" s="521"/>
      <c r="GK30" s="522" t="e">
        <f t="shared" si="62"/>
        <v>#DIV/0!</v>
      </c>
      <c r="GL30" s="523">
        <f t="shared" si="173"/>
        <v>0</v>
      </c>
      <c r="GM30" s="521"/>
      <c r="GN30" s="522" t="e">
        <f t="shared" si="63"/>
        <v>#DIV/0!</v>
      </c>
      <c r="GO30" s="523">
        <f t="shared" si="174"/>
        <v>0</v>
      </c>
      <c r="GP30" s="521"/>
      <c r="GQ30" s="522" t="e">
        <f t="shared" si="64"/>
        <v>#DIV/0!</v>
      </c>
      <c r="GR30" s="523">
        <f t="shared" si="175"/>
        <v>0</v>
      </c>
      <c r="GS30" s="521"/>
      <c r="GT30" s="522" t="e">
        <f t="shared" si="65"/>
        <v>#DIV/0!</v>
      </c>
      <c r="GU30" s="523">
        <f t="shared" si="176"/>
        <v>0</v>
      </c>
      <c r="GV30" s="521"/>
      <c r="GW30" s="522" t="e">
        <f t="shared" si="66"/>
        <v>#DIV/0!</v>
      </c>
      <c r="GX30" s="523">
        <f t="shared" si="177"/>
        <v>0</v>
      </c>
      <c r="GY30" s="521"/>
      <c r="GZ30" s="522" t="e">
        <f t="shared" si="67"/>
        <v>#DIV/0!</v>
      </c>
      <c r="HA30" s="523">
        <f t="shared" si="178"/>
        <v>0</v>
      </c>
      <c r="HB30" s="521"/>
      <c r="HC30" s="522" t="e">
        <f t="shared" si="68"/>
        <v>#DIV/0!</v>
      </c>
      <c r="HD30" s="523">
        <f t="shared" si="179"/>
        <v>0</v>
      </c>
      <c r="HE30" s="521"/>
      <c r="HF30" s="522" t="e">
        <f t="shared" si="69"/>
        <v>#DIV/0!</v>
      </c>
      <c r="HG30" s="523">
        <f t="shared" si="180"/>
        <v>0</v>
      </c>
      <c r="HH30" s="521"/>
      <c r="HI30" s="522" t="e">
        <f t="shared" si="70"/>
        <v>#DIV/0!</v>
      </c>
      <c r="HJ30" s="523">
        <f t="shared" si="181"/>
        <v>0</v>
      </c>
      <c r="HK30" s="521"/>
      <c r="HL30" s="522" t="e">
        <f t="shared" si="71"/>
        <v>#DIV/0!</v>
      </c>
      <c r="HM30" s="523">
        <f t="shared" si="182"/>
        <v>0</v>
      </c>
      <c r="HN30" s="521"/>
      <c r="HO30" s="522" t="e">
        <f t="shared" si="72"/>
        <v>#DIV/0!</v>
      </c>
      <c r="HP30" s="523">
        <f t="shared" si="183"/>
        <v>0</v>
      </c>
      <c r="HQ30" s="521"/>
      <c r="HR30" s="522" t="e">
        <f t="shared" si="73"/>
        <v>#DIV/0!</v>
      </c>
      <c r="HS30" s="523">
        <f t="shared" si="184"/>
        <v>0</v>
      </c>
      <c r="HT30" s="521"/>
      <c r="HU30" s="522" t="e">
        <f t="shared" si="74"/>
        <v>#DIV/0!</v>
      </c>
      <c r="HV30" s="523">
        <f t="shared" si="185"/>
        <v>0</v>
      </c>
      <c r="HW30" s="521"/>
      <c r="HX30" s="522" t="e">
        <f t="shared" si="75"/>
        <v>#DIV/0!</v>
      </c>
      <c r="HY30" s="523">
        <f t="shared" si="186"/>
        <v>0</v>
      </c>
      <c r="HZ30" s="521"/>
      <c r="IA30" s="522" t="e">
        <f t="shared" si="76"/>
        <v>#DIV/0!</v>
      </c>
      <c r="IB30" s="523">
        <f t="shared" si="187"/>
        <v>0</v>
      </c>
      <c r="IC30" s="521"/>
      <c r="ID30" s="522" t="e">
        <f t="shared" si="77"/>
        <v>#DIV/0!</v>
      </c>
      <c r="IE30" s="523">
        <f t="shared" si="188"/>
        <v>0</v>
      </c>
      <c r="IF30" s="521"/>
      <c r="IG30" s="522" t="e">
        <f t="shared" si="78"/>
        <v>#DIV/0!</v>
      </c>
      <c r="IH30" s="523">
        <f t="shared" si="189"/>
        <v>0</v>
      </c>
      <c r="II30" s="521"/>
      <c r="IJ30" s="522" t="e">
        <f t="shared" si="79"/>
        <v>#DIV/0!</v>
      </c>
      <c r="IK30" s="523">
        <f t="shared" si="190"/>
        <v>0</v>
      </c>
      <c r="IL30" s="521"/>
      <c r="IM30" s="522" t="e">
        <f t="shared" si="80"/>
        <v>#DIV/0!</v>
      </c>
      <c r="IN30" s="523">
        <f t="shared" si="191"/>
        <v>0</v>
      </c>
      <c r="IO30" s="521"/>
      <c r="IP30" s="522" t="e">
        <f t="shared" si="81"/>
        <v>#DIV/0!</v>
      </c>
      <c r="IQ30" s="523">
        <f t="shared" si="192"/>
        <v>0</v>
      </c>
      <c r="IR30" s="521"/>
      <c r="IS30" s="522" t="e">
        <f t="shared" si="82"/>
        <v>#DIV/0!</v>
      </c>
      <c r="IT30" s="523">
        <f t="shared" si="193"/>
        <v>0</v>
      </c>
      <c r="IU30" s="521"/>
      <c r="IV30" s="522" t="e">
        <f t="shared" si="83"/>
        <v>#DIV/0!</v>
      </c>
      <c r="IW30" s="523">
        <f t="shared" si="194"/>
        <v>0</v>
      </c>
      <c r="IX30" s="521"/>
      <c r="IY30" s="522" t="e">
        <f t="shared" si="84"/>
        <v>#DIV/0!</v>
      </c>
      <c r="IZ30" s="523">
        <f t="shared" si="195"/>
        <v>0</v>
      </c>
      <c r="JA30" s="521"/>
      <c r="JB30" s="522" t="e">
        <f t="shared" si="85"/>
        <v>#DIV/0!</v>
      </c>
      <c r="JC30" s="523">
        <f t="shared" si="196"/>
        <v>0</v>
      </c>
      <c r="JD30" s="521"/>
      <c r="JE30" s="522" t="e">
        <f t="shared" si="86"/>
        <v>#DIV/0!</v>
      </c>
      <c r="JF30" s="523">
        <f t="shared" si="197"/>
        <v>0</v>
      </c>
      <c r="JG30" s="521"/>
      <c r="JH30" s="522" t="e">
        <f t="shared" si="87"/>
        <v>#DIV/0!</v>
      </c>
      <c r="JI30" s="523">
        <f t="shared" si="198"/>
        <v>0</v>
      </c>
      <c r="JJ30" s="521"/>
      <c r="JK30" s="523" t="str">
        <f t="shared" si="88"/>
        <v>0</v>
      </c>
      <c r="JL30" s="523" t="str">
        <f t="shared" si="89"/>
        <v>0</v>
      </c>
      <c r="JM30" s="521"/>
      <c r="JN30" s="523" t="str">
        <f t="shared" si="90"/>
        <v>0</v>
      </c>
      <c r="JO30" s="523" t="str">
        <f t="shared" si="91"/>
        <v>0</v>
      </c>
      <c r="JP30" s="521"/>
      <c r="JQ30" s="523" t="str">
        <f t="shared" si="92"/>
        <v>0</v>
      </c>
      <c r="JR30" s="523" t="str">
        <f t="shared" si="93"/>
        <v>0</v>
      </c>
      <c r="JS30" s="521"/>
      <c r="JT30" s="523" t="str">
        <f t="shared" si="94"/>
        <v>0</v>
      </c>
      <c r="JU30" s="523" t="str">
        <f t="shared" si="95"/>
        <v>0</v>
      </c>
      <c r="JV30" s="521"/>
      <c r="JW30" s="523" t="str">
        <f t="shared" si="96"/>
        <v>0</v>
      </c>
      <c r="JX30" s="523" t="str">
        <f t="shared" si="97"/>
        <v>0</v>
      </c>
      <c r="JY30" s="521"/>
      <c r="JZ30" s="523" t="str">
        <f t="shared" si="98"/>
        <v>0</v>
      </c>
      <c r="KA30" s="523" t="str">
        <f t="shared" si="99"/>
        <v>0</v>
      </c>
      <c r="KB30" s="521"/>
      <c r="KC30" s="523" t="str">
        <f t="shared" si="100"/>
        <v>0</v>
      </c>
      <c r="KD30" s="523" t="str">
        <f t="shared" si="101"/>
        <v>0</v>
      </c>
      <c r="KE30" s="521"/>
      <c r="KF30" s="523" t="str">
        <f t="shared" si="102"/>
        <v>0</v>
      </c>
      <c r="KG30" s="523" t="str">
        <f t="shared" si="103"/>
        <v>0</v>
      </c>
      <c r="KH30" s="521"/>
      <c r="KI30" s="523" t="str">
        <f t="shared" si="104"/>
        <v>0</v>
      </c>
      <c r="KJ30" s="523" t="str">
        <f t="shared" si="105"/>
        <v>0</v>
      </c>
      <c r="KK30" s="521"/>
      <c r="KL30" s="523" t="str">
        <f t="shared" si="106"/>
        <v>0</v>
      </c>
      <c r="KM30" s="523" t="str">
        <f t="shared" si="107"/>
        <v>0</v>
      </c>
      <c r="KN30" s="521"/>
      <c r="KO30" s="523" t="str">
        <f t="shared" si="108"/>
        <v>0</v>
      </c>
      <c r="KP30" s="523" t="str">
        <f t="shared" si="109"/>
        <v>0</v>
      </c>
      <c r="KQ30" s="521"/>
      <c r="KR30" s="523" t="str">
        <f t="shared" si="110"/>
        <v>0</v>
      </c>
      <c r="KS30" s="523" t="str">
        <f t="shared" si="111"/>
        <v>0</v>
      </c>
      <c r="KT30" s="523">
        <f t="shared" si="201"/>
        <v>0</v>
      </c>
      <c r="KU30" s="523">
        <f t="shared" si="202"/>
        <v>0</v>
      </c>
      <c r="KV30" s="261">
        <f t="shared" si="199"/>
        <v>0</v>
      </c>
    </row>
    <row r="31" spans="1:308">
      <c r="A31" s="262">
        <f t="shared" si="200"/>
        <v>46104</v>
      </c>
      <c r="B31" s="263" t="str">
        <f>+Report1!B31</f>
        <v>Toilet</v>
      </c>
      <c r="C31" s="263" t="str">
        <f>+Report1!C31</f>
        <v>12,5</v>
      </c>
      <c r="D31" s="264">
        <f>+Report1!P31</f>
        <v>0</v>
      </c>
      <c r="E31" s="556">
        <f>+Report1!R31</f>
        <v>0</v>
      </c>
      <c r="F31" s="521"/>
      <c r="G31" s="522" t="e">
        <f t="shared" si="0"/>
        <v>#DIV/0!</v>
      </c>
      <c r="H31" s="523">
        <f t="shared" si="112"/>
        <v>0</v>
      </c>
      <c r="I31" s="521"/>
      <c r="J31" s="522" t="e">
        <f t="shared" si="1"/>
        <v>#DIV/0!</v>
      </c>
      <c r="K31" s="523">
        <f t="shared" si="113"/>
        <v>0</v>
      </c>
      <c r="L31" s="521"/>
      <c r="M31" s="522" t="e">
        <f t="shared" si="2"/>
        <v>#DIV/0!</v>
      </c>
      <c r="N31" s="523">
        <f t="shared" si="114"/>
        <v>0</v>
      </c>
      <c r="O31" s="521">
        <v>3.1249999999999858</v>
      </c>
      <c r="P31" s="522" t="e">
        <f t="shared" si="3"/>
        <v>#DIV/0!</v>
      </c>
      <c r="Q31" s="523">
        <f t="shared" si="115"/>
        <v>0</v>
      </c>
      <c r="R31" s="521"/>
      <c r="S31" s="522" t="e">
        <f t="shared" si="4"/>
        <v>#DIV/0!</v>
      </c>
      <c r="T31" s="523">
        <f t="shared" si="116"/>
        <v>0</v>
      </c>
      <c r="U31" s="521"/>
      <c r="V31" s="522" t="e">
        <f t="shared" si="5"/>
        <v>#DIV/0!</v>
      </c>
      <c r="W31" s="523">
        <f t="shared" si="117"/>
        <v>0</v>
      </c>
      <c r="X31" s="521"/>
      <c r="Y31" s="522" t="e">
        <f t="shared" si="6"/>
        <v>#DIV/0!</v>
      </c>
      <c r="Z31" s="523">
        <f t="shared" si="118"/>
        <v>0</v>
      </c>
      <c r="AA31" s="521"/>
      <c r="AB31" s="522" t="e">
        <f t="shared" si="7"/>
        <v>#DIV/0!</v>
      </c>
      <c r="AC31" s="523">
        <f t="shared" si="119"/>
        <v>0</v>
      </c>
      <c r="AD31" s="521"/>
      <c r="AE31" s="522" t="e">
        <f t="shared" si="8"/>
        <v>#DIV/0!</v>
      </c>
      <c r="AF31" s="523">
        <f t="shared" si="120"/>
        <v>0</v>
      </c>
      <c r="AG31" s="521"/>
      <c r="AH31" s="522" t="e">
        <f t="shared" si="9"/>
        <v>#DIV/0!</v>
      </c>
      <c r="AI31" s="523">
        <f t="shared" si="121"/>
        <v>0</v>
      </c>
      <c r="AJ31" s="521"/>
      <c r="AK31" s="522" t="e">
        <f t="shared" si="10"/>
        <v>#DIV/0!</v>
      </c>
      <c r="AL31" s="523">
        <f t="shared" si="122"/>
        <v>0</v>
      </c>
      <c r="AM31" s="521"/>
      <c r="AN31" s="522" t="e">
        <f t="shared" si="11"/>
        <v>#DIV/0!</v>
      </c>
      <c r="AO31" s="523">
        <f t="shared" si="123"/>
        <v>0</v>
      </c>
      <c r="AP31" s="521"/>
      <c r="AQ31" s="522" t="e">
        <f t="shared" si="12"/>
        <v>#DIV/0!</v>
      </c>
      <c r="AR31" s="523">
        <f t="shared" si="124"/>
        <v>0</v>
      </c>
      <c r="AS31" s="521"/>
      <c r="AT31" s="522" t="e">
        <f t="shared" si="13"/>
        <v>#DIV/0!</v>
      </c>
      <c r="AU31" s="523">
        <f t="shared" si="125"/>
        <v>0</v>
      </c>
      <c r="AV31" s="521"/>
      <c r="AW31" s="522" t="e">
        <f t="shared" si="14"/>
        <v>#DIV/0!</v>
      </c>
      <c r="AX31" s="523">
        <f t="shared" si="126"/>
        <v>0</v>
      </c>
      <c r="AY31" s="521">
        <v>11.666000000000025</v>
      </c>
      <c r="AZ31" s="522" t="e">
        <f t="shared" si="15"/>
        <v>#DIV/0!</v>
      </c>
      <c r="BA31" s="523">
        <f t="shared" si="127"/>
        <v>0</v>
      </c>
      <c r="BB31" s="521"/>
      <c r="BC31" s="522" t="e">
        <f t="shared" si="16"/>
        <v>#DIV/0!</v>
      </c>
      <c r="BD31" s="523">
        <f t="shared" si="128"/>
        <v>0</v>
      </c>
      <c r="BE31" s="521"/>
      <c r="BF31" s="522" t="e">
        <f t="shared" si="17"/>
        <v>#DIV/0!</v>
      </c>
      <c r="BG31" s="523">
        <f t="shared" si="129"/>
        <v>0</v>
      </c>
      <c r="BH31" s="521"/>
      <c r="BI31" s="522" t="e">
        <f t="shared" si="18"/>
        <v>#DIV/0!</v>
      </c>
      <c r="BJ31" s="523">
        <f t="shared" si="130"/>
        <v>0</v>
      </c>
      <c r="BK31" s="521"/>
      <c r="BL31" s="522" t="e">
        <f t="shared" si="19"/>
        <v>#DIV/0!</v>
      </c>
      <c r="BM31" s="523">
        <f t="shared" si="131"/>
        <v>0</v>
      </c>
      <c r="BN31" s="521"/>
      <c r="BO31" s="522" t="e">
        <f t="shared" si="20"/>
        <v>#DIV/0!</v>
      </c>
      <c r="BP31" s="523">
        <f t="shared" si="132"/>
        <v>0</v>
      </c>
      <c r="BQ31" s="521"/>
      <c r="BR31" s="522" t="e">
        <f t="shared" si="21"/>
        <v>#DIV/0!</v>
      </c>
      <c r="BS31" s="523">
        <f t="shared" si="133"/>
        <v>0</v>
      </c>
      <c r="BT31" s="521"/>
      <c r="BU31" s="522" t="e">
        <f t="shared" si="22"/>
        <v>#DIV/0!</v>
      </c>
      <c r="BV31" s="523">
        <f t="shared" si="134"/>
        <v>0</v>
      </c>
      <c r="BW31" s="521"/>
      <c r="BX31" s="522" t="e">
        <f t="shared" si="23"/>
        <v>#DIV/0!</v>
      </c>
      <c r="BY31" s="523">
        <f t="shared" si="135"/>
        <v>0</v>
      </c>
      <c r="BZ31" s="521"/>
      <c r="CA31" s="522" t="e">
        <f t="shared" si="24"/>
        <v>#DIV/0!</v>
      </c>
      <c r="CB31" s="523">
        <f t="shared" si="136"/>
        <v>0</v>
      </c>
      <c r="CC31" s="521"/>
      <c r="CD31" s="522" t="e">
        <f t="shared" si="25"/>
        <v>#DIV/0!</v>
      </c>
      <c r="CE31" s="523">
        <f t="shared" si="137"/>
        <v>0</v>
      </c>
      <c r="CF31" s="521"/>
      <c r="CG31" s="522" t="e">
        <f t="shared" si="26"/>
        <v>#DIV/0!</v>
      </c>
      <c r="CH31" s="523">
        <f t="shared" si="138"/>
        <v>0</v>
      </c>
      <c r="CI31" s="521"/>
      <c r="CJ31" s="522" t="e">
        <f t="shared" si="27"/>
        <v>#DIV/0!</v>
      </c>
      <c r="CK31" s="523">
        <f t="shared" si="139"/>
        <v>0</v>
      </c>
      <c r="CL31" s="521"/>
      <c r="CM31" s="522" t="e">
        <f t="shared" si="28"/>
        <v>#DIV/0!</v>
      </c>
      <c r="CN31" s="523">
        <f t="shared" si="140"/>
        <v>0</v>
      </c>
      <c r="CO31" s="521"/>
      <c r="CP31" s="522" t="e">
        <f t="shared" si="29"/>
        <v>#DIV/0!</v>
      </c>
      <c r="CQ31" s="523">
        <f t="shared" si="141"/>
        <v>0</v>
      </c>
      <c r="CR31" s="521"/>
      <c r="CS31" s="522" t="e">
        <f t="shared" si="30"/>
        <v>#DIV/0!</v>
      </c>
      <c r="CT31" s="523">
        <f t="shared" si="142"/>
        <v>0</v>
      </c>
      <c r="CU31" s="521"/>
      <c r="CV31" s="522" t="e">
        <f t="shared" si="31"/>
        <v>#DIV/0!</v>
      </c>
      <c r="CW31" s="523">
        <f t="shared" si="143"/>
        <v>0</v>
      </c>
      <c r="CX31" s="521"/>
      <c r="CY31" s="522" t="e">
        <f t="shared" si="32"/>
        <v>#DIV/0!</v>
      </c>
      <c r="CZ31" s="523">
        <f t="shared" si="144"/>
        <v>0</v>
      </c>
      <c r="DA31" s="521"/>
      <c r="DB31" s="522" t="e">
        <f t="shared" si="33"/>
        <v>#DIV/0!</v>
      </c>
      <c r="DC31" s="523">
        <f t="shared" si="145"/>
        <v>0</v>
      </c>
      <c r="DD31" s="521"/>
      <c r="DE31" s="522" t="e">
        <f t="shared" si="34"/>
        <v>#DIV/0!</v>
      </c>
      <c r="DF31" s="523">
        <f t="shared" si="146"/>
        <v>0</v>
      </c>
      <c r="DG31" s="521"/>
      <c r="DH31" s="522" t="e">
        <f t="shared" si="35"/>
        <v>#DIV/0!</v>
      </c>
      <c r="DI31" s="523">
        <f t="shared" si="203"/>
        <v>0</v>
      </c>
      <c r="DJ31" s="521"/>
      <c r="DK31" s="522" t="e">
        <f t="shared" si="36"/>
        <v>#DIV/0!</v>
      </c>
      <c r="DL31" s="523">
        <f t="shared" si="147"/>
        <v>0</v>
      </c>
      <c r="DM31" s="521"/>
      <c r="DN31" s="522" t="e">
        <f t="shared" si="37"/>
        <v>#DIV/0!</v>
      </c>
      <c r="DO31" s="523">
        <f t="shared" si="148"/>
        <v>0</v>
      </c>
      <c r="DP31" s="521"/>
      <c r="DQ31" s="522" t="e">
        <f t="shared" si="38"/>
        <v>#DIV/0!</v>
      </c>
      <c r="DR31" s="523">
        <f t="shared" si="149"/>
        <v>0</v>
      </c>
      <c r="DS31" s="521"/>
      <c r="DT31" s="522" t="e">
        <f t="shared" si="39"/>
        <v>#DIV/0!</v>
      </c>
      <c r="DU31" s="523">
        <f t="shared" si="150"/>
        <v>0</v>
      </c>
      <c r="DV31" s="521"/>
      <c r="DW31" s="522" t="e">
        <f t="shared" si="40"/>
        <v>#DIV/0!</v>
      </c>
      <c r="DX31" s="523">
        <f t="shared" si="151"/>
        <v>0</v>
      </c>
      <c r="DY31" s="521"/>
      <c r="DZ31" s="522" t="e">
        <f t="shared" si="41"/>
        <v>#DIV/0!</v>
      </c>
      <c r="EA31" s="523">
        <f t="shared" si="152"/>
        <v>0</v>
      </c>
      <c r="EB31" s="521"/>
      <c r="EC31" s="522" t="e">
        <f t="shared" si="42"/>
        <v>#DIV/0!</v>
      </c>
      <c r="ED31" s="523">
        <f t="shared" si="153"/>
        <v>0</v>
      </c>
      <c r="EE31" s="521">
        <v>14.534883720930225</v>
      </c>
      <c r="EF31" s="522" t="e">
        <f t="shared" si="43"/>
        <v>#DIV/0!</v>
      </c>
      <c r="EG31" s="523">
        <f t="shared" si="154"/>
        <v>0</v>
      </c>
      <c r="EH31" s="521">
        <v>0.5</v>
      </c>
      <c r="EI31" s="522" t="e">
        <f t="shared" si="44"/>
        <v>#DIV/0!</v>
      </c>
      <c r="EJ31" s="523">
        <f t="shared" si="155"/>
        <v>0</v>
      </c>
      <c r="EK31" s="521"/>
      <c r="EL31" s="522" t="e">
        <f t="shared" si="45"/>
        <v>#DIV/0!</v>
      </c>
      <c r="EM31" s="523">
        <f t="shared" si="156"/>
        <v>0</v>
      </c>
      <c r="EN31" s="521"/>
      <c r="EO31" s="522" t="e">
        <f t="shared" si="46"/>
        <v>#DIV/0!</v>
      </c>
      <c r="EP31" s="523">
        <f t="shared" si="157"/>
        <v>0</v>
      </c>
      <c r="EQ31" s="521"/>
      <c r="ER31" s="522" t="e">
        <f t="shared" si="47"/>
        <v>#DIV/0!</v>
      </c>
      <c r="ES31" s="523">
        <f t="shared" si="158"/>
        <v>0</v>
      </c>
      <c r="ET31" s="521"/>
      <c r="EU31" s="522" t="e">
        <f t="shared" si="48"/>
        <v>#DIV/0!</v>
      </c>
      <c r="EV31" s="523">
        <f t="shared" si="159"/>
        <v>0</v>
      </c>
      <c r="EW31" s="521"/>
      <c r="EX31" s="522" t="e">
        <f t="shared" si="49"/>
        <v>#DIV/0!</v>
      </c>
      <c r="EY31" s="523">
        <f t="shared" si="160"/>
        <v>0</v>
      </c>
      <c r="EZ31" s="521"/>
      <c r="FA31" s="522" t="e">
        <f t="shared" si="50"/>
        <v>#DIV/0!</v>
      </c>
      <c r="FB31" s="523">
        <f t="shared" si="161"/>
        <v>0</v>
      </c>
      <c r="FC31" s="521"/>
      <c r="FD31" s="522" t="e">
        <f t="shared" si="51"/>
        <v>#DIV/0!</v>
      </c>
      <c r="FE31" s="523">
        <f t="shared" si="162"/>
        <v>0</v>
      </c>
      <c r="FF31" s="521"/>
      <c r="FG31" s="522" t="e">
        <f t="shared" si="52"/>
        <v>#DIV/0!</v>
      </c>
      <c r="FH31" s="523">
        <f t="shared" si="163"/>
        <v>0</v>
      </c>
      <c r="FI31" s="521"/>
      <c r="FJ31" s="522" t="e">
        <f t="shared" si="53"/>
        <v>#DIV/0!</v>
      </c>
      <c r="FK31" s="523">
        <f t="shared" si="164"/>
        <v>0</v>
      </c>
      <c r="FL31" s="521"/>
      <c r="FM31" s="522" t="e">
        <f t="shared" si="54"/>
        <v>#DIV/0!</v>
      </c>
      <c r="FN31" s="523">
        <f t="shared" si="165"/>
        <v>0</v>
      </c>
      <c r="FO31" s="521"/>
      <c r="FP31" s="522" t="e">
        <f t="shared" si="55"/>
        <v>#DIV/0!</v>
      </c>
      <c r="FQ31" s="523">
        <f t="shared" si="166"/>
        <v>0</v>
      </c>
      <c r="FR31" s="521"/>
      <c r="FS31" s="522" t="e">
        <f t="shared" si="56"/>
        <v>#DIV/0!</v>
      </c>
      <c r="FT31" s="523">
        <f t="shared" si="167"/>
        <v>0</v>
      </c>
      <c r="FU31" s="521"/>
      <c r="FV31" s="522" t="e">
        <f t="shared" si="57"/>
        <v>#DIV/0!</v>
      </c>
      <c r="FW31" s="523">
        <f t="shared" si="168"/>
        <v>0</v>
      </c>
      <c r="FX31" s="521"/>
      <c r="FY31" s="522" t="e">
        <f t="shared" si="58"/>
        <v>#DIV/0!</v>
      </c>
      <c r="FZ31" s="523">
        <f t="shared" si="169"/>
        <v>0</v>
      </c>
      <c r="GA31" s="521"/>
      <c r="GB31" s="522" t="e">
        <f t="shared" si="59"/>
        <v>#DIV/0!</v>
      </c>
      <c r="GC31" s="523">
        <f t="shared" si="170"/>
        <v>0</v>
      </c>
      <c r="GD31" s="521"/>
      <c r="GE31" s="522" t="e">
        <f t="shared" si="60"/>
        <v>#DIV/0!</v>
      </c>
      <c r="GF31" s="523">
        <f t="shared" si="171"/>
        <v>0</v>
      </c>
      <c r="GG31" s="521"/>
      <c r="GH31" s="522" t="e">
        <f t="shared" si="61"/>
        <v>#DIV/0!</v>
      </c>
      <c r="GI31" s="523">
        <f t="shared" si="172"/>
        <v>0</v>
      </c>
      <c r="GJ31" s="521"/>
      <c r="GK31" s="522" t="e">
        <f t="shared" si="62"/>
        <v>#DIV/0!</v>
      </c>
      <c r="GL31" s="523">
        <f t="shared" si="173"/>
        <v>0</v>
      </c>
      <c r="GM31" s="521"/>
      <c r="GN31" s="522" t="e">
        <f t="shared" si="63"/>
        <v>#DIV/0!</v>
      </c>
      <c r="GO31" s="523">
        <f t="shared" si="174"/>
        <v>0</v>
      </c>
      <c r="GP31" s="521"/>
      <c r="GQ31" s="522" t="e">
        <f t="shared" si="64"/>
        <v>#DIV/0!</v>
      </c>
      <c r="GR31" s="523">
        <f t="shared" si="175"/>
        <v>0</v>
      </c>
      <c r="GS31" s="521"/>
      <c r="GT31" s="522" t="e">
        <f t="shared" si="65"/>
        <v>#DIV/0!</v>
      </c>
      <c r="GU31" s="523">
        <f t="shared" si="176"/>
        <v>0</v>
      </c>
      <c r="GV31" s="521"/>
      <c r="GW31" s="522" t="e">
        <f t="shared" si="66"/>
        <v>#DIV/0!</v>
      </c>
      <c r="GX31" s="523">
        <f t="shared" si="177"/>
        <v>0</v>
      </c>
      <c r="GY31" s="521"/>
      <c r="GZ31" s="522" t="e">
        <f t="shared" si="67"/>
        <v>#DIV/0!</v>
      </c>
      <c r="HA31" s="523">
        <f t="shared" si="178"/>
        <v>0</v>
      </c>
      <c r="HB31" s="521"/>
      <c r="HC31" s="522" t="e">
        <f t="shared" si="68"/>
        <v>#DIV/0!</v>
      </c>
      <c r="HD31" s="523">
        <f t="shared" si="179"/>
        <v>0</v>
      </c>
      <c r="HE31" s="521"/>
      <c r="HF31" s="522" t="e">
        <f t="shared" si="69"/>
        <v>#DIV/0!</v>
      </c>
      <c r="HG31" s="523">
        <f t="shared" si="180"/>
        <v>0</v>
      </c>
      <c r="HH31" s="521"/>
      <c r="HI31" s="522" t="e">
        <f t="shared" si="70"/>
        <v>#DIV/0!</v>
      </c>
      <c r="HJ31" s="523">
        <f t="shared" si="181"/>
        <v>0</v>
      </c>
      <c r="HK31" s="521"/>
      <c r="HL31" s="522" t="e">
        <f t="shared" si="71"/>
        <v>#DIV/0!</v>
      </c>
      <c r="HM31" s="523">
        <f t="shared" si="182"/>
        <v>0</v>
      </c>
      <c r="HN31" s="521"/>
      <c r="HO31" s="522" t="e">
        <f t="shared" si="72"/>
        <v>#DIV/0!</v>
      </c>
      <c r="HP31" s="523">
        <f t="shared" si="183"/>
        <v>0</v>
      </c>
      <c r="HQ31" s="521"/>
      <c r="HR31" s="522" t="e">
        <f t="shared" si="73"/>
        <v>#DIV/0!</v>
      </c>
      <c r="HS31" s="523">
        <f t="shared" si="184"/>
        <v>0</v>
      </c>
      <c r="HT31" s="521"/>
      <c r="HU31" s="522" t="e">
        <f t="shared" si="74"/>
        <v>#DIV/0!</v>
      </c>
      <c r="HV31" s="523">
        <f t="shared" si="185"/>
        <v>0</v>
      </c>
      <c r="HW31" s="521"/>
      <c r="HX31" s="522" t="e">
        <f t="shared" si="75"/>
        <v>#DIV/0!</v>
      </c>
      <c r="HY31" s="523">
        <f t="shared" si="186"/>
        <v>0</v>
      </c>
      <c r="HZ31" s="521"/>
      <c r="IA31" s="522" t="e">
        <f t="shared" si="76"/>
        <v>#DIV/0!</v>
      </c>
      <c r="IB31" s="523">
        <f t="shared" si="187"/>
        <v>0</v>
      </c>
      <c r="IC31" s="521"/>
      <c r="ID31" s="522" t="e">
        <f t="shared" si="77"/>
        <v>#DIV/0!</v>
      </c>
      <c r="IE31" s="523">
        <f t="shared" si="188"/>
        <v>0</v>
      </c>
      <c r="IF31" s="521"/>
      <c r="IG31" s="522" t="e">
        <f t="shared" si="78"/>
        <v>#DIV/0!</v>
      </c>
      <c r="IH31" s="523">
        <f t="shared" si="189"/>
        <v>0</v>
      </c>
      <c r="II31" s="521"/>
      <c r="IJ31" s="522" t="e">
        <f t="shared" si="79"/>
        <v>#DIV/0!</v>
      </c>
      <c r="IK31" s="523">
        <f t="shared" si="190"/>
        <v>0</v>
      </c>
      <c r="IL31" s="521"/>
      <c r="IM31" s="522" t="e">
        <f t="shared" si="80"/>
        <v>#DIV/0!</v>
      </c>
      <c r="IN31" s="523">
        <f t="shared" si="191"/>
        <v>0</v>
      </c>
      <c r="IO31" s="521"/>
      <c r="IP31" s="522" t="e">
        <f t="shared" si="81"/>
        <v>#DIV/0!</v>
      </c>
      <c r="IQ31" s="523">
        <f t="shared" si="192"/>
        <v>0</v>
      </c>
      <c r="IR31" s="521"/>
      <c r="IS31" s="522" t="e">
        <f t="shared" si="82"/>
        <v>#DIV/0!</v>
      </c>
      <c r="IT31" s="523">
        <f t="shared" si="193"/>
        <v>0</v>
      </c>
      <c r="IU31" s="521"/>
      <c r="IV31" s="522" t="e">
        <f t="shared" si="83"/>
        <v>#DIV/0!</v>
      </c>
      <c r="IW31" s="523">
        <f t="shared" si="194"/>
        <v>0</v>
      </c>
      <c r="IX31" s="521"/>
      <c r="IY31" s="522" t="e">
        <f t="shared" si="84"/>
        <v>#DIV/0!</v>
      </c>
      <c r="IZ31" s="523">
        <f t="shared" si="195"/>
        <v>0</v>
      </c>
      <c r="JA31" s="521"/>
      <c r="JB31" s="522" t="e">
        <f t="shared" si="85"/>
        <v>#DIV/0!</v>
      </c>
      <c r="JC31" s="523">
        <f t="shared" si="196"/>
        <v>0</v>
      </c>
      <c r="JD31" s="521"/>
      <c r="JE31" s="522" t="e">
        <f t="shared" si="86"/>
        <v>#DIV/0!</v>
      </c>
      <c r="JF31" s="523">
        <f t="shared" si="197"/>
        <v>0</v>
      </c>
      <c r="JG31" s="521"/>
      <c r="JH31" s="522" t="e">
        <f t="shared" si="87"/>
        <v>#DIV/0!</v>
      </c>
      <c r="JI31" s="523">
        <f t="shared" si="198"/>
        <v>0</v>
      </c>
      <c r="JJ31" s="521"/>
      <c r="JK31" s="523" t="str">
        <f t="shared" si="88"/>
        <v>0</v>
      </c>
      <c r="JL31" s="523" t="str">
        <f t="shared" si="89"/>
        <v>0</v>
      </c>
      <c r="JM31" s="521"/>
      <c r="JN31" s="523" t="str">
        <f t="shared" si="90"/>
        <v>0</v>
      </c>
      <c r="JO31" s="523" t="str">
        <f t="shared" si="91"/>
        <v>0</v>
      </c>
      <c r="JP31" s="521"/>
      <c r="JQ31" s="523" t="str">
        <f t="shared" si="92"/>
        <v>0</v>
      </c>
      <c r="JR31" s="523" t="str">
        <f t="shared" si="93"/>
        <v>0</v>
      </c>
      <c r="JS31" s="521"/>
      <c r="JT31" s="523" t="str">
        <f t="shared" si="94"/>
        <v>0</v>
      </c>
      <c r="JU31" s="523" t="str">
        <f t="shared" si="95"/>
        <v>0</v>
      </c>
      <c r="JV31" s="521"/>
      <c r="JW31" s="523" t="str">
        <f t="shared" si="96"/>
        <v>0</v>
      </c>
      <c r="JX31" s="523" t="str">
        <f t="shared" si="97"/>
        <v>0</v>
      </c>
      <c r="JY31" s="521"/>
      <c r="JZ31" s="523" t="str">
        <f t="shared" si="98"/>
        <v>0</v>
      </c>
      <c r="KA31" s="523" t="str">
        <f t="shared" si="99"/>
        <v>0</v>
      </c>
      <c r="KB31" s="521"/>
      <c r="KC31" s="523" t="str">
        <f t="shared" si="100"/>
        <v>0</v>
      </c>
      <c r="KD31" s="523" t="str">
        <f t="shared" si="101"/>
        <v>0</v>
      </c>
      <c r="KE31" s="521"/>
      <c r="KF31" s="523" t="str">
        <f t="shared" si="102"/>
        <v>0</v>
      </c>
      <c r="KG31" s="523" t="str">
        <f t="shared" si="103"/>
        <v>0</v>
      </c>
      <c r="KH31" s="521"/>
      <c r="KI31" s="523" t="str">
        <f t="shared" si="104"/>
        <v>0</v>
      </c>
      <c r="KJ31" s="523" t="str">
        <f t="shared" si="105"/>
        <v>0</v>
      </c>
      <c r="KK31" s="521"/>
      <c r="KL31" s="523" t="str">
        <f t="shared" si="106"/>
        <v>0</v>
      </c>
      <c r="KM31" s="523" t="str">
        <f t="shared" si="107"/>
        <v>0</v>
      </c>
      <c r="KN31" s="521"/>
      <c r="KO31" s="523" t="str">
        <f t="shared" si="108"/>
        <v>0</v>
      </c>
      <c r="KP31" s="523" t="str">
        <f t="shared" si="109"/>
        <v>0</v>
      </c>
      <c r="KQ31" s="521"/>
      <c r="KR31" s="523" t="str">
        <f t="shared" si="110"/>
        <v>0</v>
      </c>
      <c r="KS31" s="523" t="str">
        <f t="shared" si="111"/>
        <v>0</v>
      </c>
      <c r="KT31" s="523">
        <f t="shared" si="201"/>
        <v>0</v>
      </c>
      <c r="KU31" s="523">
        <f t="shared" si="202"/>
        <v>0</v>
      </c>
      <c r="KV31" s="261">
        <f t="shared" si="199"/>
        <v>29.825883720930236</v>
      </c>
    </row>
    <row r="32" spans="1:308">
      <c r="A32" s="262">
        <f t="shared" si="200"/>
        <v>46105</v>
      </c>
      <c r="B32" s="263" t="str">
        <f>+Report1!B32</f>
        <v>Toilet</v>
      </c>
      <c r="C32" s="263" t="str">
        <f>+Report1!C32</f>
        <v>14/12,5</v>
      </c>
      <c r="D32" s="264">
        <f>+Report1!P32</f>
        <v>34.495000000000005</v>
      </c>
      <c r="E32" s="556">
        <f>+Report1!R32</f>
        <v>25.161000000000001</v>
      </c>
      <c r="F32" s="521"/>
      <c r="G32" s="522">
        <f t="shared" si="0"/>
        <v>0</v>
      </c>
      <c r="H32" s="523">
        <f t="shared" si="112"/>
        <v>0</v>
      </c>
      <c r="I32" s="521"/>
      <c r="J32" s="522">
        <f t="shared" si="1"/>
        <v>0</v>
      </c>
      <c r="K32" s="523">
        <f t="shared" si="113"/>
        <v>0</v>
      </c>
      <c r="L32" s="521"/>
      <c r="M32" s="522">
        <f t="shared" si="2"/>
        <v>0</v>
      </c>
      <c r="N32" s="523">
        <f t="shared" si="114"/>
        <v>0</v>
      </c>
      <c r="O32" s="521">
        <v>6.0000000000000284</v>
      </c>
      <c r="P32" s="522">
        <f t="shared" si="3"/>
        <v>0.23846428997257774</v>
      </c>
      <c r="Q32" s="523">
        <f t="shared" si="115"/>
        <v>0</v>
      </c>
      <c r="R32" s="521"/>
      <c r="S32" s="522">
        <f t="shared" si="4"/>
        <v>0</v>
      </c>
      <c r="T32" s="523">
        <f t="shared" si="116"/>
        <v>0</v>
      </c>
      <c r="U32" s="521">
        <v>7.6875</v>
      </c>
      <c r="V32" s="522">
        <f t="shared" si="5"/>
        <v>0.30553237152736373</v>
      </c>
      <c r="W32" s="523">
        <f t="shared" si="117"/>
        <v>0</v>
      </c>
      <c r="X32" s="521"/>
      <c r="Y32" s="522">
        <f t="shared" si="6"/>
        <v>0</v>
      </c>
      <c r="Z32" s="523">
        <f t="shared" si="118"/>
        <v>0</v>
      </c>
      <c r="AA32" s="521">
        <v>4.6875</v>
      </c>
      <c r="AB32" s="522">
        <f t="shared" si="7"/>
        <v>0.18630022654107548</v>
      </c>
      <c r="AC32" s="523">
        <f t="shared" si="119"/>
        <v>0</v>
      </c>
      <c r="AD32" s="521"/>
      <c r="AE32" s="522">
        <f t="shared" si="8"/>
        <v>0</v>
      </c>
      <c r="AF32" s="523">
        <f t="shared" si="120"/>
        <v>0</v>
      </c>
      <c r="AG32" s="521"/>
      <c r="AH32" s="522">
        <f t="shared" si="9"/>
        <v>0</v>
      </c>
      <c r="AI32" s="523">
        <f t="shared" si="121"/>
        <v>0</v>
      </c>
      <c r="AJ32" s="521"/>
      <c r="AK32" s="522">
        <f t="shared" si="10"/>
        <v>0</v>
      </c>
      <c r="AL32" s="523">
        <f t="shared" si="122"/>
        <v>0</v>
      </c>
      <c r="AM32" s="521"/>
      <c r="AN32" s="522">
        <f t="shared" si="11"/>
        <v>0</v>
      </c>
      <c r="AO32" s="523">
        <f t="shared" si="123"/>
        <v>0</v>
      </c>
      <c r="AP32" s="521"/>
      <c r="AQ32" s="522">
        <f t="shared" si="12"/>
        <v>0</v>
      </c>
      <c r="AR32" s="523">
        <f t="shared" si="124"/>
        <v>0</v>
      </c>
      <c r="AS32" s="521"/>
      <c r="AT32" s="522">
        <f t="shared" si="13"/>
        <v>0</v>
      </c>
      <c r="AU32" s="523">
        <f t="shared" si="125"/>
        <v>0</v>
      </c>
      <c r="AV32" s="521"/>
      <c r="AW32" s="522">
        <f t="shared" si="14"/>
        <v>0</v>
      </c>
      <c r="AX32" s="523">
        <f t="shared" si="126"/>
        <v>0</v>
      </c>
      <c r="AY32" s="521"/>
      <c r="AZ32" s="522">
        <f t="shared" si="15"/>
        <v>0</v>
      </c>
      <c r="BA32" s="523">
        <f t="shared" si="127"/>
        <v>0</v>
      </c>
      <c r="BB32" s="521"/>
      <c r="BC32" s="522">
        <f t="shared" si="16"/>
        <v>0</v>
      </c>
      <c r="BD32" s="523">
        <f t="shared" si="128"/>
        <v>0</v>
      </c>
      <c r="BE32" s="521"/>
      <c r="BF32" s="522">
        <f t="shared" si="17"/>
        <v>0</v>
      </c>
      <c r="BG32" s="523">
        <f t="shared" si="129"/>
        <v>0</v>
      </c>
      <c r="BH32" s="521"/>
      <c r="BI32" s="522">
        <f t="shared" si="18"/>
        <v>0</v>
      </c>
      <c r="BJ32" s="523">
        <f t="shared" si="130"/>
        <v>0</v>
      </c>
      <c r="BK32" s="521"/>
      <c r="BL32" s="522">
        <f t="shared" si="19"/>
        <v>0</v>
      </c>
      <c r="BM32" s="523">
        <f t="shared" si="131"/>
        <v>0</v>
      </c>
      <c r="BN32" s="521"/>
      <c r="BO32" s="522">
        <f t="shared" si="20"/>
        <v>0</v>
      </c>
      <c r="BP32" s="523">
        <f t="shared" si="132"/>
        <v>0</v>
      </c>
      <c r="BQ32" s="521"/>
      <c r="BR32" s="522">
        <f t="shared" si="21"/>
        <v>0</v>
      </c>
      <c r="BS32" s="523">
        <f t="shared" si="133"/>
        <v>0</v>
      </c>
      <c r="BT32" s="521"/>
      <c r="BU32" s="522">
        <f t="shared" si="22"/>
        <v>0</v>
      </c>
      <c r="BV32" s="523">
        <f t="shared" si="134"/>
        <v>0</v>
      </c>
      <c r="BW32" s="521"/>
      <c r="BX32" s="522">
        <f t="shared" si="23"/>
        <v>0</v>
      </c>
      <c r="BY32" s="523">
        <f t="shared" si="135"/>
        <v>0</v>
      </c>
      <c r="BZ32" s="521"/>
      <c r="CA32" s="522">
        <f t="shared" si="24"/>
        <v>0</v>
      </c>
      <c r="CB32" s="523">
        <f t="shared" si="136"/>
        <v>0</v>
      </c>
      <c r="CC32" s="521">
        <v>14</v>
      </c>
      <c r="CD32" s="522">
        <f t="shared" si="25"/>
        <v>0.55641667660267868</v>
      </c>
      <c r="CE32" s="523">
        <f t="shared" si="137"/>
        <v>0</v>
      </c>
      <c r="CF32" s="521">
        <v>1.5</v>
      </c>
      <c r="CG32" s="522">
        <f t="shared" si="26"/>
        <v>5.961607249314415E-2</v>
      </c>
      <c r="CH32" s="523">
        <f t="shared" si="138"/>
        <v>0</v>
      </c>
      <c r="CI32" s="521"/>
      <c r="CJ32" s="522">
        <f t="shared" si="27"/>
        <v>0</v>
      </c>
      <c r="CK32" s="523">
        <f t="shared" si="139"/>
        <v>0</v>
      </c>
      <c r="CL32" s="521"/>
      <c r="CM32" s="522">
        <f t="shared" si="28"/>
        <v>0</v>
      </c>
      <c r="CN32" s="523">
        <f t="shared" si="140"/>
        <v>0</v>
      </c>
      <c r="CO32" s="521"/>
      <c r="CP32" s="522">
        <f t="shared" si="29"/>
        <v>0</v>
      </c>
      <c r="CQ32" s="523">
        <f t="shared" si="141"/>
        <v>0</v>
      </c>
      <c r="CR32" s="521"/>
      <c r="CS32" s="522">
        <f t="shared" si="30"/>
        <v>0</v>
      </c>
      <c r="CT32" s="523">
        <f t="shared" si="142"/>
        <v>0</v>
      </c>
      <c r="CU32" s="521"/>
      <c r="CV32" s="522">
        <f t="shared" si="31"/>
        <v>0</v>
      </c>
      <c r="CW32" s="523">
        <f t="shared" si="143"/>
        <v>0</v>
      </c>
      <c r="CX32" s="521"/>
      <c r="CY32" s="522">
        <f t="shared" si="32"/>
        <v>0</v>
      </c>
      <c r="CZ32" s="523">
        <f t="shared" si="144"/>
        <v>0</v>
      </c>
      <c r="DA32" s="521">
        <v>218.02325581395348</v>
      </c>
      <c r="DB32" s="522">
        <f t="shared" si="33"/>
        <v>8.6651268158639745</v>
      </c>
      <c r="DC32" s="523">
        <f t="shared" si="145"/>
        <v>0</v>
      </c>
      <c r="DD32" s="521"/>
      <c r="DE32" s="522">
        <f t="shared" si="34"/>
        <v>0</v>
      </c>
      <c r="DF32" s="523">
        <f t="shared" si="146"/>
        <v>0</v>
      </c>
      <c r="DG32" s="521"/>
      <c r="DH32" s="522">
        <f t="shared" si="35"/>
        <v>0</v>
      </c>
      <c r="DI32" s="523">
        <f t="shared" si="203"/>
        <v>0</v>
      </c>
      <c r="DJ32" s="521"/>
      <c r="DK32" s="522">
        <f t="shared" si="36"/>
        <v>0</v>
      </c>
      <c r="DL32" s="523">
        <f t="shared" si="147"/>
        <v>0</v>
      </c>
      <c r="DM32" s="521"/>
      <c r="DN32" s="522">
        <f t="shared" si="37"/>
        <v>0</v>
      </c>
      <c r="DO32" s="523">
        <f t="shared" si="148"/>
        <v>0</v>
      </c>
      <c r="DP32" s="521"/>
      <c r="DQ32" s="522">
        <f t="shared" si="38"/>
        <v>0</v>
      </c>
      <c r="DR32" s="523">
        <f t="shared" si="149"/>
        <v>0</v>
      </c>
      <c r="DS32" s="521"/>
      <c r="DT32" s="522">
        <f t="shared" si="39"/>
        <v>0</v>
      </c>
      <c r="DU32" s="523">
        <f t="shared" si="150"/>
        <v>0</v>
      </c>
      <c r="DV32" s="521"/>
      <c r="DW32" s="522">
        <f t="shared" si="40"/>
        <v>0</v>
      </c>
      <c r="DX32" s="523">
        <f t="shared" si="151"/>
        <v>0</v>
      </c>
      <c r="DY32" s="521"/>
      <c r="DZ32" s="522">
        <f t="shared" si="41"/>
        <v>0</v>
      </c>
      <c r="EA32" s="523">
        <f t="shared" si="152"/>
        <v>0</v>
      </c>
      <c r="EB32" s="521"/>
      <c r="EC32" s="522">
        <f t="shared" si="42"/>
        <v>0</v>
      </c>
      <c r="ED32" s="523">
        <f t="shared" si="153"/>
        <v>0</v>
      </c>
      <c r="EE32" s="521">
        <v>29.069767441860449</v>
      </c>
      <c r="EF32" s="522">
        <f t="shared" si="43"/>
        <v>1.155350242115196</v>
      </c>
      <c r="EG32" s="523">
        <f t="shared" si="154"/>
        <v>0</v>
      </c>
      <c r="EH32" s="521">
        <v>4</v>
      </c>
      <c r="EI32" s="522">
        <f t="shared" si="44"/>
        <v>0.15897619331505106</v>
      </c>
      <c r="EJ32" s="523">
        <f t="shared" si="155"/>
        <v>0</v>
      </c>
      <c r="EK32" s="521">
        <v>30.487804878048792</v>
      </c>
      <c r="EL32" s="522">
        <f t="shared" si="45"/>
        <v>1.2117087905110604</v>
      </c>
      <c r="EM32" s="523">
        <f t="shared" si="156"/>
        <v>0</v>
      </c>
      <c r="EN32" s="521">
        <v>44.476744186046517</v>
      </c>
      <c r="EO32" s="522">
        <f t="shared" si="46"/>
        <v>1.767685870436251</v>
      </c>
      <c r="EP32" s="523">
        <f t="shared" si="157"/>
        <v>0</v>
      </c>
      <c r="EQ32" s="521">
        <v>58.705882352941103</v>
      </c>
      <c r="ER32" s="522">
        <f t="shared" si="47"/>
        <v>2.3332094254179525</v>
      </c>
      <c r="ES32" s="523">
        <f t="shared" si="158"/>
        <v>0</v>
      </c>
      <c r="ET32" s="521"/>
      <c r="EU32" s="522">
        <f t="shared" si="48"/>
        <v>0</v>
      </c>
      <c r="EV32" s="523">
        <f t="shared" si="159"/>
        <v>0</v>
      </c>
      <c r="EW32" s="521"/>
      <c r="EX32" s="522">
        <f t="shared" si="49"/>
        <v>0</v>
      </c>
      <c r="EY32" s="523">
        <f t="shared" si="160"/>
        <v>0</v>
      </c>
      <c r="EZ32" s="521"/>
      <c r="FA32" s="522">
        <f t="shared" si="50"/>
        <v>0</v>
      </c>
      <c r="FB32" s="523">
        <f t="shared" si="161"/>
        <v>0</v>
      </c>
      <c r="FC32" s="521"/>
      <c r="FD32" s="522">
        <f t="shared" si="51"/>
        <v>0</v>
      </c>
      <c r="FE32" s="523">
        <f t="shared" si="162"/>
        <v>0</v>
      </c>
      <c r="FF32" s="521"/>
      <c r="FG32" s="522">
        <f t="shared" si="52"/>
        <v>0</v>
      </c>
      <c r="FH32" s="523">
        <f t="shared" si="163"/>
        <v>0</v>
      </c>
      <c r="FI32" s="521"/>
      <c r="FJ32" s="522">
        <f t="shared" si="53"/>
        <v>0</v>
      </c>
      <c r="FK32" s="523">
        <f t="shared" si="164"/>
        <v>0</v>
      </c>
      <c r="FL32" s="521"/>
      <c r="FM32" s="522">
        <f t="shared" si="54"/>
        <v>0</v>
      </c>
      <c r="FN32" s="523">
        <f t="shared" si="165"/>
        <v>0</v>
      </c>
      <c r="FO32" s="521"/>
      <c r="FP32" s="522">
        <f t="shared" si="55"/>
        <v>0</v>
      </c>
      <c r="FQ32" s="523">
        <f t="shared" si="166"/>
        <v>0</v>
      </c>
      <c r="FR32" s="521"/>
      <c r="FS32" s="522">
        <f t="shared" si="56"/>
        <v>0</v>
      </c>
      <c r="FT32" s="523">
        <f t="shared" si="167"/>
        <v>0</v>
      </c>
      <c r="FU32" s="521"/>
      <c r="FV32" s="522">
        <f t="shared" si="57"/>
        <v>0</v>
      </c>
      <c r="FW32" s="523">
        <f t="shared" si="168"/>
        <v>0</v>
      </c>
      <c r="FX32" s="521"/>
      <c r="FY32" s="522">
        <f t="shared" si="58"/>
        <v>0</v>
      </c>
      <c r="FZ32" s="523">
        <f t="shared" si="169"/>
        <v>0</v>
      </c>
      <c r="GA32" s="521"/>
      <c r="GB32" s="522">
        <f t="shared" si="59"/>
        <v>0</v>
      </c>
      <c r="GC32" s="523">
        <f t="shared" si="170"/>
        <v>0</v>
      </c>
      <c r="GD32" s="521"/>
      <c r="GE32" s="522">
        <f t="shared" si="60"/>
        <v>0</v>
      </c>
      <c r="GF32" s="523">
        <f t="shared" si="171"/>
        <v>0</v>
      </c>
      <c r="GG32" s="521"/>
      <c r="GH32" s="522">
        <f t="shared" si="61"/>
        <v>0</v>
      </c>
      <c r="GI32" s="523">
        <f t="shared" si="172"/>
        <v>0</v>
      </c>
      <c r="GJ32" s="521"/>
      <c r="GK32" s="522">
        <f t="shared" si="62"/>
        <v>0</v>
      </c>
      <c r="GL32" s="523">
        <f t="shared" si="173"/>
        <v>0</v>
      </c>
      <c r="GM32" s="521"/>
      <c r="GN32" s="522">
        <f t="shared" si="63"/>
        <v>0</v>
      </c>
      <c r="GO32" s="523">
        <f t="shared" si="174"/>
        <v>0</v>
      </c>
      <c r="GP32" s="521"/>
      <c r="GQ32" s="522">
        <f t="shared" si="64"/>
        <v>0</v>
      </c>
      <c r="GR32" s="523">
        <f t="shared" si="175"/>
        <v>0</v>
      </c>
      <c r="GS32" s="521"/>
      <c r="GT32" s="522">
        <f t="shared" si="65"/>
        <v>0</v>
      </c>
      <c r="GU32" s="523">
        <f t="shared" si="176"/>
        <v>0</v>
      </c>
      <c r="GV32" s="521"/>
      <c r="GW32" s="522">
        <f t="shared" si="66"/>
        <v>0</v>
      </c>
      <c r="GX32" s="523">
        <f t="shared" si="177"/>
        <v>0</v>
      </c>
      <c r="GY32" s="521"/>
      <c r="GZ32" s="522">
        <f t="shared" si="67"/>
        <v>0</v>
      </c>
      <c r="HA32" s="523">
        <f t="shared" si="178"/>
        <v>0</v>
      </c>
      <c r="HB32" s="521"/>
      <c r="HC32" s="522">
        <f t="shared" si="68"/>
        <v>0</v>
      </c>
      <c r="HD32" s="523">
        <f t="shared" si="179"/>
        <v>0</v>
      </c>
      <c r="HE32" s="521"/>
      <c r="HF32" s="522">
        <f t="shared" si="69"/>
        <v>0</v>
      </c>
      <c r="HG32" s="523">
        <f t="shared" si="180"/>
        <v>0</v>
      </c>
      <c r="HH32" s="521"/>
      <c r="HI32" s="522">
        <f t="shared" si="70"/>
        <v>0</v>
      </c>
      <c r="HJ32" s="523">
        <f t="shared" si="181"/>
        <v>0</v>
      </c>
      <c r="HK32" s="521"/>
      <c r="HL32" s="522">
        <f t="shared" si="71"/>
        <v>0</v>
      </c>
      <c r="HM32" s="523">
        <f t="shared" si="182"/>
        <v>0</v>
      </c>
      <c r="HN32" s="521"/>
      <c r="HO32" s="522">
        <f t="shared" si="72"/>
        <v>0</v>
      </c>
      <c r="HP32" s="523">
        <f t="shared" si="183"/>
        <v>0</v>
      </c>
      <c r="HQ32" s="521"/>
      <c r="HR32" s="522">
        <f t="shared" si="73"/>
        <v>0</v>
      </c>
      <c r="HS32" s="523">
        <f t="shared" si="184"/>
        <v>0</v>
      </c>
      <c r="HT32" s="521"/>
      <c r="HU32" s="522">
        <f t="shared" si="74"/>
        <v>0</v>
      </c>
      <c r="HV32" s="523">
        <f t="shared" si="185"/>
        <v>0</v>
      </c>
      <c r="HW32" s="521"/>
      <c r="HX32" s="522">
        <f t="shared" si="75"/>
        <v>0</v>
      </c>
      <c r="HY32" s="523">
        <f t="shared" si="186"/>
        <v>0</v>
      </c>
      <c r="HZ32" s="521"/>
      <c r="IA32" s="522">
        <f t="shared" si="76"/>
        <v>0</v>
      </c>
      <c r="IB32" s="523">
        <f t="shared" si="187"/>
        <v>0</v>
      </c>
      <c r="IC32" s="521"/>
      <c r="ID32" s="522">
        <f t="shared" si="77"/>
        <v>0</v>
      </c>
      <c r="IE32" s="523">
        <f t="shared" si="188"/>
        <v>0</v>
      </c>
      <c r="IF32" s="521"/>
      <c r="IG32" s="522">
        <f t="shared" si="78"/>
        <v>0</v>
      </c>
      <c r="IH32" s="523">
        <f t="shared" si="189"/>
        <v>0</v>
      </c>
      <c r="II32" s="521"/>
      <c r="IJ32" s="522">
        <f t="shared" si="79"/>
        <v>0</v>
      </c>
      <c r="IK32" s="523">
        <f t="shared" si="190"/>
        <v>0</v>
      </c>
      <c r="IL32" s="521"/>
      <c r="IM32" s="522">
        <f t="shared" si="80"/>
        <v>0</v>
      </c>
      <c r="IN32" s="523">
        <f t="shared" si="191"/>
        <v>0</v>
      </c>
      <c r="IO32" s="521"/>
      <c r="IP32" s="522">
        <f t="shared" si="81"/>
        <v>0</v>
      </c>
      <c r="IQ32" s="523">
        <f t="shared" si="192"/>
        <v>0</v>
      </c>
      <c r="IR32" s="521"/>
      <c r="IS32" s="522">
        <f t="shared" si="82"/>
        <v>0</v>
      </c>
      <c r="IT32" s="523">
        <f t="shared" si="193"/>
        <v>0</v>
      </c>
      <c r="IU32" s="521"/>
      <c r="IV32" s="522">
        <f t="shared" si="83"/>
        <v>0</v>
      </c>
      <c r="IW32" s="523">
        <f t="shared" si="194"/>
        <v>0</v>
      </c>
      <c r="IX32" s="521"/>
      <c r="IY32" s="522">
        <f t="shared" si="84"/>
        <v>0</v>
      </c>
      <c r="IZ32" s="523">
        <f t="shared" si="195"/>
        <v>0</v>
      </c>
      <c r="JA32" s="521"/>
      <c r="JB32" s="522">
        <f t="shared" si="85"/>
        <v>0</v>
      </c>
      <c r="JC32" s="523">
        <f t="shared" si="196"/>
        <v>0</v>
      </c>
      <c r="JD32" s="521"/>
      <c r="JE32" s="522">
        <f t="shared" si="86"/>
        <v>0</v>
      </c>
      <c r="JF32" s="523">
        <f t="shared" si="197"/>
        <v>0</v>
      </c>
      <c r="JG32" s="521"/>
      <c r="JH32" s="522">
        <f t="shared" si="87"/>
        <v>0</v>
      </c>
      <c r="JI32" s="523">
        <f t="shared" si="198"/>
        <v>0</v>
      </c>
      <c r="JJ32" s="521"/>
      <c r="JK32" s="523" t="str">
        <f t="shared" si="88"/>
        <v>0</v>
      </c>
      <c r="JL32" s="523" t="str">
        <f t="shared" si="89"/>
        <v>0</v>
      </c>
      <c r="JM32" s="521"/>
      <c r="JN32" s="523" t="str">
        <f t="shared" si="90"/>
        <v>0</v>
      </c>
      <c r="JO32" s="523" t="str">
        <f t="shared" si="91"/>
        <v>0</v>
      </c>
      <c r="JP32" s="521"/>
      <c r="JQ32" s="523" t="str">
        <f t="shared" si="92"/>
        <v>0</v>
      </c>
      <c r="JR32" s="523" t="str">
        <f t="shared" si="93"/>
        <v>0</v>
      </c>
      <c r="JS32" s="521"/>
      <c r="JT32" s="523" t="str">
        <f t="shared" si="94"/>
        <v>0</v>
      </c>
      <c r="JU32" s="523" t="str">
        <f t="shared" si="95"/>
        <v>0</v>
      </c>
      <c r="JV32" s="521"/>
      <c r="JW32" s="523" t="str">
        <f t="shared" si="96"/>
        <v>0</v>
      </c>
      <c r="JX32" s="523" t="str">
        <f t="shared" si="97"/>
        <v>0</v>
      </c>
      <c r="JY32" s="521"/>
      <c r="JZ32" s="523" t="str">
        <f t="shared" si="98"/>
        <v>0</v>
      </c>
      <c r="KA32" s="523" t="str">
        <f t="shared" si="99"/>
        <v>0</v>
      </c>
      <c r="KB32" s="521"/>
      <c r="KC32" s="523" t="str">
        <f t="shared" si="100"/>
        <v>0</v>
      </c>
      <c r="KD32" s="523" t="str">
        <f t="shared" si="101"/>
        <v>0</v>
      </c>
      <c r="KE32" s="521"/>
      <c r="KF32" s="523" t="str">
        <f t="shared" si="102"/>
        <v>0</v>
      </c>
      <c r="KG32" s="523" t="str">
        <f t="shared" si="103"/>
        <v>0</v>
      </c>
      <c r="KH32" s="521"/>
      <c r="KI32" s="523" t="str">
        <f t="shared" si="104"/>
        <v>0</v>
      </c>
      <c r="KJ32" s="523" t="str">
        <f t="shared" si="105"/>
        <v>0</v>
      </c>
      <c r="KK32" s="521"/>
      <c r="KL32" s="523" t="str">
        <f t="shared" si="106"/>
        <v>0</v>
      </c>
      <c r="KM32" s="523" t="str">
        <f t="shared" si="107"/>
        <v>0</v>
      </c>
      <c r="KN32" s="521"/>
      <c r="KO32" s="523" t="str">
        <f t="shared" si="108"/>
        <v>0</v>
      </c>
      <c r="KP32" s="523" t="str">
        <f t="shared" si="109"/>
        <v>0</v>
      </c>
      <c r="KQ32" s="521"/>
      <c r="KR32" s="523" t="str">
        <f t="shared" si="110"/>
        <v>0</v>
      </c>
      <c r="KS32" s="523" t="str">
        <f t="shared" si="111"/>
        <v>0</v>
      </c>
      <c r="KT32" s="523">
        <f t="shared" si="201"/>
        <v>0</v>
      </c>
      <c r="KU32" s="523">
        <f t="shared" si="202"/>
        <v>0</v>
      </c>
      <c r="KV32" s="261">
        <f t="shared" si="199"/>
        <v>418.63845467285034</v>
      </c>
    </row>
    <row r="33" spans="1:308" ht="15" customHeight="1">
      <c r="A33" s="262">
        <f t="shared" si="200"/>
        <v>46106</v>
      </c>
      <c r="B33" s="263" t="str">
        <f>+Report1!B33</f>
        <v>Toilet</v>
      </c>
      <c r="C33" s="263" t="str">
        <f>+Report1!C33</f>
        <v>12,5</v>
      </c>
      <c r="D33" s="264">
        <f>+Report1!P33</f>
        <v>37.927</v>
      </c>
      <c r="E33" s="556">
        <f>+Report1!R33</f>
        <v>38.253999999999998</v>
      </c>
      <c r="F33" s="521"/>
      <c r="G33" s="522">
        <f t="shared" si="0"/>
        <v>0</v>
      </c>
      <c r="H33" s="523">
        <f t="shared" si="112"/>
        <v>0</v>
      </c>
      <c r="I33" s="521"/>
      <c r="J33" s="522">
        <f t="shared" si="1"/>
        <v>0</v>
      </c>
      <c r="K33" s="523">
        <f t="shared" si="113"/>
        <v>0</v>
      </c>
      <c r="L33" s="521"/>
      <c r="M33" s="522">
        <f t="shared" si="2"/>
        <v>0</v>
      </c>
      <c r="N33" s="523">
        <f t="shared" si="114"/>
        <v>0</v>
      </c>
      <c r="O33" s="521">
        <v>5.9999999999999716</v>
      </c>
      <c r="P33" s="522">
        <f t="shared" si="3"/>
        <v>0.15684634286610477</v>
      </c>
      <c r="Q33" s="523">
        <f t="shared" si="115"/>
        <v>0</v>
      </c>
      <c r="R33" s="521"/>
      <c r="S33" s="522">
        <f t="shared" si="4"/>
        <v>0</v>
      </c>
      <c r="T33" s="523">
        <f t="shared" si="116"/>
        <v>0</v>
      </c>
      <c r="U33" s="521">
        <v>7.6875</v>
      </c>
      <c r="V33" s="522">
        <f t="shared" si="5"/>
        <v>0.20095937679719769</v>
      </c>
      <c r="W33" s="523">
        <f t="shared" si="117"/>
        <v>0</v>
      </c>
      <c r="X33" s="521"/>
      <c r="Y33" s="522">
        <f t="shared" si="6"/>
        <v>0</v>
      </c>
      <c r="Z33" s="523">
        <f t="shared" si="118"/>
        <v>0</v>
      </c>
      <c r="AA33" s="521">
        <v>4.6875000000000142</v>
      </c>
      <c r="AB33" s="522">
        <f t="shared" si="7"/>
        <v>0.12253620536414531</v>
      </c>
      <c r="AC33" s="523">
        <f t="shared" si="119"/>
        <v>0</v>
      </c>
      <c r="AD33" s="521"/>
      <c r="AE33" s="522">
        <f t="shared" si="8"/>
        <v>0</v>
      </c>
      <c r="AF33" s="523">
        <f t="shared" si="120"/>
        <v>0</v>
      </c>
      <c r="AG33" s="521"/>
      <c r="AH33" s="522">
        <f t="shared" si="9"/>
        <v>0</v>
      </c>
      <c r="AI33" s="523">
        <f t="shared" si="121"/>
        <v>0</v>
      </c>
      <c r="AJ33" s="521"/>
      <c r="AK33" s="522">
        <f t="shared" si="10"/>
        <v>0</v>
      </c>
      <c r="AL33" s="523">
        <f t="shared" si="122"/>
        <v>0</v>
      </c>
      <c r="AM33" s="521"/>
      <c r="AN33" s="522">
        <f t="shared" si="11"/>
        <v>0</v>
      </c>
      <c r="AO33" s="523">
        <f t="shared" si="123"/>
        <v>0</v>
      </c>
      <c r="AP33" s="521"/>
      <c r="AQ33" s="522">
        <f t="shared" si="12"/>
        <v>0</v>
      </c>
      <c r="AR33" s="523">
        <f t="shared" si="124"/>
        <v>0</v>
      </c>
      <c r="AS33" s="521"/>
      <c r="AT33" s="522">
        <f t="shared" si="13"/>
        <v>0</v>
      </c>
      <c r="AU33" s="523">
        <f t="shared" si="125"/>
        <v>0</v>
      </c>
      <c r="AV33" s="521"/>
      <c r="AW33" s="522">
        <f t="shared" si="14"/>
        <v>0</v>
      </c>
      <c r="AX33" s="523">
        <f t="shared" si="126"/>
        <v>0</v>
      </c>
      <c r="AY33" s="521"/>
      <c r="AZ33" s="522">
        <f t="shared" si="15"/>
        <v>0</v>
      </c>
      <c r="BA33" s="523">
        <f t="shared" si="127"/>
        <v>0</v>
      </c>
      <c r="BB33" s="521"/>
      <c r="BC33" s="522">
        <f t="shared" si="16"/>
        <v>0</v>
      </c>
      <c r="BD33" s="523">
        <f t="shared" si="128"/>
        <v>0</v>
      </c>
      <c r="BE33" s="521"/>
      <c r="BF33" s="522">
        <f t="shared" si="17"/>
        <v>0</v>
      </c>
      <c r="BG33" s="523">
        <f t="shared" si="129"/>
        <v>0</v>
      </c>
      <c r="BH33" s="521"/>
      <c r="BI33" s="522">
        <f t="shared" si="18"/>
        <v>0</v>
      </c>
      <c r="BJ33" s="523">
        <f t="shared" si="130"/>
        <v>0</v>
      </c>
      <c r="BK33" s="521"/>
      <c r="BL33" s="522">
        <f t="shared" si="19"/>
        <v>0</v>
      </c>
      <c r="BM33" s="523">
        <f t="shared" si="131"/>
        <v>0</v>
      </c>
      <c r="BN33" s="521"/>
      <c r="BO33" s="522">
        <f t="shared" si="20"/>
        <v>0</v>
      </c>
      <c r="BP33" s="523">
        <f t="shared" si="132"/>
        <v>0</v>
      </c>
      <c r="BQ33" s="521"/>
      <c r="BR33" s="522">
        <f t="shared" si="21"/>
        <v>0</v>
      </c>
      <c r="BS33" s="523">
        <f t="shared" si="133"/>
        <v>0</v>
      </c>
      <c r="BT33" s="521"/>
      <c r="BU33" s="522">
        <f t="shared" si="22"/>
        <v>0</v>
      </c>
      <c r="BV33" s="523">
        <f t="shared" si="134"/>
        <v>0</v>
      </c>
      <c r="BW33" s="521"/>
      <c r="BX33" s="522">
        <f t="shared" si="23"/>
        <v>0</v>
      </c>
      <c r="BY33" s="523">
        <f t="shared" si="135"/>
        <v>0</v>
      </c>
      <c r="BZ33" s="521"/>
      <c r="CA33" s="522">
        <f t="shared" si="24"/>
        <v>0</v>
      </c>
      <c r="CB33" s="523">
        <f t="shared" si="136"/>
        <v>0</v>
      </c>
      <c r="CC33" s="521"/>
      <c r="CD33" s="522">
        <f t="shared" si="25"/>
        <v>0</v>
      </c>
      <c r="CE33" s="523">
        <f t="shared" si="137"/>
        <v>0</v>
      </c>
      <c r="CF33" s="521">
        <v>1.5</v>
      </c>
      <c r="CG33" s="522">
        <f t="shared" si="26"/>
        <v>3.921158571652638E-2</v>
      </c>
      <c r="CH33" s="523">
        <f t="shared" si="138"/>
        <v>0</v>
      </c>
      <c r="CI33" s="521"/>
      <c r="CJ33" s="522">
        <f t="shared" si="27"/>
        <v>0</v>
      </c>
      <c r="CK33" s="523">
        <f t="shared" si="139"/>
        <v>0</v>
      </c>
      <c r="CL33" s="521"/>
      <c r="CM33" s="522">
        <f t="shared" si="28"/>
        <v>0</v>
      </c>
      <c r="CN33" s="523">
        <f t="shared" si="140"/>
        <v>0</v>
      </c>
      <c r="CO33" s="521"/>
      <c r="CP33" s="522">
        <f t="shared" si="29"/>
        <v>0</v>
      </c>
      <c r="CQ33" s="523">
        <f t="shared" si="141"/>
        <v>0</v>
      </c>
      <c r="CR33" s="521"/>
      <c r="CS33" s="522">
        <f t="shared" si="30"/>
        <v>0</v>
      </c>
      <c r="CT33" s="523">
        <f t="shared" si="142"/>
        <v>0</v>
      </c>
      <c r="CU33" s="521"/>
      <c r="CV33" s="522">
        <f t="shared" si="31"/>
        <v>0</v>
      </c>
      <c r="CW33" s="523">
        <f t="shared" si="143"/>
        <v>0</v>
      </c>
      <c r="CX33" s="521"/>
      <c r="CY33" s="522">
        <f t="shared" si="32"/>
        <v>0</v>
      </c>
      <c r="CZ33" s="523">
        <f t="shared" si="144"/>
        <v>0</v>
      </c>
      <c r="DA33" s="521">
        <v>203.48837209302326</v>
      </c>
      <c r="DB33" s="522">
        <f t="shared" si="33"/>
        <v>5.319401163094664</v>
      </c>
      <c r="DC33" s="523">
        <f t="shared" si="145"/>
        <v>0</v>
      </c>
      <c r="DD33" s="521"/>
      <c r="DE33" s="522">
        <f t="shared" si="34"/>
        <v>0</v>
      </c>
      <c r="DF33" s="523">
        <f t="shared" si="146"/>
        <v>0</v>
      </c>
      <c r="DG33" s="521"/>
      <c r="DH33" s="522">
        <f t="shared" si="35"/>
        <v>0</v>
      </c>
      <c r="DI33" s="523">
        <f t="shared" si="203"/>
        <v>0</v>
      </c>
      <c r="DJ33" s="521"/>
      <c r="DK33" s="522">
        <f t="shared" si="36"/>
        <v>0</v>
      </c>
      <c r="DL33" s="523">
        <f t="shared" si="147"/>
        <v>0</v>
      </c>
      <c r="DM33" s="521"/>
      <c r="DN33" s="522">
        <f t="shared" si="37"/>
        <v>0</v>
      </c>
      <c r="DO33" s="523">
        <f t="shared" si="148"/>
        <v>0</v>
      </c>
      <c r="DP33" s="521"/>
      <c r="DQ33" s="522">
        <f t="shared" si="38"/>
        <v>0</v>
      </c>
      <c r="DR33" s="523">
        <f t="shared" si="149"/>
        <v>0</v>
      </c>
      <c r="DS33" s="521"/>
      <c r="DT33" s="522">
        <f t="shared" si="39"/>
        <v>0</v>
      </c>
      <c r="DU33" s="523">
        <f t="shared" si="150"/>
        <v>0</v>
      </c>
      <c r="DV33" s="521"/>
      <c r="DW33" s="522">
        <f t="shared" si="40"/>
        <v>0</v>
      </c>
      <c r="DX33" s="523">
        <f t="shared" si="151"/>
        <v>0</v>
      </c>
      <c r="DY33" s="521"/>
      <c r="DZ33" s="522">
        <f t="shared" si="41"/>
        <v>0</v>
      </c>
      <c r="EA33" s="523">
        <f t="shared" si="152"/>
        <v>0</v>
      </c>
      <c r="EB33" s="521"/>
      <c r="EC33" s="522">
        <f t="shared" si="42"/>
        <v>0</v>
      </c>
      <c r="ED33" s="523">
        <f t="shared" si="153"/>
        <v>0</v>
      </c>
      <c r="EE33" s="521">
        <v>21.802325581395394</v>
      </c>
      <c r="EF33" s="522">
        <f t="shared" si="43"/>
        <v>0.56993583890300081</v>
      </c>
      <c r="EG33" s="523">
        <f t="shared" si="154"/>
        <v>0</v>
      </c>
      <c r="EH33" s="521">
        <v>3</v>
      </c>
      <c r="EI33" s="522">
        <f t="shared" si="44"/>
        <v>7.842317143305276E-2</v>
      </c>
      <c r="EJ33" s="523">
        <f t="shared" si="155"/>
        <v>0</v>
      </c>
      <c r="EK33" s="521">
        <v>48.780487804878021</v>
      </c>
      <c r="EL33" s="522">
        <f t="shared" si="45"/>
        <v>1.2751735192366296</v>
      </c>
      <c r="EM33" s="523">
        <f t="shared" si="156"/>
        <v>0</v>
      </c>
      <c r="EN33" s="521">
        <v>44.476744186046517</v>
      </c>
      <c r="EO33" s="522">
        <f t="shared" si="46"/>
        <v>1.1626691113621195</v>
      </c>
      <c r="EP33" s="523">
        <f t="shared" si="157"/>
        <v>0</v>
      </c>
      <c r="EQ33" s="521">
        <v>58.705882352941217</v>
      </c>
      <c r="ER33" s="522">
        <f t="shared" si="47"/>
        <v>1.5346338252977785</v>
      </c>
      <c r="ES33" s="523">
        <f t="shared" si="158"/>
        <v>0</v>
      </c>
      <c r="ET33" s="521"/>
      <c r="EU33" s="522">
        <f t="shared" si="48"/>
        <v>0</v>
      </c>
      <c r="EV33" s="523">
        <f t="shared" si="159"/>
        <v>0</v>
      </c>
      <c r="EW33" s="521"/>
      <c r="EX33" s="522">
        <f t="shared" si="49"/>
        <v>0</v>
      </c>
      <c r="EY33" s="523">
        <f t="shared" si="160"/>
        <v>0</v>
      </c>
      <c r="EZ33" s="521"/>
      <c r="FA33" s="522">
        <f t="shared" si="50"/>
        <v>0</v>
      </c>
      <c r="FB33" s="523">
        <f t="shared" si="161"/>
        <v>0</v>
      </c>
      <c r="FC33" s="521"/>
      <c r="FD33" s="522">
        <f t="shared" si="51"/>
        <v>0</v>
      </c>
      <c r="FE33" s="523">
        <f t="shared" si="162"/>
        <v>0</v>
      </c>
      <c r="FF33" s="521"/>
      <c r="FG33" s="522">
        <f t="shared" si="52"/>
        <v>0</v>
      </c>
      <c r="FH33" s="523">
        <f t="shared" si="163"/>
        <v>0</v>
      </c>
      <c r="FI33" s="521"/>
      <c r="FJ33" s="522">
        <f t="shared" si="53"/>
        <v>0</v>
      </c>
      <c r="FK33" s="523">
        <f t="shared" si="164"/>
        <v>0</v>
      </c>
      <c r="FL33" s="521"/>
      <c r="FM33" s="522">
        <f t="shared" si="54"/>
        <v>0</v>
      </c>
      <c r="FN33" s="523">
        <f t="shared" si="165"/>
        <v>0</v>
      </c>
      <c r="FO33" s="521"/>
      <c r="FP33" s="522">
        <f t="shared" si="55"/>
        <v>0</v>
      </c>
      <c r="FQ33" s="523">
        <f t="shared" si="166"/>
        <v>0</v>
      </c>
      <c r="FR33" s="521"/>
      <c r="FS33" s="522">
        <f t="shared" si="56"/>
        <v>0</v>
      </c>
      <c r="FT33" s="523">
        <f t="shared" si="167"/>
        <v>0</v>
      </c>
      <c r="FU33" s="521"/>
      <c r="FV33" s="522">
        <f t="shared" si="57"/>
        <v>0</v>
      </c>
      <c r="FW33" s="523">
        <f t="shared" si="168"/>
        <v>0</v>
      </c>
      <c r="FX33" s="521"/>
      <c r="FY33" s="522">
        <f t="shared" si="58"/>
        <v>0</v>
      </c>
      <c r="FZ33" s="523">
        <f t="shared" si="169"/>
        <v>0</v>
      </c>
      <c r="GA33" s="521"/>
      <c r="GB33" s="522">
        <f t="shared" si="59"/>
        <v>0</v>
      </c>
      <c r="GC33" s="523">
        <f t="shared" si="170"/>
        <v>0</v>
      </c>
      <c r="GD33" s="521"/>
      <c r="GE33" s="522">
        <f t="shared" si="60"/>
        <v>0</v>
      </c>
      <c r="GF33" s="523">
        <f t="shared" si="171"/>
        <v>0</v>
      </c>
      <c r="GG33" s="521"/>
      <c r="GH33" s="522">
        <f t="shared" si="61"/>
        <v>0</v>
      </c>
      <c r="GI33" s="523">
        <f t="shared" si="172"/>
        <v>0</v>
      </c>
      <c r="GJ33" s="521"/>
      <c r="GK33" s="522">
        <f t="shared" si="62"/>
        <v>0</v>
      </c>
      <c r="GL33" s="523">
        <f t="shared" si="173"/>
        <v>0</v>
      </c>
      <c r="GM33" s="521"/>
      <c r="GN33" s="522">
        <f t="shared" si="63"/>
        <v>0</v>
      </c>
      <c r="GO33" s="523">
        <f t="shared" si="174"/>
        <v>0</v>
      </c>
      <c r="GP33" s="521"/>
      <c r="GQ33" s="522">
        <f t="shared" si="64"/>
        <v>0</v>
      </c>
      <c r="GR33" s="523">
        <f t="shared" si="175"/>
        <v>0</v>
      </c>
      <c r="GS33" s="521"/>
      <c r="GT33" s="522">
        <f t="shared" si="65"/>
        <v>0</v>
      </c>
      <c r="GU33" s="523">
        <f t="shared" si="176"/>
        <v>0</v>
      </c>
      <c r="GV33" s="521"/>
      <c r="GW33" s="522">
        <f t="shared" si="66"/>
        <v>0</v>
      </c>
      <c r="GX33" s="523">
        <f t="shared" si="177"/>
        <v>0</v>
      </c>
      <c r="GY33" s="521"/>
      <c r="GZ33" s="522">
        <f t="shared" si="67"/>
        <v>0</v>
      </c>
      <c r="HA33" s="523">
        <f t="shared" si="178"/>
        <v>0</v>
      </c>
      <c r="HB33" s="521"/>
      <c r="HC33" s="522">
        <f t="shared" si="68"/>
        <v>0</v>
      </c>
      <c r="HD33" s="523">
        <f t="shared" si="179"/>
        <v>0</v>
      </c>
      <c r="HE33" s="521"/>
      <c r="HF33" s="522">
        <f t="shared" si="69"/>
        <v>0</v>
      </c>
      <c r="HG33" s="523">
        <f t="shared" si="180"/>
        <v>0</v>
      </c>
      <c r="HH33" s="521"/>
      <c r="HI33" s="522">
        <f t="shared" si="70"/>
        <v>0</v>
      </c>
      <c r="HJ33" s="523">
        <f t="shared" si="181"/>
        <v>0</v>
      </c>
      <c r="HK33" s="521"/>
      <c r="HL33" s="522">
        <f t="shared" si="71"/>
        <v>0</v>
      </c>
      <c r="HM33" s="523">
        <f t="shared" si="182"/>
        <v>0</v>
      </c>
      <c r="HN33" s="521"/>
      <c r="HO33" s="522">
        <f t="shared" si="72"/>
        <v>0</v>
      </c>
      <c r="HP33" s="523">
        <f t="shared" si="183"/>
        <v>0</v>
      </c>
      <c r="HQ33" s="521"/>
      <c r="HR33" s="522">
        <f t="shared" si="73"/>
        <v>0</v>
      </c>
      <c r="HS33" s="523">
        <f t="shared" si="184"/>
        <v>0</v>
      </c>
      <c r="HT33" s="521"/>
      <c r="HU33" s="522">
        <f t="shared" si="74"/>
        <v>0</v>
      </c>
      <c r="HV33" s="523">
        <f t="shared" si="185"/>
        <v>0</v>
      </c>
      <c r="HW33" s="521"/>
      <c r="HX33" s="522">
        <f t="shared" si="75"/>
        <v>0</v>
      </c>
      <c r="HY33" s="523">
        <f t="shared" si="186"/>
        <v>0</v>
      </c>
      <c r="HZ33" s="521"/>
      <c r="IA33" s="522">
        <f t="shared" si="76"/>
        <v>0</v>
      </c>
      <c r="IB33" s="523">
        <f t="shared" si="187"/>
        <v>0</v>
      </c>
      <c r="IC33" s="521"/>
      <c r="ID33" s="522">
        <f t="shared" si="77"/>
        <v>0</v>
      </c>
      <c r="IE33" s="523">
        <f t="shared" si="188"/>
        <v>0</v>
      </c>
      <c r="IF33" s="521"/>
      <c r="IG33" s="522">
        <f t="shared" si="78"/>
        <v>0</v>
      </c>
      <c r="IH33" s="523">
        <f t="shared" si="189"/>
        <v>0</v>
      </c>
      <c r="II33" s="521"/>
      <c r="IJ33" s="522">
        <f t="shared" si="79"/>
        <v>0</v>
      </c>
      <c r="IK33" s="523">
        <f t="shared" si="190"/>
        <v>0</v>
      </c>
      <c r="IL33" s="521"/>
      <c r="IM33" s="522">
        <f t="shared" si="80"/>
        <v>0</v>
      </c>
      <c r="IN33" s="523">
        <f t="shared" si="191"/>
        <v>0</v>
      </c>
      <c r="IO33" s="521"/>
      <c r="IP33" s="522">
        <f t="shared" si="81"/>
        <v>0</v>
      </c>
      <c r="IQ33" s="523">
        <f t="shared" si="192"/>
        <v>0</v>
      </c>
      <c r="IR33" s="521"/>
      <c r="IS33" s="522">
        <f t="shared" si="82"/>
        <v>0</v>
      </c>
      <c r="IT33" s="523">
        <f t="shared" si="193"/>
        <v>0</v>
      </c>
      <c r="IU33" s="521"/>
      <c r="IV33" s="522">
        <f t="shared" si="83"/>
        <v>0</v>
      </c>
      <c r="IW33" s="523">
        <f t="shared" si="194"/>
        <v>0</v>
      </c>
      <c r="IX33" s="521"/>
      <c r="IY33" s="522">
        <f t="shared" si="84"/>
        <v>0</v>
      </c>
      <c r="IZ33" s="523">
        <f t="shared" si="195"/>
        <v>0</v>
      </c>
      <c r="JA33" s="521"/>
      <c r="JB33" s="522">
        <f t="shared" si="85"/>
        <v>0</v>
      </c>
      <c r="JC33" s="523">
        <f t="shared" si="196"/>
        <v>0</v>
      </c>
      <c r="JD33" s="521"/>
      <c r="JE33" s="522">
        <f t="shared" si="86"/>
        <v>0</v>
      </c>
      <c r="JF33" s="523">
        <f t="shared" si="197"/>
        <v>0</v>
      </c>
      <c r="JG33" s="521"/>
      <c r="JH33" s="522">
        <f t="shared" si="87"/>
        <v>0</v>
      </c>
      <c r="JI33" s="523">
        <f t="shared" si="198"/>
        <v>0</v>
      </c>
      <c r="JJ33" s="521"/>
      <c r="JK33" s="523" t="str">
        <f t="shared" si="88"/>
        <v>0</v>
      </c>
      <c r="JL33" s="523" t="str">
        <f t="shared" si="89"/>
        <v>0</v>
      </c>
      <c r="JM33" s="521"/>
      <c r="JN33" s="523" t="str">
        <f t="shared" si="90"/>
        <v>0</v>
      </c>
      <c r="JO33" s="523" t="str">
        <f t="shared" si="91"/>
        <v>0</v>
      </c>
      <c r="JP33" s="521"/>
      <c r="JQ33" s="523" t="str">
        <f t="shared" si="92"/>
        <v>0</v>
      </c>
      <c r="JR33" s="523" t="str">
        <f t="shared" si="93"/>
        <v>0</v>
      </c>
      <c r="JS33" s="521"/>
      <c r="JT33" s="523" t="str">
        <f t="shared" si="94"/>
        <v>0</v>
      </c>
      <c r="JU33" s="523" t="str">
        <f t="shared" si="95"/>
        <v>0</v>
      </c>
      <c r="JV33" s="521"/>
      <c r="JW33" s="523" t="str">
        <f t="shared" si="96"/>
        <v>0</v>
      </c>
      <c r="JX33" s="523" t="str">
        <f t="shared" si="97"/>
        <v>0</v>
      </c>
      <c r="JY33" s="521"/>
      <c r="JZ33" s="523" t="str">
        <f t="shared" si="98"/>
        <v>0</v>
      </c>
      <c r="KA33" s="523" t="str">
        <f t="shared" si="99"/>
        <v>0</v>
      </c>
      <c r="KB33" s="521"/>
      <c r="KC33" s="523" t="str">
        <f t="shared" si="100"/>
        <v>0</v>
      </c>
      <c r="KD33" s="523" t="str">
        <f t="shared" si="101"/>
        <v>0</v>
      </c>
      <c r="KE33" s="521"/>
      <c r="KF33" s="523" t="str">
        <f t="shared" si="102"/>
        <v>0</v>
      </c>
      <c r="KG33" s="523" t="str">
        <f t="shared" si="103"/>
        <v>0</v>
      </c>
      <c r="KH33" s="521"/>
      <c r="KI33" s="523" t="str">
        <f t="shared" si="104"/>
        <v>0</v>
      </c>
      <c r="KJ33" s="523" t="str">
        <f t="shared" si="105"/>
        <v>0</v>
      </c>
      <c r="KK33" s="521"/>
      <c r="KL33" s="523" t="str">
        <f t="shared" si="106"/>
        <v>0</v>
      </c>
      <c r="KM33" s="523" t="str">
        <f t="shared" si="107"/>
        <v>0</v>
      </c>
      <c r="KN33" s="521"/>
      <c r="KO33" s="523" t="str">
        <f t="shared" si="108"/>
        <v>0</v>
      </c>
      <c r="KP33" s="523" t="str">
        <f t="shared" si="109"/>
        <v>0</v>
      </c>
      <c r="KQ33" s="521"/>
      <c r="KR33" s="523" t="str">
        <f t="shared" si="110"/>
        <v>0</v>
      </c>
      <c r="KS33" s="523" t="str">
        <f t="shared" si="111"/>
        <v>0</v>
      </c>
      <c r="KT33" s="523">
        <f t="shared" si="201"/>
        <v>0</v>
      </c>
      <c r="KU33" s="523">
        <f t="shared" si="202"/>
        <v>0</v>
      </c>
      <c r="KV33" s="261">
        <f t="shared" si="199"/>
        <v>400.12881201828441</v>
      </c>
    </row>
    <row r="34" spans="1:308" ht="15" customHeight="1">
      <c r="A34" s="262">
        <f t="shared" si="200"/>
        <v>46107</v>
      </c>
      <c r="B34" s="263" t="str">
        <f>+Report1!B34</f>
        <v>Toilet</v>
      </c>
      <c r="C34" s="263" t="str">
        <f>+Report1!C34</f>
        <v>12,5/13</v>
      </c>
      <c r="D34" s="264">
        <f>+Report1!P34</f>
        <v>38.550000000000004</v>
      </c>
      <c r="E34" s="556">
        <f>+Report1!R34</f>
        <v>40.591999999999999</v>
      </c>
      <c r="F34" s="521"/>
      <c r="G34" s="522">
        <f t="shared" si="0"/>
        <v>0</v>
      </c>
      <c r="H34" s="523">
        <f t="shared" si="112"/>
        <v>0</v>
      </c>
      <c r="I34" s="521"/>
      <c r="J34" s="522">
        <f t="shared" si="1"/>
        <v>0</v>
      </c>
      <c r="K34" s="523">
        <f t="shared" si="113"/>
        <v>0</v>
      </c>
      <c r="L34" s="521"/>
      <c r="M34" s="522">
        <f t="shared" si="2"/>
        <v>0</v>
      </c>
      <c r="N34" s="523">
        <f t="shared" si="114"/>
        <v>0</v>
      </c>
      <c r="O34" s="521">
        <v>6</v>
      </c>
      <c r="P34" s="522">
        <f t="shared" si="3"/>
        <v>0.14781237682301931</v>
      </c>
      <c r="Q34" s="523">
        <f t="shared" si="115"/>
        <v>0</v>
      </c>
      <c r="R34" s="521"/>
      <c r="S34" s="522">
        <f t="shared" si="4"/>
        <v>0</v>
      </c>
      <c r="T34" s="523">
        <f t="shared" si="116"/>
        <v>0</v>
      </c>
      <c r="U34" s="521">
        <v>7.6875000000000142</v>
      </c>
      <c r="V34" s="522">
        <f t="shared" si="5"/>
        <v>0.18938460780449384</v>
      </c>
      <c r="W34" s="523">
        <f t="shared" si="117"/>
        <v>0</v>
      </c>
      <c r="X34" s="521"/>
      <c r="Y34" s="522">
        <f t="shared" si="6"/>
        <v>0</v>
      </c>
      <c r="Z34" s="523">
        <f t="shared" si="118"/>
        <v>0</v>
      </c>
      <c r="AA34" s="521">
        <v>6.25</v>
      </c>
      <c r="AB34" s="522">
        <f t="shared" si="7"/>
        <v>0.15397122585731179</v>
      </c>
      <c r="AC34" s="523">
        <f t="shared" si="119"/>
        <v>0</v>
      </c>
      <c r="AD34" s="521"/>
      <c r="AE34" s="522">
        <f t="shared" si="8"/>
        <v>0</v>
      </c>
      <c r="AF34" s="523">
        <f t="shared" si="120"/>
        <v>0</v>
      </c>
      <c r="AG34" s="521"/>
      <c r="AH34" s="522">
        <f t="shared" si="9"/>
        <v>0</v>
      </c>
      <c r="AI34" s="523">
        <f t="shared" si="121"/>
        <v>0</v>
      </c>
      <c r="AJ34" s="521"/>
      <c r="AK34" s="522">
        <f t="shared" si="10"/>
        <v>0</v>
      </c>
      <c r="AL34" s="523">
        <f t="shared" si="122"/>
        <v>0</v>
      </c>
      <c r="AM34" s="521"/>
      <c r="AN34" s="522">
        <f t="shared" si="11"/>
        <v>0</v>
      </c>
      <c r="AO34" s="523">
        <f t="shared" si="123"/>
        <v>0</v>
      </c>
      <c r="AP34" s="521"/>
      <c r="AQ34" s="522">
        <f t="shared" si="12"/>
        <v>0</v>
      </c>
      <c r="AR34" s="523">
        <f t="shared" si="124"/>
        <v>0</v>
      </c>
      <c r="AS34" s="521"/>
      <c r="AT34" s="522">
        <f t="shared" si="13"/>
        <v>0</v>
      </c>
      <c r="AU34" s="523">
        <f t="shared" si="125"/>
        <v>0</v>
      </c>
      <c r="AV34" s="521"/>
      <c r="AW34" s="522">
        <f t="shared" si="14"/>
        <v>0</v>
      </c>
      <c r="AX34" s="523">
        <f t="shared" si="126"/>
        <v>0</v>
      </c>
      <c r="AY34" s="521"/>
      <c r="AZ34" s="522">
        <f t="shared" si="15"/>
        <v>0</v>
      </c>
      <c r="BA34" s="523">
        <f t="shared" si="127"/>
        <v>0</v>
      </c>
      <c r="BB34" s="521"/>
      <c r="BC34" s="522">
        <f t="shared" si="16"/>
        <v>0</v>
      </c>
      <c r="BD34" s="523">
        <f t="shared" si="128"/>
        <v>0</v>
      </c>
      <c r="BE34" s="521"/>
      <c r="BF34" s="522">
        <f t="shared" si="17"/>
        <v>0</v>
      </c>
      <c r="BG34" s="523">
        <f t="shared" si="129"/>
        <v>0</v>
      </c>
      <c r="BH34" s="521"/>
      <c r="BI34" s="522">
        <f t="shared" si="18"/>
        <v>0</v>
      </c>
      <c r="BJ34" s="523">
        <f t="shared" si="130"/>
        <v>0</v>
      </c>
      <c r="BK34" s="521"/>
      <c r="BL34" s="522">
        <f t="shared" si="19"/>
        <v>0</v>
      </c>
      <c r="BM34" s="523">
        <f t="shared" si="131"/>
        <v>0</v>
      </c>
      <c r="BN34" s="521"/>
      <c r="BO34" s="522">
        <f t="shared" si="20"/>
        <v>0</v>
      </c>
      <c r="BP34" s="523">
        <f t="shared" si="132"/>
        <v>0</v>
      </c>
      <c r="BQ34" s="521"/>
      <c r="BR34" s="522">
        <f t="shared" si="21"/>
        <v>0</v>
      </c>
      <c r="BS34" s="523">
        <f t="shared" si="133"/>
        <v>0</v>
      </c>
      <c r="BT34" s="521"/>
      <c r="BU34" s="522">
        <f t="shared" si="22"/>
        <v>0</v>
      </c>
      <c r="BV34" s="523">
        <f t="shared" si="134"/>
        <v>0</v>
      </c>
      <c r="BW34" s="521"/>
      <c r="BX34" s="522">
        <f t="shared" si="23"/>
        <v>0</v>
      </c>
      <c r="BY34" s="523">
        <f t="shared" si="135"/>
        <v>0</v>
      </c>
      <c r="BZ34" s="521"/>
      <c r="CA34" s="522">
        <f t="shared" si="24"/>
        <v>0</v>
      </c>
      <c r="CB34" s="523">
        <f t="shared" si="136"/>
        <v>0</v>
      </c>
      <c r="CC34" s="521"/>
      <c r="CD34" s="522">
        <f t="shared" si="25"/>
        <v>0</v>
      </c>
      <c r="CE34" s="523">
        <f t="shared" si="137"/>
        <v>0</v>
      </c>
      <c r="CF34" s="521">
        <v>1.5</v>
      </c>
      <c r="CG34" s="522">
        <f t="shared" si="26"/>
        <v>3.6953094205754829E-2</v>
      </c>
      <c r="CH34" s="523">
        <f t="shared" si="138"/>
        <v>0</v>
      </c>
      <c r="CI34" s="521"/>
      <c r="CJ34" s="522">
        <f t="shared" si="27"/>
        <v>0</v>
      </c>
      <c r="CK34" s="523">
        <f t="shared" si="139"/>
        <v>0</v>
      </c>
      <c r="CL34" s="521"/>
      <c r="CM34" s="522">
        <f t="shared" si="28"/>
        <v>0</v>
      </c>
      <c r="CN34" s="523">
        <f t="shared" si="140"/>
        <v>0</v>
      </c>
      <c r="CO34" s="521"/>
      <c r="CP34" s="522">
        <f t="shared" si="29"/>
        <v>0</v>
      </c>
      <c r="CQ34" s="523">
        <f t="shared" si="141"/>
        <v>0</v>
      </c>
      <c r="CR34" s="521"/>
      <c r="CS34" s="522">
        <f t="shared" si="30"/>
        <v>0</v>
      </c>
      <c r="CT34" s="523">
        <f t="shared" si="142"/>
        <v>0</v>
      </c>
      <c r="CU34" s="521"/>
      <c r="CV34" s="522">
        <f t="shared" si="31"/>
        <v>0</v>
      </c>
      <c r="CW34" s="523">
        <f t="shared" si="143"/>
        <v>0</v>
      </c>
      <c r="CX34" s="521"/>
      <c r="CY34" s="522">
        <f t="shared" si="32"/>
        <v>0</v>
      </c>
      <c r="CZ34" s="523">
        <f t="shared" si="144"/>
        <v>0</v>
      </c>
      <c r="DA34" s="521">
        <v>188.95348837209303</v>
      </c>
      <c r="DB34" s="522">
        <f t="shared" si="33"/>
        <v>4.6549440375466355</v>
      </c>
      <c r="DC34" s="523">
        <f t="shared" si="145"/>
        <v>0</v>
      </c>
      <c r="DD34" s="521"/>
      <c r="DE34" s="522">
        <f t="shared" si="34"/>
        <v>0</v>
      </c>
      <c r="DF34" s="523">
        <f t="shared" si="146"/>
        <v>0</v>
      </c>
      <c r="DG34" s="521"/>
      <c r="DH34" s="522">
        <f t="shared" si="35"/>
        <v>0</v>
      </c>
      <c r="DI34" s="523">
        <f t="shared" si="203"/>
        <v>0</v>
      </c>
      <c r="DJ34" s="521"/>
      <c r="DK34" s="522">
        <f t="shared" si="36"/>
        <v>0</v>
      </c>
      <c r="DL34" s="523">
        <f t="shared" si="147"/>
        <v>0</v>
      </c>
      <c r="DM34" s="521"/>
      <c r="DN34" s="522">
        <f t="shared" si="37"/>
        <v>0</v>
      </c>
      <c r="DO34" s="523">
        <f t="shared" si="148"/>
        <v>0</v>
      </c>
      <c r="DP34" s="521"/>
      <c r="DQ34" s="522">
        <f t="shared" si="38"/>
        <v>0</v>
      </c>
      <c r="DR34" s="523">
        <f t="shared" si="149"/>
        <v>0</v>
      </c>
      <c r="DS34" s="521"/>
      <c r="DT34" s="522">
        <f t="shared" si="39"/>
        <v>0</v>
      </c>
      <c r="DU34" s="523">
        <f t="shared" si="150"/>
        <v>0</v>
      </c>
      <c r="DV34" s="521"/>
      <c r="DW34" s="522">
        <f t="shared" si="40"/>
        <v>0</v>
      </c>
      <c r="DX34" s="523">
        <f t="shared" si="151"/>
        <v>0</v>
      </c>
      <c r="DY34" s="521"/>
      <c r="DZ34" s="522">
        <f t="shared" si="41"/>
        <v>0</v>
      </c>
      <c r="EA34" s="523">
        <f t="shared" si="152"/>
        <v>0</v>
      </c>
      <c r="EB34" s="521"/>
      <c r="EC34" s="522">
        <f t="shared" si="42"/>
        <v>0</v>
      </c>
      <c r="ED34" s="523">
        <f t="shared" si="153"/>
        <v>0</v>
      </c>
      <c r="EE34" s="521">
        <v>21.802325581395337</v>
      </c>
      <c r="EF34" s="522">
        <f t="shared" si="43"/>
        <v>0.53710892740922689</v>
      </c>
      <c r="EG34" s="523">
        <f t="shared" si="154"/>
        <v>0</v>
      </c>
      <c r="EH34" s="521">
        <v>4</v>
      </c>
      <c r="EI34" s="522">
        <f t="shared" si="44"/>
        <v>9.8541584548679548E-2</v>
      </c>
      <c r="EJ34" s="523">
        <f t="shared" si="155"/>
        <v>0</v>
      </c>
      <c r="EK34" s="521">
        <v>42.682926829268354</v>
      </c>
      <c r="EL34" s="522">
        <f t="shared" si="45"/>
        <v>1.0515108107328626</v>
      </c>
      <c r="EM34" s="523">
        <f t="shared" si="156"/>
        <v>0</v>
      </c>
      <c r="EN34" s="521">
        <v>39.534883720930281</v>
      </c>
      <c r="EO34" s="522">
        <f t="shared" si="46"/>
        <v>0.97395752170206651</v>
      </c>
      <c r="EP34" s="523">
        <f t="shared" si="157"/>
        <v>0</v>
      </c>
      <c r="EQ34" s="521">
        <v>46.964705882352973</v>
      </c>
      <c r="ER34" s="522">
        <f t="shared" si="47"/>
        <v>1.1569941338774383</v>
      </c>
      <c r="ES34" s="523">
        <f t="shared" si="158"/>
        <v>0</v>
      </c>
      <c r="ET34" s="521"/>
      <c r="EU34" s="522">
        <f t="shared" si="48"/>
        <v>0</v>
      </c>
      <c r="EV34" s="523">
        <f t="shared" si="159"/>
        <v>0</v>
      </c>
      <c r="EW34" s="521"/>
      <c r="EX34" s="522">
        <f t="shared" si="49"/>
        <v>0</v>
      </c>
      <c r="EY34" s="523">
        <f t="shared" si="160"/>
        <v>0</v>
      </c>
      <c r="EZ34" s="521"/>
      <c r="FA34" s="522">
        <f t="shared" si="50"/>
        <v>0</v>
      </c>
      <c r="FB34" s="523">
        <f t="shared" si="161"/>
        <v>0</v>
      </c>
      <c r="FC34" s="521"/>
      <c r="FD34" s="522">
        <f t="shared" si="51"/>
        <v>0</v>
      </c>
      <c r="FE34" s="523">
        <f t="shared" si="162"/>
        <v>0</v>
      </c>
      <c r="FF34" s="521"/>
      <c r="FG34" s="522">
        <f t="shared" si="52"/>
        <v>0</v>
      </c>
      <c r="FH34" s="523">
        <f t="shared" si="163"/>
        <v>0</v>
      </c>
      <c r="FI34" s="521"/>
      <c r="FJ34" s="522">
        <f t="shared" si="53"/>
        <v>0</v>
      </c>
      <c r="FK34" s="523">
        <f t="shared" si="164"/>
        <v>0</v>
      </c>
      <c r="FL34" s="521"/>
      <c r="FM34" s="522">
        <f t="shared" si="54"/>
        <v>0</v>
      </c>
      <c r="FN34" s="523">
        <f t="shared" si="165"/>
        <v>0</v>
      </c>
      <c r="FO34" s="521"/>
      <c r="FP34" s="522">
        <f t="shared" si="55"/>
        <v>0</v>
      </c>
      <c r="FQ34" s="523">
        <f t="shared" si="166"/>
        <v>0</v>
      </c>
      <c r="FR34" s="521"/>
      <c r="FS34" s="522">
        <f t="shared" si="56"/>
        <v>0</v>
      </c>
      <c r="FT34" s="523">
        <f t="shared" si="167"/>
        <v>0</v>
      </c>
      <c r="FU34" s="521"/>
      <c r="FV34" s="522">
        <f t="shared" si="57"/>
        <v>0</v>
      </c>
      <c r="FW34" s="523">
        <f t="shared" si="168"/>
        <v>0</v>
      </c>
      <c r="FX34" s="521"/>
      <c r="FY34" s="522">
        <f t="shared" si="58"/>
        <v>0</v>
      </c>
      <c r="FZ34" s="523">
        <f t="shared" si="169"/>
        <v>0</v>
      </c>
      <c r="GA34" s="521"/>
      <c r="GB34" s="522">
        <f t="shared" si="59"/>
        <v>0</v>
      </c>
      <c r="GC34" s="523">
        <f t="shared" si="170"/>
        <v>0</v>
      </c>
      <c r="GD34" s="521"/>
      <c r="GE34" s="522">
        <f t="shared" si="60"/>
        <v>0</v>
      </c>
      <c r="GF34" s="523">
        <f t="shared" si="171"/>
        <v>0</v>
      </c>
      <c r="GG34" s="521"/>
      <c r="GH34" s="522">
        <f t="shared" si="61"/>
        <v>0</v>
      </c>
      <c r="GI34" s="523">
        <f t="shared" si="172"/>
        <v>0</v>
      </c>
      <c r="GJ34" s="521"/>
      <c r="GK34" s="522">
        <f t="shared" si="62"/>
        <v>0</v>
      </c>
      <c r="GL34" s="523">
        <f t="shared" si="173"/>
        <v>0</v>
      </c>
      <c r="GM34" s="521"/>
      <c r="GN34" s="522">
        <f t="shared" si="63"/>
        <v>0</v>
      </c>
      <c r="GO34" s="523">
        <f t="shared" si="174"/>
        <v>0</v>
      </c>
      <c r="GP34" s="521"/>
      <c r="GQ34" s="522">
        <f t="shared" si="64"/>
        <v>0</v>
      </c>
      <c r="GR34" s="523">
        <f t="shared" si="175"/>
        <v>0</v>
      </c>
      <c r="GS34" s="521"/>
      <c r="GT34" s="522">
        <f t="shared" si="65"/>
        <v>0</v>
      </c>
      <c r="GU34" s="523">
        <f t="shared" si="176"/>
        <v>0</v>
      </c>
      <c r="GV34" s="521"/>
      <c r="GW34" s="522">
        <f t="shared" si="66"/>
        <v>0</v>
      </c>
      <c r="GX34" s="523">
        <f t="shared" si="177"/>
        <v>0</v>
      </c>
      <c r="GY34" s="521"/>
      <c r="GZ34" s="522">
        <f t="shared" si="67"/>
        <v>0</v>
      </c>
      <c r="HA34" s="523">
        <f t="shared" si="178"/>
        <v>0</v>
      </c>
      <c r="HB34" s="521"/>
      <c r="HC34" s="522">
        <f t="shared" si="68"/>
        <v>0</v>
      </c>
      <c r="HD34" s="523">
        <f t="shared" si="179"/>
        <v>0</v>
      </c>
      <c r="HE34" s="521"/>
      <c r="HF34" s="522">
        <f t="shared" si="69"/>
        <v>0</v>
      </c>
      <c r="HG34" s="523">
        <f t="shared" si="180"/>
        <v>0</v>
      </c>
      <c r="HH34" s="521"/>
      <c r="HI34" s="522">
        <f t="shared" si="70"/>
        <v>0</v>
      </c>
      <c r="HJ34" s="523">
        <f t="shared" si="181"/>
        <v>0</v>
      </c>
      <c r="HK34" s="521"/>
      <c r="HL34" s="522">
        <f t="shared" si="71"/>
        <v>0</v>
      </c>
      <c r="HM34" s="523">
        <f t="shared" si="182"/>
        <v>0</v>
      </c>
      <c r="HN34" s="521"/>
      <c r="HO34" s="522">
        <f t="shared" si="72"/>
        <v>0</v>
      </c>
      <c r="HP34" s="523">
        <f t="shared" si="183"/>
        <v>0</v>
      </c>
      <c r="HQ34" s="521"/>
      <c r="HR34" s="522">
        <f t="shared" si="73"/>
        <v>0</v>
      </c>
      <c r="HS34" s="523">
        <f t="shared" si="184"/>
        <v>0</v>
      </c>
      <c r="HT34" s="521"/>
      <c r="HU34" s="522">
        <f t="shared" si="74"/>
        <v>0</v>
      </c>
      <c r="HV34" s="523">
        <f t="shared" si="185"/>
        <v>0</v>
      </c>
      <c r="HW34" s="521"/>
      <c r="HX34" s="522">
        <f t="shared" si="75"/>
        <v>0</v>
      </c>
      <c r="HY34" s="523">
        <f t="shared" si="186"/>
        <v>0</v>
      </c>
      <c r="HZ34" s="521"/>
      <c r="IA34" s="522">
        <f t="shared" si="76"/>
        <v>0</v>
      </c>
      <c r="IB34" s="523">
        <f t="shared" si="187"/>
        <v>0</v>
      </c>
      <c r="IC34" s="521"/>
      <c r="ID34" s="522">
        <f t="shared" si="77"/>
        <v>0</v>
      </c>
      <c r="IE34" s="523">
        <f t="shared" si="188"/>
        <v>0</v>
      </c>
      <c r="IF34" s="521"/>
      <c r="IG34" s="522">
        <f t="shared" si="78"/>
        <v>0</v>
      </c>
      <c r="IH34" s="523">
        <f t="shared" si="189"/>
        <v>0</v>
      </c>
      <c r="II34" s="521"/>
      <c r="IJ34" s="522">
        <f t="shared" si="79"/>
        <v>0</v>
      </c>
      <c r="IK34" s="523">
        <f t="shared" si="190"/>
        <v>0</v>
      </c>
      <c r="IL34" s="521"/>
      <c r="IM34" s="522">
        <f t="shared" si="80"/>
        <v>0</v>
      </c>
      <c r="IN34" s="523">
        <f t="shared" si="191"/>
        <v>0</v>
      </c>
      <c r="IO34" s="521"/>
      <c r="IP34" s="522">
        <f t="shared" si="81"/>
        <v>0</v>
      </c>
      <c r="IQ34" s="523">
        <f t="shared" si="192"/>
        <v>0</v>
      </c>
      <c r="IR34" s="521"/>
      <c r="IS34" s="522">
        <f t="shared" si="82"/>
        <v>0</v>
      </c>
      <c r="IT34" s="523">
        <f t="shared" si="193"/>
        <v>0</v>
      </c>
      <c r="IU34" s="521"/>
      <c r="IV34" s="522">
        <f t="shared" si="83"/>
        <v>0</v>
      </c>
      <c r="IW34" s="523">
        <f t="shared" si="194"/>
        <v>0</v>
      </c>
      <c r="IX34" s="521"/>
      <c r="IY34" s="522">
        <f t="shared" si="84"/>
        <v>0</v>
      </c>
      <c r="IZ34" s="523">
        <f t="shared" si="195"/>
        <v>0</v>
      </c>
      <c r="JA34" s="521"/>
      <c r="JB34" s="522">
        <f t="shared" si="85"/>
        <v>0</v>
      </c>
      <c r="JC34" s="523">
        <f t="shared" si="196"/>
        <v>0</v>
      </c>
      <c r="JD34" s="521"/>
      <c r="JE34" s="522">
        <f t="shared" si="86"/>
        <v>0</v>
      </c>
      <c r="JF34" s="523">
        <f t="shared" si="197"/>
        <v>0</v>
      </c>
      <c r="JG34" s="521"/>
      <c r="JH34" s="522">
        <f t="shared" si="87"/>
        <v>0</v>
      </c>
      <c r="JI34" s="523">
        <f t="shared" si="198"/>
        <v>0</v>
      </c>
      <c r="JJ34" s="521"/>
      <c r="JK34" s="523" t="str">
        <f t="shared" si="88"/>
        <v>0</v>
      </c>
      <c r="JL34" s="523" t="str">
        <f t="shared" si="89"/>
        <v>0</v>
      </c>
      <c r="JM34" s="521"/>
      <c r="JN34" s="523" t="str">
        <f t="shared" si="90"/>
        <v>0</v>
      </c>
      <c r="JO34" s="523" t="str">
        <f t="shared" si="91"/>
        <v>0</v>
      </c>
      <c r="JP34" s="521"/>
      <c r="JQ34" s="523" t="str">
        <f t="shared" si="92"/>
        <v>0</v>
      </c>
      <c r="JR34" s="523" t="str">
        <f t="shared" si="93"/>
        <v>0</v>
      </c>
      <c r="JS34" s="521"/>
      <c r="JT34" s="523" t="str">
        <f t="shared" si="94"/>
        <v>0</v>
      </c>
      <c r="JU34" s="523" t="str">
        <f t="shared" si="95"/>
        <v>0</v>
      </c>
      <c r="JV34" s="521"/>
      <c r="JW34" s="523" t="str">
        <f t="shared" si="96"/>
        <v>0</v>
      </c>
      <c r="JX34" s="523" t="str">
        <f t="shared" si="97"/>
        <v>0</v>
      </c>
      <c r="JY34" s="521"/>
      <c r="JZ34" s="523" t="str">
        <f t="shared" si="98"/>
        <v>0</v>
      </c>
      <c r="KA34" s="523" t="str">
        <f t="shared" si="99"/>
        <v>0</v>
      </c>
      <c r="KB34" s="521"/>
      <c r="KC34" s="523" t="str">
        <f t="shared" si="100"/>
        <v>0</v>
      </c>
      <c r="KD34" s="523" t="str">
        <f t="shared" si="101"/>
        <v>0</v>
      </c>
      <c r="KE34" s="521"/>
      <c r="KF34" s="523" t="str">
        <f t="shared" si="102"/>
        <v>0</v>
      </c>
      <c r="KG34" s="523" t="str">
        <f t="shared" si="103"/>
        <v>0</v>
      </c>
      <c r="KH34" s="521"/>
      <c r="KI34" s="523" t="str">
        <f t="shared" si="104"/>
        <v>0</v>
      </c>
      <c r="KJ34" s="523" t="str">
        <f t="shared" si="105"/>
        <v>0</v>
      </c>
      <c r="KK34" s="521"/>
      <c r="KL34" s="523" t="str">
        <f t="shared" si="106"/>
        <v>0</v>
      </c>
      <c r="KM34" s="523" t="str">
        <f t="shared" si="107"/>
        <v>0</v>
      </c>
      <c r="KN34" s="521"/>
      <c r="KO34" s="523" t="str">
        <f t="shared" si="108"/>
        <v>0</v>
      </c>
      <c r="KP34" s="523" t="str">
        <f t="shared" si="109"/>
        <v>0</v>
      </c>
      <c r="KQ34" s="521"/>
      <c r="KR34" s="523" t="str">
        <f t="shared" si="110"/>
        <v>0</v>
      </c>
      <c r="KS34" s="523" t="str">
        <f t="shared" si="111"/>
        <v>0</v>
      </c>
      <c r="KT34" s="523">
        <f t="shared" si="201"/>
        <v>0</v>
      </c>
      <c r="KU34" s="523">
        <f t="shared" si="202"/>
        <v>0</v>
      </c>
      <c r="KV34" s="261">
        <f t="shared" si="199"/>
        <v>365.37583038603998</v>
      </c>
    </row>
    <row r="35" spans="1:308" ht="15" customHeight="1">
      <c r="A35" s="262">
        <f t="shared" si="200"/>
        <v>46108</v>
      </c>
      <c r="B35" s="263" t="str">
        <f>+Report1!B35</f>
        <v>Toilet</v>
      </c>
      <c r="C35" s="263" t="str">
        <f>+Report1!C35</f>
        <v>13</v>
      </c>
      <c r="D35" s="264">
        <f>+Report1!P35</f>
        <v>40.481000000000002</v>
      </c>
      <c r="E35" s="556">
        <f>+Report1!R35</f>
        <v>40.677</v>
      </c>
      <c r="F35" s="521"/>
      <c r="G35" s="522">
        <f t="shared" si="0"/>
        <v>0</v>
      </c>
      <c r="H35" s="523">
        <f t="shared" si="112"/>
        <v>0</v>
      </c>
      <c r="I35" s="521"/>
      <c r="J35" s="522">
        <f t="shared" si="1"/>
        <v>0</v>
      </c>
      <c r="K35" s="523">
        <f t="shared" si="113"/>
        <v>0</v>
      </c>
      <c r="L35" s="521"/>
      <c r="M35" s="522">
        <f t="shared" si="2"/>
        <v>0</v>
      </c>
      <c r="N35" s="523">
        <f t="shared" si="114"/>
        <v>0</v>
      </c>
      <c r="O35" s="521">
        <v>6.0000000000000284</v>
      </c>
      <c r="P35" s="522">
        <f t="shared" si="3"/>
        <v>0.14750350320820191</v>
      </c>
      <c r="Q35" s="523">
        <f t="shared" si="115"/>
        <v>0</v>
      </c>
      <c r="R35" s="521"/>
      <c r="S35" s="522">
        <f t="shared" si="4"/>
        <v>0</v>
      </c>
      <c r="T35" s="523">
        <f t="shared" si="116"/>
        <v>0</v>
      </c>
      <c r="U35" s="521">
        <v>7.6875</v>
      </c>
      <c r="V35" s="522">
        <f t="shared" si="5"/>
        <v>0.18898886348550778</v>
      </c>
      <c r="W35" s="523">
        <f t="shared" si="117"/>
        <v>0</v>
      </c>
      <c r="X35" s="521"/>
      <c r="Y35" s="522">
        <f t="shared" si="6"/>
        <v>0</v>
      </c>
      <c r="Z35" s="523">
        <f t="shared" si="118"/>
        <v>0</v>
      </c>
      <c r="AA35" s="521">
        <v>6.25</v>
      </c>
      <c r="AB35" s="522">
        <f t="shared" si="7"/>
        <v>0.15364948250854291</v>
      </c>
      <c r="AC35" s="523">
        <f t="shared" si="119"/>
        <v>0</v>
      </c>
      <c r="AD35" s="521"/>
      <c r="AE35" s="522">
        <f t="shared" si="8"/>
        <v>0</v>
      </c>
      <c r="AF35" s="523">
        <f t="shared" si="120"/>
        <v>0</v>
      </c>
      <c r="AG35" s="521"/>
      <c r="AH35" s="522">
        <f t="shared" si="9"/>
        <v>0</v>
      </c>
      <c r="AI35" s="523">
        <f t="shared" si="121"/>
        <v>0</v>
      </c>
      <c r="AJ35" s="521">
        <v>5.875</v>
      </c>
      <c r="AK35" s="522">
        <f t="shared" si="10"/>
        <v>0.14443051355803033</v>
      </c>
      <c r="AL35" s="523">
        <f t="shared" si="122"/>
        <v>0</v>
      </c>
      <c r="AM35" s="521"/>
      <c r="AN35" s="522">
        <f t="shared" si="11"/>
        <v>0</v>
      </c>
      <c r="AO35" s="523">
        <f t="shared" si="123"/>
        <v>0</v>
      </c>
      <c r="AP35" s="521"/>
      <c r="AQ35" s="522">
        <f t="shared" si="12"/>
        <v>0</v>
      </c>
      <c r="AR35" s="523">
        <f t="shared" si="124"/>
        <v>0</v>
      </c>
      <c r="AS35" s="521"/>
      <c r="AT35" s="522">
        <f t="shared" si="13"/>
        <v>0</v>
      </c>
      <c r="AU35" s="523">
        <f t="shared" si="125"/>
        <v>0</v>
      </c>
      <c r="AV35" s="521"/>
      <c r="AW35" s="522">
        <f t="shared" si="14"/>
        <v>0</v>
      </c>
      <c r="AX35" s="523">
        <f t="shared" si="126"/>
        <v>0</v>
      </c>
      <c r="AY35" s="521"/>
      <c r="AZ35" s="522">
        <f t="shared" si="15"/>
        <v>0</v>
      </c>
      <c r="BA35" s="523">
        <f t="shared" si="127"/>
        <v>0</v>
      </c>
      <c r="BB35" s="521"/>
      <c r="BC35" s="522">
        <f t="shared" si="16"/>
        <v>0</v>
      </c>
      <c r="BD35" s="523">
        <f t="shared" si="128"/>
        <v>0</v>
      </c>
      <c r="BE35" s="521"/>
      <c r="BF35" s="522">
        <f t="shared" si="17"/>
        <v>0</v>
      </c>
      <c r="BG35" s="523">
        <f t="shared" si="129"/>
        <v>0</v>
      </c>
      <c r="BH35" s="521"/>
      <c r="BI35" s="522">
        <f t="shared" si="18"/>
        <v>0</v>
      </c>
      <c r="BJ35" s="523">
        <f t="shared" si="130"/>
        <v>0</v>
      </c>
      <c r="BK35" s="521"/>
      <c r="BL35" s="522">
        <f t="shared" si="19"/>
        <v>0</v>
      </c>
      <c r="BM35" s="523">
        <f t="shared" si="131"/>
        <v>0</v>
      </c>
      <c r="BN35" s="521"/>
      <c r="BO35" s="522">
        <f t="shared" si="20"/>
        <v>0</v>
      </c>
      <c r="BP35" s="523">
        <f t="shared" si="132"/>
        <v>0</v>
      </c>
      <c r="BQ35" s="521"/>
      <c r="BR35" s="522">
        <f t="shared" si="21"/>
        <v>0</v>
      </c>
      <c r="BS35" s="523">
        <f t="shared" si="133"/>
        <v>0</v>
      </c>
      <c r="BT35" s="521"/>
      <c r="BU35" s="522">
        <f t="shared" si="22"/>
        <v>0</v>
      </c>
      <c r="BV35" s="523">
        <f t="shared" si="134"/>
        <v>0</v>
      </c>
      <c r="BW35" s="521"/>
      <c r="BX35" s="522">
        <f t="shared" si="23"/>
        <v>0</v>
      </c>
      <c r="BY35" s="523">
        <f t="shared" si="135"/>
        <v>0</v>
      </c>
      <c r="BZ35" s="521"/>
      <c r="CA35" s="522">
        <f t="shared" si="24"/>
        <v>0</v>
      </c>
      <c r="CB35" s="523">
        <f t="shared" si="136"/>
        <v>0</v>
      </c>
      <c r="CC35" s="521"/>
      <c r="CD35" s="522">
        <f t="shared" si="25"/>
        <v>0</v>
      </c>
      <c r="CE35" s="523">
        <f t="shared" si="137"/>
        <v>0</v>
      </c>
      <c r="CF35" s="521">
        <v>1</v>
      </c>
      <c r="CG35" s="522">
        <f t="shared" si="26"/>
        <v>2.4583917201366864E-2</v>
      </c>
      <c r="CH35" s="523">
        <f t="shared" si="138"/>
        <v>0</v>
      </c>
      <c r="CI35" s="521"/>
      <c r="CJ35" s="522">
        <f t="shared" si="27"/>
        <v>0</v>
      </c>
      <c r="CK35" s="523">
        <f t="shared" si="139"/>
        <v>0</v>
      </c>
      <c r="CL35" s="521"/>
      <c r="CM35" s="522">
        <f t="shared" si="28"/>
        <v>0</v>
      </c>
      <c r="CN35" s="523">
        <f t="shared" si="140"/>
        <v>0</v>
      </c>
      <c r="CO35" s="521"/>
      <c r="CP35" s="522">
        <f t="shared" si="29"/>
        <v>0</v>
      </c>
      <c r="CQ35" s="523">
        <f t="shared" si="141"/>
        <v>0</v>
      </c>
      <c r="CR35" s="521"/>
      <c r="CS35" s="522">
        <f t="shared" si="30"/>
        <v>0</v>
      </c>
      <c r="CT35" s="523">
        <f t="shared" si="142"/>
        <v>0</v>
      </c>
      <c r="CU35" s="521"/>
      <c r="CV35" s="522">
        <f t="shared" si="31"/>
        <v>0</v>
      </c>
      <c r="CW35" s="523">
        <f t="shared" si="143"/>
        <v>0</v>
      </c>
      <c r="CX35" s="521"/>
      <c r="CY35" s="522">
        <f t="shared" si="32"/>
        <v>0</v>
      </c>
      <c r="CZ35" s="523">
        <f t="shared" si="144"/>
        <v>0</v>
      </c>
      <c r="DA35" s="521">
        <v>116.2790697674418</v>
      </c>
      <c r="DB35" s="522">
        <f t="shared" si="33"/>
        <v>2.8585950234147504</v>
      </c>
      <c r="DC35" s="523">
        <f t="shared" si="145"/>
        <v>0</v>
      </c>
      <c r="DD35" s="521"/>
      <c r="DE35" s="522">
        <f t="shared" si="34"/>
        <v>0</v>
      </c>
      <c r="DF35" s="523">
        <f t="shared" si="146"/>
        <v>0</v>
      </c>
      <c r="DG35" s="521"/>
      <c r="DH35" s="522">
        <f t="shared" si="35"/>
        <v>0</v>
      </c>
      <c r="DI35" s="523">
        <f t="shared" si="203"/>
        <v>0</v>
      </c>
      <c r="DJ35" s="521"/>
      <c r="DK35" s="522">
        <f t="shared" si="36"/>
        <v>0</v>
      </c>
      <c r="DL35" s="523">
        <f t="shared" si="147"/>
        <v>0</v>
      </c>
      <c r="DM35" s="521"/>
      <c r="DN35" s="522">
        <f t="shared" si="37"/>
        <v>0</v>
      </c>
      <c r="DO35" s="523">
        <f t="shared" si="148"/>
        <v>0</v>
      </c>
      <c r="DP35" s="521"/>
      <c r="DQ35" s="522">
        <f t="shared" si="38"/>
        <v>0</v>
      </c>
      <c r="DR35" s="523">
        <f t="shared" si="149"/>
        <v>0</v>
      </c>
      <c r="DS35" s="521"/>
      <c r="DT35" s="522">
        <f t="shared" si="39"/>
        <v>0</v>
      </c>
      <c r="DU35" s="523">
        <f t="shared" si="150"/>
        <v>0</v>
      </c>
      <c r="DV35" s="521"/>
      <c r="DW35" s="522">
        <f t="shared" si="40"/>
        <v>0</v>
      </c>
      <c r="DX35" s="523">
        <f t="shared" si="151"/>
        <v>0</v>
      </c>
      <c r="DY35" s="521"/>
      <c r="DZ35" s="522">
        <f t="shared" si="41"/>
        <v>0</v>
      </c>
      <c r="EA35" s="523">
        <f t="shared" si="152"/>
        <v>0</v>
      </c>
      <c r="EB35" s="521"/>
      <c r="EC35" s="522">
        <f t="shared" si="42"/>
        <v>0</v>
      </c>
      <c r="ED35" s="523">
        <f t="shared" si="153"/>
        <v>0</v>
      </c>
      <c r="EE35" s="521">
        <v>14.534883720930225</v>
      </c>
      <c r="EF35" s="522">
        <f t="shared" si="43"/>
        <v>0.35732437792684379</v>
      </c>
      <c r="EG35" s="523">
        <f t="shared" si="154"/>
        <v>0</v>
      </c>
      <c r="EH35" s="521">
        <v>4</v>
      </c>
      <c r="EI35" s="522">
        <f t="shared" si="44"/>
        <v>9.8335668805467458E-2</v>
      </c>
      <c r="EJ35" s="523">
        <f t="shared" si="155"/>
        <v>0</v>
      </c>
      <c r="EK35" s="521">
        <v>42.682926829268354</v>
      </c>
      <c r="EL35" s="522">
        <f t="shared" si="45"/>
        <v>1.0493135390827335</v>
      </c>
      <c r="EM35" s="523">
        <f t="shared" si="156"/>
        <v>0</v>
      </c>
      <c r="EN35" s="521">
        <v>39.534883720930111</v>
      </c>
      <c r="EO35" s="522">
        <f t="shared" si="46"/>
        <v>0.97192230796101264</v>
      </c>
      <c r="EP35" s="523">
        <f t="shared" si="157"/>
        <v>0</v>
      </c>
      <c r="EQ35" s="521">
        <v>35.223529411764616</v>
      </c>
      <c r="ER35" s="522">
        <f t="shared" si="47"/>
        <v>0.86593233059873187</v>
      </c>
      <c r="ES35" s="523">
        <f t="shared" si="158"/>
        <v>0</v>
      </c>
      <c r="ET35" s="521"/>
      <c r="EU35" s="522">
        <f t="shared" si="48"/>
        <v>0</v>
      </c>
      <c r="EV35" s="523">
        <f t="shared" si="159"/>
        <v>0</v>
      </c>
      <c r="EW35" s="521"/>
      <c r="EX35" s="522">
        <f t="shared" si="49"/>
        <v>0</v>
      </c>
      <c r="EY35" s="523">
        <f t="shared" si="160"/>
        <v>0</v>
      </c>
      <c r="EZ35" s="521"/>
      <c r="FA35" s="522">
        <f t="shared" si="50"/>
        <v>0</v>
      </c>
      <c r="FB35" s="523">
        <f t="shared" si="161"/>
        <v>0</v>
      </c>
      <c r="FC35" s="521"/>
      <c r="FD35" s="522">
        <f t="shared" si="51"/>
        <v>0</v>
      </c>
      <c r="FE35" s="523">
        <f t="shared" si="162"/>
        <v>0</v>
      </c>
      <c r="FF35" s="521"/>
      <c r="FG35" s="522">
        <f t="shared" si="52"/>
        <v>0</v>
      </c>
      <c r="FH35" s="523">
        <f t="shared" si="163"/>
        <v>0</v>
      </c>
      <c r="FI35" s="521"/>
      <c r="FJ35" s="522">
        <f t="shared" si="53"/>
        <v>0</v>
      </c>
      <c r="FK35" s="523">
        <f t="shared" si="164"/>
        <v>0</v>
      </c>
      <c r="FL35" s="521"/>
      <c r="FM35" s="522">
        <f t="shared" si="54"/>
        <v>0</v>
      </c>
      <c r="FN35" s="523">
        <f t="shared" si="165"/>
        <v>0</v>
      </c>
      <c r="FO35" s="521"/>
      <c r="FP35" s="522">
        <f t="shared" si="55"/>
        <v>0</v>
      </c>
      <c r="FQ35" s="523">
        <f t="shared" si="166"/>
        <v>0</v>
      </c>
      <c r="FR35" s="521"/>
      <c r="FS35" s="522">
        <f t="shared" si="56"/>
        <v>0</v>
      </c>
      <c r="FT35" s="523">
        <f t="shared" si="167"/>
        <v>0</v>
      </c>
      <c r="FU35" s="521"/>
      <c r="FV35" s="522">
        <f t="shared" si="57"/>
        <v>0</v>
      </c>
      <c r="FW35" s="523">
        <f t="shared" si="168"/>
        <v>0</v>
      </c>
      <c r="FX35" s="521"/>
      <c r="FY35" s="522">
        <f t="shared" si="58"/>
        <v>0</v>
      </c>
      <c r="FZ35" s="523">
        <f t="shared" si="169"/>
        <v>0</v>
      </c>
      <c r="GA35" s="521"/>
      <c r="GB35" s="522">
        <f t="shared" si="59"/>
        <v>0</v>
      </c>
      <c r="GC35" s="523">
        <f t="shared" si="170"/>
        <v>0</v>
      </c>
      <c r="GD35" s="521"/>
      <c r="GE35" s="522">
        <f t="shared" si="60"/>
        <v>0</v>
      </c>
      <c r="GF35" s="523">
        <f t="shared" si="171"/>
        <v>0</v>
      </c>
      <c r="GG35" s="521"/>
      <c r="GH35" s="522">
        <f t="shared" si="61"/>
        <v>0</v>
      </c>
      <c r="GI35" s="523">
        <f t="shared" si="172"/>
        <v>0</v>
      </c>
      <c r="GJ35" s="521"/>
      <c r="GK35" s="522">
        <f t="shared" si="62"/>
        <v>0</v>
      </c>
      <c r="GL35" s="523">
        <f t="shared" si="173"/>
        <v>0</v>
      </c>
      <c r="GM35" s="521"/>
      <c r="GN35" s="522">
        <f t="shared" si="63"/>
        <v>0</v>
      </c>
      <c r="GO35" s="523">
        <f t="shared" si="174"/>
        <v>0</v>
      </c>
      <c r="GP35" s="521"/>
      <c r="GQ35" s="522">
        <f t="shared" si="64"/>
        <v>0</v>
      </c>
      <c r="GR35" s="523">
        <f t="shared" si="175"/>
        <v>0</v>
      </c>
      <c r="GS35" s="521"/>
      <c r="GT35" s="522">
        <f t="shared" si="65"/>
        <v>0</v>
      </c>
      <c r="GU35" s="523">
        <f t="shared" si="176"/>
        <v>0</v>
      </c>
      <c r="GV35" s="521"/>
      <c r="GW35" s="522">
        <f t="shared" si="66"/>
        <v>0</v>
      </c>
      <c r="GX35" s="523">
        <f t="shared" si="177"/>
        <v>0</v>
      </c>
      <c r="GY35" s="521"/>
      <c r="GZ35" s="522">
        <f t="shared" si="67"/>
        <v>0</v>
      </c>
      <c r="HA35" s="523">
        <f t="shared" si="178"/>
        <v>0</v>
      </c>
      <c r="HB35" s="521"/>
      <c r="HC35" s="522">
        <f t="shared" si="68"/>
        <v>0</v>
      </c>
      <c r="HD35" s="523">
        <f t="shared" si="179"/>
        <v>0</v>
      </c>
      <c r="HE35" s="521"/>
      <c r="HF35" s="522">
        <f t="shared" si="69"/>
        <v>0</v>
      </c>
      <c r="HG35" s="523">
        <f t="shared" si="180"/>
        <v>0</v>
      </c>
      <c r="HH35" s="521"/>
      <c r="HI35" s="522">
        <f t="shared" si="70"/>
        <v>0</v>
      </c>
      <c r="HJ35" s="523">
        <f t="shared" si="181"/>
        <v>0</v>
      </c>
      <c r="HK35" s="521"/>
      <c r="HL35" s="522">
        <f t="shared" si="71"/>
        <v>0</v>
      </c>
      <c r="HM35" s="523">
        <f t="shared" si="182"/>
        <v>0</v>
      </c>
      <c r="HN35" s="521"/>
      <c r="HO35" s="522">
        <f t="shared" si="72"/>
        <v>0</v>
      </c>
      <c r="HP35" s="523">
        <f t="shared" si="183"/>
        <v>0</v>
      </c>
      <c r="HQ35" s="521"/>
      <c r="HR35" s="522">
        <f t="shared" si="73"/>
        <v>0</v>
      </c>
      <c r="HS35" s="523">
        <f t="shared" si="184"/>
        <v>0</v>
      </c>
      <c r="HT35" s="521"/>
      <c r="HU35" s="522">
        <f t="shared" si="74"/>
        <v>0</v>
      </c>
      <c r="HV35" s="523">
        <f t="shared" si="185"/>
        <v>0</v>
      </c>
      <c r="HW35" s="521"/>
      <c r="HX35" s="522">
        <f t="shared" si="75"/>
        <v>0</v>
      </c>
      <c r="HY35" s="523">
        <f t="shared" si="186"/>
        <v>0</v>
      </c>
      <c r="HZ35" s="521"/>
      <c r="IA35" s="522">
        <f t="shared" si="76"/>
        <v>0</v>
      </c>
      <c r="IB35" s="523">
        <f t="shared" si="187"/>
        <v>0</v>
      </c>
      <c r="IC35" s="521"/>
      <c r="ID35" s="522">
        <f t="shared" si="77"/>
        <v>0</v>
      </c>
      <c r="IE35" s="523">
        <f t="shared" si="188"/>
        <v>0</v>
      </c>
      <c r="IF35" s="521"/>
      <c r="IG35" s="522">
        <f t="shared" si="78"/>
        <v>0</v>
      </c>
      <c r="IH35" s="523">
        <f t="shared" si="189"/>
        <v>0</v>
      </c>
      <c r="II35" s="521"/>
      <c r="IJ35" s="522">
        <f t="shared" si="79"/>
        <v>0</v>
      </c>
      <c r="IK35" s="523">
        <f t="shared" si="190"/>
        <v>0</v>
      </c>
      <c r="IL35" s="521"/>
      <c r="IM35" s="522">
        <f t="shared" si="80"/>
        <v>0</v>
      </c>
      <c r="IN35" s="523">
        <f t="shared" si="191"/>
        <v>0</v>
      </c>
      <c r="IO35" s="521"/>
      <c r="IP35" s="522">
        <f t="shared" si="81"/>
        <v>0</v>
      </c>
      <c r="IQ35" s="523">
        <f t="shared" si="192"/>
        <v>0</v>
      </c>
      <c r="IR35" s="521"/>
      <c r="IS35" s="522">
        <f t="shared" si="82"/>
        <v>0</v>
      </c>
      <c r="IT35" s="523">
        <f t="shared" si="193"/>
        <v>0</v>
      </c>
      <c r="IU35" s="521"/>
      <c r="IV35" s="522">
        <f t="shared" si="83"/>
        <v>0</v>
      </c>
      <c r="IW35" s="523">
        <f t="shared" si="194"/>
        <v>0</v>
      </c>
      <c r="IX35" s="521"/>
      <c r="IY35" s="522">
        <f t="shared" si="84"/>
        <v>0</v>
      </c>
      <c r="IZ35" s="523">
        <f t="shared" si="195"/>
        <v>0</v>
      </c>
      <c r="JA35" s="521"/>
      <c r="JB35" s="522">
        <f t="shared" si="85"/>
        <v>0</v>
      </c>
      <c r="JC35" s="523">
        <f t="shared" si="196"/>
        <v>0</v>
      </c>
      <c r="JD35" s="521"/>
      <c r="JE35" s="522">
        <f t="shared" si="86"/>
        <v>0</v>
      </c>
      <c r="JF35" s="523">
        <f t="shared" si="197"/>
        <v>0</v>
      </c>
      <c r="JG35" s="521"/>
      <c r="JH35" s="522">
        <f t="shared" si="87"/>
        <v>0</v>
      </c>
      <c r="JI35" s="523">
        <f t="shared" si="198"/>
        <v>0</v>
      </c>
      <c r="JJ35" s="521"/>
      <c r="JK35" s="523" t="str">
        <f t="shared" si="88"/>
        <v>0</v>
      </c>
      <c r="JL35" s="523" t="str">
        <f t="shared" si="89"/>
        <v>0</v>
      </c>
      <c r="JM35" s="521"/>
      <c r="JN35" s="523" t="str">
        <f t="shared" si="90"/>
        <v>0</v>
      </c>
      <c r="JO35" s="523" t="str">
        <f t="shared" si="91"/>
        <v>0</v>
      </c>
      <c r="JP35" s="521"/>
      <c r="JQ35" s="523" t="str">
        <f t="shared" si="92"/>
        <v>0</v>
      </c>
      <c r="JR35" s="523" t="str">
        <f t="shared" si="93"/>
        <v>0</v>
      </c>
      <c r="JS35" s="521"/>
      <c r="JT35" s="523" t="str">
        <f t="shared" si="94"/>
        <v>0</v>
      </c>
      <c r="JU35" s="523" t="str">
        <f t="shared" si="95"/>
        <v>0</v>
      </c>
      <c r="JV35" s="521"/>
      <c r="JW35" s="523" t="str">
        <f t="shared" si="96"/>
        <v>0</v>
      </c>
      <c r="JX35" s="523" t="str">
        <f t="shared" si="97"/>
        <v>0</v>
      </c>
      <c r="JY35" s="521"/>
      <c r="JZ35" s="523" t="str">
        <f t="shared" si="98"/>
        <v>0</v>
      </c>
      <c r="KA35" s="523" t="str">
        <f t="shared" si="99"/>
        <v>0</v>
      </c>
      <c r="KB35" s="521"/>
      <c r="KC35" s="523" t="str">
        <f t="shared" si="100"/>
        <v>0</v>
      </c>
      <c r="KD35" s="523" t="str">
        <f t="shared" si="101"/>
        <v>0</v>
      </c>
      <c r="KE35" s="521"/>
      <c r="KF35" s="523" t="str">
        <f t="shared" si="102"/>
        <v>0</v>
      </c>
      <c r="KG35" s="523" t="str">
        <f t="shared" si="103"/>
        <v>0</v>
      </c>
      <c r="KH35" s="521"/>
      <c r="KI35" s="523" t="str">
        <f t="shared" si="104"/>
        <v>0</v>
      </c>
      <c r="KJ35" s="523" t="str">
        <f t="shared" si="105"/>
        <v>0</v>
      </c>
      <c r="KK35" s="521"/>
      <c r="KL35" s="523" t="str">
        <f t="shared" si="106"/>
        <v>0</v>
      </c>
      <c r="KM35" s="523" t="str">
        <f t="shared" si="107"/>
        <v>0</v>
      </c>
      <c r="KN35" s="521"/>
      <c r="KO35" s="523" t="str">
        <f t="shared" si="108"/>
        <v>0</v>
      </c>
      <c r="KP35" s="523" t="str">
        <f t="shared" si="109"/>
        <v>0</v>
      </c>
      <c r="KQ35" s="521"/>
      <c r="KR35" s="523" t="str">
        <f t="shared" si="110"/>
        <v>0</v>
      </c>
      <c r="KS35" s="523" t="str">
        <f t="shared" si="111"/>
        <v>0</v>
      </c>
      <c r="KT35" s="523">
        <f t="shared" si="201"/>
        <v>0</v>
      </c>
      <c r="KU35" s="523">
        <f t="shared" si="202"/>
        <v>0</v>
      </c>
      <c r="KV35" s="261">
        <f t="shared" si="199"/>
        <v>279.0677934503351</v>
      </c>
    </row>
    <row r="36" spans="1:308" ht="15" customHeight="1">
      <c r="A36" s="262">
        <f t="shared" si="200"/>
        <v>46109</v>
      </c>
      <c r="B36" s="263" t="str">
        <f>+Report1!B36</f>
        <v>Toilet</v>
      </c>
      <c r="C36" s="263" t="str">
        <f>+Report1!C36</f>
        <v>13</v>
      </c>
      <c r="D36" s="264">
        <f>+Report1!P36</f>
        <v>41.347000000000001</v>
      </c>
      <c r="E36" s="556">
        <f>+Report1!R36</f>
        <v>39.438000000000002</v>
      </c>
      <c r="F36" s="521"/>
      <c r="G36" s="522">
        <f t="shared" si="0"/>
        <v>0</v>
      </c>
      <c r="H36" s="523">
        <f t="shared" si="112"/>
        <v>0</v>
      </c>
      <c r="I36" s="521"/>
      <c r="J36" s="522">
        <f t="shared" si="1"/>
        <v>0</v>
      </c>
      <c r="K36" s="523">
        <f t="shared" si="113"/>
        <v>0</v>
      </c>
      <c r="L36" s="521"/>
      <c r="M36" s="522">
        <f t="shared" si="2"/>
        <v>0</v>
      </c>
      <c r="N36" s="523">
        <f t="shared" si="114"/>
        <v>0</v>
      </c>
      <c r="O36" s="521">
        <v>4.5867999999999824</v>
      </c>
      <c r="P36" s="522">
        <f t="shared" si="3"/>
        <v>0.11630407221461489</v>
      </c>
      <c r="Q36" s="523">
        <f t="shared" si="115"/>
        <v>0</v>
      </c>
      <c r="R36" s="521"/>
      <c r="S36" s="522">
        <f t="shared" si="4"/>
        <v>0</v>
      </c>
      <c r="T36" s="523">
        <f t="shared" si="116"/>
        <v>0</v>
      </c>
      <c r="U36" s="521">
        <v>6.5253000000000014</v>
      </c>
      <c r="V36" s="522">
        <f t="shared" si="5"/>
        <v>0.16545717328464934</v>
      </c>
      <c r="W36" s="523">
        <f t="shared" si="117"/>
        <v>0</v>
      </c>
      <c r="X36" s="521"/>
      <c r="Y36" s="522">
        <f t="shared" si="6"/>
        <v>0</v>
      </c>
      <c r="Z36" s="523">
        <f t="shared" si="118"/>
        <v>0</v>
      </c>
      <c r="AA36" s="521">
        <v>7.0312499999999929</v>
      </c>
      <c r="AB36" s="522">
        <f t="shared" si="7"/>
        <v>0.17828617069831107</v>
      </c>
      <c r="AC36" s="523">
        <f t="shared" si="119"/>
        <v>0</v>
      </c>
      <c r="AD36" s="521"/>
      <c r="AE36" s="522">
        <f t="shared" si="8"/>
        <v>0</v>
      </c>
      <c r="AF36" s="523">
        <f t="shared" si="120"/>
        <v>0</v>
      </c>
      <c r="AG36" s="521"/>
      <c r="AH36" s="522">
        <f t="shared" si="9"/>
        <v>0</v>
      </c>
      <c r="AI36" s="523">
        <f t="shared" si="121"/>
        <v>0</v>
      </c>
      <c r="AJ36" s="521"/>
      <c r="AK36" s="522">
        <f t="shared" si="10"/>
        <v>0</v>
      </c>
      <c r="AL36" s="523">
        <f t="shared" si="122"/>
        <v>0</v>
      </c>
      <c r="AM36" s="521"/>
      <c r="AN36" s="522">
        <f t="shared" si="11"/>
        <v>0</v>
      </c>
      <c r="AO36" s="523">
        <f t="shared" si="123"/>
        <v>0</v>
      </c>
      <c r="AP36" s="521"/>
      <c r="AQ36" s="522">
        <f t="shared" si="12"/>
        <v>0</v>
      </c>
      <c r="AR36" s="523">
        <f t="shared" si="124"/>
        <v>0</v>
      </c>
      <c r="AS36" s="521"/>
      <c r="AT36" s="522">
        <f t="shared" si="13"/>
        <v>0</v>
      </c>
      <c r="AU36" s="523">
        <f t="shared" si="125"/>
        <v>0</v>
      </c>
      <c r="AV36" s="521"/>
      <c r="AW36" s="522">
        <f t="shared" si="14"/>
        <v>0</v>
      </c>
      <c r="AX36" s="523">
        <f t="shared" si="126"/>
        <v>0</v>
      </c>
      <c r="AY36" s="521"/>
      <c r="AZ36" s="522">
        <f t="shared" si="15"/>
        <v>0</v>
      </c>
      <c r="BA36" s="523">
        <f t="shared" si="127"/>
        <v>0</v>
      </c>
      <c r="BB36" s="521"/>
      <c r="BC36" s="522">
        <f t="shared" si="16"/>
        <v>0</v>
      </c>
      <c r="BD36" s="523">
        <f t="shared" si="128"/>
        <v>0</v>
      </c>
      <c r="BE36" s="521"/>
      <c r="BF36" s="522">
        <f t="shared" si="17"/>
        <v>0</v>
      </c>
      <c r="BG36" s="523">
        <f t="shared" si="129"/>
        <v>0</v>
      </c>
      <c r="BH36" s="521"/>
      <c r="BI36" s="522">
        <f t="shared" si="18"/>
        <v>0</v>
      </c>
      <c r="BJ36" s="523">
        <f t="shared" si="130"/>
        <v>0</v>
      </c>
      <c r="BK36" s="521"/>
      <c r="BL36" s="522">
        <f t="shared" si="19"/>
        <v>0</v>
      </c>
      <c r="BM36" s="523">
        <f t="shared" si="131"/>
        <v>0</v>
      </c>
      <c r="BN36" s="521"/>
      <c r="BO36" s="522">
        <f t="shared" si="20"/>
        <v>0</v>
      </c>
      <c r="BP36" s="523">
        <f t="shared" si="132"/>
        <v>0</v>
      </c>
      <c r="BQ36" s="521"/>
      <c r="BR36" s="522">
        <f t="shared" si="21"/>
        <v>0</v>
      </c>
      <c r="BS36" s="523">
        <f t="shared" si="133"/>
        <v>0</v>
      </c>
      <c r="BT36" s="521"/>
      <c r="BU36" s="522">
        <f t="shared" si="22"/>
        <v>0</v>
      </c>
      <c r="BV36" s="523">
        <f t="shared" si="134"/>
        <v>0</v>
      </c>
      <c r="BW36" s="521"/>
      <c r="BX36" s="522">
        <f t="shared" si="23"/>
        <v>0</v>
      </c>
      <c r="BY36" s="523">
        <f t="shared" si="135"/>
        <v>0</v>
      </c>
      <c r="BZ36" s="521"/>
      <c r="CA36" s="522">
        <f t="shared" si="24"/>
        <v>0</v>
      </c>
      <c r="CB36" s="523">
        <f t="shared" si="136"/>
        <v>0</v>
      </c>
      <c r="CC36" s="521"/>
      <c r="CD36" s="522">
        <f t="shared" si="25"/>
        <v>0</v>
      </c>
      <c r="CE36" s="523">
        <f t="shared" si="137"/>
        <v>0</v>
      </c>
      <c r="CF36" s="521">
        <v>1</v>
      </c>
      <c r="CG36" s="522">
        <f t="shared" si="26"/>
        <v>2.5356255388204268E-2</v>
      </c>
      <c r="CH36" s="523">
        <f t="shared" si="138"/>
        <v>0</v>
      </c>
      <c r="CI36" s="521"/>
      <c r="CJ36" s="522">
        <f t="shared" si="27"/>
        <v>0</v>
      </c>
      <c r="CK36" s="523">
        <f t="shared" si="139"/>
        <v>0</v>
      </c>
      <c r="CL36" s="521"/>
      <c r="CM36" s="522">
        <f t="shared" si="28"/>
        <v>0</v>
      </c>
      <c r="CN36" s="523">
        <f t="shared" si="140"/>
        <v>0</v>
      </c>
      <c r="CO36" s="521"/>
      <c r="CP36" s="522">
        <f t="shared" si="29"/>
        <v>0</v>
      </c>
      <c r="CQ36" s="523">
        <f t="shared" si="141"/>
        <v>0</v>
      </c>
      <c r="CR36" s="521"/>
      <c r="CS36" s="522">
        <f t="shared" si="30"/>
        <v>0</v>
      </c>
      <c r="CT36" s="523">
        <f t="shared" si="142"/>
        <v>0</v>
      </c>
      <c r="CU36" s="521"/>
      <c r="CV36" s="522">
        <f t="shared" si="31"/>
        <v>0</v>
      </c>
      <c r="CW36" s="523">
        <f t="shared" si="143"/>
        <v>0</v>
      </c>
      <c r="CX36" s="521"/>
      <c r="CY36" s="522">
        <f t="shared" si="32"/>
        <v>0</v>
      </c>
      <c r="CZ36" s="523">
        <f t="shared" si="144"/>
        <v>0</v>
      </c>
      <c r="DA36" s="521">
        <v>74.0358139534884</v>
      </c>
      <c r="DB36" s="522">
        <f t="shared" si="33"/>
        <v>1.877271006478229</v>
      </c>
      <c r="DC36" s="523">
        <f t="shared" si="145"/>
        <v>0</v>
      </c>
      <c r="DD36" s="521"/>
      <c r="DE36" s="522">
        <f t="shared" si="34"/>
        <v>0</v>
      </c>
      <c r="DF36" s="523">
        <f t="shared" si="146"/>
        <v>0</v>
      </c>
      <c r="DG36" s="521"/>
      <c r="DH36" s="522">
        <f t="shared" si="35"/>
        <v>0</v>
      </c>
      <c r="DI36" s="523">
        <f t="shared" si="203"/>
        <v>0</v>
      </c>
      <c r="DJ36" s="521"/>
      <c r="DK36" s="522">
        <f t="shared" si="36"/>
        <v>0</v>
      </c>
      <c r="DL36" s="523">
        <f t="shared" si="147"/>
        <v>0</v>
      </c>
      <c r="DM36" s="521"/>
      <c r="DN36" s="522">
        <f t="shared" si="37"/>
        <v>0</v>
      </c>
      <c r="DO36" s="523">
        <f t="shared" si="148"/>
        <v>0</v>
      </c>
      <c r="DP36" s="521"/>
      <c r="DQ36" s="522">
        <f t="shared" si="38"/>
        <v>0</v>
      </c>
      <c r="DR36" s="523">
        <f t="shared" si="149"/>
        <v>0</v>
      </c>
      <c r="DS36" s="521"/>
      <c r="DT36" s="522">
        <f t="shared" si="39"/>
        <v>0</v>
      </c>
      <c r="DU36" s="523">
        <f t="shared" si="150"/>
        <v>0</v>
      </c>
      <c r="DV36" s="521"/>
      <c r="DW36" s="522">
        <f t="shared" si="40"/>
        <v>0</v>
      </c>
      <c r="DX36" s="523">
        <f t="shared" si="151"/>
        <v>0</v>
      </c>
      <c r="DY36" s="521"/>
      <c r="DZ36" s="522">
        <f t="shared" si="41"/>
        <v>0</v>
      </c>
      <c r="EA36" s="523">
        <f t="shared" si="152"/>
        <v>0</v>
      </c>
      <c r="EB36" s="521"/>
      <c r="EC36" s="522">
        <f t="shared" si="42"/>
        <v>0</v>
      </c>
      <c r="ED36" s="523">
        <f t="shared" si="153"/>
        <v>0</v>
      </c>
      <c r="EE36" s="521">
        <v>14.534883720930253</v>
      </c>
      <c r="EF36" s="522">
        <f t="shared" si="43"/>
        <v>0.36855022366576023</v>
      </c>
      <c r="EG36" s="523">
        <f t="shared" si="154"/>
        <v>0</v>
      </c>
      <c r="EH36" s="521">
        <v>4</v>
      </c>
      <c r="EI36" s="522">
        <f t="shared" si="44"/>
        <v>0.10142502155281707</v>
      </c>
      <c r="EJ36" s="523">
        <f t="shared" si="155"/>
        <v>0</v>
      </c>
      <c r="EK36" s="521">
        <v>40.397369756097419</v>
      </c>
      <c r="EL36" s="522">
        <f t="shared" si="45"/>
        <v>1.0243260245473254</v>
      </c>
      <c r="EM36" s="523">
        <f t="shared" si="156"/>
        <v>0</v>
      </c>
      <c r="EN36" s="521">
        <v>40.276162790697697</v>
      </c>
      <c r="EO36" s="522">
        <f t="shared" si="46"/>
        <v>1.0212526697778208</v>
      </c>
      <c r="EP36" s="523">
        <f t="shared" si="157"/>
        <v>0</v>
      </c>
      <c r="EQ36" s="521">
        <v>71.759999999999991</v>
      </c>
      <c r="ER36" s="522">
        <f t="shared" si="47"/>
        <v>1.819564886657538</v>
      </c>
      <c r="ES36" s="523">
        <f t="shared" si="158"/>
        <v>0</v>
      </c>
      <c r="ET36" s="521"/>
      <c r="EU36" s="522">
        <f t="shared" si="48"/>
        <v>0</v>
      </c>
      <c r="EV36" s="523">
        <f t="shared" si="159"/>
        <v>0</v>
      </c>
      <c r="EW36" s="521"/>
      <c r="EX36" s="522">
        <f t="shared" si="49"/>
        <v>0</v>
      </c>
      <c r="EY36" s="523">
        <f t="shared" si="160"/>
        <v>0</v>
      </c>
      <c r="EZ36" s="521"/>
      <c r="FA36" s="522">
        <f t="shared" si="50"/>
        <v>0</v>
      </c>
      <c r="FB36" s="523">
        <f t="shared" si="161"/>
        <v>0</v>
      </c>
      <c r="FC36" s="521"/>
      <c r="FD36" s="522">
        <f t="shared" si="51"/>
        <v>0</v>
      </c>
      <c r="FE36" s="523">
        <f t="shared" si="162"/>
        <v>0</v>
      </c>
      <c r="FF36" s="521"/>
      <c r="FG36" s="522">
        <f t="shared" si="52"/>
        <v>0</v>
      </c>
      <c r="FH36" s="523">
        <f t="shared" si="163"/>
        <v>0</v>
      </c>
      <c r="FI36" s="521"/>
      <c r="FJ36" s="522">
        <f t="shared" si="53"/>
        <v>0</v>
      </c>
      <c r="FK36" s="523">
        <f t="shared" si="164"/>
        <v>0</v>
      </c>
      <c r="FL36" s="521"/>
      <c r="FM36" s="522">
        <f t="shared" si="54"/>
        <v>0</v>
      </c>
      <c r="FN36" s="523">
        <f t="shared" si="165"/>
        <v>0</v>
      </c>
      <c r="FO36" s="521"/>
      <c r="FP36" s="522">
        <f t="shared" si="55"/>
        <v>0</v>
      </c>
      <c r="FQ36" s="523">
        <f t="shared" si="166"/>
        <v>0</v>
      </c>
      <c r="FR36" s="521"/>
      <c r="FS36" s="522">
        <f t="shared" si="56"/>
        <v>0</v>
      </c>
      <c r="FT36" s="523">
        <f t="shared" si="167"/>
        <v>0</v>
      </c>
      <c r="FU36" s="521"/>
      <c r="FV36" s="522">
        <f t="shared" si="57"/>
        <v>0</v>
      </c>
      <c r="FW36" s="523">
        <f t="shared" si="168"/>
        <v>0</v>
      </c>
      <c r="FX36" s="521"/>
      <c r="FY36" s="522">
        <f t="shared" si="58"/>
        <v>0</v>
      </c>
      <c r="FZ36" s="523">
        <f t="shared" si="169"/>
        <v>0</v>
      </c>
      <c r="GA36" s="521"/>
      <c r="GB36" s="522">
        <f t="shared" si="59"/>
        <v>0</v>
      </c>
      <c r="GC36" s="523">
        <f t="shared" si="170"/>
        <v>0</v>
      </c>
      <c r="GD36" s="521"/>
      <c r="GE36" s="522">
        <f t="shared" si="60"/>
        <v>0</v>
      </c>
      <c r="GF36" s="523">
        <f t="shared" si="171"/>
        <v>0</v>
      </c>
      <c r="GG36" s="521"/>
      <c r="GH36" s="522">
        <f t="shared" si="61"/>
        <v>0</v>
      </c>
      <c r="GI36" s="523">
        <f t="shared" si="172"/>
        <v>0</v>
      </c>
      <c r="GJ36" s="521"/>
      <c r="GK36" s="522">
        <f t="shared" si="62"/>
        <v>0</v>
      </c>
      <c r="GL36" s="523">
        <f t="shared" si="173"/>
        <v>0</v>
      </c>
      <c r="GM36" s="521"/>
      <c r="GN36" s="522">
        <f t="shared" si="63"/>
        <v>0</v>
      </c>
      <c r="GO36" s="523">
        <f t="shared" si="174"/>
        <v>0</v>
      </c>
      <c r="GP36" s="521"/>
      <c r="GQ36" s="522">
        <f t="shared" si="64"/>
        <v>0</v>
      </c>
      <c r="GR36" s="523">
        <f t="shared" si="175"/>
        <v>0</v>
      </c>
      <c r="GS36" s="521"/>
      <c r="GT36" s="522">
        <f t="shared" si="65"/>
        <v>0</v>
      </c>
      <c r="GU36" s="523">
        <f t="shared" si="176"/>
        <v>0</v>
      </c>
      <c r="GV36" s="521"/>
      <c r="GW36" s="522">
        <f t="shared" si="66"/>
        <v>0</v>
      </c>
      <c r="GX36" s="523">
        <f t="shared" si="177"/>
        <v>0</v>
      </c>
      <c r="GY36" s="521"/>
      <c r="GZ36" s="522">
        <f t="shared" si="67"/>
        <v>0</v>
      </c>
      <c r="HA36" s="523">
        <f t="shared" si="178"/>
        <v>0</v>
      </c>
      <c r="HB36" s="521"/>
      <c r="HC36" s="522">
        <f t="shared" si="68"/>
        <v>0</v>
      </c>
      <c r="HD36" s="523">
        <f t="shared" si="179"/>
        <v>0</v>
      </c>
      <c r="HE36" s="521"/>
      <c r="HF36" s="522">
        <f t="shared" si="69"/>
        <v>0</v>
      </c>
      <c r="HG36" s="523">
        <f t="shared" si="180"/>
        <v>0</v>
      </c>
      <c r="HH36" s="521"/>
      <c r="HI36" s="522">
        <f t="shared" si="70"/>
        <v>0</v>
      </c>
      <c r="HJ36" s="523">
        <f t="shared" si="181"/>
        <v>0</v>
      </c>
      <c r="HK36" s="521"/>
      <c r="HL36" s="522">
        <f t="shared" si="71"/>
        <v>0</v>
      </c>
      <c r="HM36" s="523">
        <f t="shared" si="182"/>
        <v>0</v>
      </c>
      <c r="HN36" s="521"/>
      <c r="HO36" s="522">
        <f t="shared" si="72"/>
        <v>0</v>
      </c>
      <c r="HP36" s="523">
        <f t="shared" si="183"/>
        <v>0</v>
      </c>
      <c r="HQ36" s="521"/>
      <c r="HR36" s="522">
        <f t="shared" si="73"/>
        <v>0</v>
      </c>
      <c r="HS36" s="523">
        <f t="shared" si="184"/>
        <v>0</v>
      </c>
      <c r="HT36" s="521"/>
      <c r="HU36" s="522">
        <f t="shared" si="74"/>
        <v>0</v>
      </c>
      <c r="HV36" s="523">
        <f t="shared" si="185"/>
        <v>0</v>
      </c>
      <c r="HW36" s="521"/>
      <c r="HX36" s="522">
        <f t="shared" si="75"/>
        <v>0</v>
      </c>
      <c r="HY36" s="523">
        <f t="shared" si="186"/>
        <v>0</v>
      </c>
      <c r="HZ36" s="521"/>
      <c r="IA36" s="522">
        <f t="shared" si="76"/>
        <v>0</v>
      </c>
      <c r="IB36" s="523">
        <f t="shared" si="187"/>
        <v>0</v>
      </c>
      <c r="IC36" s="521"/>
      <c r="ID36" s="522">
        <f t="shared" si="77"/>
        <v>0</v>
      </c>
      <c r="IE36" s="523">
        <f t="shared" si="188"/>
        <v>0</v>
      </c>
      <c r="IF36" s="521"/>
      <c r="IG36" s="522">
        <f t="shared" si="78"/>
        <v>0</v>
      </c>
      <c r="IH36" s="523">
        <f t="shared" si="189"/>
        <v>0</v>
      </c>
      <c r="II36" s="521"/>
      <c r="IJ36" s="522">
        <f t="shared" si="79"/>
        <v>0</v>
      </c>
      <c r="IK36" s="523">
        <f t="shared" si="190"/>
        <v>0</v>
      </c>
      <c r="IL36" s="521"/>
      <c r="IM36" s="522">
        <f t="shared" si="80"/>
        <v>0</v>
      </c>
      <c r="IN36" s="523">
        <f t="shared" si="191"/>
        <v>0</v>
      </c>
      <c r="IO36" s="521"/>
      <c r="IP36" s="522">
        <f t="shared" si="81"/>
        <v>0</v>
      </c>
      <c r="IQ36" s="523">
        <f t="shared" si="192"/>
        <v>0</v>
      </c>
      <c r="IR36" s="521"/>
      <c r="IS36" s="522">
        <f t="shared" si="82"/>
        <v>0</v>
      </c>
      <c r="IT36" s="523">
        <f t="shared" si="193"/>
        <v>0</v>
      </c>
      <c r="IU36" s="521"/>
      <c r="IV36" s="522">
        <f t="shared" si="83"/>
        <v>0</v>
      </c>
      <c r="IW36" s="523">
        <f t="shared" si="194"/>
        <v>0</v>
      </c>
      <c r="IX36" s="521"/>
      <c r="IY36" s="522">
        <f t="shared" si="84"/>
        <v>0</v>
      </c>
      <c r="IZ36" s="523">
        <f t="shared" si="195"/>
        <v>0</v>
      </c>
      <c r="JA36" s="521"/>
      <c r="JB36" s="522">
        <f t="shared" si="85"/>
        <v>0</v>
      </c>
      <c r="JC36" s="523">
        <f t="shared" si="196"/>
        <v>0</v>
      </c>
      <c r="JD36" s="521"/>
      <c r="JE36" s="522">
        <f t="shared" si="86"/>
        <v>0</v>
      </c>
      <c r="JF36" s="523">
        <f t="shared" si="197"/>
        <v>0</v>
      </c>
      <c r="JG36" s="521"/>
      <c r="JH36" s="522">
        <f t="shared" si="87"/>
        <v>0</v>
      </c>
      <c r="JI36" s="523">
        <f t="shared" si="198"/>
        <v>0</v>
      </c>
      <c r="JJ36" s="521"/>
      <c r="JK36" s="523" t="str">
        <f t="shared" si="88"/>
        <v>0</v>
      </c>
      <c r="JL36" s="523" t="str">
        <f t="shared" si="89"/>
        <v>0</v>
      </c>
      <c r="JM36" s="521"/>
      <c r="JN36" s="523" t="str">
        <f t="shared" si="90"/>
        <v>0</v>
      </c>
      <c r="JO36" s="523" t="str">
        <f t="shared" si="91"/>
        <v>0</v>
      </c>
      <c r="JP36" s="521"/>
      <c r="JQ36" s="523" t="str">
        <f t="shared" si="92"/>
        <v>0</v>
      </c>
      <c r="JR36" s="523" t="str">
        <f t="shared" si="93"/>
        <v>0</v>
      </c>
      <c r="JS36" s="521"/>
      <c r="JT36" s="523" t="str">
        <f t="shared" si="94"/>
        <v>0</v>
      </c>
      <c r="JU36" s="523" t="str">
        <f t="shared" si="95"/>
        <v>0</v>
      </c>
      <c r="JV36" s="521"/>
      <c r="JW36" s="523" t="str">
        <f t="shared" si="96"/>
        <v>0</v>
      </c>
      <c r="JX36" s="523" t="str">
        <f t="shared" si="97"/>
        <v>0</v>
      </c>
      <c r="JY36" s="521"/>
      <c r="JZ36" s="523" t="str">
        <f t="shared" si="98"/>
        <v>0</v>
      </c>
      <c r="KA36" s="523" t="str">
        <f t="shared" si="99"/>
        <v>0</v>
      </c>
      <c r="KB36" s="521"/>
      <c r="KC36" s="523" t="str">
        <f t="shared" si="100"/>
        <v>0</v>
      </c>
      <c r="KD36" s="523" t="str">
        <f t="shared" si="101"/>
        <v>0</v>
      </c>
      <c r="KE36" s="521"/>
      <c r="KF36" s="523" t="str">
        <f t="shared" si="102"/>
        <v>0</v>
      </c>
      <c r="KG36" s="523" t="str">
        <f t="shared" si="103"/>
        <v>0</v>
      </c>
      <c r="KH36" s="521"/>
      <c r="KI36" s="523" t="str">
        <f t="shared" si="104"/>
        <v>0</v>
      </c>
      <c r="KJ36" s="523" t="str">
        <f t="shared" si="105"/>
        <v>0</v>
      </c>
      <c r="KK36" s="521"/>
      <c r="KL36" s="523" t="str">
        <f t="shared" si="106"/>
        <v>0</v>
      </c>
      <c r="KM36" s="523" t="str">
        <f t="shared" si="107"/>
        <v>0</v>
      </c>
      <c r="KN36" s="521"/>
      <c r="KO36" s="523" t="str">
        <f t="shared" si="108"/>
        <v>0</v>
      </c>
      <c r="KP36" s="523" t="str">
        <f t="shared" si="109"/>
        <v>0</v>
      </c>
      <c r="KQ36" s="521"/>
      <c r="KR36" s="523" t="str">
        <f t="shared" si="110"/>
        <v>0</v>
      </c>
      <c r="KS36" s="523" t="str">
        <f t="shared" si="111"/>
        <v>0</v>
      </c>
      <c r="KT36" s="523">
        <f t="shared" si="201"/>
        <v>0</v>
      </c>
      <c r="KU36" s="523">
        <f t="shared" si="202"/>
        <v>0</v>
      </c>
      <c r="KV36" s="261">
        <f t="shared" si="199"/>
        <v>264.14758022121373</v>
      </c>
    </row>
    <row r="37" spans="1:308" ht="15" customHeight="1">
      <c r="A37" s="262">
        <f t="shared" si="200"/>
        <v>46110</v>
      </c>
      <c r="B37" s="263" t="str">
        <f>+Report1!B37</f>
        <v>Toilet</v>
      </c>
      <c r="C37" s="263" t="str">
        <f>+Report1!C37</f>
        <v>13</v>
      </c>
      <c r="D37" s="264">
        <f>+Report1!P37</f>
        <v>39.832999999999998</v>
      </c>
      <c r="E37" s="556">
        <f>+Report1!R37</f>
        <v>38.027999999999999</v>
      </c>
      <c r="F37" s="521"/>
      <c r="G37" s="522">
        <f t="shared" si="0"/>
        <v>0</v>
      </c>
      <c r="H37" s="523">
        <f t="shared" si="112"/>
        <v>0</v>
      </c>
      <c r="I37" s="521"/>
      <c r="J37" s="522">
        <f t="shared" si="1"/>
        <v>0</v>
      </c>
      <c r="K37" s="523">
        <f t="shared" si="113"/>
        <v>0</v>
      </c>
      <c r="L37" s="521"/>
      <c r="M37" s="522">
        <f t="shared" si="2"/>
        <v>0</v>
      </c>
      <c r="N37" s="523">
        <f t="shared" si="114"/>
        <v>0</v>
      </c>
      <c r="O37" s="521">
        <v>4.4080000000000155</v>
      </c>
      <c r="P37" s="522">
        <f t="shared" si="3"/>
        <v>0.11591458925002671</v>
      </c>
      <c r="Q37" s="523">
        <f t="shared" si="115"/>
        <v>0</v>
      </c>
      <c r="R37" s="521"/>
      <c r="S37" s="522">
        <f t="shared" si="4"/>
        <v>0</v>
      </c>
      <c r="T37" s="523">
        <f t="shared" si="116"/>
        <v>0</v>
      </c>
      <c r="U37" s="521">
        <v>6.2830000000000013</v>
      </c>
      <c r="V37" s="522">
        <f t="shared" si="5"/>
        <v>0.16522036394235831</v>
      </c>
      <c r="W37" s="523">
        <f t="shared" si="117"/>
        <v>0</v>
      </c>
      <c r="X37" s="521"/>
      <c r="Y37" s="522">
        <f t="shared" si="6"/>
        <v>0</v>
      </c>
      <c r="Z37" s="523">
        <f t="shared" si="118"/>
        <v>0</v>
      </c>
      <c r="AA37" s="521">
        <v>7.0312499999999929</v>
      </c>
      <c r="AB37" s="522">
        <f t="shared" si="7"/>
        <v>0.1848966550962447</v>
      </c>
      <c r="AC37" s="523">
        <f t="shared" si="119"/>
        <v>0</v>
      </c>
      <c r="AD37" s="521"/>
      <c r="AE37" s="522">
        <f t="shared" si="8"/>
        <v>0</v>
      </c>
      <c r="AF37" s="523">
        <f t="shared" si="120"/>
        <v>0</v>
      </c>
      <c r="AG37" s="521"/>
      <c r="AH37" s="522">
        <f t="shared" si="9"/>
        <v>0</v>
      </c>
      <c r="AI37" s="523">
        <f t="shared" si="121"/>
        <v>0</v>
      </c>
      <c r="AJ37" s="521"/>
      <c r="AK37" s="522">
        <f t="shared" si="10"/>
        <v>0</v>
      </c>
      <c r="AL37" s="523">
        <f t="shared" si="122"/>
        <v>0</v>
      </c>
      <c r="AM37" s="521"/>
      <c r="AN37" s="522">
        <f t="shared" si="11"/>
        <v>0</v>
      </c>
      <c r="AO37" s="523">
        <f t="shared" si="123"/>
        <v>0</v>
      </c>
      <c r="AP37" s="521"/>
      <c r="AQ37" s="522">
        <f t="shared" si="12"/>
        <v>0</v>
      </c>
      <c r="AR37" s="523">
        <f t="shared" si="124"/>
        <v>0</v>
      </c>
      <c r="AS37" s="521"/>
      <c r="AT37" s="522">
        <f t="shared" si="13"/>
        <v>0</v>
      </c>
      <c r="AU37" s="523">
        <f t="shared" si="125"/>
        <v>0</v>
      </c>
      <c r="AV37" s="521"/>
      <c r="AW37" s="522">
        <f t="shared" si="14"/>
        <v>0</v>
      </c>
      <c r="AX37" s="523">
        <f t="shared" si="126"/>
        <v>0</v>
      </c>
      <c r="AY37" s="521"/>
      <c r="AZ37" s="522">
        <f t="shared" si="15"/>
        <v>0</v>
      </c>
      <c r="BA37" s="523">
        <f t="shared" si="127"/>
        <v>0</v>
      </c>
      <c r="BB37" s="521"/>
      <c r="BC37" s="522">
        <f t="shared" si="16"/>
        <v>0</v>
      </c>
      <c r="BD37" s="523">
        <f t="shared" si="128"/>
        <v>0</v>
      </c>
      <c r="BE37" s="521"/>
      <c r="BF37" s="522">
        <f t="shared" si="17"/>
        <v>0</v>
      </c>
      <c r="BG37" s="523">
        <f t="shared" si="129"/>
        <v>0</v>
      </c>
      <c r="BH37" s="521"/>
      <c r="BI37" s="522">
        <f t="shared" si="18"/>
        <v>0</v>
      </c>
      <c r="BJ37" s="523">
        <f t="shared" si="130"/>
        <v>0</v>
      </c>
      <c r="BK37" s="521"/>
      <c r="BL37" s="522">
        <f t="shared" si="19"/>
        <v>0</v>
      </c>
      <c r="BM37" s="523">
        <f t="shared" si="131"/>
        <v>0</v>
      </c>
      <c r="BN37" s="521"/>
      <c r="BO37" s="522">
        <f t="shared" si="20"/>
        <v>0</v>
      </c>
      <c r="BP37" s="523">
        <f t="shared" si="132"/>
        <v>0</v>
      </c>
      <c r="BQ37" s="521"/>
      <c r="BR37" s="522">
        <f t="shared" si="21"/>
        <v>0</v>
      </c>
      <c r="BS37" s="523">
        <f t="shared" si="133"/>
        <v>0</v>
      </c>
      <c r="BT37" s="521"/>
      <c r="BU37" s="522">
        <f t="shared" si="22"/>
        <v>0</v>
      </c>
      <c r="BV37" s="523">
        <f t="shared" si="134"/>
        <v>0</v>
      </c>
      <c r="BW37" s="521"/>
      <c r="BX37" s="522">
        <f t="shared" si="23"/>
        <v>0</v>
      </c>
      <c r="BY37" s="523">
        <f t="shared" si="135"/>
        <v>0</v>
      </c>
      <c r="BZ37" s="521"/>
      <c r="CA37" s="522">
        <f t="shared" si="24"/>
        <v>0</v>
      </c>
      <c r="CB37" s="523">
        <f t="shared" si="136"/>
        <v>0</v>
      </c>
      <c r="CC37" s="521"/>
      <c r="CD37" s="522">
        <f t="shared" si="25"/>
        <v>0</v>
      </c>
      <c r="CE37" s="523">
        <f t="shared" si="137"/>
        <v>0</v>
      </c>
      <c r="CF37" s="521">
        <v>1</v>
      </c>
      <c r="CG37" s="522">
        <f t="shared" si="26"/>
        <v>2.6296413169243717E-2</v>
      </c>
      <c r="CH37" s="523">
        <f t="shared" si="138"/>
        <v>0</v>
      </c>
      <c r="CI37" s="521"/>
      <c r="CJ37" s="522">
        <f t="shared" si="27"/>
        <v>0</v>
      </c>
      <c r="CK37" s="523">
        <f t="shared" si="139"/>
        <v>0</v>
      </c>
      <c r="CL37" s="521"/>
      <c r="CM37" s="522">
        <f t="shared" si="28"/>
        <v>0</v>
      </c>
      <c r="CN37" s="523">
        <f t="shared" si="140"/>
        <v>0</v>
      </c>
      <c r="CO37" s="521"/>
      <c r="CP37" s="522">
        <f t="shared" si="29"/>
        <v>0</v>
      </c>
      <c r="CQ37" s="523">
        <f t="shared" si="141"/>
        <v>0</v>
      </c>
      <c r="CR37" s="521"/>
      <c r="CS37" s="522">
        <f t="shared" si="30"/>
        <v>0</v>
      </c>
      <c r="CT37" s="523">
        <f t="shared" si="142"/>
        <v>0</v>
      </c>
      <c r="CU37" s="521"/>
      <c r="CV37" s="522">
        <f t="shared" si="31"/>
        <v>0</v>
      </c>
      <c r="CW37" s="523">
        <f t="shared" si="143"/>
        <v>0</v>
      </c>
      <c r="CX37" s="521"/>
      <c r="CY37" s="522">
        <f t="shared" si="32"/>
        <v>0</v>
      </c>
      <c r="CZ37" s="523">
        <f t="shared" si="144"/>
        <v>0</v>
      </c>
      <c r="DA37" s="521">
        <v>71.316000000000031</v>
      </c>
      <c r="DB37" s="522">
        <f t="shared" si="33"/>
        <v>1.8753550015777856</v>
      </c>
      <c r="DC37" s="523">
        <f t="shared" si="145"/>
        <v>0</v>
      </c>
      <c r="DD37" s="521"/>
      <c r="DE37" s="522">
        <f t="shared" si="34"/>
        <v>0</v>
      </c>
      <c r="DF37" s="523">
        <f t="shared" si="146"/>
        <v>0</v>
      </c>
      <c r="DG37" s="521"/>
      <c r="DH37" s="522">
        <f t="shared" si="35"/>
        <v>0</v>
      </c>
      <c r="DI37" s="523">
        <f t="shared" si="203"/>
        <v>0</v>
      </c>
      <c r="DJ37" s="521"/>
      <c r="DK37" s="522">
        <f t="shared" si="36"/>
        <v>0</v>
      </c>
      <c r="DL37" s="523">
        <f t="shared" si="147"/>
        <v>0</v>
      </c>
      <c r="DM37" s="521"/>
      <c r="DN37" s="522">
        <f t="shared" si="37"/>
        <v>0</v>
      </c>
      <c r="DO37" s="523">
        <f t="shared" si="148"/>
        <v>0</v>
      </c>
      <c r="DP37" s="521"/>
      <c r="DQ37" s="522">
        <f t="shared" si="38"/>
        <v>0</v>
      </c>
      <c r="DR37" s="523">
        <f t="shared" si="149"/>
        <v>0</v>
      </c>
      <c r="DS37" s="521"/>
      <c r="DT37" s="522">
        <f t="shared" si="39"/>
        <v>0</v>
      </c>
      <c r="DU37" s="523">
        <f t="shared" si="150"/>
        <v>0</v>
      </c>
      <c r="DV37" s="521"/>
      <c r="DW37" s="522">
        <f t="shared" si="40"/>
        <v>0</v>
      </c>
      <c r="DX37" s="523">
        <f t="shared" si="151"/>
        <v>0</v>
      </c>
      <c r="DY37" s="521"/>
      <c r="DZ37" s="522">
        <f t="shared" si="41"/>
        <v>0</v>
      </c>
      <c r="EA37" s="523">
        <f t="shared" si="152"/>
        <v>0</v>
      </c>
      <c r="EB37" s="521"/>
      <c r="EC37" s="522">
        <f t="shared" si="42"/>
        <v>0</v>
      </c>
      <c r="ED37" s="523">
        <f t="shared" si="153"/>
        <v>0</v>
      </c>
      <c r="EE37" s="521">
        <v>14.534883720930253</v>
      </c>
      <c r="EF37" s="522">
        <f t="shared" si="43"/>
        <v>0.3822153076924964</v>
      </c>
      <c r="EG37" s="523">
        <f t="shared" si="154"/>
        <v>0</v>
      </c>
      <c r="EH37" s="521">
        <v>4</v>
      </c>
      <c r="EI37" s="522">
        <f t="shared" si="44"/>
        <v>0.10518565267697487</v>
      </c>
      <c r="EJ37" s="523">
        <f t="shared" si="155"/>
        <v>0</v>
      </c>
      <c r="EK37" s="521">
        <v>44.965200000000038</v>
      </c>
      <c r="EL37" s="522">
        <f t="shared" si="45"/>
        <v>1.1824234774376785</v>
      </c>
      <c r="EM37" s="523">
        <f t="shared" si="156"/>
        <v>0</v>
      </c>
      <c r="EN37" s="521">
        <v>38.793999999999983</v>
      </c>
      <c r="EO37" s="522">
        <f t="shared" si="46"/>
        <v>1.0201430524876403</v>
      </c>
      <c r="EP37" s="523">
        <f t="shared" si="157"/>
        <v>0</v>
      </c>
      <c r="EQ37" s="521">
        <v>69.13</v>
      </c>
      <c r="ER37" s="522">
        <f t="shared" si="47"/>
        <v>1.8178710423898179</v>
      </c>
      <c r="ES37" s="523">
        <f t="shared" si="158"/>
        <v>0</v>
      </c>
      <c r="ET37" s="521"/>
      <c r="EU37" s="522">
        <f t="shared" si="48"/>
        <v>0</v>
      </c>
      <c r="EV37" s="523">
        <f t="shared" si="159"/>
        <v>0</v>
      </c>
      <c r="EW37" s="521"/>
      <c r="EX37" s="522">
        <f t="shared" si="49"/>
        <v>0</v>
      </c>
      <c r="EY37" s="523">
        <f t="shared" si="160"/>
        <v>0</v>
      </c>
      <c r="EZ37" s="521"/>
      <c r="FA37" s="522">
        <f t="shared" si="50"/>
        <v>0</v>
      </c>
      <c r="FB37" s="523">
        <f t="shared" si="161"/>
        <v>0</v>
      </c>
      <c r="FC37" s="521"/>
      <c r="FD37" s="522">
        <f t="shared" si="51"/>
        <v>0</v>
      </c>
      <c r="FE37" s="523">
        <f t="shared" si="162"/>
        <v>0</v>
      </c>
      <c r="FF37" s="521"/>
      <c r="FG37" s="522">
        <f t="shared" si="52"/>
        <v>0</v>
      </c>
      <c r="FH37" s="523">
        <f t="shared" si="163"/>
        <v>0</v>
      </c>
      <c r="FI37" s="521"/>
      <c r="FJ37" s="522">
        <f t="shared" si="53"/>
        <v>0</v>
      </c>
      <c r="FK37" s="523">
        <f t="shared" si="164"/>
        <v>0</v>
      </c>
      <c r="FL37" s="521"/>
      <c r="FM37" s="522">
        <f t="shared" si="54"/>
        <v>0</v>
      </c>
      <c r="FN37" s="523">
        <f t="shared" si="165"/>
        <v>0</v>
      </c>
      <c r="FO37" s="521"/>
      <c r="FP37" s="522">
        <f t="shared" si="55"/>
        <v>0</v>
      </c>
      <c r="FQ37" s="523">
        <f t="shared" si="166"/>
        <v>0</v>
      </c>
      <c r="FR37" s="521"/>
      <c r="FS37" s="522">
        <f t="shared" si="56"/>
        <v>0</v>
      </c>
      <c r="FT37" s="523">
        <f t="shared" si="167"/>
        <v>0</v>
      </c>
      <c r="FU37" s="521"/>
      <c r="FV37" s="522">
        <f t="shared" si="57"/>
        <v>0</v>
      </c>
      <c r="FW37" s="523">
        <f t="shared" si="168"/>
        <v>0</v>
      </c>
      <c r="FX37" s="521"/>
      <c r="FY37" s="522">
        <f t="shared" si="58"/>
        <v>0</v>
      </c>
      <c r="FZ37" s="523">
        <f t="shared" si="169"/>
        <v>0</v>
      </c>
      <c r="GA37" s="521"/>
      <c r="GB37" s="522">
        <f t="shared" si="59"/>
        <v>0</v>
      </c>
      <c r="GC37" s="523">
        <f t="shared" si="170"/>
        <v>0</v>
      </c>
      <c r="GD37" s="521"/>
      <c r="GE37" s="522">
        <f t="shared" si="60"/>
        <v>0</v>
      </c>
      <c r="GF37" s="523">
        <f t="shared" si="171"/>
        <v>0</v>
      </c>
      <c r="GG37" s="521"/>
      <c r="GH37" s="522">
        <f t="shared" si="61"/>
        <v>0</v>
      </c>
      <c r="GI37" s="523">
        <f t="shared" si="172"/>
        <v>0</v>
      </c>
      <c r="GJ37" s="521"/>
      <c r="GK37" s="522">
        <f t="shared" si="62"/>
        <v>0</v>
      </c>
      <c r="GL37" s="523">
        <f t="shared" si="173"/>
        <v>0</v>
      </c>
      <c r="GM37" s="521"/>
      <c r="GN37" s="522">
        <f t="shared" si="63"/>
        <v>0</v>
      </c>
      <c r="GO37" s="523">
        <f t="shared" si="174"/>
        <v>0</v>
      </c>
      <c r="GP37" s="521"/>
      <c r="GQ37" s="522">
        <f t="shared" si="64"/>
        <v>0</v>
      </c>
      <c r="GR37" s="523">
        <f t="shared" si="175"/>
        <v>0</v>
      </c>
      <c r="GS37" s="521"/>
      <c r="GT37" s="522">
        <f t="shared" si="65"/>
        <v>0</v>
      </c>
      <c r="GU37" s="523">
        <f t="shared" si="176"/>
        <v>0</v>
      </c>
      <c r="GV37" s="521"/>
      <c r="GW37" s="522">
        <f t="shared" si="66"/>
        <v>0</v>
      </c>
      <c r="GX37" s="523">
        <f t="shared" si="177"/>
        <v>0</v>
      </c>
      <c r="GY37" s="521"/>
      <c r="GZ37" s="522">
        <f t="shared" si="67"/>
        <v>0</v>
      </c>
      <c r="HA37" s="523">
        <f t="shared" si="178"/>
        <v>0</v>
      </c>
      <c r="HB37" s="521"/>
      <c r="HC37" s="522">
        <f t="shared" si="68"/>
        <v>0</v>
      </c>
      <c r="HD37" s="523">
        <f t="shared" si="179"/>
        <v>0</v>
      </c>
      <c r="HE37" s="521"/>
      <c r="HF37" s="522">
        <f t="shared" si="69"/>
        <v>0</v>
      </c>
      <c r="HG37" s="523">
        <f t="shared" si="180"/>
        <v>0</v>
      </c>
      <c r="HH37" s="521"/>
      <c r="HI37" s="522">
        <f t="shared" si="70"/>
        <v>0</v>
      </c>
      <c r="HJ37" s="523">
        <f t="shared" si="181"/>
        <v>0</v>
      </c>
      <c r="HK37" s="521"/>
      <c r="HL37" s="522">
        <f t="shared" si="71"/>
        <v>0</v>
      </c>
      <c r="HM37" s="523">
        <f t="shared" si="182"/>
        <v>0</v>
      </c>
      <c r="HN37" s="521"/>
      <c r="HO37" s="522">
        <f t="shared" si="72"/>
        <v>0</v>
      </c>
      <c r="HP37" s="523">
        <f t="shared" si="183"/>
        <v>0</v>
      </c>
      <c r="HQ37" s="521"/>
      <c r="HR37" s="522">
        <f t="shared" si="73"/>
        <v>0</v>
      </c>
      <c r="HS37" s="523">
        <f t="shared" si="184"/>
        <v>0</v>
      </c>
      <c r="HT37" s="521"/>
      <c r="HU37" s="522">
        <f t="shared" si="74"/>
        <v>0</v>
      </c>
      <c r="HV37" s="523">
        <f t="shared" si="185"/>
        <v>0</v>
      </c>
      <c r="HW37" s="521"/>
      <c r="HX37" s="522">
        <f t="shared" si="75"/>
        <v>0</v>
      </c>
      <c r="HY37" s="523">
        <f t="shared" si="186"/>
        <v>0</v>
      </c>
      <c r="HZ37" s="521"/>
      <c r="IA37" s="522">
        <f t="shared" si="76"/>
        <v>0</v>
      </c>
      <c r="IB37" s="523">
        <f t="shared" si="187"/>
        <v>0</v>
      </c>
      <c r="IC37" s="521"/>
      <c r="ID37" s="522">
        <f t="shared" si="77"/>
        <v>0</v>
      </c>
      <c r="IE37" s="523">
        <f t="shared" si="188"/>
        <v>0</v>
      </c>
      <c r="IF37" s="521"/>
      <c r="IG37" s="522">
        <f t="shared" si="78"/>
        <v>0</v>
      </c>
      <c r="IH37" s="523">
        <f t="shared" si="189"/>
        <v>0</v>
      </c>
      <c r="II37" s="521"/>
      <c r="IJ37" s="522">
        <f t="shared" si="79"/>
        <v>0</v>
      </c>
      <c r="IK37" s="523">
        <f t="shared" si="190"/>
        <v>0</v>
      </c>
      <c r="IL37" s="521"/>
      <c r="IM37" s="522">
        <f t="shared" si="80"/>
        <v>0</v>
      </c>
      <c r="IN37" s="523">
        <f t="shared" si="191"/>
        <v>0</v>
      </c>
      <c r="IO37" s="521"/>
      <c r="IP37" s="522">
        <f t="shared" si="81"/>
        <v>0</v>
      </c>
      <c r="IQ37" s="523">
        <f t="shared" si="192"/>
        <v>0</v>
      </c>
      <c r="IR37" s="521"/>
      <c r="IS37" s="522">
        <f t="shared" si="82"/>
        <v>0</v>
      </c>
      <c r="IT37" s="523">
        <f t="shared" si="193"/>
        <v>0</v>
      </c>
      <c r="IU37" s="521"/>
      <c r="IV37" s="522">
        <f t="shared" si="83"/>
        <v>0</v>
      </c>
      <c r="IW37" s="523">
        <f t="shared" si="194"/>
        <v>0</v>
      </c>
      <c r="IX37" s="521"/>
      <c r="IY37" s="522">
        <f t="shared" si="84"/>
        <v>0</v>
      </c>
      <c r="IZ37" s="523">
        <f t="shared" si="195"/>
        <v>0</v>
      </c>
      <c r="JA37" s="521"/>
      <c r="JB37" s="522">
        <f t="shared" si="85"/>
        <v>0</v>
      </c>
      <c r="JC37" s="523">
        <f t="shared" si="196"/>
        <v>0</v>
      </c>
      <c r="JD37" s="521"/>
      <c r="JE37" s="522">
        <f t="shared" si="86"/>
        <v>0</v>
      </c>
      <c r="JF37" s="523">
        <f t="shared" si="197"/>
        <v>0</v>
      </c>
      <c r="JG37" s="521"/>
      <c r="JH37" s="522">
        <f t="shared" si="87"/>
        <v>0</v>
      </c>
      <c r="JI37" s="523">
        <f t="shared" si="198"/>
        <v>0</v>
      </c>
      <c r="JJ37" s="521"/>
      <c r="JK37" s="523" t="str">
        <f t="shared" si="88"/>
        <v>0</v>
      </c>
      <c r="JL37" s="523" t="str">
        <f t="shared" si="89"/>
        <v>0</v>
      </c>
      <c r="JM37" s="521"/>
      <c r="JN37" s="523" t="str">
        <f t="shared" si="90"/>
        <v>0</v>
      </c>
      <c r="JO37" s="523" t="str">
        <f t="shared" si="91"/>
        <v>0</v>
      </c>
      <c r="JP37" s="521"/>
      <c r="JQ37" s="523" t="str">
        <f t="shared" si="92"/>
        <v>0</v>
      </c>
      <c r="JR37" s="523" t="str">
        <f t="shared" si="93"/>
        <v>0</v>
      </c>
      <c r="JS37" s="521"/>
      <c r="JT37" s="523" t="str">
        <f t="shared" si="94"/>
        <v>0</v>
      </c>
      <c r="JU37" s="523" t="str">
        <f t="shared" si="95"/>
        <v>0</v>
      </c>
      <c r="JV37" s="521"/>
      <c r="JW37" s="523" t="str">
        <f t="shared" si="96"/>
        <v>0</v>
      </c>
      <c r="JX37" s="523" t="str">
        <f t="shared" si="97"/>
        <v>0</v>
      </c>
      <c r="JY37" s="521"/>
      <c r="JZ37" s="523" t="str">
        <f t="shared" si="98"/>
        <v>0</v>
      </c>
      <c r="KA37" s="523" t="str">
        <f t="shared" si="99"/>
        <v>0</v>
      </c>
      <c r="KB37" s="521"/>
      <c r="KC37" s="523" t="str">
        <f t="shared" si="100"/>
        <v>0</v>
      </c>
      <c r="KD37" s="523" t="str">
        <f t="shared" si="101"/>
        <v>0</v>
      </c>
      <c r="KE37" s="521"/>
      <c r="KF37" s="523" t="str">
        <f t="shared" si="102"/>
        <v>0</v>
      </c>
      <c r="KG37" s="523" t="str">
        <f t="shared" si="103"/>
        <v>0</v>
      </c>
      <c r="KH37" s="521"/>
      <c r="KI37" s="523" t="str">
        <f t="shared" si="104"/>
        <v>0</v>
      </c>
      <c r="KJ37" s="523" t="str">
        <f t="shared" si="105"/>
        <v>0</v>
      </c>
      <c r="KK37" s="521"/>
      <c r="KL37" s="523" t="str">
        <f t="shared" si="106"/>
        <v>0</v>
      </c>
      <c r="KM37" s="523" t="str">
        <f t="shared" si="107"/>
        <v>0</v>
      </c>
      <c r="KN37" s="521"/>
      <c r="KO37" s="523" t="str">
        <f t="shared" si="108"/>
        <v>0</v>
      </c>
      <c r="KP37" s="523" t="str">
        <f t="shared" si="109"/>
        <v>0</v>
      </c>
      <c r="KQ37" s="521"/>
      <c r="KR37" s="523" t="str">
        <f t="shared" si="110"/>
        <v>0</v>
      </c>
      <c r="KS37" s="523" t="str">
        <f t="shared" si="111"/>
        <v>0</v>
      </c>
      <c r="KT37" s="523">
        <f t="shared" si="201"/>
        <v>0</v>
      </c>
      <c r="KU37" s="523">
        <f t="shared" si="202"/>
        <v>0</v>
      </c>
      <c r="KV37" s="261">
        <f t="shared" si="199"/>
        <v>261.4623337209303</v>
      </c>
    </row>
    <row r="38" spans="1:308" ht="15" customHeight="1">
      <c r="A38" s="262">
        <f t="shared" si="200"/>
        <v>46111</v>
      </c>
      <c r="B38" s="263" t="str">
        <f>+Report1!B38</f>
        <v>Toilet/Facial</v>
      </c>
      <c r="C38" s="263" t="str">
        <f>+Report1!C38</f>
        <v>13/11,5</v>
      </c>
      <c r="D38" s="264">
        <f>+Report1!P38</f>
        <v>37.869</v>
      </c>
      <c r="E38" s="556">
        <f>+Report1!R38</f>
        <v>35.036999999999999</v>
      </c>
      <c r="F38" s="521"/>
      <c r="G38" s="522">
        <f t="shared" si="0"/>
        <v>0</v>
      </c>
      <c r="H38" s="523">
        <f t="shared" si="112"/>
        <v>0</v>
      </c>
      <c r="I38" s="521">
        <v>220.93023255813955</v>
      </c>
      <c r="J38" s="522">
        <f t="shared" si="1"/>
        <v>6.3056264108839102</v>
      </c>
      <c r="K38" s="523">
        <f t="shared" si="113"/>
        <v>0</v>
      </c>
      <c r="L38" s="521"/>
      <c r="M38" s="522">
        <f t="shared" si="2"/>
        <v>0</v>
      </c>
      <c r="N38" s="523">
        <f t="shared" si="114"/>
        <v>0</v>
      </c>
      <c r="O38" s="521">
        <v>6.0051999999999737</v>
      </c>
      <c r="P38" s="522">
        <f t="shared" si="3"/>
        <v>0.17139595284984371</v>
      </c>
      <c r="Q38" s="523">
        <f t="shared" si="115"/>
        <v>0</v>
      </c>
      <c r="R38" s="521"/>
      <c r="S38" s="522">
        <f t="shared" si="4"/>
        <v>0</v>
      </c>
      <c r="T38" s="523">
        <f t="shared" si="116"/>
        <v>0</v>
      </c>
      <c r="U38" s="521">
        <v>7.6916999999999973</v>
      </c>
      <c r="V38" s="522">
        <f t="shared" si="5"/>
        <v>0.21953078174501234</v>
      </c>
      <c r="W38" s="523">
        <f t="shared" si="117"/>
        <v>0</v>
      </c>
      <c r="X38" s="521"/>
      <c r="Y38" s="522">
        <f t="shared" si="6"/>
        <v>0</v>
      </c>
      <c r="Z38" s="523">
        <f t="shared" si="118"/>
        <v>0</v>
      </c>
      <c r="AA38" s="521">
        <v>10.937500000000007</v>
      </c>
      <c r="AB38" s="522">
        <f t="shared" si="7"/>
        <v>0.31216999172303583</v>
      </c>
      <c r="AC38" s="523">
        <f t="shared" si="119"/>
        <v>0</v>
      </c>
      <c r="AD38" s="521"/>
      <c r="AE38" s="522">
        <f t="shared" si="8"/>
        <v>0</v>
      </c>
      <c r="AF38" s="523">
        <f t="shared" si="120"/>
        <v>0</v>
      </c>
      <c r="AG38" s="521"/>
      <c r="AH38" s="522">
        <f t="shared" si="9"/>
        <v>0</v>
      </c>
      <c r="AI38" s="523">
        <f t="shared" si="121"/>
        <v>0</v>
      </c>
      <c r="AJ38" s="521"/>
      <c r="AK38" s="522">
        <f t="shared" si="10"/>
        <v>0</v>
      </c>
      <c r="AL38" s="523">
        <f t="shared" si="122"/>
        <v>0</v>
      </c>
      <c r="AM38" s="521"/>
      <c r="AN38" s="522">
        <f t="shared" si="11"/>
        <v>0</v>
      </c>
      <c r="AO38" s="523">
        <f t="shared" si="123"/>
        <v>0</v>
      </c>
      <c r="AP38" s="521"/>
      <c r="AQ38" s="522">
        <f t="shared" si="12"/>
        <v>0</v>
      </c>
      <c r="AR38" s="523">
        <f t="shared" si="124"/>
        <v>0</v>
      </c>
      <c r="AS38" s="521"/>
      <c r="AT38" s="522">
        <f t="shared" si="13"/>
        <v>0</v>
      </c>
      <c r="AU38" s="523">
        <f t="shared" si="125"/>
        <v>0</v>
      </c>
      <c r="AV38" s="521"/>
      <c r="AW38" s="522">
        <f t="shared" si="14"/>
        <v>0</v>
      </c>
      <c r="AX38" s="523">
        <f t="shared" si="126"/>
        <v>0</v>
      </c>
      <c r="AY38" s="521"/>
      <c r="AZ38" s="522">
        <f t="shared" si="15"/>
        <v>0</v>
      </c>
      <c r="BA38" s="523">
        <f t="shared" si="127"/>
        <v>0</v>
      </c>
      <c r="BB38" s="521"/>
      <c r="BC38" s="522">
        <f t="shared" si="16"/>
        <v>0</v>
      </c>
      <c r="BD38" s="523">
        <f t="shared" si="128"/>
        <v>0</v>
      </c>
      <c r="BE38" s="521"/>
      <c r="BF38" s="522">
        <f t="shared" si="17"/>
        <v>0</v>
      </c>
      <c r="BG38" s="523">
        <f t="shared" si="129"/>
        <v>0</v>
      </c>
      <c r="BH38" s="521"/>
      <c r="BI38" s="522">
        <f t="shared" si="18"/>
        <v>0</v>
      </c>
      <c r="BJ38" s="523">
        <f t="shared" si="130"/>
        <v>0</v>
      </c>
      <c r="BK38" s="521"/>
      <c r="BL38" s="522">
        <f t="shared" si="19"/>
        <v>0</v>
      </c>
      <c r="BM38" s="523">
        <f t="shared" si="131"/>
        <v>0</v>
      </c>
      <c r="BN38" s="521"/>
      <c r="BO38" s="522">
        <f t="shared" si="20"/>
        <v>0</v>
      </c>
      <c r="BP38" s="523">
        <f t="shared" si="132"/>
        <v>0</v>
      </c>
      <c r="BQ38" s="521">
        <v>70.886075949367068</v>
      </c>
      <c r="BR38" s="522">
        <f t="shared" si="21"/>
        <v>2.0231776678758759</v>
      </c>
      <c r="BS38" s="523">
        <f t="shared" si="133"/>
        <v>0</v>
      </c>
      <c r="BT38" s="521"/>
      <c r="BU38" s="522">
        <f t="shared" si="22"/>
        <v>0</v>
      </c>
      <c r="BV38" s="523">
        <f t="shared" si="134"/>
        <v>0</v>
      </c>
      <c r="BW38" s="521"/>
      <c r="BX38" s="522">
        <f t="shared" si="23"/>
        <v>0</v>
      </c>
      <c r="BY38" s="523">
        <f t="shared" si="135"/>
        <v>0</v>
      </c>
      <c r="BZ38" s="521"/>
      <c r="CA38" s="522">
        <f t="shared" si="24"/>
        <v>0</v>
      </c>
      <c r="CB38" s="523">
        <f t="shared" si="136"/>
        <v>0</v>
      </c>
      <c r="CC38" s="521"/>
      <c r="CD38" s="522">
        <f t="shared" si="25"/>
        <v>0</v>
      </c>
      <c r="CE38" s="523">
        <f t="shared" si="137"/>
        <v>0</v>
      </c>
      <c r="CF38" s="521">
        <v>0.5</v>
      </c>
      <c r="CG38" s="522">
        <f t="shared" si="26"/>
        <v>1.4270628193053058E-2</v>
      </c>
      <c r="CH38" s="523">
        <f t="shared" si="138"/>
        <v>0</v>
      </c>
      <c r="CI38" s="521"/>
      <c r="CJ38" s="522">
        <f t="shared" si="27"/>
        <v>0</v>
      </c>
      <c r="CK38" s="523">
        <f t="shared" si="139"/>
        <v>0</v>
      </c>
      <c r="CL38" s="521"/>
      <c r="CM38" s="522">
        <f t="shared" si="28"/>
        <v>0</v>
      </c>
      <c r="CN38" s="523">
        <f t="shared" si="140"/>
        <v>0</v>
      </c>
      <c r="CO38" s="521"/>
      <c r="CP38" s="522">
        <f t="shared" si="29"/>
        <v>0</v>
      </c>
      <c r="CQ38" s="523">
        <f t="shared" si="141"/>
        <v>0</v>
      </c>
      <c r="CR38" s="521"/>
      <c r="CS38" s="522">
        <f t="shared" si="30"/>
        <v>0</v>
      </c>
      <c r="CT38" s="523">
        <f t="shared" si="142"/>
        <v>0</v>
      </c>
      <c r="CU38" s="521"/>
      <c r="CV38" s="522">
        <f t="shared" si="31"/>
        <v>0</v>
      </c>
      <c r="CW38" s="523">
        <f t="shared" si="143"/>
        <v>0</v>
      </c>
      <c r="CX38" s="521"/>
      <c r="CY38" s="522">
        <f t="shared" si="32"/>
        <v>0</v>
      </c>
      <c r="CZ38" s="523">
        <f t="shared" si="144"/>
        <v>0</v>
      </c>
      <c r="DA38" s="521"/>
      <c r="DB38" s="522">
        <f t="shared" si="33"/>
        <v>0</v>
      </c>
      <c r="DC38" s="523">
        <f t="shared" si="145"/>
        <v>0</v>
      </c>
      <c r="DD38" s="521"/>
      <c r="DE38" s="522">
        <f t="shared" si="34"/>
        <v>0</v>
      </c>
      <c r="DF38" s="523">
        <f t="shared" si="146"/>
        <v>0</v>
      </c>
      <c r="DG38" s="521"/>
      <c r="DH38" s="522">
        <f t="shared" si="35"/>
        <v>0</v>
      </c>
      <c r="DI38" s="523">
        <f t="shared" si="203"/>
        <v>0</v>
      </c>
      <c r="DJ38" s="521"/>
      <c r="DK38" s="522">
        <f t="shared" si="36"/>
        <v>0</v>
      </c>
      <c r="DL38" s="523">
        <f t="shared" si="147"/>
        <v>0</v>
      </c>
      <c r="DM38" s="521"/>
      <c r="DN38" s="522">
        <f t="shared" si="37"/>
        <v>0</v>
      </c>
      <c r="DO38" s="523">
        <f t="shared" si="148"/>
        <v>0</v>
      </c>
      <c r="DP38" s="521"/>
      <c r="DQ38" s="522">
        <f t="shared" si="38"/>
        <v>0</v>
      </c>
      <c r="DR38" s="523">
        <f t="shared" si="149"/>
        <v>0</v>
      </c>
      <c r="DS38" s="521"/>
      <c r="DT38" s="522">
        <f t="shared" si="39"/>
        <v>0</v>
      </c>
      <c r="DU38" s="523">
        <f t="shared" si="150"/>
        <v>0</v>
      </c>
      <c r="DV38" s="521"/>
      <c r="DW38" s="522">
        <f t="shared" si="40"/>
        <v>0</v>
      </c>
      <c r="DX38" s="523">
        <f t="shared" si="151"/>
        <v>0</v>
      </c>
      <c r="DY38" s="521"/>
      <c r="DZ38" s="522">
        <f t="shared" si="41"/>
        <v>0</v>
      </c>
      <c r="EA38" s="523">
        <f t="shared" si="152"/>
        <v>0</v>
      </c>
      <c r="EB38" s="521"/>
      <c r="EC38" s="522">
        <f t="shared" si="42"/>
        <v>0</v>
      </c>
      <c r="ED38" s="523">
        <f t="shared" si="153"/>
        <v>0</v>
      </c>
      <c r="EE38" s="521">
        <v>21.802325581395337</v>
      </c>
      <c r="EF38" s="522">
        <f t="shared" si="43"/>
        <v>0.62226576423196445</v>
      </c>
      <c r="EG38" s="523">
        <f t="shared" si="154"/>
        <v>0</v>
      </c>
      <c r="EH38" s="521">
        <v>4.5</v>
      </c>
      <c r="EI38" s="522">
        <f t="shared" si="44"/>
        <v>0.12843565373747753</v>
      </c>
      <c r="EJ38" s="523">
        <f t="shared" si="155"/>
        <v>0</v>
      </c>
      <c r="EK38" s="521">
        <v>36.588649756097595</v>
      </c>
      <c r="EL38" s="522">
        <f t="shared" si="45"/>
        <v>1.0442860335102204</v>
      </c>
      <c r="EM38" s="523">
        <f t="shared" si="156"/>
        <v>0</v>
      </c>
      <c r="EN38" s="521">
        <v>44.476348837209343</v>
      </c>
      <c r="EO38" s="522">
        <f t="shared" si="46"/>
        <v>1.2694108752806845</v>
      </c>
      <c r="EP38" s="523">
        <f t="shared" si="157"/>
        <v>0</v>
      </c>
      <c r="EQ38" s="521">
        <v>58.710000000000036</v>
      </c>
      <c r="ER38" s="522">
        <f t="shared" si="47"/>
        <v>1.6756571624282912</v>
      </c>
      <c r="ES38" s="523">
        <f t="shared" si="158"/>
        <v>0</v>
      </c>
      <c r="ET38" s="521"/>
      <c r="EU38" s="522">
        <f t="shared" si="48"/>
        <v>0</v>
      </c>
      <c r="EV38" s="523">
        <f t="shared" si="159"/>
        <v>0</v>
      </c>
      <c r="EW38" s="521"/>
      <c r="EX38" s="522">
        <f t="shared" si="49"/>
        <v>0</v>
      </c>
      <c r="EY38" s="523">
        <f t="shared" si="160"/>
        <v>0</v>
      </c>
      <c r="EZ38" s="521"/>
      <c r="FA38" s="522">
        <f t="shared" si="50"/>
        <v>0</v>
      </c>
      <c r="FB38" s="523">
        <f t="shared" si="161"/>
        <v>0</v>
      </c>
      <c r="FC38" s="521"/>
      <c r="FD38" s="522">
        <f t="shared" si="51"/>
        <v>0</v>
      </c>
      <c r="FE38" s="523">
        <f t="shared" si="162"/>
        <v>0</v>
      </c>
      <c r="FF38" s="521"/>
      <c r="FG38" s="522">
        <f t="shared" si="52"/>
        <v>0</v>
      </c>
      <c r="FH38" s="523">
        <f t="shared" si="163"/>
        <v>0</v>
      </c>
      <c r="FI38" s="521"/>
      <c r="FJ38" s="522">
        <f t="shared" si="53"/>
        <v>0</v>
      </c>
      <c r="FK38" s="523">
        <f t="shared" si="164"/>
        <v>0</v>
      </c>
      <c r="FL38" s="521"/>
      <c r="FM38" s="522">
        <f t="shared" si="54"/>
        <v>0</v>
      </c>
      <c r="FN38" s="523">
        <f t="shared" si="165"/>
        <v>0</v>
      </c>
      <c r="FO38" s="521"/>
      <c r="FP38" s="522">
        <f t="shared" si="55"/>
        <v>0</v>
      </c>
      <c r="FQ38" s="523">
        <f t="shared" si="166"/>
        <v>0</v>
      </c>
      <c r="FR38" s="521"/>
      <c r="FS38" s="522">
        <f t="shared" si="56"/>
        <v>0</v>
      </c>
      <c r="FT38" s="523">
        <f t="shared" si="167"/>
        <v>0</v>
      </c>
      <c r="FU38" s="521"/>
      <c r="FV38" s="522">
        <f t="shared" si="57"/>
        <v>0</v>
      </c>
      <c r="FW38" s="523">
        <f t="shared" si="168"/>
        <v>0</v>
      </c>
      <c r="FX38" s="521"/>
      <c r="FY38" s="522">
        <f t="shared" si="58"/>
        <v>0</v>
      </c>
      <c r="FZ38" s="523">
        <f t="shared" si="169"/>
        <v>0</v>
      </c>
      <c r="GA38" s="521"/>
      <c r="GB38" s="522">
        <f t="shared" si="59"/>
        <v>0</v>
      </c>
      <c r="GC38" s="523">
        <f t="shared" si="170"/>
        <v>0</v>
      </c>
      <c r="GD38" s="521"/>
      <c r="GE38" s="522">
        <f t="shared" si="60"/>
        <v>0</v>
      </c>
      <c r="GF38" s="523">
        <f t="shared" si="171"/>
        <v>0</v>
      </c>
      <c r="GG38" s="521"/>
      <c r="GH38" s="522">
        <f t="shared" si="61"/>
        <v>0</v>
      </c>
      <c r="GI38" s="523">
        <f t="shared" si="172"/>
        <v>0</v>
      </c>
      <c r="GJ38" s="521"/>
      <c r="GK38" s="522">
        <f t="shared" si="62"/>
        <v>0</v>
      </c>
      <c r="GL38" s="523">
        <f t="shared" si="173"/>
        <v>0</v>
      </c>
      <c r="GM38" s="521"/>
      <c r="GN38" s="522">
        <f t="shared" si="63"/>
        <v>0</v>
      </c>
      <c r="GO38" s="523">
        <f t="shared" si="174"/>
        <v>0</v>
      </c>
      <c r="GP38" s="521"/>
      <c r="GQ38" s="522">
        <f t="shared" si="64"/>
        <v>0</v>
      </c>
      <c r="GR38" s="523">
        <f t="shared" si="175"/>
        <v>0</v>
      </c>
      <c r="GS38" s="521"/>
      <c r="GT38" s="522">
        <f t="shared" si="65"/>
        <v>0</v>
      </c>
      <c r="GU38" s="523">
        <f t="shared" si="176"/>
        <v>0</v>
      </c>
      <c r="GV38" s="521"/>
      <c r="GW38" s="522">
        <f t="shared" si="66"/>
        <v>0</v>
      </c>
      <c r="GX38" s="523">
        <f t="shared" si="177"/>
        <v>0</v>
      </c>
      <c r="GY38" s="521"/>
      <c r="GZ38" s="522">
        <f t="shared" si="67"/>
        <v>0</v>
      </c>
      <c r="HA38" s="523">
        <f t="shared" si="178"/>
        <v>0</v>
      </c>
      <c r="HB38" s="521"/>
      <c r="HC38" s="522">
        <f t="shared" si="68"/>
        <v>0</v>
      </c>
      <c r="HD38" s="523">
        <f t="shared" si="179"/>
        <v>0</v>
      </c>
      <c r="HE38" s="521"/>
      <c r="HF38" s="522">
        <f t="shared" si="69"/>
        <v>0</v>
      </c>
      <c r="HG38" s="523">
        <f t="shared" si="180"/>
        <v>0</v>
      </c>
      <c r="HH38" s="521"/>
      <c r="HI38" s="522">
        <f t="shared" si="70"/>
        <v>0</v>
      </c>
      <c r="HJ38" s="523">
        <f t="shared" si="181"/>
        <v>0</v>
      </c>
      <c r="HK38" s="521"/>
      <c r="HL38" s="522">
        <f t="shared" si="71"/>
        <v>0</v>
      </c>
      <c r="HM38" s="523">
        <f t="shared" si="182"/>
        <v>0</v>
      </c>
      <c r="HN38" s="521"/>
      <c r="HO38" s="522">
        <f t="shared" si="72"/>
        <v>0</v>
      </c>
      <c r="HP38" s="523">
        <f t="shared" si="183"/>
        <v>0</v>
      </c>
      <c r="HQ38" s="521"/>
      <c r="HR38" s="522">
        <f t="shared" si="73"/>
        <v>0</v>
      </c>
      <c r="HS38" s="523">
        <f t="shared" si="184"/>
        <v>0</v>
      </c>
      <c r="HT38" s="521"/>
      <c r="HU38" s="522">
        <f t="shared" si="74"/>
        <v>0</v>
      </c>
      <c r="HV38" s="523">
        <f t="shared" si="185"/>
        <v>0</v>
      </c>
      <c r="HW38" s="521"/>
      <c r="HX38" s="522">
        <f t="shared" si="75"/>
        <v>0</v>
      </c>
      <c r="HY38" s="523">
        <f t="shared" si="186"/>
        <v>0</v>
      </c>
      <c r="HZ38" s="521"/>
      <c r="IA38" s="522">
        <f t="shared" si="76"/>
        <v>0</v>
      </c>
      <c r="IB38" s="523">
        <f t="shared" si="187"/>
        <v>0</v>
      </c>
      <c r="IC38" s="521"/>
      <c r="ID38" s="522">
        <f t="shared" si="77"/>
        <v>0</v>
      </c>
      <c r="IE38" s="523">
        <f t="shared" si="188"/>
        <v>0</v>
      </c>
      <c r="IF38" s="521"/>
      <c r="IG38" s="522">
        <f t="shared" si="78"/>
        <v>0</v>
      </c>
      <c r="IH38" s="523">
        <f t="shared" si="189"/>
        <v>0</v>
      </c>
      <c r="II38" s="521"/>
      <c r="IJ38" s="522">
        <f t="shared" si="79"/>
        <v>0</v>
      </c>
      <c r="IK38" s="523">
        <f t="shared" si="190"/>
        <v>0</v>
      </c>
      <c r="IL38" s="521"/>
      <c r="IM38" s="522">
        <f t="shared" si="80"/>
        <v>0</v>
      </c>
      <c r="IN38" s="523">
        <f t="shared" si="191"/>
        <v>0</v>
      </c>
      <c r="IO38" s="521"/>
      <c r="IP38" s="522">
        <f t="shared" si="81"/>
        <v>0</v>
      </c>
      <c r="IQ38" s="523">
        <f t="shared" si="192"/>
        <v>0</v>
      </c>
      <c r="IR38" s="521"/>
      <c r="IS38" s="522">
        <f t="shared" si="82"/>
        <v>0</v>
      </c>
      <c r="IT38" s="523">
        <f t="shared" si="193"/>
        <v>0</v>
      </c>
      <c r="IU38" s="521"/>
      <c r="IV38" s="522">
        <f t="shared" si="83"/>
        <v>0</v>
      </c>
      <c r="IW38" s="523">
        <f t="shared" si="194"/>
        <v>0</v>
      </c>
      <c r="IX38" s="521"/>
      <c r="IY38" s="522">
        <f t="shared" si="84"/>
        <v>0</v>
      </c>
      <c r="IZ38" s="523">
        <f t="shared" si="195"/>
        <v>0</v>
      </c>
      <c r="JA38" s="521"/>
      <c r="JB38" s="522">
        <f t="shared" si="85"/>
        <v>0</v>
      </c>
      <c r="JC38" s="523">
        <f t="shared" si="196"/>
        <v>0</v>
      </c>
      <c r="JD38" s="521"/>
      <c r="JE38" s="522">
        <f t="shared" si="86"/>
        <v>0</v>
      </c>
      <c r="JF38" s="523">
        <f t="shared" si="197"/>
        <v>0</v>
      </c>
      <c r="JG38" s="521"/>
      <c r="JH38" s="522">
        <f t="shared" si="87"/>
        <v>0</v>
      </c>
      <c r="JI38" s="523">
        <f t="shared" si="198"/>
        <v>0</v>
      </c>
      <c r="JJ38" s="521"/>
      <c r="JK38" s="523" t="str">
        <f t="shared" si="88"/>
        <v>0</v>
      </c>
      <c r="JL38" s="523" t="str">
        <f t="shared" si="89"/>
        <v>0</v>
      </c>
      <c r="JM38" s="521"/>
      <c r="JN38" s="523" t="str">
        <f t="shared" si="90"/>
        <v>0</v>
      </c>
      <c r="JO38" s="523" t="str">
        <f t="shared" si="91"/>
        <v>0</v>
      </c>
      <c r="JP38" s="521"/>
      <c r="JQ38" s="523" t="str">
        <f t="shared" si="92"/>
        <v>0</v>
      </c>
      <c r="JR38" s="523" t="str">
        <f t="shared" si="93"/>
        <v>0</v>
      </c>
      <c r="JS38" s="521"/>
      <c r="JT38" s="523" t="str">
        <f t="shared" si="94"/>
        <v>0</v>
      </c>
      <c r="JU38" s="523" t="str">
        <f t="shared" si="95"/>
        <v>0</v>
      </c>
      <c r="JV38" s="521"/>
      <c r="JW38" s="523" t="str">
        <f t="shared" si="96"/>
        <v>0</v>
      </c>
      <c r="JX38" s="523" t="str">
        <f t="shared" si="97"/>
        <v>0</v>
      </c>
      <c r="JY38" s="521"/>
      <c r="JZ38" s="523" t="str">
        <f t="shared" si="98"/>
        <v>0</v>
      </c>
      <c r="KA38" s="523" t="str">
        <f t="shared" si="99"/>
        <v>0</v>
      </c>
      <c r="KB38" s="521"/>
      <c r="KC38" s="523" t="str">
        <f t="shared" si="100"/>
        <v>0</v>
      </c>
      <c r="KD38" s="523" t="str">
        <f t="shared" si="101"/>
        <v>0</v>
      </c>
      <c r="KE38" s="521"/>
      <c r="KF38" s="523" t="str">
        <f t="shared" si="102"/>
        <v>0</v>
      </c>
      <c r="KG38" s="523" t="str">
        <f t="shared" si="103"/>
        <v>0</v>
      </c>
      <c r="KH38" s="521"/>
      <c r="KI38" s="523" t="str">
        <f t="shared" si="104"/>
        <v>0</v>
      </c>
      <c r="KJ38" s="523" t="str">
        <f t="shared" si="105"/>
        <v>0</v>
      </c>
      <c r="KK38" s="521"/>
      <c r="KL38" s="523" t="str">
        <f t="shared" si="106"/>
        <v>0</v>
      </c>
      <c r="KM38" s="523" t="str">
        <f t="shared" si="107"/>
        <v>0</v>
      </c>
      <c r="KN38" s="521"/>
      <c r="KO38" s="523" t="str">
        <f t="shared" si="108"/>
        <v>0</v>
      </c>
      <c r="KP38" s="523" t="str">
        <f t="shared" si="109"/>
        <v>0</v>
      </c>
      <c r="KQ38" s="521"/>
      <c r="KR38" s="523" t="str">
        <f t="shared" si="110"/>
        <v>0</v>
      </c>
      <c r="KS38" s="523" t="str">
        <f t="shared" si="111"/>
        <v>0</v>
      </c>
      <c r="KT38" s="523">
        <f t="shared" si="201"/>
        <v>0</v>
      </c>
      <c r="KU38" s="523">
        <f t="shared" si="202"/>
        <v>0</v>
      </c>
      <c r="KV38" s="261">
        <f t="shared" si="199"/>
        <v>483.0280326822089</v>
      </c>
    </row>
    <row r="39" spans="1:308" ht="15" customHeight="1">
      <c r="A39" s="262">
        <f t="shared" si="200"/>
        <v>46112</v>
      </c>
      <c r="B39" s="263" t="str">
        <f>+Report1!B39</f>
        <v>Facial</v>
      </c>
      <c r="C39" s="263" t="str">
        <f>+Report1!C39</f>
        <v>11,5</v>
      </c>
      <c r="D39" s="264">
        <f>+Report1!P39</f>
        <v>36.242000000000004</v>
      </c>
      <c r="E39" s="556">
        <f>+Report1!R39</f>
        <v>35.978999999999999</v>
      </c>
      <c r="F39" s="521"/>
      <c r="G39" s="522">
        <f t="shared" si="0"/>
        <v>0</v>
      </c>
      <c r="H39" s="523">
        <f t="shared" si="112"/>
        <v>0</v>
      </c>
      <c r="I39" s="521">
        <v>279.06976744186045</v>
      </c>
      <c r="J39" s="522">
        <f t="shared" si="1"/>
        <v>7.7564625876722655</v>
      </c>
      <c r="K39" s="523">
        <f t="shared" si="113"/>
        <v>0</v>
      </c>
      <c r="L39" s="521"/>
      <c r="M39" s="522">
        <f t="shared" si="2"/>
        <v>0</v>
      </c>
      <c r="N39" s="523">
        <f t="shared" si="114"/>
        <v>0</v>
      </c>
      <c r="O39" s="521">
        <v>6.0000000000000284</v>
      </c>
      <c r="P39" s="522">
        <f t="shared" si="3"/>
        <v>0.16676394563495453</v>
      </c>
      <c r="Q39" s="523">
        <f t="shared" si="115"/>
        <v>0</v>
      </c>
      <c r="R39" s="521"/>
      <c r="S39" s="522">
        <f t="shared" si="4"/>
        <v>0</v>
      </c>
      <c r="T39" s="523">
        <f t="shared" si="116"/>
        <v>0</v>
      </c>
      <c r="U39" s="521">
        <v>7.6874999999999929</v>
      </c>
      <c r="V39" s="522">
        <f t="shared" si="5"/>
        <v>0.21366630534478426</v>
      </c>
      <c r="W39" s="523">
        <f t="shared" si="117"/>
        <v>0</v>
      </c>
      <c r="X39" s="521"/>
      <c r="Y39" s="522">
        <f t="shared" si="6"/>
        <v>0</v>
      </c>
      <c r="Z39" s="523">
        <f t="shared" si="118"/>
        <v>0</v>
      </c>
      <c r="AA39" s="521">
        <v>9.3749999999999929</v>
      </c>
      <c r="AB39" s="522">
        <f t="shared" si="7"/>
        <v>0.26056866505461501</v>
      </c>
      <c r="AC39" s="523">
        <f t="shared" si="119"/>
        <v>0</v>
      </c>
      <c r="AD39" s="521"/>
      <c r="AE39" s="522">
        <f t="shared" si="8"/>
        <v>0</v>
      </c>
      <c r="AF39" s="523">
        <f t="shared" si="120"/>
        <v>0</v>
      </c>
      <c r="AG39" s="521"/>
      <c r="AH39" s="522">
        <f t="shared" si="9"/>
        <v>0</v>
      </c>
      <c r="AI39" s="523">
        <f t="shared" si="121"/>
        <v>0</v>
      </c>
      <c r="AJ39" s="521"/>
      <c r="AK39" s="522">
        <f t="shared" si="10"/>
        <v>0</v>
      </c>
      <c r="AL39" s="523">
        <f t="shared" si="122"/>
        <v>0</v>
      </c>
      <c r="AM39" s="521"/>
      <c r="AN39" s="522">
        <f t="shared" si="11"/>
        <v>0</v>
      </c>
      <c r="AO39" s="523">
        <f t="shared" si="123"/>
        <v>0</v>
      </c>
      <c r="AP39" s="521"/>
      <c r="AQ39" s="522">
        <f t="shared" si="12"/>
        <v>0</v>
      </c>
      <c r="AR39" s="523">
        <f t="shared" si="124"/>
        <v>0</v>
      </c>
      <c r="AS39" s="521"/>
      <c r="AT39" s="522">
        <f t="shared" si="13"/>
        <v>0</v>
      </c>
      <c r="AU39" s="523">
        <f t="shared" si="125"/>
        <v>0</v>
      </c>
      <c r="AV39" s="521"/>
      <c r="AW39" s="522">
        <f t="shared" si="14"/>
        <v>0</v>
      </c>
      <c r="AX39" s="523">
        <f t="shared" si="126"/>
        <v>0</v>
      </c>
      <c r="AY39" s="521"/>
      <c r="AZ39" s="522">
        <f t="shared" si="15"/>
        <v>0</v>
      </c>
      <c r="BA39" s="523">
        <f t="shared" si="127"/>
        <v>0</v>
      </c>
      <c r="BB39" s="521"/>
      <c r="BC39" s="522">
        <f t="shared" si="16"/>
        <v>0</v>
      </c>
      <c r="BD39" s="523">
        <f t="shared" si="128"/>
        <v>0</v>
      </c>
      <c r="BE39" s="521"/>
      <c r="BF39" s="522">
        <f t="shared" si="17"/>
        <v>0</v>
      </c>
      <c r="BG39" s="523">
        <f t="shared" si="129"/>
        <v>0</v>
      </c>
      <c r="BH39" s="521"/>
      <c r="BI39" s="522">
        <f t="shared" si="18"/>
        <v>0</v>
      </c>
      <c r="BJ39" s="523">
        <f t="shared" si="130"/>
        <v>0</v>
      </c>
      <c r="BK39" s="521"/>
      <c r="BL39" s="522">
        <f t="shared" si="19"/>
        <v>0</v>
      </c>
      <c r="BM39" s="523">
        <f t="shared" si="131"/>
        <v>0</v>
      </c>
      <c r="BN39" s="521"/>
      <c r="BO39" s="522">
        <f t="shared" si="20"/>
        <v>0</v>
      </c>
      <c r="BP39" s="523">
        <f t="shared" si="132"/>
        <v>0</v>
      </c>
      <c r="BQ39" s="521">
        <v>88.607594936708892</v>
      </c>
      <c r="BR39" s="522">
        <f t="shared" si="21"/>
        <v>2.4627586908115537</v>
      </c>
      <c r="BS39" s="523">
        <f t="shared" si="133"/>
        <v>0</v>
      </c>
      <c r="BT39" s="521"/>
      <c r="BU39" s="522">
        <f t="shared" si="22"/>
        <v>0</v>
      </c>
      <c r="BV39" s="523">
        <f t="shared" si="134"/>
        <v>0</v>
      </c>
      <c r="BW39" s="521"/>
      <c r="BX39" s="522">
        <f t="shared" si="23"/>
        <v>0</v>
      </c>
      <c r="BY39" s="523">
        <f t="shared" si="135"/>
        <v>0</v>
      </c>
      <c r="BZ39" s="521"/>
      <c r="CA39" s="522">
        <f t="shared" si="24"/>
        <v>0</v>
      </c>
      <c r="CB39" s="523">
        <f t="shared" si="136"/>
        <v>0</v>
      </c>
      <c r="CC39" s="521"/>
      <c r="CD39" s="522">
        <f t="shared" si="25"/>
        <v>0</v>
      </c>
      <c r="CE39" s="523">
        <f t="shared" si="137"/>
        <v>0</v>
      </c>
      <c r="CF39" s="521">
        <v>0.5</v>
      </c>
      <c r="CG39" s="522">
        <f t="shared" si="26"/>
        <v>1.3896995469579477E-2</v>
      </c>
      <c r="CH39" s="523">
        <f t="shared" si="138"/>
        <v>0</v>
      </c>
      <c r="CI39" s="521"/>
      <c r="CJ39" s="522">
        <f t="shared" si="27"/>
        <v>0</v>
      </c>
      <c r="CK39" s="523">
        <f t="shared" si="139"/>
        <v>0</v>
      </c>
      <c r="CL39" s="521"/>
      <c r="CM39" s="522">
        <f t="shared" si="28"/>
        <v>0</v>
      </c>
      <c r="CN39" s="523">
        <f t="shared" si="140"/>
        <v>0</v>
      </c>
      <c r="CO39" s="521"/>
      <c r="CP39" s="522">
        <f t="shared" si="29"/>
        <v>0</v>
      </c>
      <c r="CQ39" s="523">
        <f t="shared" si="141"/>
        <v>0</v>
      </c>
      <c r="CR39" s="521"/>
      <c r="CS39" s="522">
        <f t="shared" si="30"/>
        <v>0</v>
      </c>
      <c r="CT39" s="523">
        <f t="shared" si="142"/>
        <v>0</v>
      </c>
      <c r="CU39" s="521"/>
      <c r="CV39" s="522">
        <f t="shared" si="31"/>
        <v>0</v>
      </c>
      <c r="CW39" s="523">
        <f t="shared" si="143"/>
        <v>0</v>
      </c>
      <c r="CX39" s="521"/>
      <c r="CY39" s="522">
        <f t="shared" si="32"/>
        <v>0</v>
      </c>
      <c r="CZ39" s="523">
        <f t="shared" si="144"/>
        <v>0</v>
      </c>
      <c r="DA39" s="521"/>
      <c r="DB39" s="522">
        <f t="shared" si="33"/>
        <v>0</v>
      </c>
      <c r="DC39" s="523">
        <f t="shared" si="145"/>
        <v>0</v>
      </c>
      <c r="DD39" s="521"/>
      <c r="DE39" s="522">
        <f t="shared" si="34"/>
        <v>0</v>
      </c>
      <c r="DF39" s="523">
        <f t="shared" si="146"/>
        <v>0</v>
      </c>
      <c r="DG39" s="521"/>
      <c r="DH39" s="522">
        <f t="shared" si="35"/>
        <v>0</v>
      </c>
      <c r="DI39" s="523">
        <f t="shared" si="203"/>
        <v>0</v>
      </c>
      <c r="DJ39" s="521"/>
      <c r="DK39" s="522">
        <f t="shared" si="36"/>
        <v>0</v>
      </c>
      <c r="DL39" s="523">
        <f t="shared" si="147"/>
        <v>0</v>
      </c>
      <c r="DM39" s="521"/>
      <c r="DN39" s="522">
        <f t="shared" si="37"/>
        <v>0</v>
      </c>
      <c r="DO39" s="523">
        <f t="shared" si="148"/>
        <v>0</v>
      </c>
      <c r="DP39" s="521"/>
      <c r="DQ39" s="522">
        <f t="shared" si="38"/>
        <v>0</v>
      </c>
      <c r="DR39" s="523">
        <f t="shared" si="149"/>
        <v>0</v>
      </c>
      <c r="DS39" s="521"/>
      <c r="DT39" s="522">
        <f t="shared" si="39"/>
        <v>0</v>
      </c>
      <c r="DU39" s="523">
        <f t="shared" si="150"/>
        <v>0</v>
      </c>
      <c r="DV39" s="521"/>
      <c r="DW39" s="522">
        <f t="shared" si="40"/>
        <v>0</v>
      </c>
      <c r="DX39" s="523">
        <f t="shared" si="151"/>
        <v>0</v>
      </c>
      <c r="DY39" s="521"/>
      <c r="DZ39" s="522">
        <f t="shared" si="41"/>
        <v>0</v>
      </c>
      <c r="EA39" s="523">
        <f t="shared" si="152"/>
        <v>0</v>
      </c>
      <c r="EB39" s="521"/>
      <c r="EC39" s="522">
        <f t="shared" si="42"/>
        <v>0</v>
      </c>
      <c r="ED39" s="523">
        <f t="shared" si="153"/>
        <v>0</v>
      </c>
      <c r="EE39" s="521">
        <v>21.802325581395337</v>
      </c>
      <c r="EF39" s="522">
        <f t="shared" si="43"/>
        <v>0.60597363966189544</v>
      </c>
      <c r="EG39" s="523">
        <f t="shared" si="154"/>
        <v>0</v>
      </c>
      <c r="EH39" s="521">
        <v>3.5</v>
      </c>
      <c r="EI39" s="522">
        <f t="shared" si="44"/>
        <v>9.7278968287056344E-2</v>
      </c>
      <c r="EJ39" s="523">
        <f t="shared" si="155"/>
        <v>0</v>
      </c>
      <c r="EK39" s="521">
        <v>30.487804878048905</v>
      </c>
      <c r="EL39" s="522">
        <f t="shared" si="45"/>
        <v>0.84737777253533741</v>
      </c>
      <c r="EM39" s="523">
        <f t="shared" si="156"/>
        <v>0</v>
      </c>
      <c r="EN39" s="521">
        <v>44.476744186046517</v>
      </c>
      <c r="EO39" s="522">
        <f t="shared" si="46"/>
        <v>1.2361862249102675</v>
      </c>
      <c r="EP39" s="523">
        <f t="shared" si="157"/>
        <v>0</v>
      </c>
      <c r="EQ39" s="521">
        <v>58.705882352941217</v>
      </c>
      <c r="ER39" s="522">
        <f t="shared" si="47"/>
        <v>1.6316707621929798</v>
      </c>
      <c r="ES39" s="523">
        <f t="shared" si="158"/>
        <v>0</v>
      </c>
      <c r="ET39" s="521"/>
      <c r="EU39" s="522">
        <f t="shared" si="48"/>
        <v>0</v>
      </c>
      <c r="EV39" s="523">
        <f t="shared" si="159"/>
        <v>0</v>
      </c>
      <c r="EW39" s="521"/>
      <c r="EX39" s="522">
        <f t="shared" si="49"/>
        <v>0</v>
      </c>
      <c r="EY39" s="523">
        <f t="shared" si="160"/>
        <v>0</v>
      </c>
      <c r="EZ39" s="521"/>
      <c r="FA39" s="522">
        <f t="shared" si="50"/>
        <v>0</v>
      </c>
      <c r="FB39" s="523">
        <f t="shared" si="161"/>
        <v>0</v>
      </c>
      <c r="FC39" s="521"/>
      <c r="FD39" s="522">
        <f t="shared" si="51"/>
        <v>0</v>
      </c>
      <c r="FE39" s="523">
        <f t="shared" si="162"/>
        <v>0</v>
      </c>
      <c r="FF39" s="521"/>
      <c r="FG39" s="522">
        <f t="shared" si="52"/>
        <v>0</v>
      </c>
      <c r="FH39" s="523">
        <f t="shared" si="163"/>
        <v>0</v>
      </c>
      <c r="FI39" s="521"/>
      <c r="FJ39" s="522">
        <f t="shared" si="53"/>
        <v>0</v>
      </c>
      <c r="FK39" s="523">
        <f t="shared" si="164"/>
        <v>0</v>
      </c>
      <c r="FL39" s="521"/>
      <c r="FM39" s="522">
        <f t="shared" si="54"/>
        <v>0</v>
      </c>
      <c r="FN39" s="523">
        <f t="shared" si="165"/>
        <v>0</v>
      </c>
      <c r="FO39" s="521"/>
      <c r="FP39" s="522">
        <f t="shared" si="55"/>
        <v>0</v>
      </c>
      <c r="FQ39" s="523">
        <f t="shared" si="166"/>
        <v>0</v>
      </c>
      <c r="FR39" s="521"/>
      <c r="FS39" s="522">
        <f t="shared" si="56"/>
        <v>0</v>
      </c>
      <c r="FT39" s="523">
        <f t="shared" si="167"/>
        <v>0</v>
      </c>
      <c r="FU39" s="521"/>
      <c r="FV39" s="522">
        <f t="shared" si="57"/>
        <v>0</v>
      </c>
      <c r="FW39" s="523">
        <f t="shared" si="168"/>
        <v>0</v>
      </c>
      <c r="FX39" s="521"/>
      <c r="FY39" s="522">
        <f t="shared" si="58"/>
        <v>0</v>
      </c>
      <c r="FZ39" s="523">
        <f t="shared" si="169"/>
        <v>0</v>
      </c>
      <c r="GA39" s="521"/>
      <c r="GB39" s="522">
        <f t="shared" si="59"/>
        <v>0</v>
      </c>
      <c r="GC39" s="523">
        <f t="shared" si="170"/>
        <v>0</v>
      </c>
      <c r="GD39" s="521"/>
      <c r="GE39" s="522">
        <f t="shared" si="60"/>
        <v>0</v>
      </c>
      <c r="GF39" s="523">
        <f t="shared" si="171"/>
        <v>0</v>
      </c>
      <c r="GG39" s="521"/>
      <c r="GH39" s="522">
        <f t="shared" si="61"/>
        <v>0</v>
      </c>
      <c r="GI39" s="523">
        <f t="shared" si="172"/>
        <v>0</v>
      </c>
      <c r="GJ39" s="521"/>
      <c r="GK39" s="522">
        <f t="shared" si="62"/>
        <v>0</v>
      </c>
      <c r="GL39" s="523">
        <f t="shared" si="173"/>
        <v>0</v>
      </c>
      <c r="GM39" s="521"/>
      <c r="GN39" s="522">
        <f t="shared" si="63"/>
        <v>0</v>
      </c>
      <c r="GO39" s="523">
        <f t="shared" si="174"/>
        <v>0</v>
      </c>
      <c r="GP39" s="521"/>
      <c r="GQ39" s="522">
        <f t="shared" si="64"/>
        <v>0</v>
      </c>
      <c r="GR39" s="523">
        <f t="shared" si="175"/>
        <v>0</v>
      </c>
      <c r="GS39" s="521"/>
      <c r="GT39" s="522">
        <f t="shared" si="65"/>
        <v>0</v>
      </c>
      <c r="GU39" s="523">
        <f t="shared" si="176"/>
        <v>0</v>
      </c>
      <c r="GV39" s="521"/>
      <c r="GW39" s="522">
        <f t="shared" si="66"/>
        <v>0</v>
      </c>
      <c r="GX39" s="523">
        <f t="shared" si="177"/>
        <v>0</v>
      </c>
      <c r="GY39" s="521"/>
      <c r="GZ39" s="522">
        <f t="shared" si="67"/>
        <v>0</v>
      </c>
      <c r="HA39" s="523">
        <f t="shared" si="178"/>
        <v>0</v>
      </c>
      <c r="HB39" s="521"/>
      <c r="HC39" s="522">
        <f t="shared" si="68"/>
        <v>0</v>
      </c>
      <c r="HD39" s="523">
        <f t="shared" si="179"/>
        <v>0</v>
      </c>
      <c r="HE39" s="521"/>
      <c r="HF39" s="522">
        <f t="shared" si="69"/>
        <v>0</v>
      </c>
      <c r="HG39" s="523">
        <f t="shared" si="180"/>
        <v>0</v>
      </c>
      <c r="HH39" s="521"/>
      <c r="HI39" s="522">
        <f t="shared" si="70"/>
        <v>0</v>
      </c>
      <c r="HJ39" s="523">
        <f t="shared" si="181"/>
        <v>0</v>
      </c>
      <c r="HK39" s="521"/>
      <c r="HL39" s="522">
        <f t="shared" si="71"/>
        <v>0</v>
      </c>
      <c r="HM39" s="523">
        <f t="shared" si="182"/>
        <v>0</v>
      </c>
      <c r="HN39" s="521"/>
      <c r="HO39" s="522">
        <f t="shared" si="72"/>
        <v>0</v>
      </c>
      <c r="HP39" s="523">
        <f t="shared" si="183"/>
        <v>0</v>
      </c>
      <c r="HQ39" s="521"/>
      <c r="HR39" s="522">
        <f t="shared" si="73"/>
        <v>0</v>
      </c>
      <c r="HS39" s="523">
        <f t="shared" si="184"/>
        <v>0</v>
      </c>
      <c r="HT39" s="521"/>
      <c r="HU39" s="522">
        <f t="shared" si="74"/>
        <v>0</v>
      </c>
      <c r="HV39" s="523">
        <f t="shared" si="185"/>
        <v>0</v>
      </c>
      <c r="HW39" s="521"/>
      <c r="HX39" s="522">
        <f t="shared" si="75"/>
        <v>0</v>
      </c>
      <c r="HY39" s="523">
        <f t="shared" si="186"/>
        <v>0</v>
      </c>
      <c r="HZ39" s="521"/>
      <c r="IA39" s="522">
        <f t="shared" si="76"/>
        <v>0</v>
      </c>
      <c r="IB39" s="523">
        <f t="shared" si="187"/>
        <v>0</v>
      </c>
      <c r="IC39" s="521"/>
      <c r="ID39" s="522">
        <f t="shared" si="77"/>
        <v>0</v>
      </c>
      <c r="IE39" s="523">
        <f t="shared" si="188"/>
        <v>0</v>
      </c>
      <c r="IF39" s="521"/>
      <c r="IG39" s="522">
        <f t="shared" si="78"/>
        <v>0</v>
      </c>
      <c r="IH39" s="523">
        <f t="shared" si="189"/>
        <v>0</v>
      </c>
      <c r="II39" s="521"/>
      <c r="IJ39" s="522">
        <f t="shared" si="79"/>
        <v>0</v>
      </c>
      <c r="IK39" s="523">
        <f t="shared" si="190"/>
        <v>0</v>
      </c>
      <c r="IL39" s="521"/>
      <c r="IM39" s="522">
        <f t="shared" si="80"/>
        <v>0</v>
      </c>
      <c r="IN39" s="523">
        <f t="shared" si="191"/>
        <v>0</v>
      </c>
      <c r="IO39" s="521"/>
      <c r="IP39" s="522">
        <f t="shared" si="81"/>
        <v>0</v>
      </c>
      <c r="IQ39" s="523">
        <f t="shared" si="192"/>
        <v>0</v>
      </c>
      <c r="IR39" s="521"/>
      <c r="IS39" s="522">
        <f t="shared" si="82"/>
        <v>0</v>
      </c>
      <c r="IT39" s="523">
        <f t="shared" si="193"/>
        <v>0</v>
      </c>
      <c r="IU39" s="521"/>
      <c r="IV39" s="522">
        <f t="shared" si="83"/>
        <v>0</v>
      </c>
      <c r="IW39" s="523">
        <f t="shared" si="194"/>
        <v>0</v>
      </c>
      <c r="IX39" s="521"/>
      <c r="IY39" s="522">
        <f t="shared" si="84"/>
        <v>0</v>
      </c>
      <c r="IZ39" s="523">
        <f t="shared" si="195"/>
        <v>0</v>
      </c>
      <c r="JA39" s="521"/>
      <c r="JB39" s="522">
        <f t="shared" si="85"/>
        <v>0</v>
      </c>
      <c r="JC39" s="523">
        <f t="shared" si="196"/>
        <v>0</v>
      </c>
      <c r="JD39" s="521"/>
      <c r="JE39" s="522">
        <f t="shared" si="86"/>
        <v>0</v>
      </c>
      <c r="JF39" s="523">
        <f t="shared" si="197"/>
        <v>0</v>
      </c>
      <c r="JG39" s="521"/>
      <c r="JH39" s="522">
        <f t="shared" si="87"/>
        <v>0</v>
      </c>
      <c r="JI39" s="523">
        <f t="shared" si="198"/>
        <v>0</v>
      </c>
      <c r="JJ39" s="521"/>
      <c r="JK39" s="523" t="str">
        <f t="shared" si="88"/>
        <v>0</v>
      </c>
      <c r="JL39" s="523" t="str">
        <f t="shared" si="89"/>
        <v>0</v>
      </c>
      <c r="JM39" s="521"/>
      <c r="JN39" s="523" t="str">
        <f t="shared" si="90"/>
        <v>0</v>
      </c>
      <c r="JO39" s="523" t="str">
        <f t="shared" si="91"/>
        <v>0</v>
      </c>
      <c r="JP39" s="521"/>
      <c r="JQ39" s="523" t="str">
        <f t="shared" si="92"/>
        <v>0</v>
      </c>
      <c r="JR39" s="523" t="str">
        <f t="shared" si="93"/>
        <v>0</v>
      </c>
      <c r="JS39" s="521"/>
      <c r="JT39" s="523" t="str">
        <f t="shared" si="94"/>
        <v>0</v>
      </c>
      <c r="JU39" s="523" t="str">
        <f t="shared" si="95"/>
        <v>0</v>
      </c>
      <c r="JV39" s="521"/>
      <c r="JW39" s="523" t="str">
        <f t="shared" si="96"/>
        <v>0</v>
      </c>
      <c r="JX39" s="523" t="str">
        <f t="shared" si="97"/>
        <v>0</v>
      </c>
      <c r="JY39" s="521"/>
      <c r="JZ39" s="523" t="str">
        <f t="shared" si="98"/>
        <v>0</v>
      </c>
      <c r="KA39" s="523" t="str">
        <f t="shared" si="99"/>
        <v>0</v>
      </c>
      <c r="KB39" s="521"/>
      <c r="KC39" s="523" t="str">
        <f t="shared" si="100"/>
        <v>0</v>
      </c>
      <c r="KD39" s="523" t="str">
        <f t="shared" si="101"/>
        <v>0</v>
      </c>
      <c r="KE39" s="521"/>
      <c r="KF39" s="523" t="str">
        <f t="shared" si="102"/>
        <v>0</v>
      </c>
      <c r="KG39" s="523" t="str">
        <f t="shared" si="103"/>
        <v>0</v>
      </c>
      <c r="KH39" s="521"/>
      <c r="KI39" s="523" t="str">
        <f t="shared" si="104"/>
        <v>0</v>
      </c>
      <c r="KJ39" s="523" t="str">
        <f t="shared" si="105"/>
        <v>0</v>
      </c>
      <c r="KK39" s="521"/>
      <c r="KL39" s="523" t="str">
        <f t="shared" si="106"/>
        <v>0</v>
      </c>
      <c r="KM39" s="523" t="str">
        <f t="shared" si="107"/>
        <v>0</v>
      </c>
      <c r="KN39" s="521"/>
      <c r="KO39" s="523" t="str">
        <f t="shared" si="108"/>
        <v>0</v>
      </c>
      <c r="KP39" s="523" t="str">
        <f t="shared" si="109"/>
        <v>0</v>
      </c>
      <c r="KQ39" s="521"/>
      <c r="KR39" s="523" t="str">
        <f t="shared" si="110"/>
        <v>0</v>
      </c>
      <c r="KS39" s="523" t="str">
        <f t="shared" si="111"/>
        <v>0</v>
      </c>
      <c r="KT39" s="523">
        <f t="shared" si="201"/>
        <v>0</v>
      </c>
      <c r="KU39" s="523">
        <f t="shared" si="202"/>
        <v>0</v>
      </c>
      <c r="KV39" s="261">
        <f t="shared" si="199"/>
        <v>550.21261937700126</v>
      </c>
    </row>
    <row r="40" spans="1:308" ht="15" customHeight="1" thickBot="1">
      <c r="A40" s="265"/>
      <c r="B40" s="266"/>
      <c r="C40" s="267"/>
      <c r="D40" s="267"/>
      <c r="E40" s="556"/>
      <c r="F40" s="521"/>
      <c r="G40" s="522"/>
      <c r="H40" s="523"/>
      <c r="I40" s="521"/>
      <c r="J40" s="522"/>
      <c r="K40" s="523"/>
      <c r="L40" s="521"/>
      <c r="M40" s="522"/>
      <c r="N40" s="523"/>
      <c r="O40" s="521"/>
      <c r="P40" s="522"/>
      <c r="Q40" s="523"/>
      <c r="R40" s="521"/>
      <c r="S40" s="522"/>
      <c r="T40" s="523"/>
      <c r="U40" s="521"/>
      <c r="V40" s="522"/>
      <c r="W40" s="523"/>
      <c r="X40" s="521"/>
      <c r="Y40" s="522"/>
      <c r="Z40" s="523"/>
      <c r="AA40" s="521"/>
      <c r="AB40" s="522"/>
      <c r="AC40" s="523"/>
      <c r="AD40" s="521"/>
      <c r="AE40" s="522"/>
      <c r="AF40" s="523"/>
      <c r="AG40" s="521"/>
      <c r="AH40" s="522"/>
      <c r="AI40" s="523"/>
      <c r="AJ40" s="521"/>
      <c r="AK40" s="522"/>
      <c r="AL40" s="523"/>
      <c r="AM40" s="521"/>
      <c r="AN40" s="522"/>
      <c r="AO40" s="523"/>
      <c r="AP40" s="521"/>
      <c r="AQ40" s="522"/>
      <c r="AR40" s="523"/>
      <c r="AS40" s="521"/>
      <c r="AT40" s="522"/>
      <c r="AU40" s="523"/>
      <c r="AV40" s="521"/>
      <c r="AW40" s="522"/>
      <c r="AX40" s="523"/>
      <c r="AY40" s="521"/>
      <c r="AZ40" s="522"/>
      <c r="BA40" s="523"/>
      <c r="BB40" s="521"/>
      <c r="BC40" s="522"/>
      <c r="BD40" s="523"/>
      <c r="BE40" s="521"/>
      <c r="BF40" s="522"/>
      <c r="BG40" s="523"/>
      <c r="BH40" s="521"/>
      <c r="BI40" s="522"/>
      <c r="BJ40" s="523"/>
      <c r="BK40" s="521"/>
      <c r="BL40" s="522"/>
      <c r="BM40" s="523"/>
      <c r="BN40" s="521"/>
      <c r="BO40" s="522"/>
      <c r="BP40" s="523"/>
      <c r="BQ40" s="521"/>
      <c r="BR40" s="522"/>
      <c r="BS40" s="523"/>
      <c r="BT40" s="521"/>
      <c r="BU40" s="522"/>
      <c r="BV40" s="523"/>
      <c r="BW40" s="521"/>
      <c r="BX40" s="522"/>
      <c r="BY40" s="523"/>
      <c r="BZ40" s="521"/>
      <c r="CA40" s="522"/>
      <c r="CB40" s="523"/>
      <c r="CC40" s="521"/>
      <c r="CD40" s="522"/>
      <c r="CE40" s="523"/>
      <c r="CF40" s="521"/>
      <c r="CG40" s="522"/>
      <c r="CH40" s="523"/>
      <c r="CI40" s="521"/>
      <c r="CJ40" s="522"/>
      <c r="CK40" s="523"/>
      <c r="CL40" s="521"/>
      <c r="CM40" s="522"/>
      <c r="CN40" s="523"/>
      <c r="CO40" s="521"/>
      <c r="CP40" s="522"/>
      <c r="CQ40" s="523"/>
      <c r="CR40" s="521"/>
      <c r="CS40" s="522"/>
      <c r="CT40" s="523"/>
      <c r="CU40" s="521"/>
      <c r="CV40" s="522"/>
      <c r="CW40" s="523"/>
      <c r="CX40" s="521"/>
      <c r="CY40" s="522"/>
      <c r="CZ40" s="523"/>
      <c r="DA40" s="521"/>
      <c r="DB40" s="522"/>
      <c r="DC40" s="523"/>
      <c r="DD40" s="521"/>
      <c r="DE40" s="522"/>
      <c r="DF40" s="523"/>
      <c r="DG40" s="521"/>
      <c r="DH40" s="522"/>
      <c r="DI40" s="523"/>
      <c r="DJ40" s="521"/>
      <c r="DK40" s="522"/>
      <c r="DL40" s="523"/>
      <c r="DM40" s="521"/>
      <c r="DN40" s="522"/>
      <c r="DO40" s="523"/>
      <c r="DP40" s="521"/>
      <c r="DQ40" s="522"/>
      <c r="DR40" s="523"/>
      <c r="DS40" s="521"/>
      <c r="DT40" s="522"/>
      <c r="DU40" s="523"/>
      <c r="DV40" s="521"/>
      <c r="DW40" s="522"/>
      <c r="DX40" s="523"/>
      <c r="DY40" s="521"/>
      <c r="DZ40" s="522"/>
      <c r="EA40" s="523"/>
      <c r="EB40" s="521"/>
      <c r="EC40" s="522"/>
      <c r="ED40" s="523"/>
      <c r="EE40" s="521"/>
      <c r="EF40" s="522"/>
      <c r="EG40" s="523"/>
      <c r="EH40" s="521"/>
      <c r="EI40" s="522"/>
      <c r="EJ40" s="523"/>
      <c r="EK40" s="521"/>
      <c r="EL40" s="522"/>
      <c r="EM40" s="523"/>
      <c r="EN40" s="521"/>
      <c r="EO40" s="522"/>
      <c r="EP40" s="523"/>
      <c r="EQ40" s="521"/>
      <c r="ER40" s="522"/>
      <c r="ES40" s="523"/>
      <c r="ET40" s="521"/>
      <c r="EU40" s="522"/>
      <c r="EV40" s="523"/>
      <c r="EW40" s="521"/>
      <c r="EX40" s="522"/>
      <c r="EY40" s="523"/>
      <c r="EZ40" s="521"/>
      <c r="FA40" s="522"/>
      <c r="FB40" s="523"/>
      <c r="FC40" s="521"/>
      <c r="FD40" s="522"/>
      <c r="FE40" s="523"/>
      <c r="FF40" s="521"/>
      <c r="FG40" s="522"/>
      <c r="FH40" s="523"/>
      <c r="FI40" s="521"/>
      <c r="FJ40" s="522"/>
      <c r="FK40" s="523"/>
      <c r="FL40" s="521"/>
      <c r="FM40" s="522"/>
      <c r="FN40" s="523"/>
      <c r="FO40" s="521"/>
      <c r="FP40" s="522"/>
      <c r="FQ40" s="523"/>
      <c r="FR40" s="521"/>
      <c r="FS40" s="522"/>
      <c r="FT40" s="523"/>
      <c r="FU40" s="521"/>
      <c r="FV40" s="522"/>
      <c r="FW40" s="523"/>
      <c r="FX40" s="521"/>
      <c r="FY40" s="522"/>
      <c r="FZ40" s="523"/>
      <c r="GA40" s="521"/>
      <c r="GB40" s="522"/>
      <c r="GC40" s="523"/>
      <c r="GD40" s="521"/>
      <c r="GE40" s="522"/>
      <c r="GF40" s="523"/>
      <c r="GG40" s="521"/>
      <c r="GH40" s="522"/>
      <c r="GI40" s="523"/>
      <c r="GJ40" s="521"/>
      <c r="GK40" s="522"/>
      <c r="GL40" s="523"/>
      <c r="GM40" s="521"/>
      <c r="GN40" s="522"/>
      <c r="GO40" s="523"/>
      <c r="GP40" s="521"/>
      <c r="GQ40" s="522"/>
      <c r="GR40" s="523"/>
      <c r="GS40" s="521"/>
      <c r="GT40" s="522"/>
      <c r="GU40" s="523"/>
      <c r="GV40" s="521"/>
      <c r="GW40" s="522"/>
      <c r="GX40" s="523"/>
      <c r="GY40" s="521"/>
      <c r="GZ40" s="522"/>
      <c r="HA40" s="523"/>
      <c r="HB40" s="521"/>
      <c r="HC40" s="522"/>
      <c r="HD40" s="523"/>
      <c r="HE40" s="521"/>
      <c r="HF40" s="522"/>
      <c r="HG40" s="523"/>
      <c r="HH40" s="521"/>
      <c r="HI40" s="522"/>
      <c r="HJ40" s="523"/>
      <c r="HK40" s="521"/>
      <c r="HL40" s="522"/>
      <c r="HM40" s="523"/>
      <c r="HN40" s="521"/>
      <c r="HO40" s="522"/>
      <c r="HP40" s="523"/>
      <c r="HQ40" s="521"/>
      <c r="HR40" s="522"/>
      <c r="HS40" s="523"/>
      <c r="HT40" s="521"/>
      <c r="HU40" s="522"/>
      <c r="HV40" s="523"/>
      <c r="HW40" s="521"/>
      <c r="HX40" s="522"/>
      <c r="HY40" s="523"/>
      <c r="HZ40" s="521"/>
      <c r="IA40" s="522"/>
      <c r="IB40" s="523"/>
      <c r="IC40" s="521"/>
      <c r="ID40" s="522"/>
      <c r="IE40" s="523"/>
      <c r="IF40" s="521"/>
      <c r="IG40" s="522"/>
      <c r="IH40" s="523"/>
      <c r="II40" s="521"/>
      <c r="IJ40" s="522"/>
      <c r="IK40" s="523"/>
      <c r="IL40" s="521"/>
      <c r="IM40" s="522"/>
      <c r="IN40" s="523"/>
      <c r="IO40" s="521"/>
      <c r="IP40" s="522"/>
      <c r="IQ40" s="523"/>
      <c r="IR40" s="521"/>
      <c r="IS40" s="522"/>
      <c r="IT40" s="523"/>
      <c r="IU40" s="521"/>
      <c r="IV40" s="522"/>
      <c r="IW40" s="523"/>
      <c r="IX40" s="521"/>
      <c r="IY40" s="522"/>
      <c r="IZ40" s="523"/>
      <c r="JA40" s="521"/>
      <c r="JB40" s="522"/>
      <c r="JC40" s="523"/>
      <c r="JD40" s="521"/>
      <c r="JE40" s="522"/>
      <c r="JF40" s="523"/>
      <c r="JG40" s="521"/>
      <c r="JH40" s="522"/>
      <c r="JI40" s="523"/>
      <c r="JJ40" s="521"/>
      <c r="JK40" s="523"/>
      <c r="JL40" s="523"/>
      <c r="JM40" s="521"/>
      <c r="JN40" s="523"/>
      <c r="JO40" s="523"/>
      <c r="JP40" s="521"/>
      <c r="JQ40" s="523"/>
      <c r="JR40" s="523"/>
      <c r="JS40" s="521"/>
      <c r="JT40" s="523"/>
      <c r="JU40" s="523"/>
      <c r="JV40" s="521"/>
      <c r="JW40" s="523"/>
      <c r="JX40" s="523"/>
      <c r="JY40" s="521"/>
      <c r="JZ40" s="523"/>
      <c r="KA40" s="523"/>
      <c r="KB40" s="521"/>
      <c r="KC40" s="523"/>
      <c r="KD40" s="523"/>
      <c r="KE40" s="521"/>
      <c r="KF40" s="523"/>
      <c r="KG40" s="523"/>
      <c r="KH40" s="521"/>
      <c r="KI40" s="523"/>
      <c r="KJ40" s="523"/>
      <c r="KK40" s="521"/>
      <c r="KL40" s="523"/>
      <c r="KM40" s="523"/>
      <c r="KN40" s="521"/>
      <c r="KO40" s="523"/>
      <c r="KP40" s="523"/>
      <c r="KQ40" s="521"/>
      <c r="KR40" s="523"/>
      <c r="KS40" s="523"/>
      <c r="KT40" s="523"/>
      <c r="KU40" s="523"/>
      <c r="KV40" s="261"/>
    </row>
    <row r="41" spans="1:308" s="526" customFormat="1" ht="15" customHeight="1" thickTop="1" thickBot="1">
      <c r="A41" s="704" t="s">
        <v>28</v>
      </c>
      <c r="B41" s="705"/>
      <c r="C41" s="706"/>
      <c r="D41" s="557">
        <f>SUM(D9:D40)</f>
        <v>938.94899999999984</v>
      </c>
      <c r="E41" s="556">
        <v>0</v>
      </c>
      <c r="F41" s="524">
        <f>SUM(F9:F39)</f>
        <v>0</v>
      </c>
      <c r="G41" s="524">
        <f>IFERROR((F41/$L$41),0)</f>
        <v>0</v>
      </c>
      <c r="H41" s="524">
        <f>IFERROR(((F41*H$8)/$L$41),0)</f>
        <v>0</v>
      </c>
      <c r="I41" s="524">
        <f>SUM(I9:I39)</f>
        <v>3346.7829488372099</v>
      </c>
      <c r="J41" s="524">
        <f>IFERROR((I41/$L$41),0)</f>
        <v>0</v>
      </c>
      <c r="K41" s="524">
        <f>IFERROR(((I41*K$8)/$L$41),0)</f>
        <v>0</v>
      </c>
      <c r="L41" s="524">
        <f>SUM(L9:L39)</f>
        <v>0</v>
      </c>
      <c r="M41" s="524">
        <f>IFERROR((L41/$L$41),0)</f>
        <v>0</v>
      </c>
      <c r="N41" s="524">
        <f>IFERROR(((L41*N$8)/$L$41),0)</f>
        <v>0</v>
      </c>
      <c r="O41" s="524">
        <f>SUM(O9:O39)</f>
        <v>143.80500000000001</v>
      </c>
      <c r="P41" s="524">
        <f>IFERROR((O41/$L$41),0)</f>
        <v>0</v>
      </c>
      <c r="Q41" s="524">
        <f>IFERROR(((O41*Q$8)/$L$41),0)</f>
        <v>0</v>
      </c>
      <c r="R41" s="524">
        <f>SUM(R9:R39)</f>
        <v>0</v>
      </c>
      <c r="S41" s="524">
        <f>IFERROR((R41/$L$41),0)</f>
        <v>0</v>
      </c>
      <c r="T41" s="524">
        <f>IFERROR(((R41*T$8)/$L$41),0)</f>
        <v>0</v>
      </c>
      <c r="U41" s="524">
        <f>SUM(U9:U39)</f>
        <v>176.3991</v>
      </c>
      <c r="V41" s="524">
        <f>IFERROR((U41/$L$41),0)</f>
        <v>0</v>
      </c>
      <c r="W41" s="524">
        <f>IFERROR(((U41*W$8)/$L$41),0)</f>
        <v>0</v>
      </c>
      <c r="X41" s="524">
        <f>SUM(X9:X39)</f>
        <v>0</v>
      </c>
      <c r="Y41" s="524">
        <f>IFERROR((X41/$L$41),0)</f>
        <v>0</v>
      </c>
      <c r="Z41" s="524">
        <f>IFERROR(((X41*Z$8)/$L$41),0)</f>
        <v>0</v>
      </c>
      <c r="AA41" s="524">
        <f>SUM(AA9:AA39)</f>
        <v>158.59375</v>
      </c>
      <c r="AB41" s="524">
        <f>IFERROR((AA41/$L$41),0)</f>
        <v>0</v>
      </c>
      <c r="AC41" s="524">
        <f>IFERROR(((AA41*AC$8)/$L$41),0)</f>
        <v>0</v>
      </c>
      <c r="AD41" s="524">
        <f>SUM(AD9:AD39)</f>
        <v>0</v>
      </c>
      <c r="AE41" s="524">
        <f>IFERROR((AD41/$L$41),0)</f>
        <v>0</v>
      </c>
      <c r="AF41" s="524">
        <f>IFERROR(((AD41*AF$8)/$L$41),0)</f>
        <v>0</v>
      </c>
      <c r="AG41" s="524">
        <f>SUM(AG9:AG39)</f>
        <v>0</v>
      </c>
      <c r="AH41" s="524">
        <f>IFERROR((AG41/$L$41),0)</f>
        <v>0</v>
      </c>
      <c r="AI41" s="524">
        <f>IFERROR(((AG41*AI$8)/$L$41),0)</f>
        <v>0</v>
      </c>
      <c r="AJ41" s="524">
        <f>SUM(AJ9:AJ39)</f>
        <v>5.875</v>
      </c>
      <c r="AK41" s="524">
        <f>IFERROR((AJ41/$L$41),0)</f>
        <v>0</v>
      </c>
      <c r="AL41" s="524">
        <f>IFERROR(((AJ41*AL$8)/$L$41),0)</f>
        <v>0</v>
      </c>
      <c r="AM41" s="524">
        <f>SUM(AM9:AM39)</f>
        <v>0</v>
      </c>
      <c r="AN41" s="524">
        <f>IFERROR((AM41/$L$41),0)</f>
        <v>0</v>
      </c>
      <c r="AO41" s="524">
        <f>IFERROR(((AM41*AO$8)/$L$41),0)</f>
        <v>0</v>
      </c>
      <c r="AP41" s="524">
        <f>SUM(AP9:AP39)</f>
        <v>0</v>
      </c>
      <c r="AQ41" s="524">
        <f>IFERROR((AP41/$L$41),0)</f>
        <v>0</v>
      </c>
      <c r="AR41" s="524">
        <f>IFERROR(((AP41*AR$8)/$L$41),0)</f>
        <v>0</v>
      </c>
      <c r="AS41" s="524">
        <f>SUM(AS9:AS39)</f>
        <v>0</v>
      </c>
      <c r="AT41" s="524">
        <f>IFERROR((AS41/$L$41),0)</f>
        <v>0</v>
      </c>
      <c r="AU41" s="524">
        <f>IFERROR(((AS41*AU$8)/$L$41),0)</f>
        <v>0</v>
      </c>
      <c r="AV41" s="524">
        <f>SUM(AV9:AV39)</f>
        <v>0</v>
      </c>
      <c r="AW41" s="524">
        <f>IFERROR((AV41/$L$41),0)</f>
        <v>0</v>
      </c>
      <c r="AX41" s="524">
        <f>IFERROR(((AV41*AX$8)/$L$41),0)</f>
        <v>0</v>
      </c>
      <c r="AY41" s="524">
        <f>SUM(AY9:AY39)</f>
        <v>11.666000000000025</v>
      </c>
      <c r="AZ41" s="524">
        <f>IFERROR((AY41/$L$41),0)</f>
        <v>0</v>
      </c>
      <c r="BA41" s="524">
        <f>IFERROR(((AY41*BA$8)/$L$41),0)</f>
        <v>0</v>
      </c>
      <c r="BB41" s="524">
        <f>SUM(BB9:BB39)</f>
        <v>0</v>
      </c>
      <c r="BC41" s="524">
        <f>IFERROR((BB41/$L$41),0)</f>
        <v>0</v>
      </c>
      <c r="BD41" s="524">
        <f>IFERROR(((BB41*BD$8)/$L$41),0)</f>
        <v>0</v>
      </c>
      <c r="BE41" s="524">
        <f>SUM(BE9:BE39)</f>
        <v>0</v>
      </c>
      <c r="BF41" s="524">
        <f>IFERROR((BE41/$L$41),0)</f>
        <v>0</v>
      </c>
      <c r="BG41" s="524">
        <f>IFERROR(((BE41*BG$8)/$L$41),0)</f>
        <v>0</v>
      </c>
      <c r="BH41" s="524">
        <f>SUM(BH9:BH39)</f>
        <v>0</v>
      </c>
      <c r="BI41" s="524">
        <f>IFERROR((BH41/$L$41),0)</f>
        <v>0</v>
      </c>
      <c r="BJ41" s="524">
        <f>IFERROR(((BH41*BJ$8)/$L$41),0)</f>
        <v>0</v>
      </c>
      <c r="BK41" s="524">
        <f>SUM(BK9:BK39)</f>
        <v>0</v>
      </c>
      <c r="BL41" s="524">
        <f>IFERROR((BK41/$L$41),0)</f>
        <v>0</v>
      </c>
      <c r="BM41" s="524">
        <f>IFERROR(((BK41*BM$8)/$L$41),0)</f>
        <v>0</v>
      </c>
      <c r="BN41" s="524">
        <f>SUM(BN9:BN39)</f>
        <v>0</v>
      </c>
      <c r="BO41" s="524">
        <f>IFERROR((BN41/$L$41),0)</f>
        <v>0</v>
      </c>
      <c r="BP41" s="524">
        <f>IFERROR(((BN41*BP$8)/$L$41),0)</f>
        <v>0</v>
      </c>
      <c r="BQ41" s="524">
        <f>SUM(BQ9:BQ39)</f>
        <v>349.36708860759484</v>
      </c>
      <c r="BR41" s="524">
        <f>IFERROR((BQ41/$L$41),0)</f>
        <v>0</v>
      </c>
      <c r="BS41" s="524">
        <f>IFERROR(((BQ41*BS$8)/$L$41),0)</f>
        <v>0</v>
      </c>
      <c r="BT41" s="524">
        <f>SUM(BT9:BT39)</f>
        <v>0</v>
      </c>
      <c r="BU41" s="524">
        <f>IFERROR((BT41/$L$41),0)</f>
        <v>0</v>
      </c>
      <c r="BV41" s="524">
        <f>IFERROR(((BT41*BV$8)/$L$41),0)</f>
        <v>0</v>
      </c>
      <c r="BW41" s="524">
        <f>SUM(BW9:BW39)</f>
        <v>0</v>
      </c>
      <c r="BX41" s="524">
        <f>IFERROR((BW41/$L$41),0)</f>
        <v>0</v>
      </c>
      <c r="BY41" s="524">
        <f>IFERROR(((BW41*BY$8)/$L$41),0)</f>
        <v>0</v>
      </c>
      <c r="BZ41" s="524">
        <f>SUM(BZ9:BZ39)</f>
        <v>3564.1295348837207</v>
      </c>
      <c r="CA41" s="524">
        <f>IFERROR((BZ41/$L$41),0)</f>
        <v>0</v>
      </c>
      <c r="CB41" s="524">
        <f>IFERROR(((BZ41*CB$8)/$L$41),0)</f>
        <v>0</v>
      </c>
      <c r="CC41" s="524">
        <f>SUM(CC9:CC39)</f>
        <v>21</v>
      </c>
      <c r="CD41" s="524">
        <f>IFERROR((CC41/$L$41),0)</f>
        <v>0</v>
      </c>
      <c r="CE41" s="524">
        <f>IFERROR(((CC41*CE$8)/$L$41),0)</f>
        <v>0</v>
      </c>
      <c r="CF41" s="524">
        <f>SUM(CF9:CF39)</f>
        <v>24.29999999999999</v>
      </c>
      <c r="CG41" s="524">
        <f>IFERROR((CF41/$L$41),0)</f>
        <v>0</v>
      </c>
      <c r="CH41" s="524">
        <f>IFERROR(((CF41*CH$8)/$L$41),0)</f>
        <v>0</v>
      </c>
      <c r="CI41" s="524">
        <f>SUM(CI9:CI39)</f>
        <v>0</v>
      </c>
      <c r="CJ41" s="524">
        <f>IFERROR((CI41/$L$41),0)</f>
        <v>0</v>
      </c>
      <c r="CK41" s="524">
        <f>IFERROR(((CI41*CK$8)/$L$41),0)</f>
        <v>0</v>
      </c>
      <c r="CL41" s="524">
        <f>SUM(CL9:CL39)</f>
        <v>0</v>
      </c>
      <c r="CM41" s="524">
        <f>IFERROR((CL41/$L$41),0)</f>
        <v>0</v>
      </c>
      <c r="CN41" s="524">
        <f>IFERROR(((CL41*CN$8)/$L$41),0)</f>
        <v>0</v>
      </c>
      <c r="CO41" s="524">
        <f>SUM(CO9:CO39)</f>
        <v>0</v>
      </c>
      <c r="CP41" s="524">
        <f>IFERROR((CO41/$L$41),0)</f>
        <v>0</v>
      </c>
      <c r="CQ41" s="524">
        <f>IFERROR(((CO41*CQ$8)/$L$41),0)</f>
        <v>0</v>
      </c>
      <c r="CR41" s="524">
        <f>SUM(CR9:CR39)</f>
        <v>0</v>
      </c>
      <c r="CS41" s="524">
        <f>IFERROR((CR41/$L$41),0)</f>
        <v>0</v>
      </c>
      <c r="CT41" s="524">
        <f>IFERROR(((CR41*CT$8)/$L$41),0)</f>
        <v>0</v>
      </c>
      <c r="CU41" s="524">
        <f>SUM(CU9:CU39)</f>
        <v>0</v>
      </c>
      <c r="CV41" s="524">
        <f>IFERROR((CU41/$L$41),0)</f>
        <v>0</v>
      </c>
      <c r="CW41" s="524">
        <f>IFERROR(((CU41*CW$8)/$L$41),0)</f>
        <v>0</v>
      </c>
      <c r="CX41" s="524">
        <f>SUM(CX9:CX39)</f>
        <v>0</v>
      </c>
      <c r="CY41" s="524">
        <f>IFERROR((CX41/$L$41),0)</f>
        <v>0</v>
      </c>
      <c r="CZ41" s="524">
        <f>IFERROR(((CX41*CZ$8)/$L$41),0)</f>
        <v>0</v>
      </c>
      <c r="DA41" s="524">
        <f>SUM(DA9:DA39)</f>
        <v>1424.421581395349</v>
      </c>
      <c r="DB41" s="524">
        <f>IFERROR((DA41/$L$41),0)</f>
        <v>0</v>
      </c>
      <c r="DC41" s="524">
        <f>IFERROR(((DA41*DC$8)/$L$41),0)</f>
        <v>0</v>
      </c>
      <c r="DD41" s="524">
        <f>SUM(DD9:DD39)</f>
        <v>0</v>
      </c>
      <c r="DE41" s="524">
        <f>IFERROR((DD41/$L$41),0)</f>
        <v>0</v>
      </c>
      <c r="DF41" s="524">
        <f>IFERROR(((DD41*DF$8)/$L$41),0)</f>
        <v>0</v>
      </c>
      <c r="DG41" s="524">
        <f>SUM(DG14:DG39)</f>
        <v>0</v>
      </c>
      <c r="DH41" s="524">
        <f>IFERROR((DG41/$L$41),0)</f>
        <v>0</v>
      </c>
      <c r="DI41" s="524">
        <f>IFERROR(((DG41*DI$8)/$L$41),0)</f>
        <v>0</v>
      </c>
      <c r="DJ41" s="524">
        <f>SUM(DJ9:DJ39)</f>
        <v>0</v>
      </c>
      <c r="DK41" s="524">
        <f>IFERROR((DJ41/$L$41),0)</f>
        <v>0</v>
      </c>
      <c r="DL41" s="524">
        <f>IFERROR(((DJ41*DL$8)/$L$41),0)</f>
        <v>0</v>
      </c>
      <c r="DM41" s="524">
        <f>SUM(DM9:DM39)</f>
        <v>0</v>
      </c>
      <c r="DN41" s="524">
        <f>IFERROR((DM41/$L$41),0)</f>
        <v>0</v>
      </c>
      <c r="DO41" s="524">
        <f>IFERROR(((DM41*DO$8)/$L$41),0)</f>
        <v>0</v>
      </c>
      <c r="DP41" s="524">
        <f>SUM(DP9:DP39)</f>
        <v>0</v>
      </c>
      <c r="DQ41" s="524">
        <f>IFERROR((DP41/$L$41),0)</f>
        <v>0</v>
      </c>
      <c r="DR41" s="524">
        <f>IFERROR(((DP41*DR$8)/$L$41),0)</f>
        <v>0</v>
      </c>
      <c r="DS41" s="524">
        <f>SUM(DS9:DS39)</f>
        <v>0</v>
      </c>
      <c r="DT41" s="524">
        <f>IFERROR((DS41/$L$41),0)</f>
        <v>0</v>
      </c>
      <c r="DU41" s="524">
        <f>IFERROR(((DS41*DU$8)/$L$41),0)</f>
        <v>0</v>
      </c>
      <c r="DV41" s="524">
        <f>SUM(DV9:DV39)</f>
        <v>0</v>
      </c>
      <c r="DW41" s="524">
        <f>IFERROR((DV41/$L$41),0)</f>
        <v>0</v>
      </c>
      <c r="DX41" s="524">
        <f>IFERROR(((DV41*DX$8)/$L$41),0)</f>
        <v>0</v>
      </c>
      <c r="DY41" s="524">
        <f>SUM(DY9:DY39)</f>
        <v>0</v>
      </c>
      <c r="DZ41" s="524">
        <f>IFERROR((DY41/$L$41),0)</f>
        <v>0</v>
      </c>
      <c r="EA41" s="524">
        <f>IFERROR(((DY41*EA$8)/$L$41),0)</f>
        <v>0</v>
      </c>
      <c r="EB41" s="524">
        <f>SUM(EB9:EB39)</f>
        <v>0</v>
      </c>
      <c r="EC41" s="524">
        <f>IFERROR((EB41/$L$41),0)</f>
        <v>0</v>
      </c>
      <c r="ED41" s="524">
        <f>IFERROR(((EB41*ED$8)/$L$41),0)</f>
        <v>0</v>
      </c>
      <c r="EE41" s="524">
        <f>SUM(EE9:EE39)</f>
        <v>472.38372093023258</v>
      </c>
      <c r="EF41" s="524">
        <f>IFERROR((EE41/$L$41),0)</f>
        <v>0</v>
      </c>
      <c r="EG41" s="524">
        <f>IFERROR(((EE41*EG$8)/$L$41),0)</f>
        <v>0</v>
      </c>
      <c r="EH41" s="524">
        <f>SUM(EH9:EH39)</f>
        <v>86</v>
      </c>
      <c r="EI41" s="524">
        <f>IFERROR((EH41/$L$41),0)</f>
        <v>0</v>
      </c>
      <c r="EJ41" s="524">
        <f>IFERROR(((EH41*EJ$8)/$L$41),0)</f>
        <v>0</v>
      </c>
      <c r="EK41" s="524">
        <f>SUM(EK9:EK39)</f>
        <v>903.69198451219529</v>
      </c>
      <c r="EL41" s="524">
        <f>IFERROR((EK41/$L$41),0)</f>
        <v>0</v>
      </c>
      <c r="EM41" s="524">
        <f>IFERROR(((EK41*EM$8)/$L$41),0)</f>
        <v>0</v>
      </c>
      <c r="EN41" s="524">
        <f>SUM(EN9:EN39)</f>
        <v>936.57684883720947</v>
      </c>
      <c r="EO41" s="524">
        <f>IFERROR((EN41/$L$41),0)</f>
        <v>0</v>
      </c>
      <c r="EP41" s="524">
        <f>IFERROR(((EN41*EP$8)/$L$41),0)</f>
        <v>0</v>
      </c>
      <c r="EQ41" s="524">
        <f>SUM(EQ9:EQ39)</f>
        <v>1452.4523529411765</v>
      </c>
      <c r="ER41" s="524">
        <f>IFERROR((EQ41/$L$41),0)</f>
        <v>0</v>
      </c>
      <c r="ES41" s="524">
        <f>IFERROR(((EQ41*ES$8)/$L$41),0)</f>
        <v>0</v>
      </c>
      <c r="ET41" s="524">
        <f>SUM(ET9:ET39)</f>
        <v>1593.0232558139535</v>
      </c>
      <c r="EU41" s="524">
        <f>IFERROR((ET41/$L$41),0)</f>
        <v>0</v>
      </c>
      <c r="EV41" s="524">
        <f>IFERROR(((ET41*EV$8)/$L$41),0)</f>
        <v>0</v>
      </c>
      <c r="EW41" s="524">
        <f>SUM(EW9:EW39)</f>
        <v>0</v>
      </c>
      <c r="EX41" s="524">
        <f>IFERROR((EW41/$L$41),0)</f>
        <v>0</v>
      </c>
      <c r="EY41" s="524">
        <f>IFERROR(((EW41*EY$8)/$L$41),0)</f>
        <v>0</v>
      </c>
      <c r="EZ41" s="524">
        <f>SUM(EZ9:EZ39)</f>
        <v>0</v>
      </c>
      <c r="FA41" s="524">
        <f>IFERROR((EZ41/$L$41),0)</f>
        <v>0</v>
      </c>
      <c r="FB41" s="524">
        <f>IFERROR(((EZ41*FB$8)/$L$41),0)</f>
        <v>0</v>
      </c>
      <c r="FC41" s="524">
        <f>SUM(FC9:FC39)</f>
        <v>0</v>
      </c>
      <c r="FD41" s="524">
        <f>IFERROR((FC41/$L$41),0)</f>
        <v>0</v>
      </c>
      <c r="FE41" s="524">
        <f>IFERROR(((FC41*FE$8)/$L$41),0)</f>
        <v>0</v>
      </c>
      <c r="FF41" s="524">
        <f>SUM(FF9:FF39)</f>
        <v>0</v>
      </c>
      <c r="FG41" s="524">
        <f>IFERROR((FF41/$L$41),0)</f>
        <v>0</v>
      </c>
      <c r="FH41" s="524">
        <f>IFERROR(((FF41*FH$8)/$L$41),0)</f>
        <v>0</v>
      </c>
      <c r="FI41" s="524">
        <f>SUM(FI9:FI39)</f>
        <v>0</v>
      </c>
      <c r="FJ41" s="524">
        <f>IFERROR((FI41/$L$41),0)</f>
        <v>0</v>
      </c>
      <c r="FK41" s="524">
        <f>IFERROR(((FI41*FK$8)/$L$41),0)</f>
        <v>0</v>
      </c>
      <c r="FL41" s="524">
        <f>SUM(FL9:FL39)</f>
        <v>0</v>
      </c>
      <c r="FM41" s="524">
        <f>IFERROR((FL41/$L$41),0)</f>
        <v>0</v>
      </c>
      <c r="FN41" s="524">
        <f>IFERROR(((FL41*FN$8)/$L$41),0)</f>
        <v>0</v>
      </c>
      <c r="FO41" s="524">
        <f>SUM(FO9:FO39)</f>
        <v>0</v>
      </c>
      <c r="FP41" s="524">
        <f>IFERROR((FO41/$L$41),0)</f>
        <v>0</v>
      </c>
      <c r="FQ41" s="524">
        <f>IFERROR(((FO41*FQ$8)/$L$41),0)</f>
        <v>0</v>
      </c>
      <c r="FR41" s="524">
        <f>SUM(FR9:FR39)</f>
        <v>0</v>
      </c>
      <c r="FS41" s="524">
        <f>IFERROR((FR41/$L$41),0)</f>
        <v>0</v>
      </c>
      <c r="FT41" s="524">
        <f>IFERROR(((FR41*FT$8)/$L$41),0)</f>
        <v>0</v>
      </c>
      <c r="FU41" s="524">
        <f>SUM(FU9:FU39)</f>
        <v>0</v>
      </c>
      <c r="FV41" s="524">
        <f>IFERROR((FU41/$L$41),0)</f>
        <v>0</v>
      </c>
      <c r="FW41" s="524">
        <f>IFERROR(((FU41*FW$8)/$L$41),0)</f>
        <v>0</v>
      </c>
      <c r="FX41" s="524">
        <f>SUM(FX9:FX39)</f>
        <v>0</v>
      </c>
      <c r="FY41" s="524">
        <f>IFERROR((FX41/$L$41),0)</f>
        <v>0</v>
      </c>
      <c r="FZ41" s="524">
        <f>IFERROR(((FX41*FZ$8)/$L$41),0)</f>
        <v>0</v>
      </c>
      <c r="GA41" s="524">
        <f>SUM(GA9:GA39)</f>
        <v>0</v>
      </c>
      <c r="GB41" s="524">
        <f>IFERROR((GA41/$L$41),0)</f>
        <v>0</v>
      </c>
      <c r="GC41" s="524">
        <f>IFERROR(((GA41*GC$8)/$L$41),0)</f>
        <v>0</v>
      </c>
      <c r="GD41" s="524">
        <f>SUM(GD9:GD39)</f>
        <v>0</v>
      </c>
      <c r="GE41" s="524">
        <f>IFERROR((GD41/$L$41),0)</f>
        <v>0</v>
      </c>
      <c r="GF41" s="524">
        <f>IFERROR(((GD41*GF$8)/$L$41),0)</f>
        <v>0</v>
      </c>
      <c r="GG41" s="524">
        <f>SUM(GG9:GG39)</f>
        <v>0</v>
      </c>
      <c r="GH41" s="524">
        <f>IFERROR((GG41/$L$41),0)</f>
        <v>0</v>
      </c>
      <c r="GI41" s="524">
        <f>IFERROR(((GG41*GI$8)/$L$41),0)</f>
        <v>0</v>
      </c>
      <c r="GJ41" s="524">
        <f>SUM(GJ9:GJ39)</f>
        <v>0</v>
      </c>
      <c r="GK41" s="524">
        <f>IFERROR((GJ41/$L$41),0)</f>
        <v>0</v>
      </c>
      <c r="GL41" s="524">
        <f>IFERROR(((GJ41*GL$8)/$L$41),0)</f>
        <v>0</v>
      </c>
      <c r="GM41" s="524">
        <f>SUM(GM9:GM39)</f>
        <v>0</v>
      </c>
      <c r="GN41" s="524">
        <f>IFERROR((GM41/$L$41),0)</f>
        <v>0</v>
      </c>
      <c r="GO41" s="524">
        <f>IFERROR(((GM41*GO$8)/$L$41),0)</f>
        <v>0</v>
      </c>
      <c r="GP41" s="524">
        <f>SUM(GP9:GP39)</f>
        <v>0</v>
      </c>
      <c r="GQ41" s="524">
        <f>IFERROR((GP41/$L$41),0)</f>
        <v>0</v>
      </c>
      <c r="GR41" s="524">
        <f>IFERROR(((GP41*GR$8)/$L$41),0)</f>
        <v>0</v>
      </c>
      <c r="GS41" s="524">
        <f>SUM(GS9:GS39)</f>
        <v>0</v>
      </c>
      <c r="GT41" s="524">
        <f>IFERROR((GS41/$L$41),0)</f>
        <v>0</v>
      </c>
      <c r="GU41" s="524">
        <f>IFERROR(((GS41*GU$8)/$L$41),0)</f>
        <v>0</v>
      </c>
      <c r="GV41" s="524">
        <f>SUM(GV9:GV39)</f>
        <v>0</v>
      </c>
      <c r="GW41" s="524">
        <f>IFERROR((GV41/$L$41),0)</f>
        <v>0</v>
      </c>
      <c r="GX41" s="524">
        <f>IFERROR(((GV41*GX$8)/$L$41),0)</f>
        <v>0</v>
      </c>
      <c r="GY41" s="524">
        <f>SUM(GY9:GY39)</f>
        <v>0</v>
      </c>
      <c r="GZ41" s="524">
        <f>IFERROR((GY41/$L$41),0)</f>
        <v>0</v>
      </c>
      <c r="HA41" s="524">
        <f>IFERROR(((GY41*HA$8)/$L$41),0)</f>
        <v>0</v>
      </c>
      <c r="HB41" s="524">
        <f>SUM(HB9:HB39)</f>
        <v>0</v>
      </c>
      <c r="HC41" s="524">
        <f>IFERROR((HB41/$L$41),0)</f>
        <v>0</v>
      </c>
      <c r="HD41" s="524">
        <f>IFERROR(((HB41*HD$8)/$L$41),0)</f>
        <v>0</v>
      </c>
      <c r="HE41" s="524">
        <f>SUM(HE9:HE39)</f>
        <v>0</v>
      </c>
      <c r="HF41" s="524">
        <f>IFERROR((HE41/$L$41),0)</f>
        <v>0</v>
      </c>
      <c r="HG41" s="524">
        <f>IFERROR(((HE41*HG$8)/$L$41),0)</f>
        <v>0</v>
      </c>
      <c r="HH41" s="524">
        <f>SUM(HH9:HH39)</f>
        <v>0</v>
      </c>
      <c r="HI41" s="524">
        <f>IFERROR((HH41/$L$41),0)</f>
        <v>0</v>
      </c>
      <c r="HJ41" s="524">
        <f>IFERROR(((HH41*HJ$8)/$L$41),0)</f>
        <v>0</v>
      </c>
      <c r="HK41" s="524">
        <f>SUM(HK9:HK39)</f>
        <v>0</v>
      </c>
      <c r="HL41" s="524">
        <f>IFERROR((HK41/$L$41),0)</f>
        <v>0</v>
      </c>
      <c r="HM41" s="524">
        <f>IFERROR(((HK41*HM$8)/$L$41),0)</f>
        <v>0</v>
      </c>
      <c r="HN41" s="524">
        <f>SUM(HN9:HN39)</f>
        <v>0</v>
      </c>
      <c r="HO41" s="524">
        <f>IFERROR((HN41/$L$41),0)</f>
        <v>0</v>
      </c>
      <c r="HP41" s="524">
        <f>IFERROR(((HN41*HP$8)/$L$41),0)</f>
        <v>0</v>
      </c>
      <c r="HQ41" s="524">
        <f>SUM(HQ9:HQ39)</f>
        <v>0</v>
      </c>
      <c r="HR41" s="524">
        <f>IFERROR((HQ41/$L$41),0)</f>
        <v>0</v>
      </c>
      <c r="HS41" s="524">
        <f>IFERROR(((HQ41*HS$8)/$L$41),0)</f>
        <v>0</v>
      </c>
      <c r="HT41" s="524">
        <f>SUM(HT9:HT39)</f>
        <v>0</v>
      </c>
      <c r="HU41" s="524">
        <f>IFERROR((HT41/$L$41),0)</f>
        <v>0</v>
      </c>
      <c r="HV41" s="524">
        <f>IFERROR(((HT41*HV$8)/$L$41),0)</f>
        <v>0</v>
      </c>
      <c r="HW41" s="524">
        <f>SUM(HW9:HW39)</f>
        <v>0</v>
      </c>
      <c r="HX41" s="524">
        <f>IFERROR((HW41/$L$41),0)</f>
        <v>0</v>
      </c>
      <c r="HY41" s="524">
        <f>IFERROR(((HW41*HY$8)/$L$41),0)</f>
        <v>0</v>
      </c>
      <c r="HZ41" s="524">
        <f>SUM(HZ9:HZ39)</f>
        <v>0</v>
      </c>
      <c r="IA41" s="524">
        <f>IFERROR((HZ41/$L$41),0)</f>
        <v>0</v>
      </c>
      <c r="IB41" s="524">
        <f>IFERROR(((HZ41*IB$8)/$L$41),0)</f>
        <v>0</v>
      </c>
      <c r="IC41" s="524">
        <f>SUM(IC9:IC39)</f>
        <v>0</v>
      </c>
      <c r="ID41" s="524">
        <f>IFERROR((IC41/$L$41),0)</f>
        <v>0</v>
      </c>
      <c r="IE41" s="524">
        <f>IFERROR(((IC41*IE$8)/$L$41),0)</f>
        <v>0</v>
      </c>
      <c r="IF41" s="524">
        <f>SUM(IF9:IF39)</f>
        <v>0</v>
      </c>
      <c r="IG41" s="524">
        <f>IFERROR((IF41/$L$41),0)</f>
        <v>0</v>
      </c>
      <c r="IH41" s="524">
        <f>IFERROR(((IF41*IH$8)/$L$41),0)</f>
        <v>0</v>
      </c>
      <c r="II41" s="524">
        <f>SUM(II9:II39)</f>
        <v>0</v>
      </c>
      <c r="IJ41" s="524">
        <f>IFERROR((II41/$L$41),0)</f>
        <v>0</v>
      </c>
      <c r="IK41" s="524">
        <f>IFERROR(((II41*IK$8)/$L$41),0)</f>
        <v>0</v>
      </c>
      <c r="IL41" s="524">
        <f>SUM(IL9:IL39)</f>
        <v>0</v>
      </c>
      <c r="IM41" s="524">
        <f>IFERROR((IL41/$L$41),0)</f>
        <v>0</v>
      </c>
      <c r="IN41" s="524">
        <f>IFERROR(((IL41*IN$8)/$L$41),0)</f>
        <v>0</v>
      </c>
      <c r="IO41" s="524">
        <f>SUM(IO9:IO39)</f>
        <v>0</v>
      </c>
      <c r="IP41" s="524">
        <f>IFERROR((IO41/$L$41),0)</f>
        <v>0</v>
      </c>
      <c r="IQ41" s="524">
        <f>IFERROR(((IO41*IQ$8)/$L$41),0)</f>
        <v>0</v>
      </c>
      <c r="IR41" s="524">
        <f>SUM(IR9:IR39)</f>
        <v>0</v>
      </c>
      <c r="IS41" s="524">
        <f>IFERROR((IR41/$L$41),0)</f>
        <v>0</v>
      </c>
      <c r="IT41" s="524">
        <f>IFERROR(((IR41*IT$8)/$L$41),0)</f>
        <v>0</v>
      </c>
      <c r="IU41" s="524">
        <f>SUM(IU9:IU39)</f>
        <v>0</v>
      </c>
      <c r="IV41" s="524">
        <f>IFERROR((IU41/$L$41),0)</f>
        <v>0</v>
      </c>
      <c r="IW41" s="524">
        <f>IFERROR(((IU41*IW$8)/$L$41),0)</f>
        <v>0</v>
      </c>
      <c r="IX41" s="524">
        <f>SUM(IX9:IX39)</f>
        <v>0</v>
      </c>
      <c r="IY41" s="524">
        <f>IFERROR((IX41/$L$41),0)</f>
        <v>0</v>
      </c>
      <c r="IZ41" s="524">
        <f>IFERROR(((IX41*IZ$8)/$L$41),0)</f>
        <v>0</v>
      </c>
      <c r="JA41" s="524">
        <f>SUM(JA9:JA39)</f>
        <v>0</v>
      </c>
      <c r="JB41" s="524">
        <f>IFERROR((JA41/$L$41),0)</f>
        <v>0</v>
      </c>
      <c r="JC41" s="524">
        <f>IFERROR(((JA41*JC$8)/$L$41),0)</f>
        <v>0</v>
      </c>
      <c r="JD41" s="524">
        <f>SUM(JD9:JD39)</f>
        <v>0</v>
      </c>
      <c r="JE41" s="524">
        <f>IFERROR((JD41/$L$41),0)</f>
        <v>0</v>
      </c>
      <c r="JF41" s="524">
        <f>IFERROR(((JD41*JF$8)/$L$41),0)</f>
        <v>0</v>
      </c>
      <c r="JG41" s="524">
        <f>SUM(JG9:JG39)</f>
        <v>0</v>
      </c>
      <c r="JH41" s="524">
        <f>IFERROR((JG41/$L$41),0)</f>
        <v>0</v>
      </c>
      <c r="JI41" s="524">
        <f>IFERROR(((JG41*JI$8)/$L$41),0)</f>
        <v>0</v>
      </c>
      <c r="JJ41" s="524">
        <f>SUM(JJ9:JJ39)</f>
        <v>0</v>
      </c>
      <c r="JK41" s="524">
        <f>IFERROR((JJ41/$L$41),0)</f>
        <v>0</v>
      </c>
      <c r="JL41" s="524">
        <f>IFERROR(((JJ41*JL$8)/$L$41),0)</f>
        <v>0</v>
      </c>
      <c r="JM41" s="524">
        <f>SUM(JM9:JM39)</f>
        <v>0</v>
      </c>
      <c r="JN41" s="524">
        <f>IFERROR((JM41/$L$41),0)</f>
        <v>0</v>
      </c>
      <c r="JO41" s="524">
        <f>IFERROR(((JM41*JO$8)/$L$41),0)</f>
        <v>0</v>
      </c>
      <c r="JP41" s="524">
        <f>SUM(JP9:JP39)</f>
        <v>0</v>
      </c>
      <c r="JQ41" s="524">
        <f>IFERROR((JP41/$L$41),0)</f>
        <v>0</v>
      </c>
      <c r="JR41" s="524">
        <f>IFERROR(((JP41*JR$8)/$L$41),0)</f>
        <v>0</v>
      </c>
      <c r="JS41" s="524">
        <f>SUM(JS9:JS39)</f>
        <v>0</v>
      </c>
      <c r="JT41" s="524">
        <f>IFERROR((JS41/$L$41),0)</f>
        <v>0</v>
      </c>
      <c r="JU41" s="524">
        <f>IFERROR(((JS41*JU$8)/$L$41),0)</f>
        <v>0</v>
      </c>
      <c r="JV41" s="524">
        <f>SUM(JV9:JV39)</f>
        <v>0</v>
      </c>
      <c r="JW41" s="524">
        <f>IFERROR((JV41/$L$41),0)</f>
        <v>0</v>
      </c>
      <c r="JX41" s="524">
        <f>IFERROR(((JV41*JX$8)/$L$41),0)</f>
        <v>0</v>
      </c>
      <c r="JY41" s="524">
        <f>SUM(JY9:JY39)</f>
        <v>0</v>
      </c>
      <c r="JZ41" s="524">
        <f>IFERROR((JY41/$L$41),0)</f>
        <v>0</v>
      </c>
      <c r="KA41" s="524">
        <f>IFERROR(((JY41*KA$8)/$L$41),0)</f>
        <v>0</v>
      </c>
      <c r="KB41" s="524">
        <f>SUM(KB9:KB39)</f>
        <v>0</v>
      </c>
      <c r="KC41" s="524">
        <f>IFERROR((KB41/$L$41),0)</f>
        <v>0</v>
      </c>
      <c r="KD41" s="524">
        <f>IFERROR(((KB41*KD$8)/$L$41),0)</f>
        <v>0</v>
      </c>
      <c r="KE41" s="524">
        <f>SUM(KE9:KE39)</f>
        <v>0</v>
      </c>
      <c r="KF41" s="524">
        <f>IFERROR((KE41/$L$41),0)</f>
        <v>0</v>
      </c>
      <c r="KG41" s="524">
        <f>IFERROR(((KE41*KG$8)/$L$41),0)</f>
        <v>0</v>
      </c>
      <c r="KH41" s="524">
        <f>SUM(KH9:KH39)</f>
        <v>0</v>
      </c>
      <c r="KI41" s="524">
        <f>IFERROR((KH41/$L$41),0)</f>
        <v>0</v>
      </c>
      <c r="KJ41" s="524">
        <f>IFERROR(((KH41*KJ$8)/$L$41),0)</f>
        <v>0</v>
      </c>
      <c r="KK41" s="524">
        <f>SUM(KK9:KK39)</f>
        <v>0</v>
      </c>
      <c r="KL41" s="524">
        <f>IFERROR((KK41/$L$41),0)</f>
        <v>0</v>
      </c>
      <c r="KM41" s="524">
        <f>IFERROR(((KK41*KM$8)/$L$41),0)</f>
        <v>0</v>
      </c>
      <c r="KN41" s="524">
        <f>SUM(KN9:KN39)</f>
        <v>0</v>
      </c>
      <c r="KO41" s="524">
        <f>IFERROR((KN41/$L$41),0)</f>
        <v>0</v>
      </c>
      <c r="KP41" s="524">
        <f>IFERROR(((KN41*KP$8)/$L$41),0)</f>
        <v>0</v>
      </c>
      <c r="KQ41" s="524">
        <f>SUM(KQ9:KQ39)</f>
        <v>0</v>
      </c>
      <c r="KR41" s="524">
        <f>IFERROR((KQ41/$L$41),0)</f>
        <v>0</v>
      </c>
      <c r="KS41" s="524">
        <f>IFERROR(((KQ41*KS$8)/$L$41),0)</f>
        <v>0</v>
      </c>
      <c r="KT41" s="525">
        <f t="shared" si="201"/>
        <v>0</v>
      </c>
      <c r="KU41" s="525">
        <f t="shared" si="202"/>
        <v>0</v>
      </c>
      <c r="KV41" s="261">
        <f t="shared" si="199"/>
        <v>14670.468166758643</v>
      </c>
    </row>
    <row r="43" spans="1:308" ht="15" customHeight="1">
      <c r="A43" s="268" t="s">
        <v>137</v>
      </c>
      <c r="B43" s="269" t="s">
        <v>138</v>
      </c>
      <c r="C43" s="270" t="s">
        <v>146</v>
      </c>
      <c r="D43" s="258"/>
      <c r="E43" s="258"/>
    </row>
    <row r="44" spans="1:308" ht="15" customHeight="1">
      <c r="A44" s="271"/>
      <c r="B44" s="269" t="s">
        <v>139</v>
      </c>
      <c r="C44" s="270" t="s">
        <v>145</v>
      </c>
      <c r="D44" s="258"/>
      <c r="E44" s="258"/>
    </row>
    <row r="45" spans="1:308" ht="15" customHeight="1">
      <c r="A45" s="271"/>
      <c r="B45" s="272" t="s">
        <v>140</v>
      </c>
      <c r="C45" s="270" t="s">
        <v>141</v>
      </c>
      <c r="D45" s="258"/>
      <c r="E45" s="258"/>
    </row>
  </sheetData>
  <mergeCells count="210">
    <mergeCell ref="F5:GC5"/>
    <mergeCell ref="GD5:KS5"/>
    <mergeCell ref="KT5:KT8"/>
    <mergeCell ref="KU5:KU8"/>
    <mergeCell ref="A6:A8"/>
    <mergeCell ref="B6:B8"/>
    <mergeCell ref="C6:C8"/>
    <mergeCell ref="D6:D8"/>
    <mergeCell ref="E6:E8"/>
    <mergeCell ref="F6:H6"/>
    <mergeCell ref="AA6:AC6"/>
    <mergeCell ref="AD6:AF6"/>
    <mergeCell ref="AG6:AI6"/>
    <mergeCell ref="AJ6:AL6"/>
    <mergeCell ref="AM6:AO6"/>
    <mergeCell ref="AP6:AR6"/>
    <mergeCell ref="I6:K6"/>
    <mergeCell ref="L6:N6"/>
    <mergeCell ref="O6:Q6"/>
    <mergeCell ref="R6:T6"/>
    <mergeCell ref="U6:W6"/>
    <mergeCell ref="X6:Z6"/>
    <mergeCell ref="BK6:BM6"/>
    <mergeCell ref="BN6:BP6"/>
    <mergeCell ref="BQ6:BS6"/>
    <mergeCell ref="BT6:BV6"/>
    <mergeCell ref="BW6:BY6"/>
    <mergeCell ref="BZ6:CB6"/>
    <mergeCell ref="AS6:AU6"/>
    <mergeCell ref="AV6:AX6"/>
    <mergeCell ref="AY6:BA6"/>
    <mergeCell ref="BB6:BD6"/>
    <mergeCell ref="BE6:BG6"/>
    <mergeCell ref="BH6:BJ6"/>
    <mergeCell ref="CU6:CW6"/>
    <mergeCell ref="CX6:CZ6"/>
    <mergeCell ref="DA6:DC6"/>
    <mergeCell ref="DD6:DF6"/>
    <mergeCell ref="DG6:DI6"/>
    <mergeCell ref="DJ6:DL6"/>
    <mergeCell ref="CC6:CE6"/>
    <mergeCell ref="CF6:CH6"/>
    <mergeCell ref="CI6:CK6"/>
    <mergeCell ref="CL6:CN6"/>
    <mergeCell ref="CO6:CQ6"/>
    <mergeCell ref="CR6:CT6"/>
    <mergeCell ref="EE6:EG6"/>
    <mergeCell ref="EH6:EJ6"/>
    <mergeCell ref="EK6:EM6"/>
    <mergeCell ref="EN6:EP6"/>
    <mergeCell ref="EQ6:ES6"/>
    <mergeCell ref="ET6:EV6"/>
    <mergeCell ref="DM6:DO6"/>
    <mergeCell ref="DP6:DR6"/>
    <mergeCell ref="DS6:DU6"/>
    <mergeCell ref="DV6:DX6"/>
    <mergeCell ref="DY6:EA6"/>
    <mergeCell ref="EB6:ED6"/>
    <mergeCell ref="FO6:FQ6"/>
    <mergeCell ref="FR6:FT6"/>
    <mergeCell ref="FU6:FW6"/>
    <mergeCell ref="FX6:FZ6"/>
    <mergeCell ref="GA6:GC6"/>
    <mergeCell ref="GD6:GF6"/>
    <mergeCell ref="EW6:EY6"/>
    <mergeCell ref="EZ6:FB6"/>
    <mergeCell ref="FC6:FE6"/>
    <mergeCell ref="FF6:FH6"/>
    <mergeCell ref="FI6:FK6"/>
    <mergeCell ref="FL6:FN6"/>
    <mergeCell ref="GY6:HA6"/>
    <mergeCell ref="HB6:HD6"/>
    <mergeCell ref="HE6:HG6"/>
    <mergeCell ref="HH6:HJ6"/>
    <mergeCell ref="HK6:HM6"/>
    <mergeCell ref="HN6:HP6"/>
    <mergeCell ref="GG6:GI6"/>
    <mergeCell ref="GJ6:GL6"/>
    <mergeCell ref="GM6:GO6"/>
    <mergeCell ref="GP6:GR6"/>
    <mergeCell ref="GS6:GU6"/>
    <mergeCell ref="GV6:GX6"/>
    <mergeCell ref="IO6:IQ6"/>
    <mergeCell ref="IR6:IT6"/>
    <mergeCell ref="IU6:IW6"/>
    <mergeCell ref="IX6:IZ6"/>
    <mergeCell ref="HQ6:HS6"/>
    <mergeCell ref="HT6:HV6"/>
    <mergeCell ref="HW6:HY6"/>
    <mergeCell ref="HZ6:IB6"/>
    <mergeCell ref="IC6:IE6"/>
    <mergeCell ref="IF6:IH6"/>
    <mergeCell ref="KK6:KM6"/>
    <mergeCell ref="KN6:KP6"/>
    <mergeCell ref="KQ6:KS6"/>
    <mergeCell ref="F7:G7"/>
    <mergeCell ref="I7:J7"/>
    <mergeCell ref="L7:M7"/>
    <mergeCell ref="O7:P7"/>
    <mergeCell ref="R7:S7"/>
    <mergeCell ref="U7:V7"/>
    <mergeCell ref="X7:Y7"/>
    <mergeCell ref="JS6:JU6"/>
    <mergeCell ref="JV6:JX6"/>
    <mergeCell ref="JY6:KA6"/>
    <mergeCell ref="KB6:KD6"/>
    <mergeCell ref="KE6:KG6"/>
    <mergeCell ref="KH6:KJ6"/>
    <mergeCell ref="JA6:JC6"/>
    <mergeCell ref="JD6:JF6"/>
    <mergeCell ref="JG6:JI6"/>
    <mergeCell ref="JJ6:JL6"/>
    <mergeCell ref="JM6:JO6"/>
    <mergeCell ref="JP6:JR6"/>
    <mergeCell ref="II6:IK6"/>
    <mergeCell ref="IL6:IN6"/>
    <mergeCell ref="AS7:AT7"/>
    <mergeCell ref="AV7:AW7"/>
    <mergeCell ref="AY7:AZ7"/>
    <mergeCell ref="BB7:BC7"/>
    <mergeCell ref="BE7:BF7"/>
    <mergeCell ref="BH7:BI7"/>
    <mergeCell ref="AA7:AB7"/>
    <mergeCell ref="AD7:AE7"/>
    <mergeCell ref="AG7:AH7"/>
    <mergeCell ref="AJ7:AK7"/>
    <mergeCell ref="AM7:AN7"/>
    <mergeCell ref="AP7:AQ7"/>
    <mergeCell ref="CC7:CD7"/>
    <mergeCell ref="CF7:CG7"/>
    <mergeCell ref="CI7:CJ7"/>
    <mergeCell ref="CL7:CM7"/>
    <mergeCell ref="CO7:CP7"/>
    <mergeCell ref="CR7:CS7"/>
    <mergeCell ref="BK7:BL7"/>
    <mergeCell ref="BN7:BO7"/>
    <mergeCell ref="BQ7:BR7"/>
    <mergeCell ref="BT7:BU7"/>
    <mergeCell ref="BW7:BX7"/>
    <mergeCell ref="BZ7:CA7"/>
    <mergeCell ref="DM7:DN7"/>
    <mergeCell ref="DP7:DQ7"/>
    <mergeCell ref="DS7:DT7"/>
    <mergeCell ref="DV7:DW7"/>
    <mergeCell ref="DY7:DZ7"/>
    <mergeCell ref="EB7:EC7"/>
    <mergeCell ref="CU7:CV7"/>
    <mergeCell ref="CX7:CY7"/>
    <mergeCell ref="DA7:DB7"/>
    <mergeCell ref="DD7:DE7"/>
    <mergeCell ref="DG7:DH7"/>
    <mergeCell ref="DJ7:DK7"/>
    <mergeCell ref="EW7:EX7"/>
    <mergeCell ref="EZ7:FA7"/>
    <mergeCell ref="FC7:FD7"/>
    <mergeCell ref="FF7:FG7"/>
    <mergeCell ref="FI7:FJ7"/>
    <mergeCell ref="FL7:FM7"/>
    <mergeCell ref="EE7:EF7"/>
    <mergeCell ref="EH7:EI7"/>
    <mergeCell ref="EK7:EL7"/>
    <mergeCell ref="EN7:EO7"/>
    <mergeCell ref="EQ7:ER7"/>
    <mergeCell ref="ET7:EU7"/>
    <mergeCell ref="GG7:GH7"/>
    <mergeCell ref="GJ7:GK7"/>
    <mergeCell ref="GM7:GN7"/>
    <mergeCell ref="GP7:GQ7"/>
    <mergeCell ref="GS7:GT7"/>
    <mergeCell ref="GV7:GW7"/>
    <mergeCell ref="FO7:FP7"/>
    <mergeCell ref="FR7:FS7"/>
    <mergeCell ref="FU7:FV7"/>
    <mergeCell ref="FX7:FY7"/>
    <mergeCell ref="GA7:GB7"/>
    <mergeCell ref="GD7:GE7"/>
    <mergeCell ref="HW7:HX7"/>
    <mergeCell ref="HZ7:IA7"/>
    <mergeCell ref="IC7:ID7"/>
    <mergeCell ref="IF7:IG7"/>
    <mergeCell ref="GY7:GZ7"/>
    <mergeCell ref="HB7:HC7"/>
    <mergeCell ref="HE7:HF7"/>
    <mergeCell ref="HH7:HI7"/>
    <mergeCell ref="HK7:HL7"/>
    <mergeCell ref="HN7:HO7"/>
    <mergeCell ref="KK7:KL7"/>
    <mergeCell ref="KN7:KO7"/>
    <mergeCell ref="KQ7:KR7"/>
    <mergeCell ref="A41:C41"/>
    <mergeCell ref="JS7:JT7"/>
    <mergeCell ref="JV7:JW7"/>
    <mergeCell ref="JY7:JZ7"/>
    <mergeCell ref="KB7:KC7"/>
    <mergeCell ref="KE7:KF7"/>
    <mergeCell ref="KH7:KI7"/>
    <mergeCell ref="JA7:JB7"/>
    <mergeCell ref="JD7:JE7"/>
    <mergeCell ref="JG7:JH7"/>
    <mergeCell ref="JJ7:JK7"/>
    <mergeCell ref="JM7:JN7"/>
    <mergeCell ref="JP7:JQ7"/>
    <mergeCell ref="II7:IJ7"/>
    <mergeCell ref="IL7:IM7"/>
    <mergeCell ref="IO7:IP7"/>
    <mergeCell ref="IR7:IS7"/>
    <mergeCell ref="IU7:IV7"/>
    <mergeCell ref="IX7:IY7"/>
    <mergeCell ref="HQ7:HR7"/>
    <mergeCell ref="HT7:HU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9"/>
  <sheetViews>
    <sheetView workbookViewId="0">
      <pane xSplit="1" topLeftCell="U1" activePane="topRight" state="frozen"/>
      <selection pane="topRight" activeCell="AG10" sqref="AG10"/>
    </sheetView>
  </sheetViews>
  <sheetFormatPr defaultRowHeight="12.75"/>
  <cols>
    <col min="1" max="1" width="17.5703125" bestFit="1" customWidth="1"/>
    <col min="2" max="13" width="9.140625" customWidth="1"/>
    <col min="14" max="14" width="9.42578125" customWidth="1"/>
    <col min="15" max="21" width="9.140625" customWidth="1"/>
    <col min="22" max="22" width="9.28515625" customWidth="1"/>
    <col min="23" max="32" width="9.140625" customWidth="1"/>
    <col min="34" max="34" width="10.85546875" bestFit="1" customWidth="1"/>
    <col min="35" max="35" width="16.28515625" bestFit="1" customWidth="1"/>
  </cols>
  <sheetData>
    <row r="1" spans="1:35">
      <c r="B1">
        <v>4990</v>
      </c>
      <c r="C1">
        <v>4550</v>
      </c>
      <c r="D1">
        <v>5040</v>
      </c>
      <c r="E1">
        <v>4110</v>
      </c>
      <c r="H1">
        <v>4030</v>
      </c>
      <c r="I1">
        <v>4320</v>
      </c>
      <c r="J1">
        <v>4770</v>
      </c>
      <c r="K1">
        <v>4040</v>
      </c>
      <c r="L1">
        <v>4590</v>
      </c>
      <c r="M1">
        <v>4440</v>
      </c>
      <c r="N1">
        <v>4780</v>
      </c>
      <c r="O1">
        <v>4270</v>
      </c>
      <c r="P1">
        <v>4540</v>
      </c>
      <c r="Q1">
        <v>3990</v>
      </c>
      <c r="R1" t="s">
        <v>491</v>
      </c>
      <c r="S1" t="s">
        <v>491</v>
      </c>
      <c r="T1" t="s">
        <v>491</v>
      </c>
      <c r="U1" t="s">
        <v>491</v>
      </c>
      <c r="V1" t="s">
        <v>491</v>
      </c>
      <c r="W1" t="s">
        <v>491</v>
      </c>
      <c r="X1" t="s">
        <v>491</v>
      </c>
      <c r="Y1">
        <v>4720</v>
      </c>
      <c r="Z1">
        <v>6000</v>
      </c>
      <c r="AA1">
        <v>4360</v>
      </c>
      <c r="AB1">
        <v>4380</v>
      </c>
      <c r="AC1">
        <v>4080</v>
      </c>
      <c r="AD1">
        <v>4790</v>
      </c>
      <c r="AE1">
        <v>3480</v>
      </c>
      <c r="AF1">
        <v>3670</v>
      </c>
    </row>
    <row r="2" spans="1:35" ht="15">
      <c r="A2" s="5"/>
      <c r="B2" s="5">
        <v>1</v>
      </c>
      <c r="C2" s="5">
        <v>2</v>
      </c>
      <c r="D2" s="5">
        <v>3</v>
      </c>
      <c r="E2" s="5">
        <v>4</v>
      </c>
      <c r="F2" s="5">
        <v>5</v>
      </c>
      <c r="G2" s="5">
        <v>6</v>
      </c>
      <c r="H2" s="5">
        <v>7</v>
      </c>
      <c r="I2" s="5">
        <v>8</v>
      </c>
      <c r="J2" s="5">
        <v>9</v>
      </c>
      <c r="K2" s="5">
        <v>10</v>
      </c>
      <c r="L2" s="5">
        <v>11</v>
      </c>
      <c r="M2" s="5">
        <v>12</v>
      </c>
      <c r="N2" s="5">
        <v>13</v>
      </c>
      <c r="O2" s="5">
        <v>14</v>
      </c>
      <c r="P2" s="5">
        <v>15</v>
      </c>
      <c r="Q2" s="5">
        <v>16</v>
      </c>
      <c r="R2" s="5">
        <v>17</v>
      </c>
      <c r="S2" s="5">
        <v>18</v>
      </c>
      <c r="T2" s="5">
        <v>19</v>
      </c>
      <c r="U2" s="5">
        <v>20</v>
      </c>
      <c r="V2" s="5">
        <v>21</v>
      </c>
      <c r="W2" s="5">
        <v>22</v>
      </c>
      <c r="X2" s="5">
        <v>23</v>
      </c>
      <c r="Y2" s="5">
        <v>24</v>
      </c>
      <c r="Z2" s="5">
        <v>25</v>
      </c>
      <c r="AA2" s="5">
        <v>26</v>
      </c>
      <c r="AB2" s="5">
        <v>27</v>
      </c>
      <c r="AC2" s="5">
        <v>28</v>
      </c>
      <c r="AD2" s="5">
        <v>29</v>
      </c>
      <c r="AE2" s="5">
        <v>30</v>
      </c>
      <c r="AF2" s="5">
        <v>31</v>
      </c>
      <c r="AG2" s="456" t="s">
        <v>253</v>
      </c>
      <c r="AH2" s="457" t="s">
        <v>254</v>
      </c>
      <c r="AI2" s="482" t="s">
        <v>274</v>
      </c>
    </row>
    <row r="3" spans="1:35">
      <c r="A3" s="438" t="s">
        <v>195</v>
      </c>
      <c r="B3" s="5">
        <f>3396/1000</f>
        <v>3.3959999999999999</v>
      </c>
      <c r="C3" s="5">
        <f>465/1000</f>
        <v>0.46500000000000002</v>
      </c>
      <c r="D3" s="5">
        <f>4743/1000</f>
        <v>4.7430000000000003</v>
      </c>
      <c r="E3" s="5">
        <f>4951/1000</f>
        <v>4.9509999999999996</v>
      </c>
      <c r="F3" s="5">
        <f>5685/1000</f>
        <v>5.6849999999999996</v>
      </c>
      <c r="G3" s="5">
        <f>2833/1000</f>
        <v>2.8330000000000002</v>
      </c>
      <c r="H3" s="5">
        <v>6.6459999999999999</v>
      </c>
      <c r="I3" s="5">
        <f>4388/1000</f>
        <v>4.3879999999999999</v>
      </c>
      <c r="J3" s="5"/>
      <c r="K3" s="5">
        <f>561/1000</f>
        <v>0.56100000000000005</v>
      </c>
      <c r="L3" s="5">
        <f>1327/1000</f>
        <v>1.327</v>
      </c>
      <c r="M3" s="5">
        <f>2604/1000</f>
        <v>2.6040000000000001</v>
      </c>
      <c r="N3" s="5">
        <f>2524/1000</f>
        <v>2.524</v>
      </c>
      <c r="O3" s="5">
        <f>2000/1000</f>
        <v>2</v>
      </c>
      <c r="P3" s="5">
        <f>2000/1000</f>
        <v>2</v>
      </c>
      <c r="Q3" s="5">
        <f>3677/1000</f>
        <v>3.677</v>
      </c>
      <c r="R3" s="5"/>
      <c r="S3" s="5"/>
      <c r="T3" s="5"/>
      <c r="U3" s="5"/>
      <c r="V3" s="5"/>
      <c r="W3" s="5"/>
      <c r="X3" s="5"/>
      <c r="Y3" s="5">
        <f>4430/1000</f>
        <v>4.43</v>
      </c>
      <c r="Z3" s="5">
        <f>6029/1000</f>
        <v>6.0289999999999999</v>
      </c>
      <c r="AA3" s="5">
        <f>667/1000</f>
        <v>0.66700000000000004</v>
      </c>
      <c r="AB3" s="5">
        <v>0</v>
      </c>
      <c r="AC3" s="5">
        <f>634/1000</f>
        <v>0.63400000000000001</v>
      </c>
      <c r="AD3" s="5">
        <f>1871/1000</f>
        <v>1.871</v>
      </c>
      <c r="AE3" s="5">
        <f>3647/1000</f>
        <v>3.6469999999999998</v>
      </c>
      <c r="AF3" s="5">
        <f>3304/1000</f>
        <v>3.3039999999999998</v>
      </c>
      <c r="AG3" s="5">
        <f>+AF3</f>
        <v>3.3039999999999998</v>
      </c>
      <c r="AH3" s="458">
        <f>+AG3/Efficiency1!$K$160</f>
        <v>2.3415793209174583E-3</v>
      </c>
      <c r="AI3" s="727">
        <f>SUM(AH3:AH4)</f>
        <v>2.3415793209174583E-3</v>
      </c>
    </row>
    <row r="4" spans="1:35">
      <c r="A4" s="438" t="s">
        <v>196</v>
      </c>
      <c r="B4" s="5">
        <f>309/1000</f>
        <v>0.309</v>
      </c>
      <c r="C4" s="5">
        <f>1096/1000</f>
        <v>1.0960000000000001</v>
      </c>
      <c r="D4" s="5">
        <f>619/1000</f>
        <v>0.61899999999999999</v>
      </c>
      <c r="E4" s="5">
        <f>1602/1000</f>
        <v>1.6020000000000001</v>
      </c>
      <c r="F4" s="5">
        <f>1040/1000</f>
        <v>1.04</v>
      </c>
      <c r="G4" s="5"/>
      <c r="H4" s="5">
        <f>869/1000</f>
        <v>0.86899999999999999</v>
      </c>
      <c r="I4" s="5">
        <f>872/1000</f>
        <v>0.872</v>
      </c>
      <c r="J4" s="5">
        <f>200/1000</f>
        <v>0.2</v>
      </c>
      <c r="K4" s="5">
        <f>657/1000</f>
        <v>0.65700000000000003</v>
      </c>
      <c r="L4" s="5">
        <f>1608/1000</f>
        <v>1.6080000000000001</v>
      </c>
      <c r="M4" s="5">
        <f>382/1000</f>
        <v>0.38200000000000001</v>
      </c>
      <c r="N4" s="439">
        <f>584/1000</f>
        <v>0.58399999999999996</v>
      </c>
      <c r="O4" s="439">
        <f>740/1000</f>
        <v>0.74</v>
      </c>
      <c r="P4" s="5">
        <f>1019/1000</f>
        <v>1.0189999999999999</v>
      </c>
      <c r="Q4" s="5">
        <f>928/1000</f>
        <v>0.92800000000000005</v>
      </c>
      <c r="R4" s="5"/>
      <c r="S4" s="5"/>
      <c r="T4" s="5"/>
      <c r="U4" s="5"/>
      <c r="V4" s="5"/>
      <c r="W4" s="439"/>
      <c r="X4" s="5"/>
      <c r="Y4" s="5">
        <f>1028/1000</f>
        <v>1.028</v>
      </c>
      <c r="Z4" s="5">
        <f>822/1000</f>
        <v>0.82199999999999995</v>
      </c>
      <c r="AA4" s="5">
        <f>867/1000</f>
        <v>0.86699999999999999</v>
      </c>
      <c r="AB4" s="5">
        <f>834/1000</f>
        <v>0.83399999999999996</v>
      </c>
      <c r="AC4" s="5">
        <f>867/1000</f>
        <v>0.86699999999999999</v>
      </c>
      <c r="AD4" s="5">
        <f>200/1000</f>
        <v>0.2</v>
      </c>
      <c r="AE4" s="5">
        <f>367/1000</f>
        <v>0.36699999999999999</v>
      </c>
      <c r="AF4" s="5">
        <v>0</v>
      </c>
      <c r="AG4" s="5">
        <f>+AF4</f>
        <v>0</v>
      </c>
      <c r="AH4" s="458">
        <f>+AG4/Efficiency1!$K$160</f>
        <v>0</v>
      </c>
      <c r="AI4" s="728"/>
    </row>
    <row r="5" spans="1:35">
      <c r="A5" s="483"/>
      <c r="B5" s="484"/>
      <c r="C5" s="484"/>
      <c r="D5" s="484"/>
      <c r="E5" s="484"/>
      <c r="F5" s="484"/>
      <c r="G5" s="484"/>
      <c r="H5" s="484"/>
      <c r="I5" s="484"/>
      <c r="J5" s="484"/>
      <c r="K5" s="484"/>
      <c r="L5" s="484"/>
      <c r="M5" s="484"/>
      <c r="N5" s="485"/>
      <c r="O5" s="485"/>
      <c r="P5" s="484"/>
      <c r="Q5" s="484"/>
      <c r="R5" s="484"/>
      <c r="S5" s="484"/>
      <c r="T5" s="484"/>
      <c r="U5" s="484"/>
      <c r="V5" s="484"/>
      <c r="W5" s="485"/>
      <c r="X5" s="484"/>
      <c r="Y5" s="484"/>
      <c r="Z5" s="484"/>
      <c r="AA5" s="484"/>
      <c r="AB5" s="484"/>
      <c r="AC5" s="484"/>
      <c r="AD5" s="484"/>
      <c r="AE5" s="484"/>
      <c r="AF5" s="484"/>
      <c r="AG5" s="484"/>
      <c r="AH5" s="486"/>
    </row>
    <row r="6" spans="1:35">
      <c r="A6" s="438" t="s">
        <v>197</v>
      </c>
      <c r="B6" s="439" t="s">
        <v>522</v>
      </c>
      <c r="C6" s="5" t="s">
        <v>516</v>
      </c>
      <c r="D6" s="5"/>
      <c r="E6" s="5" t="s">
        <v>512</v>
      </c>
      <c r="F6" s="5" t="s">
        <v>509</v>
      </c>
      <c r="G6" s="5" t="s">
        <v>505</v>
      </c>
      <c r="H6" s="5" t="s">
        <v>635</v>
      </c>
      <c r="I6" s="5" t="s">
        <v>631</v>
      </c>
      <c r="J6" s="5" t="s">
        <v>628</v>
      </c>
      <c r="K6" s="5"/>
      <c r="L6" s="5"/>
      <c r="M6" s="5" t="s">
        <v>810</v>
      </c>
      <c r="N6" s="5" t="s">
        <v>625</v>
      </c>
      <c r="O6" s="5" t="s">
        <v>708</v>
      </c>
      <c r="P6" s="5"/>
      <c r="Q6" s="5" t="s">
        <v>704</v>
      </c>
      <c r="R6" s="5"/>
      <c r="S6" s="5"/>
      <c r="T6" s="5"/>
      <c r="U6" s="5"/>
      <c r="V6" s="5"/>
      <c r="W6" s="439"/>
      <c r="X6" s="5"/>
      <c r="Y6" s="5" t="s">
        <v>797</v>
      </c>
      <c r="Z6" s="5" t="s">
        <v>801</v>
      </c>
      <c r="AA6" s="5" t="s">
        <v>804</v>
      </c>
      <c r="AB6" s="5" t="s">
        <v>803</v>
      </c>
      <c r="AC6" s="5"/>
      <c r="AD6" s="5"/>
      <c r="AE6" s="5" t="s">
        <v>806</v>
      </c>
      <c r="AF6" s="5" t="s">
        <v>815</v>
      </c>
      <c r="AG6" s="5">
        <f t="shared" ref="AG6:AG37" si="0">+SUM(B6:AC6)</f>
        <v>0</v>
      </c>
      <c r="AH6" s="487" t="e">
        <f t="shared" ref="AH6:AH36" si="1">+AG6/$AG$39</f>
        <v>#DIV/0!</v>
      </c>
    </row>
    <row r="7" spans="1:35">
      <c r="A7" s="438" t="s">
        <v>218</v>
      </c>
      <c r="B7" s="5" t="s">
        <v>521</v>
      </c>
      <c r="C7" s="5" t="s">
        <v>517</v>
      </c>
      <c r="D7" s="5"/>
      <c r="E7" s="5" t="s">
        <v>513</v>
      </c>
      <c r="F7" s="5"/>
      <c r="G7" s="5" t="s">
        <v>506</v>
      </c>
      <c r="H7" s="5" t="s">
        <v>636</v>
      </c>
      <c r="I7" s="5" t="s">
        <v>629</v>
      </c>
      <c r="J7" s="5" t="s">
        <v>627</v>
      </c>
      <c r="K7" s="5"/>
      <c r="L7" s="5" t="s">
        <v>808</v>
      </c>
      <c r="M7" s="5" t="s">
        <v>811</v>
      </c>
      <c r="N7" s="5" t="s">
        <v>624</v>
      </c>
      <c r="O7" s="5"/>
      <c r="P7" s="5"/>
      <c r="Q7" s="5"/>
      <c r="R7" s="470"/>
      <c r="S7" s="5"/>
      <c r="T7" s="5"/>
      <c r="U7" s="5"/>
      <c r="V7" s="5"/>
      <c r="W7" s="5"/>
      <c r="X7" s="5"/>
      <c r="Y7" s="5" t="s">
        <v>796</v>
      </c>
      <c r="Z7" s="5" t="s">
        <v>802</v>
      </c>
      <c r="AA7" s="5"/>
      <c r="AB7" s="5"/>
      <c r="AC7" s="5"/>
      <c r="AD7" s="5"/>
      <c r="AE7" s="5" t="s">
        <v>807</v>
      </c>
      <c r="AF7" s="5"/>
      <c r="AG7" s="5">
        <f t="shared" si="0"/>
        <v>0</v>
      </c>
      <c r="AH7" s="458" t="e">
        <f t="shared" si="1"/>
        <v>#DIV/0!</v>
      </c>
    </row>
    <row r="8" spans="1:35">
      <c r="A8" s="440" t="s">
        <v>198</v>
      </c>
      <c r="B8" s="5"/>
      <c r="C8" s="5"/>
      <c r="D8" s="5"/>
      <c r="E8" s="5"/>
      <c r="F8" s="5"/>
      <c r="G8" s="5"/>
      <c r="H8" s="5"/>
      <c r="I8" s="5"/>
      <c r="J8" s="5"/>
      <c r="K8" s="5"/>
      <c r="L8" s="5"/>
      <c r="M8" s="5"/>
      <c r="N8" s="5"/>
      <c r="O8" s="6"/>
      <c r="P8" s="5"/>
      <c r="Q8" s="5"/>
      <c r="R8" s="5"/>
      <c r="S8" s="5"/>
      <c r="T8" s="5"/>
      <c r="U8" s="5"/>
      <c r="V8" s="5"/>
      <c r="W8" s="5"/>
      <c r="X8" s="5"/>
      <c r="Y8" s="5"/>
      <c r="Z8" s="5"/>
      <c r="AA8" s="5"/>
      <c r="AB8" s="5"/>
      <c r="AC8" s="5"/>
      <c r="AD8" s="5"/>
      <c r="AE8" s="5"/>
      <c r="AF8" s="5"/>
      <c r="AG8" s="5">
        <f t="shared" si="0"/>
        <v>0</v>
      </c>
      <c r="AH8" s="458" t="e">
        <f t="shared" si="1"/>
        <v>#DIV/0!</v>
      </c>
    </row>
    <row r="9" spans="1:35">
      <c r="A9" s="438" t="s">
        <v>199</v>
      </c>
      <c r="B9" s="5"/>
      <c r="C9" s="5"/>
      <c r="D9" s="5" t="s">
        <v>515</v>
      </c>
      <c r="E9" s="5"/>
      <c r="F9" s="5"/>
      <c r="G9" s="5"/>
      <c r="H9" s="5"/>
      <c r="I9" s="5"/>
      <c r="J9" s="5"/>
      <c r="K9" s="5"/>
      <c r="L9" s="5"/>
      <c r="M9" s="5"/>
      <c r="N9" s="5"/>
      <c r="O9" s="6"/>
      <c r="P9" s="5"/>
      <c r="Q9" s="5"/>
      <c r="R9" s="5"/>
      <c r="S9" s="5"/>
      <c r="T9" s="5"/>
      <c r="U9" s="5"/>
      <c r="V9" s="5"/>
      <c r="W9" s="5"/>
      <c r="X9" s="5"/>
      <c r="Y9" s="5"/>
      <c r="Z9" s="5"/>
      <c r="AA9" s="5"/>
      <c r="AB9" s="5"/>
      <c r="AC9" s="5"/>
      <c r="AD9" s="5"/>
      <c r="AE9" s="5"/>
      <c r="AF9" s="5"/>
      <c r="AG9" s="5">
        <f t="shared" si="0"/>
        <v>0</v>
      </c>
      <c r="AH9" s="458" t="e">
        <f t="shared" si="1"/>
        <v>#DIV/0!</v>
      </c>
    </row>
    <row r="10" spans="1:35">
      <c r="A10" s="438" t="s">
        <v>200</v>
      </c>
      <c r="B10" s="5"/>
      <c r="C10" s="5"/>
      <c r="D10" s="5"/>
      <c r="E10" s="5" t="s">
        <v>514</v>
      </c>
      <c r="F10" s="5" t="s">
        <v>510</v>
      </c>
      <c r="G10" s="5" t="s">
        <v>507</v>
      </c>
      <c r="H10" s="5"/>
      <c r="I10" s="5"/>
      <c r="J10" s="5"/>
      <c r="K10" s="5"/>
      <c r="L10" s="5"/>
      <c r="M10" s="5"/>
      <c r="N10" s="5"/>
      <c r="O10" s="5"/>
      <c r="P10" s="5"/>
      <c r="Q10" s="5"/>
      <c r="R10" s="5"/>
      <c r="S10" s="5"/>
      <c r="T10" s="5"/>
      <c r="U10" s="5"/>
      <c r="V10" s="5"/>
      <c r="W10" s="5"/>
      <c r="X10" s="5"/>
      <c r="Y10" s="5"/>
      <c r="Z10" s="5"/>
      <c r="AA10" s="5"/>
      <c r="AB10" s="5"/>
      <c r="AC10" s="5"/>
      <c r="AD10" s="5"/>
      <c r="AE10" s="5"/>
      <c r="AF10" s="5"/>
      <c r="AG10" s="5">
        <f t="shared" si="0"/>
        <v>0</v>
      </c>
      <c r="AH10" s="458" t="e">
        <f t="shared" si="1"/>
        <v>#DIV/0!</v>
      </c>
    </row>
    <row r="11" spans="1:35">
      <c r="A11" s="438" t="s">
        <v>201</v>
      </c>
      <c r="B11" s="5"/>
      <c r="C11" s="5" t="s">
        <v>519</v>
      </c>
      <c r="D11" s="5"/>
      <c r="E11" s="5"/>
      <c r="F11" s="5" t="s">
        <v>508</v>
      </c>
      <c r="G11" s="5"/>
      <c r="H11" s="5" t="s">
        <v>637</v>
      </c>
      <c r="I11" s="5" t="s">
        <v>632</v>
      </c>
      <c r="J11" s="5"/>
      <c r="K11" s="5"/>
      <c r="L11" s="5" t="s">
        <v>809</v>
      </c>
      <c r="M11" s="5" t="s">
        <v>812</v>
      </c>
      <c r="N11" s="5"/>
      <c r="O11" s="5"/>
      <c r="P11" s="5"/>
      <c r="Q11" s="5"/>
      <c r="R11" s="5"/>
      <c r="S11" s="5"/>
      <c r="T11" s="5"/>
      <c r="U11" s="5"/>
      <c r="V11" s="5"/>
      <c r="W11" s="5"/>
      <c r="X11" s="5"/>
      <c r="Y11" s="5" t="s">
        <v>794</v>
      </c>
      <c r="Z11" s="5"/>
      <c r="AA11" s="5" t="s">
        <v>795</v>
      </c>
      <c r="AB11" s="5"/>
      <c r="AC11" s="5"/>
      <c r="AD11" s="5"/>
      <c r="AE11" s="5" t="s">
        <v>519</v>
      </c>
      <c r="AF11" s="5" t="s">
        <v>814</v>
      </c>
      <c r="AG11" s="5">
        <f t="shared" si="0"/>
        <v>0</v>
      </c>
      <c r="AH11" s="458" t="e">
        <f t="shared" si="1"/>
        <v>#DIV/0!</v>
      </c>
    </row>
    <row r="12" spans="1:35">
      <c r="A12" s="438" t="s">
        <v>202</v>
      </c>
      <c r="B12" s="5"/>
      <c r="C12" s="5"/>
      <c r="D12" s="5"/>
      <c r="E12" s="5"/>
      <c r="F12" s="5"/>
      <c r="G12" s="5"/>
      <c r="H12" s="5"/>
      <c r="I12" s="5"/>
      <c r="J12" s="5"/>
      <c r="K12" s="5"/>
      <c r="L12" s="5"/>
      <c r="M12" s="5" t="s">
        <v>813</v>
      </c>
      <c r="N12" s="5"/>
      <c r="O12" s="5"/>
      <c r="P12" s="5"/>
      <c r="Q12" s="5"/>
      <c r="R12" s="5"/>
      <c r="S12" s="5"/>
      <c r="T12" s="5"/>
      <c r="U12" s="5"/>
      <c r="V12" s="5"/>
      <c r="W12" s="5"/>
      <c r="X12" s="5"/>
      <c r="Y12" s="5"/>
      <c r="Z12" s="5"/>
      <c r="AA12" s="5"/>
      <c r="AB12" s="5"/>
      <c r="AC12" s="5"/>
      <c r="AD12" s="5"/>
      <c r="AE12" s="5"/>
      <c r="AF12" s="5"/>
      <c r="AG12" s="5">
        <f t="shared" si="0"/>
        <v>0</v>
      </c>
      <c r="AH12" s="458" t="e">
        <f t="shared" si="1"/>
        <v>#DIV/0!</v>
      </c>
    </row>
    <row r="13" spans="1:35">
      <c r="A13" s="438" t="s">
        <v>203</v>
      </c>
      <c r="B13" s="5"/>
      <c r="C13" s="5"/>
      <c r="D13" s="5"/>
      <c r="E13" s="5"/>
      <c r="F13" s="5"/>
      <c r="G13" s="5"/>
      <c r="H13" s="5"/>
      <c r="I13" s="5"/>
      <c r="J13" s="5"/>
      <c r="K13" s="5"/>
      <c r="L13" s="5"/>
      <c r="M13" s="5"/>
      <c r="N13" s="5"/>
      <c r="O13" s="5" t="s">
        <v>706</v>
      </c>
      <c r="P13" s="5"/>
      <c r="Q13" s="5"/>
      <c r="R13" s="5"/>
      <c r="S13" s="5"/>
      <c r="T13" s="5"/>
      <c r="U13" s="5"/>
      <c r="V13" s="5"/>
      <c r="W13" s="5"/>
      <c r="X13" s="5"/>
      <c r="Y13" s="5"/>
      <c r="Z13" s="5"/>
      <c r="AA13" s="5"/>
      <c r="AB13" s="5"/>
      <c r="AC13" s="5"/>
      <c r="AD13" s="5" t="s">
        <v>626</v>
      </c>
      <c r="AE13" s="5"/>
      <c r="AF13" s="5"/>
      <c r="AG13" s="5">
        <f t="shared" si="0"/>
        <v>0</v>
      </c>
      <c r="AH13" s="458" t="e">
        <f t="shared" si="1"/>
        <v>#DIV/0!</v>
      </c>
    </row>
    <row r="14" spans="1:35">
      <c r="A14" s="438" t="s">
        <v>204</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f t="shared" si="0"/>
        <v>0</v>
      </c>
      <c r="AH14" s="458" t="e">
        <f t="shared" si="1"/>
        <v>#DIV/0!</v>
      </c>
    </row>
    <row r="15" spans="1:35">
      <c r="A15" s="438" t="s">
        <v>275</v>
      </c>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f t="shared" si="0"/>
        <v>0</v>
      </c>
      <c r="AH15" s="458" t="e">
        <f t="shared" si="1"/>
        <v>#DIV/0!</v>
      </c>
    </row>
    <row r="16" spans="1:35">
      <c r="A16" s="438" t="s">
        <v>276</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f t="shared" si="0"/>
        <v>0</v>
      </c>
      <c r="AH16" s="458" t="e">
        <f t="shared" si="1"/>
        <v>#DIV/0!</v>
      </c>
    </row>
    <row r="17" spans="1:34">
      <c r="A17" s="438" t="s">
        <v>205</v>
      </c>
      <c r="B17" s="5" t="s">
        <v>520</v>
      </c>
      <c r="C17" s="5"/>
      <c r="D17" s="5"/>
      <c r="E17" s="5" t="s">
        <v>511</v>
      </c>
      <c r="F17" s="5"/>
      <c r="G17" s="5"/>
      <c r="H17" s="5"/>
      <c r="I17" s="5" t="s">
        <v>634</v>
      </c>
      <c r="J17" s="5"/>
      <c r="K17" s="5"/>
      <c r="L17" s="5"/>
      <c r="M17" s="5"/>
      <c r="N17" s="5"/>
      <c r="O17" s="5"/>
      <c r="P17" s="5"/>
      <c r="Q17" s="5"/>
      <c r="R17" s="5"/>
      <c r="S17" s="5"/>
      <c r="T17" s="5"/>
      <c r="U17" s="5"/>
      <c r="V17" s="5"/>
      <c r="W17" s="5"/>
      <c r="X17" s="5"/>
      <c r="Y17" s="5"/>
      <c r="Z17" s="5"/>
      <c r="AA17" s="5"/>
      <c r="AB17" s="5"/>
      <c r="AC17" s="5"/>
      <c r="AD17" s="5"/>
      <c r="AE17" s="5"/>
      <c r="AF17" s="5" t="s">
        <v>626</v>
      </c>
      <c r="AG17" s="5">
        <f t="shared" si="0"/>
        <v>0</v>
      </c>
      <c r="AH17" s="458" t="e">
        <f t="shared" si="1"/>
        <v>#DIV/0!</v>
      </c>
    </row>
    <row r="18" spans="1:34">
      <c r="A18" s="438" t="s">
        <v>206</v>
      </c>
      <c r="B18" s="5" t="s">
        <v>508</v>
      </c>
      <c r="C18" s="5" t="s">
        <v>518</v>
      </c>
      <c r="D18" s="5"/>
      <c r="E18" s="5"/>
      <c r="F18" s="5"/>
      <c r="G18" s="5"/>
      <c r="H18" s="5"/>
      <c r="I18" s="5" t="s">
        <v>633</v>
      </c>
      <c r="J18" s="5"/>
      <c r="K18" s="5" t="s">
        <v>626</v>
      </c>
      <c r="L18" s="5"/>
      <c r="M18" s="5"/>
      <c r="N18" s="5"/>
      <c r="O18" s="439"/>
      <c r="P18" s="5"/>
      <c r="Q18" s="5"/>
      <c r="R18" s="5"/>
      <c r="S18" s="5"/>
      <c r="T18" s="5"/>
      <c r="U18" s="5"/>
      <c r="V18" s="5"/>
      <c r="W18" s="5"/>
      <c r="X18" s="5"/>
      <c r="Y18" s="5"/>
      <c r="Z18" s="5"/>
      <c r="AA18" s="5"/>
      <c r="AB18" s="5" t="s">
        <v>626</v>
      </c>
      <c r="AC18" s="5" t="s">
        <v>805</v>
      </c>
      <c r="AD18" s="5" t="s">
        <v>799</v>
      </c>
      <c r="AE18" s="5"/>
      <c r="AF18" s="5"/>
      <c r="AG18" s="5">
        <f t="shared" si="0"/>
        <v>0</v>
      </c>
      <c r="AH18" s="458" t="e">
        <f t="shared" si="1"/>
        <v>#DIV/0!</v>
      </c>
    </row>
    <row r="19" spans="1:34">
      <c r="A19" s="438" t="s">
        <v>277</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f t="shared" si="0"/>
        <v>0</v>
      </c>
      <c r="AH19" s="458" t="e">
        <f t="shared" si="1"/>
        <v>#DIV/0!</v>
      </c>
    </row>
    <row r="20" spans="1:34">
      <c r="A20" s="438" t="s">
        <v>278</v>
      </c>
      <c r="B20" s="5"/>
      <c r="C20" s="5"/>
      <c r="D20" s="5"/>
      <c r="E20" s="5"/>
      <c r="F20" s="5"/>
      <c r="G20" s="5"/>
      <c r="H20" s="5"/>
      <c r="I20" s="5"/>
      <c r="J20" s="5"/>
      <c r="K20" s="5"/>
      <c r="L20" s="5"/>
      <c r="M20" s="5"/>
      <c r="N20" s="5"/>
      <c r="O20" s="5"/>
      <c r="P20" s="5" t="s">
        <v>705</v>
      </c>
      <c r="Q20" s="5"/>
      <c r="R20" s="5"/>
      <c r="S20" s="5"/>
      <c r="T20" s="5"/>
      <c r="U20" s="5"/>
      <c r="V20" s="5"/>
      <c r="W20" s="5"/>
      <c r="X20" s="5"/>
      <c r="Y20" s="5" t="s">
        <v>795</v>
      </c>
      <c r="Z20" s="5" t="s">
        <v>800</v>
      </c>
      <c r="AA20" s="5"/>
      <c r="AB20" s="5"/>
      <c r="AC20" s="5"/>
      <c r="AD20" s="5"/>
      <c r="AE20" s="5"/>
      <c r="AF20" s="5"/>
      <c r="AG20" s="5">
        <f t="shared" si="0"/>
        <v>0</v>
      </c>
      <c r="AH20" s="458" t="e">
        <f t="shared" si="1"/>
        <v>#DIV/0!</v>
      </c>
    </row>
    <row r="21" spans="1:34">
      <c r="A21" s="438" t="s">
        <v>207</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f t="shared" si="0"/>
        <v>0</v>
      </c>
      <c r="AH21" s="458" t="e">
        <f t="shared" si="1"/>
        <v>#DIV/0!</v>
      </c>
    </row>
    <row r="22" spans="1:34">
      <c r="A22" s="438" t="s">
        <v>285</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f t="shared" si="0"/>
        <v>0</v>
      </c>
      <c r="AH22" s="458" t="e">
        <f t="shared" si="1"/>
        <v>#DIV/0!</v>
      </c>
    </row>
    <row r="23" spans="1:34">
      <c r="A23" s="438" t="s">
        <v>208</v>
      </c>
      <c r="B23" s="5"/>
      <c r="C23" s="5"/>
      <c r="D23" s="5"/>
      <c r="E23" s="5"/>
      <c r="F23" s="5"/>
      <c r="G23" s="5"/>
      <c r="H23" s="5"/>
      <c r="I23" s="5"/>
      <c r="J23" s="5"/>
      <c r="K23" s="5"/>
      <c r="L23" s="5"/>
      <c r="M23" s="5"/>
      <c r="N23" s="5"/>
      <c r="O23" s="5"/>
      <c r="P23" s="5"/>
      <c r="Q23" s="5"/>
      <c r="R23" s="5"/>
      <c r="S23" s="5"/>
      <c r="T23" s="5"/>
      <c r="U23" s="5"/>
      <c r="V23" s="5"/>
      <c r="W23" s="5"/>
      <c r="X23" s="5"/>
      <c r="Y23" s="5" t="s">
        <v>798</v>
      </c>
      <c r="Z23" s="5"/>
      <c r="AA23" s="5"/>
      <c r="AB23" s="5"/>
      <c r="AC23" s="5"/>
      <c r="AD23" s="5"/>
      <c r="AE23" s="5"/>
      <c r="AF23" s="5"/>
      <c r="AG23" s="5">
        <f t="shared" si="0"/>
        <v>0</v>
      </c>
      <c r="AH23" s="458" t="e">
        <f t="shared" si="1"/>
        <v>#DIV/0!</v>
      </c>
    </row>
    <row r="24" spans="1:34">
      <c r="A24" s="438" t="s">
        <v>279</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f t="shared" si="0"/>
        <v>0</v>
      </c>
      <c r="AH24" s="458" t="e">
        <f t="shared" si="1"/>
        <v>#DIV/0!</v>
      </c>
    </row>
    <row r="25" spans="1:34">
      <c r="A25" s="438" t="s">
        <v>209</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f t="shared" si="0"/>
        <v>0</v>
      </c>
      <c r="AH25" s="458" t="e">
        <f t="shared" si="1"/>
        <v>#DIV/0!</v>
      </c>
    </row>
    <row r="26" spans="1:34">
      <c r="A26" s="438" t="s">
        <v>210</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f t="shared" si="0"/>
        <v>0</v>
      </c>
      <c r="AH26" s="458" t="e">
        <f t="shared" si="1"/>
        <v>#DIV/0!</v>
      </c>
    </row>
    <row r="27" spans="1:34">
      <c r="A27" s="438" t="s">
        <v>211</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f t="shared" si="0"/>
        <v>0</v>
      </c>
      <c r="AH27" s="458" t="e">
        <f t="shared" si="1"/>
        <v>#DIV/0!</v>
      </c>
    </row>
    <row r="28" spans="1:34">
      <c r="A28" s="438" t="s">
        <v>212</v>
      </c>
      <c r="B28" s="5"/>
      <c r="C28" s="5"/>
      <c r="D28" s="5"/>
      <c r="E28" s="5"/>
      <c r="F28" s="5"/>
      <c r="G28" s="5"/>
      <c r="H28" s="5"/>
      <c r="I28" s="5" t="s">
        <v>630</v>
      </c>
      <c r="J28" s="5"/>
      <c r="K28" s="5"/>
      <c r="L28" s="5"/>
      <c r="M28" s="5"/>
      <c r="N28" s="5"/>
      <c r="O28" s="5"/>
      <c r="P28" s="5"/>
      <c r="Q28" s="5"/>
      <c r="R28" s="5"/>
      <c r="S28" s="5"/>
      <c r="T28" s="5"/>
      <c r="U28" s="5"/>
      <c r="V28" s="5"/>
      <c r="W28" s="5"/>
      <c r="X28" s="5"/>
      <c r="Y28" s="5"/>
      <c r="Z28" s="5"/>
      <c r="AA28" s="5"/>
      <c r="AB28" s="5"/>
      <c r="AC28" s="5"/>
      <c r="AD28" s="5"/>
      <c r="AE28" s="5"/>
      <c r="AF28" s="5"/>
      <c r="AG28" s="5">
        <f t="shared" si="0"/>
        <v>0</v>
      </c>
      <c r="AH28" s="458" t="e">
        <f t="shared" si="1"/>
        <v>#DIV/0!</v>
      </c>
    </row>
    <row r="29" spans="1:34">
      <c r="A29" s="438" t="s">
        <v>280</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f t="shared" si="0"/>
        <v>0</v>
      </c>
      <c r="AH29" s="458" t="e">
        <f t="shared" si="1"/>
        <v>#DIV/0!</v>
      </c>
    </row>
    <row r="30" spans="1:34">
      <c r="A30" s="438" t="s">
        <v>281</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f t="shared" si="0"/>
        <v>0</v>
      </c>
      <c r="AH30" s="458" t="e">
        <f t="shared" si="1"/>
        <v>#DIV/0!</v>
      </c>
    </row>
    <row r="31" spans="1:34">
      <c r="A31" s="438" t="s">
        <v>213</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f t="shared" si="0"/>
        <v>0</v>
      </c>
      <c r="AH31" s="458" t="e">
        <f t="shared" si="1"/>
        <v>#DIV/0!</v>
      </c>
    </row>
    <row r="32" spans="1:34">
      <c r="A32" s="438" t="s">
        <v>214</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f t="shared" si="0"/>
        <v>0</v>
      </c>
      <c r="AH32" s="458" t="e">
        <f t="shared" si="1"/>
        <v>#DIV/0!</v>
      </c>
    </row>
    <row r="33" spans="1:34">
      <c r="A33" s="438" t="s">
        <v>215</v>
      </c>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f t="shared" si="0"/>
        <v>0</v>
      </c>
      <c r="AH33" s="458" t="e">
        <f t="shared" si="1"/>
        <v>#DIV/0!</v>
      </c>
    </row>
    <row r="34" spans="1:34">
      <c r="A34" s="441" t="s">
        <v>216</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f t="shared" si="0"/>
        <v>0</v>
      </c>
      <c r="AH34" s="458" t="e">
        <f t="shared" si="1"/>
        <v>#DIV/0!</v>
      </c>
    </row>
    <row r="35" spans="1:34">
      <c r="A35" s="441" t="s">
        <v>217</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f t="shared" si="0"/>
        <v>0</v>
      </c>
      <c r="AH35" s="458" t="e">
        <f t="shared" si="1"/>
        <v>#DIV/0!</v>
      </c>
    </row>
    <row r="36" spans="1:34">
      <c r="A36" s="441" t="s">
        <v>703</v>
      </c>
      <c r="B36" s="5"/>
      <c r="C36" s="5"/>
      <c r="D36" s="5"/>
      <c r="E36" s="5"/>
      <c r="F36" s="5"/>
      <c r="G36" s="5"/>
      <c r="H36" s="5"/>
      <c r="I36" s="5"/>
      <c r="J36" s="5"/>
      <c r="K36" s="5"/>
      <c r="L36" s="5" t="s">
        <v>626</v>
      </c>
      <c r="M36" s="5"/>
      <c r="N36" s="5"/>
      <c r="O36" s="5" t="s">
        <v>707</v>
      </c>
      <c r="P36" s="5"/>
      <c r="Q36" s="5"/>
      <c r="R36" s="5" t="s">
        <v>518</v>
      </c>
      <c r="S36" s="5"/>
      <c r="T36" s="5"/>
      <c r="U36" s="5"/>
      <c r="V36" s="5"/>
      <c r="W36" s="5"/>
      <c r="X36" s="5"/>
      <c r="Y36" s="5"/>
      <c r="Z36" s="5"/>
      <c r="AA36" s="5"/>
      <c r="AB36" s="5"/>
      <c r="AC36" s="5"/>
      <c r="AD36" s="5"/>
      <c r="AE36" s="5"/>
      <c r="AF36" s="5"/>
      <c r="AG36" s="5">
        <f t="shared" si="0"/>
        <v>0</v>
      </c>
      <c r="AH36" s="458" t="e">
        <f t="shared" si="1"/>
        <v>#DIV/0!</v>
      </c>
    </row>
    <row r="37" spans="1:34">
      <c r="A37" s="441" t="s">
        <v>378</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f t="shared" si="0"/>
        <v>0</v>
      </c>
      <c r="AH37" s="458" t="e">
        <f>+AG37/$AG$39</f>
        <v>#DIV/0!</v>
      </c>
    </row>
    <row r="38" spans="1:34">
      <c r="A38" s="488" t="s">
        <v>282</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489">
        <f>+AG39/Efficiency1!$K$160</f>
        <v>0</v>
      </c>
    </row>
    <row r="39" spans="1:34">
      <c r="A39" s="441" t="s">
        <v>2</v>
      </c>
      <c r="B39" s="5">
        <f>SUM(B3:B37)</f>
        <v>3.7050000000000001</v>
      </c>
      <c r="C39" s="5">
        <f t="shared" ref="C39:AC39" si="2">SUM(C3:C37)</f>
        <v>1.5610000000000002</v>
      </c>
      <c r="D39" s="5">
        <f t="shared" si="2"/>
        <v>5.3620000000000001</v>
      </c>
      <c r="E39" s="5">
        <f t="shared" si="2"/>
        <v>6.5529999999999999</v>
      </c>
      <c r="F39" s="5">
        <f>SUM(F3:F37)</f>
        <v>6.7249999999999996</v>
      </c>
      <c r="G39" s="5">
        <f>SUM(G3:G37)</f>
        <v>2.8330000000000002</v>
      </c>
      <c r="H39" s="5">
        <f t="shared" si="2"/>
        <v>7.5149999999999997</v>
      </c>
      <c r="I39" s="5">
        <f t="shared" si="2"/>
        <v>5.26</v>
      </c>
      <c r="J39" s="5">
        <f t="shared" si="2"/>
        <v>0.2</v>
      </c>
      <c r="K39" s="5">
        <f t="shared" si="2"/>
        <v>1.218</v>
      </c>
      <c r="L39" s="5">
        <f t="shared" si="2"/>
        <v>2.9350000000000001</v>
      </c>
      <c r="M39" s="5">
        <f t="shared" si="2"/>
        <v>2.9860000000000002</v>
      </c>
      <c r="N39" s="5">
        <f t="shared" si="2"/>
        <v>3.1080000000000001</v>
      </c>
      <c r="O39" s="6">
        <f t="shared" si="2"/>
        <v>2.74</v>
      </c>
      <c r="P39" s="5">
        <f t="shared" si="2"/>
        <v>3.0190000000000001</v>
      </c>
      <c r="Q39" s="5">
        <f t="shared" si="2"/>
        <v>4.6050000000000004</v>
      </c>
      <c r="R39" s="5">
        <f>SUM(R3:R37)</f>
        <v>0</v>
      </c>
      <c r="S39" s="5">
        <f t="shared" si="2"/>
        <v>0</v>
      </c>
      <c r="T39" s="5">
        <f t="shared" si="2"/>
        <v>0</v>
      </c>
      <c r="U39" s="5">
        <f t="shared" si="2"/>
        <v>0</v>
      </c>
      <c r="V39" s="5">
        <f t="shared" si="2"/>
        <v>0</v>
      </c>
      <c r="W39" s="5">
        <f t="shared" si="2"/>
        <v>0</v>
      </c>
      <c r="X39" s="5">
        <f t="shared" si="2"/>
        <v>0</v>
      </c>
      <c r="Y39" s="5">
        <f t="shared" si="2"/>
        <v>5.4580000000000002</v>
      </c>
      <c r="Z39" s="5">
        <f t="shared" si="2"/>
        <v>6.851</v>
      </c>
      <c r="AA39" s="5">
        <f t="shared" si="2"/>
        <v>1.534</v>
      </c>
      <c r="AB39" s="5">
        <f t="shared" si="2"/>
        <v>0.83399999999999996</v>
      </c>
      <c r="AC39" s="5">
        <f t="shared" si="2"/>
        <v>1.5009999999999999</v>
      </c>
      <c r="AD39" s="5">
        <f>SUM(AD3:AD37)</f>
        <v>2.0710000000000002</v>
      </c>
      <c r="AE39" s="5">
        <f t="shared" ref="AE39:AF39" si="3">SUM(AE3:AE37)</f>
        <v>4.0139999999999993</v>
      </c>
      <c r="AF39" s="5">
        <f t="shared" si="3"/>
        <v>3.3039999999999998</v>
      </c>
      <c r="AG39" s="16">
        <f>SUM(AG6:AG38)</f>
        <v>0</v>
      </c>
      <c r="AH39" s="459" t="e">
        <f>SUM(AH6:AH37)</f>
        <v>#DIV/0!</v>
      </c>
    </row>
  </sheetData>
  <mergeCells count="1">
    <mergeCell ref="AI3:AI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5"/>
  <sheetViews>
    <sheetView zoomScale="85" workbookViewId="0">
      <pane xSplit="5" ySplit="9" topLeftCell="F16" activePane="bottomRight" state="frozen"/>
      <selection activeCell="DK16" sqref="DK16"/>
      <selection pane="topRight" activeCell="DK16" sqref="DK16"/>
      <selection pane="bottomLeft" activeCell="DK16" sqref="DK16"/>
      <selection pane="bottomRight" activeCell="BC30" sqref="BC30"/>
    </sheetView>
  </sheetViews>
  <sheetFormatPr defaultColWidth="9.140625" defaultRowHeight="12.75"/>
  <cols>
    <col min="1" max="1" width="8"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3.140625" bestFit="1" customWidth="1"/>
    <col min="20" max="20" width="8.28515625" bestFit="1" customWidth="1"/>
    <col min="21" max="21" width="14.42578125" bestFit="1" customWidth="1"/>
    <col min="22" max="22" width="8" bestFit="1" customWidth="1"/>
    <col min="23" max="23" width="12.7109375" hidden="1" customWidth="1"/>
    <col min="24" max="24" width="8.7109375" hidden="1" customWidth="1"/>
    <col min="25" max="25" width="12.140625" hidden="1" customWidth="1"/>
    <col min="26" max="26" width="21.42578125" hidden="1" customWidth="1"/>
    <col min="27" max="27" width="17.7109375" hidden="1" customWidth="1"/>
    <col min="28" max="28" width="12.28515625" hidden="1" customWidth="1"/>
    <col min="29" max="29" width="14.42578125" hidden="1" customWidth="1"/>
    <col min="30" max="30" width="9.42578125" hidden="1" customWidth="1"/>
    <col min="31" max="31" width="17.7109375" hidden="1" customWidth="1"/>
    <col min="32" max="32" width="9.28515625" hidden="1" customWidth="1"/>
    <col min="33" max="33" width="14.42578125" hidden="1" customWidth="1"/>
    <col min="34" max="34" width="8.140625" hidden="1" customWidth="1"/>
    <col min="35" max="35" width="11.42578125" hidden="1" customWidth="1"/>
    <col min="36" max="36" width="8.5703125" hidden="1" customWidth="1"/>
    <col min="37" max="37" width="11.42578125" hidden="1" customWidth="1"/>
    <col min="38" max="38" width="8" hidden="1" customWidth="1"/>
    <col min="39" max="39" width="13.7109375" customWidth="1"/>
    <col min="40" max="40" width="8.140625" customWidth="1"/>
    <col min="41" max="41" width="13.140625" bestFit="1" customWidth="1"/>
    <col min="42" max="42" width="8.140625" customWidth="1"/>
    <col min="43" max="43" width="12.140625" hidden="1" customWidth="1"/>
    <col min="44" max="44" width="7.7109375" hidden="1" customWidth="1"/>
    <col min="45" max="45" width="12.140625" hidden="1" customWidth="1"/>
    <col min="46" max="46" width="7.7109375" hidden="1" customWidth="1"/>
    <col min="47" max="47" width="13.28515625" hidden="1" customWidth="1"/>
    <col min="48" max="48" width="8.85546875" hidden="1" customWidth="1"/>
    <col min="49" max="49" width="15.28515625" hidden="1" customWidth="1"/>
    <col min="50" max="50" width="7.7109375" hidden="1" customWidth="1"/>
    <col min="51" max="51" width="10.28515625" hidden="1" customWidth="1"/>
    <col min="52" max="52" width="8.140625" hidden="1" customWidth="1"/>
    <col min="53" max="53" width="11.42578125" hidden="1" customWidth="1"/>
    <col min="54" max="54" width="7.7109375" hidden="1" customWidth="1"/>
    <col min="55" max="55" width="17.7109375" customWidth="1"/>
    <col min="56" max="56" width="9.28515625" customWidth="1"/>
    <col min="57" max="57" width="14.42578125" customWidth="1"/>
    <col min="58" max="58" width="10" customWidth="1"/>
    <col min="59" max="59" width="15.42578125" hidden="1" customWidth="1"/>
    <col min="60" max="60" width="8.7109375" hidden="1" customWidth="1"/>
    <col min="61" max="61" width="12.85546875" hidden="1" customWidth="1"/>
    <col min="62" max="62" width="8.42578125" hidden="1" customWidth="1"/>
    <col min="63" max="63" width="17.7109375" bestFit="1" customWidth="1"/>
    <col min="64" max="64" width="14.42578125" bestFit="1" customWidth="1"/>
    <col min="65" max="65" width="8.85546875" bestFit="1" customWidth="1"/>
    <col min="66" max="66" width="10.28515625" bestFit="1" customWidth="1"/>
    <col min="67" max="67" width="13.28515625" bestFit="1" customWidth="1"/>
    <col min="68" max="68" width="10.42578125" bestFit="1" customWidth="1"/>
    <col min="70" max="70" width="15.42578125" bestFit="1" customWidth="1"/>
    <col min="71" max="71" width="10.42578125" bestFit="1" customWidth="1"/>
    <col min="74" max="74" width="10.42578125" bestFit="1" customWidth="1"/>
  </cols>
  <sheetData>
    <row r="1" spans="1:66" ht="15.75">
      <c r="A1" s="147"/>
      <c r="AE1" s="251"/>
    </row>
    <row r="2" spans="1:66" ht="15.75">
      <c r="A2" s="147"/>
      <c r="AE2" s="251"/>
      <c r="AI2" s="18"/>
    </row>
    <row r="3" spans="1:66" ht="15">
      <c r="A3" s="149"/>
      <c r="AE3" s="251"/>
    </row>
    <row r="4" spans="1:66" ht="15.75">
      <c r="A4" s="150" t="s">
        <v>287</v>
      </c>
      <c r="G4" s="13"/>
      <c r="AA4" s="13"/>
      <c r="AE4" s="251"/>
      <c r="AV4" s="18"/>
    </row>
    <row r="5" spans="1:66" ht="15.75">
      <c r="A5" s="150"/>
      <c r="G5" s="13"/>
      <c r="AA5" s="13"/>
      <c r="AE5" s="13"/>
    </row>
    <row r="6" spans="1:66" ht="18">
      <c r="A6" s="252"/>
      <c r="AA6" s="13"/>
      <c r="AE6" s="13"/>
      <c r="BD6" s="13"/>
      <c r="BE6" s="13"/>
      <c r="BF6" s="13"/>
      <c r="BL6" s="13"/>
    </row>
    <row r="7" spans="1:66" ht="16.5" thickBot="1">
      <c r="A7" s="253"/>
      <c r="B7" s="253"/>
      <c r="C7" s="253"/>
      <c r="D7" s="253"/>
      <c r="E7" s="253"/>
      <c r="F7" s="253"/>
      <c r="G7" s="253">
        <v>250</v>
      </c>
      <c r="K7">
        <v>251.33099999999999</v>
      </c>
      <c r="S7" s="253"/>
      <c r="T7" s="253"/>
      <c r="U7" s="254"/>
      <c r="V7" s="254"/>
      <c r="W7" s="253">
        <v>248.881</v>
      </c>
      <c r="X7" s="253"/>
      <c r="Y7" s="253"/>
      <c r="Z7" s="253"/>
      <c r="AA7" s="444">
        <v>250.69</v>
      </c>
      <c r="AB7" s="253"/>
      <c r="AC7" s="253"/>
      <c r="AD7" s="253"/>
      <c r="AE7" s="444">
        <v>251.53399999999999</v>
      </c>
      <c r="AF7" s="253"/>
      <c r="AG7" s="253"/>
      <c r="AH7" s="253"/>
      <c r="AI7" s="253">
        <v>238.345</v>
      </c>
      <c r="AJ7" s="253"/>
      <c r="AK7" s="253"/>
      <c r="AL7" s="253"/>
      <c r="AM7" s="253"/>
      <c r="AN7" s="253"/>
      <c r="AO7" s="253"/>
      <c r="AP7" s="253"/>
      <c r="AQ7" s="253">
        <v>251.53399999999999</v>
      </c>
      <c r="AR7" s="253"/>
      <c r="AS7" s="253"/>
      <c r="AT7" s="253"/>
      <c r="AU7" s="253">
        <v>248.881</v>
      </c>
      <c r="AV7" s="253"/>
      <c r="AW7" s="253"/>
      <c r="AX7" s="253"/>
      <c r="AY7" s="253">
        <v>246.464</v>
      </c>
      <c r="AZ7" s="253"/>
      <c r="BA7" s="253"/>
      <c r="BB7" s="253"/>
      <c r="BC7" s="254"/>
      <c r="BD7" s="254"/>
      <c r="BE7" s="253"/>
      <c r="BF7" s="253"/>
      <c r="BG7" s="253"/>
      <c r="BH7" s="253"/>
      <c r="BI7" s="253"/>
      <c r="BJ7" s="253"/>
      <c r="BK7" s="253"/>
      <c r="BL7" s="253"/>
      <c r="BM7" s="253"/>
      <c r="BN7" s="253"/>
    </row>
    <row r="8" spans="1:66" ht="38.25" customHeight="1" thickTop="1">
      <c r="A8" s="538" t="s">
        <v>29</v>
      </c>
      <c r="B8" s="538" t="s">
        <v>4</v>
      </c>
      <c r="C8" s="538" t="s">
        <v>5</v>
      </c>
      <c r="D8" s="540" t="s">
        <v>41</v>
      </c>
      <c r="E8" s="542" t="s">
        <v>39</v>
      </c>
      <c r="F8" s="543"/>
      <c r="G8" s="729" t="s">
        <v>376</v>
      </c>
      <c r="H8" s="730"/>
      <c r="I8" s="730"/>
      <c r="J8" s="731"/>
      <c r="K8" s="729" t="s">
        <v>418</v>
      </c>
      <c r="L8" s="730"/>
      <c r="M8" s="730"/>
      <c r="N8" s="731"/>
      <c r="O8" s="729" t="s">
        <v>42</v>
      </c>
      <c r="P8" s="730"/>
      <c r="Q8" s="730"/>
      <c r="R8" s="731"/>
      <c r="S8" s="729" t="s">
        <v>43</v>
      </c>
      <c r="T8" s="730"/>
      <c r="U8" s="730"/>
      <c r="V8" s="731"/>
      <c r="W8" s="573" t="s">
        <v>392</v>
      </c>
      <c r="X8" s="574"/>
      <c r="Y8" s="574"/>
      <c r="Z8" s="575"/>
      <c r="AA8" s="573" t="s">
        <v>171</v>
      </c>
      <c r="AB8" s="574"/>
      <c r="AC8" s="574"/>
      <c r="AD8" s="575"/>
      <c r="AE8" s="573" t="s">
        <v>225</v>
      </c>
      <c r="AF8" s="574"/>
      <c r="AG8" s="574"/>
      <c r="AH8" s="575"/>
      <c r="AI8" s="573" t="s">
        <v>380</v>
      </c>
      <c r="AJ8" s="574"/>
      <c r="AK8" s="574"/>
      <c r="AL8" s="575"/>
      <c r="AM8" s="729" t="s">
        <v>89</v>
      </c>
      <c r="AN8" s="730"/>
      <c r="AO8" s="730"/>
      <c r="AP8" s="731"/>
      <c r="AQ8" s="729" t="s">
        <v>419</v>
      </c>
      <c r="AR8" s="730"/>
      <c r="AS8" s="730"/>
      <c r="AT8" s="731"/>
      <c r="AU8" s="732" t="s">
        <v>442</v>
      </c>
      <c r="AV8" s="733"/>
      <c r="AW8" s="733"/>
      <c r="AX8" s="734"/>
      <c r="AY8" s="732" t="s">
        <v>657</v>
      </c>
      <c r="AZ8" s="733"/>
      <c r="BA8" s="733"/>
      <c r="BB8" s="734"/>
      <c r="BC8" s="729" t="s">
        <v>90</v>
      </c>
      <c r="BD8" s="730"/>
      <c r="BE8" s="730"/>
      <c r="BF8" s="731"/>
      <c r="BG8" s="573" t="s">
        <v>44</v>
      </c>
      <c r="BH8" s="574"/>
      <c r="BI8" s="574"/>
      <c r="BJ8" s="575"/>
      <c r="BK8" s="729" t="s">
        <v>45</v>
      </c>
      <c r="BL8" s="731"/>
      <c r="BM8" s="729" t="s">
        <v>46</v>
      </c>
      <c r="BN8" s="731"/>
    </row>
    <row r="9" spans="1:66">
      <c r="A9" s="539"/>
      <c r="B9" s="539"/>
      <c r="C9" s="539"/>
      <c r="D9" s="541"/>
      <c r="E9" s="2" t="s">
        <v>37</v>
      </c>
      <c r="F9" s="537" t="s">
        <v>38</v>
      </c>
      <c r="G9" s="8" t="s">
        <v>37</v>
      </c>
      <c r="H9" s="8" t="s">
        <v>11</v>
      </c>
      <c r="I9" s="541" t="s">
        <v>38</v>
      </c>
      <c r="J9" s="541" t="s">
        <v>11</v>
      </c>
      <c r="K9" s="8" t="s">
        <v>37</v>
      </c>
      <c r="L9" s="8" t="s">
        <v>11</v>
      </c>
      <c r="M9" s="541" t="s">
        <v>38</v>
      </c>
      <c r="N9" s="541" t="s">
        <v>11</v>
      </c>
      <c r="O9" s="8" t="s">
        <v>37</v>
      </c>
      <c r="P9" s="8" t="s">
        <v>11</v>
      </c>
      <c r="Q9" s="541" t="s">
        <v>38</v>
      </c>
      <c r="R9" s="541" t="s">
        <v>11</v>
      </c>
      <c r="S9" s="541" t="s">
        <v>37</v>
      </c>
      <c r="T9" s="541" t="s">
        <v>11</v>
      </c>
      <c r="U9" s="541" t="s">
        <v>38</v>
      </c>
      <c r="V9" s="541" t="s">
        <v>11</v>
      </c>
      <c r="W9" s="541" t="s">
        <v>37</v>
      </c>
      <c r="X9" s="541" t="s">
        <v>11</v>
      </c>
      <c r="Y9" s="541" t="s">
        <v>38</v>
      </c>
      <c r="Z9" s="541" t="s">
        <v>11</v>
      </c>
      <c r="AA9" s="541" t="s">
        <v>37</v>
      </c>
      <c r="AB9" s="541" t="s">
        <v>11</v>
      </c>
      <c r="AC9" s="541" t="s">
        <v>38</v>
      </c>
      <c r="AD9" s="541" t="s">
        <v>11</v>
      </c>
      <c r="AE9" s="541" t="s">
        <v>37</v>
      </c>
      <c r="AF9" s="541" t="s">
        <v>11</v>
      </c>
      <c r="AG9" s="541" t="s">
        <v>38</v>
      </c>
      <c r="AH9" s="541" t="s">
        <v>11</v>
      </c>
      <c r="AI9" s="541" t="s">
        <v>37</v>
      </c>
      <c r="AJ9" s="541" t="s">
        <v>11</v>
      </c>
      <c r="AK9" s="541" t="s">
        <v>38</v>
      </c>
      <c r="AL9" s="541" t="s">
        <v>11</v>
      </c>
      <c r="AM9" s="541" t="s">
        <v>37</v>
      </c>
      <c r="AN9" s="541" t="s">
        <v>11</v>
      </c>
      <c r="AO9" s="541" t="s">
        <v>38</v>
      </c>
      <c r="AP9" s="541" t="s">
        <v>11</v>
      </c>
      <c r="AQ9" s="541" t="s">
        <v>37</v>
      </c>
      <c r="AR9" s="541" t="s">
        <v>11</v>
      </c>
      <c r="AS9" s="541" t="s">
        <v>38</v>
      </c>
      <c r="AT9" s="541" t="s">
        <v>11</v>
      </c>
      <c r="AU9" s="541" t="s">
        <v>37</v>
      </c>
      <c r="AV9" s="541" t="s">
        <v>11</v>
      </c>
      <c r="AW9" s="541" t="s">
        <v>38</v>
      </c>
      <c r="AX9" s="541" t="s">
        <v>11</v>
      </c>
      <c r="AY9" s="541" t="s">
        <v>37</v>
      </c>
      <c r="AZ9" s="541" t="s">
        <v>11</v>
      </c>
      <c r="BA9" s="541" t="s">
        <v>38</v>
      </c>
      <c r="BB9" s="541" t="s">
        <v>11</v>
      </c>
      <c r="BC9" s="541" t="s">
        <v>37</v>
      </c>
      <c r="BD9" s="541" t="s">
        <v>11</v>
      </c>
      <c r="BE9" s="541" t="s">
        <v>38</v>
      </c>
      <c r="BF9" s="541" t="s">
        <v>11</v>
      </c>
      <c r="BG9" s="541" t="s">
        <v>37</v>
      </c>
      <c r="BH9" s="541" t="s">
        <v>11</v>
      </c>
      <c r="BI9" s="541" t="s">
        <v>38</v>
      </c>
      <c r="BJ9" s="541" t="s">
        <v>11</v>
      </c>
      <c r="BK9" s="541" t="s">
        <v>37</v>
      </c>
      <c r="BL9" s="541" t="s">
        <v>38</v>
      </c>
      <c r="BM9" s="541" t="s">
        <v>37</v>
      </c>
      <c r="BN9" s="541" t="s">
        <v>38</v>
      </c>
    </row>
    <row r="10" spans="1:66">
      <c r="A10" s="15">
        <f>+Chem!A9</f>
        <v>46082</v>
      </c>
      <c r="B10" s="5" t="str">
        <f>+Chem!B9</f>
        <v>Facial</v>
      </c>
      <c r="C10" s="15" t="str">
        <f>+Chem!C9</f>
        <v>12</v>
      </c>
      <c r="D10" s="7">
        <f>+Chem!D9</f>
        <v>36.384999999999998</v>
      </c>
      <c r="E10" s="6">
        <f>+Chem!E9</f>
        <v>36.905999999999999</v>
      </c>
      <c r="F10" s="6">
        <f>+E10</f>
        <v>36.905999999999999</v>
      </c>
      <c r="G10" s="95"/>
      <c r="H10" s="9">
        <f t="shared" ref="H10:H40" si="0">G10/BK10*100</f>
        <v>0</v>
      </c>
      <c r="I10" s="7">
        <f>G10</f>
        <v>0</v>
      </c>
      <c r="J10" s="9">
        <f t="shared" ref="J10:J40" si="1">I10/BL10*100</f>
        <v>0</v>
      </c>
      <c r="K10" s="95">
        <f>24.5*K7</f>
        <v>6157.6094999999996</v>
      </c>
      <c r="L10" s="9">
        <f t="shared" ref="L10:L40" si="2">+K10/BK10*100</f>
        <v>15.254357333091285</v>
      </c>
      <c r="M10" s="9">
        <f>+K10</f>
        <v>6157.6094999999996</v>
      </c>
      <c r="N10" s="9">
        <f t="shared" ref="N10:N40" si="3">+M10/BL10*100</f>
        <v>15.254357333091285</v>
      </c>
      <c r="O10" s="95"/>
      <c r="P10" s="9">
        <f t="shared" ref="P10:P40" si="4">+O10/BK10*100</f>
        <v>0</v>
      </c>
      <c r="Q10" s="9">
        <f>+O10</f>
        <v>0</v>
      </c>
      <c r="R10" s="9">
        <f t="shared" ref="R10:R40" si="5">+Q10/BL10*100</f>
        <v>0</v>
      </c>
      <c r="S10" s="9">
        <f>G10+K10+O10</f>
        <v>6157.6094999999996</v>
      </c>
      <c r="T10" s="9">
        <f t="shared" ref="T10:T40" si="6">S10/BK10*100</f>
        <v>15.254357333091285</v>
      </c>
      <c r="U10" s="9">
        <f>S10</f>
        <v>6157.6094999999996</v>
      </c>
      <c r="V10" s="9">
        <f t="shared" ref="V10:V40" si="7">U10/BL10*100</f>
        <v>15.254357333091285</v>
      </c>
      <c r="W10" s="95"/>
      <c r="X10" s="9">
        <f>W10/BK10*100</f>
        <v>0</v>
      </c>
      <c r="Y10" s="9">
        <f>W10</f>
        <v>0</v>
      </c>
      <c r="Z10" s="9">
        <f>Y10/BL10*100</f>
        <v>0</v>
      </c>
      <c r="AA10" s="95"/>
      <c r="AB10" s="9">
        <f t="shared" ref="AB10:AB40" si="8">AA10/BK10*100</f>
        <v>0</v>
      </c>
      <c r="AC10" s="9">
        <f>AA10</f>
        <v>0</v>
      </c>
      <c r="AD10" s="9">
        <f t="shared" ref="AD10:AD40" si="9">AC10/BL10*100</f>
        <v>0</v>
      </c>
      <c r="AE10" s="95"/>
      <c r="AF10" s="9">
        <f t="shared" ref="AF10:AF40" si="10">AE10/BK10*100</f>
        <v>0</v>
      </c>
      <c r="AG10" s="9">
        <f>AE10</f>
        <v>0</v>
      </c>
      <c r="AH10" s="9">
        <f t="shared" ref="AH10:AH40" si="11">AG10/BL10*100</f>
        <v>0</v>
      </c>
      <c r="AI10" s="95"/>
      <c r="AJ10" s="9">
        <f t="shared" ref="AJ10:AJ40" si="12">AI10/BK10*100</f>
        <v>0</v>
      </c>
      <c r="AK10" s="9">
        <f>AI10</f>
        <v>0</v>
      </c>
      <c r="AL10" s="9">
        <f t="shared" ref="AL10:AL40" si="13">AK10/BL10</f>
        <v>0</v>
      </c>
      <c r="AM10" s="9">
        <f>AA10+AE10+AI10+W10</f>
        <v>0</v>
      </c>
      <c r="AN10" s="9">
        <f t="shared" ref="AN10:AN39" si="14">AM10/BK10*100</f>
        <v>0</v>
      </c>
      <c r="AO10" s="9">
        <f>AM10</f>
        <v>0</v>
      </c>
      <c r="AP10" s="9">
        <f t="shared" ref="AP10:AP39" si="15">AO10/BL10*100</f>
        <v>0</v>
      </c>
      <c r="AQ10" s="95">
        <f>136*AQ7</f>
        <v>34208.623999999996</v>
      </c>
      <c r="AR10" s="9">
        <f t="shared" ref="AR10:AR39" si="16">+AQ10/BK10*100</f>
        <v>84.745642666908722</v>
      </c>
      <c r="AS10" s="9">
        <f>+AQ10</f>
        <v>34208.623999999996</v>
      </c>
      <c r="AT10" s="9">
        <f t="shared" ref="AT10:AT39" si="17">+AS10/BL10*100</f>
        <v>84.745642666908722</v>
      </c>
      <c r="AU10" s="95">
        <f>14*AV6</f>
        <v>0</v>
      </c>
      <c r="AV10" s="9">
        <f t="shared" ref="AV10:AV39" si="18">AU10/BK10*100</f>
        <v>0</v>
      </c>
      <c r="AW10" s="9">
        <f>AU10</f>
        <v>0</v>
      </c>
      <c r="AX10" s="9">
        <f t="shared" ref="AX10:AX39" si="19">AW10/BL10*100</f>
        <v>0</v>
      </c>
      <c r="AY10" s="95"/>
      <c r="AZ10" s="14">
        <f t="shared" ref="AZ10:AZ39" si="20">AY10/BK10*100</f>
        <v>0</v>
      </c>
      <c r="BA10" s="9">
        <f>AY10</f>
        <v>0</v>
      </c>
      <c r="BB10" s="9">
        <f t="shared" ref="BB10:BB39" si="21">BA10/BL10*100</f>
        <v>0</v>
      </c>
      <c r="BC10" s="9">
        <f>AQ10+AU10+AY10</f>
        <v>34208.623999999996</v>
      </c>
      <c r="BD10" s="9">
        <f t="shared" ref="BD10:BD39" si="22">BC10/BK10*100</f>
        <v>84.745642666908722</v>
      </c>
      <c r="BE10" s="9">
        <f>BC10</f>
        <v>34208.623999999996</v>
      </c>
      <c r="BF10" s="9">
        <f t="shared" ref="BF10:BF39" si="23">BE10/BL10*100</f>
        <v>84.745642666908722</v>
      </c>
      <c r="BG10" s="95">
        <v>0</v>
      </c>
      <c r="BH10" s="9">
        <f t="shared" ref="BH10:BH39" si="24">BG10/BK10*100</f>
        <v>0</v>
      </c>
      <c r="BI10" s="9">
        <f>BG10</f>
        <v>0</v>
      </c>
      <c r="BJ10" s="9">
        <f t="shared" ref="BJ10:BJ39" si="25">BI10/BL10*100</f>
        <v>0</v>
      </c>
      <c r="BK10" s="9">
        <f t="shared" ref="BK10:BK40" si="26">S10+AM10+BC10+BG10</f>
        <v>40366.233499999995</v>
      </c>
      <c r="BL10" s="9">
        <f>BK10</f>
        <v>40366.233499999995</v>
      </c>
      <c r="BM10" s="509">
        <f t="shared" ref="BM10:BM40" si="27">BK10/1000/E10</f>
        <v>1.0937580203760904</v>
      </c>
      <c r="BN10" s="9">
        <f t="shared" ref="BN10:BN40" si="28">(BL10/1000)/F10</f>
        <v>1.0937580203760904</v>
      </c>
    </row>
    <row r="11" spans="1:66">
      <c r="A11" s="15">
        <f>+Chem!A10</f>
        <v>46083</v>
      </c>
      <c r="B11" s="5" t="str">
        <f>+Chem!B10</f>
        <v>Facial</v>
      </c>
      <c r="C11" s="15" t="str">
        <f>+Chem!C10</f>
        <v>12/14/16</v>
      </c>
      <c r="D11" s="7">
        <f>+Chem!D10</f>
        <v>46.337000000000003</v>
      </c>
      <c r="E11" s="6">
        <f>+Chem!E10</f>
        <v>48.463999999999999</v>
      </c>
      <c r="F11" s="6">
        <f t="shared" ref="F11:F39" si="29">+E11+F10</f>
        <v>85.37</v>
      </c>
      <c r="G11" s="95"/>
      <c r="H11" s="9">
        <f t="shared" si="0"/>
        <v>0</v>
      </c>
      <c r="I11" s="7">
        <f t="shared" ref="I11:I39" si="30">G11+I10</f>
        <v>0</v>
      </c>
      <c r="J11" s="9">
        <f t="shared" si="1"/>
        <v>0</v>
      </c>
      <c r="K11" s="95">
        <f>40*K7</f>
        <v>10053.24</v>
      </c>
      <c r="L11" s="9">
        <f t="shared" si="2"/>
        <v>20.105859131070034</v>
      </c>
      <c r="M11" s="9">
        <f t="shared" ref="M11:M39" si="31">+K11+M10</f>
        <v>16210.8495</v>
      </c>
      <c r="N11" s="9">
        <f t="shared" si="3"/>
        <v>17.938749793863195</v>
      </c>
      <c r="O11" s="95"/>
      <c r="P11" s="9">
        <f t="shared" si="4"/>
        <v>0</v>
      </c>
      <c r="Q11" s="9">
        <f t="shared" ref="Q11:Q39" si="32">+O11+Q10</f>
        <v>0</v>
      </c>
      <c r="R11" s="9">
        <f t="shared" si="5"/>
        <v>0</v>
      </c>
      <c r="S11" s="9">
        <f t="shared" ref="S11:S40" si="33">G11+K11+O11</f>
        <v>10053.24</v>
      </c>
      <c r="T11" s="9">
        <f t="shared" si="6"/>
        <v>20.105859131070034</v>
      </c>
      <c r="U11" s="9">
        <f t="shared" ref="U11:U39" si="34">S11+U10</f>
        <v>16210.8495</v>
      </c>
      <c r="V11" s="9">
        <f t="shared" si="7"/>
        <v>17.938749793863195</v>
      </c>
      <c r="W11" s="95"/>
      <c r="X11" s="9"/>
      <c r="Y11" s="9"/>
      <c r="Z11" s="9"/>
      <c r="AA11" s="95"/>
      <c r="AB11" s="9">
        <f t="shared" si="8"/>
        <v>0</v>
      </c>
      <c r="AC11" s="9">
        <f t="shared" ref="AC11:AC39" si="35">AA11+AC10</f>
        <v>0</v>
      </c>
      <c r="AD11" s="9">
        <f t="shared" si="9"/>
        <v>0</v>
      </c>
      <c r="AE11" s="95"/>
      <c r="AF11" s="9">
        <f t="shared" si="10"/>
        <v>0</v>
      </c>
      <c r="AG11" s="9">
        <f t="shared" ref="AG11:AG39" si="36">AE11+AG10</f>
        <v>0</v>
      </c>
      <c r="AH11" s="9">
        <f t="shared" si="11"/>
        <v>0</v>
      </c>
      <c r="AI11" s="95"/>
      <c r="AJ11" s="9">
        <f t="shared" si="12"/>
        <v>0</v>
      </c>
      <c r="AK11" s="9">
        <f t="shared" ref="AK11:AK39" si="37">AI11+AK10</f>
        <v>0</v>
      </c>
      <c r="AL11" s="9">
        <f t="shared" si="13"/>
        <v>0</v>
      </c>
      <c r="AM11" s="9">
        <f t="shared" ref="AM11:AM40" si="38">AA11+AE11+AI11+W11</f>
        <v>0</v>
      </c>
      <c r="AN11" s="9">
        <f t="shared" si="14"/>
        <v>0</v>
      </c>
      <c r="AO11" s="9">
        <f t="shared" ref="AO11:AO39" si="39">AM11+AO10</f>
        <v>0</v>
      </c>
      <c r="AP11" s="9">
        <f t="shared" si="15"/>
        <v>0</v>
      </c>
      <c r="AQ11" s="95">
        <f>48*AQ7</f>
        <v>12073.632</v>
      </c>
      <c r="AR11" s="9">
        <f t="shared" si="16"/>
        <v>24.146518355513184</v>
      </c>
      <c r="AS11" s="9">
        <f t="shared" ref="AS11:AS39" si="40">+AQ11+AS10</f>
        <v>46282.255999999994</v>
      </c>
      <c r="AT11" s="9">
        <f t="shared" si="17"/>
        <v>51.215441256149063</v>
      </c>
      <c r="AU11" s="95">
        <f>112*AU7</f>
        <v>27874.671999999999</v>
      </c>
      <c r="AV11" s="9">
        <f t="shared" si="18"/>
        <v>55.747622513416793</v>
      </c>
      <c r="AW11" s="9">
        <f t="shared" ref="AW11:AW39" si="41">AU11+AW10</f>
        <v>27874.671999999999</v>
      </c>
      <c r="AX11" s="9">
        <f t="shared" si="19"/>
        <v>30.845808949987731</v>
      </c>
      <c r="AY11" s="95"/>
      <c r="AZ11" s="14">
        <f t="shared" si="20"/>
        <v>0</v>
      </c>
      <c r="BA11" s="9">
        <f t="shared" ref="BA11:BA39" si="42">AY11+BA10</f>
        <v>0</v>
      </c>
      <c r="BB11" s="9">
        <f t="shared" si="21"/>
        <v>0</v>
      </c>
      <c r="BC11" s="9">
        <f t="shared" ref="BC11:BC39" si="43">AQ11+AU11+AY11</f>
        <v>39948.303999999996</v>
      </c>
      <c r="BD11" s="9">
        <f t="shared" si="22"/>
        <v>79.894140868929981</v>
      </c>
      <c r="BE11" s="9">
        <f t="shared" ref="BE11:BE39" si="44">BC11+BE10</f>
        <v>74156.927999999985</v>
      </c>
      <c r="BF11" s="9">
        <f t="shared" si="23"/>
        <v>82.061250206136791</v>
      </c>
      <c r="BG11" s="95">
        <v>0</v>
      </c>
      <c r="BH11" s="9">
        <f t="shared" si="24"/>
        <v>0</v>
      </c>
      <c r="BI11" s="9">
        <f t="shared" ref="BI11:BI39" si="45">BG11+BI10</f>
        <v>0</v>
      </c>
      <c r="BJ11" s="9">
        <f t="shared" si="25"/>
        <v>0</v>
      </c>
      <c r="BK11" s="9">
        <f t="shared" si="26"/>
        <v>50001.543999999994</v>
      </c>
      <c r="BL11" s="9">
        <f t="shared" ref="BL11:BL39" si="46">BK11+BL10</f>
        <v>90367.777499999997</v>
      </c>
      <c r="BM11" s="509">
        <f t="shared" si="27"/>
        <v>1.0317254869593924</v>
      </c>
      <c r="BN11" s="9">
        <f t="shared" si="28"/>
        <v>1.0585425500761392</v>
      </c>
    </row>
    <row r="12" spans="1:66">
      <c r="A12" s="15">
        <f>+Chem!A11</f>
        <v>46084</v>
      </c>
      <c r="B12" s="5" t="str">
        <f>+Chem!B11</f>
        <v>Facial</v>
      </c>
      <c r="C12" s="15" t="str">
        <f>+Chem!C11</f>
        <v>16/14</v>
      </c>
      <c r="D12" s="7">
        <f>+Chem!D11</f>
        <v>46.03</v>
      </c>
      <c r="E12" s="6">
        <f>+Chem!E11</f>
        <v>40.542999999999999</v>
      </c>
      <c r="F12" s="6">
        <f t="shared" si="29"/>
        <v>125.91300000000001</v>
      </c>
      <c r="G12" s="95"/>
      <c r="H12" s="9">
        <f t="shared" si="0"/>
        <v>0</v>
      </c>
      <c r="I12" s="7">
        <f t="shared" si="30"/>
        <v>0</v>
      </c>
      <c r="J12" s="9">
        <f t="shared" si="1"/>
        <v>0</v>
      </c>
      <c r="K12" s="95">
        <f>39*K7</f>
        <v>9801.9089999999997</v>
      </c>
      <c r="L12" s="9">
        <f t="shared" si="2"/>
        <v>20.157195503887781</v>
      </c>
      <c r="M12" s="9">
        <f t="shared" si="31"/>
        <v>26012.7585</v>
      </c>
      <c r="N12" s="9">
        <f t="shared" si="3"/>
        <v>18.714871451694286</v>
      </c>
      <c r="O12" s="95"/>
      <c r="P12" s="9">
        <f t="shared" si="4"/>
        <v>0</v>
      </c>
      <c r="Q12" s="9">
        <f t="shared" si="32"/>
        <v>0</v>
      </c>
      <c r="R12" s="9">
        <f t="shared" si="5"/>
        <v>0</v>
      </c>
      <c r="S12" s="9">
        <f t="shared" si="33"/>
        <v>9801.9089999999997</v>
      </c>
      <c r="T12" s="9">
        <f t="shared" si="6"/>
        <v>20.157195503887781</v>
      </c>
      <c r="U12" s="9">
        <f t="shared" si="34"/>
        <v>26012.7585</v>
      </c>
      <c r="V12" s="9">
        <f t="shared" si="7"/>
        <v>18.714871451694286</v>
      </c>
      <c r="W12" s="95"/>
      <c r="X12" s="9"/>
      <c r="Y12" s="9"/>
      <c r="Z12" s="9"/>
      <c r="AA12" s="95"/>
      <c r="AB12" s="9">
        <f t="shared" si="8"/>
        <v>0</v>
      </c>
      <c r="AC12" s="9">
        <f t="shared" si="35"/>
        <v>0</v>
      </c>
      <c r="AD12" s="9">
        <f t="shared" si="9"/>
        <v>0</v>
      </c>
      <c r="AE12" s="95"/>
      <c r="AF12" s="9">
        <f t="shared" si="10"/>
        <v>0</v>
      </c>
      <c r="AG12" s="9">
        <f t="shared" si="36"/>
        <v>0</v>
      </c>
      <c r="AH12" s="9">
        <f t="shared" si="11"/>
        <v>0</v>
      </c>
      <c r="AI12" s="95"/>
      <c r="AJ12" s="9">
        <f t="shared" si="12"/>
        <v>0</v>
      </c>
      <c r="AK12" s="9">
        <f t="shared" si="37"/>
        <v>0</v>
      </c>
      <c r="AL12" s="9">
        <f t="shared" si="13"/>
        <v>0</v>
      </c>
      <c r="AM12" s="9">
        <f t="shared" si="38"/>
        <v>0</v>
      </c>
      <c r="AN12" s="9">
        <f t="shared" si="14"/>
        <v>0</v>
      </c>
      <c r="AO12" s="9">
        <f t="shared" si="39"/>
        <v>0</v>
      </c>
      <c r="AP12" s="9">
        <f t="shared" si="15"/>
        <v>0</v>
      </c>
      <c r="AQ12" s="95"/>
      <c r="AR12" s="9">
        <f t="shared" si="16"/>
        <v>0</v>
      </c>
      <c r="AS12" s="9">
        <f t="shared" si="40"/>
        <v>46282.255999999994</v>
      </c>
      <c r="AT12" s="9">
        <f t="shared" si="17"/>
        <v>33.29775546620349</v>
      </c>
      <c r="AU12" s="95">
        <f>156*AU7</f>
        <v>38825.436000000002</v>
      </c>
      <c r="AV12" s="9">
        <f t="shared" si="18"/>
        <v>79.842804496112223</v>
      </c>
      <c r="AW12" s="9">
        <f t="shared" si="41"/>
        <v>66700.108000000007</v>
      </c>
      <c r="AX12" s="9">
        <f t="shared" si="19"/>
        <v>47.987373082102216</v>
      </c>
      <c r="AY12" s="95"/>
      <c r="AZ12" s="14">
        <f t="shared" si="20"/>
        <v>0</v>
      </c>
      <c r="BA12" s="9">
        <f t="shared" si="42"/>
        <v>0</v>
      </c>
      <c r="BB12" s="9">
        <f t="shared" si="21"/>
        <v>0</v>
      </c>
      <c r="BC12" s="9">
        <f t="shared" si="43"/>
        <v>38825.436000000002</v>
      </c>
      <c r="BD12" s="9">
        <f t="shared" si="22"/>
        <v>79.842804496112223</v>
      </c>
      <c r="BE12" s="9">
        <f t="shared" si="44"/>
        <v>112982.36399999999</v>
      </c>
      <c r="BF12" s="9">
        <f t="shared" si="23"/>
        <v>81.285128548305707</v>
      </c>
      <c r="BG12" s="95">
        <v>0</v>
      </c>
      <c r="BH12" s="9">
        <f t="shared" si="24"/>
        <v>0</v>
      </c>
      <c r="BI12" s="9">
        <f t="shared" si="45"/>
        <v>0</v>
      </c>
      <c r="BJ12" s="9">
        <f t="shared" si="25"/>
        <v>0</v>
      </c>
      <c r="BK12" s="9">
        <f t="shared" si="26"/>
        <v>48627.345000000001</v>
      </c>
      <c r="BL12" s="9">
        <f t="shared" si="46"/>
        <v>138995.1225</v>
      </c>
      <c r="BM12" s="509">
        <f t="shared" si="27"/>
        <v>1.199401746294058</v>
      </c>
      <c r="BN12" s="9">
        <f t="shared" si="28"/>
        <v>1.1038981082175787</v>
      </c>
    </row>
    <row r="13" spans="1:66">
      <c r="A13" s="15">
        <f>+Chem!A12</f>
        <v>46085</v>
      </c>
      <c r="B13" s="5" t="str">
        <f>+Chem!B12</f>
        <v>Facial</v>
      </c>
      <c r="C13" s="15" t="str">
        <f>+Chem!C12</f>
        <v>14</v>
      </c>
      <c r="D13" s="7">
        <f>+Chem!D12</f>
        <v>42.442999999999998</v>
      </c>
      <c r="E13" s="6">
        <f>+Chem!E12</f>
        <v>39.755000000000003</v>
      </c>
      <c r="F13" s="6">
        <f t="shared" si="29"/>
        <v>165.66800000000001</v>
      </c>
      <c r="G13" s="95"/>
      <c r="H13" s="9">
        <f t="shared" si="0"/>
        <v>0</v>
      </c>
      <c r="I13" s="7">
        <f t="shared" si="30"/>
        <v>0</v>
      </c>
      <c r="J13" s="9">
        <f t="shared" si="1"/>
        <v>0</v>
      </c>
      <c r="K13" s="95">
        <f>37*K7</f>
        <v>9299.2469999999994</v>
      </c>
      <c r="L13" s="9">
        <f t="shared" si="2"/>
        <v>20.157195503887781</v>
      </c>
      <c r="M13" s="9">
        <f t="shared" si="31"/>
        <v>35312.005499999999</v>
      </c>
      <c r="N13" s="9">
        <f t="shared" si="3"/>
        <v>19.074295088919396</v>
      </c>
      <c r="O13" s="95"/>
      <c r="P13" s="9">
        <f t="shared" si="4"/>
        <v>0</v>
      </c>
      <c r="Q13" s="9">
        <f t="shared" si="32"/>
        <v>0</v>
      </c>
      <c r="R13" s="9">
        <f t="shared" si="5"/>
        <v>0</v>
      </c>
      <c r="S13" s="9">
        <f t="shared" si="33"/>
        <v>9299.2469999999994</v>
      </c>
      <c r="T13" s="9">
        <f t="shared" si="6"/>
        <v>20.157195503887781</v>
      </c>
      <c r="U13" s="9">
        <f t="shared" si="34"/>
        <v>35312.005499999999</v>
      </c>
      <c r="V13" s="9">
        <f t="shared" si="7"/>
        <v>19.074295088919396</v>
      </c>
      <c r="W13" s="95"/>
      <c r="X13" s="9"/>
      <c r="Y13" s="9"/>
      <c r="Z13" s="9"/>
      <c r="AA13" s="95"/>
      <c r="AB13" s="9">
        <f t="shared" si="8"/>
        <v>0</v>
      </c>
      <c r="AC13" s="9">
        <f t="shared" si="35"/>
        <v>0</v>
      </c>
      <c r="AD13" s="9">
        <f t="shared" si="9"/>
        <v>0</v>
      </c>
      <c r="AE13" s="95"/>
      <c r="AF13" s="9">
        <f t="shared" si="10"/>
        <v>0</v>
      </c>
      <c r="AG13" s="9">
        <f t="shared" si="36"/>
        <v>0</v>
      </c>
      <c r="AH13" s="9">
        <f t="shared" si="11"/>
        <v>0</v>
      </c>
      <c r="AI13" s="95"/>
      <c r="AJ13" s="9">
        <f t="shared" si="12"/>
        <v>0</v>
      </c>
      <c r="AK13" s="9">
        <f t="shared" si="37"/>
        <v>0</v>
      </c>
      <c r="AL13" s="9">
        <f t="shared" si="13"/>
        <v>0</v>
      </c>
      <c r="AM13" s="9">
        <f t="shared" si="38"/>
        <v>0</v>
      </c>
      <c r="AN13" s="9">
        <f t="shared" si="14"/>
        <v>0</v>
      </c>
      <c r="AO13" s="9">
        <f t="shared" si="39"/>
        <v>0</v>
      </c>
      <c r="AP13" s="9">
        <f t="shared" si="15"/>
        <v>0</v>
      </c>
      <c r="AQ13" s="95"/>
      <c r="AR13" s="9">
        <f t="shared" si="16"/>
        <v>0</v>
      </c>
      <c r="AS13" s="9">
        <f t="shared" si="40"/>
        <v>46282.255999999994</v>
      </c>
      <c r="AT13" s="9">
        <f t="shared" si="17"/>
        <v>25.000035988466024</v>
      </c>
      <c r="AU13" s="95">
        <f>148*AU7</f>
        <v>36834.387999999999</v>
      </c>
      <c r="AV13" s="9">
        <f t="shared" si="18"/>
        <v>79.842804496112223</v>
      </c>
      <c r="AW13" s="9">
        <f t="shared" si="41"/>
        <v>103534.49600000001</v>
      </c>
      <c r="AX13" s="9">
        <f t="shared" si="19"/>
        <v>55.925668922614577</v>
      </c>
      <c r="AY13" s="95"/>
      <c r="AZ13" s="14">
        <f t="shared" si="20"/>
        <v>0</v>
      </c>
      <c r="BA13" s="9">
        <f t="shared" si="42"/>
        <v>0</v>
      </c>
      <c r="BB13" s="9">
        <f t="shared" si="21"/>
        <v>0</v>
      </c>
      <c r="BC13" s="9">
        <f t="shared" si="43"/>
        <v>36834.387999999999</v>
      </c>
      <c r="BD13" s="9">
        <f t="shared" si="22"/>
        <v>79.842804496112223</v>
      </c>
      <c r="BE13" s="9">
        <f t="shared" si="44"/>
        <v>149816.75199999998</v>
      </c>
      <c r="BF13" s="9">
        <f t="shared" si="23"/>
        <v>80.925704911080587</v>
      </c>
      <c r="BG13" s="95">
        <v>0</v>
      </c>
      <c r="BH13" s="9">
        <f t="shared" si="24"/>
        <v>0</v>
      </c>
      <c r="BI13" s="9">
        <f t="shared" si="45"/>
        <v>0</v>
      </c>
      <c r="BJ13" s="9">
        <f t="shared" si="25"/>
        <v>0</v>
      </c>
      <c r="BK13" s="9">
        <f t="shared" si="26"/>
        <v>46133.634999999995</v>
      </c>
      <c r="BL13" s="9">
        <f t="shared" si="46"/>
        <v>185128.75750000001</v>
      </c>
      <c r="BM13" s="509">
        <f t="shared" si="27"/>
        <v>1.1604486228147401</v>
      </c>
      <c r="BN13" s="9">
        <f t="shared" si="28"/>
        <v>1.1174684157471571</v>
      </c>
    </row>
    <row r="14" spans="1:66">
      <c r="A14" s="15">
        <f>+Chem!A13</f>
        <v>46086</v>
      </c>
      <c r="B14" s="5" t="str">
        <f>+Chem!B13</f>
        <v>Facial</v>
      </c>
      <c r="C14" s="15" t="str">
        <f>+Chem!C13</f>
        <v>14/13,5/16</v>
      </c>
      <c r="D14" s="7">
        <f>+Chem!D13</f>
        <v>42.963000000000001</v>
      </c>
      <c r="E14" s="6">
        <f>+Chem!E13</f>
        <v>38.893000000000001</v>
      </c>
      <c r="F14" s="6">
        <f t="shared" si="29"/>
        <v>204.56100000000001</v>
      </c>
      <c r="G14" s="96"/>
      <c r="H14" s="86">
        <f t="shared" si="0"/>
        <v>0</v>
      </c>
      <c r="I14" s="7">
        <f t="shared" si="30"/>
        <v>0</v>
      </c>
      <c r="J14" s="86">
        <f t="shared" si="1"/>
        <v>0</v>
      </c>
      <c r="K14" s="96">
        <f>28.5*K7</f>
        <v>7162.9335000000001</v>
      </c>
      <c r="L14" s="86">
        <f t="shared" si="2"/>
        <v>15.884569093355575</v>
      </c>
      <c r="M14" s="86">
        <f t="shared" si="31"/>
        <v>42474.938999999998</v>
      </c>
      <c r="N14" s="86">
        <f t="shared" si="3"/>
        <v>18.449523531846161</v>
      </c>
      <c r="O14" s="96"/>
      <c r="P14" s="86">
        <f t="shared" si="4"/>
        <v>0</v>
      </c>
      <c r="Q14" s="86">
        <f t="shared" si="32"/>
        <v>0</v>
      </c>
      <c r="R14" s="86">
        <f t="shared" si="5"/>
        <v>0</v>
      </c>
      <c r="S14" s="9">
        <f t="shared" si="33"/>
        <v>7162.9335000000001</v>
      </c>
      <c r="T14" s="86">
        <f t="shared" si="6"/>
        <v>15.884569093355575</v>
      </c>
      <c r="U14" s="86">
        <f t="shared" si="34"/>
        <v>42474.938999999998</v>
      </c>
      <c r="V14" s="86">
        <f t="shared" si="7"/>
        <v>18.449523531846161</v>
      </c>
      <c r="W14" s="96"/>
      <c r="X14" s="86"/>
      <c r="Y14" s="86"/>
      <c r="Z14" s="86"/>
      <c r="AA14" s="96"/>
      <c r="AB14" s="86">
        <f t="shared" si="8"/>
        <v>0</v>
      </c>
      <c r="AC14" s="86">
        <f t="shared" si="35"/>
        <v>0</v>
      </c>
      <c r="AD14" s="86">
        <f t="shared" si="9"/>
        <v>0</v>
      </c>
      <c r="AE14" s="96"/>
      <c r="AF14" s="86">
        <f t="shared" si="10"/>
        <v>0</v>
      </c>
      <c r="AG14" s="86">
        <f t="shared" si="36"/>
        <v>0</v>
      </c>
      <c r="AH14" s="86">
        <f t="shared" si="11"/>
        <v>0</v>
      </c>
      <c r="AI14" s="96"/>
      <c r="AJ14" s="86">
        <f t="shared" si="12"/>
        <v>0</v>
      </c>
      <c r="AK14" s="86">
        <f t="shared" si="37"/>
        <v>0</v>
      </c>
      <c r="AL14" s="86">
        <f t="shared" si="13"/>
        <v>0</v>
      </c>
      <c r="AM14" s="9">
        <f t="shared" si="38"/>
        <v>0</v>
      </c>
      <c r="AN14" s="86">
        <f t="shared" si="14"/>
        <v>0</v>
      </c>
      <c r="AO14" s="86">
        <f t="shared" si="39"/>
        <v>0</v>
      </c>
      <c r="AP14" s="86">
        <f t="shared" si="15"/>
        <v>0</v>
      </c>
      <c r="AQ14" s="96">
        <f>38*AQ7</f>
        <v>9558.2919999999995</v>
      </c>
      <c r="AR14" s="86">
        <f t="shared" si="16"/>
        <v>21.196532075645798</v>
      </c>
      <c r="AS14" s="86">
        <f t="shared" si="40"/>
        <v>55840.547999999995</v>
      </c>
      <c r="AT14" s="86">
        <f t="shared" si="17"/>
        <v>24.255043764917119</v>
      </c>
      <c r="AU14" s="96">
        <f>114*AU7</f>
        <v>28372.434000000001</v>
      </c>
      <c r="AV14" s="86">
        <f t="shared" si="18"/>
        <v>62.918898830998629</v>
      </c>
      <c r="AW14" s="86">
        <f t="shared" si="41"/>
        <v>131906.93000000002</v>
      </c>
      <c r="AX14" s="86">
        <f t="shared" si="19"/>
        <v>57.295432703236713</v>
      </c>
      <c r="AY14" s="96"/>
      <c r="AZ14" s="87">
        <f t="shared" si="20"/>
        <v>0</v>
      </c>
      <c r="BA14" s="86">
        <f t="shared" si="42"/>
        <v>0</v>
      </c>
      <c r="BB14" s="86">
        <f t="shared" si="21"/>
        <v>0</v>
      </c>
      <c r="BC14" s="86">
        <f t="shared" si="43"/>
        <v>37930.726000000002</v>
      </c>
      <c r="BD14" s="86">
        <f t="shared" si="22"/>
        <v>84.115430906644434</v>
      </c>
      <c r="BE14" s="86">
        <f t="shared" si="44"/>
        <v>187747.47799999997</v>
      </c>
      <c r="BF14" s="86">
        <f t="shared" si="23"/>
        <v>81.550476468153818</v>
      </c>
      <c r="BG14" s="96">
        <v>0</v>
      </c>
      <c r="BH14" s="86">
        <f t="shared" si="24"/>
        <v>0</v>
      </c>
      <c r="BI14" s="86">
        <f t="shared" si="45"/>
        <v>0</v>
      </c>
      <c r="BJ14" s="86">
        <f t="shared" si="25"/>
        <v>0</v>
      </c>
      <c r="BK14" s="86">
        <f t="shared" si="26"/>
        <v>45093.659500000002</v>
      </c>
      <c r="BL14" s="86">
        <f t="shared" si="46"/>
        <v>230222.41700000002</v>
      </c>
      <c r="BM14" s="509">
        <f t="shared" si="27"/>
        <v>1.1594286761113826</v>
      </c>
      <c r="BN14" s="86">
        <f t="shared" si="28"/>
        <v>1.1254462825269724</v>
      </c>
    </row>
    <row r="15" spans="1:66">
      <c r="A15" s="15">
        <f>+Chem!A14</f>
        <v>46087</v>
      </c>
      <c r="B15" s="5" t="str">
        <f>+Chem!B14</f>
        <v>Facial</v>
      </c>
      <c r="C15" s="15" t="str">
        <f>+Chem!C14</f>
        <v>16/13</v>
      </c>
      <c r="D15" s="7">
        <f>+Chem!D14</f>
        <v>28.506999999999998</v>
      </c>
      <c r="E15" s="6">
        <f>+Chem!E14</f>
        <v>28.2</v>
      </c>
      <c r="F15" s="6">
        <f t="shared" si="29"/>
        <v>232.761</v>
      </c>
      <c r="G15" s="96"/>
      <c r="H15" s="86">
        <f t="shared" si="0"/>
        <v>0</v>
      </c>
      <c r="I15" s="7">
        <f t="shared" si="30"/>
        <v>0</v>
      </c>
      <c r="J15" s="86">
        <f t="shared" si="1"/>
        <v>0</v>
      </c>
      <c r="K15" s="96">
        <f>13*K7</f>
        <v>3267.3029999999999</v>
      </c>
      <c r="L15" s="86">
        <f t="shared" si="2"/>
        <v>11.155437371920259</v>
      </c>
      <c r="M15" s="86">
        <f t="shared" si="31"/>
        <v>45742.241999999998</v>
      </c>
      <c r="N15" s="86">
        <f t="shared" si="3"/>
        <v>17.626300665905489</v>
      </c>
      <c r="O15" s="96"/>
      <c r="P15" s="86">
        <f t="shared" si="4"/>
        <v>0</v>
      </c>
      <c r="Q15" s="86">
        <f t="shared" si="32"/>
        <v>0</v>
      </c>
      <c r="R15" s="86">
        <f t="shared" si="5"/>
        <v>0</v>
      </c>
      <c r="S15" s="9">
        <f t="shared" si="33"/>
        <v>3267.3029999999999</v>
      </c>
      <c r="T15" s="86">
        <f t="shared" si="6"/>
        <v>11.155437371920259</v>
      </c>
      <c r="U15" s="86">
        <f t="shared" si="34"/>
        <v>45742.241999999998</v>
      </c>
      <c r="V15" s="86">
        <f t="shared" si="7"/>
        <v>17.626300665905489</v>
      </c>
      <c r="W15" s="96"/>
      <c r="X15" s="86"/>
      <c r="Y15" s="86"/>
      <c r="Z15" s="86"/>
      <c r="AA15" s="96"/>
      <c r="AB15" s="86">
        <f t="shared" si="8"/>
        <v>0</v>
      </c>
      <c r="AC15" s="86">
        <f t="shared" si="35"/>
        <v>0</v>
      </c>
      <c r="AD15" s="86">
        <f t="shared" si="9"/>
        <v>0</v>
      </c>
      <c r="AE15" s="96"/>
      <c r="AF15" s="86">
        <f t="shared" si="10"/>
        <v>0</v>
      </c>
      <c r="AG15" s="86">
        <f t="shared" si="36"/>
        <v>0</v>
      </c>
      <c r="AH15" s="86">
        <f t="shared" si="11"/>
        <v>0</v>
      </c>
      <c r="AI15" s="96"/>
      <c r="AJ15" s="86">
        <f t="shared" si="12"/>
        <v>0</v>
      </c>
      <c r="AK15" s="86">
        <f t="shared" si="37"/>
        <v>0</v>
      </c>
      <c r="AL15" s="86">
        <f t="shared" si="13"/>
        <v>0</v>
      </c>
      <c r="AM15" s="9">
        <f t="shared" si="38"/>
        <v>0</v>
      </c>
      <c r="AN15" s="86">
        <f t="shared" si="14"/>
        <v>0</v>
      </c>
      <c r="AO15" s="86">
        <f t="shared" si="39"/>
        <v>0</v>
      </c>
      <c r="AP15" s="86">
        <f t="shared" si="15"/>
        <v>0</v>
      </c>
      <c r="AQ15" s="96">
        <f>52*AQ7</f>
        <v>13079.768</v>
      </c>
      <c r="AR15" s="86">
        <f t="shared" si="16"/>
        <v>44.65779046609596</v>
      </c>
      <c r="AS15" s="86">
        <f t="shared" si="40"/>
        <v>68920.315999999992</v>
      </c>
      <c r="AT15" s="86">
        <f t="shared" si="17"/>
        <v>26.557732168117532</v>
      </c>
      <c r="AU15" s="96">
        <f>52*AU7</f>
        <v>12941.812</v>
      </c>
      <c r="AV15" s="86">
        <f t="shared" si="18"/>
        <v>44.186772161983775</v>
      </c>
      <c r="AW15" s="86">
        <f t="shared" si="41"/>
        <v>144848.74200000003</v>
      </c>
      <c r="AX15" s="86">
        <f t="shared" si="19"/>
        <v>55.815967165976978</v>
      </c>
      <c r="AY15" s="96"/>
      <c r="AZ15" s="87">
        <f t="shared" si="20"/>
        <v>0</v>
      </c>
      <c r="BA15" s="86">
        <f t="shared" si="42"/>
        <v>0</v>
      </c>
      <c r="BB15" s="86">
        <f t="shared" si="21"/>
        <v>0</v>
      </c>
      <c r="BC15" s="86">
        <f t="shared" si="43"/>
        <v>26021.58</v>
      </c>
      <c r="BD15" s="86">
        <f t="shared" si="22"/>
        <v>88.844562628079743</v>
      </c>
      <c r="BE15" s="86">
        <f t="shared" si="44"/>
        <v>213769.05799999996</v>
      </c>
      <c r="BF15" s="86">
        <f t="shared" si="23"/>
        <v>82.373699334094482</v>
      </c>
      <c r="BG15" s="96">
        <v>0</v>
      </c>
      <c r="BH15" s="86">
        <f t="shared" si="24"/>
        <v>0</v>
      </c>
      <c r="BI15" s="86">
        <f t="shared" si="45"/>
        <v>0</v>
      </c>
      <c r="BJ15" s="86">
        <f t="shared" si="25"/>
        <v>0</v>
      </c>
      <c r="BK15" s="86">
        <f t="shared" si="26"/>
        <v>29288.883000000002</v>
      </c>
      <c r="BL15" s="86">
        <f t="shared" si="46"/>
        <v>259511.30000000002</v>
      </c>
      <c r="BM15" s="509">
        <f t="shared" si="27"/>
        <v>1.0386128723404255</v>
      </c>
      <c r="BN15" s="86">
        <f t="shared" si="28"/>
        <v>1.1149260400152947</v>
      </c>
    </row>
    <row r="16" spans="1:66">
      <c r="A16" s="15">
        <f>+Chem!A15</f>
        <v>46088</v>
      </c>
      <c r="B16" s="5" t="str">
        <f>+Chem!B15</f>
        <v>Toilet/Facial</v>
      </c>
      <c r="C16" s="15" t="str">
        <f>+Chem!C15</f>
        <v>14/13</v>
      </c>
      <c r="D16" s="7">
        <f>+Chem!D15</f>
        <v>21.948</v>
      </c>
      <c r="E16" s="6">
        <f>+Chem!E15</f>
        <v>17.338999999999999</v>
      </c>
      <c r="F16" s="6">
        <f t="shared" si="29"/>
        <v>250.1</v>
      </c>
      <c r="G16" s="96"/>
      <c r="H16" s="86">
        <f t="shared" si="0"/>
        <v>0</v>
      </c>
      <c r="I16" s="7">
        <f t="shared" si="30"/>
        <v>0</v>
      </c>
      <c r="J16" s="86">
        <f t="shared" si="1"/>
        <v>0</v>
      </c>
      <c r="K16" s="96">
        <f>10.5*K7</f>
        <v>2638.9755</v>
      </c>
      <c r="L16" s="86">
        <f t="shared" si="2"/>
        <v>11.155437371920259</v>
      </c>
      <c r="M16" s="86">
        <f t="shared" si="31"/>
        <v>48381.217499999999</v>
      </c>
      <c r="N16" s="86">
        <f t="shared" si="3"/>
        <v>17.08571159785733</v>
      </c>
      <c r="O16" s="96"/>
      <c r="P16" s="86">
        <f t="shared" si="4"/>
        <v>0</v>
      </c>
      <c r="Q16" s="86">
        <f t="shared" si="32"/>
        <v>0</v>
      </c>
      <c r="R16" s="86">
        <f t="shared" si="5"/>
        <v>0</v>
      </c>
      <c r="S16" s="9">
        <f t="shared" si="33"/>
        <v>2638.9755</v>
      </c>
      <c r="T16" s="86">
        <f t="shared" si="6"/>
        <v>11.155437371920259</v>
      </c>
      <c r="U16" s="86">
        <f t="shared" si="34"/>
        <v>48381.217499999999</v>
      </c>
      <c r="V16" s="86">
        <f t="shared" si="7"/>
        <v>17.08571159785733</v>
      </c>
      <c r="W16" s="96"/>
      <c r="X16" s="86"/>
      <c r="Y16" s="86"/>
      <c r="Z16" s="86"/>
      <c r="AA16" s="96"/>
      <c r="AB16" s="86">
        <f t="shared" si="8"/>
        <v>0</v>
      </c>
      <c r="AC16" s="86">
        <f t="shared" si="35"/>
        <v>0</v>
      </c>
      <c r="AD16" s="86">
        <f t="shared" si="9"/>
        <v>0</v>
      </c>
      <c r="AE16" s="96"/>
      <c r="AF16" s="86">
        <f t="shared" si="10"/>
        <v>0</v>
      </c>
      <c r="AG16" s="86">
        <f t="shared" si="36"/>
        <v>0</v>
      </c>
      <c r="AH16" s="86">
        <f t="shared" si="11"/>
        <v>0</v>
      </c>
      <c r="AI16" s="96"/>
      <c r="AJ16" s="86">
        <f t="shared" si="12"/>
        <v>0</v>
      </c>
      <c r="AK16" s="86">
        <f t="shared" si="37"/>
        <v>0</v>
      </c>
      <c r="AL16" s="86">
        <f t="shared" si="13"/>
        <v>0</v>
      </c>
      <c r="AM16" s="9">
        <f t="shared" si="38"/>
        <v>0</v>
      </c>
      <c r="AN16" s="86">
        <f t="shared" si="14"/>
        <v>0</v>
      </c>
      <c r="AO16" s="86">
        <f t="shared" si="39"/>
        <v>0</v>
      </c>
      <c r="AP16" s="86">
        <f t="shared" si="15"/>
        <v>0</v>
      </c>
      <c r="AQ16" s="96">
        <f>42*AQ7</f>
        <v>10564.428</v>
      </c>
      <c r="AR16" s="86">
        <f t="shared" si="16"/>
        <v>44.65779046609596</v>
      </c>
      <c r="AS16" s="86">
        <f t="shared" si="40"/>
        <v>79484.743999999992</v>
      </c>
      <c r="AT16" s="86">
        <f t="shared" si="17"/>
        <v>28.069847816738402</v>
      </c>
      <c r="AU16" s="96">
        <f>42*AU7</f>
        <v>10453.002</v>
      </c>
      <c r="AV16" s="86">
        <f t="shared" si="18"/>
        <v>44.186772161983775</v>
      </c>
      <c r="AW16" s="86">
        <f t="shared" si="41"/>
        <v>155301.74400000004</v>
      </c>
      <c r="AX16" s="86">
        <f t="shared" si="19"/>
        <v>54.844440585404264</v>
      </c>
      <c r="AY16" s="96"/>
      <c r="AZ16" s="87">
        <f t="shared" si="20"/>
        <v>0</v>
      </c>
      <c r="BA16" s="86">
        <f t="shared" si="42"/>
        <v>0</v>
      </c>
      <c r="BB16" s="86">
        <f t="shared" si="21"/>
        <v>0</v>
      </c>
      <c r="BC16" s="86">
        <f t="shared" si="43"/>
        <v>21017.43</v>
      </c>
      <c r="BD16" s="86">
        <f t="shared" si="22"/>
        <v>88.844562628079743</v>
      </c>
      <c r="BE16" s="86">
        <f t="shared" si="44"/>
        <v>234786.48799999995</v>
      </c>
      <c r="BF16" s="86">
        <f t="shared" si="23"/>
        <v>82.914288402142631</v>
      </c>
      <c r="BG16" s="96">
        <v>0</v>
      </c>
      <c r="BH16" s="86">
        <f t="shared" si="24"/>
        <v>0</v>
      </c>
      <c r="BI16" s="86">
        <f t="shared" si="45"/>
        <v>0</v>
      </c>
      <c r="BJ16" s="86">
        <f t="shared" si="25"/>
        <v>0</v>
      </c>
      <c r="BK16" s="86">
        <f t="shared" si="26"/>
        <v>23656.405500000001</v>
      </c>
      <c r="BL16" s="86">
        <f t="shared" si="46"/>
        <v>283167.70550000004</v>
      </c>
      <c r="BM16" s="509">
        <f t="shared" si="27"/>
        <v>1.3643465886152606</v>
      </c>
      <c r="BN16" s="86">
        <f t="shared" si="28"/>
        <v>1.1322179348260699</v>
      </c>
    </row>
    <row r="17" spans="1:75">
      <c r="A17" s="15">
        <f>+Chem!A16</f>
        <v>46089</v>
      </c>
      <c r="B17" s="5" t="str">
        <f>+Chem!B16</f>
        <v>Facial</v>
      </c>
      <c r="C17" s="15" t="str">
        <f>+Chem!C16</f>
        <v>13/11,5</v>
      </c>
      <c r="D17" s="7">
        <f>+Chem!D16</f>
        <v>37.067</v>
      </c>
      <c r="E17" s="6">
        <f>+Chem!E16</f>
        <v>35.731999999999999</v>
      </c>
      <c r="F17" s="6">
        <f t="shared" si="29"/>
        <v>285.83199999999999</v>
      </c>
      <c r="G17" s="96"/>
      <c r="H17" s="86">
        <f t="shared" si="0"/>
        <v>0</v>
      </c>
      <c r="I17" s="7">
        <f t="shared" si="30"/>
        <v>0</v>
      </c>
      <c r="J17" s="86">
        <f t="shared" si="1"/>
        <v>0</v>
      </c>
      <c r="K17" s="96">
        <f>21.75*K7</f>
        <v>5466.4492499999997</v>
      </c>
      <c r="L17" s="86">
        <f t="shared" si="2"/>
        <v>15.402201847820704</v>
      </c>
      <c r="M17" s="86">
        <f t="shared" si="31"/>
        <v>53847.666749999997</v>
      </c>
      <c r="N17" s="86">
        <f t="shared" si="3"/>
        <v>16.898207016977913</v>
      </c>
      <c r="O17" s="96"/>
      <c r="P17" s="86">
        <f t="shared" si="4"/>
        <v>0</v>
      </c>
      <c r="Q17" s="86">
        <f t="shared" si="32"/>
        <v>0</v>
      </c>
      <c r="R17" s="86">
        <f t="shared" si="5"/>
        <v>0</v>
      </c>
      <c r="S17" s="9">
        <f t="shared" si="33"/>
        <v>5466.4492499999997</v>
      </c>
      <c r="T17" s="86">
        <f t="shared" si="6"/>
        <v>15.402201847820704</v>
      </c>
      <c r="U17" s="86">
        <f t="shared" si="34"/>
        <v>53847.666749999997</v>
      </c>
      <c r="V17" s="86">
        <f t="shared" si="7"/>
        <v>16.898207016977913</v>
      </c>
      <c r="W17" s="96"/>
      <c r="X17" s="86"/>
      <c r="Y17" s="86"/>
      <c r="Z17" s="86"/>
      <c r="AA17" s="96"/>
      <c r="AB17" s="86">
        <f t="shared" si="8"/>
        <v>0</v>
      </c>
      <c r="AC17" s="86">
        <f t="shared" si="35"/>
        <v>0</v>
      </c>
      <c r="AD17" s="86">
        <f t="shared" si="9"/>
        <v>0</v>
      </c>
      <c r="AE17" s="96"/>
      <c r="AF17" s="86">
        <f t="shared" si="10"/>
        <v>0</v>
      </c>
      <c r="AG17" s="86">
        <f t="shared" si="36"/>
        <v>0</v>
      </c>
      <c r="AH17" s="86">
        <f t="shared" si="11"/>
        <v>0</v>
      </c>
      <c r="AI17" s="96"/>
      <c r="AJ17" s="86">
        <f t="shared" si="12"/>
        <v>0</v>
      </c>
      <c r="AK17" s="86">
        <f t="shared" si="37"/>
        <v>0</v>
      </c>
      <c r="AL17" s="86">
        <f t="shared" si="13"/>
        <v>0</v>
      </c>
      <c r="AM17" s="9">
        <f t="shared" si="38"/>
        <v>0</v>
      </c>
      <c r="AN17" s="86">
        <f t="shared" si="14"/>
        <v>0</v>
      </c>
      <c r="AO17" s="86">
        <f t="shared" si="39"/>
        <v>0</v>
      </c>
      <c r="AP17" s="86">
        <f t="shared" si="15"/>
        <v>0</v>
      </c>
      <c r="AQ17" s="96">
        <f>60*AQ7</f>
        <v>15092.039999999999</v>
      </c>
      <c r="AR17" s="86">
        <f t="shared" si="16"/>
        <v>42.523150905568905</v>
      </c>
      <c r="AS17" s="86">
        <f t="shared" si="40"/>
        <v>94576.783999999985</v>
      </c>
      <c r="AT17" s="86">
        <f t="shared" si="17"/>
        <v>29.679616063067478</v>
      </c>
      <c r="AU17" s="96">
        <f>60*AU7</f>
        <v>14932.86</v>
      </c>
      <c r="AV17" s="86">
        <f t="shared" si="18"/>
        <v>42.074647246610382</v>
      </c>
      <c r="AW17" s="86">
        <f t="shared" si="41"/>
        <v>170234.60400000005</v>
      </c>
      <c r="AX17" s="86">
        <f t="shared" si="19"/>
        <v>53.422176919954609</v>
      </c>
      <c r="AY17" s="96"/>
      <c r="AZ17" s="87">
        <f t="shared" si="20"/>
        <v>0</v>
      </c>
      <c r="BA17" s="86">
        <f t="shared" si="42"/>
        <v>0</v>
      </c>
      <c r="BB17" s="86">
        <f t="shared" si="21"/>
        <v>0</v>
      </c>
      <c r="BC17" s="86">
        <f t="shared" si="43"/>
        <v>30024.9</v>
      </c>
      <c r="BD17" s="86">
        <f t="shared" si="22"/>
        <v>84.597798152179308</v>
      </c>
      <c r="BE17" s="86">
        <f t="shared" si="44"/>
        <v>264811.38799999998</v>
      </c>
      <c r="BF17" s="86">
        <f t="shared" si="23"/>
        <v>83.101792983022065</v>
      </c>
      <c r="BG17" s="96">
        <v>0</v>
      </c>
      <c r="BH17" s="86">
        <f t="shared" si="24"/>
        <v>0</v>
      </c>
      <c r="BI17" s="86">
        <f t="shared" si="45"/>
        <v>0</v>
      </c>
      <c r="BJ17" s="86">
        <f t="shared" si="25"/>
        <v>0</v>
      </c>
      <c r="BK17" s="86">
        <f t="shared" si="26"/>
        <v>35491.349249999999</v>
      </c>
      <c r="BL17" s="86">
        <f t="shared" si="46"/>
        <v>318659.05475000001</v>
      </c>
      <c r="BM17" s="509">
        <f t="shared" si="27"/>
        <v>0.9932651195007276</v>
      </c>
      <c r="BN17" s="86">
        <f t="shared" si="28"/>
        <v>1.1148473745067033</v>
      </c>
    </row>
    <row r="18" spans="1:75">
      <c r="A18" s="15">
        <f>+Chem!A17</f>
        <v>46090</v>
      </c>
      <c r="B18" s="5" t="str">
        <f>+Chem!B17</f>
        <v>Facial</v>
      </c>
      <c r="C18" s="15" t="str">
        <f>+Chem!C17</f>
        <v>11,5/12</v>
      </c>
      <c r="D18" s="7">
        <f>+Chem!D17</f>
        <v>37.344999999999999</v>
      </c>
      <c r="E18" s="6">
        <f>+Chem!E17</f>
        <v>41.662999999999997</v>
      </c>
      <c r="F18" s="6">
        <f t="shared" si="29"/>
        <v>327.495</v>
      </c>
      <c r="G18" s="95"/>
      <c r="H18" s="9">
        <f t="shared" si="0"/>
        <v>0</v>
      </c>
      <c r="I18" s="7">
        <f t="shared" si="30"/>
        <v>0</v>
      </c>
      <c r="J18" s="9">
        <f t="shared" si="1"/>
        <v>0</v>
      </c>
      <c r="K18" s="95">
        <f>23.25*K7</f>
        <v>5843.4457499999999</v>
      </c>
      <c r="L18" s="9">
        <f t="shared" si="2"/>
        <v>14.296767649673066</v>
      </c>
      <c r="M18" s="9">
        <f t="shared" si="31"/>
        <v>59691.112499999996</v>
      </c>
      <c r="N18" s="9">
        <f t="shared" si="3"/>
        <v>16.602468522439171</v>
      </c>
      <c r="O18" s="95"/>
      <c r="P18" s="9">
        <f t="shared" si="4"/>
        <v>0</v>
      </c>
      <c r="Q18" s="9">
        <f t="shared" si="32"/>
        <v>0</v>
      </c>
      <c r="R18" s="9">
        <f t="shared" si="5"/>
        <v>0</v>
      </c>
      <c r="S18" s="9">
        <f t="shared" si="33"/>
        <v>5843.4457499999999</v>
      </c>
      <c r="T18" s="9">
        <f t="shared" si="6"/>
        <v>14.296767649673066</v>
      </c>
      <c r="U18" s="9">
        <f t="shared" si="34"/>
        <v>59691.112499999996</v>
      </c>
      <c r="V18" s="9">
        <f t="shared" si="7"/>
        <v>16.602468522439171</v>
      </c>
      <c r="W18" s="95"/>
      <c r="X18" s="9"/>
      <c r="Y18" s="9"/>
      <c r="Z18" s="9"/>
      <c r="AA18" s="95"/>
      <c r="AB18" s="9">
        <f t="shared" si="8"/>
        <v>0</v>
      </c>
      <c r="AC18" s="9">
        <f t="shared" si="35"/>
        <v>0</v>
      </c>
      <c r="AD18" s="9">
        <f t="shared" si="9"/>
        <v>0</v>
      </c>
      <c r="AE18" s="95"/>
      <c r="AF18" s="9">
        <f t="shared" si="10"/>
        <v>0</v>
      </c>
      <c r="AG18" s="9">
        <f t="shared" si="36"/>
        <v>0</v>
      </c>
      <c r="AH18" s="9">
        <f t="shared" si="11"/>
        <v>0</v>
      </c>
      <c r="AI18" s="95"/>
      <c r="AJ18" s="9">
        <f t="shared" si="12"/>
        <v>0</v>
      </c>
      <c r="AK18" s="9">
        <f t="shared" si="37"/>
        <v>0</v>
      </c>
      <c r="AL18" s="9">
        <f t="shared" si="13"/>
        <v>0</v>
      </c>
      <c r="AM18" s="9">
        <f t="shared" si="38"/>
        <v>0</v>
      </c>
      <c r="AN18" s="9">
        <f t="shared" si="14"/>
        <v>0</v>
      </c>
      <c r="AO18" s="9">
        <f t="shared" si="39"/>
        <v>0</v>
      </c>
      <c r="AP18" s="9">
        <f t="shared" si="15"/>
        <v>0</v>
      </c>
      <c r="AQ18" s="95">
        <f>70*AQ7</f>
        <v>17607.38</v>
      </c>
      <c r="AR18" s="9">
        <f t="shared" si="16"/>
        <v>43.07879828943404</v>
      </c>
      <c r="AS18" s="9">
        <f t="shared" si="40"/>
        <v>112184.16399999999</v>
      </c>
      <c r="AT18" s="9">
        <f t="shared" si="17"/>
        <v>31.20287046963907</v>
      </c>
      <c r="AU18" s="95">
        <f>70*AU7</f>
        <v>17421.669999999998</v>
      </c>
      <c r="AV18" s="9">
        <f t="shared" si="18"/>
        <v>42.624434060892888</v>
      </c>
      <c r="AW18" s="9">
        <f t="shared" si="41"/>
        <v>187656.27400000003</v>
      </c>
      <c r="AX18" s="9">
        <f t="shared" si="19"/>
        <v>52.194661007921759</v>
      </c>
      <c r="AY18" s="95"/>
      <c r="AZ18" s="14">
        <f t="shared" si="20"/>
        <v>0</v>
      </c>
      <c r="BA18" s="9">
        <f t="shared" si="42"/>
        <v>0</v>
      </c>
      <c r="BB18" s="9">
        <f t="shared" si="21"/>
        <v>0</v>
      </c>
      <c r="BC18" s="9">
        <f t="shared" si="43"/>
        <v>35029.050000000003</v>
      </c>
      <c r="BD18" s="9">
        <f t="shared" si="22"/>
        <v>85.703232350326928</v>
      </c>
      <c r="BE18" s="9">
        <f t="shared" si="44"/>
        <v>299840.43799999997</v>
      </c>
      <c r="BF18" s="9">
        <f t="shared" si="23"/>
        <v>83.397531477560818</v>
      </c>
      <c r="BG18" s="95">
        <v>0</v>
      </c>
      <c r="BH18" s="9">
        <f t="shared" si="24"/>
        <v>0</v>
      </c>
      <c r="BI18" s="9">
        <f t="shared" si="45"/>
        <v>0</v>
      </c>
      <c r="BJ18" s="9">
        <f t="shared" si="25"/>
        <v>0</v>
      </c>
      <c r="BK18" s="9">
        <f t="shared" si="26"/>
        <v>40872.495750000002</v>
      </c>
      <c r="BL18" s="9">
        <f t="shared" si="46"/>
        <v>359531.55050000001</v>
      </c>
      <c r="BM18" s="509">
        <f t="shared" si="27"/>
        <v>0.98102622830809116</v>
      </c>
      <c r="BN18" s="9">
        <f t="shared" si="28"/>
        <v>1.0978230217255227</v>
      </c>
    </row>
    <row r="19" spans="1:75">
      <c r="A19" s="15">
        <f>+Chem!A18</f>
        <v>46091</v>
      </c>
      <c r="B19" s="5" t="str">
        <f>+Chem!B18</f>
        <v>Facial</v>
      </c>
      <c r="C19" s="15" t="str">
        <f>+Chem!C18</f>
        <v>12</v>
      </c>
      <c r="D19" s="7">
        <f>+Chem!D18</f>
        <v>39.841999999999999</v>
      </c>
      <c r="E19" s="6">
        <f>+Chem!E18</f>
        <v>41.02</v>
      </c>
      <c r="F19" s="6">
        <f t="shared" si="29"/>
        <v>368.51499999999999</v>
      </c>
      <c r="G19" s="95"/>
      <c r="H19" s="9">
        <f t="shared" si="0"/>
        <v>0</v>
      </c>
      <c r="I19" s="7">
        <f t="shared" si="30"/>
        <v>0</v>
      </c>
      <c r="J19" s="9">
        <f t="shared" si="1"/>
        <v>0</v>
      </c>
      <c r="K19" s="95">
        <f>18*K7</f>
        <v>4523.9579999999996</v>
      </c>
      <c r="L19" s="9">
        <f t="shared" si="2"/>
        <v>11.155437371920259</v>
      </c>
      <c r="M19" s="9">
        <f t="shared" si="31"/>
        <v>64215.070499999994</v>
      </c>
      <c r="N19" s="9">
        <f t="shared" si="3"/>
        <v>16.050341338571528</v>
      </c>
      <c r="O19" s="95"/>
      <c r="P19" s="9">
        <f t="shared" si="4"/>
        <v>0</v>
      </c>
      <c r="Q19" s="9">
        <f t="shared" si="32"/>
        <v>0</v>
      </c>
      <c r="R19" s="9">
        <f t="shared" si="5"/>
        <v>0</v>
      </c>
      <c r="S19" s="9">
        <f t="shared" si="33"/>
        <v>4523.9579999999996</v>
      </c>
      <c r="T19" s="9">
        <f t="shared" si="6"/>
        <v>11.155437371920259</v>
      </c>
      <c r="U19" s="9">
        <f t="shared" si="34"/>
        <v>64215.070499999994</v>
      </c>
      <c r="V19" s="9">
        <f t="shared" si="7"/>
        <v>16.050341338571528</v>
      </c>
      <c r="W19" s="95"/>
      <c r="X19" s="9"/>
      <c r="Y19" s="9"/>
      <c r="Z19" s="9"/>
      <c r="AA19" s="95"/>
      <c r="AB19" s="9">
        <f t="shared" si="8"/>
        <v>0</v>
      </c>
      <c r="AC19" s="9">
        <f t="shared" si="35"/>
        <v>0</v>
      </c>
      <c r="AD19" s="9">
        <f t="shared" si="9"/>
        <v>0</v>
      </c>
      <c r="AE19" s="95"/>
      <c r="AF19" s="9">
        <f t="shared" si="10"/>
        <v>0</v>
      </c>
      <c r="AG19" s="9">
        <f t="shared" si="36"/>
        <v>0</v>
      </c>
      <c r="AH19" s="9">
        <f t="shared" si="11"/>
        <v>0</v>
      </c>
      <c r="AI19" s="95"/>
      <c r="AJ19" s="9">
        <f t="shared" si="12"/>
        <v>0</v>
      </c>
      <c r="AK19" s="9">
        <f t="shared" si="37"/>
        <v>0</v>
      </c>
      <c r="AL19" s="9">
        <f t="shared" si="13"/>
        <v>0</v>
      </c>
      <c r="AM19" s="9">
        <f t="shared" si="38"/>
        <v>0</v>
      </c>
      <c r="AN19" s="9">
        <f t="shared" si="14"/>
        <v>0</v>
      </c>
      <c r="AO19" s="9">
        <f t="shared" si="39"/>
        <v>0</v>
      </c>
      <c r="AP19" s="9">
        <f t="shared" si="15"/>
        <v>0</v>
      </c>
      <c r="AQ19" s="95">
        <f>72*AQ7</f>
        <v>18110.448</v>
      </c>
      <c r="AR19" s="9">
        <f t="shared" si="16"/>
        <v>44.657790466095953</v>
      </c>
      <c r="AS19" s="9">
        <f t="shared" si="40"/>
        <v>130294.61199999999</v>
      </c>
      <c r="AT19" s="9">
        <f t="shared" si="17"/>
        <v>32.566700945640761</v>
      </c>
      <c r="AU19" s="95">
        <f>72*AU7</f>
        <v>17919.432000000001</v>
      </c>
      <c r="AV19" s="9">
        <f t="shared" si="18"/>
        <v>44.186772161983775</v>
      </c>
      <c r="AW19" s="9">
        <f t="shared" si="41"/>
        <v>205575.70600000003</v>
      </c>
      <c r="AX19" s="9">
        <f t="shared" si="19"/>
        <v>51.382957715787725</v>
      </c>
      <c r="AY19" s="95"/>
      <c r="AZ19" s="14">
        <f t="shared" si="20"/>
        <v>0</v>
      </c>
      <c r="BA19" s="9">
        <f t="shared" si="42"/>
        <v>0</v>
      </c>
      <c r="BB19" s="9">
        <f t="shared" si="21"/>
        <v>0</v>
      </c>
      <c r="BC19" s="9">
        <f t="shared" si="43"/>
        <v>36029.880000000005</v>
      </c>
      <c r="BD19" s="9">
        <f t="shared" si="22"/>
        <v>88.844562628079743</v>
      </c>
      <c r="BE19" s="9">
        <f t="shared" si="44"/>
        <v>335870.31799999997</v>
      </c>
      <c r="BF19" s="9">
        <f t="shared" si="23"/>
        <v>83.949658661428458</v>
      </c>
      <c r="BG19" s="95"/>
      <c r="BH19" s="9">
        <f t="shared" si="24"/>
        <v>0</v>
      </c>
      <c r="BI19" s="9">
        <f t="shared" si="45"/>
        <v>0</v>
      </c>
      <c r="BJ19" s="9">
        <f t="shared" si="25"/>
        <v>0</v>
      </c>
      <c r="BK19" s="9">
        <f t="shared" si="26"/>
        <v>40553.838000000003</v>
      </c>
      <c r="BL19" s="9">
        <f t="shared" si="46"/>
        <v>400085.3885</v>
      </c>
      <c r="BM19" s="509">
        <f t="shared" si="27"/>
        <v>0.9886357386640664</v>
      </c>
      <c r="BN19" s="9">
        <f t="shared" si="28"/>
        <v>1.085669208851743</v>
      </c>
    </row>
    <row r="20" spans="1:75">
      <c r="A20" s="15">
        <f>+Chem!A19</f>
        <v>46092</v>
      </c>
      <c r="B20" s="5" t="str">
        <f>+Chem!B19</f>
        <v>Facial</v>
      </c>
      <c r="C20" s="15" t="str">
        <f>+Chem!C19</f>
        <v>12/12,5</v>
      </c>
      <c r="D20" s="7">
        <f>+Chem!D19</f>
        <v>40.427999999999997</v>
      </c>
      <c r="E20" s="6">
        <f>+Chem!E19</f>
        <v>38.755000000000003</v>
      </c>
      <c r="F20" s="6">
        <f t="shared" si="29"/>
        <v>407.27</v>
      </c>
      <c r="G20" s="95"/>
      <c r="H20" s="9">
        <f t="shared" si="0"/>
        <v>0</v>
      </c>
      <c r="I20" s="7">
        <f t="shared" si="30"/>
        <v>0</v>
      </c>
      <c r="J20" s="9">
        <f t="shared" si="1"/>
        <v>0</v>
      </c>
      <c r="K20" s="95">
        <f>19*K7</f>
        <v>4775.2889999999998</v>
      </c>
      <c r="L20" s="9">
        <f t="shared" si="2"/>
        <v>11.131980206275816</v>
      </c>
      <c r="M20" s="9">
        <f t="shared" si="31"/>
        <v>68990.359499999991</v>
      </c>
      <c r="N20" s="9">
        <f t="shared" si="3"/>
        <v>15.574062640650684</v>
      </c>
      <c r="O20" s="95"/>
      <c r="P20" s="9">
        <f t="shared" si="4"/>
        <v>0</v>
      </c>
      <c r="Q20" s="9">
        <f t="shared" si="32"/>
        <v>0</v>
      </c>
      <c r="R20" s="9">
        <f t="shared" si="5"/>
        <v>0</v>
      </c>
      <c r="S20" s="9">
        <f t="shared" si="33"/>
        <v>4775.2889999999998</v>
      </c>
      <c r="T20" s="9">
        <f t="shared" si="6"/>
        <v>11.131980206275816</v>
      </c>
      <c r="U20" s="9">
        <f t="shared" si="34"/>
        <v>68990.359499999991</v>
      </c>
      <c r="V20" s="9">
        <f t="shared" si="7"/>
        <v>15.574062640650684</v>
      </c>
      <c r="W20" s="95"/>
      <c r="X20" s="9"/>
      <c r="Y20" s="9"/>
      <c r="Z20" s="9"/>
      <c r="AA20" s="95"/>
      <c r="AB20" s="9">
        <f t="shared" si="8"/>
        <v>0</v>
      </c>
      <c r="AC20" s="9">
        <f t="shared" si="35"/>
        <v>0</v>
      </c>
      <c r="AD20" s="9">
        <f t="shared" si="9"/>
        <v>0</v>
      </c>
      <c r="AE20" s="95"/>
      <c r="AF20" s="9">
        <f t="shared" si="10"/>
        <v>0</v>
      </c>
      <c r="AG20" s="9">
        <f t="shared" si="36"/>
        <v>0</v>
      </c>
      <c r="AH20" s="9">
        <f t="shared" si="11"/>
        <v>0</v>
      </c>
      <c r="AI20" s="95"/>
      <c r="AJ20" s="9">
        <f t="shared" si="12"/>
        <v>0</v>
      </c>
      <c r="AK20" s="9">
        <f t="shared" si="37"/>
        <v>0</v>
      </c>
      <c r="AL20" s="9">
        <f t="shared" si="13"/>
        <v>0</v>
      </c>
      <c r="AM20" s="9">
        <f t="shared" si="38"/>
        <v>0</v>
      </c>
      <c r="AN20" s="9">
        <f t="shared" si="14"/>
        <v>0</v>
      </c>
      <c r="AO20" s="9">
        <f t="shared" si="39"/>
        <v>0</v>
      </c>
      <c r="AP20" s="9">
        <f t="shared" si="15"/>
        <v>0</v>
      </c>
      <c r="AQ20" s="95">
        <f>110*AQ7</f>
        <v>27668.739999999998</v>
      </c>
      <c r="AR20" s="9">
        <f t="shared" si="16"/>
        <v>64.500361342023879</v>
      </c>
      <c r="AS20" s="9">
        <f t="shared" si="40"/>
        <v>157963.35199999998</v>
      </c>
      <c r="AT20" s="9">
        <f t="shared" si="17"/>
        <v>35.659056668274843</v>
      </c>
      <c r="AU20" s="95">
        <f>42*AU7</f>
        <v>10453.002</v>
      </c>
      <c r="AV20" s="9">
        <f t="shared" si="18"/>
        <v>24.367658451700308</v>
      </c>
      <c r="AW20" s="9">
        <f t="shared" si="41"/>
        <v>216028.70800000004</v>
      </c>
      <c r="AX20" s="9">
        <f t="shared" si="19"/>
        <v>48.766880691074476</v>
      </c>
      <c r="AY20" s="95"/>
      <c r="AZ20" s="14">
        <f t="shared" si="20"/>
        <v>0</v>
      </c>
      <c r="BA20" s="9">
        <f t="shared" si="42"/>
        <v>0</v>
      </c>
      <c r="BB20" s="9">
        <f t="shared" si="21"/>
        <v>0</v>
      </c>
      <c r="BC20" s="9">
        <f t="shared" si="43"/>
        <v>38121.741999999998</v>
      </c>
      <c r="BD20" s="9">
        <f t="shared" si="22"/>
        <v>88.868019793724201</v>
      </c>
      <c r="BE20" s="9">
        <f t="shared" si="44"/>
        <v>373992.05999999994</v>
      </c>
      <c r="BF20" s="9">
        <f t="shared" si="23"/>
        <v>84.425937359349305</v>
      </c>
      <c r="BG20" s="95"/>
      <c r="BH20" s="9">
        <f t="shared" si="24"/>
        <v>0</v>
      </c>
      <c r="BI20" s="9">
        <f t="shared" si="45"/>
        <v>0</v>
      </c>
      <c r="BJ20" s="9">
        <f t="shared" si="25"/>
        <v>0</v>
      </c>
      <c r="BK20" s="9">
        <f t="shared" si="26"/>
        <v>42897.030999999995</v>
      </c>
      <c r="BL20" s="9">
        <f t="shared" si="46"/>
        <v>442982.41950000002</v>
      </c>
      <c r="BM20" s="509">
        <f t="shared" si="27"/>
        <v>1.1068773319571668</v>
      </c>
      <c r="BN20" s="9">
        <f t="shared" si="28"/>
        <v>1.0876873314999878</v>
      </c>
    </row>
    <row r="21" spans="1:75">
      <c r="A21" s="15">
        <f>+Chem!A20</f>
        <v>46093</v>
      </c>
      <c r="B21" s="5" t="str">
        <f>+Chem!B20</f>
        <v>Facial/Toilet</v>
      </c>
      <c r="C21" s="15" t="str">
        <f>+Chem!C20</f>
        <v>12,5/14/13</v>
      </c>
      <c r="D21" s="7">
        <f>+Chem!D20</f>
        <v>43.361000000000004</v>
      </c>
      <c r="E21" s="6">
        <f>+Chem!E20</f>
        <v>40.625999999999998</v>
      </c>
      <c r="F21" s="6">
        <f t="shared" si="29"/>
        <v>447.89599999999996</v>
      </c>
      <c r="G21" s="95"/>
      <c r="H21" s="9">
        <f t="shared" si="0"/>
        <v>0</v>
      </c>
      <c r="I21" s="7">
        <f t="shared" si="30"/>
        <v>0</v>
      </c>
      <c r="J21" s="9">
        <f t="shared" si="1"/>
        <v>0</v>
      </c>
      <c r="K21" s="95">
        <f>9*K7</f>
        <v>2261.9789999999998</v>
      </c>
      <c r="L21" s="9">
        <f t="shared" si="2"/>
        <v>5.8778846434940215</v>
      </c>
      <c r="M21" s="9">
        <f t="shared" si="31"/>
        <v>71252.338499999998</v>
      </c>
      <c r="N21" s="9">
        <f t="shared" si="3"/>
        <v>14.799060142848989</v>
      </c>
      <c r="O21" s="95"/>
      <c r="P21" s="9">
        <f t="shared" si="4"/>
        <v>0</v>
      </c>
      <c r="Q21" s="9">
        <f t="shared" si="32"/>
        <v>0</v>
      </c>
      <c r="R21" s="9">
        <f t="shared" si="5"/>
        <v>0</v>
      </c>
      <c r="S21" s="9">
        <f t="shared" si="33"/>
        <v>2261.9789999999998</v>
      </c>
      <c r="T21" s="9">
        <f t="shared" si="6"/>
        <v>5.8778846434940215</v>
      </c>
      <c r="U21" s="9">
        <f t="shared" si="34"/>
        <v>71252.338499999998</v>
      </c>
      <c r="V21" s="9">
        <f t="shared" si="7"/>
        <v>14.799060142848989</v>
      </c>
      <c r="W21" s="95"/>
      <c r="X21" s="9"/>
      <c r="Y21" s="9"/>
      <c r="Z21" s="9"/>
      <c r="AA21" s="95"/>
      <c r="AB21" s="9">
        <f t="shared" si="8"/>
        <v>0</v>
      </c>
      <c r="AC21" s="9">
        <f t="shared" si="35"/>
        <v>0</v>
      </c>
      <c r="AD21" s="9">
        <f t="shared" si="9"/>
        <v>0</v>
      </c>
      <c r="AE21" s="95"/>
      <c r="AF21" s="9">
        <f t="shared" si="10"/>
        <v>0</v>
      </c>
      <c r="AG21" s="9">
        <f t="shared" si="36"/>
        <v>0</v>
      </c>
      <c r="AH21" s="9">
        <f t="shared" si="11"/>
        <v>0</v>
      </c>
      <c r="AI21" s="95"/>
      <c r="AJ21" s="9">
        <f t="shared" si="12"/>
        <v>0</v>
      </c>
      <c r="AK21" s="9">
        <f t="shared" si="37"/>
        <v>0</v>
      </c>
      <c r="AL21" s="9">
        <f t="shared" si="13"/>
        <v>0</v>
      </c>
      <c r="AM21" s="9">
        <f t="shared" si="38"/>
        <v>0</v>
      </c>
      <c r="AN21" s="9">
        <f t="shared" si="14"/>
        <v>0</v>
      </c>
      <c r="AO21" s="9">
        <f t="shared" si="39"/>
        <v>0</v>
      </c>
      <c r="AP21" s="9">
        <f t="shared" si="15"/>
        <v>0</v>
      </c>
      <c r="AQ21" s="95">
        <f>144*AQ7</f>
        <v>36220.896000000001</v>
      </c>
      <c r="AR21" s="9">
        <f t="shared" si="16"/>
        <v>94.122115356505972</v>
      </c>
      <c r="AS21" s="9">
        <f t="shared" si="40"/>
        <v>194184.24799999999</v>
      </c>
      <c r="AT21" s="9">
        <f t="shared" si="17"/>
        <v>40.331930508440827</v>
      </c>
      <c r="AU21" s="95"/>
      <c r="AV21" s="9">
        <f t="shared" si="18"/>
        <v>0</v>
      </c>
      <c r="AW21" s="9">
        <f t="shared" si="41"/>
        <v>216028.70800000004</v>
      </c>
      <c r="AX21" s="9">
        <f t="shared" si="19"/>
        <v>44.869009348710186</v>
      </c>
      <c r="AY21" s="95"/>
      <c r="AZ21" s="14">
        <f t="shared" si="20"/>
        <v>0</v>
      </c>
      <c r="BA21" s="9">
        <f t="shared" si="42"/>
        <v>0</v>
      </c>
      <c r="BB21" s="9">
        <f t="shared" si="21"/>
        <v>0</v>
      </c>
      <c r="BC21" s="9">
        <f t="shared" si="43"/>
        <v>36220.896000000001</v>
      </c>
      <c r="BD21" s="9">
        <f t="shared" si="22"/>
        <v>94.122115356505972</v>
      </c>
      <c r="BE21" s="9">
        <f t="shared" si="44"/>
        <v>410212.95599999995</v>
      </c>
      <c r="BF21" s="9">
        <f t="shared" si="23"/>
        <v>85.200939857150999</v>
      </c>
      <c r="BG21" s="95"/>
      <c r="BH21" s="9">
        <f t="shared" si="24"/>
        <v>0</v>
      </c>
      <c r="BI21" s="9">
        <f t="shared" si="45"/>
        <v>0</v>
      </c>
      <c r="BJ21" s="9">
        <f t="shared" si="25"/>
        <v>0</v>
      </c>
      <c r="BK21" s="9">
        <f t="shared" si="26"/>
        <v>38482.875</v>
      </c>
      <c r="BL21" s="9">
        <f t="shared" si="46"/>
        <v>481465.29450000002</v>
      </c>
      <c r="BM21" s="509">
        <f t="shared" si="27"/>
        <v>0.9472474523704032</v>
      </c>
      <c r="BN21" s="9">
        <f t="shared" si="28"/>
        <v>1.074948859779949</v>
      </c>
      <c r="BR21" s="13"/>
      <c r="BS21" s="13"/>
      <c r="BV21" s="13"/>
      <c r="BW21" s="13"/>
    </row>
    <row r="22" spans="1:75">
      <c r="A22" s="15">
        <f>+Chem!A21</f>
        <v>46094</v>
      </c>
      <c r="B22" s="5" t="str">
        <f>+Chem!B21</f>
        <v>Toilet</v>
      </c>
      <c r="C22" s="15" t="str">
        <f>+Chem!C21</f>
        <v>13/12,5</v>
      </c>
      <c r="D22" s="7">
        <f>+Chem!D21</f>
        <v>40.203000000000003</v>
      </c>
      <c r="E22" s="6">
        <f>+Chem!E21</f>
        <v>38.853000000000002</v>
      </c>
      <c r="F22" s="6">
        <f t="shared" si="29"/>
        <v>486.74899999999997</v>
      </c>
      <c r="G22" s="95"/>
      <c r="H22" s="9">
        <f t="shared" si="0"/>
        <v>0</v>
      </c>
      <c r="I22" s="7">
        <f t="shared" si="30"/>
        <v>0</v>
      </c>
      <c r="J22" s="9">
        <f t="shared" si="1"/>
        <v>0</v>
      </c>
      <c r="K22" s="95">
        <f>27*K7</f>
        <v>6785.9369999999999</v>
      </c>
      <c r="L22" s="9">
        <f t="shared" si="2"/>
        <v>15.778741485103076</v>
      </c>
      <c r="M22" s="9">
        <f t="shared" si="31"/>
        <v>78038.275500000003</v>
      </c>
      <c r="N22" s="9">
        <f t="shared" si="3"/>
        <v>14.879394234348513</v>
      </c>
      <c r="O22" s="95"/>
      <c r="P22" s="9">
        <f t="shared" si="4"/>
        <v>0</v>
      </c>
      <c r="Q22" s="9">
        <f t="shared" si="32"/>
        <v>0</v>
      </c>
      <c r="R22" s="9">
        <f t="shared" si="5"/>
        <v>0</v>
      </c>
      <c r="S22" s="9">
        <f t="shared" si="33"/>
        <v>6785.9369999999999</v>
      </c>
      <c r="T22" s="9">
        <f t="shared" si="6"/>
        <v>15.778741485103076</v>
      </c>
      <c r="U22" s="9">
        <f t="shared" si="34"/>
        <v>78038.275500000003</v>
      </c>
      <c r="V22" s="9">
        <f t="shared" si="7"/>
        <v>14.879394234348513</v>
      </c>
      <c r="W22" s="95"/>
      <c r="X22" s="9"/>
      <c r="Y22" s="9"/>
      <c r="Z22" s="9"/>
      <c r="AA22" s="95"/>
      <c r="AB22" s="9">
        <f t="shared" si="8"/>
        <v>0</v>
      </c>
      <c r="AC22" s="9">
        <f t="shared" si="35"/>
        <v>0</v>
      </c>
      <c r="AD22" s="9">
        <f t="shared" si="9"/>
        <v>0</v>
      </c>
      <c r="AE22" s="95"/>
      <c r="AF22" s="9">
        <f t="shared" si="10"/>
        <v>0</v>
      </c>
      <c r="AG22" s="9">
        <f t="shared" si="36"/>
        <v>0</v>
      </c>
      <c r="AH22" s="9">
        <f t="shared" si="11"/>
        <v>0</v>
      </c>
      <c r="AI22" s="95"/>
      <c r="AJ22" s="9">
        <f t="shared" si="12"/>
        <v>0</v>
      </c>
      <c r="AK22" s="9">
        <f t="shared" si="37"/>
        <v>0</v>
      </c>
      <c r="AL22" s="9">
        <f t="shared" si="13"/>
        <v>0</v>
      </c>
      <c r="AM22" s="9">
        <f t="shared" si="38"/>
        <v>0</v>
      </c>
      <c r="AN22" s="9">
        <f t="shared" si="14"/>
        <v>0</v>
      </c>
      <c r="AO22" s="9">
        <f t="shared" si="39"/>
        <v>0</v>
      </c>
      <c r="AP22" s="9">
        <f t="shared" si="15"/>
        <v>0</v>
      </c>
      <c r="AQ22" s="95">
        <f>144*AQ7</f>
        <v>36220.896000000001</v>
      </c>
      <c r="AR22" s="9">
        <f t="shared" si="16"/>
        <v>84.221258514896931</v>
      </c>
      <c r="AS22" s="9">
        <f t="shared" si="40"/>
        <v>230405.144</v>
      </c>
      <c r="AT22" s="9">
        <f t="shared" si="17"/>
        <v>43.930865325154954</v>
      </c>
      <c r="AU22" s="95"/>
      <c r="AV22" s="9">
        <f t="shared" si="18"/>
        <v>0</v>
      </c>
      <c r="AW22" s="9">
        <f t="shared" si="41"/>
        <v>216028.70800000004</v>
      </c>
      <c r="AX22" s="9">
        <f t="shared" si="19"/>
        <v>41.189740440496529</v>
      </c>
      <c r="AY22" s="95"/>
      <c r="AZ22" s="14">
        <f t="shared" si="20"/>
        <v>0</v>
      </c>
      <c r="BA22" s="9">
        <f t="shared" si="42"/>
        <v>0</v>
      </c>
      <c r="BB22" s="9">
        <f t="shared" si="21"/>
        <v>0</v>
      </c>
      <c r="BC22" s="9">
        <f t="shared" si="43"/>
        <v>36220.896000000001</v>
      </c>
      <c r="BD22" s="9">
        <f t="shared" si="22"/>
        <v>84.221258514896931</v>
      </c>
      <c r="BE22" s="9">
        <f t="shared" si="44"/>
        <v>446433.85199999996</v>
      </c>
      <c r="BF22" s="9">
        <f t="shared" si="23"/>
        <v>85.120605765651476</v>
      </c>
      <c r="BG22" s="95"/>
      <c r="BH22" s="9">
        <f t="shared" si="24"/>
        <v>0</v>
      </c>
      <c r="BI22" s="9">
        <f t="shared" si="45"/>
        <v>0</v>
      </c>
      <c r="BJ22" s="9">
        <f t="shared" si="25"/>
        <v>0</v>
      </c>
      <c r="BK22" s="9">
        <f t="shared" si="26"/>
        <v>43006.832999999999</v>
      </c>
      <c r="BL22" s="9">
        <f t="shared" si="46"/>
        <v>524472.12750000006</v>
      </c>
      <c r="BM22" s="509">
        <f t="shared" si="27"/>
        <v>1.1069115126245077</v>
      </c>
      <c r="BN22" s="9">
        <f t="shared" si="28"/>
        <v>1.0775001643557565</v>
      </c>
      <c r="BR22" s="13"/>
      <c r="BS22" s="13"/>
      <c r="BV22" s="13"/>
      <c r="BW22" s="13"/>
    </row>
    <row r="23" spans="1:75">
      <c r="A23" s="15">
        <f>+Chem!A22</f>
        <v>46095</v>
      </c>
      <c r="B23" s="5" t="str">
        <f>+Chem!B22</f>
        <v>Toilet</v>
      </c>
      <c r="C23" s="15" t="str">
        <f>+Chem!C22</f>
        <v>12,5/13</v>
      </c>
      <c r="D23" s="7">
        <f>+Chem!D22</f>
        <v>40.817</v>
      </c>
      <c r="E23" s="6">
        <f>+Chem!E22</f>
        <v>40.228999999999999</v>
      </c>
      <c r="F23" s="6">
        <f t="shared" si="29"/>
        <v>526.97799999999995</v>
      </c>
      <c r="G23" s="95"/>
      <c r="H23" s="9">
        <f t="shared" si="0"/>
        <v>0</v>
      </c>
      <c r="I23" s="7">
        <f t="shared" si="30"/>
        <v>0</v>
      </c>
      <c r="J23" s="9">
        <f t="shared" si="1"/>
        <v>0</v>
      </c>
      <c r="K23" s="95">
        <f>27*K7</f>
        <v>6785.9369999999999</v>
      </c>
      <c r="L23" s="9">
        <f t="shared" si="2"/>
        <v>15.817901121256247</v>
      </c>
      <c r="M23" s="9">
        <f t="shared" si="31"/>
        <v>84824.212500000009</v>
      </c>
      <c r="N23" s="9">
        <f t="shared" si="3"/>
        <v>14.950356938393014</v>
      </c>
      <c r="O23" s="95"/>
      <c r="P23" s="9">
        <f t="shared" si="4"/>
        <v>0</v>
      </c>
      <c r="Q23" s="9">
        <f t="shared" si="32"/>
        <v>0</v>
      </c>
      <c r="R23" s="9">
        <f t="shared" si="5"/>
        <v>0</v>
      </c>
      <c r="S23" s="9">
        <f t="shared" si="33"/>
        <v>6785.9369999999999</v>
      </c>
      <c r="T23" s="9">
        <f t="shared" si="6"/>
        <v>15.817901121256247</v>
      </c>
      <c r="U23" s="9">
        <f t="shared" si="34"/>
        <v>84824.212500000009</v>
      </c>
      <c r="V23" s="9">
        <f t="shared" si="7"/>
        <v>14.950356938393014</v>
      </c>
      <c r="W23" s="95"/>
      <c r="X23" s="9"/>
      <c r="Y23" s="9"/>
      <c r="Z23" s="9"/>
      <c r="AA23" s="95"/>
      <c r="AB23" s="9">
        <f t="shared" si="8"/>
        <v>0</v>
      </c>
      <c r="AC23" s="9">
        <f t="shared" si="35"/>
        <v>0</v>
      </c>
      <c r="AD23" s="9">
        <f t="shared" si="9"/>
        <v>0</v>
      </c>
      <c r="AE23" s="95"/>
      <c r="AF23" s="9">
        <f t="shared" si="10"/>
        <v>0</v>
      </c>
      <c r="AG23" s="9">
        <f t="shared" si="36"/>
        <v>0</v>
      </c>
      <c r="AH23" s="9">
        <f t="shared" si="11"/>
        <v>0</v>
      </c>
      <c r="AI23" s="95"/>
      <c r="AJ23" s="9">
        <f t="shared" si="12"/>
        <v>0</v>
      </c>
      <c r="AK23" s="9">
        <f t="shared" si="37"/>
        <v>0</v>
      </c>
      <c r="AL23" s="9">
        <f t="shared" si="13"/>
        <v>0</v>
      </c>
      <c r="AM23" s="9">
        <f t="shared" si="38"/>
        <v>0</v>
      </c>
      <c r="AN23" s="9">
        <f t="shared" si="14"/>
        <v>0</v>
      </c>
      <c r="AO23" s="9">
        <f t="shared" si="39"/>
        <v>0</v>
      </c>
      <c r="AP23" s="9">
        <f t="shared" si="15"/>
        <v>0</v>
      </c>
      <c r="AQ23" s="95">
        <f>123*AQ7</f>
        <v>30938.682000000001</v>
      </c>
      <c r="AR23" s="9">
        <f t="shared" si="16"/>
        <v>72.11752963488911</v>
      </c>
      <c r="AS23" s="9">
        <f t="shared" si="40"/>
        <v>261343.826</v>
      </c>
      <c r="AT23" s="9">
        <f t="shared" si="17"/>
        <v>46.062125037061513</v>
      </c>
      <c r="AU23" s="95"/>
      <c r="AV23" s="9">
        <f t="shared" si="18"/>
        <v>0</v>
      </c>
      <c r="AW23" s="9">
        <f t="shared" si="41"/>
        <v>216028.70800000004</v>
      </c>
      <c r="AX23" s="9">
        <f t="shared" si="19"/>
        <v>38.075287684396471</v>
      </c>
      <c r="AY23" s="95">
        <f>21*AY7</f>
        <v>5175.7439999999997</v>
      </c>
      <c r="AZ23" s="14">
        <f t="shared" si="20"/>
        <v>12.064569243854651</v>
      </c>
      <c r="BA23" s="9">
        <f t="shared" si="42"/>
        <v>5175.7439999999997</v>
      </c>
      <c r="BB23" s="9">
        <f t="shared" si="21"/>
        <v>0.9122303401489994</v>
      </c>
      <c r="BC23" s="9">
        <f t="shared" si="43"/>
        <v>36114.425999999999</v>
      </c>
      <c r="BD23" s="9">
        <f t="shared" si="22"/>
        <v>84.182098878743759</v>
      </c>
      <c r="BE23" s="9">
        <f t="shared" si="44"/>
        <v>482548.27799999993</v>
      </c>
      <c r="BF23" s="9">
        <f t="shared" si="23"/>
        <v>85.049643061606957</v>
      </c>
      <c r="BG23" s="95"/>
      <c r="BH23" s="9">
        <f t="shared" si="24"/>
        <v>0</v>
      </c>
      <c r="BI23" s="9">
        <f t="shared" si="45"/>
        <v>0</v>
      </c>
      <c r="BJ23" s="9">
        <f t="shared" si="25"/>
        <v>0</v>
      </c>
      <c r="BK23" s="9">
        <f t="shared" si="26"/>
        <v>42900.362999999998</v>
      </c>
      <c r="BL23" s="9">
        <f t="shared" si="46"/>
        <v>567372.49050000007</v>
      </c>
      <c r="BM23" s="509">
        <f t="shared" si="27"/>
        <v>1.0664039126003628</v>
      </c>
      <c r="BN23" s="9">
        <f t="shared" si="28"/>
        <v>1.0766530870358917</v>
      </c>
      <c r="BV23" s="13"/>
      <c r="BW23" s="13"/>
    </row>
    <row r="24" spans="1:75">
      <c r="A24" s="15">
        <f>+Chem!A23</f>
        <v>46096</v>
      </c>
      <c r="B24" s="5" t="str">
        <f>+Chem!B23</f>
        <v>Toilet</v>
      </c>
      <c r="C24" s="15" t="str">
        <f>+Chem!C23</f>
        <v>13</v>
      </c>
      <c r="D24" s="7">
        <f>+Chem!D23</f>
        <v>41.332000000000001</v>
      </c>
      <c r="E24" s="6">
        <f>+Chem!E23</f>
        <v>40.756999999999998</v>
      </c>
      <c r="F24" s="6">
        <f t="shared" si="29"/>
        <v>567.7349999999999</v>
      </c>
      <c r="G24" s="95"/>
      <c r="H24" s="9">
        <f t="shared" si="0"/>
        <v>0</v>
      </c>
      <c r="I24" s="7">
        <f t="shared" si="30"/>
        <v>0</v>
      </c>
      <c r="J24" s="9">
        <f t="shared" si="1"/>
        <v>0</v>
      </c>
      <c r="K24" s="95">
        <f>27.75*K7</f>
        <v>6974.4352499999995</v>
      </c>
      <c r="L24" s="9">
        <f t="shared" si="2"/>
        <v>15.78779594985795</v>
      </c>
      <c r="M24" s="9">
        <f t="shared" si="31"/>
        <v>91798.647750000004</v>
      </c>
      <c r="N24" s="9">
        <f t="shared" si="3"/>
        <v>15.010850582710692</v>
      </c>
      <c r="O24" s="95"/>
      <c r="P24" s="9">
        <f t="shared" si="4"/>
        <v>0</v>
      </c>
      <c r="Q24" s="9">
        <f t="shared" si="32"/>
        <v>0</v>
      </c>
      <c r="R24" s="9">
        <f t="shared" si="5"/>
        <v>0</v>
      </c>
      <c r="S24" s="9">
        <f t="shared" si="33"/>
        <v>6974.4352499999995</v>
      </c>
      <c r="T24" s="9">
        <f t="shared" si="6"/>
        <v>15.78779594985795</v>
      </c>
      <c r="U24" s="9">
        <f t="shared" si="34"/>
        <v>91798.647750000004</v>
      </c>
      <c r="V24" s="9">
        <f t="shared" si="7"/>
        <v>15.010850582710692</v>
      </c>
      <c r="W24" s="95"/>
      <c r="X24" s="9"/>
      <c r="Y24" s="9"/>
      <c r="Z24" s="9"/>
      <c r="AA24" s="95"/>
      <c r="AB24" s="9">
        <f t="shared" si="8"/>
        <v>0</v>
      </c>
      <c r="AC24" s="9">
        <f t="shared" si="35"/>
        <v>0</v>
      </c>
      <c r="AD24" s="9">
        <f t="shared" si="9"/>
        <v>0</v>
      </c>
      <c r="AE24" s="95"/>
      <c r="AF24" s="9">
        <f t="shared" si="10"/>
        <v>0</v>
      </c>
      <c r="AG24" s="9">
        <f t="shared" si="36"/>
        <v>0</v>
      </c>
      <c r="AH24" s="9">
        <f t="shared" si="11"/>
        <v>0</v>
      </c>
      <c r="AI24" s="95"/>
      <c r="AJ24" s="9">
        <f t="shared" si="12"/>
        <v>0</v>
      </c>
      <c r="AK24" s="9">
        <f t="shared" si="37"/>
        <v>0</v>
      </c>
      <c r="AL24" s="9">
        <f t="shared" si="13"/>
        <v>0</v>
      </c>
      <c r="AM24" s="9">
        <f t="shared" si="38"/>
        <v>0</v>
      </c>
      <c r="AN24" s="9">
        <f t="shared" si="14"/>
        <v>0</v>
      </c>
      <c r="AO24" s="9">
        <f t="shared" si="39"/>
        <v>0</v>
      </c>
      <c r="AP24" s="9">
        <f t="shared" si="15"/>
        <v>0</v>
      </c>
      <c r="AQ24" s="95">
        <f>143*AQ7</f>
        <v>35969.362000000001</v>
      </c>
      <c r="AR24" s="9">
        <f t="shared" si="16"/>
        <v>81.422642457333666</v>
      </c>
      <c r="AS24" s="9">
        <f t="shared" si="40"/>
        <v>297313.18800000002</v>
      </c>
      <c r="AT24" s="9">
        <f t="shared" si="17"/>
        <v>48.616444258432701</v>
      </c>
      <c r="AU24" s="95"/>
      <c r="AV24" s="9">
        <f t="shared" si="18"/>
        <v>0</v>
      </c>
      <c r="AW24" s="9">
        <f t="shared" si="41"/>
        <v>216028.70800000004</v>
      </c>
      <c r="AX24" s="9">
        <f t="shared" si="19"/>
        <v>35.324863021896071</v>
      </c>
      <c r="AY24" s="95">
        <f>5*AY7</f>
        <v>1232.32</v>
      </c>
      <c r="AZ24" s="14">
        <f t="shared" si="20"/>
        <v>2.789561592808385</v>
      </c>
      <c r="BA24" s="9">
        <f t="shared" si="42"/>
        <v>6408.0639999999994</v>
      </c>
      <c r="BB24" s="9">
        <f t="shared" si="21"/>
        <v>1.0478421369605349</v>
      </c>
      <c r="BC24" s="9">
        <f t="shared" si="43"/>
        <v>37201.682000000001</v>
      </c>
      <c r="BD24" s="9">
        <f t="shared" si="22"/>
        <v>84.212204050142049</v>
      </c>
      <c r="BE24" s="9">
        <f t="shared" si="44"/>
        <v>519749.95999999996</v>
      </c>
      <c r="BF24" s="9">
        <f t="shared" si="23"/>
        <v>84.989149417289283</v>
      </c>
      <c r="BG24" s="95"/>
      <c r="BH24" s="9">
        <f t="shared" si="24"/>
        <v>0</v>
      </c>
      <c r="BI24" s="9">
        <f t="shared" si="45"/>
        <v>0</v>
      </c>
      <c r="BJ24" s="9">
        <f t="shared" si="25"/>
        <v>0</v>
      </c>
      <c r="BK24" s="9">
        <f t="shared" si="26"/>
        <v>44176.117250000003</v>
      </c>
      <c r="BL24" s="9">
        <f t="shared" si="46"/>
        <v>611548.60775000008</v>
      </c>
      <c r="BM24" s="509">
        <f t="shared" si="27"/>
        <v>1.0838903071864958</v>
      </c>
      <c r="BN24" s="9">
        <f t="shared" si="28"/>
        <v>1.0771726382026829</v>
      </c>
      <c r="BV24" s="13"/>
      <c r="BW24" s="13"/>
    </row>
    <row r="25" spans="1:75">
      <c r="A25" s="15">
        <f>+Chem!A24</f>
        <v>46097</v>
      </c>
      <c r="B25" s="5" t="str">
        <f>+Chem!B24</f>
        <v>Toilet</v>
      </c>
      <c r="C25" s="15" t="str">
        <f>+Chem!C24</f>
        <v>13/12,5</v>
      </c>
      <c r="D25" s="7">
        <f>+Chem!D24</f>
        <v>41.796999999999997</v>
      </c>
      <c r="E25" s="6">
        <f>+Chem!E24</f>
        <v>39.503</v>
      </c>
      <c r="F25" s="6">
        <f t="shared" si="29"/>
        <v>607.23799999999994</v>
      </c>
      <c r="G25" s="95"/>
      <c r="H25" s="9">
        <f t="shared" si="0"/>
        <v>0</v>
      </c>
      <c r="I25" s="7">
        <f t="shared" si="30"/>
        <v>0</v>
      </c>
      <c r="J25" s="9">
        <f t="shared" si="1"/>
        <v>0</v>
      </c>
      <c r="K25" s="95">
        <f>28.5*K7</f>
        <v>7162.9335000000001</v>
      </c>
      <c r="L25" s="9">
        <f t="shared" si="2"/>
        <v>15.77874148510308</v>
      </c>
      <c r="M25" s="9">
        <f t="shared" si="31"/>
        <v>98961.581250000003</v>
      </c>
      <c r="N25" s="9">
        <f t="shared" si="3"/>
        <v>15.063913272546078</v>
      </c>
      <c r="O25" s="95"/>
      <c r="P25" s="9">
        <f t="shared" si="4"/>
        <v>0</v>
      </c>
      <c r="Q25" s="9">
        <f t="shared" si="32"/>
        <v>0</v>
      </c>
      <c r="R25" s="9">
        <f t="shared" si="5"/>
        <v>0</v>
      </c>
      <c r="S25" s="9">
        <f t="shared" si="33"/>
        <v>7162.9335000000001</v>
      </c>
      <c r="T25" s="9">
        <f t="shared" si="6"/>
        <v>15.77874148510308</v>
      </c>
      <c r="U25" s="9">
        <f t="shared" si="34"/>
        <v>98961.581250000003</v>
      </c>
      <c r="V25" s="9">
        <f t="shared" si="7"/>
        <v>15.063913272546078</v>
      </c>
      <c r="W25" s="95"/>
      <c r="X25" s="9"/>
      <c r="Y25" s="9"/>
      <c r="Z25" s="9"/>
      <c r="AA25" s="95"/>
      <c r="AB25" s="9">
        <f t="shared" si="8"/>
        <v>0</v>
      </c>
      <c r="AC25" s="9">
        <f t="shared" si="35"/>
        <v>0</v>
      </c>
      <c r="AD25" s="9">
        <f t="shared" si="9"/>
        <v>0</v>
      </c>
      <c r="AE25" s="95"/>
      <c r="AF25" s="9">
        <f t="shared" si="10"/>
        <v>0</v>
      </c>
      <c r="AG25" s="9">
        <f t="shared" si="36"/>
        <v>0</v>
      </c>
      <c r="AH25" s="9">
        <f t="shared" si="11"/>
        <v>0</v>
      </c>
      <c r="AI25" s="95"/>
      <c r="AJ25" s="9">
        <f t="shared" si="12"/>
        <v>0</v>
      </c>
      <c r="AK25" s="9">
        <f t="shared" si="37"/>
        <v>0</v>
      </c>
      <c r="AL25" s="9">
        <f t="shared" si="13"/>
        <v>0</v>
      </c>
      <c r="AM25" s="9">
        <f t="shared" si="38"/>
        <v>0</v>
      </c>
      <c r="AN25" s="9">
        <f t="shared" si="14"/>
        <v>0</v>
      </c>
      <c r="AO25" s="9">
        <f t="shared" si="39"/>
        <v>0</v>
      </c>
      <c r="AP25" s="9">
        <f t="shared" si="15"/>
        <v>0</v>
      </c>
      <c r="AQ25" s="95">
        <f>152*AQ7</f>
        <v>38233.167999999998</v>
      </c>
      <c r="AR25" s="9">
        <f t="shared" si="16"/>
        <v>84.221258514896931</v>
      </c>
      <c r="AS25" s="9">
        <f t="shared" si="40"/>
        <v>335546.35600000003</v>
      </c>
      <c r="AT25" s="9">
        <f t="shared" si="17"/>
        <v>51.076803157921155</v>
      </c>
      <c r="AU25" s="95"/>
      <c r="AV25" s="9">
        <f t="shared" si="18"/>
        <v>0</v>
      </c>
      <c r="AW25" s="9">
        <f t="shared" si="41"/>
        <v>216028.70800000004</v>
      </c>
      <c r="AX25" s="9">
        <f t="shared" si="19"/>
        <v>32.883849273499578</v>
      </c>
      <c r="AY25" s="95"/>
      <c r="AZ25" s="14">
        <f t="shared" si="20"/>
        <v>0</v>
      </c>
      <c r="BA25" s="9">
        <f t="shared" si="42"/>
        <v>6408.0639999999994</v>
      </c>
      <c r="BB25" s="9">
        <f t="shared" si="21"/>
        <v>0.97543429603318621</v>
      </c>
      <c r="BC25" s="9">
        <f t="shared" si="43"/>
        <v>38233.167999999998</v>
      </c>
      <c r="BD25" s="9">
        <f t="shared" si="22"/>
        <v>84.221258514896931</v>
      </c>
      <c r="BE25" s="9">
        <f t="shared" si="44"/>
        <v>557983.12799999991</v>
      </c>
      <c r="BF25" s="9">
        <f t="shared" si="23"/>
        <v>84.936086727453898</v>
      </c>
      <c r="BG25" s="95"/>
      <c r="BH25" s="9">
        <f t="shared" si="24"/>
        <v>0</v>
      </c>
      <c r="BI25" s="9">
        <f t="shared" si="45"/>
        <v>0</v>
      </c>
      <c r="BJ25" s="9">
        <f t="shared" si="25"/>
        <v>0</v>
      </c>
      <c r="BK25" s="9">
        <f t="shared" si="26"/>
        <v>45396.101499999997</v>
      </c>
      <c r="BL25" s="9">
        <f t="shared" si="46"/>
        <v>656944.70925000007</v>
      </c>
      <c r="BM25" s="509">
        <f t="shared" si="27"/>
        <v>1.1491811128268739</v>
      </c>
      <c r="BN25" s="9">
        <f t="shared" si="28"/>
        <v>1.081857046578113</v>
      </c>
      <c r="BV25" s="13"/>
      <c r="BW25" s="13"/>
    </row>
    <row r="26" spans="1:75">
      <c r="A26" s="15">
        <f>+Chem!A25</f>
        <v>46098</v>
      </c>
      <c r="B26" s="5" t="str">
        <f>+Chem!B25</f>
        <v>Toilet</v>
      </c>
      <c r="C26" s="15" t="str">
        <f>+Chem!C25</f>
        <v>12,5</v>
      </c>
      <c r="D26" s="7">
        <f>+Chem!D25</f>
        <v>5.4</v>
      </c>
      <c r="E26" s="6">
        <f>+Chem!E25</f>
        <v>5.859</v>
      </c>
      <c r="F26" s="6">
        <f t="shared" si="29"/>
        <v>613.09699999999998</v>
      </c>
      <c r="G26" s="95">
        <f>2.25*G7</f>
        <v>562.5</v>
      </c>
      <c r="H26" s="9">
        <f t="shared" si="0"/>
        <v>100</v>
      </c>
      <c r="I26" s="7">
        <f t="shared" si="30"/>
        <v>562.5</v>
      </c>
      <c r="J26" s="9">
        <f t="shared" si="1"/>
        <v>8.5550392769324593E-2</v>
      </c>
      <c r="K26" s="95"/>
      <c r="L26" s="9">
        <f t="shared" si="2"/>
        <v>0</v>
      </c>
      <c r="M26" s="9">
        <f t="shared" si="31"/>
        <v>98961.581250000003</v>
      </c>
      <c r="N26" s="9">
        <f t="shared" si="3"/>
        <v>15.051026035574985</v>
      </c>
      <c r="O26" s="95"/>
      <c r="P26" s="9">
        <f t="shared" si="4"/>
        <v>0</v>
      </c>
      <c r="Q26" s="9">
        <f t="shared" si="32"/>
        <v>0</v>
      </c>
      <c r="R26" s="9">
        <f t="shared" si="5"/>
        <v>0</v>
      </c>
      <c r="S26" s="9">
        <f t="shared" si="33"/>
        <v>562.5</v>
      </c>
      <c r="T26" s="9">
        <f t="shared" si="6"/>
        <v>100</v>
      </c>
      <c r="U26" s="9">
        <f t="shared" si="34"/>
        <v>99524.081250000003</v>
      </c>
      <c r="V26" s="9">
        <f t="shared" si="7"/>
        <v>15.136576428344309</v>
      </c>
      <c r="W26" s="95"/>
      <c r="X26" s="9"/>
      <c r="Y26" s="9"/>
      <c r="Z26" s="9"/>
      <c r="AA26" s="95"/>
      <c r="AB26" s="9">
        <f t="shared" si="8"/>
        <v>0</v>
      </c>
      <c r="AC26" s="9">
        <f t="shared" si="35"/>
        <v>0</v>
      </c>
      <c r="AD26" s="9">
        <f t="shared" si="9"/>
        <v>0</v>
      </c>
      <c r="AE26" s="95"/>
      <c r="AF26" s="9">
        <f t="shared" si="10"/>
        <v>0</v>
      </c>
      <c r="AG26" s="9">
        <f t="shared" si="36"/>
        <v>0</v>
      </c>
      <c r="AH26" s="9">
        <f t="shared" si="11"/>
        <v>0</v>
      </c>
      <c r="AI26" s="95"/>
      <c r="AJ26" s="9">
        <f t="shared" si="12"/>
        <v>0</v>
      </c>
      <c r="AK26" s="9">
        <f t="shared" si="37"/>
        <v>0</v>
      </c>
      <c r="AL26" s="9">
        <f t="shared" si="13"/>
        <v>0</v>
      </c>
      <c r="AM26" s="9">
        <f t="shared" si="38"/>
        <v>0</v>
      </c>
      <c r="AN26" s="9">
        <f t="shared" si="14"/>
        <v>0</v>
      </c>
      <c r="AO26" s="9">
        <f t="shared" si="39"/>
        <v>0</v>
      </c>
      <c r="AP26" s="9">
        <f t="shared" si="15"/>
        <v>0</v>
      </c>
      <c r="AQ26" s="95"/>
      <c r="AR26" s="9">
        <f t="shared" si="16"/>
        <v>0</v>
      </c>
      <c r="AS26" s="9">
        <f t="shared" si="40"/>
        <v>335546.35600000003</v>
      </c>
      <c r="AT26" s="9">
        <f t="shared" si="17"/>
        <v>51.033106752205548</v>
      </c>
      <c r="AU26" s="95"/>
      <c r="AV26" s="9">
        <f t="shared" si="18"/>
        <v>0</v>
      </c>
      <c r="AW26" s="9">
        <f t="shared" si="41"/>
        <v>216028.70800000004</v>
      </c>
      <c r="AX26" s="9">
        <f t="shared" si="19"/>
        <v>32.855717011288419</v>
      </c>
      <c r="AY26" s="95"/>
      <c r="AZ26" s="14">
        <f t="shared" si="20"/>
        <v>0</v>
      </c>
      <c r="BA26" s="9">
        <f t="shared" si="42"/>
        <v>6408.0639999999994</v>
      </c>
      <c r="BB26" s="9">
        <f t="shared" si="21"/>
        <v>0.97459980816172309</v>
      </c>
      <c r="BC26" s="9">
        <f t="shared" si="43"/>
        <v>0</v>
      </c>
      <c r="BD26" s="9">
        <f t="shared" si="22"/>
        <v>0</v>
      </c>
      <c r="BE26" s="9">
        <f t="shared" si="44"/>
        <v>557983.12799999991</v>
      </c>
      <c r="BF26" s="9">
        <f t="shared" si="23"/>
        <v>84.863423571655673</v>
      </c>
      <c r="BG26" s="95"/>
      <c r="BH26" s="9">
        <f t="shared" si="24"/>
        <v>0</v>
      </c>
      <c r="BI26" s="9">
        <f t="shared" si="45"/>
        <v>0</v>
      </c>
      <c r="BJ26" s="9">
        <f t="shared" si="25"/>
        <v>0</v>
      </c>
      <c r="BK26" s="9">
        <f t="shared" si="26"/>
        <v>562.5</v>
      </c>
      <c r="BL26" s="9">
        <f t="shared" si="46"/>
        <v>657507.20925000007</v>
      </c>
      <c r="BM26" s="509">
        <f t="shared" si="27"/>
        <v>9.6006144393241163E-2</v>
      </c>
      <c r="BN26" s="9">
        <f t="shared" si="28"/>
        <v>1.0724358612911171</v>
      </c>
      <c r="BP26" s="13"/>
      <c r="BV26" s="13"/>
    </row>
    <row r="27" spans="1:75">
      <c r="A27" s="15">
        <f>+Chem!A26</f>
        <v>46099</v>
      </c>
      <c r="B27" s="5" t="str">
        <f>+Chem!B26</f>
        <v>Toilet</v>
      </c>
      <c r="C27" s="15" t="str">
        <f>+Chem!C26</f>
        <v>12,5</v>
      </c>
      <c r="D27" s="7">
        <f>+Chem!D26</f>
        <v>0</v>
      </c>
      <c r="E27" s="6">
        <f>+Chem!E26</f>
        <v>0</v>
      </c>
      <c r="F27" s="6">
        <f t="shared" si="29"/>
        <v>613.09699999999998</v>
      </c>
      <c r="G27" s="95"/>
      <c r="H27" s="9" t="e">
        <f t="shared" si="0"/>
        <v>#DIV/0!</v>
      </c>
      <c r="I27" s="7">
        <f t="shared" si="30"/>
        <v>562.5</v>
      </c>
      <c r="J27" s="9">
        <f t="shared" si="1"/>
        <v>8.5550392769324593E-2</v>
      </c>
      <c r="K27" s="95"/>
      <c r="L27" s="9" t="e">
        <f t="shared" si="2"/>
        <v>#DIV/0!</v>
      </c>
      <c r="M27" s="9">
        <f t="shared" si="31"/>
        <v>98961.581250000003</v>
      </c>
      <c r="N27" s="9">
        <f t="shared" si="3"/>
        <v>15.051026035574985</v>
      </c>
      <c r="O27" s="95"/>
      <c r="P27" s="9" t="e">
        <f t="shared" si="4"/>
        <v>#DIV/0!</v>
      </c>
      <c r="Q27" s="9">
        <f t="shared" si="32"/>
        <v>0</v>
      </c>
      <c r="R27" s="9">
        <f t="shared" si="5"/>
        <v>0</v>
      </c>
      <c r="S27" s="9">
        <f t="shared" si="33"/>
        <v>0</v>
      </c>
      <c r="T27" s="9" t="e">
        <f t="shared" si="6"/>
        <v>#DIV/0!</v>
      </c>
      <c r="U27" s="9">
        <f t="shared" si="34"/>
        <v>99524.081250000003</v>
      </c>
      <c r="V27" s="9">
        <f t="shared" si="7"/>
        <v>15.136576428344309</v>
      </c>
      <c r="W27" s="95"/>
      <c r="X27" s="9"/>
      <c r="Y27" s="9"/>
      <c r="Z27" s="9"/>
      <c r="AA27" s="95"/>
      <c r="AB27" s="9" t="e">
        <f t="shared" si="8"/>
        <v>#DIV/0!</v>
      </c>
      <c r="AC27" s="9">
        <f t="shared" si="35"/>
        <v>0</v>
      </c>
      <c r="AD27" s="9">
        <f t="shared" si="9"/>
        <v>0</v>
      </c>
      <c r="AE27" s="95"/>
      <c r="AF27" s="9" t="e">
        <f t="shared" si="10"/>
        <v>#DIV/0!</v>
      </c>
      <c r="AG27" s="9">
        <f t="shared" si="36"/>
        <v>0</v>
      </c>
      <c r="AH27" s="9">
        <f t="shared" si="11"/>
        <v>0</v>
      </c>
      <c r="AI27" s="95"/>
      <c r="AJ27" s="9" t="e">
        <f t="shared" si="12"/>
        <v>#DIV/0!</v>
      </c>
      <c r="AK27" s="9">
        <f t="shared" si="37"/>
        <v>0</v>
      </c>
      <c r="AL27" s="9">
        <f t="shared" si="13"/>
        <v>0</v>
      </c>
      <c r="AM27" s="9">
        <f t="shared" si="38"/>
        <v>0</v>
      </c>
      <c r="AN27" s="9" t="e">
        <f t="shared" si="14"/>
        <v>#DIV/0!</v>
      </c>
      <c r="AO27" s="9">
        <f t="shared" si="39"/>
        <v>0</v>
      </c>
      <c r="AP27" s="9">
        <f t="shared" si="15"/>
        <v>0</v>
      </c>
      <c r="AQ27" s="95"/>
      <c r="AR27" s="9" t="e">
        <f t="shared" si="16"/>
        <v>#DIV/0!</v>
      </c>
      <c r="AS27" s="9">
        <f t="shared" si="40"/>
        <v>335546.35600000003</v>
      </c>
      <c r="AT27" s="9">
        <f t="shared" si="17"/>
        <v>51.033106752205548</v>
      </c>
      <c r="AU27" s="95"/>
      <c r="AV27" s="9" t="e">
        <f t="shared" si="18"/>
        <v>#DIV/0!</v>
      </c>
      <c r="AW27" s="9">
        <f t="shared" si="41"/>
        <v>216028.70800000004</v>
      </c>
      <c r="AX27" s="9">
        <f t="shared" si="19"/>
        <v>32.855717011288419</v>
      </c>
      <c r="AY27" s="95"/>
      <c r="AZ27" s="14" t="e">
        <f t="shared" si="20"/>
        <v>#DIV/0!</v>
      </c>
      <c r="BA27" s="9">
        <f t="shared" si="42"/>
        <v>6408.0639999999994</v>
      </c>
      <c r="BB27" s="9">
        <f t="shared" si="21"/>
        <v>0.97459980816172309</v>
      </c>
      <c r="BC27" s="9">
        <f t="shared" si="43"/>
        <v>0</v>
      </c>
      <c r="BD27" s="9" t="e">
        <f t="shared" si="22"/>
        <v>#DIV/0!</v>
      </c>
      <c r="BE27" s="9">
        <f t="shared" si="44"/>
        <v>557983.12799999991</v>
      </c>
      <c r="BF27" s="9">
        <f t="shared" si="23"/>
        <v>84.863423571655673</v>
      </c>
      <c r="BG27" s="95"/>
      <c r="BH27" s="9" t="e">
        <f t="shared" si="24"/>
        <v>#DIV/0!</v>
      </c>
      <c r="BI27" s="9">
        <f t="shared" si="45"/>
        <v>0</v>
      </c>
      <c r="BJ27" s="9">
        <f t="shared" si="25"/>
        <v>0</v>
      </c>
      <c r="BK27" s="9">
        <f t="shared" si="26"/>
        <v>0</v>
      </c>
      <c r="BL27" s="9">
        <f t="shared" si="46"/>
        <v>657507.20925000007</v>
      </c>
      <c r="BM27" s="509" t="e">
        <f t="shared" si="27"/>
        <v>#DIV/0!</v>
      </c>
      <c r="BN27" s="9">
        <f t="shared" si="28"/>
        <v>1.0724358612911171</v>
      </c>
      <c r="BV27" s="13"/>
    </row>
    <row r="28" spans="1:75">
      <c r="A28" s="15">
        <f>+Chem!A27</f>
        <v>46100</v>
      </c>
      <c r="B28" s="5" t="str">
        <f>+Chem!B27</f>
        <v>Toilet</v>
      </c>
      <c r="C28" s="15" t="str">
        <f>+Chem!C27</f>
        <v>12,5</v>
      </c>
      <c r="D28" s="7">
        <f>+Chem!D27</f>
        <v>0</v>
      </c>
      <c r="E28" s="6">
        <f>+Chem!E27</f>
        <v>0</v>
      </c>
      <c r="F28" s="6">
        <f t="shared" si="29"/>
        <v>613.09699999999998</v>
      </c>
      <c r="G28" s="95"/>
      <c r="H28" s="9" t="e">
        <f t="shared" si="0"/>
        <v>#DIV/0!</v>
      </c>
      <c r="I28" s="7">
        <f t="shared" si="30"/>
        <v>562.5</v>
      </c>
      <c r="J28" s="9">
        <f t="shared" si="1"/>
        <v>8.5550392769324593E-2</v>
      </c>
      <c r="K28" s="95"/>
      <c r="L28" s="9" t="e">
        <f t="shared" si="2"/>
        <v>#DIV/0!</v>
      </c>
      <c r="M28" s="9">
        <f t="shared" si="31"/>
        <v>98961.581250000003</v>
      </c>
      <c r="N28" s="9">
        <f t="shared" si="3"/>
        <v>15.051026035574985</v>
      </c>
      <c r="O28" s="95"/>
      <c r="P28" s="9" t="e">
        <f t="shared" si="4"/>
        <v>#DIV/0!</v>
      </c>
      <c r="Q28" s="9">
        <f t="shared" si="32"/>
        <v>0</v>
      </c>
      <c r="R28" s="9">
        <f t="shared" si="5"/>
        <v>0</v>
      </c>
      <c r="S28" s="9">
        <f t="shared" si="33"/>
        <v>0</v>
      </c>
      <c r="T28" s="9" t="e">
        <f t="shared" si="6"/>
        <v>#DIV/0!</v>
      </c>
      <c r="U28" s="9">
        <f t="shared" si="34"/>
        <v>99524.081250000003</v>
      </c>
      <c r="V28" s="9">
        <f t="shared" si="7"/>
        <v>15.136576428344309</v>
      </c>
      <c r="W28" s="95"/>
      <c r="X28" s="9"/>
      <c r="Y28" s="9"/>
      <c r="Z28" s="9"/>
      <c r="AA28" s="95"/>
      <c r="AB28" s="9" t="e">
        <f t="shared" si="8"/>
        <v>#DIV/0!</v>
      </c>
      <c r="AC28" s="9">
        <f t="shared" si="35"/>
        <v>0</v>
      </c>
      <c r="AD28" s="9">
        <f t="shared" si="9"/>
        <v>0</v>
      </c>
      <c r="AE28" s="95"/>
      <c r="AF28" s="9" t="e">
        <f t="shared" si="10"/>
        <v>#DIV/0!</v>
      </c>
      <c r="AG28" s="9">
        <f t="shared" si="36"/>
        <v>0</v>
      </c>
      <c r="AH28" s="9">
        <f t="shared" si="11"/>
        <v>0</v>
      </c>
      <c r="AI28" s="95"/>
      <c r="AJ28" s="9" t="e">
        <f t="shared" si="12"/>
        <v>#DIV/0!</v>
      </c>
      <c r="AK28" s="9">
        <f t="shared" si="37"/>
        <v>0</v>
      </c>
      <c r="AL28" s="9">
        <f t="shared" si="13"/>
        <v>0</v>
      </c>
      <c r="AM28" s="9">
        <f t="shared" si="38"/>
        <v>0</v>
      </c>
      <c r="AN28" s="9" t="e">
        <f t="shared" si="14"/>
        <v>#DIV/0!</v>
      </c>
      <c r="AO28" s="9">
        <f t="shared" si="39"/>
        <v>0</v>
      </c>
      <c r="AP28" s="9">
        <f t="shared" si="15"/>
        <v>0</v>
      </c>
      <c r="AQ28" s="95"/>
      <c r="AR28" s="9" t="e">
        <f t="shared" si="16"/>
        <v>#DIV/0!</v>
      </c>
      <c r="AS28" s="9">
        <f t="shared" si="40"/>
        <v>335546.35600000003</v>
      </c>
      <c r="AT28" s="9">
        <f t="shared" si="17"/>
        <v>51.033106752205548</v>
      </c>
      <c r="AU28" s="95"/>
      <c r="AV28" s="9" t="e">
        <f t="shared" si="18"/>
        <v>#DIV/0!</v>
      </c>
      <c r="AW28" s="9">
        <f t="shared" si="41"/>
        <v>216028.70800000004</v>
      </c>
      <c r="AX28" s="9">
        <f t="shared" si="19"/>
        <v>32.855717011288419</v>
      </c>
      <c r="AY28" s="95"/>
      <c r="AZ28" s="14" t="e">
        <f t="shared" si="20"/>
        <v>#DIV/0!</v>
      </c>
      <c r="BA28" s="9">
        <f t="shared" si="42"/>
        <v>6408.0639999999994</v>
      </c>
      <c r="BB28" s="9">
        <f t="shared" si="21"/>
        <v>0.97459980816172309</v>
      </c>
      <c r="BC28" s="9">
        <f t="shared" si="43"/>
        <v>0</v>
      </c>
      <c r="BD28" s="9" t="e">
        <f t="shared" si="22"/>
        <v>#DIV/0!</v>
      </c>
      <c r="BE28" s="9">
        <f t="shared" si="44"/>
        <v>557983.12799999991</v>
      </c>
      <c r="BF28" s="9">
        <f t="shared" si="23"/>
        <v>84.863423571655673</v>
      </c>
      <c r="BG28" s="95"/>
      <c r="BH28" s="9" t="e">
        <f t="shared" si="24"/>
        <v>#DIV/0!</v>
      </c>
      <c r="BI28" s="9">
        <f t="shared" si="45"/>
        <v>0</v>
      </c>
      <c r="BJ28" s="9">
        <f t="shared" si="25"/>
        <v>0</v>
      </c>
      <c r="BK28" s="9">
        <f t="shared" si="26"/>
        <v>0</v>
      </c>
      <c r="BL28" s="9">
        <f t="shared" si="46"/>
        <v>657507.20925000007</v>
      </c>
      <c r="BM28" s="509" t="e">
        <f t="shared" si="27"/>
        <v>#DIV/0!</v>
      </c>
      <c r="BN28" s="9">
        <f t="shared" si="28"/>
        <v>1.0724358612911171</v>
      </c>
      <c r="BV28" s="13"/>
    </row>
    <row r="29" spans="1:75">
      <c r="A29" s="15">
        <f>+Chem!A28</f>
        <v>46101</v>
      </c>
      <c r="B29" s="5" t="str">
        <f>+Chem!B28</f>
        <v>Toilet</v>
      </c>
      <c r="C29" s="15" t="str">
        <f>+Chem!C28</f>
        <v>12,5</v>
      </c>
      <c r="D29" s="7">
        <f>+Chem!D28</f>
        <v>0</v>
      </c>
      <c r="E29" s="6">
        <f>+Chem!E28</f>
        <v>0</v>
      </c>
      <c r="F29" s="6">
        <f t="shared" si="29"/>
        <v>613.09699999999998</v>
      </c>
      <c r="G29" s="95"/>
      <c r="H29" s="9" t="e">
        <f t="shared" si="0"/>
        <v>#DIV/0!</v>
      </c>
      <c r="I29" s="7">
        <f t="shared" si="30"/>
        <v>562.5</v>
      </c>
      <c r="J29" s="9">
        <f t="shared" si="1"/>
        <v>8.5550392769324593E-2</v>
      </c>
      <c r="K29" s="95"/>
      <c r="L29" s="9" t="e">
        <f t="shared" si="2"/>
        <v>#DIV/0!</v>
      </c>
      <c r="M29" s="9">
        <f t="shared" si="31"/>
        <v>98961.581250000003</v>
      </c>
      <c r="N29" s="9">
        <f t="shared" si="3"/>
        <v>15.051026035574985</v>
      </c>
      <c r="O29" s="95"/>
      <c r="P29" s="9" t="e">
        <f t="shared" si="4"/>
        <v>#DIV/0!</v>
      </c>
      <c r="Q29" s="9">
        <f t="shared" si="32"/>
        <v>0</v>
      </c>
      <c r="R29" s="9">
        <f t="shared" si="5"/>
        <v>0</v>
      </c>
      <c r="S29" s="9">
        <f t="shared" si="33"/>
        <v>0</v>
      </c>
      <c r="T29" s="9" t="e">
        <f t="shared" si="6"/>
        <v>#DIV/0!</v>
      </c>
      <c r="U29" s="9">
        <f t="shared" si="34"/>
        <v>99524.081250000003</v>
      </c>
      <c r="V29" s="9">
        <f t="shared" si="7"/>
        <v>15.136576428344309</v>
      </c>
      <c r="W29" s="95"/>
      <c r="X29" s="9"/>
      <c r="Y29" s="9"/>
      <c r="Z29" s="9"/>
      <c r="AA29" s="95"/>
      <c r="AB29" s="9" t="e">
        <f t="shared" si="8"/>
        <v>#DIV/0!</v>
      </c>
      <c r="AC29" s="9">
        <f t="shared" si="35"/>
        <v>0</v>
      </c>
      <c r="AD29" s="9">
        <f t="shared" si="9"/>
        <v>0</v>
      </c>
      <c r="AE29" s="95"/>
      <c r="AF29" s="9" t="e">
        <f t="shared" si="10"/>
        <v>#DIV/0!</v>
      </c>
      <c r="AG29" s="9">
        <f t="shared" si="36"/>
        <v>0</v>
      </c>
      <c r="AH29" s="9">
        <f t="shared" si="11"/>
        <v>0</v>
      </c>
      <c r="AI29" s="95"/>
      <c r="AJ29" s="9" t="e">
        <f t="shared" si="12"/>
        <v>#DIV/0!</v>
      </c>
      <c r="AK29" s="9">
        <f t="shared" si="37"/>
        <v>0</v>
      </c>
      <c r="AL29" s="9">
        <f t="shared" si="13"/>
        <v>0</v>
      </c>
      <c r="AM29" s="9">
        <f t="shared" si="38"/>
        <v>0</v>
      </c>
      <c r="AN29" s="9" t="e">
        <f t="shared" si="14"/>
        <v>#DIV/0!</v>
      </c>
      <c r="AO29" s="9">
        <f t="shared" si="39"/>
        <v>0</v>
      </c>
      <c r="AP29" s="9">
        <f t="shared" si="15"/>
        <v>0</v>
      </c>
      <c r="AQ29" s="95"/>
      <c r="AR29" s="9" t="e">
        <f t="shared" si="16"/>
        <v>#DIV/0!</v>
      </c>
      <c r="AS29" s="9">
        <f t="shared" si="40"/>
        <v>335546.35600000003</v>
      </c>
      <c r="AT29" s="9">
        <f t="shared" si="17"/>
        <v>51.033106752205548</v>
      </c>
      <c r="AU29" s="95"/>
      <c r="AV29" s="9" t="e">
        <f t="shared" si="18"/>
        <v>#DIV/0!</v>
      </c>
      <c r="AW29" s="9">
        <f t="shared" si="41"/>
        <v>216028.70800000004</v>
      </c>
      <c r="AX29" s="9">
        <f t="shared" si="19"/>
        <v>32.855717011288419</v>
      </c>
      <c r="AY29" s="95"/>
      <c r="AZ29" s="14" t="e">
        <f t="shared" si="20"/>
        <v>#DIV/0!</v>
      </c>
      <c r="BA29" s="9">
        <f t="shared" si="42"/>
        <v>6408.0639999999994</v>
      </c>
      <c r="BB29" s="9">
        <f t="shared" si="21"/>
        <v>0.97459980816172309</v>
      </c>
      <c r="BC29" s="9">
        <f t="shared" si="43"/>
        <v>0</v>
      </c>
      <c r="BD29" s="9" t="e">
        <f t="shared" si="22"/>
        <v>#DIV/0!</v>
      </c>
      <c r="BE29" s="9">
        <f t="shared" si="44"/>
        <v>557983.12799999991</v>
      </c>
      <c r="BF29" s="9">
        <f t="shared" si="23"/>
        <v>84.863423571655673</v>
      </c>
      <c r="BG29" s="95"/>
      <c r="BH29" s="9" t="e">
        <f t="shared" si="24"/>
        <v>#DIV/0!</v>
      </c>
      <c r="BI29" s="9">
        <f t="shared" si="45"/>
        <v>0</v>
      </c>
      <c r="BJ29" s="9">
        <f t="shared" si="25"/>
        <v>0</v>
      </c>
      <c r="BK29" s="9">
        <f t="shared" si="26"/>
        <v>0</v>
      </c>
      <c r="BL29" s="9">
        <f t="shared" si="46"/>
        <v>657507.20925000007</v>
      </c>
      <c r="BM29" s="509" t="e">
        <f t="shared" si="27"/>
        <v>#DIV/0!</v>
      </c>
      <c r="BN29" s="9">
        <f t="shared" si="28"/>
        <v>1.0724358612911171</v>
      </c>
      <c r="BV29" s="13"/>
    </row>
    <row r="30" spans="1:75">
      <c r="A30" s="15">
        <f>+Chem!A29</f>
        <v>46102</v>
      </c>
      <c r="B30" s="5" t="str">
        <f>+Chem!B29</f>
        <v>Toilet</v>
      </c>
      <c r="C30" s="15" t="str">
        <f>+Chem!C29</f>
        <v>12,5</v>
      </c>
      <c r="D30" s="7">
        <f>+Chem!D29</f>
        <v>0</v>
      </c>
      <c r="E30" s="6">
        <f>+Chem!E29</f>
        <v>0</v>
      </c>
      <c r="F30" s="6">
        <f t="shared" si="29"/>
        <v>613.09699999999998</v>
      </c>
      <c r="G30" s="95"/>
      <c r="H30" s="9" t="e">
        <f t="shared" si="0"/>
        <v>#DIV/0!</v>
      </c>
      <c r="I30" s="7">
        <f t="shared" si="30"/>
        <v>562.5</v>
      </c>
      <c r="J30" s="9">
        <f t="shared" si="1"/>
        <v>8.5550392769324593E-2</v>
      </c>
      <c r="K30" s="95"/>
      <c r="L30" s="9" t="e">
        <f t="shared" si="2"/>
        <v>#DIV/0!</v>
      </c>
      <c r="M30" s="9">
        <f t="shared" si="31"/>
        <v>98961.581250000003</v>
      </c>
      <c r="N30" s="9">
        <f t="shared" si="3"/>
        <v>15.051026035574985</v>
      </c>
      <c r="O30" s="95"/>
      <c r="P30" s="9" t="e">
        <f t="shared" si="4"/>
        <v>#DIV/0!</v>
      </c>
      <c r="Q30" s="9">
        <f t="shared" si="32"/>
        <v>0</v>
      </c>
      <c r="R30" s="9">
        <f t="shared" si="5"/>
        <v>0</v>
      </c>
      <c r="S30" s="9">
        <f t="shared" si="33"/>
        <v>0</v>
      </c>
      <c r="T30" s="9" t="e">
        <f t="shared" si="6"/>
        <v>#DIV/0!</v>
      </c>
      <c r="U30" s="9">
        <f t="shared" si="34"/>
        <v>99524.081250000003</v>
      </c>
      <c r="V30" s="9">
        <f t="shared" si="7"/>
        <v>15.136576428344309</v>
      </c>
      <c r="W30" s="95"/>
      <c r="X30" s="9"/>
      <c r="Y30" s="9"/>
      <c r="Z30" s="9"/>
      <c r="AA30" s="95"/>
      <c r="AB30" s="9" t="e">
        <f t="shared" si="8"/>
        <v>#DIV/0!</v>
      </c>
      <c r="AC30" s="9">
        <f t="shared" si="35"/>
        <v>0</v>
      </c>
      <c r="AD30" s="9">
        <f t="shared" si="9"/>
        <v>0</v>
      </c>
      <c r="AE30" s="95"/>
      <c r="AF30" s="9" t="e">
        <f t="shared" si="10"/>
        <v>#DIV/0!</v>
      </c>
      <c r="AG30" s="9">
        <f t="shared" si="36"/>
        <v>0</v>
      </c>
      <c r="AH30" s="9">
        <f t="shared" si="11"/>
        <v>0</v>
      </c>
      <c r="AI30" s="95"/>
      <c r="AJ30" s="9" t="e">
        <f t="shared" si="12"/>
        <v>#DIV/0!</v>
      </c>
      <c r="AK30" s="9">
        <f t="shared" si="37"/>
        <v>0</v>
      </c>
      <c r="AL30" s="9">
        <f t="shared" si="13"/>
        <v>0</v>
      </c>
      <c r="AM30" s="9">
        <f t="shared" si="38"/>
        <v>0</v>
      </c>
      <c r="AN30" s="9" t="e">
        <f t="shared" si="14"/>
        <v>#DIV/0!</v>
      </c>
      <c r="AO30" s="9">
        <f t="shared" si="39"/>
        <v>0</v>
      </c>
      <c r="AP30" s="9">
        <f t="shared" si="15"/>
        <v>0</v>
      </c>
      <c r="AQ30" s="95"/>
      <c r="AR30" s="9" t="e">
        <f t="shared" si="16"/>
        <v>#DIV/0!</v>
      </c>
      <c r="AS30" s="9">
        <f t="shared" si="40"/>
        <v>335546.35600000003</v>
      </c>
      <c r="AT30" s="9">
        <f t="shared" si="17"/>
        <v>51.033106752205548</v>
      </c>
      <c r="AU30" s="95"/>
      <c r="AV30" s="9" t="e">
        <f t="shared" si="18"/>
        <v>#DIV/0!</v>
      </c>
      <c r="AW30" s="9">
        <f t="shared" si="41"/>
        <v>216028.70800000004</v>
      </c>
      <c r="AX30" s="9">
        <f t="shared" si="19"/>
        <v>32.855717011288419</v>
      </c>
      <c r="AY30" s="95"/>
      <c r="AZ30" s="14" t="e">
        <f t="shared" si="20"/>
        <v>#DIV/0!</v>
      </c>
      <c r="BA30" s="9">
        <f t="shared" si="42"/>
        <v>6408.0639999999994</v>
      </c>
      <c r="BB30" s="9">
        <f t="shared" si="21"/>
        <v>0.97459980816172309</v>
      </c>
      <c r="BC30" s="9">
        <f t="shared" si="43"/>
        <v>0</v>
      </c>
      <c r="BD30" s="9" t="e">
        <f t="shared" si="22"/>
        <v>#DIV/0!</v>
      </c>
      <c r="BE30" s="9">
        <f t="shared" si="44"/>
        <v>557983.12799999991</v>
      </c>
      <c r="BF30" s="9">
        <f t="shared" si="23"/>
        <v>84.863423571655673</v>
      </c>
      <c r="BG30" s="95"/>
      <c r="BH30" s="9" t="e">
        <f t="shared" si="24"/>
        <v>#DIV/0!</v>
      </c>
      <c r="BI30" s="9">
        <f t="shared" si="45"/>
        <v>0</v>
      </c>
      <c r="BJ30" s="9">
        <f t="shared" si="25"/>
        <v>0</v>
      </c>
      <c r="BK30" s="9">
        <f t="shared" si="26"/>
        <v>0</v>
      </c>
      <c r="BL30" s="9">
        <f t="shared" si="46"/>
        <v>657507.20925000007</v>
      </c>
      <c r="BM30" s="509" t="e">
        <f t="shared" si="27"/>
        <v>#DIV/0!</v>
      </c>
      <c r="BN30" s="9">
        <f t="shared" si="28"/>
        <v>1.0724358612911171</v>
      </c>
    </row>
    <row r="31" spans="1:75">
      <c r="A31" s="15">
        <f>+Chem!A30</f>
        <v>46103</v>
      </c>
      <c r="B31" s="5" t="str">
        <f>+Chem!B30</f>
        <v>Toilet</v>
      </c>
      <c r="C31" s="15" t="str">
        <f>+Chem!C30</f>
        <v>12,5</v>
      </c>
      <c r="D31" s="7">
        <f>+Chem!D30</f>
        <v>0</v>
      </c>
      <c r="E31" s="6">
        <f>+Chem!E30</f>
        <v>0</v>
      </c>
      <c r="F31" s="6">
        <f t="shared" si="29"/>
        <v>613.09699999999998</v>
      </c>
      <c r="G31" s="95"/>
      <c r="H31" s="9" t="e">
        <f t="shared" si="0"/>
        <v>#DIV/0!</v>
      </c>
      <c r="I31" s="7">
        <f t="shared" si="30"/>
        <v>562.5</v>
      </c>
      <c r="J31" s="9">
        <f t="shared" si="1"/>
        <v>8.5550392769324593E-2</v>
      </c>
      <c r="K31" s="95"/>
      <c r="L31" s="9" t="e">
        <f t="shared" si="2"/>
        <v>#DIV/0!</v>
      </c>
      <c r="M31" s="9">
        <f t="shared" si="31"/>
        <v>98961.581250000003</v>
      </c>
      <c r="N31" s="9">
        <f t="shared" si="3"/>
        <v>15.051026035574985</v>
      </c>
      <c r="O31" s="95"/>
      <c r="P31" s="9" t="e">
        <f t="shared" si="4"/>
        <v>#DIV/0!</v>
      </c>
      <c r="Q31" s="9">
        <f t="shared" si="32"/>
        <v>0</v>
      </c>
      <c r="R31" s="9">
        <f t="shared" si="5"/>
        <v>0</v>
      </c>
      <c r="S31" s="9">
        <f t="shared" si="33"/>
        <v>0</v>
      </c>
      <c r="T31" s="9" t="e">
        <f t="shared" si="6"/>
        <v>#DIV/0!</v>
      </c>
      <c r="U31" s="9">
        <f t="shared" si="34"/>
        <v>99524.081250000003</v>
      </c>
      <c r="V31" s="9">
        <f t="shared" si="7"/>
        <v>15.136576428344309</v>
      </c>
      <c r="W31" s="95"/>
      <c r="X31" s="9"/>
      <c r="Y31" s="9"/>
      <c r="Z31" s="9"/>
      <c r="AA31" s="95"/>
      <c r="AB31" s="9" t="e">
        <f t="shared" si="8"/>
        <v>#DIV/0!</v>
      </c>
      <c r="AC31" s="9">
        <f t="shared" si="35"/>
        <v>0</v>
      </c>
      <c r="AD31" s="9">
        <f t="shared" si="9"/>
        <v>0</v>
      </c>
      <c r="AE31" s="95"/>
      <c r="AF31" s="9" t="e">
        <f t="shared" si="10"/>
        <v>#DIV/0!</v>
      </c>
      <c r="AG31" s="9">
        <f t="shared" si="36"/>
        <v>0</v>
      </c>
      <c r="AH31" s="9">
        <f t="shared" si="11"/>
        <v>0</v>
      </c>
      <c r="AI31" s="95"/>
      <c r="AJ31" s="9" t="e">
        <f t="shared" si="12"/>
        <v>#DIV/0!</v>
      </c>
      <c r="AK31" s="9">
        <f t="shared" si="37"/>
        <v>0</v>
      </c>
      <c r="AL31" s="9">
        <f t="shared" si="13"/>
        <v>0</v>
      </c>
      <c r="AM31" s="9">
        <f t="shared" si="38"/>
        <v>0</v>
      </c>
      <c r="AN31" s="9" t="e">
        <f t="shared" si="14"/>
        <v>#DIV/0!</v>
      </c>
      <c r="AO31" s="9">
        <f t="shared" si="39"/>
        <v>0</v>
      </c>
      <c r="AP31" s="9">
        <f t="shared" si="15"/>
        <v>0</v>
      </c>
      <c r="AQ31" s="95"/>
      <c r="AR31" s="9" t="e">
        <f t="shared" si="16"/>
        <v>#DIV/0!</v>
      </c>
      <c r="AS31" s="9">
        <f t="shared" si="40"/>
        <v>335546.35600000003</v>
      </c>
      <c r="AT31" s="9">
        <f t="shared" si="17"/>
        <v>51.033106752205548</v>
      </c>
      <c r="AU31" s="95"/>
      <c r="AV31" s="9" t="e">
        <f t="shared" si="18"/>
        <v>#DIV/0!</v>
      </c>
      <c r="AW31" s="9">
        <f t="shared" si="41"/>
        <v>216028.70800000004</v>
      </c>
      <c r="AX31" s="9">
        <f t="shared" si="19"/>
        <v>32.855717011288419</v>
      </c>
      <c r="AY31" s="95"/>
      <c r="AZ31" s="14" t="e">
        <f t="shared" si="20"/>
        <v>#DIV/0!</v>
      </c>
      <c r="BA31" s="9">
        <f t="shared" si="42"/>
        <v>6408.0639999999994</v>
      </c>
      <c r="BB31" s="9">
        <f t="shared" si="21"/>
        <v>0.97459980816172309</v>
      </c>
      <c r="BC31" s="9">
        <f t="shared" si="43"/>
        <v>0</v>
      </c>
      <c r="BD31" s="9" t="e">
        <f t="shared" si="22"/>
        <v>#DIV/0!</v>
      </c>
      <c r="BE31" s="9">
        <f t="shared" si="44"/>
        <v>557983.12799999991</v>
      </c>
      <c r="BF31" s="9">
        <f t="shared" si="23"/>
        <v>84.863423571655673</v>
      </c>
      <c r="BG31" s="95"/>
      <c r="BH31" s="9" t="e">
        <f t="shared" si="24"/>
        <v>#DIV/0!</v>
      </c>
      <c r="BI31" s="9">
        <f t="shared" si="45"/>
        <v>0</v>
      </c>
      <c r="BJ31" s="9">
        <f t="shared" si="25"/>
        <v>0</v>
      </c>
      <c r="BK31" s="9">
        <f t="shared" si="26"/>
        <v>0</v>
      </c>
      <c r="BL31" s="9">
        <f t="shared" si="46"/>
        <v>657507.20925000007</v>
      </c>
      <c r="BM31" s="509" t="e">
        <f t="shared" si="27"/>
        <v>#DIV/0!</v>
      </c>
      <c r="BN31" s="9">
        <f t="shared" si="28"/>
        <v>1.0724358612911171</v>
      </c>
    </row>
    <row r="32" spans="1:75">
      <c r="A32" s="15">
        <f>+Chem!A31</f>
        <v>46104</v>
      </c>
      <c r="B32" s="5" t="str">
        <f>+Chem!B31</f>
        <v>Toilet</v>
      </c>
      <c r="C32" s="15" t="str">
        <f>+Chem!C31</f>
        <v>12,5</v>
      </c>
      <c r="D32" s="7">
        <f>+Chem!D31</f>
        <v>0</v>
      </c>
      <c r="E32" s="6">
        <f>+Chem!E31</f>
        <v>0</v>
      </c>
      <c r="F32" s="6">
        <f t="shared" si="29"/>
        <v>613.09699999999998</v>
      </c>
      <c r="G32" s="95">
        <f>3.5*G7</f>
        <v>875</v>
      </c>
      <c r="H32" s="9">
        <f t="shared" si="0"/>
        <v>22.473884062497433</v>
      </c>
      <c r="I32" s="7">
        <f t="shared" si="30"/>
        <v>1437.5</v>
      </c>
      <c r="J32" s="9">
        <f t="shared" si="1"/>
        <v>0.21734179898060865</v>
      </c>
      <c r="K32" s="95"/>
      <c r="L32" s="9">
        <f t="shared" si="2"/>
        <v>0</v>
      </c>
      <c r="M32" s="9">
        <f t="shared" si="31"/>
        <v>98961.581250000003</v>
      </c>
      <c r="N32" s="9">
        <f t="shared" si="3"/>
        <v>14.962426503541334</v>
      </c>
      <c r="O32" s="95"/>
      <c r="P32" s="9">
        <f t="shared" si="4"/>
        <v>0</v>
      </c>
      <c r="Q32" s="9">
        <f t="shared" si="32"/>
        <v>0</v>
      </c>
      <c r="R32" s="9">
        <f t="shared" si="5"/>
        <v>0</v>
      </c>
      <c r="S32" s="9">
        <f t="shared" si="33"/>
        <v>875</v>
      </c>
      <c r="T32" s="9">
        <f t="shared" si="6"/>
        <v>22.473884062497433</v>
      </c>
      <c r="U32" s="9">
        <f t="shared" si="34"/>
        <v>100399.08125</v>
      </c>
      <c r="V32" s="9">
        <f t="shared" si="7"/>
        <v>15.179768302521943</v>
      </c>
      <c r="W32" s="95"/>
      <c r="X32" s="9"/>
      <c r="Y32" s="9"/>
      <c r="Z32" s="9"/>
      <c r="AA32" s="95"/>
      <c r="AB32" s="9">
        <f t="shared" si="8"/>
        <v>0</v>
      </c>
      <c r="AC32" s="9">
        <f t="shared" si="35"/>
        <v>0</v>
      </c>
      <c r="AD32" s="9">
        <f t="shared" si="9"/>
        <v>0</v>
      </c>
      <c r="AE32" s="95"/>
      <c r="AF32" s="9">
        <f t="shared" si="10"/>
        <v>0</v>
      </c>
      <c r="AG32" s="9">
        <f t="shared" si="36"/>
        <v>0</v>
      </c>
      <c r="AH32" s="9">
        <f t="shared" si="11"/>
        <v>0</v>
      </c>
      <c r="AI32" s="95"/>
      <c r="AJ32" s="9">
        <f t="shared" si="12"/>
        <v>0</v>
      </c>
      <c r="AK32" s="9">
        <f t="shared" si="37"/>
        <v>0</v>
      </c>
      <c r="AL32" s="9">
        <f t="shared" si="13"/>
        <v>0</v>
      </c>
      <c r="AM32" s="9">
        <f t="shared" si="38"/>
        <v>0</v>
      </c>
      <c r="AN32" s="9">
        <f t="shared" si="14"/>
        <v>0</v>
      </c>
      <c r="AO32" s="9">
        <f t="shared" si="39"/>
        <v>0</v>
      </c>
      <c r="AP32" s="9">
        <f t="shared" si="15"/>
        <v>0</v>
      </c>
      <c r="AQ32" s="95">
        <f>12*AQ7</f>
        <v>3018.4079999999999</v>
      </c>
      <c r="AR32" s="9">
        <f t="shared" si="16"/>
        <v>77.526115937502567</v>
      </c>
      <c r="AS32" s="9">
        <f t="shared" si="40"/>
        <v>338564.76400000002</v>
      </c>
      <c r="AT32" s="9">
        <f t="shared" si="17"/>
        <v>51.18906078553406</v>
      </c>
      <c r="AU32" s="95"/>
      <c r="AV32" s="9">
        <f t="shared" si="18"/>
        <v>0</v>
      </c>
      <c r="AW32" s="9">
        <f t="shared" si="41"/>
        <v>216028.70800000004</v>
      </c>
      <c r="AX32" s="9">
        <f t="shared" si="19"/>
        <v>32.662308193514164</v>
      </c>
      <c r="AY32" s="95"/>
      <c r="AZ32" s="14">
        <f t="shared" si="20"/>
        <v>0</v>
      </c>
      <c r="BA32" s="9">
        <f t="shared" si="42"/>
        <v>6408.0639999999994</v>
      </c>
      <c r="BB32" s="9">
        <f t="shared" si="21"/>
        <v>0.96886271842982585</v>
      </c>
      <c r="BC32" s="9">
        <f t="shared" si="43"/>
        <v>3018.4079999999999</v>
      </c>
      <c r="BD32" s="9">
        <f t="shared" si="22"/>
        <v>77.526115937502567</v>
      </c>
      <c r="BE32" s="9">
        <f t="shared" si="44"/>
        <v>561001.53599999996</v>
      </c>
      <c r="BF32" s="9">
        <f t="shared" si="23"/>
        <v>84.820231697478036</v>
      </c>
      <c r="BG32" s="95"/>
      <c r="BH32" s="9">
        <f t="shared" si="24"/>
        <v>0</v>
      </c>
      <c r="BI32" s="9">
        <f t="shared" si="45"/>
        <v>0</v>
      </c>
      <c r="BJ32" s="9">
        <f t="shared" si="25"/>
        <v>0</v>
      </c>
      <c r="BK32" s="9">
        <f t="shared" si="26"/>
        <v>3893.4079999999999</v>
      </c>
      <c r="BL32" s="9">
        <f t="shared" si="46"/>
        <v>661400.61725000013</v>
      </c>
      <c r="BM32" s="509" t="e">
        <f t="shared" si="27"/>
        <v>#DIV/0!</v>
      </c>
      <c r="BN32" s="9">
        <f t="shared" si="28"/>
        <v>1.0787862560899828</v>
      </c>
    </row>
    <row r="33" spans="1:66">
      <c r="A33" s="15">
        <f>+Chem!A32</f>
        <v>46105</v>
      </c>
      <c r="B33" s="5" t="str">
        <f>+Chem!B32</f>
        <v>Toilet</v>
      </c>
      <c r="C33" s="15" t="str">
        <f>+Chem!C32</f>
        <v>14/12,5</v>
      </c>
      <c r="D33" s="7">
        <f>+Chem!D32</f>
        <v>34.495000000000005</v>
      </c>
      <c r="E33" s="6">
        <f>+Chem!E32</f>
        <v>25.161000000000001</v>
      </c>
      <c r="F33" s="6">
        <f t="shared" si="29"/>
        <v>638.25800000000004</v>
      </c>
      <c r="G33" s="95">
        <f>10.75*G7</f>
        <v>2687.5</v>
      </c>
      <c r="H33" s="9">
        <f t="shared" si="0"/>
        <v>11.781999472166422</v>
      </c>
      <c r="I33" s="7">
        <f t="shared" si="30"/>
        <v>4125</v>
      </c>
      <c r="J33" s="9">
        <f t="shared" si="1"/>
        <v>0.60288434140846392</v>
      </c>
      <c r="K33" s="95"/>
      <c r="L33" s="9">
        <f t="shared" si="2"/>
        <v>0</v>
      </c>
      <c r="M33" s="9">
        <f t="shared" si="31"/>
        <v>98961.581250000003</v>
      </c>
      <c r="N33" s="9">
        <f t="shared" si="3"/>
        <v>14.463609148277925</v>
      </c>
      <c r="O33" s="95"/>
      <c r="P33" s="9">
        <f t="shared" si="4"/>
        <v>0</v>
      </c>
      <c r="Q33" s="9">
        <f t="shared" si="32"/>
        <v>0</v>
      </c>
      <c r="R33" s="9">
        <f t="shared" si="5"/>
        <v>0</v>
      </c>
      <c r="S33" s="9">
        <f t="shared" si="33"/>
        <v>2687.5</v>
      </c>
      <c r="T33" s="9">
        <f t="shared" si="6"/>
        <v>11.781999472166422</v>
      </c>
      <c r="U33" s="9">
        <f t="shared" si="34"/>
        <v>103086.58125</v>
      </c>
      <c r="V33" s="9">
        <f t="shared" si="7"/>
        <v>15.066493489686389</v>
      </c>
      <c r="W33" s="95"/>
      <c r="X33" s="9"/>
      <c r="Y33" s="9"/>
      <c r="Z33" s="9"/>
      <c r="AA33" s="95"/>
      <c r="AB33" s="9">
        <f t="shared" si="8"/>
        <v>0</v>
      </c>
      <c r="AC33" s="9">
        <f>AA33+AC32</f>
        <v>0</v>
      </c>
      <c r="AD33" s="9">
        <f t="shared" si="9"/>
        <v>0</v>
      </c>
      <c r="AE33" s="95"/>
      <c r="AF33" s="9">
        <f t="shared" si="10"/>
        <v>0</v>
      </c>
      <c r="AG33" s="9">
        <f t="shared" si="36"/>
        <v>0</v>
      </c>
      <c r="AH33" s="9">
        <f t="shared" si="11"/>
        <v>0</v>
      </c>
      <c r="AI33" s="95"/>
      <c r="AJ33" s="9">
        <f t="shared" si="12"/>
        <v>0</v>
      </c>
      <c r="AK33" s="9">
        <f t="shared" si="37"/>
        <v>0</v>
      </c>
      <c r="AL33" s="9">
        <f t="shared" si="13"/>
        <v>0</v>
      </c>
      <c r="AM33" s="9">
        <f t="shared" si="38"/>
        <v>0</v>
      </c>
      <c r="AN33" s="9">
        <f t="shared" si="14"/>
        <v>0</v>
      </c>
      <c r="AO33" s="9">
        <f t="shared" si="39"/>
        <v>0</v>
      </c>
      <c r="AP33" s="9">
        <f t="shared" si="15"/>
        <v>0</v>
      </c>
      <c r="AQ33" s="95">
        <f>80*AQ7</f>
        <v>20122.72</v>
      </c>
      <c r="AR33" s="9">
        <f t="shared" si="16"/>
        <v>88.218000527833567</v>
      </c>
      <c r="AS33" s="9">
        <f t="shared" si="40"/>
        <v>358687.48400000005</v>
      </c>
      <c r="AT33" s="9">
        <f t="shared" si="17"/>
        <v>52.423531530375513</v>
      </c>
      <c r="AU33" s="95"/>
      <c r="AV33" s="9">
        <f t="shared" si="18"/>
        <v>0</v>
      </c>
      <c r="AW33" s="9">
        <f t="shared" si="41"/>
        <v>216028.70800000004</v>
      </c>
      <c r="AX33" s="9">
        <f t="shared" si="19"/>
        <v>31.573412205551847</v>
      </c>
      <c r="AY33" s="95"/>
      <c r="AZ33" s="14">
        <f t="shared" si="20"/>
        <v>0</v>
      </c>
      <c r="BA33" s="9">
        <f t="shared" si="42"/>
        <v>6408.0639999999994</v>
      </c>
      <c r="BB33" s="9">
        <f t="shared" si="21"/>
        <v>0.93656277438625124</v>
      </c>
      <c r="BC33" s="9">
        <f t="shared" si="43"/>
        <v>20122.72</v>
      </c>
      <c r="BD33" s="9">
        <f t="shared" si="22"/>
        <v>88.218000527833567</v>
      </c>
      <c r="BE33" s="9">
        <f t="shared" si="44"/>
        <v>581124.25599999994</v>
      </c>
      <c r="BF33" s="9">
        <f t="shared" si="23"/>
        <v>84.933506510313578</v>
      </c>
      <c r="BG33" s="95"/>
      <c r="BH33" s="9">
        <f t="shared" si="24"/>
        <v>0</v>
      </c>
      <c r="BI33" s="9">
        <f t="shared" si="45"/>
        <v>0</v>
      </c>
      <c r="BJ33" s="9">
        <f t="shared" si="25"/>
        <v>0</v>
      </c>
      <c r="BK33" s="9">
        <f t="shared" si="26"/>
        <v>22810.22</v>
      </c>
      <c r="BL33" s="9">
        <f t="shared" si="46"/>
        <v>684210.8372500001</v>
      </c>
      <c r="BM33" s="509">
        <f t="shared" si="27"/>
        <v>0.90657048606971102</v>
      </c>
      <c r="BN33" s="9">
        <f t="shared" si="28"/>
        <v>1.0719972757881608</v>
      </c>
    </row>
    <row r="34" spans="1:66">
      <c r="A34" s="15">
        <f>+Chem!A33</f>
        <v>46106</v>
      </c>
      <c r="B34" s="5" t="str">
        <f>+Chem!B33</f>
        <v>Toilet</v>
      </c>
      <c r="C34" s="15" t="str">
        <f>+Chem!C33</f>
        <v>12,5</v>
      </c>
      <c r="D34" s="7">
        <f>+Chem!D33</f>
        <v>37.927</v>
      </c>
      <c r="E34" s="6">
        <f>+Chem!E33</f>
        <v>38.253999999999998</v>
      </c>
      <c r="F34" s="6">
        <f t="shared" si="29"/>
        <v>676.51200000000006</v>
      </c>
      <c r="G34" s="95">
        <f>24.75*G7</f>
        <v>6187.5</v>
      </c>
      <c r="H34" s="9">
        <f t="shared" si="0"/>
        <v>15.708306384861048</v>
      </c>
      <c r="I34" s="7">
        <f t="shared" si="30"/>
        <v>10312.5</v>
      </c>
      <c r="J34" s="9">
        <f t="shared" si="1"/>
        <v>1.4251642121106052</v>
      </c>
      <c r="K34" s="95"/>
      <c r="L34" s="9">
        <f t="shared" si="2"/>
        <v>0</v>
      </c>
      <c r="M34" s="9">
        <f t="shared" si="31"/>
        <v>98961.581250000003</v>
      </c>
      <c r="N34" s="9">
        <f t="shared" si="3"/>
        <v>13.676267051769782</v>
      </c>
      <c r="O34" s="95"/>
      <c r="P34" s="9">
        <f t="shared" si="4"/>
        <v>0</v>
      </c>
      <c r="Q34" s="9">
        <f t="shared" si="32"/>
        <v>0</v>
      </c>
      <c r="R34" s="9">
        <f t="shared" si="5"/>
        <v>0</v>
      </c>
      <c r="S34" s="9">
        <f t="shared" si="33"/>
        <v>6187.5</v>
      </c>
      <c r="T34" s="9">
        <f t="shared" si="6"/>
        <v>15.708306384861048</v>
      </c>
      <c r="U34" s="9">
        <f t="shared" si="34"/>
        <v>109274.08125</v>
      </c>
      <c r="V34" s="9">
        <f t="shared" si="7"/>
        <v>15.101431263880388</v>
      </c>
      <c r="W34" s="95"/>
      <c r="X34" s="9"/>
      <c r="Y34" s="9"/>
      <c r="Z34" s="9"/>
      <c r="AA34" s="95"/>
      <c r="AB34" s="9">
        <f t="shared" si="8"/>
        <v>0</v>
      </c>
      <c r="AC34" s="9">
        <f>AA34+AC33</f>
        <v>0</v>
      </c>
      <c r="AD34" s="9">
        <f t="shared" si="9"/>
        <v>0</v>
      </c>
      <c r="AE34" s="95"/>
      <c r="AF34" s="9">
        <f t="shared" si="10"/>
        <v>0</v>
      </c>
      <c r="AG34" s="9">
        <f t="shared" si="36"/>
        <v>0</v>
      </c>
      <c r="AH34" s="9">
        <f t="shared" si="11"/>
        <v>0</v>
      </c>
      <c r="AI34" s="95"/>
      <c r="AJ34" s="9">
        <f t="shared" si="12"/>
        <v>0</v>
      </c>
      <c r="AK34" s="9">
        <f t="shared" si="37"/>
        <v>0</v>
      </c>
      <c r="AL34" s="9">
        <f t="shared" si="13"/>
        <v>0</v>
      </c>
      <c r="AM34" s="9">
        <f t="shared" si="38"/>
        <v>0</v>
      </c>
      <c r="AN34" s="9">
        <f t="shared" si="14"/>
        <v>0</v>
      </c>
      <c r="AO34" s="9">
        <f t="shared" si="39"/>
        <v>0</v>
      </c>
      <c r="AP34" s="9">
        <f t="shared" si="15"/>
        <v>0</v>
      </c>
      <c r="AQ34" s="95">
        <f>132*AQ7</f>
        <v>33202.487999999998</v>
      </c>
      <c r="AR34" s="9">
        <f t="shared" si="16"/>
        <v>84.291693615138954</v>
      </c>
      <c r="AS34" s="9">
        <f t="shared" si="40"/>
        <v>391889.97200000007</v>
      </c>
      <c r="AT34" s="9">
        <f t="shared" si="17"/>
        <v>54.158309156792939</v>
      </c>
      <c r="AU34" s="95"/>
      <c r="AV34" s="9">
        <f t="shared" si="18"/>
        <v>0</v>
      </c>
      <c r="AW34" s="9">
        <f t="shared" si="41"/>
        <v>216028.70800000004</v>
      </c>
      <c r="AX34" s="9">
        <f t="shared" si="19"/>
        <v>29.854679605342255</v>
      </c>
      <c r="AY34" s="95"/>
      <c r="AZ34" s="14">
        <f t="shared" si="20"/>
        <v>0</v>
      </c>
      <c r="BA34" s="9">
        <f t="shared" si="42"/>
        <v>6408.0639999999994</v>
      </c>
      <c r="BB34" s="9">
        <f t="shared" si="21"/>
        <v>0.88557997398442012</v>
      </c>
      <c r="BC34" s="9">
        <f t="shared" si="43"/>
        <v>33202.487999999998</v>
      </c>
      <c r="BD34" s="9">
        <f t="shared" si="22"/>
        <v>84.291693615138954</v>
      </c>
      <c r="BE34" s="9">
        <f t="shared" si="44"/>
        <v>614326.74399999995</v>
      </c>
      <c r="BF34" s="9">
        <f t="shared" si="23"/>
        <v>84.8985687361196</v>
      </c>
      <c r="BG34" s="95"/>
      <c r="BH34" s="9">
        <f t="shared" si="24"/>
        <v>0</v>
      </c>
      <c r="BI34" s="9">
        <f t="shared" si="45"/>
        <v>0</v>
      </c>
      <c r="BJ34" s="9">
        <f t="shared" si="25"/>
        <v>0</v>
      </c>
      <c r="BK34" s="9">
        <f t="shared" si="26"/>
        <v>39389.987999999998</v>
      </c>
      <c r="BL34" s="9">
        <f t="shared" si="46"/>
        <v>723600.82525000011</v>
      </c>
      <c r="BM34" s="509">
        <f t="shared" si="27"/>
        <v>1.0296959272232968</v>
      </c>
      <c r="BN34" s="9">
        <f t="shared" si="28"/>
        <v>1.0696053067055722</v>
      </c>
    </row>
    <row r="35" spans="1:66">
      <c r="A35" s="15">
        <f>+Chem!A34</f>
        <v>46107</v>
      </c>
      <c r="B35" s="5" t="str">
        <f>+Chem!B34</f>
        <v>Toilet</v>
      </c>
      <c r="C35" s="15" t="str">
        <f>+Chem!C34</f>
        <v>12,5/13</v>
      </c>
      <c r="D35" s="7">
        <f>+Chem!D34</f>
        <v>38.550000000000004</v>
      </c>
      <c r="E35" s="6">
        <f>+Chem!E34</f>
        <v>40.591999999999999</v>
      </c>
      <c r="F35" s="6">
        <f t="shared" si="29"/>
        <v>717.10400000000004</v>
      </c>
      <c r="G35" s="95">
        <f>26.25*G7</f>
        <v>6562.5</v>
      </c>
      <c r="H35" s="9">
        <f t="shared" si="0"/>
        <v>15.708306384861045</v>
      </c>
      <c r="I35" s="7">
        <f t="shared" si="30"/>
        <v>16875</v>
      </c>
      <c r="J35" s="9">
        <f t="shared" si="1"/>
        <v>2.2047926802722628</v>
      </c>
      <c r="K35" s="95"/>
      <c r="L35" s="9">
        <f t="shared" si="2"/>
        <v>0</v>
      </c>
      <c r="M35" s="9">
        <f t="shared" si="31"/>
        <v>98961.581250000003</v>
      </c>
      <c r="N35" s="9">
        <f t="shared" si="3"/>
        <v>12.929764146261855</v>
      </c>
      <c r="O35" s="95"/>
      <c r="P35" s="9">
        <f t="shared" si="4"/>
        <v>0</v>
      </c>
      <c r="Q35" s="9">
        <f t="shared" si="32"/>
        <v>0</v>
      </c>
      <c r="R35" s="9">
        <f t="shared" si="5"/>
        <v>0</v>
      </c>
      <c r="S35" s="9">
        <f t="shared" si="33"/>
        <v>6562.5</v>
      </c>
      <c r="T35" s="9">
        <f t="shared" si="6"/>
        <v>15.708306384861045</v>
      </c>
      <c r="U35" s="9">
        <f t="shared" si="34"/>
        <v>115836.58125</v>
      </c>
      <c r="V35" s="9">
        <f t="shared" si="7"/>
        <v>15.134556826534116</v>
      </c>
      <c r="W35" s="95"/>
      <c r="X35" s="9"/>
      <c r="Y35" s="9"/>
      <c r="Z35" s="9"/>
      <c r="AA35" s="95"/>
      <c r="AB35" s="9">
        <f t="shared" si="8"/>
        <v>0</v>
      </c>
      <c r="AC35" s="9">
        <f>AA35+AC34</f>
        <v>0</v>
      </c>
      <c r="AD35" s="9">
        <f t="shared" si="9"/>
        <v>0</v>
      </c>
      <c r="AE35" s="95"/>
      <c r="AF35" s="9">
        <f t="shared" si="10"/>
        <v>0</v>
      </c>
      <c r="AG35" s="9">
        <f t="shared" si="36"/>
        <v>0</v>
      </c>
      <c r="AH35" s="9">
        <f t="shared" si="11"/>
        <v>0</v>
      </c>
      <c r="AI35" s="95"/>
      <c r="AJ35" s="9">
        <f t="shared" si="12"/>
        <v>0</v>
      </c>
      <c r="AK35" s="9">
        <f t="shared" si="37"/>
        <v>0</v>
      </c>
      <c r="AL35" s="9">
        <f t="shared" si="13"/>
        <v>0</v>
      </c>
      <c r="AM35" s="9">
        <f t="shared" si="38"/>
        <v>0</v>
      </c>
      <c r="AN35" s="9">
        <f t="shared" si="14"/>
        <v>0</v>
      </c>
      <c r="AO35" s="9">
        <f t="shared" si="39"/>
        <v>0</v>
      </c>
      <c r="AP35" s="9">
        <f t="shared" si="15"/>
        <v>0</v>
      </c>
      <c r="AQ35" s="95">
        <f>140*AQ7</f>
        <v>35214.76</v>
      </c>
      <c r="AR35" s="9">
        <f t="shared" si="16"/>
        <v>84.291693615138954</v>
      </c>
      <c r="AS35" s="9">
        <f t="shared" si="40"/>
        <v>427104.73200000008</v>
      </c>
      <c r="AT35" s="9">
        <f t="shared" si="17"/>
        <v>55.80310440434053</v>
      </c>
      <c r="AU35" s="95"/>
      <c r="AV35" s="9">
        <f t="shared" si="18"/>
        <v>0</v>
      </c>
      <c r="AW35" s="9">
        <f t="shared" si="41"/>
        <v>216028.70800000004</v>
      </c>
      <c r="AX35" s="9">
        <f t="shared" si="19"/>
        <v>28.225097133456238</v>
      </c>
      <c r="AY35" s="95"/>
      <c r="AZ35" s="14">
        <f t="shared" si="20"/>
        <v>0</v>
      </c>
      <c r="BA35" s="9">
        <f t="shared" si="42"/>
        <v>6408.0639999999994</v>
      </c>
      <c r="BB35" s="9">
        <f t="shared" si="21"/>
        <v>0.83724163566910781</v>
      </c>
      <c r="BC35" s="9">
        <f t="shared" si="43"/>
        <v>35214.76</v>
      </c>
      <c r="BD35" s="9">
        <f t="shared" si="22"/>
        <v>84.291693615138954</v>
      </c>
      <c r="BE35" s="9">
        <f t="shared" si="44"/>
        <v>649541.50399999996</v>
      </c>
      <c r="BF35" s="9">
        <f t="shared" si="23"/>
        <v>84.865443173465863</v>
      </c>
      <c r="BG35" s="95"/>
      <c r="BH35" s="9">
        <f t="shared" si="24"/>
        <v>0</v>
      </c>
      <c r="BI35" s="9">
        <f t="shared" si="45"/>
        <v>0</v>
      </c>
      <c r="BJ35" s="9">
        <f t="shared" si="25"/>
        <v>0</v>
      </c>
      <c r="BK35" s="9">
        <f t="shared" si="26"/>
        <v>41777.26</v>
      </c>
      <c r="BL35" s="9">
        <f t="shared" si="46"/>
        <v>765378.08525000012</v>
      </c>
      <c r="BM35" s="509">
        <f t="shared" si="27"/>
        <v>1.029199349625542</v>
      </c>
      <c r="BN35" s="9">
        <f t="shared" si="28"/>
        <v>1.0673181090190547</v>
      </c>
    </row>
    <row r="36" spans="1:66">
      <c r="A36" s="15">
        <f>+Chem!A35</f>
        <v>46108</v>
      </c>
      <c r="B36" s="5" t="str">
        <f>+Chem!B35</f>
        <v>Toilet</v>
      </c>
      <c r="C36" s="15" t="str">
        <f>+Chem!C35</f>
        <v>13</v>
      </c>
      <c r="D36" s="7">
        <f>+Chem!D35</f>
        <v>40.481000000000002</v>
      </c>
      <c r="E36" s="6">
        <f>+Chem!E35</f>
        <v>40.677</v>
      </c>
      <c r="F36" s="6">
        <f t="shared" si="29"/>
        <v>757.78100000000006</v>
      </c>
      <c r="G36" s="95">
        <f>26.25*G7</f>
        <v>6562.5</v>
      </c>
      <c r="H36" s="9">
        <f t="shared" si="0"/>
        <v>15.708306384861045</v>
      </c>
      <c r="I36" s="7">
        <f t="shared" si="30"/>
        <v>23437.5</v>
      </c>
      <c r="J36" s="9">
        <f t="shared" si="1"/>
        <v>2.9037161356765475</v>
      </c>
      <c r="K36" s="95"/>
      <c r="L36" s="9">
        <f t="shared" si="2"/>
        <v>0</v>
      </c>
      <c r="M36" s="9">
        <f t="shared" si="31"/>
        <v>98961.581250000003</v>
      </c>
      <c r="N36" s="9">
        <f t="shared" si="3"/>
        <v>12.260537185608136</v>
      </c>
      <c r="O36" s="95"/>
      <c r="P36" s="9">
        <f t="shared" si="4"/>
        <v>0</v>
      </c>
      <c r="Q36" s="9">
        <f t="shared" si="32"/>
        <v>0</v>
      </c>
      <c r="R36" s="9">
        <f t="shared" si="5"/>
        <v>0</v>
      </c>
      <c r="S36" s="9">
        <f t="shared" si="33"/>
        <v>6562.5</v>
      </c>
      <c r="T36" s="9">
        <f t="shared" si="6"/>
        <v>15.708306384861045</v>
      </c>
      <c r="U36" s="9">
        <f t="shared" si="34"/>
        <v>122399.08125</v>
      </c>
      <c r="V36" s="9">
        <f t="shared" si="7"/>
        <v>15.164253321284685</v>
      </c>
      <c r="W36" s="95"/>
      <c r="X36" s="9"/>
      <c r="Y36" s="9"/>
      <c r="Z36" s="9"/>
      <c r="AA36" s="95"/>
      <c r="AB36" s="9">
        <f t="shared" si="8"/>
        <v>0</v>
      </c>
      <c r="AC36" s="9">
        <f t="shared" si="35"/>
        <v>0</v>
      </c>
      <c r="AD36" s="9">
        <f t="shared" si="9"/>
        <v>0</v>
      </c>
      <c r="AE36" s="95"/>
      <c r="AF36" s="9">
        <f t="shared" si="10"/>
        <v>0</v>
      </c>
      <c r="AG36" s="9">
        <f t="shared" si="36"/>
        <v>0</v>
      </c>
      <c r="AH36" s="9">
        <f t="shared" si="11"/>
        <v>0</v>
      </c>
      <c r="AI36" s="95"/>
      <c r="AJ36" s="9">
        <f t="shared" si="12"/>
        <v>0</v>
      </c>
      <c r="AK36" s="9">
        <f t="shared" si="37"/>
        <v>0</v>
      </c>
      <c r="AL36" s="9">
        <f t="shared" si="13"/>
        <v>0</v>
      </c>
      <c r="AM36" s="9">
        <f t="shared" si="38"/>
        <v>0</v>
      </c>
      <c r="AN36" s="9">
        <f t="shared" si="14"/>
        <v>0</v>
      </c>
      <c r="AO36" s="9">
        <f t="shared" si="39"/>
        <v>0</v>
      </c>
      <c r="AP36" s="9">
        <f t="shared" si="15"/>
        <v>0</v>
      </c>
      <c r="AQ36" s="95">
        <f>140*AQ7</f>
        <v>35214.76</v>
      </c>
      <c r="AR36" s="9">
        <f t="shared" si="16"/>
        <v>84.291693615138954</v>
      </c>
      <c r="AS36" s="9">
        <f t="shared" si="40"/>
        <v>462319.49200000009</v>
      </c>
      <c r="AT36" s="9">
        <f t="shared" si="17"/>
        <v>57.277634933682556</v>
      </c>
      <c r="AU36" s="95"/>
      <c r="AV36" s="9">
        <f t="shared" si="18"/>
        <v>0</v>
      </c>
      <c r="AW36" s="9">
        <f t="shared" si="41"/>
        <v>216028.70800000004</v>
      </c>
      <c r="AX36" s="9">
        <f t="shared" si="19"/>
        <v>26.764204594728852</v>
      </c>
      <c r="AY36" s="95"/>
      <c r="AZ36" s="14">
        <f t="shared" si="20"/>
        <v>0</v>
      </c>
      <c r="BA36" s="9">
        <f t="shared" si="42"/>
        <v>6408.0639999999994</v>
      </c>
      <c r="BB36" s="9">
        <f t="shared" si="21"/>
        <v>0.79390715030391457</v>
      </c>
      <c r="BC36" s="9">
        <f t="shared" si="43"/>
        <v>35214.76</v>
      </c>
      <c r="BD36" s="9">
        <f t="shared" si="22"/>
        <v>84.291693615138954</v>
      </c>
      <c r="BE36" s="9">
        <f t="shared" si="44"/>
        <v>684756.26399999997</v>
      </c>
      <c r="BF36" s="9">
        <f t="shared" si="23"/>
        <v>84.835746678715296</v>
      </c>
      <c r="BG36" s="95"/>
      <c r="BH36" s="9">
        <f t="shared" si="24"/>
        <v>0</v>
      </c>
      <c r="BI36" s="9">
        <f t="shared" si="45"/>
        <v>0</v>
      </c>
      <c r="BJ36" s="9">
        <f t="shared" si="25"/>
        <v>0</v>
      </c>
      <c r="BK36" s="9">
        <f t="shared" si="26"/>
        <v>41777.26</v>
      </c>
      <c r="BL36" s="9">
        <f t="shared" si="46"/>
        <v>807155.34525000013</v>
      </c>
      <c r="BM36" s="509">
        <f t="shared" si="27"/>
        <v>1.027048700739976</v>
      </c>
      <c r="BN36" s="9">
        <f t="shared" si="28"/>
        <v>1.0651564835354805</v>
      </c>
    </row>
    <row r="37" spans="1:66">
      <c r="A37" s="15">
        <f>+Chem!A36</f>
        <v>46109</v>
      </c>
      <c r="B37" s="5" t="str">
        <f>+Chem!B36</f>
        <v>Toilet</v>
      </c>
      <c r="C37" s="15" t="str">
        <f>+Chem!C36</f>
        <v>13</v>
      </c>
      <c r="D37" s="7">
        <f>+Chem!D36</f>
        <v>41.347000000000001</v>
      </c>
      <c r="E37" s="6">
        <f>+Chem!E36</f>
        <v>39.438000000000002</v>
      </c>
      <c r="F37" s="6">
        <f t="shared" si="29"/>
        <v>797.21900000000005</v>
      </c>
      <c r="G37" s="95">
        <f>27*G7</f>
        <v>6750</v>
      </c>
      <c r="H37" s="9">
        <f t="shared" si="0"/>
        <v>15.708306384861045</v>
      </c>
      <c r="I37" s="7">
        <f t="shared" si="30"/>
        <v>30187.5</v>
      </c>
      <c r="J37" s="9">
        <f t="shared" si="1"/>
        <v>3.5509432052836307</v>
      </c>
      <c r="K37" s="95"/>
      <c r="L37" s="9">
        <f t="shared" si="2"/>
        <v>0</v>
      </c>
      <c r="M37" s="9">
        <f t="shared" si="31"/>
        <v>98961.581250000003</v>
      </c>
      <c r="N37" s="9">
        <f t="shared" si="3"/>
        <v>11.640810087745306</v>
      </c>
      <c r="O37" s="95"/>
      <c r="P37" s="9">
        <f t="shared" si="4"/>
        <v>0</v>
      </c>
      <c r="Q37" s="9">
        <f t="shared" si="32"/>
        <v>0</v>
      </c>
      <c r="R37" s="9">
        <f t="shared" si="5"/>
        <v>0</v>
      </c>
      <c r="S37" s="9">
        <f t="shared" si="33"/>
        <v>6750</v>
      </c>
      <c r="T37" s="9">
        <f t="shared" si="6"/>
        <v>15.708306384861045</v>
      </c>
      <c r="U37" s="9">
        <f t="shared" si="34"/>
        <v>129149.08125</v>
      </c>
      <c r="V37" s="9">
        <f t="shared" si="7"/>
        <v>15.191753293028937</v>
      </c>
      <c r="W37" s="95"/>
      <c r="X37" s="9"/>
      <c r="Y37" s="9"/>
      <c r="Z37" s="9"/>
      <c r="AA37" s="95"/>
      <c r="AB37" s="9">
        <f t="shared" si="8"/>
        <v>0</v>
      </c>
      <c r="AC37" s="9">
        <f t="shared" si="35"/>
        <v>0</v>
      </c>
      <c r="AD37" s="9">
        <f t="shared" si="9"/>
        <v>0</v>
      </c>
      <c r="AE37" s="95"/>
      <c r="AF37" s="9">
        <f t="shared" si="10"/>
        <v>0</v>
      </c>
      <c r="AG37" s="9">
        <f t="shared" si="36"/>
        <v>0</v>
      </c>
      <c r="AH37" s="9">
        <f t="shared" si="11"/>
        <v>0</v>
      </c>
      <c r="AI37" s="95"/>
      <c r="AJ37" s="9">
        <f t="shared" si="12"/>
        <v>0</v>
      </c>
      <c r="AK37" s="9">
        <f t="shared" si="37"/>
        <v>0</v>
      </c>
      <c r="AL37" s="9">
        <f t="shared" si="13"/>
        <v>0</v>
      </c>
      <c r="AM37" s="9">
        <f t="shared" si="38"/>
        <v>0</v>
      </c>
      <c r="AN37" s="9">
        <f t="shared" si="14"/>
        <v>0</v>
      </c>
      <c r="AO37" s="9">
        <f t="shared" si="39"/>
        <v>0</v>
      </c>
      <c r="AP37" s="9">
        <f t="shared" si="15"/>
        <v>0</v>
      </c>
      <c r="AQ37" s="95">
        <f>144*AQ7</f>
        <v>36220.896000000001</v>
      </c>
      <c r="AR37" s="9">
        <f t="shared" si="16"/>
        <v>84.291693615138954</v>
      </c>
      <c r="AS37" s="9">
        <f t="shared" si="40"/>
        <v>498540.38800000009</v>
      </c>
      <c r="AT37" s="9">
        <f t="shared" si="17"/>
        <v>58.64310073136447</v>
      </c>
      <c r="AU37" s="95"/>
      <c r="AV37" s="9">
        <f t="shared" si="18"/>
        <v>0</v>
      </c>
      <c r="AW37" s="9">
        <f t="shared" si="41"/>
        <v>216028.70800000004</v>
      </c>
      <c r="AX37" s="9">
        <f t="shared" si="19"/>
        <v>25.411368043687009</v>
      </c>
      <c r="AY37" s="95"/>
      <c r="AZ37" s="14">
        <f t="shared" si="20"/>
        <v>0</v>
      </c>
      <c r="BA37" s="9">
        <f t="shared" si="42"/>
        <v>6408.0639999999994</v>
      </c>
      <c r="BB37" s="9">
        <f t="shared" si="21"/>
        <v>0.75377793191959053</v>
      </c>
      <c r="BC37" s="9">
        <f t="shared" si="43"/>
        <v>36220.896000000001</v>
      </c>
      <c r="BD37" s="9">
        <f t="shared" si="22"/>
        <v>84.291693615138954</v>
      </c>
      <c r="BE37" s="9">
        <f t="shared" si="44"/>
        <v>720977.15999999992</v>
      </c>
      <c r="BF37" s="9">
        <f t="shared" si="23"/>
        <v>84.808246706971048</v>
      </c>
      <c r="BG37" s="95"/>
      <c r="BH37" s="9">
        <f t="shared" si="24"/>
        <v>0</v>
      </c>
      <c r="BI37" s="9">
        <f t="shared" si="45"/>
        <v>0</v>
      </c>
      <c r="BJ37" s="9">
        <f t="shared" si="25"/>
        <v>0</v>
      </c>
      <c r="BK37" s="9">
        <f t="shared" si="26"/>
        <v>42970.896000000001</v>
      </c>
      <c r="BL37" s="9">
        <f t="shared" si="46"/>
        <v>850126.24125000008</v>
      </c>
      <c r="BM37" s="509">
        <f t="shared" si="27"/>
        <v>1.0895810132359653</v>
      </c>
      <c r="BN37" s="9">
        <f t="shared" si="28"/>
        <v>1.0663647520317505</v>
      </c>
    </row>
    <row r="38" spans="1:66">
      <c r="A38" s="15">
        <f>+Chem!A37</f>
        <v>46110</v>
      </c>
      <c r="B38" s="5" t="str">
        <f>+Chem!B37</f>
        <v>Toilet</v>
      </c>
      <c r="C38" s="15" t="str">
        <f>+Chem!C37</f>
        <v>13</v>
      </c>
      <c r="D38" s="7">
        <f>+Chem!D37</f>
        <v>39.832999999999998</v>
      </c>
      <c r="E38" s="6">
        <f>+Chem!E37</f>
        <v>38.027999999999999</v>
      </c>
      <c r="F38" s="6">
        <f t="shared" si="29"/>
        <v>835.24700000000007</v>
      </c>
      <c r="G38" s="95">
        <f>26.25*G7</f>
        <v>6562.5</v>
      </c>
      <c r="H38" s="9">
        <f t="shared" si="0"/>
        <v>15.708306384861045</v>
      </c>
      <c r="I38" s="7">
        <f t="shared" si="30"/>
        <v>36750</v>
      </c>
      <c r="J38" s="9">
        <f t="shared" si="1"/>
        <v>4.1204009120375673</v>
      </c>
      <c r="K38" s="95"/>
      <c r="L38" s="9">
        <f t="shared" si="2"/>
        <v>0</v>
      </c>
      <c r="M38" s="9">
        <f t="shared" si="31"/>
        <v>98961.581250000003</v>
      </c>
      <c r="N38" s="9">
        <f t="shared" si="3"/>
        <v>11.09554801739265</v>
      </c>
      <c r="O38" s="95"/>
      <c r="P38" s="9">
        <f t="shared" si="4"/>
        <v>0</v>
      </c>
      <c r="Q38" s="9">
        <f t="shared" si="32"/>
        <v>0</v>
      </c>
      <c r="R38" s="9">
        <f t="shared" si="5"/>
        <v>0</v>
      </c>
      <c r="S38" s="9">
        <f t="shared" si="33"/>
        <v>6562.5</v>
      </c>
      <c r="T38" s="9">
        <f t="shared" si="6"/>
        <v>15.708306384861045</v>
      </c>
      <c r="U38" s="9">
        <f t="shared" si="34"/>
        <v>135711.58124999999</v>
      </c>
      <c r="V38" s="9">
        <f t="shared" si="7"/>
        <v>15.215948929430215</v>
      </c>
      <c r="W38" s="95"/>
      <c r="X38" s="9"/>
      <c r="Y38" s="9"/>
      <c r="Z38" s="9"/>
      <c r="AA38" s="95"/>
      <c r="AB38" s="9">
        <f t="shared" si="8"/>
        <v>0</v>
      </c>
      <c r="AC38" s="9">
        <f t="shared" si="35"/>
        <v>0</v>
      </c>
      <c r="AD38" s="9">
        <f t="shared" si="9"/>
        <v>0</v>
      </c>
      <c r="AE38" s="95"/>
      <c r="AF38" s="9">
        <f t="shared" si="10"/>
        <v>0</v>
      </c>
      <c r="AG38" s="9">
        <f t="shared" si="36"/>
        <v>0</v>
      </c>
      <c r="AH38" s="9">
        <f t="shared" si="11"/>
        <v>0</v>
      </c>
      <c r="AI38" s="95"/>
      <c r="AJ38" s="9">
        <f t="shared" si="12"/>
        <v>0</v>
      </c>
      <c r="AK38" s="9">
        <f t="shared" si="37"/>
        <v>0</v>
      </c>
      <c r="AL38" s="9">
        <f t="shared" si="13"/>
        <v>0</v>
      </c>
      <c r="AM38" s="9">
        <f t="shared" si="38"/>
        <v>0</v>
      </c>
      <c r="AN38" s="9">
        <f t="shared" si="14"/>
        <v>0</v>
      </c>
      <c r="AO38" s="9">
        <f t="shared" si="39"/>
        <v>0</v>
      </c>
      <c r="AP38" s="9">
        <f t="shared" si="15"/>
        <v>0</v>
      </c>
      <c r="AQ38" s="95">
        <f>140*AQ7</f>
        <v>35214.76</v>
      </c>
      <c r="AR38" s="9">
        <f t="shared" si="16"/>
        <v>84.291693615138954</v>
      </c>
      <c r="AS38" s="9">
        <f t="shared" si="40"/>
        <v>533755.14800000004</v>
      </c>
      <c r="AT38" s="9">
        <f t="shared" si="17"/>
        <v>59.844495200651615</v>
      </c>
      <c r="AU38" s="95"/>
      <c r="AV38" s="9">
        <f t="shared" si="18"/>
        <v>0</v>
      </c>
      <c r="AW38" s="9">
        <f t="shared" si="41"/>
        <v>216028.70800000004</v>
      </c>
      <c r="AX38" s="9">
        <f t="shared" si="19"/>
        <v>24.221085318897892</v>
      </c>
      <c r="AY38" s="95"/>
      <c r="AZ38" s="14">
        <f t="shared" si="20"/>
        <v>0</v>
      </c>
      <c r="BA38" s="9">
        <f t="shared" si="42"/>
        <v>6408.0639999999994</v>
      </c>
      <c r="BB38" s="9">
        <f t="shared" si="21"/>
        <v>0.71847055102027491</v>
      </c>
      <c r="BC38" s="9">
        <f t="shared" si="43"/>
        <v>35214.76</v>
      </c>
      <c r="BD38" s="9">
        <f t="shared" si="22"/>
        <v>84.291693615138954</v>
      </c>
      <c r="BE38" s="9">
        <f t="shared" si="44"/>
        <v>756191.91999999993</v>
      </c>
      <c r="BF38" s="9">
        <f t="shared" si="23"/>
        <v>84.78405107056976</v>
      </c>
      <c r="BG38" s="95"/>
      <c r="BH38" s="9">
        <f t="shared" si="24"/>
        <v>0</v>
      </c>
      <c r="BI38" s="9">
        <f t="shared" si="45"/>
        <v>0</v>
      </c>
      <c r="BJ38" s="9">
        <f t="shared" si="25"/>
        <v>0</v>
      </c>
      <c r="BK38" s="9">
        <f t="shared" si="26"/>
        <v>41777.26</v>
      </c>
      <c r="BL38" s="9">
        <f t="shared" si="46"/>
        <v>891903.50125000009</v>
      </c>
      <c r="BM38" s="509">
        <f t="shared" si="27"/>
        <v>1.0985920900389188</v>
      </c>
      <c r="BN38" s="9">
        <f t="shared" si="28"/>
        <v>1.0678320320216654</v>
      </c>
    </row>
    <row r="39" spans="1:66">
      <c r="A39" s="15">
        <f>+Chem!A38</f>
        <v>46111</v>
      </c>
      <c r="B39" s="5" t="str">
        <f>+Chem!B38</f>
        <v>Toilet/Facial</v>
      </c>
      <c r="C39" s="15" t="str">
        <f>+Chem!C38</f>
        <v>13/11,5</v>
      </c>
      <c r="D39" s="7">
        <f>+Chem!D38</f>
        <v>37.869</v>
      </c>
      <c r="E39" s="6">
        <f>+Chem!E38</f>
        <v>35.036999999999999</v>
      </c>
      <c r="F39" s="6">
        <f t="shared" si="29"/>
        <v>870.28400000000011</v>
      </c>
      <c r="G39" s="95">
        <f>24.75*G7</f>
        <v>6187.5</v>
      </c>
      <c r="H39" s="9">
        <f t="shared" si="0"/>
        <v>15.708306384861048</v>
      </c>
      <c r="I39" s="7">
        <f t="shared" si="30"/>
        <v>42937.5</v>
      </c>
      <c r="J39" s="9">
        <f t="shared" si="1"/>
        <v>4.6105229442309232</v>
      </c>
      <c r="K39" s="95"/>
      <c r="L39" s="9">
        <f t="shared" si="2"/>
        <v>0</v>
      </c>
      <c r="M39" s="9">
        <f t="shared" si="31"/>
        <v>98961.581250000003</v>
      </c>
      <c r="N39" s="9">
        <f t="shared" si="3"/>
        <v>10.62625073538277</v>
      </c>
      <c r="O39" s="95"/>
      <c r="P39" s="9">
        <f t="shared" si="4"/>
        <v>0</v>
      </c>
      <c r="Q39" s="9">
        <f t="shared" si="32"/>
        <v>0</v>
      </c>
      <c r="R39" s="9">
        <f t="shared" si="5"/>
        <v>0</v>
      </c>
      <c r="S39" s="9">
        <f t="shared" si="33"/>
        <v>6187.5</v>
      </c>
      <c r="T39" s="9">
        <f t="shared" si="6"/>
        <v>15.708306384861048</v>
      </c>
      <c r="U39" s="9">
        <f t="shared" si="34"/>
        <v>141899.08124999999</v>
      </c>
      <c r="V39" s="9">
        <f t="shared" si="7"/>
        <v>15.236773679613695</v>
      </c>
      <c r="W39" s="95"/>
      <c r="X39" s="9"/>
      <c r="Y39" s="9"/>
      <c r="Z39" s="9"/>
      <c r="AA39" s="95"/>
      <c r="AB39" s="9">
        <f t="shared" si="8"/>
        <v>0</v>
      </c>
      <c r="AC39" s="9">
        <f t="shared" si="35"/>
        <v>0</v>
      </c>
      <c r="AD39" s="9">
        <f t="shared" si="9"/>
        <v>0</v>
      </c>
      <c r="AE39" s="95"/>
      <c r="AF39" s="9">
        <f t="shared" si="10"/>
        <v>0</v>
      </c>
      <c r="AG39" s="9">
        <f t="shared" si="36"/>
        <v>0</v>
      </c>
      <c r="AH39" s="9">
        <f t="shared" si="11"/>
        <v>0</v>
      </c>
      <c r="AI39" s="95"/>
      <c r="AJ39" s="9">
        <f t="shared" si="12"/>
        <v>0</v>
      </c>
      <c r="AK39" s="9">
        <f t="shared" si="37"/>
        <v>0</v>
      </c>
      <c r="AL39" s="9">
        <f t="shared" si="13"/>
        <v>0</v>
      </c>
      <c r="AM39" s="9">
        <f t="shared" si="38"/>
        <v>0</v>
      </c>
      <c r="AN39" s="9">
        <f t="shared" si="14"/>
        <v>0</v>
      </c>
      <c r="AO39" s="9">
        <f t="shared" si="39"/>
        <v>0</v>
      </c>
      <c r="AP39" s="9">
        <f t="shared" si="15"/>
        <v>0</v>
      </c>
      <c r="AQ39" s="95">
        <f>132*AQ7</f>
        <v>33202.487999999998</v>
      </c>
      <c r="AR39" s="9">
        <f t="shared" si="16"/>
        <v>84.291693615138954</v>
      </c>
      <c r="AS39" s="9">
        <f t="shared" si="40"/>
        <v>566957.63600000006</v>
      </c>
      <c r="AT39" s="9">
        <f t="shared" si="17"/>
        <v>60.878513867480045</v>
      </c>
      <c r="AU39" s="95"/>
      <c r="AV39" s="9">
        <f t="shared" si="18"/>
        <v>0</v>
      </c>
      <c r="AW39" s="9">
        <f t="shared" si="41"/>
        <v>216028.70800000004</v>
      </c>
      <c r="AX39" s="9">
        <f t="shared" si="19"/>
        <v>23.196630331215431</v>
      </c>
      <c r="AY39" s="95"/>
      <c r="AZ39" s="14">
        <f t="shared" si="20"/>
        <v>0</v>
      </c>
      <c r="BA39" s="9">
        <f t="shared" si="42"/>
        <v>6408.0639999999994</v>
      </c>
      <c r="BB39" s="9">
        <f t="shared" si="21"/>
        <v>0.68808212169083394</v>
      </c>
      <c r="BC39" s="9">
        <f t="shared" si="43"/>
        <v>33202.487999999998</v>
      </c>
      <c r="BD39" s="9">
        <f t="shared" si="22"/>
        <v>84.291693615138954</v>
      </c>
      <c r="BE39" s="9">
        <f t="shared" si="44"/>
        <v>789394.40799999994</v>
      </c>
      <c r="BF39" s="9">
        <f t="shared" si="23"/>
        <v>84.763226320386281</v>
      </c>
      <c r="BG39" s="95"/>
      <c r="BH39" s="9">
        <f t="shared" si="24"/>
        <v>0</v>
      </c>
      <c r="BI39" s="9">
        <f t="shared" si="45"/>
        <v>0</v>
      </c>
      <c r="BJ39" s="9">
        <f t="shared" si="25"/>
        <v>0</v>
      </c>
      <c r="BK39" s="9">
        <f t="shared" si="26"/>
        <v>39389.987999999998</v>
      </c>
      <c r="BL39" s="9">
        <f t="shared" si="46"/>
        <v>931293.4892500001</v>
      </c>
      <c r="BM39" s="509">
        <f t="shared" si="27"/>
        <v>1.1242397465536431</v>
      </c>
      <c r="BN39" s="9">
        <f t="shared" si="28"/>
        <v>1.070102965526196</v>
      </c>
    </row>
    <row r="40" spans="1:66">
      <c r="A40" s="15">
        <f>+Chem!A39</f>
        <v>46112</v>
      </c>
      <c r="B40" s="5" t="str">
        <f>+Chem!B39</f>
        <v>Facial</v>
      </c>
      <c r="C40" s="15" t="str">
        <f>+Chem!C39</f>
        <v>11,5</v>
      </c>
      <c r="D40" s="7">
        <f>+Chem!D39</f>
        <v>36.242000000000004</v>
      </c>
      <c r="E40" s="6">
        <f>+Chem!E39</f>
        <v>35.978999999999999</v>
      </c>
      <c r="F40" s="6">
        <f>+E40+F39</f>
        <v>906.26300000000015</v>
      </c>
      <c r="G40" s="95">
        <f>24*G7</f>
        <v>6000</v>
      </c>
      <c r="H40" s="9">
        <f t="shared" si="0"/>
        <v>15.708306384861045</v>
      </c>
      <c r="I40" s="7">
        <f>G40+I39</f>
        <v>48937.5</v>
      </c>
      <c r="J40" s="9">
        <f t="shared" si="1"/>
        <v>5.0477578946988269</v>
      </c>
      <c r="K40" s="95"/>
      <c r="L40" s="9">
        <f t="shared" si="2"/>
        <v>0</v>
      </c>
      <c r="M40" s="9">
        <f>+K40+M39</f>
        <v>98961.581250000003</v>
      </c>
      <c r="N40" s="9">
        <f t="shared" si="3"/>
        <v>10.207593420721674</v>
      </c>
      <c r="O40" s="95"/>
      <c r="P40" s="9">
        <f t="shared" si="4"/>
        <v>0</v>
      </c>
      <c r="Q40" s="9">
        <f>+O40+Q39</f>
        <v>0</v>
      </c>
      <c r="R40" s="9">
        <f t="shared" si="5"/>
        <v>0</v>
      </c>
      <c r="S40" s="9">
        <f t="shared" si="33"/>
        <v>6000</v>
      </c>
      <c r="T40" s="9">
        <f t="shared" si="6"/>
        <v>15.708306384861045</v>
      </c>
      <c r="U40" s="9">
        <f>S40+U39</f>
        <v>147899.08124999999</v>
      </c>
      <c r="V40" s="9">
        <f t="shared" si="7"/>
        <v>15.255351315420498</v>
      </c>
      <c r="W40" s="95"/>
      <c r="X40" s="9"/>
      <c r="Y40" s="9"/>
      <c r="Z40" s="9"/>
      <c r="AA40" s="95"/>
      <c r="AB40" s="9">
        <f t="shared" si="8"/>
        <v>0</v>
      </c>
      <c r="AC40" s="9">
        <f>AA40+AC39</f>
        <v>0</v>
      </c>
      <c r="AD40" s="9">
        <f t="shared" si="9"/>
        <v>0</v>
      </c>
      <c r="AE40" s="95"/>
      <c r="AF40" s="9">
        <f t="shared" si="10"/>
        <v>0</v>
      </c>
      <c r="AG40" s="9">
        <f>AE40+AG39</f>
        <v>0</v>
      </c>
      <c r="AH40" s="9">
        <f t="shared" si="11"/>
        <v>0</v>
      </c>
      <c r="AI40" s="95"/>
      <c r="AJ40" s="9">
        <f t="shared" si="12"/>
        <v>0</v>
      </c>
      <c r="AK40" s="9">
        <f>AI40+AK39</f>
        <v>0</v>
      </c>
      <c r="AL40" s="9">
        <f t="shared" si="13"/>
        <v>0</v>
      </c>
      <c r="AM40" s="9">
        <f t="shared" si="38"/>
        <v>0</v>
      </c>
      <c r="AN40" s="9">
        <f>AM40/BK40*100</f>
        <v>0</v>
      </c>
      <c r="AO40" s="9">
        <f>AM40+AO39</f>
        <v>0</v>
      </c>
      <c r="AP40" s="9">
        <f>AO40/BL40*100</f>
        <v>0</v>
      </c>
      <c r="AQ40" s="95">
        <f>128*AQ7</f>
        <v>32196.351999999999</v>
      </c>
      <c r="AR40" s="9">
        <f>+AQ40/BK40*100</f>
        <v>84.291693615138954</v>
      </c>
      <c r="AS40" s="9">
        <f>+AQ40+AS39</f>
        <v>599153.98800000001</v>
      </c>
      <c r="AT40" s="9">
        <f>+AS40/BL40*100</f>
        <v>61.800955771489882</v>
      </c>
      <c r="AU40" s="95"/>
      <c r="AV40" s="9">
        <f>AU40/BK40*100</f>
        <v>0</v>
      </c>
      <c r="AW40" s="9">
        <f>AU40+AW39</f>
        <v>216028.70800000004</v>
      </c>
      <c r="AX40" s="9">
        <f>AW40/BL40*100</f>
        <v>22.282720128502433</v>
      </c>
      <c r="AY40" s="95"/>
      <c r="AZ40" s="14">
        <f>AY40/BK40*100</f>
        <v>0</v>
      </c>
      <c r="BA40" s="9">
        <f>AY40+BA39</f>
        <v>6408.0639999999994</v>
      </c>
      <c r="BB40" s="9">
        <f>BA40/BL40*100</f>
        <v>0.66097278458718445</v>
      </c>
      <c r="BC40" s="9">
        <f>AQ40+AU40+AY40</f>
        <v>32196.351999999999</v>
      </c>
      <c r="BD40" s="9">
        <f>BC40/BK40*100</f>
        <v>84.291693615138954</v>
      </c>
      <c r="BE40" s="9">
        <f>BC40+BE39</f>
        <v>821590.75999999989</v>
      </c>
      <c r="BF40" s="9">
        <f>BE40/BL40*100</f>
        <v>84.744648684579488</v>
      </c>
      <c r="BG40" s="95"/>
      <c r="BH40" s="9">
        <f>BG40/BK40*100</f>
        <v>0</v>
      </c>
      <c r="BI40" s="9">
        <f>BG40+BI39</f>
        <v>0</v>
      </c>
      <c r="BJ40" s="9">
        <f>BI40/BL40*100</f>
        <v>0</v>
      </c>
      <c r="BK40" s="9">
        <f t="shared" si="26"/>
        <v>38196.351999999999</v>
      </c>
      <c r="BL40" s="9">
        <f>BK40+BL39</f>
        <v>969489.84125000006</v>
      </c>
      <c r="BM40" s="509">
        <f t="shared" si="27"/>
        <v>1.0616290613969259</v>
      </c>
      <c r="BN40" s="9">
        <f t="shared" si="28"/>
        <v>1.0697665481764123</v>
      </c>
    </row>
    <row r="41" spans="1:66">
      <c r="A41" s="15"/>
      <c r="B41" s="15"/>
      <c r="C41" s="15"/>
      <c r="D41" s="7"/>
      <c r="E41" s="6"/>
      <c r="F41" s="6"/>
      <c r="G41" s="95"/>
      <c r="H41" s="9"/>
      <c r="I41" s="7"/>
      <c r="J41" s="9"/>
      <c r="K41" s="95"/>
      <c r="L41" s="9"/>
      <c r="M41" s="9"/>
      <c r="N41" s="9"/>
      <c r="O41" s="95"/>
      <c r="P41" s="9"/>
      <c r="Q41" s="9"/>
      <c r="R41" s="9"/>
      <c r="S41" s="9"/>
      <c r="T41" s="9"/>
      <c r="U41" s="9"/>
      <c r="V41" s="9"/>
      <c r="W41" s="95"/>
      <c r="X41" s="9"/>
      <c r="Y41" s="9"/>
      <c r="Z41" s="9"/>
      <c r="AA41" s="95"/>
      <c r="AB41" s="9"/>
      <c r="AC41" s="9"/>
      <c r="AD41" s="9"/>
      <c r="AE41" s="95"/>
      <c r="AF41" s="9"/>
      <c r="AG41" s="9"/>
      <c r="AH41" s="9"/>
      <c r="AI41" s="95"/>
      <c r="AJ41" s="9"/>
      <c r="AK41" s="9"/>
      <c r="AL41" s="9"/>
      <c r="AM41" s="9"/>
      <c r="AN41" s="9"/>
      <c r="AO41" s="9"/>
      <c r="AP41" s="9"/>
      <c r="AQ41" s="95"/>
      <c r="AR41" s="9"/>
      <c r="AS41" s="9"/>
      <c r="AT41" s="9"/>
      <c r="AU41" s="95"/>
      <c r="AV41" s="9"/>
      <c r="AW41" s="9"/>
      <c r="AX41" s="9"/>
      <c r="AY41" s="95"/>
      <c r="AZ41" s="14"/>
      <c r="BA41" s="9"/>
      <c r="BB41" s="9"/>
      <c r="BC41" s="9"/>
      <c r="BD41" s="9"/>
      <c r="BE41" s="9"/>
      <c r="BF41" s="9"/>
      <c r="BG41" s="95"/>
      <c r="BH41" s="9"/>
      <c r="BI41" s="9"/>
      <c r="BJ41" s="9"/>
      <c r="BK41" s="9"/>
      <c r="BL41" s="9"/>
      <c r="BM41" s="9"/>
      <c r="BN41" s="9"/>
    </row>
    <row r="42" spans="1:66" ht="13.5" thickBot="1">
      <c r="A42" s="10" t="s">
        <v>28</v>
      </c>
      <c r="B42" s="10"/>
      <c r="C42" s="11"/>
      <c r="D42" s="11">
        <f>SUM(D10:D41)</f>
        <v>938.94899999999984</v>
      </c>
      <c r="E42" s="11">
        <f>SUM(E10:E41)</f>
        <v>906.26300000000015</v>
      </c>
      <c r="F42" s="11"/>
      <c r="G42" s="11">
        <f>SUM(G10:G41)</f>
        <v>48937.5</v>
      </c>
      <c r="H42" s="11">
        <f>G42/BK42*100</f>
        <v>5.0477578946988269</v>
      </c>
      <c r="I42" s="11"/>
      <c r="J42" s="11"/>
      <c r="K42" s="11">
        <f>SUM(K10:K41)</f>
        <v>98961.581250000003</v>
      </c>
      <c r="L42" s="11"/>
      <c r="M42" s="11"/>
      <c r="N42" s="11"/>
      <c r="O42" s="11"/>
      <c r="P42" s="11"/>
      <c r="Q42" s="11"/>
      <c r="R42" s="11"/>
      <c r="S42" s="11">
        <f>SUM(S10:S41)</f>
        <v>147899.08124999999</v>
      </c>
      <c r="T42" s="17">
        <f>S42/$BK$42*100</f>
        <v>15.255351315420498</v>
      </c>
      <c r="U42" s="11"/>
      <c r="V42" s="11"/>
      <c r="W42" s="11">
        <f>SUM(W10:W41)</f>
        <v>0</v>
      </c>
      <c r="X42" s="11" t="e">
        <f>W42/BG42*100</f>
        <v>#DIV/0!</v>
      </c>
      <c r="Y42" s="11"/>
      <c r="Z42" s="11"/>
      <c r="AA42" s="11">
        <f>SUM(AA10:AA41)</f>
        <v>0</v>
      </c>
      <c r="AB42" s="11">
        <f>AA42/$BK$42*100</f>
        <v>0</v>
      </c>
      <c r="AC42" s="11"/>
      <c r="AD42" s="11"/>
      <c r="AE42" s="11">
        <f>SUM(AE10:AE41)</f>
        <v>0</v>
      </c>
      <c r="AF42" s="11">
        <f>AE42/$BK$42*100</f>
        <v>0</v>
      </c>
      <c r="AG42" s="11"/>
      <c r="AH42" s="11"/>
      <c r="AI42" s="11">
        <f>SUM(AI10:AI41)</f>
        <v>0</v>
      </c>
      <c r="AJ42" s="11">
        <f>AI42/$BK$42*100</f>
        <v>0</v>
      </c>
      <c r="AK42" s="11"/>
      <c r="AL42" s="11"/>
      <c r="AM42" s="11">
        <f>SUM(AM10:AM41)</f>
        <v>0</v>
      </c>
      <c r="AN42" s="11"/>
      <c r="AO42" s="11"/>
      <c r="AP42" s="11"/>
      <c r="AQ42" s="11">
        <f>SUM(AQ10:AQ41)</f>
        <v>599153.98800000001</v>
      </c>
      <c r="AR42" s="11">
        <f>AQ42/$BK$42*100</f>
        <v>61.800955771489882</v>
      </c>
      <c r="AS42" s="11"/>
      <c r="AT42" s="11"/>
      <c r="AU42" s="11">
        <f>SUM(AU10:AU41)</f>
        <v>216028.70800000004</v>
      </c>
      <c r="AV42" s="11">
        <f>AU42/$BK$42*100</f>
        <v>22.282720128502433</v>
      </c>
      <c r="AW42" s="11"/>
      <c r="AX42" s="11"/>
      <c r="AY42" s="11">
        <f>SUM(AY10:AY41)</f>
        <v>6408.0639999999994</v>
      </c>
      <c r="AZ42" s="11">
        <f>AY42/$BK$42*100</f>
        <v>0.66097278458718445</v>
      </c>
      <c r="BA42" s="11"/>
      <c r="BB42" s="11"/>
      <c r="BC42" s="11">
        <f>SUM(BC10:BC41)</f>
        <v>821590.75999999989</v>
      </c>
      <c r="BD42" s="19">
        <f>BC42/$BK$42*100</f>
        <v>84.744648684579488</v>
      </c>
      <c r="BE42" s="11"/>
      <c r="BF42" s="11"/>
      <c r="BG42" s="11">
        <f>SUM(BG10:BG41)</f>
        <v>0</v>
      </c>
      <c r="BH42" s="11">
        <f>BG42/$BK$42*100</f>
        <v>0</v>
      </c>
      <c r="BI42" s="11"/>
      <c r="BJ42" s="11"/>
      <c r="BK42" s="11">
        <f>SUM(BK10:BK41)</f>
        <v>969489.84125000006</v>
      </c>
      <c r="BL42" s="11">
        <f>BK42/$BK$42*100</f>
        <v>100</v>
      </c>
      <c r="BM42" s="11">
        <f>BK42/1000/E42</f>
        <v>1.0697665481764123</v>
      </c>
      <c r="BN42" s="11"/>
    </row>
    <row r="43" spans="1:66" ht="13.5" thickTop="1"/>
    <row r="44" spans="1:66">
      <c r="W44" s="13"/>
      <c r="AA44" s="13"/>
      <c r="AE44" s="13"/>
      <c r="BD44" s="13"/>
      <c r="BG44" s="13"/>
      <c r="BH44" s="13"/>
    </row>
    <row r="45" spans="1:66">
      <c r="E45" s="13"/>
      <c r="F45" s="13"/>
      <c r="G45" s="13"/>
      <c r="I45" s="13"/>
      <c r="AA45" s="13"/>
      <c r="AE45" s="13"/>
      <c r="BG45" s="13"/>
    </row>
  </sheetData>
  <mergeCells count="11">
    <mergeCell ref="G8:J8"/>
    <mergeCell ref="BM8:BN8"/>
    <mergeCell ref="AU8:AX8"/>
    <mergeCell ref="AQ8:AT8"/>
    <mergeCell ref="K8:N8"/>
    <mergeCell ref="S8:V8"/>
    <mergeCell ref="AM8:AP8"/>
    <mergeCell ref="BC8:BF8"/>
    <mergeCell ref="BK8:BL8"/>
    <mergeCell ref="AY8:BB8"/>
    <mergeCell ref="O8:R8"/>
  </mergeCells>
  <phoneticPr fontId="32" type="noConversion"/>
  <pageMargins left="0.19513888888888889" right="0.19513888888888889" top="0.05" bottom="0.05" header="0" footer="0"/>
  <pageSetup paperSize="9" scale="70" firstPageNumber="4294963191"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6"/>
  <sheetViews>
    <sheetView topLeftCell="A139" workbookViewId="0">
      <selection activeCell="D170" sqref="D170"/>
    </sheetView>
  </sheetViews>
  <sheetFormatPr defaultRowHeight="12.75"/>
  <cols>
    <col min="2" max="2" width="10.85546875" style="468" bestFit="1" customWidth="1"/>
    <col min="3" max="3" width="11.85546875" style="3" customWidth="1"/>
    <col min="4" max="4" width="38.28515625" customWidth="1"/>
    <col min="5" max="6" width="23.140625" bestFit="1" customWidth="1"/>
    <col min="8" max="8" width="30.7109375" bestFit="1" customWidth="1"/>
    <col min="10" max="10" width="12" customWidth="1"/>
    <col min="13" max="13" width="10.85546875" style="468" bestFit="1" customWidth="1"/>
    <col min="14" max="14" width="11.85546875" style="3" customWidth="1"/>
    <col min="15" max="15" width="38.28515625" customWidth="1"/>
    <col min="16" max="17" width="23.140625" bestFit="1" customWidth="1"/>
    <col min="19" max="19" width="30.7109375" bestFit="1" customWidth="1"/>
    <col min="21" max="21" width="12" customWidth="1"/>
  </cols>
  <sheetData>
    <row r="1" spans="1:21" ht="30">
      <c r="A1" s="420" t="s">
        <v>185</v>
      </c>
      <c r="B1" s="461" t="s">
        <v>8</v>
      </c>
      <c r="C1" s="462" t="s">
        <v>255</v>
      </c>
      <c r="D1" s="463" t="s">
        <v>127</v>
      </c>
      <c r="E1" s="463" t="s">
        <v>256</v>
      </c>
      <c r="F1" s="463" t="s">
        <v>257</v>
      </c>
      <c r="H1" s="460" t="s">
        <v>258</v>
      </c>
      <c r="I1" s="453" t="s">
        <v>259</v>
      </c>
      <c r="J1" s="453" t="s">
        <v>260</v>
      </c>
      <c r="L1" s="420" t="s">
        <v>371</v>
      </c>
      <c r="M1" s="461" t="s">
        <v>8</v>
      </c>
      <c r="N1" s="462" t="s">
        <v>255</v>
      </c>
      <c r="O1" s="463" t="s">
        <v>127</v>
      </c>
      <c r="P1" s="463" t="s">
        <v>256</v>
      </c>
      <c r="Q1" s="463" t="s">
        <v>257</v>
      </c>
      <c r="S1" s="531" t="s">
        <v>258</v>
      </c>
      <c r="T1" s="453" t="s">
        <v>259</v>
      </c>
      <c r="U1" s="453" t="s">
        <v>260</v>
      </c>
    </row>
    <row r="2" spans="1:21">
      <c r="B2" s="327">
        <v>46082</v>
      </c>
      <c r="C2" s="3">
        <v>25</v>
      </c>
      <c r="D2" s="467" t="s">
        <v>415</v>
      </c>
      <c r="E2" t="s">
        <v>246</v>
      </c>
      <c r="F2" t="s">
        <v>243</v>
      </c>
      <c r="H2" s="5" t="s">
        <v>147</v>
      </c>
      <c r="I2" s="305">
        <f>+Efficiency1!Z160</f>
        <v>1.1160000000000001</v>
      </c>
      <c r="J2" s="455">
        <f t="shared" ref="J2:J3" si="0">I2/$I$8</f>
        <v>7.9092086021303987E-4</v>
      </c>
      <c r="M2" s="327">
        <v>46082</v>
      </c>
      <c r="N2" s="3">
        <v>25</v>
      </c>
      <c r="O2" s="467" t="s">
        <v>415</v>
      </c>
      <c r="P2" t="s">
        <v>246</v>
      </c>
      <c r="Q2" t="s">
        <v>243</v>
      </c>
      <c r="S2" s="5" t="s">
        <v>147</v>
      </c>
      <c r="T2" s="305">
        <f>+Efficiency2!Z160</f>
        <v>1.1160000000000001</v>
      </c>
      <c r="U2" s="455">
        <f>T2/$T$8</f>
        <v>1.0359340846965233E-3</v>
      </c>
    </row>
    <row r="3" spans="1:21">
      <c r="B3" s="327"/>
      <c r="C3" s="3">
        <v>3</v>
      </c>
      <c r="D3" s="467" t="s">
        <v>414</v>
      </c>
      <c r="E3" t="s">
        <v>244</v>
      </c>
      <c r="F3" t="s">
        <v>243</v>
      </c>
      <c r="H3" s="5" t="s">
        <v>237</v>
      </c>
      <c r="I3" s="305">
        <f>+Efficiency1!Y160+Efficiency1!AA160</f>
        <v>50.744508212749473</v>
      </c>
      <c r="J3" s="455">
        <f t="shared" si="0"/>
        <v>3.5963163160139318E-2</v>
      </c>
      <c r="M3" s="327"/>
      <c r="N3" s="3">
        <v>3</v>
      </c>
      <c r="O3" s="467" t="s">
        <v>414</v>
      </c>
      <c r="P3" t="s">
        <v>244</v>
      </c>
      <c r="Q3" t="s">
        <v>243</v>
      </c>
      <c r="S3" s="5" t="s">
        <v>237</v>
      </c>
      <c r="T3" s="305">
        <f>+Efficiency2!AA160+Efficiency2!Y160</f>
        <v>50.744508212749473</v>
      </c>
      <c r="U3" s="455">
        <f t="shared" ref="U3:U5" si="1">T3/$T$8</f>
        <v>4.7103911889560778E-2</v>
      </c>
    </row>
    <row r="4" spans="1:21">
      <c r="B4" s="39"/>
      <c r="C4" s="3">
        <v>57</v>
      </c>
      <c r="D4" s="467" t="s">
        <v>387</v>
      </c>
      <c r="E4" t="s">
        <v>245</v>
      </c>
      <c r="F4" t="s">
        <v>243</v>
      </c>
      <c r="H4" s="5" t="s">
        <v>261</v>
      </c>
      <c r="I4" s="305">
        <f>+Efficiency1!AB160</f>
        <v>-4.1897740454489831</v>
      </c>
      <c r="J4" s="455">
        <f>I4/$I$8</f>
        <v>-2.9693366416888686E-3</v>
      </c>
      <c r="M4" s="39"/>
      <c r="N4" s="3">
        <v>57</v>
      </c>
      <c r="O4" s="467" t="s">
        <v>387</v>
      </c>
      <c r="P4" t="s">
        <v>245</v>
      </c>
      <c r="Q4" t="s">
        <v>243</v>
      </c>
      <c r="S4" s="5" t="s">
        <v>261</v>
      </c>
      <c r="T4" s="305">
        <f>+Efficiency2!AB160</f>
        <v>-3.0782852383886086</v>
      </c>
      <c r="U4" s="455">
        <f t="shared" si="1"/>
        <v>-2.8574378143950913E-3</v>
      </c>
    </row>
    <row r="5" spans="1:21" ht="15" customHeight="1">
      <c r="B5" s="39"/>
      <c r="C5" s="3">
        <v>0</v>
      </c>
      <c r="D5" s="467" t="s">
        <v>377</v>
      </c>
      <c r="E5" t="s">
        <v>13</v>
      </c>
      <c r="F5" t="s">
        <v>243</v>
      </c>
      <c r="H5" s="5" t="s">
        <v>240</v>
      </c>
      <c r="I5" s="305">
        <f>+Efficiency1!AC160</f>
        <v>40.838286871314082</v>
      </c>
      <c r="J5" s="455">
        <f>I5/$I$8</f>
        <v>2.8942520593088373E-2</v>
      </c>
      <c r="M5" s="39"/>
      <c r="N5" s="3">
        <v>0</v>
      </c>
      <c r="O5" s="467" t="s">
        <v>377</v>
      </c>
      <c r="P5" t="s">
        <v>13</v>
      </c>
      <c r="Q5" t="s">
        <v>243</v>
      </c>
      <c r="S5" s="5" t="s">
        <v>240</v>
      </c>
      <c r="T5" s="305">
        <f>+Efficiency2!AC160</f>
        <v>39.7267980642537</v>
      </c>
      <c r="U5" s="455">
        <f t="shared" si="1"/>
        <v>3.6876652500552207E-2</v>
      </c>
    </row>
    <row r="6" spans="1:21" ht="15" customHeight="1">
      <c r="B6" s="327"/>
      <c r="D6" s="467"/>
      <c r="M6" s="327"/>
      <c r="O6" s="467"/>
    </row>
    <row r="7" spans="1:21" ht="12.75" customHeight="1">
      <c r="B7" s="327">
        <v>46083</v>
      </c>
      <c r="C7" s="3">
        <v>18</v>
      </c>
      <c r="D7" t="s">
        <v>435</v>
      </c>
      <c r="E7" t="s">
        <v>246</v>
      </c>
      <c r="F7" t="s">
        <v>243</v>
      </c>
      <c r="I7" s="464"/>
      <c r="J7" s="465"/>
      <c r="M7" s="327">
        <v>46083</v>
      </c>
      <c r="N7" s="3">
        <v>18</v>
      </c>
      <c r="O7" t="s">
        <v>435</v>
      </c>
      <c r="P7" t="s">
        <v>246</v>
      </c>
      <c r="Q7" t="s">
        <v>243</v>
      </c>
      <c r="T7" s="464"/>
      <c r="U7" s="465"/>
    </row>
    <row r="8" spans="1:21" ht="12.75" customHeight="1">
      <c r="B8" s="327"/>
      <c r="C8" s="3">
        <v>2</v>
      </c>
      <c r="D8" t="s">
        <v>414</v>
      </c>
      <c r="E8" t="s">
        <v>244</v>
      </c>
      <c r="F8" t="s">
        <v>243</v>
      </c>
      <c r="H8" s="466" t="s">
        <v>262</v>
      </c>
      <c r="I8" s="6">
        <f>+Efficiency1!K160</f>
        <v>1411.0134858491379</v>
      </c>
      <c r="M8" s="327"/>
      <c r="N8" s="3">
        <v>2</v>
      </c>
      <c r="O8" t="s">
        <v>414</v>
      </c>
      <c r="P8" t="s">
        <v>244</v>
      </c>
      <c r="Q8" t="s">
        <v>243</v>
      </c>
      <c r="S8" s="466" t="s">
        <v>262</v>
      </c>
      <c r="T8" s="6">
        <f>+Efficiency2!K160</f>
        <v>1077.2886195041378</v>
      </c>
    </row>
    <row r="9" spans="1:21" ht="12.75" customHeight="1">
      <c r="B9" s="327"/>
      <c r="C9" s="3">
        <v>50</v>
      </c>
      <c r="D9" t="s">
        <v>436</v>
      </c>
      <c r="E9" t="s">
        <v>245</v>
      </c>
      <c r="F9" t="s">
        <v>243</v>
      </c>
      <c r="H9" s="466" t="s">
        <v>263</v>
      </c>
      <c r="I9" s="6">
        <f>+Efficiency1!AD160</f>
        <v>13433</v>
      </c>
      <c r="M9" s="327"/>
      <c r="N9" s="3">
        <v>50</v>
      </c>
      <c r="O9" t="s">
        <v>436</v>
      </c>
      <c r="P9" t="s">
        <v>245</v>
      </c>
      <c r="Q9" t="s">
        <v>243</v>
      </c>
      <c r="S9" s="466" t="s">
        <v>263</v>
      </c>
      <c r="T9" s="6">
        <f>+Efficiency2!AD160</f>
        <v>2617</v>
      </c>
    </row>
    <row r="10" spans="1:21" ht="15" customHeight="1">
      <c r="B10" s="327"/>
      <c r="C10" s="3">
        <v>0</v>
      </c>
      <c r="D10" t="s">
        <v>377</v>
      </c>
      <c r="E10" t="s">
        <v>13</v>
      </c>
      <c r="F10" t="s">
        <v>243</v>
      </c>
      <c r="H10" s="466" t="s">
        <v>264</v>
      </c>
      <c r="I10" s="6">
        <f>+Efficiency1!V160</f>
        <v>416.24146481052304</v>
      </c>
      <c r="M10" s="327"/>
      <c r="N10" s="3">
        <v>0</v>
      </c>
      <c r="O10" t="s">
        <v>377</v>
      </c>
      <c r="P10" t="s">
        <v>13</v>
      </c>
      <c r="Q10" t="s">
        <v>243</v>
      </c>
      <c r="S10" s="466" t="s">
        <v>264</v>
      </c>
      <c r="T10" s="6">
        <f>+Efficiency2!V160</f>
        <v>82.516598465523018</v>
      </c>
    </row>
    <row r="11" spans="1:21" ht="12.75" customHeight="1">
      <c r="B11" s="327"/>
      <c r="H11" s="466" t="s">
        <v>265</v>
      </c>
      <c r="I11" s="458">
        <f>I10/I8</f>
        <v>0.29499467509343602</v>
      </c>
      <c r="M11" s="327"/>
      <c r="S11" s="466" t="s">
        <v>265</v>
      </c>
      <c r="T11" s="458">
        <f>T10/T8</f>
        <v>7.6596556365279664E-2</v>
      </c>
    </row>
    <row r="12" spans="1:21" ht="11.25" customHeight="1">
      <c r="B12" s="327">
        <v>46084</v>
      </c>
      <c r="C12" s="3">
        <v>21</v>
      </c>
      <c r="D12" t="s">
        <v>435</v>
      </c>
      <c r="E12" t="s">
        <v>246</v>
      </c>
      <c r="F12" t="s">
        <v>243</v>
      </c>
      <c r="M12" s="327">
        <v>46084</v>
      </c>
      <c r="N12" s="3">
        <v>21</v>
      </c>
      <c r="O12" t="s">
        <v>435</v>
      </c>
      <c r="P12" t="s">
        <v>246</v>
      </c>
      <c r="Q12" t="s">
        <v>243</v>
      </c>
    </row>
    <row r="13" spans="1:21">
      <c r="B13" s="327"/>
      <c r="C13" s="3">
        <v>6</v>
      </c>
      <c r="D13" t="s">
        <v>414</v>
      </c>
      <c r="E13" t="s">
        <v>244</v>
      </c>
      <c r="F13" t="s">
        <v>243</v>
      </c>
      <c r="M13" s="327"/>
      <c r="N13" s="3">
        <v>6</v>
      </c>
      <c r="O13" t="s">
        <v>414</v>
      </c>
      <c r="P13" t="s">
        <v>244</v>
      </c>
      <c r="Q13" t="s">
        <v>243</v>
      </c>
    </row>
    <row r="14" spans="1:21" ht="15" customHeight="1">
      <c r="B14" s="327"/>
      <c r="C14" s="3">
        <v>49</v>
      </c>
      <c r="D14" t="s">
        <v>456</v>
      </c>
      <c r="E14" t="s">
        <v>245</v>
      </c>
      <c r="F14" t="s">
        <v>243</v>
      </c>
      <c r="M14" s="327"/>
      <c r="N14" s="3">
        <v>49</v>
      </c>
      <c r="O14" t="s">
        <v>456</v>
      </c>
      <c r="P14" t="s">
        <v>245</v>
      </c>
      <c r="Q14" t="s">
        <v>243</v>
      </c>
    </row>
    <row r="15" spans="1:21" ht="15" customHeight="1">
      <c r="B15" s="327"/>
      <c r="C15" s="3">
        <v>0</v>
      </c>
      <c r="D15" t="s">
        <v>377</v>
      </c>
      <c r="E15" t="s">
        <v>13</v>
      </c>
      <c r="F15" t="s">
        <v>243</v>
      </c>
      <c r="G15" s="510">
        <f>+summary!H43</f>
        <v>0.99999999999999989</v>
      </c>
      <c r="M15" s="327"/>
      <c r="N15" s="3">
        <v>0</v>
      </c>
      <c r="O15" t="s">
        <v>377</v>
      </c>
      <c r="P15" t="s">
        <v>13</v>
      </c>
      <c r="Q15" t="s">
        <v>243</v>
      </c>
      <c r="R15" s="510">
        <f>+summary!Q43</f>
        <v>0.99999999999999978</v>
      </c>
    </row>
    <row r="16" spans="1:21">
      <c r="B16" s="327"/>
      <c r="M16" s="327"/>
    </row>
    <row r="17" spans="2:17">
      <c r="B17" s="327">
        <v>46085</v>
      </c>
      <c r="C17" s="3">
        <v>23</v>
      </c>
      <c r="D17" t="s">
        <v>468</v>
      </c>
      <c r="E17" t="s">
        <v>246</v>
      </c>
      <c r="F17" t="s">
        <v>243</v>
      </c>
      <c r="M17" s="327">
        <v>46085</v>
      </c>
      <c r="N17" s="3">
        <v>23</v>
      </c>
      <c r="O17" t="s">
        <v>468</v>
      </c>
      <c r="P17" t="s">
        <v>246</v>
      </c>
      <c r="Q17" t="s">
        <v>243</v>
      </c>
    </row>
    <row r="18" spans="2:17">
      <c r="B18" s="327"/>
      <c r="C18" s="3">
        <v>0</v>
      </c>
      <c r="D18" t="s">
        <v>283</v>
      </c>
      <c r="E18" t="s">
        <v>244</v>
      </c>
      <c r="F18" t="s">
        <v>243</v>
      </c>
      <c r="M18" s="327"/>
      <c r="N18" s="3">
        <v>0</v>
      </c>
      <c r="O18" t="s">
        <v>283</v>
      </c>
      <c r="P18" t="s">
        <v>244</v>
      </c>
      <c r="Q18" t="s">
        <v>243</v>
      </c>
    </row>
    <row r="19" spans="2:17">
      <c r="B19" s="327"/>
      <c r="C19" s="3">
        <v>63</v>
      </c>
      <c r="D19" t="s">
        <v>436</v>
      </c>
      <c r="E19" t="s">
        <v>245</v>
      </c>
      <c r="F19" t="s">
        <v>243</v>
      </c>
      <c r="M19" s="327"/>
      <c r="N19" s="3">
        <v>63</v>
      </c>
      <c r="O19" t="s">
        <v>436</v>
      </c>
      <c r="P19" t="s">
        <v>245</v>
      </c>
      <c r="Q19" t="s">
        <v>243</v>
      </c>
    </row>
    <row r="20" spans="2:17">
      <c r="B20" s="327"/>
      <c r="C20" s="3">
        <v>0</v>
      </c>
      <c r="D20" t="s">
        <v>377</v>
      </c>
      <c r="E20" t="s">
        <v>13</v>
      </c>
      <c r="F20" t="s">
        <v>243</v>
      </c>
      <c r="M20" s="327"/>
      <c r="N20" s="3">
        <v>0</v>
      </c>
      <c r="O20" t="s">
        <v>377</v>
      </c>
      <c r="P20" t="s">
        <v>13</v>
      </c>
      <c r="Q20" t="s">
        <v>243</v>
      </c>
    </row>
    <row r="21" spans="2:17">
      <c r="B21" s="327"/>
      <c r="M21" s="327"/>
    </row>
    <row r="22" spans="2:17">
      <c r="B22" s="327">
        <v>46086</v>
      </c>
      <c r="C22" s="3">
        <v>17</v>
      </c>
      <c r="D22" t="s">
        <v>435</v>
      </c>
      <c r="E22" t="s">
        <v>246</v>
      </c>
      <c r="F22" t="s">
        <v>243</v>
      </c>
      <c r="M22" s="327">
        <v>46086</v>
      </c>
      <c r="N22" s="3">
        <v>17</v>
      </c>
      <c r="O22" t="s">
        <v>435</v>
      </c>
      <c r="P22" t="s">
        <v>246</v>
      </c>
      <c r="Q22" t="s">
        <v>243</v>
      </c>
    </row>
    <row r="23" spans="2:17">
      <c r="B23" s="327"/>
      <c r="C23" s="3">
        <v>0</v>
      </c>
      <c r="D23" t="s">
        <v>283</v>
      </c>
      <c r="E23" t="s">
        <v>244</v>
      </c>
      <c r="F23" t="s">
        <v>243</v>
      </c>
      <c r="M23" s="327"/>
      <c r="N23" s="3">
        <v>0</v>
      </c>
      <c r="O23" t="s">
        <v>283</v>
      </c>
      <c r="P23" t="s">
        <v>244</v>
      </c>
      <c r="Q23" t="s">
        <v>243</v>
      </c>
    </row>
    <row r="24" spans="2:17">
      <c r="B24" s="327"/>
      <c r="C24" s="3">
        <v>57</v>
      </c>
      <c r="D24" t="s">
        <v>456</v>
      </c>
      <c r="E24" t="s">
        <v>245</v>
      </c>
      <c r="F24" t="s">
        <v>243</v>
      </c>
      <c r="M24" s="327"/>
      <c r="N24" s="3">
        <v>57</v>
      </c>
      <c r="O24" t="s">
        <v>456</v>
      </c>
      <c r="P24" t="s">
        <v>245</v>
      </c>
      <c r="Q24" t="s">
        <v>243</v>
      </c>
    </row>
    <row r="25" spans="2:17">
      <c r="B25" s="327"/>
      <c r="C25" s="3">
        <v>0</v>
      </c>
      <c r="D25" t="s">
        <v>377</v>
      </c>
      <c r="E25" t="s">
        <v>13</v>
      </c>
      <c r="F25" t="s">
        <v>243</v>
      </c>
      <c r="M25" s="327"/>
      <c r="N25" s="3">
        <v>0</v>
      </c>
      <c r="O25" t="s">
        <v>377</v>
      </c>
      <c r="P25" t="s">
        <v>13</v>
      </c>
      <c r="Q25" t="s">
        <v>243</v>
      </c>
    </row>
    <row r="26" spans="2:17">
      <c r="B26" s="327"/>
      <c r="M26" s="327"/>
    </row>
    <row r="27" spans="2:17">
      <c r="B27" s="327">
        <v>46087</v>
      </c>
      <c r="C27" s="3">
        <v>15</v>
      </c>
      <c r="D27" t="s">
        <v>497</v>
      </c>
      <c r="E27" t="s">
        <v>246</v>
      </c>
      <c r="F27" t="s">
        <v>243</v>
      </c>
      <c r="M27" s="327">
        <v>46087</v>
      </c>
      <c r="N27" s="3">
        <v>15</v>
      </c>
      <c r="O27" t="s">
        <v>497</v>
      </c>
      <c r="P27" t="s">
        <v>246</v>
      </c>
      <c r="Q27" t="s">
        <v>243</v>
      </c>
    </row>
    <row r="28" spans="2:17">
      <c r="B28" s="327"/>
      <c r="C28" s="3">
        <v>0</v>
      </c>
      <c r="D28" t="s">
        <v>283</v>
      </c>
      <c r="E28" t="s">
        <v>244</v>
      </c>
      <c r="F28" t="s">
        <v>243</v>
      </c>
      <c r="M28" s="327"/>
      <c r="N28" s="3">
        <v>0</v>
      </c>
      <c r="O28" t="s">
        <v>283</v>
      </c>
      <c r="P28" t="s">
        <v>244</v>
      </c>
      <c r="Q28" t="s">
        <v>243</v>
      </c>
    </row>
    <row r="29" spans="2:17">
      <c r="B29" s="327"/>
      <c r="C29" s="3">
        <v>30</v>
      </c>
      <c r="D29" t="s">
        <v>498</v>
      </c>
      <c r="E29" t="s">
        <v>245</v>
      </c>
      <c r="F29" t="s">
        <v>243</v>
      </c>
      <c r="M29" s="327"/>
      <c r="N29" s="3">
        <v>30</v>
      </c>
      <c r="O29" t="s">
        <v>498</v>
      </c>
      <c r="P29" t="s">
        <v>245</v>
      </c>
      <c r="Q29" t="s">
        <v>243</v>
      </c>
    </row>
    <row r="30" spans="2:17">
      <c r="B30" s="327"/>
      <c r="C30" s="3">
        <v>0</v>
      </c>
      <c r="D30" t="s">
        <v>377</v>
      </c>
      <c r="E30" t="s">
        <v>13</v>
      </c>
      <c r="F30" t="s">
        <v>243</v>
      </c>
      <c r="M30" s="327"/>
      <c r="N30" s="3">
        <v>0</v>
      </c>
      <c r="O30" t="s">
        <v>377</v>
      </c>
      <c r="P30" t="s">
        <v>13</v>
      </c>
      <c r="Q30" t="s">
        <v>243</v>
      </c>
    </row>
    <row r="31" spans="2:17">
      <c r="B31" s="327"/>
      <c r="C31" s="3">
        <v>540</v>
      </c>
      <c r="D31" t="s">
        <v>499</v>
      </c>
      <c r="E31" t="s">
        <v>759</v>
      </c>
      <c r="F31" t="s">
        <v>306</v>
      </c>
      <c r="M31" s="327"/>
      <c r="N31" s="3">
        <v>223</v>
      </c>
      <c r="O31" t="s">
        <v>499</v>
      </c>
      <c r="P31" t="s">
        <v>759</v>
      </c>
      <c r="Q31" t="s">
        <v>306</v>
      </c>
    </row>
    <row r="32" spans="2:17">
      <c r="B32" s="327"/>
      <c r="M32" s="327"/>
    </row>
    <row r="33" spans="2:17">
      <c r="B33" s="327">
        <v>46088</v>
      </c>
      <c r="C33" s="3">
        <v>0</v>
      </c>
      <c r="D33" t="s">
        <v>384</v>
      </c>
      <c r="E33" t="s">
        <v>246</v>
      </c>
      <c r="F33" t="s">
        <v>243</v>
      </c>
      <c r="M33" s="327">
        <v>46088</v>
      </c>
      <c r="N33" s="3">
        <v>0</v>
      </c>
      <c r="O33" t="s">
        <v>384</v>
      </c>
      <c r="P33" t="s">
        <v>246</v>
      </c>
      <c r="Q33" t="s">
        <v>243</v>
      </c>
    </row>
    <row r="34" spans="2:17">
      <c r="B34" s="327"/>
      <c r="C34" s="3">
        <v>15</v>
      </c>
      <c r="D34" t="s">
        <v>552</v>
      </c>
      <c r="E34" t="s">
        <v>244</v>
      </c>
      <c r="F34" t="s">
        <v>243</v>
      </c>
      <c r="M34" s="327"/>
      <c r="N34" s="3">
        <v>15</v>
      </c>
      <c r="O34" t="s">
        <v>552</v>
      </c>
      <c r="P34" t="s">
        <v>244</v>
      </c>
      <c r="Q34" t="s">
        <v>243</v>
      </c>
    </row>
    <row r="35" spans="2:17">
      <c r="B35" s="327"/>
      <c r="C35" s="3">
        <v>20</v>
      </c>
      <c r="D35" t="s">
        <v>498</v>
      </c>
      <c r="E35" t="s">
        <v>245</v>
      </c>
      <c r="F35" t="s">
        <v>243</v>
      </c>
      <c r="M35" s="327"/>
      <c r="N35" s="3">
        <v>20</v>
      </c>
      <c r="O35" t="s">
        <v>498</v>
      </c>
      <c r="P35" t="s">
        <v>245</v>
      </c>
      <c r="Q35" t="s">
        <v>243</v>
      </c>
    </row>
    <row r="36" spans="2:17">
      <c r="B36" s="327"/>
      <c r="C36" s="3">
        <v>408</v>
      </c>
      <c r="D36" t="s">
        <v>557</v>
      </c>
      <c r="E36" t="s">
        <v>759</v>
      </c>
      <c r="F36" t="s">
        <v>306</v>
      </c>
      <c r="M36" s="327"/>
      <c r="N36" s="3">
        <v>0</v>
      </c>
      <c r="O36" t="s">
        <v>557</v>
      </c>
      <c r="P36" t="s">
        <v>759</v>
      </c>
      <c r="Q36" t="s">
        <v>306</v>
      </c>
    </row>
    <row r="37" spans="2:17">
      <c r="B37" s="327"/>
      <c r="C37" s="3">
        <v>113</v>
      </c>
      <c r="D37" t="s">
        <v>558</v>
      </c>
      <c r="E37" t="s">
        <v>760</v>
      </c>
      <c r="F37" t="s">
        <v>248</v>
      </c>
      <c r="M37" s="327"/>
      <c r="N37" s="3">
        <v>113</v>
      </c>
      <c r="O37" t="s">
        <v>558</v>
      </c>
      <c r="P37" t="s">
        <v>760</v>
      </c>
      <c r="Q37" t="s">
        <v>248</v>
      </c>
    </row>
    <row r="38" spans="2:17">
      <c r="B38" s="327"/>
      <c r="C38" s="3">
        <v>105</v>
      </c>
      <c r="D38" t="s">
        <v>559</v>
      </c>
      <c r="E38" t="s">
        <v>761</v>
      </c>
      <c r="F38" t="s">
        <v>241</v>
      </c>
      <c r="M38" s="327"/>
      <c r="N38" s="3">
        <v>105</v>
      </c>
      <c r="O38" t="s">
        <v>559</v>
      </c>
      <c r="P38" t="s">
        <v>761</v>
      </c>
      <c r="Q38" t="s">
        <v>241</v>
      </c>
    </row>
    <row r="39" spans="2:17">
      <c r="B39" s="327"/>
      <c r="C39" s="3">
        <v>18</v>
      </c>
      <c r="D39" t="s">
        <v>564</v>
      </c>
      <c r="E39" t="s">
        <v>762</v>
      </c>
      <c r="F39" t="s">
        <v>250</v>
      </c>
      <c r="M39" s="327"/>
      <c r="N39" s="3">
        <v>18</v>
      </c>
      <c r="O39" t="s">
        <v>564</v>
      </c>
      <c r="P39" t="s">
        <v>762</v>
      </c>
      <c r="Q39" t="s">
        <v>250</v>
      </c>
    </row>
    <row r="40" spans="2:17">
      <c r="B40" s="327"/>
      <c r="M40" s="327"/>
    </row>
    <row r="41" spans="2:17">
      <c r="B41" s="327">
        <v>46089</v>
      </c>
      <c r="C41" s="3">
        <v>12</v>
      </c>
      <c r="D41" t="s">
        <v>435</v>
      </c>
      <c r="E41" t="s">
        <v>246</v>
      </c>
      <c r="F41" t="s">
        <v>243</v>
      </c>
      <c r="M41" s="327">
        <v>46089</v>
      </c>
      <c r="N41" s="3">
        <v>12</v>
      </c>
      <c r="O41" t="s">
        <v>435</v>
      </c>
      <c r="P41" t="s">
        <v>246</v>
      </c>
      <c r="Q41" t="s">
        <v>243</v>
      </c>
    </row>
    <row r="42" spans="2:17">
      <c r="B42" s="327"/>
      <c r="C42" s="3">
        <v>8</v>
      </c>
      <c r="D42" t="s">
        <v>541</v>
      </c>
      <c r="E42" t="s">
        <v>244</v>
      </c>
      <c r="F42" t="s">
        <v>243</v>
      </c>
      <c r="M42" s="327"/>
      <c r="N42" s="3">
        <v>8</v>
      </c>
      <c r="O42" t="s">
        <v>541</v>
      </c>
      <c r="P42" t="s">
        <v>244</v>
      </c>
      <c r="Q42" t="s">
        <v>243</v>
      </c>
    </row>
    <row r="43" spans="2:17">
      <c r="B43" s="327"/>
      <c r="C43" s="3">
        <v>47</v>
      </c>
      <c r="D43" t="s">
        <v>553</v>
      </c>
      <c r="E43" t="s">
        <v>245</v>
      </c>
      <c r="F43" t="s">
        <v>243</v>
      </c>
      <c r="M43" s="327"/>
      <c r="N43" s="3">
        <v>47</v>
      </c>
      <c r="O43" t="s">
        <v>553</v>
      </c>
      <c r="P43" t="s">
        <v>245</v>
      </c>
      <c r="Q43" t="s">
        <v>243</v>
      </c>
    </row>
    <row r="44" spans="2:17">
      <c r="B44" s="327"/>
      <c r="C44" s="3">
        <v>32</v>
      </c>
      <c r="D44" t="s">
        <v>560</v>
      </c>
      <c r="E44" t="s">
        <v>760</v>
      </c>
      <c r="F44" t="s">
        <v>248</v>
      </c>
      <c r="M44" s="327"/>
      <c r="N44" s="3">
        <v>32</v>
      </c>
      <c r="O44" t="s">
        <v>560</v>
      </c>
      <c r="P44" t="s">
        <v>760</v>
      </c>
      <c r="Q44" t="s">
        <v>248</v>
      </c>
    </row>
    <row r="45" spans="2:17">
      <c r="B45" s="327"/>
      <c r="C45" s="3">
        <v>76</v>
      </c>
      <c r="D45" t="s">
        <v>566</v>
      </c>
      <c r="E45" t="s">
        <v>763</v>
      </c>
      <c r="F45" t="s">
        <v>250</v>
      </c>
      <c r="M45" s="327"/>
      <c r="N45" s="3">
        <v>76</v>
      </c>
      <c r="O45" t="s">
        <v>566</v>
      </c>
      <c r="P45" t="s">
        <v>763</v>
      </c>
      <c r="Q45" t="s">
        <v>250</v>
      </c>
    </row>
    <row r="46" spans="2:17">
      <c r="B46" s="327"/>
      <c r="C46" s="3">
        <v>23</v>
      </c>
      <c r="D46" t="s">
        <v>565</v>
      </c>
      <c r="E46" t="s">
        <v>764</v>
      </c>
      <c r="F46" t="s">
        <v>250</v>
      </c>
      <c r="M46" s="327"/>
      <c r="N46" s="3">
        <v>23</v>
      </c>
      <c r="O46" t="s">
        <v>565</v>
      </c>
      <c r="P46" t="s">
        <v>764</v>
      </c>
      <c r="Q46" t="s">
        <v>250</v>
      </c>
    </row>
    <row r="47" spans="2:17">
      <c r="B47" s="327"/>
      <c r="M47" s="327"/>
    </row>
    <row r="48" spans="2:17">
      <c r="B48" s="327">
        <v>46090</v>
      </c>
      <c r="C48" s="3">
        <v>22</v>
      </c>
      <c r="D48" t="s">
        <v>572</v>
      </c>
      <c r="E48" t="s">
        <v>246</v>
      </c>
      <c r="F48" t="s">
        <v>243</v>
      </c>
      <c r="M48" s="327">
        <v>46090</v>
      </c>
      <c r="N48" s="3">
        <v>22</v>
      </c>
      <c r="O48" t="s">
        <v>572</v>
      </c>
      <c r="P48" t="s">
        <v>246</v>
      </c>
      <c r="Q48" t="s">
        <v>243</v>
      </c>
    </row>
    <row r="49" spans="2:17">
      <c r="B49" s="327"/>
      <c r="C49" s="3">
        <v>0</v>
      </c>
      <c r="D49" t="s">
        <v>283</v>
      </c>
      <c r="E49" t="s">
        <v>244</v>
      </c>
      <c r="F49" t="s">
        <v>243</v>
      </c>
      <c r="M49" s="327"/>
      <c r="N49" s="3">
        <v>0</v>
      </c>
      <c r="O49" t="s">
        <v>283</v>
      </c>
      <c r="P49" t="s">
        <v>244</v>
      </c>
      <c r="Q49" t="s">
        <v>243</v>
      </c>
    </row>
    <row r="50" spans="2:17">
      <c r="B50" s="327"/>
      <c r="C50" s="3">
        <v>48</v>
      </c>
      <c r="D50" t="s">
        <v>573</v>
      </c>
      <c r="E50" t="s">
        <v>245</v>
      </c>
      <c r="F50" t="s">
        <v>243</v>
      </c>
      <c r="M50" s="327"/>
      <c r="N50" s="3">
        <v>48</v>
      </c>
      <c r="O50" t="s">
        <v>573</v>
      </c>
      <c r="P50" t="s">
        <v>245</v>
      </c>
      <c r="Q50" t="s">
        <v>243</v>
      </c>
    </row>
    <row r="51" spans="2:17">
      <c r="B51" s="327"/>
      <c r="M51" s="327"/>
    </row>
    <row r="52" spans="2:17">
      <c r="B52" s="327">
        <v>46091</v>
      </c>
      <c r="C52" s="3">
        <v>18</v>
      </c>
      <c r="D52" t="s">
        <v>435</v>
      </c>
      <c r="E52" t="s">
        <v>246</v>
      </c>
      <c r="F52" t="s">
        <v>243</v>
      </c>
      <c r="M52" s="327">
        <v>46091</v>
      </c>
      <c r="N52" s="3">
        <v>18</v>
      </c>
      <c r="O52" t="s">
        <v>579</v>
      </c>
      <c r="P52" t="s">
        <v>246</v>
      </c>
      <c r="Q52" t="s">
        <v>243</v>
      </c>
    </row>
    <row r="53" spans="2:17">
      <c r="B53" s="327"/>
      <c r="C53" s="3">
        <v>9</v>
      </c>
      <c r="D53" t="s">
        <v>541</v>
      </c>
      <c r="E53" t="s">
        <v>244</v>
      </c>
      <c r="F53" t="s">
        <v>243</v>
      </c>
      <c r="M53" s="327"/>
      <c r="N53" s="3">
        <v>9</v>
      </c>
      <c r="O53" t="s">
        <v>541</v>
      </c>
      <c r="P53" t="s">
        <v>244</v>
      </c>
      <c r="Q53" t="s">
        <v>243</v>
      </c>
    </row>
    <row r="54" spans="2:17">
      <c r="B54" s="327"/>
      <c r="C54" s="3">
        <v>44</v>
      </c>
      <c r="D54" t="s">
        <v>387</v>
      </c>
      <c r="E54" t="s">
        <v>245</v>
      </c>
      <c r="F54" t="s">
        <v>243</v>
      </c>
      <c r="M54" s="327"/>
      <c r="N54" s="3">
        <v>44</v>
      </c>
      <c r="O54" t="s">
        <v>387</v>
      </c>
      <c r="P54" t="s">
        <v>245</v>
      </c>
      <c r="Q54" t="s">
        <v>243</v>
      </c>
    </row>
    <row r="55" spans="2:17">
      <c r="B55" s="327"/>
      <c r="M55" s="327"/>
    </row>
    <row r="56" spans="2:17">
      <c r="B56" s="327">
        <v>46092</v>
      </c>
      <c r="C56" s="3">
        <v>18</v>
      </c>
      <c r="D56" t="s">
        <v>621</v>
      </c>
      <c r="E56" t="s">
        <v>246</v>
      </c>
      <c r="F56" t="s">
        <v>243</v>
      </c>
      <c r="M56" s="327">
        <v>46092</v>
      </c>
      <c r="N56" s="3">
        <v>18</v>
      </c>
      <c r="O56" t="s">
        <v>589</v>
      </c>
      <c r="P56" t="s">
        <v>246</v>
      </c>
      <c r="Q56" t="s">
        <v>243</v>
      </c>
    </row>
    <row r="57" spans="2:17">
      <c r="B57" s="327"/>
      <c r="C57" s="3">
        <v>0</v>
      </c>
      <c r="D57" t="s">
        <v>283</v>
      </c>
      <c r="E57" t="s">
        <v>244</v>
      </c>
      <c r="F57" t="s">
        <v>243</v>
      </c>
      <c r="M57" s="327"/>
      <c r="N57" s="3">
        <v>0</v>
      </c>
      <c r="O57" t="s">
        <v>283</v>
      </c>
      <c r="P57" t="s">
        <v>244</v>
      </c>
      <c r="Q57" t="s">
        <v>243</v>
      </c>
    </row>
    <row r="58" spans="2:17">
      <c r="B58" s="327"/>
      <c r="C58" s="3">
        <v>53</v>
      </c>
      <c r="D58" t="s">
        <v>553</v>
      </c>
      <c r="E58" t="s">
        <v>245</v>
      </c>
      <c r="F58" t="s">
        <v>243</v>
      </c>
      <c r="M58" s="327"/>
      <c r="N58" s="3">
        <v>53</v>
      </c>
      <c r="O58" t="s">
        <v>553</v>
      </c>
      <c r="P58" t="s">
        <v>245</v>
      </c>
      <c r="Q58" t="s">
        <v>243</v>
      </c>
    </row>
    <row r="59" spans="2:17">
      <c r="B59" s="327"/>
      <c r="M59" s="327"/>
    </row>
    <row r="60" spans="2:17">
      <c r="B60" s="327">
        <v>46093</v>
      </c>
      <c r="C60" s="3">
        <v>28</v>
      </c>
      <c r="D60" t="s">
        <v>621</v>
      </c>
      <c r="E60" t="s">
        <v>246</v>
      </c>
      <c r="F60" t="s">
        <v>243</v>
      </c>
      <c r="M60" s="327">
        <v>46093</v>
      </c>
      <c r="N60" s="3">
        <v>28</v>
      </c>
      <c r="O60" t="s">
        <v>589</v>
      </c>
      <c r="P60" t="s">
        <v>246</v>
      </c>
      <c r="Q60" t="s">
        <v>243</v>
      </c>
    </row>
    <row r="61" spans="2:17">
      <c r="B61" s="327"/>
      <c r="C61" s="3">
        <v>0</v>
      </c>
      <c r="D61" t="s">
        <v>283</v>
      </c>
      <c r="E61" t="s">
        <v>244</v>
      </c>
      <c r="F61" t="s">
        <v>243</v>
      </c>
      <c r="M61" s="327"/>
      <c r="N61" s="3">
        <v>0</v>
      </c>
      <c r="O61" t="s">
        <v>283</v>
      </c>
      <c r="P61" t="s">
        <v>244</v>
      </c>
      <c r="Q61" t="s">
        <v>243</v>
      </c>
    </row>
    <row r="62" spans="2:17">
      <c r="B62" s="327"/>
      <c r="C62" s="3">
        <v>62</v>
      </c>
      <c r="D62" t="s">
        <v>604</v>
      </c>
      <c r="E62" t="s">
        <v>245</v>
      </c>
      <c r="F62" t="s">
        <v>243</v>
      </c>
      <c r="M62" s="327"/>
      <c r="N62" s="3">
        <v>62</v>
      </c>
      <c r="O62" t="s">
        <v>604</v>
      </c>
      <c r="P62" t="s">
        <v>245</v>
      </c>
      <c r="Q62" t="s">
        <v>243</v>
      </c>
    </row>
    <row r="63" spans="2:17">
      <c r="B63" s="327"/>
      <c r="M63" s="327"/>
    </row>
    <row r="64" spans="2:17">
      <c r="B64" s="327">
        <v>46094</v>
      </c>
      <c r="C64" s="3">
        <v>6</v>
      </c>
      <c r="D64" t="s">
        <v>412</v>
      </c>
      <c r="E64" t="s">
        <v>246</v>
      </c>
      <c r="F64" t="s">
        <v>243</v>
      </c>
      <c r="M64" s="327">
        <v>46094</v>
      </c>
      <c r="N64" s="3">
        <v>6</v>
      </c>
      <c r="O64" t="s">
        <v>412</v>
      </c>
      <c r="P64" t="s">
        <v>246</v>
      </c>
      <c r="Q64" t="s">
        <v>243</v>
      </c>
    </row>
    <row r="65" spans="2:17">
      <c r="B65" s="327"/>
      <c r="C65" s="3">
        <v>21</v>
      </c>
      <c r="D65" t="s">
        <v>620</v>
      </c>
      <c r="E65" t="s">
        <v>244</v>
      </c>
      <c r="F65" t="s">
        <v>243</v>
      </c>
      <c r="M65" s="327"/>
      <c r="N65" s="3">
        <v>21</v>
      </c>
      <c r="O65" t="s">
        <v>620</v>
      </c>
      <c r="P65" t="s">
        <v>244</v>
      </c>
      <c r="Q65" t="s">
        <v>243</v>
      </c>
    </row>
    <row r="66" spans="2:17" ht="12.75" customHeight="1">
      <c r="B66" s="327"/>
      <c r="C66" s="3">
        <v>44</v>
      </c>
      <c r="D66" t="s">
        <v>573</v>
      </c>
      <c r="E66" t="s">
        <v>245</v>
      </c>
      <c r="F66" t="s">
        <v>243</v>
      </c>
      <c r="M66" s="327"/>
      <c r="N66" s="3">
        <v>44</v>
      </c>
      <c r="O66" t="s">
        <v>573</v>
      </c>
      <c r="P66" t="s">
        <v>245</v>
      </c>
      <c r="Q66" t="s">
        <v>243</v>
      </c>
    </row>
    <row r="67" spans="2:17" ht="12.75" customHeight="1">
      <c r="B67" s="327"/>
      <c r="M67" s="327"/>
    </row>
    <row r="68" spans="2:17" ht="12.75" customHeight="1">
      <c r="B68" s="327">
        <v>46095</v>
      </c>
      <c r="C68" s="3">
        <v>30</v>
      </c>
      <c r="D68" t="s">
        <v>621</v>
      </c>
      <c r="E68" t="s">
        <v>246</v>
      </c>
      <c r="F68" t="s">
        <v>243</v>
      </c>
      <c r="M68" s="327">
        <v>46095</v>
      </c>
      <c r="N68" s="3">
        <v>30</v>
      </c>
      <c r="O68" t="s">
        <v>621</v>
      </c>
      <c r="P68" t="s">
        <v>246</v>
      </c>
      <c r="Q68" t="s">
        <v>243</v>
      </c>
    </row>
    <row r="69" spans="2:17" ht="12.75" customHeight="1">
      <c r="B69" s="327"/>
      <c r="C69" s="3">
        <v>2</v>
      </c>
      <c r="D69" t="s">
        <v>414</v>
      </c>
      <c r="E69" t="s">
        <v>244</v>
      </c>
      <c r="F69" t="s">
        <v>243</v>
      </c>
      <c r="M69" s="327"/>
      <c r="N69" s="3">
        <v>2</v>
      </c>
      <c r="O69" t="s">
        <v>414</v>
      </c>
      <c r="P69" t="s">
        <v>244</v>
      </c>
      <c r="Q69" t="s">
        <v>243</v>
      </c>
    </row>
    <row r="70" spans="2:17">
      <c r="B70" s="327"/>
      <c r="C70" s="3">
        <v>41</v>
      </c>
      <c r="D70" t="s">
        <v>387</v>
      </c>
      <c r="E70" t="s">
        <v>245</v>
      </c>
      <c r="F70" t="s">
        <v>243</v>
      </c>
      <c r="M70" s="327"/>
      <c r="N70" s="3">
        <v>41</v>
      </c>
      <c r="O70" t="s">
        <v>387</v>
      </c>
      <c r="P70" t="s">
        <v>245</v>
      </c>
      <c r="Q70" t="s">
        <v>243</v>
      </c>
    </row>
    <row r="71" spans="2:17">
      <c r="B71" s="327"/>
      <c r="C71" s="3">
        <v>25</v>
      </c>
      <c r="D71" t="s">
        <v>659</v>
      </c>
      <c r="E71" t="s">
        <v>765</v>
      </c>
      <c r="F71" t="s">
        <v>250</v>
      </c>
      <c r="M71" s="327"/>
      <c r="N71" s="3">
        <v>25</v>
      </c>
      <c r="O71" t="s">
        <v>659</v>
      </c>
      <c r="P71" t="s">
        <v>765</v>
      </c>
      <c r="Q71" t="s">
        <v>250</v>
      </c>
    </row>
    <row r="72" spans="2:17">
      <c r="B72" s="327"/>
      <c r="M72" s="327"/>
    </row>
    <row r="73" spans="2:17">
      <c r="B73" s="327">
        <v>46096</v>
      </c>
      <c r="C73" s="3">
        <v>30</v>
      </c>
      <c r="D73" t="s">
        <v>621</v>
      </c>
      <c r="E73" t="s">
        <v>246</v>
      </c>
      <c r="F73" t="s">
        <v>243</v>
      </c>
      <c r="M73" s="327">
        <v>46096</v>
      </c>
      <c r="N73" s="3">
        <v>30</v>
      </c>
      <c r="O73" t="s">
        <v>621</v>
      </c>
      <c r="P73" t="s">
        <v>246</v>
      </c>
      <c r="Q73" t="s">
        <v>243</v>
      </c>
    </row>
    <row r="74" spans="2:17">
      <c r="B74" s="327"/>
      <c r="C74" s="3">
        <v>0</v>
      </c>
      <c r="D74" t="s">
        <v>283</v>
      </c>
      <c r="E74" t="s">
        <v>244</v>
      </c>
      <c r="F74" t="s">
        <v>243</v>
      </c>
      <c r="M74" s="327"/>
      <c r="N74" s="3">
        <v>0</v>
      </c>
      <c r="O74" t="s">
        <v>283</v>
      </c>
      <c r="P74" t="s">
        <v>244</v>
      </c>
      <c r="Q74" t="s">
        <v>243</v>
      </c>
    </row>
    <row r="75" spans="2:17">
      <c r="B75" s="327"/>
      <c r="C75" s="3">
        <v>48</v>
      </c>
      <c r="D75" t="s">
        <v>656</v>
      </c>
      <c r="E75" t="s">
        <v>245</v>
      </c>
      <c r="F75" t="s">
        <v>243</v>
      </c>
      <c r="M75" s="327"/>
      <c r="N75" s="3">
        <v>48</v>
      </c>
      <c r="O75" t="s">
        <v>656</v>
      </c>
      <c r="P75" t="s">
        <v>245</v>
      </c>
      <c r="Q75" t="s">
        <v>243</v>
      </c>
    </row>
    <row r="76" spans="2:17">
      <c r="B76" s="327"/>
      <c r="C76" s="3">
        <v>22</v>
      </c>
      <c r="D76" t="s">
        <v>660</v>
      </c>
      <c r="E76" t="s">
        <v>765</v>
      </c>
      <c r="F76" t="s">
        <v>250</v>
      </c>
      <c r="M76" s="327"/>
      <c r="N76" s="3">
        <v>22</v>
      </c>
      <c r="O76" t="s">
        <v>660</v>
      </c>
      <c r="P76" t="s">
        <v>765</v>
      </c>
      <c r="Q76" t="s">
        <v>250</v>
      </c>
    </row>
    <row r="77" spans="2:17">
      <c r="B77" s="327"/>
      <c r="M77" s="327"/>
    </row>
    <row r="78" spans="2:17">
      <c r="B78" s="327">
        <v>46097</v>
      </c>
      <c r="C78" s="3">
        <v>18</v>
      </c>
      <c r="D78" t="s">
        <v>435</v>
      </c>
      <c r="E78" t="s">
        <v>246</v>
      </c>
      <c r="F78" t="s">
        <v>243</v>
      </c>
      <c r="M78" s="327">
        <v>46097</v>
      </c>
      <c r="N78" s="3">
        <v>18</v>
      </c>
      <c r="O78" t="s">
        <v>435</v>
      </c>
      <c r="P78" t="s">
        <v>246</v>
      </c>
      <c r="Q78" t="s">
        <v>243</v>
      </c>
    </row>
    <row r="79" spans="2:17">
      <c r="B79" s="327"/>
      <c r="C79" s="3">
        <v>10</v>
      </c>
      <c r="D79" t="s">
        <v>669</v>
      </c>
      <c r="E79" t="s">
        <v>244</v>
      </c>
      <c r="F79" t="s">
        <v>243</v>
      </c>
      <c r="M79" s="327"/>
      <c r="N79" s="3">
        <v>10</v>
      </c>
      <c r="O79" t="s">
        <v>669</v>
      </c>
      <c r="P79" t="s">
        <v>244</v>
      </c>
      <c r="Q79" t="s">
        <v>243</v>
      </c>
    </row>
    <row r="80" spans="2:17">
      <c r="B80" s="327"/>
      <c r="C80" s="3">
        <v>51</v>
      </c>
      <c r="D80" t="s">
        <v>387</v>
      </c>
      <c r="E80" t="s">
        <v>245</v>
      </c>
      <c r="F80" t="s">
        <v>243</v>
      </c>
      <c r="M80" s="327"/>
      <c r="N80" s="3">
        <v>51</v>
      </c>
      <c r="O80" t="s">
        <v>387</v>
      </c>
      <c r="P80" t="s">
        <v>245</v>
      </c>
      <c r="Q80" t="s">
        <v>243</v>
      </c>
    </row>
    <row r="81" spans="2:17">
      <c r="B81" s="327"/>
      <c r="C81" s="3">
        <v>25</v>
      </c>
      <c r="D81" t="s">
        <v>670</v>
      </c>
      <c r="E81" t="s">
        <v>765</v>
      </c>
      <c r="F81" t="s">
        <v>250</v>
      </c>
      <c r="M81" s="327"/>
      <c r="N81" s="3">
        <v>25</v>
      </c>
      <c r="O81" t="s">
        <v>670</v>
      </c>
      <c r="P81" t="s">
        <v>765</v>
      </c>
      <c r="Q81" t="s">
        <v>250</v>
      </c>
    </row>
    <row r="82" spans="2:17">
      <c r="B82" s="327"/>
      <c r="M82" s="327"/>
    </row>
    <row r="83" spans="2:17">
      <c r="B83" s="327">
        <v>46098</v>
      </c>
      <c r="C83" s="3">
        <v>6</v>
      </c>
      <c r="D83" t="s">
        <v>467</v>
      </c>
      <c r="E83" t="s">
        <v>246</v>
      </c>
      <c r="F83" t="s">
        <v>243</v>
      </c>
      <c r="M83" s="327">
        <v>46098</v>
      </c>
      <c r="N83" s="3">
        <v>6</v>
      </c>
      <c r="O83" t="s">
        <v>467</v>
      </c>
      <c r="P83" t="s">
        <v>246</v>
      </c>
      <c r="Q83" t="s">
        <v>243</v>
      </c>
    </row>
    <row r="84" spans="2:17">
      <c r="B84" s="327"/>
      <c r="C84" s="3">
        <v>0</v>
      </c>
      <c r="D84" t="s">
        <v>283</v>
      </c>
      <c r="E84" t="s">
        <v>244</v>
      </c>
      <c r="F84" t="s">
        <v>243</v>
      </c>
      <c r="M84" s="327"/>
      <c r="N84" s="3">
        <v>0</v>
      </c>
      <c r="O84" t="s">
        <v>283</v>
      </c>
      <c r="P84" t="s">
        <v>244</v>
      </c>
      <c r="Q84" t="s">
        <v>243</v>
      </c>
    </row>
    <row r="85" spans="2:17">
      <c r="B85" s="327"/>
      <c r="C85" s="3">
        <v>8</v>
      </c>
      <c r="D85" t="s">
        <v>677</v>
      </c>
      <c r="E85" t="s">
        <v>245</v>
      </c>
      <c r="F85" t="s">
        <v>243</v>
      </c>
      <c r="M85" s="327"/>
      <c r="N85" s="3">
        <v>8</v>
      </c>
      <c r="O85" t="s">
        <v>677</v>
      </c>
      <c r="P85" t="s">
        <v>245</v>
      </c>
      <c r="Q85" t="s">
        <v>243</v>
      </c>
    </row>
    <row r="86" spans="2:17">
      <c r="B86" s="327"/>
      <c r="C86" s="3">
        <v>1265</v>
      </c>
      <c r="D86" t="s">
        <v>679</v>
      </c>
      <c r="E86" t="s">
        <v>767</v>
      </c>
      <c r="F86" t="s">
        <v>252</v>
      </c>
      <c r="M86" s="327"/>
      <c r="N86" s="3">
        <v>0</v>
      </c>
      <c r="O86" t="s">
        <v>679</v>
      </c>
      <c r="P86" t="s">
        <v>767</v>
      </c>
      <c r="Q86" t="s">
        <v>252</v>
      </c>
    </row>
    <row r="87" spans="2:17">
      <c r="B87" s="327"/>
      <c r="M87" s="327"/>
    </row>
    <row r="88" spans="2:17">
      <c r="B88" s="327">
        <v>46099</v>
      </c>
      <c r="C88" s="3">
        <v>0</v>
      </c>
      <c r="D88" t="s">
        <v>384</v>
      </c>
      <c r="E88" t="s">
        <v>246</v>
      </c>
      <c r="F88" t="s">
        <v>243</v>
      </c>
      <c r="M88" s="327">
        <v>46099</v>
      </c>
      <c r="N88" s="3">
        <v>0</v>
      </c>
      <c r="O88" t="s">
        <v>384</v>
      </c>
      <c r="P88" t="s">
        <v>246</v>
      </c>
      <c r="Q88" t="s">
        <v>243</v>
      </c>
    </row>
    <row r="89" spans="2:17">
      <c r="B89" s="327"/>
      <c r="C89" s="3">
        <v>0</v>
      </c>
      <c r="D89" t="s">
        <v>283</v>
      </c>
      <c r="E89" t="s">
        <v>244</v>
      </c>
      <c r="F89" t="s">
        <v>243</v>
      </c>
      <c r="M89" s="327"/>
      <c r="N89" s="3">
        <v>0</v>
      </c>
      <c r="O89" t="s">
        <v>283</v>
      </c>
      <c r="P89" t="s">
        <v>244</v>
      </c>
      <c r="Q89" t="s">
        <v>243</v>
      </c>
    </row>
    <row r="90" spans="2:17">
      <c r="B90" s="327"/>
      <c r="C90" s="3">
        <v>0</v>
      </c>
      <c r="D90" t="s">
        <v>496</v>
      </c>
      <c r="E90" t="s">
        <v>245</v>
      </c>
      <c r="F90" t="s">
        <v>243</v>
      </c>
      <c r="M90" s="327"/>
      <c r="N90" s="3">
        <v>0</v>
      </c>
      <c r="O90" t="s">
        <v>496</v>
      </c>
      <c r="P90" t="s">
        <v>245</v>
      </c>
      <c r="Q90" t="s">
        <v>243</v>
      </c>
    </row>
    <row r="91" spans="2:17">
      <c r="B91" s="327"/>
      <c r="C91" s="3">
        <v>1440</v>
      </c>
      <c r="D91" t="s">
        <v>685</v>
      </c>
      <c r="E91" t="s">
        <v>767</v>
      </c>
      <c r="F91" t="s">
        <v>252</v>
      </c>
      <c r="M91" s="327"/>
      <c r="N91" s="3">
        <v>0</v>
      </c>
      <c r="O91" t="s">
        <v>685</v>
      </c>
      <c r="P91" t="s">
        <v>767</v>
      </c>
      <c r="Q91" t="s">
        <v>252</v>
      </c>
    </row>
    <row r="92" spans="2:17">
      <c r="B92" s="327"/>
      <c r="M92" s="327"/>
    </row>
    <row r="93" spans="2:17">
      <c r="B93" s="327">
        <v>46100</v>
      </c>
      <c r="C93" s="3">
        <v>0</v>
      </c>
      <c r="D93" t="s">
        <v>384</v>
      </c>
      <c r="E93" t="s">
        <v>246</v>
      </c>
      <c r="F93" t="s">
        <v>243</v>
      </c>
      <c r="M93" s="327">
        <v>46100</v>
      </c>
      <c r="N93" s="3">
        <v>0</v>
      </c>
      <c r="O93" t="s">
        <v>384</v>
      </c>
      <c r="P93" t="s">
        <v>246</v>
      </c>
      <c r="Q93" t="s">
        <v>243</v>
      </c>
    </row>
    <row r="94" spans="2:17">
      <c r="B94" s="327"/>
      <c r="C94" s="3">
        <v>0</v>
      </c>
      <c r="D94" t="s">
        <v>283</v>
      </c>
      <c r="E94" t="s">
        <v>244</v>
      </c>
      <c r="F94" t="s">
        <v>243</v>
      </c>
      <c r="M94" s="327"/>
      <c r="N94" s="3">
        <v>0</v>
      </c>
      <c r="O94" t="s">
        <v>283</v>
      </c>
      <c r="P94" t="s">
        <v>244</v>
      </c>
      <c r="Q94" t="s">
        <v>243</v>
      </c>
    </row>
    <row r="95" spans="2:17">
      <c r="B95" s="327"/>
      <c r="C95" s="3">
        <v>0</v>
      </c>
      <c r="D95" t="s">
        <v>496</v>
      </c>
      <c r="E95" t="s">
        <v>245</v>
      </c>
      <c r="F95" t="s">
        <v>243</v>
      </c>
      <c r="M95" s="327"/>
      <c r="N95" s="3">
        <v>0</v>
      </c>
      <c r="O95" t="s">
        <v>496</v>
      </c>
      <c r="P95" t="s">
        <v>245</v>
      </c>
      <c r="Q95" t="s">
        <v>243</v>
      </c>
    </row>
    <row r="96" spans="2:17">
      <c r="B96" s="327"/>
      <c r="C96" s="3">
        <v>1440</v>
      </c>
      <c r="D96" t="s">
        <v>685</v>
      </c>
      <c r="E96" t="s">
        <v>767</v>
      </c>
      <c r="F96" t="s">
        <v>252</v>
      </c>
      <c r="M96" s="327"/>
      <c r="N96" s="3">
        <v>0</v>
      </c>
      <c r="O96" t="s">
        <v>685</v>
      </c>
      <c r="P96" t="s">
        <v>767</v>
      </c>
      <c r="Q96" t="s">
        <v>252</v>
      </c>
    </row>
    <row r="97" spans="2:17">
      <c r="B97" s="327"/>
      <c r="M97" s="327"/>
    </row>
    <row r="98" spans="2:17">
      <c r="B98" s="327">
        <v>46101</v>
      </c>
      <c r="C98" s="3">
        <v>0</v>
      </c>
      <c r="D98" t="s">
        <v>384</v>
      </c>
      <c r="E98" t="s">
        <v>246</v>
      </c>
      <c r="F98" t="s">
        <v>243</v>
      </c>
      <c r="M98" s="327">
        <v>46101</v>
      </c>
      <c r="N98" s="3">
        <v>0</v>
      </c>
      <c r="O98" t="s">
        <v>384</v>
      </c>
      <c r="P98" t="s">
        <v>246</v>
      </c>
      <c r="Q98" t="s">
        <v>243</v>
      </c>
    </row>
    <row r="99" spans="2:17">
      <c r="B99" s="327"/>
      <c r="C99" s="3">
        <v>0</v>
      </c>
      <c r="D99" t="s">
        <v>283</v>
      </c>
      <c r="E99" t="s">
        <v>244</v>
      </c>
      <c r="F99" t="s">
        <v>243</v>
      </c>
      <c r="M99" s="327"/>
      <c r="N99" s="3">
        <v>0</v>
      </c>
      <c r="O99" t="s">
        <v>283</v>
      </c>
      <c r="P99" t="s">
        <v>244</v>
      </c>
      <c r="Q99" t="s">
        <v>243</v>
      </c>
    </row>
    <row r="100" spans="2:17">
      <c r="B100" s="327"/>
      <c r="C100" s="3">
        <v>0</v>
      </c>
      <c r="D100" t="s">
        <v>496</v>
      </c>
      <c r="E100" t="s">
        <v>245</v>
      </c>
      <c r="F100" t="s">
        <v>243</v>
      </c>
      <c r="M100" s="327"/>
      <c r="N100" s="3">
        <v>0</v>
      </c>
      <c r="O100" t="s">
        <v>496</v>
      </c>
      <c r="P100" t="s">
        <v>245</v>
      </c>
      <c r="Q100" t="s">
        <v>243</v>
      </c>
    </row>
    <row r="101" spans="2:17">
      <c r="B101" s="327"/>
      <c r="C101" s="3">
        <v>1440</v>
      </c>
      <c r="D101" t="s">
        <v>685</v>
      </c>
      <c r="E101" t="s">
        <v>767</v>
      </c>
      <c r="F101" t="s">
        <v>252</v>
      </c>
      <c r="M101" s="327"/>
      <c r="N101" s="3">
        <v>0</v>
      </c>
      <c r="O101" t="s">
        <v>685</v>
      </c>
      <c r="P101" t="s">
        <v>767</v>
      </c>
      <c r="Q101" t="s">
        <v>252</v>
      </c>
    </row>
    <row r="102" spans="2:17">
      <c r="B102" s="327"/>
      <c r="M102" s="327"/>
    </row>
    <row r="103" spans="2:17">
      <c r="B103" s="327">
        <v>46102</v>
      </c>
      <c r="C103" s="3">
        <v>0</v>
      </c>
      <c r="D103" t="s">
        <v>384</v>
      </c>
      <c r="E103" t="s">
        <v>246</v>
      </c>
      <c r="F103" t="s">
        <v>243</v>
      </c>
      <c r="M103" s="327">
        <v>46102</v>
      </c>
      <c r="N103" s="3">
        <v>0</v>
      </c>
      <c r="O103" t="s">
        <v>384</v>
      </c>
      <c r="P103" t="s">
        <v>246</v>
      </c>
      <c r="Q103" t="s">
        <v>243</v>
      </c>
    </row>
    <row r="104" spans="2:17">
      <c r="B104" s="327"/>
      <c r="C104" s="3">
        <v>0</v>
      </c>
      <c r="D104" t="s">
        <v>283</v>
      </c>
      <c r="E104" t="s">
        <v>244</v>
      </c>
      <c r="F104" t="s">
        <v>243</v>
      </c>
      <c r="M104" s="327"/>
      <c r="N104" s="3">
        <v>0</v>
      </c>
      <c r="O104" t="s">
        <v>283</v>
      </c>
      <c r="P104" t="s">
        <v>244</v>
      </c>
      <c r="Q104" t="s">
        <v>243</v>
      </c>
    </row>
    <row r="105" spans="2:17">
      <c r="B105" s="327"/>
      <c r="C105" s="3">
        <v>0</v>
      </c>
      <c r="D105" t="s">
        <v>496</v>
      </c>
      <c r="E105" t="s">
        <v>245</v>
      </c>
      <c r="F105" t="s">
        <v>243</v>
      </c>
      <c r="M105" s="327"/>
      <c r="N105" s="3">
        <v>0</v>
      </c>
      <c r="O105" t="s">
        <v>496</v>
      </c>
      <c r="P105" t="s">
        <v>245</v>
      </c>
      <c r="Q105" t="s">
        <v>243</v>
      </c>
    </row>
    <row r="106" spans="2:17">
      <c r="B106" s="327"/>
      <c r="C106" s="3">
        <v>1440</v>
      </c>
      <c r="D106" t="s">
        <v>685</v>
      </c>
      <c r="E106" t="s">
        <v>767</v>
      </c>
      <c r="F106" t="s">
        <v>252</v>
      </c>
      <c r="M106" s="327"/>
      <c r="N106" s="3">
        <v>0</v>
      </c>
      <c r="O106" t="s">
        <v>685</v>
      </c>
      <c r="P106" t="s">
        <v>767</v>
      </c>
      <c r="Q106" t="s">
        <v>252</v>
      </c>
    </row>
    <row r="107" spans="2:17">
      <c r="B107" s="327"/>
      <c r="M107" s="327"/>
    </row>
    <row r="108" spans="2:17">
      <c r="B108" s="327">
        <v>46103</v>
      </c>
      <c r="C108" s="3">
        <v>0</v>
      </c>
      <c r="D108" t="s">
        <v>384</v>
      </c>
      <c r="E108" t="s">
        <v>246</v>
      </c>
      <c r="F108" t="s">
        <v>243</v>
      </c>
      <c r="M108" s="327">
        <v>46103</v>
      </c>
      <c r="N108" s="3">
        <v>0</v>
      </c>
      <c r="O108" t="s">
        <v>384</v>
      </c>
      <c r="P108" t="s">
        <v>246</v>
      </c>
      <c r="Q108" t="s">
        <v>243</v>
      </c>
    </row>
    <row r="109" spans="2:17">
      <c r="B109" s="327"/>
      <c r="C109" s="3">
        <v>0</v>
      </c>
      <c r="D109" t="s">
        <v>283</v>
      </c>
      <c r="E109" t="s">
        <v>244</v>
      </c>
      <c r="F109" t="s">
        <v>243</v>
      </c>
      <c r="M109" s="327"/>
      <c r="N109" s="3">
        <v>0</v>
      </c>
      <c r="O109" t="s">
        <v>283</v>
      </c>
      <c r="P109" t="s">
        <v>244</v>
      </c>
      <c r="Q109" t="s">
        <v>243</v>
      </c>
    </row>
    <row r="110" spans="2:17">
      <c r="B110" s="327"/>
      <c r="C110" s="3">
        <v>0</v>
      </c>
      <c r="D110" t="s">
        <v>496</v>
      </c>
      <c r="E110" t="s">
        <v>245</v>
      </c>
      <c r="F110" t="s">
        <v>243</v>
      </c>
      <c r="M110" s="327"/>
      <c r="N110" s="3">
        <v>0</v>
      </c>
      <c r="O110" t="s">
        <v>496</v>
      </c>
      <c r="P110" t="s">
        <v>245</v>
      </c>
      <c r="Q110" t="s">
        <v>243</v>
      </c>
    </row>
    <row r="111" spans="2:17">
      <c r="B111" s="327"/>
      <c r="C111" s="3">
        <v>1440</v>
      </c>
      <c r="D111" t="s">
        <v>685</v>
      </c>
      <c r="E111" t="s">
        <v>767</v>
      </c>
      <c r="F111" t="s">
        <v>252</v>
      </c>
      <c r="M111" s="327"/>
      <c r="N111" s="3">
        <v>0</v>
      </c>
      <c r="O111" t="s">
        <v>685</v>
      </c>
      <c r="P111" t="s">
        <v>767</v>
      </c>
      <c r="Q111" t="s">
        <v>252</v>
      </c>
    </row>
    <row r="112" spans="2:17">
      <c r="B112" s="327"/>
      <c r="M112" s="327"/>
    </row>
    <row r="113" spans="2:17">
      <c r="B113" s="327">
        <v>46104</v>
      </c>
      <c r="C113" s="3">
        <v>0</v>
      </c>
      <c r="D113" t="s">
        <v>384</v>
      </c>
      <c r="E113" t="s">
        <v>246</v>
      </c>
      <c r="F113" t="s">
        <v>243</v>
      </c>
      <c r="M113" s="327">
        <v>46104</v>
      </c>
      <c r="N113" s="3">
        <v>0</v>
      </c>
      <c r="O113" t="s">
        <v>384</v>
      </c>
      <c r="P113" t="s">
        <v>246</v>
      </c>
      <c r="Q113" t="s">
        <v>243</v>
      </c>
    </row>
    <row r="114" spans="2:17">
      <c r="B114" s="327"/>
      <c r="C114" s="3">
        <v>0</v>
      </c>
      <c r="D114" t="s">
        <v>283</v>
      </c>
      <c r="E114" t="s">
        <v>244</v>
      </c>
      <c r="F114" t="s">
        <v>243</v>
      </c>
      <c r="M114" s="327"/>
      <c r="N114" s="3">
        <v>0</v>
      </c>
      <c r="O114" t="s">
        <v>283</v>
      </c>
      <c r="P114" t="s">
        <v>244</v>
      </c>
      <c r="Q114" t="s">
        <v>243</v>
      </c>
    </row>
    <row r="115" spans="2:17">
      <c r="B115" s="327"/>
      <c r="C115" s="3">
        <v>0</v>
      </c>
      <c r="D115" t="s">
        <v>496</v>
      </c>
      <c r="E115" t="s">
        <v>245</v>
      </c>
      <c r="F115" t="s">
        <v>243</v>
      </c>
      <c r="M115" s="327"/>
      <c r="N115" s="3">
        <v>0</v>
      </c>
      <c r="O115" t="s">
        <v>496</v>
      </c>
      <c r="P115" t="s">
        <v>245</v>
      </c>
      <c r="Q115" t="s">
        <v>243</v>
      </c>
    </row>
    <row r="116" spans="2:17">
      <c r="B116" s="327"/>
      <c r="C116" s="3">
        <v>1440</v>
      </c>
      <c r="D116" t="s">
        <v>685</v>
      </c>
      <c r="E116" t="s">
        <v>767</v>
      </c>
      <c r="F116" t="s">
        <v>252</v>
      </c>
      <c r="M116" s="327"/>
      <c r="N116" s="3">
        <v>0</v>
      </c>
      <c r="O116" t="s">
        <v>685</v>
      </c>
      <c r="P116" t="s">
        <v>767</v>
      </c>
      <c r="Q116" t="s">
        <v>252</v>
      </c>
    </row>
    <row r="117" spans="2:17">
      <c r="B117" s="327"/>
      <c r="M117" s="327"/>
    </row>
    <row r="118" spans="2:17">
      <c r="B118" s="327">
        <v>46105</v>
      </c>
      <c r="C118" s="3">
        <v>20</v>
      </c>
      <c r="D118" t="s">
        <v>497</v>
      </c>
      <c r="E118" t="s">
        <v>246</v>
      </c>
      <c r="F118" t="s">
        <v>243</v>
      </c>
      <c r="M118" s="327">
        <v>46105</v>
      </c>
      <c r="N118" s="3">
        <v>20</v>
      </c>
      <c r="O118" t="s">
        <v>497</v>
      </c>
      <c r="P118" t="s">
        <v>246</v>
      </c>
      <c r="Q118" t="s">
        <v>243</v>
      </c>
    </row>
    <row r="119" spans="2:17">
      <c r="B119" s="327"/>
      <c r="C119" s="3">
        <v>9</v>
      </c>
      <c r="D119" t="s">
        <v>552</v>
      </c>
      <c r="E119" t="s">
        <v>244</v>
      </c>
      <c r="F119" t="s">
        <v>243</v>
      </c>
      <c r="M119" s="327"/>
      <c r="N119" s="3">
        <v>9</v>
      </c>
      <c r="O119" t="s">
        <v>552</v>
      </c>
      <c r="P119" t="s">
        <v>244</v>
      </c>
      <c r="Q119" t="s">
        <v>243</v>
      </c>
    </row>
    <row r="120" spans="2:17">
      <c r="B120" s="327"/>
      <c r="C120" s="3">
        <v>35</v>
      </c>
      <c r="D120" t="s">
        <v>573</v>
      </c>
      <c r="E120" t="s">
        <v>245</v>
      </c>
      <c r="F120" t="s">
        <v>243</v>
      </c>
      <c r="M120" s="327"/>
      <c r="N120" s="3">
        <v>35</v>
      </c>
      <c r="O120" t="s">
        <v>573</v>
      </c>
      <c r="P120" t="s">
        <v>245</v>
      </c>
      <c r="Q120" t="s">
        <v>243</v>
      </c>
    </row>
    <row r="121" spans="2:17">
      <c r="B121" s="327"/>
      <c r="C121" s="3">
        <v>81</v>
      </c>
      <c r="D121" t="s">
        <v>685</v>
      </c>
      <c r="E121" t="s">
        <v>767</v>
      </c>
      <c r="F121" t="s">
        <v>252</v>
      </c>
      <c r="M121" s="327"/>
      <c r="N121" s="3">
        <v>0</v>
      </c>
      <c r="O121" t="s">
        <v>685</v>
      </c>
      <c r="P121" t="s">
        <v>767</v>
      </c>
      <c r="Q121" t="s">
        <v>252</v>
      </c>
    </row>
    <row r="122" spans="2:17">
      <c r="B122" s="327"/>
      <c r="C122" s="3">
        <v>105</v>
      </c>
      <c r="D122" t="s">
        <v>780</v>
      </c>
      <c r="E122" t="s">
        <v>782</v>
      </c>
      <c r="F122" t="s">
        <v>252</v>
      </c>
      <c r="M122" s="327"/>
      <c r="N122" s="3">
        <v>0</v>
      </c>
      <c r="O122" t="s">
        <v>685</v>
      </c>
      <c r="P122" t="s">
        <v>782</v>
      </c>
      <c r="Q122" t="s">
        <v>252</v>
      </c>
    </row>
    <row r="123" spans="2:17">
      <c r="B123" s="327"/>
      <c r="C123" s="3">
        <v>34</v>
      </c>
      <c r="D123" t="s">
        <v>725</v>
      </c>
      <c r="E123" t="s">
        <v>765</v>
      </c>
      <c r="F123" t="s">
        <v>250</v>
      </c>
      <c r="M123" s="327"/>
      <c r="N123" s="3">
        <v>34</v>
      </c>
      <c r="O123" t="s">
        <v>725</v>
      </c>
      <c r="P123" t="s">
        <v>765</v>
      </c>
      <c r="Q123" t="s">
        <v>250</v>
      </c>
    </row>
    <row r="124" spans="2:17">
      <c r="B124" s="327"/>
      <c r="C124" s="3">
        <v>80</v>
      </c>
      <c r="D124" t="s">
        <v>726</v>
      </c>
      <c r="E124" t="s">
        <v>765</v>
      </c>
      <c r="F124" t="s">
        <v>250</v>
      </c>
      <c r="M124" s="327"/>
      <c r="N124" s="3">
        <v>80</v>
      </c>
      <c r="O124" t="s">
        <v>726</v>
      </c>
      <c r="P124" t="s">
        <v>765</v>
      </c>
      <c r="Q124" t="s">
        <v>250</v>
      </c>
    </row>
    <row r="125" spans="2:17">
      <c r="B125" s="327"/>
      <c r="M125" s="327"/>
    </row>
    <row r="126" spans="2:17">
      <c r="B126" s="327">
        <v>46106</v>
      </c>
      <c r="C126" s="3">
        <v>19</v>
      </c>
      <c r="D126" t="s">
        <v>415</v>
      </c>
      <c r="E126" t="s">
        <v>246</v>
      </c>
      <c r="F126" t="s">
        <v>243</v>
      </c>
      <c r="M126" s="327">
        <v>46106</v>
      </c>
      <c r="N126" s="3">
        <v>19</v>
      </c>
      <c r="O126" t="s">
        <v>415</v>
      </c>
      <c r="P126" t="s">
        <v>246</v>
      </c>
      <c r="Q126" t="s">
        <v>243</v>
      </c>
    </row>
    <row r="127" spans="2:17">
      <c r="B127" s="327"/>
      <c r="C127" s="3">
        <v>0</v>
      </c>
      <c r="D127" t="s">
        <v>283</v>
      </c>
      <c r="E127" t="s">
        <v>244</v>
      </c>
      <c r="F127" t="s">
        <v>243</v>
      </c>
      <c r="M127" s="327"/>
      <c r="N127" s="3">
        <v>0</v>
      </c>
      <c r="O127" t="s">
        <v>283</v>
      </c>
      <c r="P127" t="s">
        <v>244</v>
      </c>
      <c r="Q127" t="s">
        <v>243</v>
      </c>
    </row>
    <row r="128" spans="2:17">
      <c r="B128" s="327"/>
      <c r="C128" s="3">
        <v>39</v>
      </c>
      <c r="D128" t="s">
        <v>656</v>
      </c>
      <c r="E128" t="s">
        <v>245</v>
      </c>
      <c r="F128" t="s">
        <v>243</v>
      </c>
      <c r="M128" s="327"/>
      <c r="N128" s="3">
        <v>39</v>
      </c>
      <c r="O128" t="s">
        <v>656</v>
      </c>
      <c r="P128" t="s">
        <v>245</v>
      </c>
      <c r="Q128" t="s">
        <v>243</v>
      </c>
    </row>
    <row r="129" spans="2:17">
      <c r="B129" s="327"/>
      <c r="C129" s="3">
        <v>50</v>
      </c>
      <c r="D129" t="s">
        <v>726</v>
      </c>
      <c r="E129" t="s">
        <v>765</v>
      </c>
      <c r="F129" t="s">
        <v>250</v>
      </c>
      <c r="M129" s="327"/>
      <c r="N129" s="3">
        <v>50</v>
      </c>
      <c r="O129" t="s">
        <v>726</v>
      </c>
      <c r="P129" t="s">
        <v>765</v>
      </c>
      <c r="Q129" t="s">
        <v>250</v>
      </c>
    </row>
    <row r="130" spans="2:17">
      <c r="B130" s="327"/>
      <c r="M130" s="327"/>
    </row>
    <row r="131" spans="2:17">
      <c r="B131" s="39">
        <v>46107</v>
      </c>
      <c r="C131" s="3">
        <v>12</v>
      </c>
      <c r="D131" t="s">
        <v>435</v>
      </c>
      <c r="E131" t="s">
        <v>246</v>
      </c>
      <c r="F131" t="s">
        <v>243</v>
      </c>
      <c r="M131" s="39">
        <v>46107</v>
      </c>
      <c r="N131" s="3">
        <v>12</v>
      </c>
      <c r="O131" t="s">
        <v>435</v>
      </c>
      <c r="P131" t="s">
        <v>246</v>
      </c>
      <c r="Q131" t="s">
        <v>243</v>
      </c>
    </row>
    <row r="132" spans="2:17">
      <c r="B132" s="327"/>
      <c r="C132" s="3">
        <v>0</v>
      </c>
      <c r="D132" t="s">
        <v>283</v>
      </c>
      <c r="E132" t="s">
        <v>244</v>
      </c>
      <c r="F132" t="s">
        <v>243</v>
      </c>
      <c r="M132" s="327"/>
      <c r="N132" s="3">
        <v>0</v>
      </c>
      <c r="O132" t="s">
        <v>283</v>
      </c>
      <c r="P132" t="s">
        <v>244</v>
      </c>
      <c r="Q132" t="s">
        <v>243</v>
      </c>
    </row>
    <row r="133" spans="2:17">
      <c r="B133" s="327"/>
      <c r="C133" s="3">
        <v>71</v>
      </c>
      <c r="D133" t="s">
        <v>656</v>
      </c>
      <c r="E133" t="s">
        <v>245</v>
      </c>
      <c r="F133" t="s">
        <v>243</v>
      </c>
      <c r="M133" s="327"/>
      <c r="N133" s="3">
        <v>71</v>
      </c>
      <c r="O133" t="s">
        <v>656</v>
      </c>
      <c r="P133" t="s">
        <v>245</v>
      </c>
      <c r="Q133" t="s">
        <v>243</v>
      </c>
    </row>
    <row r="134" spans="2:17">
      <c r="B134" s="327"/>
      <c r="M134" s="327"/>
    </row>
    <row r="135" spans="2:17">
      <c r="B135" s="327">
        <v>46108</v>
      </c>
      <c r="C135" s="3">
        <v>14</v>
      </c>
      <c r="D135" t="s">
        <v>435</v>
      </c>
      <c r="E135" t="s">
        <v>246</v>
      </c>
      <c r="F135" t="s">
        <v>243</v>
      </c>
      <c r="M135" s="327">
        <v>46108</v>
      </c>
      <c r="N135" s="3">
        <v>14</v>
      </c>
      <c r="O135" t="s">
        <v>435</v>
      </c>
      <c r="P135" t="s">
        <v>246</v>
      </c>
      <c r="Q135" t="s">
        <v>243</v>
      </c>
    </row>
    <row r="136" spans="2:17">
      <c r="B136" s="327"/>
      <c r="C136" s="3">
        <v>0</v>
      </c>
      <c r="D136" t="s">
        <v>283</v>
      </c>
      <c r="E136" t="s">
        <v>244</v>
      </c>
      <c r="F136" t="s">
        <v>243</v>
      </c>
      <c r="M136" s="327"/>
      <c r="N136" s="3">
        <v>0</v>
      </c>
      <c r="O136" t="s">
        <v>283</v>
      </c>
      <c r="P136" t="s">
        <v>244</v>
      </c>
      <c r="Q136" t="s">
        <v>243</v>
      </c>
    </row>
    <row r="137" spans="2:17">
      <c r="B137" s="327"/>
      <c r="C137" s="3">
        <v>60</v>
      </c>
      <c r="D137" t="s">
        <v>748</v>
      </c>
      <c r="E137" t="s">
        <v>245</v>
      </c>
      <c r="F137" t="s">
        <v>243</v>
      </c>
      <c r="M137" s="327"/>
      <c r="N137" s="3">
        <v>60</v>
      </c>
      <c r="O137" t="s">
        <v>748</v>
      </c>
      <c r="P137" t="s">
        <v>245</v>
      </c>
      <c r="Q137" t="s">
        <v>243</v>
      </c>
    </row>
    <row r="138" spans="2:17">
      <c r="B138" s="327"/>
      <c r="M138" s="327"/>
    </row>
    <row r="139" spans="2:17" ht="12.75" customHeight="1">
      <c r="B139" s="327">
        <v>46109</v>
      </c>
      <c r="C139" s="3">
        <v>16</v>
      </c>
      <c r="D139" t="s">
        <v>435</v>
      </c>
      <c r="E139" t="s">
        <v>246</v>
      </c>
      <c r="F139" t="s">
        <v>243</v>
      </c>
      <c r="M139" s="327">
        <v>46109</v>
      </c>
      <c r="N139" s="3">
        <v>16</v>
      </c>
      <c r="O139" t="s">
        <v>435</v>
      </c>
      <c r="P139" t="s">
        <v>246</v>
      </c>
      <c r="Q139" t="s">
        <v>243</v>
      </c>
    </row>
    <row r="140" spans="2:17">
      <c r="B140" s="327"/>
      <c r="C140" s="3">
        <v>0</v>
      </c>
      <c r="D140" t="s">
        <v>283</v>
      </c>
      <c r="E140" t="s">
        <v>244</v>
      </c>
      <c r="F140" t="s">
        <v>243</v>
      </c>
      <c r="M140" s="327"/>
      <c r="N140" s="3">
        <v>0</v>
      </c>
      <c r="O140" t="s">
        <v>283</v>
      </c>
      <c r="P140" t="s">
        <v>244</v>
      </c>
      <c r="Q140" t="s">
        <v>243</v>
      </c>
    </row>
    <row r="141" spans="2:17">
      <c r="B141" s="327"/>
      <c r="C141" s="3">
        <v>51</v>
      </c>
      <c r="D141" t="s">
        <v>748</v>
      </c>
      <c r="E141" t="s">
        <v>245</v>
      </c>
      <c r="F141" t="s">
        <v>243</v>
      </c>
      <c r="M141" s="327"/>
      <c r="N141" s="3">
        <v>51</v>
      </c>
      <c r="O141" t="s">
        <v>748</v>
      </c>
      <c r="P141" t="s">
        <v>245</v>
      </c>
      <c r="Q141" t="s">
        <v>243</v>
      </c>
    </row>
    <row r="142" spans="2:17">
      <c r="B142" s="327"/>
      <c r="M142" s="327"/>
    </row>
    <row r="143" spans="2:17">
      <c r="B143" s="327">
        <v>46110</v>
      </c>
      <c r="C143" s="3">
        <v>10</v>
      </c>
      <c r="D143" t="s">
        <v>413</v>
      </c>
      <c r="E143" t="s">
        <v>246</v>
      </c>
      <c r="F143" t="s">
        <v>243</v>
      </c>
      <c r="M143" s="327">
        <v>46110</v>
      </c>
      <c r="N143" s="3">
        <v>10</v>
      </c>
      <c r="O143" t="s">
        <v>413</v>
      </c>
      <c r="P143" t="s">
        <v>246</v>
      </c>
      <c r="Q143" t="s">
        <v>243</v>
      </c>
    </row>
    <row r="144" spans="2:17">
      <c r="B144" s="327"/>
      <c r="C144" s="3">
        <v>6</v>
      </c>
      <c r="D144" t="s">
        <v>620</v>
      </c>
      <c r="E144" t="s">
        <v>244</v>
      </c>
      <c r="F144" t="s">
        <v>243</v>
      </c>
      <c r="M144" s="327"/>
      <c r="N144" s="3">
        <v>6</v>
      </c>
      <c r="O144" t="s">
        <v>620</v>
      </c>
      <c r="P144" t="s">
        <v>244</v>
      </c>
      <c r="Q144" t="s">
        <v>243</v>
      </c>
    </row>
    <row r="145" spans="2:18">
      <c r="B145" s="327"/>
      <c r="C145" s="3">
        <v>48</v>
      </c>
      <c r="D145" t="s">
        <v>656</v>
      </c>
      <c r="E145" t="s">
        <v>245</v>
      </c>
      <c r="F145" t="s">
        <v>243</v>
      </c>
      <c r="M145" s="327"/>
      <c r="N145" s="3">
        <v>48</v>
      </c>
      <c r="O145" t="s">
        <v>656</v>
      </c>
      <c r="P145" t="s">
        <v>245</v>
      </c>
      <c r="Q145" t="s">
        <v>243</v>
      </c>
      <c r="R145" s="510">
        <f>+summary!Q53</f>
        <v>0</v>
      </c>
    </row>
    <row r="146" spans="2:18">
      <c r="B146" s="327"/>
      <c r="G146" s="510">
        <f>+summary!H53</f>
        <v>0</v>
      </c>
      <c r="M146" s="327"/>
    </row>
    <row r="147" spans="2:18">
      <c r="B147" s="327">
        <v>46111</v>
      </c>
      <c r="C147" s="3">
        <v>12</v>
      </c>
      <c r="D147" t="s">
        <v>413</v>
      </c>
      <c r="E147" t="s">
        <v>246</v>
      </c>
      <c r="F147" t="s">
        <v>243</v>
      </c>
      <c r="M147" s="327">
        <v>46111</v>
      </c>
      <c r="N147" s="3">
        <v>12</v>
      </c>
      <c r="O147" t="s">
        <v>413</v>
      </c>
      <c r="P147" t="s">
        <v>246</v>
      </c>
      <c r="Q147" t="s">
        <v>243</v>
      </c>
    </row>
    <row r="148" spans="2:18">
      <c r="B148" s="327"/>
      <c r="C148" s="3">
        <v>11</v>
      </c>
      <c r="D148" t="s">
        <v>718</v>
      </c>
      <c r="E148" t="s">
        <v>244</v>
      </c>
      <c r="F148" t="s">
        <v>243</v>
      </c>
      <c r="M148" s="327"/>
      <c r="N148" s="3">
        <v>11</v>
      </c>
      <c r="O148" t="s">
        <v>718</v>
      </c>
      <c r="P148" t="s">
        <v>244</v>
      </c>
      <c r="Q148" t="s">
        <v>243</v>
      </c>
    </row>
    <row r="149" spans="2:18">
      <c r="B149" s="327"/>
      <c r="C149" s="3">
        <v>50</v>
      </c>
      <c r="D149" t="s">
        <v>553</v>
      </c>
      <c r="E149" t="s">
        <v>245</v>
      </c>
      <c r="F149" t="s">
        <v>243</v>
      </c>
      <c r="M149" s="327"/>
      <c r="N149" s="3">
        <v>50</v>
      </c>
      <c r="O149" t="s">
        <v>553</v>
      </c>
      <c r="P149" t="s">
        <v>245</v>
      </c>
      <c r="Q149" t="s">
        <v>243</v>
      </c>
    </row>
    <row r="150" spans="2:18">
      <c r="B150" s="327"/>
      <c r="M150" s="327"/>
    </row>
    <row r="151" spans="2:18">
      <c r="B151" s="327">
        <v>46112</v>
      </c>
      <c r="C151" s="3">
        <v>14</v>
      </c>
      <c r="D151" t="s">
        <v>435</v>
      </c>
      <c r="E151" t="s">
        <v>246</v>
      </c>
      <c r="F151" t="s">
        <v>243</v>
      </c>
      <c r="M151" s="327">
        <v>46112</v>
      </c>
      <c r="N151" s="3">
        <v>14</v>
      </c>
      <c r="O151" t="s">
        <v>435</v>
      </c>
      <c r="P151" t="s">
        <v>246</v>
      </c>
      <c r="Q151" t="s">
        <v>243</v>
      </c>
    </row>
    <row r="152" spans="2:18">
      <c r="B152" s="327"/>
      <c r="C152" s="3">
        <v>6</v>
      </c>
      <c r="D152" t="s">
        <v>787</v>
      </c>
      <c r="E152" t="s">
        <v>244</v>
      </c>
      <c r="F152" t="s">
        <v>243</v>
      </c>
      <c r="M152" s="327"/>
      <c r="N152" s="3">
        <v>6</v>
      </c>
      <c r="O152" t="s">
        <v>787</v>
      </c>
      <c r="P152" t="s">
        <v>244</v>
      </c>
      <c r="Q152" t="s">
        <v>243</v>
      </c>
    </row>
    <row r="153" spans="2:18">
      <c r="B153" s="327"/>
      <c r="C153" s="3">
        <v>41</v>
      </c>
      <c r="D153" t="s">
        <v>573</v>
      </c>
      <c r="E153" t="s">
        <v>245</v>
      </c>
      <c r="F153" t="s">
        <v>243</v>
      </c>
      <c r="M153" s="327"/>
      <c r="N153" s="3">
        <v>41</v>
      </c>
      <c r="O153" t="s">
        <v>573</v>
      </c>
      <c r="P153" t="s">
        <v>245</v>
      </c>
      <c r="Q153" t="s">
        <v>243</v>
      </c>
    </row>
    <row r="154" spans="2:18">
      <c r="B154" s="327"/>
      <c r="C154" s="3">
        <v>92</v>
      </c>
      <c r="D154" t="s">
        <v>792</v>
      </c>
      <c r="E154" t="s">
        <v>793</v>
      </c>
      <c r="F154" t="s">
        <v>249</v>
      </c>
      <c r="M154" s="327"/>
      <c r="N154" s="3">
        <v>92</v>
      </c>
      <c r="O154" t="s">
        <v>792</v>
      </c>
      <c r="P154" t="s">
        <v>793</v>
      </c>
      <c r="Q154" t="s">
        <v>249</v>
      </c>
    </row>
    <row r="155" spans="2:18">
      <c r="B155" s="327"/>
      <c r="M155" s="327"/>
    </row>
    <row r="156" spans="2:18">
      <c r="B156" s="327"/>
      <c r="M156" s="327"/>
    </row>
  </sheetData>
  <autoFilter ref="B1:F121"/>
  <conditionalFormatting sqref="G1:G7 R1:R7 R9:R76 R145 G9:G68 G70:G115 G117:G1048576">
    <cfRule type="cellIs" dxfId="7" priority="2" operator="greaterThan">
      <formula>0</formula>
    </cfRule>
  </conditionalFormatting>
  <conditionalFormatting sqref="R78:R104 R106:R144 R146:R1048576">
    <cfRule type="cellIs" dxfId="6" priority="1" operator="greaterThan">
      <formula>0</formula>
    </cfRule>
  </conditionalFormatting>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3"/>
  <sheetViews>
    <sheetView topLeftCell="G28" workbookViewId="0">
      <selection activeCell="M57" sqref="M57"/>
    </sheetView>
  </sheetViews>
  <sheetFormatPr defaultRowHeight="12.75"/>
  <cols>
    <col min="1" max="1" width="15.28515625" bestFit="1" customWidth="1"/>
    <col min="2" max="2" width="23.28515625" bestFit="1" customWidth="1"/>
    <col min="3" max="3" width="34.28515625" style="547" customWidth="1"/>
    <col min="4" max="8" width="13.5703125" customWidth="1"/>
    <col min="10" max="10" width="15.28515625" bestFit="1" customWidth="1"/>
    <col min="11" max="11" width="23.28515625" bestFit="1" customWidth="1"/>
    <col min="12" max="12" width="34.28515625" style="547" customWidth="1"/>
    <col min="13" max="17" width="13.5703125" customWidth="1"/>
  </cols>
  <sheetData>
    <row r="1" spans="1:17" ht="15">
      <c r="A1" s="420" t="s">
        <v>266</v>
      </c>
      <c r="E1" s="451"/>
      <c r="F1" s="1"/>
      <c r="J1" s="420" t="s">
        <v>372</v>
      </c>
      <c r="N1" s="451"/>
      <c r="O1" s="1"/>
    </row>
    <row r="2" spans="1:17" ht="30">
      <c r="A2" s="755" t="s">
        <v>227</v>
      </c>
      <c r="B2" s="755" t="s">
        <v>228</v>
      </c>
      <c r="C2" s="756" t="s">
        <v>229</v>
      </c>
      <c r="D2" s="452" t="s">
        <v>230</v>
      </c>
      <c r="E2" s="546" t="s">
        <v>231</v>
      </c>
      <c r="F2" s="454" t="s">
        <v>232</v>
      </c>
      <c r="G2" s="546" t="s">
        <v>233</v>
      </c>
      <c r="H2" s="546" t="s">
        <v>234</v>
      </c>
      <c r="J2" s="755" t="s">
        <v>227</v>
      </c>
      <c r="K2" s="755" t="s">
        <v>228</v>
      </c>
      <c r="L2" s="754" t="s">
        <v>229</v>
      </c>
      <c r="M2" s="452" t="s">
        <v>230</v>
      </c>
      <c r="N2" s="546" t="s">
        <v>231</v>
      </c>
      <c r="O2" s="454" t="s">
        <v>232</v>
      </c>
      <c r="P2" s="546" t="s">
        <v>233</v>
      </c>
      <c r="Q2" s="546" t="s">
        <v>234</v>
      </c>
    </row>
    <row r="3" spans="1:17" ht="15">
      <c r="A3" s="755"/>
      <c r="B3" s="755"/>
      <c r="C3" s="757"/>
      <c r="D3" s="452" t="s">
        <v>816</v>
      </c>
      <c r="E3" s="452" t="str">
        <f>+D3</f>
        <v>MARET</v>
      </c>
      <c r="F3" s="452" t="str">
        <f>+E3</f>
        <v>MARET</v>
      </c>
      <c r="G3" s="452" t="str">
        <f>+F3</f>
        <v>MARET</v>
      </c>
      <c r="H3" s="452" t="str">
        <f>+G3</f>
        <v>MARET</v>
      </c>
      <c r="J3" s="755"/>
      <c r="K3" s="755"/>
      <c r="L3" s="754"/>
      <c r="M3" s="452" t="str">
        <f>+H3</f>
        <v>MARET</v>
      </c>
      <c r="N3" s="452" t="str">
        <f>+M3</f>
        <v>MARET</v>
      </c>
      <c r="O3" s="452" t="str">
        <f>+N3</f>
        <v>MARET</v>
      </c>
      <c r="P3" s="452" t="str">
        <f>+O3</f>
        <v>MARET</v>
      </c>
      <c r="Q3" s="452" t="str">
        <f>+P3</f>
        <v>MARET</v>
      </c>
    </row>
    <row r="4" spans="1:17" ht="15">
      <c r="A4" s="748" t="s">
        <v>235</v>
      </c>
      <c r="B4" s="545" t="s">
        <v>300</v>
      </c>
      <c r="C4" s="548"/>
      <c r="D4" s="6">
        <f>SUMIFS(Sheet1!$C$2:$C$181,Sheet1!$F$2:$F$181,B4,Sheet1!$E$2:$E$181,C4)</f>
        <v>0</v>
      </c>
      <c r="E4" s="6">
        <f>D4/Sheet1!$I$9*Sheet1!$I$10</f>
        <v>0</v>
      </c>
      <c r="F4" s="469">
        <f>D4/Sheet1!$I$9*Sheet1!$I$11</f>
        <v>0</v>
      </c>
      <c r="G4" s="544">
        <f>F4</f>
        <v>0</v>
      </c>
      <c r="H4" s="753">
        <f>SUM(G4:G11)</f>
        <v>2.0818503088556341E-2</v>
      </c>
      <c r="J4" s="738" t="s">
        <v>235</v>
      </c>
      <c r="K4" s="596" t="s">
        <v>300</v>
      </c>
      <c r="L4" s="548"/>
      <c r="M4" s="6">
        <f>SUMIFS(Sheet1!$N$2:$N$181,Sheet1!$Q$2:$Q$181,K4,Sheet1!$P$2:$P$181,L4)</f>
        <v>0</v>
      </c>
      <c r="N4" s="6">
        <f>M4/Sheet1!$T$9*Sheet1!$T$10</f>
        <v>0</v>
      </c>
      <c r="O4" s="469">
        <f>M4/Sheet1!$T$9*Sheet1!$T$11</f>
        <v>0</v>
      </c>
      <c r="P4" s="544">
        <f>O4</f>
        <v>0</v>
      </c>
      <c r="Q4" s="753">
        <f>SUM(P4:P11)</f>
        <v>6.5269514976910069E-3</v>
      </c>
    </row>
    <row r="5" spans="1:17" ht="15">
      <c r="A5" s="748"/>
      <c r="B5" s="545" t="s">
        <v>236</v>
      </c>
      <c r="C5" s="548"/>
      <c r="D5" s="6">
        <f>SUMIFS(Sheet1!$C$2:$C$181,Sheet1!$F$2:$F$181,B5,Sheet1!$E$2:$E$181,C5)</f>
        <v>0</v>
      </c>
      <c r="E5" s="6">
        <f>D5/Sheet1!$I$9*Sheet1!$I$10</f>
        <v>0</v>
      </c>
      <c r="F5" s="469">
        <f>D5/Sheet1!$I$9*Sheet1!$I$11</f>
        <v>0</v>
      </c>
      <c r="G5" s="549">
        <f t="shared" ref="G5:G14" si="0">F5</f>
        <v>0</v>
      </c>
      <c r="H5" s="748"/>
      <c r="J5" s="744"/>
      <c r="K5" s="596" t="s">
        <v>236</v>
      </c>
      <c r="L5" s="548"/>
      <c r="M5" s="6">
        <f>SUMIFS(Sheet1!$N$2:$N$181,Sheet1!$Q$2:$Q$181,K5,Sheet1!$P$2:$P$181,L5)</f>
        <v>0</v>
      </c>
      <c r="N5" s="6">
        <f>M5/Sheet1!$T$9*Sheet1!$T$10</f>
        <v>0</v>
      </c>
      <c r="O5" s="469">
        <f>M5/Sheet1!$T$9*Sheet1!$T$11</f>
        <v>0</v>
      </c>
      <c r="P5" s="549">
        <f t="shared" ref="P5:P14" si="1">O5</f>
        <v>0</v>
      </c>
      <c r="Q5" s="748"/>
    </row>
    <row r="6" spans="1:17" ht="15">
      <c r="A6" s="748"/>
      <c r="B6" s="742" t="s">
        <v>307</v>
      </c>
      <c r="C6" s="548"/>
      <c r="D6" s="6">
        <f>SUMIFS(Sheet1!$C$2:$C$181,Sheet1!$F$2:$F$181,B6,Sheet1!$E$2:$E$181,C6)</f>
        <v>0</v>
      </c>
      <c r="E6" s="6">
        <f>D6/Sheet1!$I$9*Sheet1!$I$10</f>
        <v>0</v>
      </c>
      <c r="F6" s="469">
        <f>D6/Sheet1!$I$9*Sheet1!$I$11</f>
        <v>0</v>
      </c>
      <c r="G6" s="549">
        <f t="shared" si="0"/>
        <v>0</v>
      </c>
      <c r="H6" s="748"/>
      <c r="J6" s="744"/>
      <c r="K6" s="742" t="s">
        <v>307</v>
      </c>
      <c r="L6" s="548"/>
      <c r="M6" s="6">
        <f>SUMIFS(Sheet1!$N$2:$N$181,Sheet1!$Q$2:$Q$181,K6,Sheet1!$P$2:$P$181,L6)</f>
        <v>0</v>
      </c>
      <c r="N6" s="6">
        <f>M6/Sheet1!$T$9*Sheet1!$T$10</f>
        <v>0</v>
      </c>
      <c r="O6" s="469">
        <f>M6/Sheet1!$T$9*Sheet1!$T$11</f>
        <v>0</v>
      </c>
      <c r="P6" s="549">
        <f t="shared" si="1"/>
        <v>0</v>
      </c>
      <c r="Q6" s="748"/>
    </row>
    <row r="7" spans="1:17" ht="15">
      <c r="A7" s="748"/>
      <c r="B7" s="743"/>
      <c r="C7" s="548"/>
      <c r="D7" s="6">
        <f>SUMIFS(Sheet1!$C$2:$C$181,Sheet1!$F$2:$F$181,B6,Sheet1!$E$2:$E$181,C7)</f>
        <v>0</v>
      </c>
      <c r="E7" s="6">
        <f>D7/Sheet1!$I$9*Sheet1!$I$10</f>
        <v>0</v>
      </c>
      <c r="F7" s="469">
        <f>D7/Sheet1!$I$9*Sheet1!$I$11</f>
        <v>0</v>
      </c>
      <c r="G7" s="549">
        <f t="shared" si="0"/>
        <v>0</v>
      </c>
      <c r="H7" s="748"/>
      <c r="J7" s="744"/>
      <c r="K7" s="743"/>
      <c r="L7" s="548"/>
      <c r="M7" s="6">
        <f>SUMIFS(Sheet1!$N$2:$N$181,Sheet1!$Q$2:$Q$181,K6,Sheet1!$P$2:$P$181,L7)</f>
        <v>0</v>
      </c>
      <c r="N7" s="6">
        <f>M7/Sheet1!$T$9*Sheet1!$T$10</f>
        <v>0</v>
      </c>
      <c r="O7" s="469">
        <f>M7/Sheet1!$T$9*Sheet1!$T$11</f>
        <v>0</v>
      </c>
      <c r="P7" s="549">
        <f t="shared" si="1"/>
        <v>0</v>
      </c>
      <c r="Q7" s="748"/>
    </row>
    <row r="8" spans="1:17" ht="12.75" customHeight="1">
      <c r="A8" s="748"/>
      <c r="B8" s="742" t="s">
        <v>306</v>
      </c>
      <c r="C8" s="548" t="s">
        <v>759</v>
      </c>
      <c r="D8" s="6">
        <f>SUMIFS(Sheet1!$C$2:$C$181,Sheet1!$F$2:$F$181,B8,Sheet1!$E$2:$E$181,C8)</f>
        <v>948</v>
      </c>
      <c r="E8" s="6">
        <f>D8/Sheet1!$I$9*Sheet1!$I$10</f>
        <v>29.375188613144932</v>
      </c>
      <c r="F8" s="469">
        <f>D8/Sheet1!$I$9*Sheet1!$I$11</f>
        <v>2.0818503088556341E-2</v>
      </c>
      <c r="G8" s="550">
        <f t="shared" si="0"/>
        <v>2.0818503088556341E-2</v>
      </c>
      <c r="H8" s="748"/>
      <c r="J8" s="744"/>
      <c r="K8" s="742" t="s">
        <v>306</v>
      </c>
      <c r="L8" s="548" t="s">
        <v>759</v>
      </c>
      <c r="M8" s="6">
        <f>SUMIFS(Sheet1!$N$2:$N$181,Sheet1!$Q$2:$Q$181,K8,Sheet1!$P$2:$P$181,L8)</f>
        <v>223</v>
      </c>
      <c r="N8" s="6">
        <f>M8/Sheet1!$T$9*Sheet1!$T$10</f>
        <v>7.0314105685180106</v>
      </c>
      <c r="O8" s="469">
        <f>M8/Sheet1!$T$9*Sheet1!$T$11</f>
        <v>6.5269514976910069E-3</v>
      </c>
      <c r="P8" s="550">
        <f t="shared" si="1"/>
        <v>6.5269514976910069E-3</v>
      </c>
      <c r="Q8" s="748"/>
    </row>
    <row r="9" spans="1:17" ht="12.75" customHeight="1">
      <c r="A9" s="748"/>
      <c r="B9" s="743"/>
      <c r="C9" s="548"/>
      <c r="D9" s="6">
        <f>SUMIFS(Sheet1!$C$2:$C$181,Sheet1!$F$2:$F$181,B8,Sheet1!$E$2:$E$181,C9)</f>
        <v>0</v>
      </c>
      <c r="E9" s="6">
        <f>D9/Sheet1!$I$9*Sheet1!$I$10</f>
        <v>0</v>
      </c>
      <c r="F9" s="469">
        <f>D9/Sheet1!$I$9*Sheet1!$I$11</f>
        <v>0</v>
      </c>
      <c r="G9" s="550">
        <f t="shared" si="0"/>
        <v>0</v>
      </c>
      <c r="H9" s="748"/>
      <c r="J9" s="744"/>
      <c r="K9" s="743"/>
      <c r="L9" s="548"/>
      <c r="M9" s="6">
        <f>SUMIFS(Sheet1!$N$2:$N$181,Sheet1!$Q$2:$Q$181,K8,Sheet1!$P$2:$P$181,L9)</f>
        <v>0</v>
      </c>
      <c r="N9" s="6">
        <f>M9/Sheet1!$T$9*Sheet1!$T$10</f>
        <v>0</v>
      </c>
      <c r="O9" s="469">
        <f>M9/Sheet1!$T$9*Sheet1!$T$11</f>
        <v>0</v>
      </c>
      <c r="P9" s="550">
        <f t="shared" si="1"/>
        <v>0</v>
      </c>
      <c r="Q9" s="748"/>
    </row>
    <row r="10" spans="1:17" ht="15" customHeight="1">
      <c r="A10" s="748"/>
      <c r="B10" s="742" t="s">
        <v>373</v>
      </c>
      <c r="C10" s="548"/>
      <c r="D10" s="6">
        <f>SUMIFS(Sheet1!$C$2:$C$181,Sheet1!$F$2:$F$181,B10,Sheet1!$E$2:$E$181,C10)</f>
        <v>0</v>
      </c>
      <c r="E10" s="6">
        <f>D10/Sheet1!$I$9*Sheet1!$I$10</f>
        <v>0</v>
      </c>
      <c r="F10" s="469">
        <f>D10/Sheet1!$I$9*Sheet1!$I$11</f>
        <v>0</v>
      </c>
      <c r="G10" s="550">
        <f t="shared" si="0"/>
        <v>0</v>
      </c>
      <c r="H10" s="748"/>
      <c r="J10" s="744"/>
      <c r="K10" s="742" t="s">
        <v>373</v>
      </c>
      <c r="L10" s="548"/>
      <c r="M10" s="6">
        <f>SUMIFS(Sheet1!$N$2:$N$181,Sheet1!$Q$2:$Q$181,K10,Sheet1!$P$2:$P$181,L10)</f>
        <v>0</v>
      </c>
      <c r="N10" s="6">
        <f>M10/Sheet1!$T$9*Sheet1!$T$10</f>
        <v>0</v>
      </c>
      <c r="O10" s="469">
        <f>M10/Sheet1!$T$9*Sheet1!$T$11</f>
        <v>0</v>
      </c>
      <c r="P10" s="550">
        <f t="shared" si="1"/>
        <v>0</v>
      </c>
      <c r="Q10" s="748"/>
    </row>
    <row r="11" spans="1:17" ht="15" customHeight="1">
      <c r="A11" s="748"/>
      <c r="B11" s="743"/>
      <c r="C11" s="548"/>
      <c r="D11" s="6">
        <f>SUMIFS(Sheet1!$C$2:$C$181,Sheet1!$F$2:$F$181,B10,Sheet1!$E$2:$E$181,C11)</f>
        <v>0</v>
      </c>
      <c r="E11" s="6">
        <f>D11/Sheet1!$I$9*Sheet1!$I$10</f>
        <v>0</v>
      </c>
      <c r="F11" s="469">
        <f>D11/Sheet1!$I$9*Sheet1!$I$11</f>
        <v>0</v>
      </c>
      <c r="G11" s="550">
        <f t="shared" si="0"/>
        <v>0</v>
      </c>
      <c r="H11" s="748"/>
      <c r="J11" s="739"/>
      <c r="K11" s="743"/>
      <c r="L11" s="548"/>
      <c r="M11" s="6">
        <f>SUMIFS(Sheet1!$N$2:$N$181,Sheet1!$Q$2:$Q$181,K10,Sheet1!$P$2:$P$181,L11)</f>
        <v>0</v>
      </c>
      <c r="N11" s="6">
        <f>M11/Sheet1!$T$9*Sheet1!$T$10</f>
        <v>0</v>
      </c>
      <c r="O11" s="469">
        <f>M11/Sheet1!$T$9*Sheet1!$T$11</f>
        <v>0</v>
      </c>
      <c r="P11" s="550">
        <f t="shared" si="1"/>
        <v>0</v>
      </c>
      <c r="Q11" s="748"/>
    </row>
    <row r="12" spans="1:17" ht="15">
      <c r="A12" s="748" t="s">
        <v>10</v>
      </c>
      <c r="B12" s="545" t="s">
        <v>147</v>
      </c>
      <c r="C12" s="548" t="s">
        <v>147</v>
      </c>
      <c r="D12" s="6"/>
      <c r="E12" s="6">
        <f>+Sheet1!I2</f>
        <v>1.1160000000000001</v>
      </c>
      <c r="F12" s="469">
        <f>E12/Sheet1!$I$8</f>
        <v>7.9092086021303987E-4</v>
      </c>
      <c r="G12" s="549">
        <f t="shared" si="0"/>
        <v>7.9092086021303987E-4</v>
      </c>
      <c r="H12" s="749">
        <f>SUM(G12:G13)</f>
        <v>3.6754084020352358E-2</v>
      </c>
      <c r="J12" s="738" t="s">
        <v>10</v>
      </c>
      <c r="K12" s="596" t="s">
        <v>147</v>
      </c>
      <c r="L12" s="548" t="s">
        <v>147</v>
      </c>
      <c r="M12" s="6"/>
      <c r="N12" s="6">
        <f>+Sheet1!T2</f>
        <v>1.1160000000000001</v>
      </c>
      <c r="O12" s="469">
        <f>+Sheet1!U2</f>
        <v>1.0359340846965233E-3</v>
      </c>
      <c r="P12" s="549">
        <f t="shared" si="1"/>
        <v>1.0359340846965233E-3</v>
      </c>
      <c r="Q12" s="749">
        <f>SUM(P12:P13)</f>
        <v>4.81398459742573E-2</v>
      </c>
    </row>
    <row r="13" spans="1:17" ht="15">
      <c r="A13" s="748"/>
      <c r="B13" s="545" t="s">
        <v>237</v>
      </c>
      <c r="C13" s="548" t="s">
        <v>238</v>
      </c>
      <c r="D13" s="6"/>
      <c r="E13" s="6">
        <f>+Sheet1!I3</f>
        <v>50.744508212749473</v>
      </c>
      <c r="F13" s="469">
        <f>E13/Sheet1!$I$8</f>
        <v>3.5963163160139318E-2</v>
      </c>
      <c r="G13" s="549">
        <f t="shared" si="0"/>
        <v>3.5963163160139318E-2</v>
      </c>
      <c r="H13" s="750"/>
      <c r="J13" s="739"/>
      <c r="K13" s="596" t="s">
        <v>237</v>
      </c>
      <c r="L13" s="548" t="s">
        <v>238</v>
      </c>
      <c r="M13" s="6"/>
      <c r="N13" s="6">
        <f>+Sheet1!T3</f>
        <v>50.744508212749473</v>
      </c>
      <c r="O13" s="469">
        <f>+Sheet1!U3</f>
        <v>4.7103911889560778E-2</v>
      </c>
      <c r="P13" s="549">
        <f t="shared" si="1"/>
        <v>4.7103911889560778E-2</v>
      </c>
      <c r="Q13" s="750"/>
    </row>
    <row r="14" spans="1:17" ht="15">
      <c r="A14" s="738" t="s">
        <v>12</v>
      </c>
      <c r="B14" s="545" t="s">
        <v>239</v>
      </c>
      <c r="C14" s="548" t="s">
        <v>239</v>
      </c>
      <c r="D14" s="6"/>
      <c r="E14" s="6">
        <f>+Sheet1!I4</f>
        <v>-4.1897740454489831</v>
      </c>
      <c r="F14" s="469">
        <f>E14/Sheet1!$I$8</f>
        <v>-2.9693366416888686E-3</v>
      </c>
      <c r="G14" s="549">
        <f t="shared" si="0"/>
        <v>-2.9693366416888686E-3</v>
      </c>
      <c r="H14" s="746">
        <f>SUM(G14:G23)</f>
        <v>6.5589829069285205E-2</v>
      </c>
      <c r="J14" s="738" t="s">
        <v>12</v>
      </c>
      <c r="K14" s="596" t="s">
        <v>239</v>
      </c>
      <c r="L14" s="548" t="s">
        <v>239</v>
      </c>
      <c r="M14" s="6"/>
      <c r="N14" s="6">
        <f>+Sheet1!T4</f>
        <v>-3.0782852383886086</v>
      </c>
      <c r="O14" s="469">
        <f>+Sheet1!U4</f>
        <v>-2.8574378143950913E-3</v>
      </c>
      <c r="P14" s="549">
        <f t="shared" si="1"/>
        <v>-2.8574378143950913E-3</v>
      </c>
      <c r="Q14" s="746">
        <f>SUM(P14:P23)</f>
        <v>8.6820203483621586E-2</v>
      </c>
    </row>
    <row r="15" spans="1:17" ht="15">
      <c r="A15" s="744"/>
      <c r="B15" s="545" t="s">
        <v>240</v>
      </c>
      <c r="C15" s="548" t="s">
        <v>240</v>
      </c>
      <c r="D15" s="6"/>
      <c r="E15" s="6">
        <f>+Sheet1!I5</f>
        <v>40.838286871314082</v>
      </c>
      <c r="F15" s="469">
        <f>E15/Sheet1!$I$8</f>
        <v>2.8942520593088373E-2</v>
      </c>
      <c r="G15" s="549">
        <f>F15</f>
        <v>2.8942520593088373E-2</v>
      </c>
      <c r="H15" s="746"/>
      <c r="J15" s="744"/>
      <c r="K15" s="596" t="s">
        <v>240</v>
      </c>
      <c r="L15" s="548" t="s">
        <v>240</v>
      </c>
      <c r="M15" s="6"/>
      <c r="N15" s="6">
        <f>+Sheet1!T5</f>
        <v>39.7267980642537</v>
      </c>
      <c r="O15" s="469">
        <f>+Sheet1!U5</f>
        <v>3.6876652500552207E-2</v>
      </c>
      <c r="P15" s="549">
        <f>O15</f>
        <v>3.6876652500552207E-2</v>
      </c>
      <c r="Q15" s="746"/>
    </row>
    <row r="16" spans="1:17" ht="12.75" customHeight="1">
      <c r="A16" s="744"/>
      <c r="B16" s="747" t="s">
        <v>241</v>
      </c>
      <c r="C16" s="548" t="s">
        <v>761</v>
      </c>
      <c r="D16" s="6">
        <f>SUMIFS(Sheet1!$C$2:$C$181,Sheet1!$F$2:$F$181,B16,Sheet1!$E$2:$E$181,C16)</f>
        <v>105</v>
      </c>
      <c r="E16" s="6">
        <f>D16/Sheet1!$I$9*Sheet1!$I$10</f>
        <v>3.253581017278711</v>
      </c>
      <c r="F16" s="469">
        <f>D16/Sheet1!$I$9*Sheet1!$I$11</f>
        <v>2.3058468610742786E-3</v>
      </c>
      <c r="G16" s="745">
        <f>SUM(F16:F17)</f>
        <v>2.3058468610742786E-3</v>
      </c>
      <c r="H16" s="746"/>
      <c r="J16" s="744"/>
      <c r="K16" s="747" t="s">
        <v>241</v>
      </c>
      <c r="L16" s="548" t="s">
        <v>761</v>
      </c>
      <c r="M16" s="6">
        <f>SUMIFS(Sheet1!$N$2:$N$181,Sheet1!$Q$2:$Q$181,K16,Sheet1!$P$2:$P$181,L16)</f>
        <v>105</v>
      </c>
      <c r="N16" s="6">
        <f>M16/Sheet1!$T$9*Sheet1!$T$10</f>
        <v>3.3107538551317988</v>
      </c>
      <c r="O16" s="469">
        <f>M16/Sheet1!$T$9*Sheet1!$T$11</f>
        <v>3.0732282836661694E-3</v>
      </c>
      <c r="P16" s="745">
        <f>SUM(O16:O17)</f>
        <v>3.0732282836661694E-3</v>
      </c>
      <c r="Q16" s="746"/>
    </row>
    <row r="17" spans="1:17" ht="12.75" customHeight="1">
      <c r="A17" s="744"/>
      <c r="B17" s="747"/>
      <c r="C17" s="548"/>
      <c r="D17" s="6">
        <f>SUMIFS(Sheet1!$C$2:$C$181,Sheet1!$F$2:$F$181,B16,Sheet1!$E$2:$E$181,C17)</f>
        <v>0</v>
      </c>
      <c r="E17" s="6">
        <f>D17/Sheet1!$I$9*Sheet1!$I$10</f>
        <v>0</v>
      </c>
      <c r="F17" s="469">
        <f>D17/Sheet1!$I$9*Sheet1!$I$11</f>
        <v>0</v>
      </c>
      <c r="G17" s="745"/>
      <c r="H17" s="746"/>
      <c r="J17" s="744"/>
      <c r="K17" s="747"/>
      <c r="L17" s="548" t="s">
        <v>766</v>
      </c>
      <c r="M17" s="6">
        <f>SUMIFS(Sheet1!$N$2:$N$181,Sheet1!$Q$2:$Q$181,K16,Sheet1!$P$2:$P$181,L17)</f>
        <v>0</v>
      </c>
      <c r="N17" s="6">
        <f>M17/Sheet1!$T$9*Sheet1!$T$10</f>
        <v>0</v>
      </c>
      <c r="O17" s="469">
        <f>M17/Sheet1!$T$9*Sheet1!$T$11</f>
        <v>0</v>
      </c>
      <c r="P17" s="745"/>
      <c r="Q17" s="746"/>
    </row>
    <row r="18" spans="1:17" ht="15">
      <c r="A18" s="744"/>
      <c r="B18" s="545" t="s">
        <v>242</v>
      </c>
      <c r="C18" s="548" t="s">
        <v>219</v>
      </c>
      <c r="D18" s="6">
        <f>SUMIFS(Sheet1!$C$2:$C$181,Sheet1!$F$2:$F$181,B18,Sheet1!$E$2:$E$181,C18)</f>
        <v>0</v>
      </c>
      <c r="E18" s="6">
        <f>D18/Sheet1!$I$9*Sheet1!$I$10</f>
        <v>0</v>
      </c>
      <c r="F18" s="469">
        <f>D18/Sheet1!$I$9*Sheet1!$I$11</f>
        <v>0</v>
      </c>
      <c r="G18" s="549">
        <f>F18</f>
        <v>0</v>
      </c>
      <c r="H18" s="746"/>
      <c r="J18" s="744"/>
      <c r="K18" s="596" t="s">
        <v>242</v>
      </c>
      <c r="L18" s="548" t="s">
        <v>219</v>
      </c>
      <c r="M18" s="6">
        <f>SUMIFS(Sheet1!$N$2:$N$181,Sheet1!$Q$2:$Q$181,K18,Sheet1!$P$2:$P$181,L18)</f>
        <v>0</v>
      </c>
      <c r="N18" s="6">
        <f>M18/Sheet1!$T$9*Sheet1!$T$10</f>
        <v>0</v>
      </c>
      <c r="O18" s="469">
        <f>M18/Sheet1!$T$9*Sheet1!$T$11</f>
        <v>0</v>
      </c>
      <c r="P18" s="549">
        <f>O18</f>
        <v>0</v>
      </c>
      <c r="Q18" s="746"/>
    </row>
    <row r="19" spans="1:17" ht="12.75" customHeight="1">
      <c r="A19" s="744"/>
      <c r="B19" s="742" t="s">
        <v>243</v>
      </c>
      <c r="C19" s="548" t="s">
        <v>244</v>
      </c>
      <c r="D19" s="6">
        <f>SUMIFS(Sheet1!$C$2:$C$181,Sheet1!$F$2:$F$181,B19,Sheet1!$E$2:$E$181,C19)</f>
        <v>108</v>
      </c>
      <c r="E19" s="6">
        <f>D19/Sheet1!$I$9*Sheet1!$I$10</f>
        <v>3.346540474915245</v>
      </c>
      <c r="F19" s="469">
        <f>D19/Sheet1!$I$9*Sheet1!$I$11</f>
        <v>2.371728199962115E-3</v>
      </c>
      <c r="G19" s="740">
        <f>SUM(F19:F23)</f>
        <v>3.7310798256811419E-2</v>
      </c>
      <c r="H19" s="746"/>
      <c r="J19" s="744"/>
      <c r="K19" s="742" t="s">
        <v>243</v>
      </c>
      <c r="L19" s="548" t="s">
        <v>244</v>
      </c>
      <c r="M19" s="6">
        <f>SUMIFS(Sheet1!$N$2:$N$181,Sheet1!$Q$2:$Q$181,$K$19,Sheet1!$P$2:$P$181,L19)</f>
        <v>108</v>
      </c>
      <c r="N19" s="6">
        <f>M19/Sheet1!$T$9*Sheet1!$T$10</f>
        <v>3.4053468224212788</v>
      </c>
      <c r="O19" s="469">
        <f>M19/Sheet1!$T$9*Sheet1!$T$11</f>
        <v>3.1610348060566312E-3</v>
      </c>
      <c r="P19" s="740">
        <f>SUM(O19:O23)</f>
        <v>4.9727760513798298E-2</v>
      </c>
      <c r="Q19" s="746"/>
    </row>
    <row r="20" spans="1:17" ht="12.75" customHeight="1">
      <c r="A20" s="744"/>
      <c r="B20" s="751"/>
      <c r="C20" s="548" t="s">
        <v>245</v>
      </c>
      <c r="D20" s="6">
        <f>SUMIFS(Sheet1!$C$2:$C$181,Sheet1!$F$2:$F$181,B19,Sheet1!$E$2:$E$181,C20)</f>
        <v>1167</v>
      </c>
      <c r="E20" s="6">
        <f>D20/Sheet1!$I$9*Sheet1!$I$10</f>
        <v>36.161229020611955</v>
      </c>
      <c r="F20" s="469">
        <f>D20/Sheet1!$I$9*Sheet1!$I$11</f>
        <v>2.5627840827368409E-2</v>
      </c>
      <c r="G20" s="752"/>
      <c r="H20" s="746"/>
      <c r="J20" s="744"/>
      <c r="K20" s="751"/>
      <c r="L20" s="548" t="s">
        <v>245</v>
      </c>
      <c r="M20" s="6">
        <f>SUMIFS(Sheet1!$N$2:$N$181,Sheet1!$Q$2:$Q$181,$K$19,Sheet1!$P$2:$P$181,L20)</f>
        <v>1167</v>
      </c>
      <c r="N20" s="6">
        <f>M20/Sheet1!$T$9*Sheet1!$T$10</f>
        <v>36.796664275607704</v>
      </c>
      <c r="O20" s="469">
        <f>M20/Sheet1!$T$9*Sheet1!$T$11</f>
        <v>3.4156737209889709E-2</v>
      </c>
      <c r="P20" s="752"/>
      <c r="Q20" s="746"/>
    </row>
    <row r="21" spans="1:17" ht="12.75" customHeight="1">
      <c r="A21" s="744"/>
      <c r="B21" s="751"/>
      <c r="C21" s="548" t="s">
        <v>246</v>
      </c>
      <c r="D21" s="6">
        <f>SUMIFS(Sheet1!$C$2:$C$181,Sheet1!$F$2:$F$181,B19,Sheet1!$E$2:$E$181,C21)</f>
        <v>424</v>
      </c>
      <c r="E21" s="6">
        <f>D21/Sheet1!$I$9*Sheet1!$I$10</f>
        <v>13.138270012630221</v>
      </c>
      <c r="F21" s="469">
        <f>D21/Sheet1!$I$9*Sheet1!$I$11</f>
        <v>9.3112292294808951E-3</v>
      </c>
      <c r="G21" s="752"/>
      <c r="H21" s="746"/>
      <c r="J21" s="744"/>
      <c r="K21" s="751"/>
      <c r="L21" s="548" t="s">
        <v>246</v>
      </c>
      <c r="M21" s="6">
        <f>SUMIFS(Sheet1!$N$2:$N$181,Sheet1!$Q$2:$Q$181,$K$19,Sheet1!$P$2:$P$181,L21)</f>
        <v>424</v>
      </c>
      <c r="N21" s="6">
        <f>M21/Sheet1!$T$9*Sheet1!$T$10</f>
        <v>13.369139376913166</v>
      </c>
      <c r="O21" s="469">
        <f>M21/Sheet1!$T$9*Sheet1!$T$11</f>
        <v>1.2409988497851958E-2</v>
      </c>
      <c r="P21" s="752"/>
      <c r="Q21" s="746"/>
    </row>
    <row r="22" spans="1:17" ht="12.75" customHeight="1">
      <c r="A22" s="744"/>
      <c r="B22" s="751"/>
      <c r="C22" s="548" t="s">
        <v>13</v>
      </c>
      <c r="D22" s="6">
        <f>SUMIFS(Sheet1!$C$2:$C$181,Sheet1!$F$2:$F$181,B19,Sheet1!$E$2:$E$181,C22)</f>
        <v>0</v>
      </c>
      <c r="E22" s="6">
        <f>D22/Sheet1!$I$9*Sheet1!$I$10</f>
        <v>0</v>
      </c>
      <c r="F22" s="469">
        <f>D22/Sheet1!$I$9*Sheet1!$I$11</f>
        <v>0</v>
      </c>
      <c r="G22" s="752"/>
      <c r="H22" s="746"/>
      <c r="J22" s="744"/>
      <c r="K22" s="751"/>
      <c r="L22" s="548" t="s">
        <v>13</v>
      </c>
      <c r="M22" s="6">
        <f>SUMIFS(Sheet1!$N$2:$N$181,Sheet1!$Q$2:$Q$181,$K$19,Sheet1!$P$2:$P$181,L22)</f>
        <v>0</v>
      </c>
      <c r="N22" s="6">
        <f>M22/Sheet1!$T$9*Sheet1!$T$10</f>
        <v>0</v>
      </c>
      <c r="O22" s="469">
        <f>M22/Sheet1!$T$9*Sheet1!$T$11</f>
        <v>0</v>
      </c>
      <c r="P22" s="752"/>
      <c r="Q22" s="746"/>
    </row>
    <row r="23" spans="1:17" ht="12.75" customHeight="1">
      <c r="A23" s="744"/>
      <c r="B23" s="743"/>
      <c r="C23" s="548"/>
      <c r="D23" s="6">
        <f>SUMIFS(Sheet1!$C$2:$C$181,Sheet1!$F$2:$F$181,B19,Sheet1!$E$2:$E$181,C23)</f>
        <v>0</v>
      </c>
      <c r="E23" s="6">
        <f>D23/Sheet1!$I$9*Sheet1!$I$10</f>
        <v>0</v>
      </c>
      <c r="F23" s="469">
        <f>D23/Sheet1!$I$9*Sheet1!$I$11</f>
        <v>0</v>
      </c>
      <c r="G23" s="741"/>
      <c r="H23" s="746"/>
      <c r="J23" s="739"/>
      <c r="K23" s="743"/>
      <c r="L23" s="548"/>
      <c r="M23" s="6">
        <f>SUMIFS(Sheet1!$N$2:$N$181,Sheet1!$Q$2:$Q$181,$K$19,Sheet1!$P$2:$P$181,L23)</f>
        <v>0</v>
      </c>
      <c r="N23" s="6">
        <f>M23/Sheet1!$T$9*Sheet1!$T$10</f>
        <v>0</v>
      </c>
      <c r="O23" s="469">
        <f>M23/Sheet1!$T$9*Sheet1!$T$11</f>
        <v>0</v>
      </c>
      <c r="P23" s="741"/>
      <c r="Q23" s="746"/>
    </row>
    <row r="24" spans="1:17" ht="12.75" customHeight="1">
      <c r="A24" s="748" t="s">
        <v>247</v>
      </c>
      <c r="B24" s="747" t="s">
        <v>248</v>
      </c>
      <c r="C24" s="551" t="s">
        <v>760</v>
      </c>
      <c r="D24" s="6">
        <f>SUMIFS(Sheet1!$C$2:$C$181,Sheet1!$F$2:$F$181,B24,Sheet1!$E$2:$E$181,C24)</f>
        <v>145</v>
      </c>
      <c r="E24" s="6">
        <f>D24/Sheet1!$I$9*Sheet1!$I$10</f>
        <v>4.4930404524325054</v>
      </c>
      <c r="F24" s="469">
        <f>D24/Sheet1!$I$9*Sheet1!$I$11</f>
        <v>3.1842647129120987E-3</v>
      </c>
      <c r="G24" s="745">
        <f>SUM(F24:F30)</f>
        <v>3.1842647129120987E-3</v>
      </c>
      <c r="H24" s="746">
        <f>SUM(G24:G38)</f>
        <v>1.295666331460785E-2</v>
      </c>
      <c r="J24" s="738" t="s">
        <v>247</v>
      </c>
      <c r="K24" s="747" t="s">
        <v>248</v>
      </c>
      <c r="L24" s="551" t="s">
        <v>760</v>
      </c>
      <c r="M24" s="6">
        <f>SUMIFS(Sheet1!$N$2:$N$181,Sheet1!$Q$2:$Q$181,$K$24,Sheet1!$P$2:$P$181,L24)</f>
        <v>145</v>
      </c>
      <c r="N24" s="6">
        <f>M24/Sheet1!$T$9*Sheet1!$T$10</f>
        <v>4.5719934189915312</v>
      </c>
      <c r="O24" s="469">
        <f>M24/Sheet1!$T$9*Sheet1!$T$11</f>
        <v>4.2439819155389961E-3</v>
      </c>
      <c r="P24" s="745">
        <f>SUM(O24:O30)</f>
        <v>4.2439819155389961E-3</v>
      </c>
      <c r="Q24" s="746">
        <f>SUM(P24:P38)</f>
        <v>1.7268616070124192E-2</v>
      </c>
    </row>
    <row r="25" spans="1:17" ht="12.75" customHeight="1">
      <c r="A25" s="748"/>
      <c r="B25" s="747"/>
      <c r="C25" s="551"/>
      <c r="D25" s="6">
        <f>SUMIFS(Sheet1!$C$2:$C$181,Sheet1!$F$2:$F$181,B24,Sheet1!$E$2:$E$181,C25)</f>
        <v>0</v>
      </c>
      <c r="E25" s="6">
        <f>D25/Sheet1!$I$9*Sheet1!$I$10</f>
        <v>0</v>
      </c>
      <c r="F25" s="469">
        <f>D25/Sheet1!$I$9*Sheet1!$I$11</f>
        <v>0</v>
      </c>
      <c r="G25" s="745"/>
      <c r="H25" s="746"/>
      <c r="J25" s="744"/>
      <c r="K25" s="747"/>
      <c r="L25" s="551"/>
      <c r="M25" s="6">
        <f>SUMIFS(Sheet1!$N$2:$N$181,Sheet1!$Q$2:$Q$181,$K$24,Sheet1!$P$2:$P$181,L25)</f>
        <v>0</v>
      </c>
      <c r="N25" s="6">
        <f>M25/Sheet1!$T$9*Sheet1!$T$10</f>
        <v>0</v>
      </c>
      <c r="O25" s="469">
        <f>M25/Sheet1!$T$9*Sheet1!$T$11</f>
        <v>0</v>
      </c>
      <c r="P25" s="745"/>
      <c r="Q25" s="746"/>
    </row>
    <row r="26" spans="1:17" ht="12.75" customHeight="1">
      <c r="A26" s="748"/>
      <c r="B26" s="747"/>
      <c r="C26" s="532"/>
      <c r="D26" s="6">
        <f>SUMIFS(Sheet1!$C$2:$C$181,Sheet1!$F$2:$F$181,B24,Sheet1!$E$2:$E$181,C26)</f>
        <v>0</v>
      </c>
      <c r="E26" s="6">
        <f>D26/Sheet1!$I$9*Sheet1!$I$10</f>
        <v>0</v>
      </c>
      <c r="F26" s="469">
        <f>D26/Sheet1!$I$9*Sheet1!$I$11</f>
        <v>0</v>
      </c>
      <c r="G26" s="745"/>
      <c r="H26" s="746"/>
      <c r="J26" s="744"/>
      <c r="K26" s="747"/>
      <c r="L26" s="532"/>
      <c r="M26" s="6">
        <f>SUMIFS(Sheet1!$N$2:$N$181,Sheet1!$Q$2:$Q$181,$K$24,Sheet1!$P$2:$P$181,L26)</f>
        <v>0</v>
      </c>
      <c r="N26" s="6">
        <f>M26/Sheet1!$T$9*Sheet1!$T$10</f>
        <v>0</v>
      </c>
      <c r="O26" s="469">
        <f>M26/Sheet1!$T$9*Sheet1!$T$11</f>
        <v>0</v>
      </c>
      <c r="P26" s="745"/>
      <c r="Q26" s="746"/>
    </row>
    <row r="27" spans="1:17" ht="12.75" customHeight="1">
      <c r="A27" s="748"/>
      <c r="B27" s="747"/>
      <c r="D27" s="6">
        <f>SUMIFS(Sheet1!$C$2:$C$181,Sheet1!$F$2:$F$181,B24,Sheet1!$E$2:$E$181,C27)</f>
        <v>0</v>
      </c>
      <c r="E27" s="6">
        <f>D27/Sheet1!$I$9*Sheet1!$I$10</f>
        <v>0</v>
      </c>
      <c r="F27" s="469">
        <f>D27/Sheet1!$I$9*Sheet1!$I$11</f>
        <v>0</v>
      </c>
      <c r="G27" s="745"/>
      <c r="H27" s="746"/>
      <c r="J27" s="744"/>
      <c r="K27" s="747"/>
      <c r="M27" s="6">
        <f>SUMIFS(Sheet1!$N$2:$N$181,Sheet1!$Q$2:$Q$181,$K$24,Sheet1!$P$2:$P$181,L27)</f>
        <v>0</v>
      </c>
      <c r="N27" s="6">
        <f>M27/Sheet1!$T$9*Sheet1!$T$10</f>
        <v>0</v>
      </c>
      <c r="O27" s="469">
        <f>M27/Sheet1!$T$9*Sheet1!$T$11</f>
        <v>0</v>
      </c>
      <c r="P27" s="745"/>
      <c r="Q27" s="746"/>
    </row>
    <row r="28" spans="1:17" ht="12.75" customHeight="1">
      <c r="A28" s="748"/>
      <c r="B28" s="747"/>
      <c r="C28" s="548"/>
      <c r="D28" s="6">
        <f>SUMIFS(Sheet1!$C$2:$C$181,Sheet1!$F$2:$F$181,B24,Sheet1!$E$2:$E$181,C28)</f>
        <v>0</v>
      </c>
      <c r="E28" s="6">
        <f>D28/Sheet1!$I$9*Sheet1!$I$10</f>
        <v>0</v>
      </c>
      <c r="F28" s="469">
        <f>D28/Sheet1!$I$9*Sheet1!$I$11</f>
        <v>0</v>
      </c>
      <c r="G28" s="745"/>
      <c r="H28" s="746"/>
      <c r="J28" s="744"/>
      <c r="K28" s="747"/>
      <c r="L28" s="548"/>
      <c r="M28" s="6">
        <f>SUMIFS(Sheet1!$N$2:$N$181,Sheet1!$Q$2:$Q$181,$K$24,Sheet1!$P$2:$P$181,L28)</f>
        <v>0</v>
      </c>
      <c r="N28" s="6">
        <f>M28/Sheet1!$T$9*Sheet1!$T$10</f>
        <v>0</v>
      </c>
      <c r="O28" s="469">
        <f>M28/Sheet1!$T$9*Sheet1!$T$11</f>
        <v>0</v>
      </c>
      <c r="P28" s="745"/>
      <c r="Q28" s="746"/>
    </row>
    <row r="29" spans="1:17" ht="12.75" customHeight="1">
      <c r="A29" s="748"/>
      <c r="B29" s="747"/>
      <c r="C29" s="548"/>
      <c r="D29" s="6">
        <f>SUMIFS(Sheet1!$C$2:$C$181,Sheet1!$F$2:$F$181,B24,Sheet1!$E$2:$E$181,C29)</f>
        <v>0</v>
      </c>
      <c r="E29" s="6">
        <f>D29/Sheet1!$I$9*Sheet1!$I$10</f>
        <v>0</v>
      </c>
      <c r="F29" s="469">
        <f>D29/Sheet1!$I$9*Sheet1!$I$11</f>
        <v>0</v>
      </c>
      <c r="G29" s="745"/>
      <c r="H29" s="746"/>
      <c r="J29" s="744"/>
      <c r="K29" s="747"/>
      <c r="L29" s="548"/>
      <c r="M29" s="6">
        <f>SUMIFS(Sheet1!$N$2:$N$181,Sheet1!$Q$2:$Q$181,$K$24,Sheet1!$P$2:$P$181,L29)</f>
        <v>0</v>
      </c>
      <c r="N29" s="6">
        <f>M29/Sheet1!$T$9*Sheet1!$T$10</f>
        <v>0</v>
      </c>
      <c r="O29" s="469">
        <f>M29/Sheet1!$T$9*Sheet1!$T$11</f>
        <v>0</v>
      </c>
      <c r="P29" s="745"/>
      <c r="Q29" s="746"/>
    </row>
    <row r="30" spans="1:17" ht="12.75" customHeight="1">
      <c r="A30" s="748"/>
      <c r="B30" s="747"/>
      <c r="C30" s="548"/>
      <c r="D30" s="6">
        <f>SUMIFS(Sheet1!$C$2:$C$181,Sheet1!$F$2:$F$181,B24,Sheet1!$E$2:$E$181,C30)</f>
        <v>0</v>
      </c>
      <c r="E30" s="6">
        <f>D30/Sheet1!$I$9*Sheet1!$I$10</f>
        <v>0</v>
      </c>
      <c r="F30" s="469">
        <f>D30/Sheet1!$I$9*Sheet1!$I$11</f>
        <v>0</v>
      </c>
      <c r="G30" s="745"/>
      <c r="H30" s="746"/>
      <c r="J30" s="744"/>
      <c r="K30" s="747"/>
      <c r="L30" s="548"/>
      <c r="M30" s="6">
        <f>SUMIFS(Sheet1!$N$2:$N$181,Sheet1!$Q$2:$Q$181,$K$24,Sheet1!$P$2:$P$181,L30)</f>
        <v>0</v>
      </c>
      <c r="N30" s="6">
        <f>M30/Sheet1!$T$9*Sheet1!$T$10</f>
        <v>0</v>
      </c>
      <c r="O30" s="469">
        <f>M30/Sheet1!$T$9*Sheet1!$T$11</f>
        <v>0</v>
      </c>
      <c r="P30" s="745"/>
      <c r="Q30" s="746"/>
    </row>
    <row r="31" spans="1:17" ht="12.75" customHeight="1">
      <c r="A31" s="748"/>
      <c r="B31" s="742" t="s">
        <v>249</v>
      </c>
      <c r="C31" s="547" t="s">
        <v>793</v>
      </c>
      <c r="D31" s="6">
        <f>SUMIFS(Sheet1!$C$2:$C$181,Sheet1!$F$2:$F$181,B31,Sheet1!$E$2:$E$181,C31)</f>
        <v>92</v>
      </c>
      <c r="E31" s="6">
        <f>D31/Sheet1!$I$9*Sheet1!$I$10</f>
        <v>2.8507567008537271</v>
      </c>
      <c r="F31" s="469">
        <f>D31/Sheet1!$I$9*Sheet1!$I$11</f>
        <v>2.0203610592269866E-3</v>
      </c>
      <c r="G31" s="740">
        <f>SUM(F31:F32)</f>
        <v>2.0203610592269866E-3</v>
      </c>
      <c r="H31" s="746"/>
      <c r="J31" s="744"/>
      <c r="K31" s="742" t="s">
        <v>249</v>
      </c>
      <c r="L31" s="547" t="s">
        <v>793</v>
      </c>
      <c r="M31" s="6">
        <f>SUMIFS(Sheet1!$N$2:$N$181,Sheet1!$Q$2:$Q$181,$K$31,Sheet1!$P$2:$P$181,L31)</f>
        <v>92</v>
      </c>
      <c r="N31" s="6">
        <f>M31/Sheet1!$T$9*Sheet1!$T$10</f>
        <v>2.9008509968773857</v>
      </c>
      <c r="O31" s="469">
        <f>M31/Sheet1!$T$9*Sheet1!$T$11</f>
        <v>2.6927333533075005E-3</v>
      </c>
      <c r="P31" s="740">
        <f>SUM(O31:O32)</f>
        <v>2.6927333533075005E-3</v>
      </c>
      <c r="Q31" s="746"/>
    </row>
    <row r="32" spans="1:17" ht="12.75" customHeight="1">
      <c r="A32" s="748"/>
      <c r="B32" s="743"/>
      <c r="C32" s="548"/>
      <c r="D32" s="6">
        <f>SUMIFS(Sheet1!$C$2:$C$181,Sheet1!$F$2:$F$181,B31,Sheet1!$E$2:$E$181,C32)</f>
        <v>0</v>
      </c>
      <c r="E32" s="6">
        <f>D32/Sheet1!$I$9*Sheet1!$I$10</f>
        <v>0</v>
      </c>
      <c r="F32" s="469">
        <f>D32/Sheet1!$I$9*Sheet1!$I$11</f>
        <v>0</v>
      </c>
      <c r="G32" s="741"/>
      <c r="H32" s="746"/>
      <c r="J32" s="744"/>
      <c r="K32" s="743"/>
      <c r="L32" s="548"/>
      <c r="M32" s="6">
        <f>SUMIFS(Sheet1!$N$2:$N$181,Sheet1!$Q$2:$Q$181,$K$31,Sheet1!$P$2:$P$181,L32)</f>
        <v>0</v>
      </c>
      <c r="N32" s="6">
        <f>M32/Sheet1!$T$9*Sheet1!$T$10</f>
        <v>0</v>
      </c>
      <c r="O32" s="469">
        <f>M32/Sheet1!$T$9*Sheet1!$T$11</f>
        <v>0</v>
      </c>
      <c r="P32" s="741"/>
      <c r="Q32" s="746"/>
    </row>
    <row r="33" spans="1:17" ht="12.75" customHeight="1">
      <c r="A33" s="748"/>
      <c r="B33" s="747" t="s">
        <v>250</v>
      </c>
      <c r="C33" s="548" t="s">
        <v>762</v>
      </c>
      <c r="D33" s="6">
        <f>SUMIFS(Sheet1!$C$2:$C$181,Sheet1!$F$2:$F$181,B33,Sheet1!$E$2:$E$181,C33)</f>
        <v>18</v>
      </c>
      <c r="E33" s="6">
        <f>D33/Sheet1!$I$9*Sheet1!$I$10</f>
        <v>0.55775674581920753</v>
      </c>
      <c r="F33" s="469">
        <f>D33/Sheet1!$I$9*Sheet1!$I$11</f>
        <v>3.9528803332701914E-4</v>
      </c>
      <c r="G33" s="745">
        <f>SUM(F33:F36)</f>
        <v>7.7520375424687642E-3</v>
      </c>
      <c r="H33" s="746"/>
      <c r="J33" s="744"/>
      <c r="K33" s="747" t="s">
        <v>250</v>
      </c>
      <c r="L33" s="548" t="s">
        <v>762</v>
      </c>
      <c r="M33" s="6">
        <f>SUMIFS(Sheet1!$N$2:$N$181,Sheet1!$Q$2:$Q$181,$K$33,Sheet1!$P$2:$P$181,L33)</f>
        <v>18</v>
      </c>
      <c r="N33" s="6">
        <f>M33/Sheet1!$T$9*Sheet1!$T$10</f>
        <v>0.56755780373687981</v>
      </c>
      <c r="O33" s="469">
        <f>M33/Sheet1!$T$9*Sheet1!$T$11</f>
        <v>5.2683913434277191E-4</v>
      </c>
      <c r="P33" s="745">
        <f>SUM(O33:O36)</f>
        <v>1.0331900801277693E-2</v>
      </c>
      <c r="Q33" s="746"/>
    </row>
    <row r="34" spans="1:17" ht="12.75" customHeight="1">
      <c r="A34" s="748"/>
      <c r="B34" s="747"/>
      <c r="C34" s="548" t="s">
        <v>763</v>
      </c>
      <c r="D34" s="6">
        <f>SUMIFS(Sheet1!$C$2:$C$181,Sheet1!$F$2:$F$181,B33,Sheet1!$E$2:$E$181,C34)</f>
        <v>76</v>
      </c>
      <c r="E34" s="6">
        <f>D34/Sheet1!$I$9*Sheet1!$I$10</f>
        <v>2.3549729267922097</v>
      </c>
      <c r="F34" s="469">
        <f>D34/Sheet1!$I$9*Sheet1!$I$11</f>
        <v>1.6689939184918587E-3</v>
      </c>
      <c r="G34" s="745"/>
      <c r="H34" s="746"/>
      <c r="J34" s="744"/>
      <c r="K34" s="747"/>
      <c r="L34" s="548" t="s">
        <v>763</v>
      </c>
      <c r="M34" s="6">
        <f>SUMIFS(Sheet1!$N$2:$N$181,Sheet1!$Q$2:$Q$181,$K$33,Sheet1!$P$2:$P$181,L34)</f>
        <v>76</v>
      </c>
      <c r="N34" s="6">
        <f>M34/Sheet1!$T$9*Sheet1!$T$10</f>
        <v>2.3963551713334925</v>
      </c>
      <c r="O34" s="469">
        <f>M34/Sheet1!$T$9*Sheet1!$T$11</f>
        <v>2.2244319005583703E-3</v>
      </c>
      <c r="P34" s="745"/>
      <c r="Q34" s="746"/>
    </row>
    <row r="35" spans="1:17" ht="12.75" customHeight="1">
      <c r="A35" s="748"/>
      <c r="B35" s="747"/>
      <c r="C35" s="548" t="s">
        <v>764</v>
      </c>
      <c r="D35" s="6">
        <f>SUMIFS(Sheet1!$C$2:$C$181,Sheet1!$F$2:$F$181,B33,Sheet1!$E$2:$E$181,C35)</f>
        <v>23</v>
      </c>
      <c r="E35" s="6">
        <f>D35/Sheet1!$I$9*Sheet1!$I$10</f>
        <v>0.71268917521343178</v>
      </c>
      <c r="F35" s="469">
        <f>D35/Sheet1!$I$9*Sheet1!$I$11</f>
        <v>5.0509026480674666E-4</v>
      </c>
      <c r="G35" s="745"/>
      <c r="H35" s="746"/>
      <c r="J35" s="744"/>
      <c r="K35" s="747"/>
      <c r="L35" s="548" t="s">
        <v>764</v>
      </c>
      <c r="M35" s="6">
        <f>SUMIFS(Sheet1!$N$2:$N$181,Sheet1!$Q$2:$Q$181,$K$33,Sheet1!$P$2:$P$181,L35)</f>
        <v>23</v>
      </c>
      <c r="N35" s="6">
        <f>M35/Sheet1!$T$9*Sheet1!$T$10</f>
        <v>0.72521274921934642</v>
      </c>
      <c r="O35" s="469">
        <f>M35/Sheet1!$T$9*Sheet1!$T$11</f>
        <v>6.7318333832687514E-4</v>
      </c>
      <c r="P35" s="745"/>
      <c r="Q35" s="746"/>
    </row>
    <row r="36" spans="1:17" ht="12.75" customHeight="1">
      <c r="A36" s="748"/>
      <c r="B36" s="747"/>
      <c r="C36" s="548" t="s">
        <v>765</v>
      </c>
      <c r="D36" s="6">
        <f>SUMIFS(Sheet1!$C$2:$C$181,Sheet1!$F$2:$F$181,B33,Sheet1!$E$2:$E$181,C36)</f>
        <v>236</v>
      </c>
      <c r="E36" s="6">
        <f>D36/Sheet1!$I$9*Sheet1!$I$10</f>
        <v>7.3128106674073869</v>
      </c>
      <c r="F36" s="469">
        <f>D36/Sheet1!$I$9*Sheet1!$I$11</f>
        <v>5.1826653258431393E-3</v>
      </c>
      <c r="G36" s="745"/>
      <c r="H36" s="746"/>
      <c r="J36" s="744"/>
      <c r="K36" s="747"/>
      <c r="L36" s="548" t="s">
        <v>765</v>
      </c>
      <c r="M36" s="6">
        <f>SUMIFS(Sheet1!$N$2:$N$181,Sheet1!$Q$2:$Q$181,$K$33,Sheet1!$P$2:$P$181,L36)</f>
        <v>236</v>
      </c>
      <c r="N36" s="6">
        <f>M36/Sheet1!$T$9*Sheet1!$T$10</f>
        <v>7.4413134267724237</v>
      </c>
      <c r="O36" s="469">
        <f>M36/Sheet1!$T$9*Sheet1!$T$11</f>
        <v>6.9074464280496758E-3</v>
      </c>
      <c r="P36" s="745"/>
      <c r="Q36" s="746"/>
    </row>
    <row r="37" spans="1:17" ht="12.75" customHeight="1">
      <c r="A37" s="748"/>
      <c r="B37" s="742" t="s">
        <v>251</v>
      </c>
      <c r="C37" s="548"/>
      <c r="D37" s="6">
        <f>SUMIFS(Sheet1!$C$2:$C$181,Sheet1!$F$2:$F$181,B37,Sheet1!$E$2:$E$181,C37)</f>
        <v>0</v>
      </c>
      <c r="E37" s="6">
        <f>D37/Sheet1!$I$9*Sheet1!$I$10</f>
        <v>0</v>
      </c>
      <c r="F37" s="469">
        <f>D37/Sheet1!$I$9*Sheet1!$I$11</f>
        <v>0</v>
      </c>
      <c r="G37" s="740">
        <f>SUM(F37:F38)</f>
        <v>0</v>
      </c>
      <c r="H37" s="746"/>
      <c r="J37" s="744"/>
      <c r="K37" s="742" t="s">
        <v>251</v>
      </c>
      <c r="L37" s="548"/>
      <c r="M37" s="6">
        <f>SUMIFS(Sheet1!$N$2:$N$181,Sheet1!$Q$2:$Q$181,$K$37,Sheet1!$P$2:$P$181,L37)</f>
        <v>0</v>
      </c>
      <c r="N37" s="6">
        <f>M37/Sheet1!$T$9*Sheet1!$T$10</f>
        <v>0</v>
      </c>
      <c r="O37" s="469">
        <f>M37/Sheet1!$T$9*Sheet1!$T$11</f>
        <v>0</v>
      </c>
      <c r="P37" s="740">
        <f>SUM(O37:O38)</f>
        <v>0</v>
      </c>
      <c r="Q37" s="746"/>
    </row>
    <row r="38" spans="1:17" ht="12.75" customHeight="1">
      <c r="A38" s="748"/>
      <c r="B38" s="743"/>
      <c r="C38" s="548"/>
      <c r="D38" s="6">
        <f>SUMIFS(Sheet1!$C$2:$C$181,Sheet1!$F$2:$F$181,B37,Sheet1!$E$2:$E$181,C38)</f>
        <v>0</v>
      </c>
      <c r="E38" s="6">
        <f>D38/Sheet1!$I$9*Sheet1!$I$10</f>
        <v>0</v>
      </c>
      <c r="F38" s="469">
        <f>D38/Sheet1!$I$9*Sheet1!$I$11</f>
        <v>0</v>
      </c>
      <c r="G38" s="741"/>
      <c r="H38" s="746"/>
      <c r="J38" s="739"/>
      <c r="K38" s="743"/>
      <c r="L38" s="548"/>
      <c r="M38" s="6">
        <f>SUMIFS(Sheet1!$N$2:$N$181,Sheet1!$Q$2:$Q$181,$K$37,Sheet1!$P$2:$P$181,L38)</f>
        <v>0</v>
      </c>
      <c r="N38" s="6">
        <f>M38/Sheet1!$T$9*Sheet1!$T$10</f>
        <v>0</v>
      </c>
      <c r="O38" s="469">
        <f>M38/Sheet1!$T$9*Sheet1!$T$11</f>
        <v>0</v>
      </c>
      <c r="P38" s="741"/>
      <c r="Q38" s="746"/>
    </row>
    <row r="39" spans="1:17" ht="12.75" customHeight="1">
      <c r="A39" s="748" t="s">
        <v>393</v>
      </c>
      <c r="B39" s="742" t="s">
        <v>252</v>
      </c>
      <c r="C39" t="s">
        <v>767</v>
      </c>
      <c r="D39" s="6">
        <f>SUMIFS(Sheet1!$C$2:$C$181,Sheet1!$F$2:$F$181,B39,Sheet1!$E$2:$E$181,C39)</f>
        <v>9986</v>
      </c>
      <c r="E39" s="6">
        <f>D39/Sheet1!$I$9*Sheet1!$I$10</f>
        <v>309.43104798614479</v>
      </c>
      <c r="F39" s="469">
        <f>D39/Sheet1!$I$9*Sheet1!$I$11</f>
        <v>0.21929701671131185</v>
      </c>
      <c r="G39" s="740">
        <f>SUM(F39:F40)</f>
        <v>0.22160286357238612</v>
      </c>
      <c r="H39" s="735">
        <f>SUM(G39:G40)</f>
        <v>0.22160286357238612</v>
      </c>
      <c r="J39" s="738" t="s">
        <v>393</v>
      </c>
      <c r="K39" s="742" t="s">
        <v>252</v>
      </c>
      <c r="L39" t="s">
        <v>767</v>
      </c>
      <c r="M39" s="6">
        <f>SUMIFS(Sheet1!$N$2:$N$181,Sheet1!$Q$2:$Q$181,K39,Sheet1!$P$2:$P$181,L39)</f>
        <v>0</v>
      </c>
      <c r="N39" s="6">
        <f>M39/Sheet1!$T$9*Sheet1!$T$10</f>
        <v>0</v>
      </c>
      <c r="O39" s="469">
        <f>M39/Sheet1!$T$9*Sheet1!$T$11</f>
        <v>0</v>
      </c>
      <c r="P39" s="740">
        <f>SUM(O39:O40)</f>
        <v>0</v>
      </c>
      <c r="Q39" s="735">
        <f>SUM(P39:P40)</f>
        <v>0</v>
      </c>
    </row>
    <row r="40" spans="1:17" ht="12.75" customHeight="1">
      <c r="A40" s="748"/>
      <c r="B40" s="743"/>
      <c r="C40" s="551" t="s">
        <v>782</v>
      </c>
      <c r="D40" s="6">
        <f>SUMIFS(Sheet1!$C$2:$C$181,Sheet1!$F$2:$F$181,B39,Sheet1!$E$2:$E$181,C40)</f>
        <v>105</v>
      </c>
      <c r="E40" s="6">
        <f>D40/Sheet1!$I$9*Sheet1!$I$10</f>
        <v>3.253581017278711</v>
      </c>
      <c r="F40" s="469">
        <f>D40/Sheet1!$I$9*Sheet1!$I$11</f>
        <v>2.3058468610742786E-3</v>
      </c>
      <c r="G40" s="741"/>
      <c r="H40" s="736"/>
      <c r="J40" s="739"/>
      <c r="K40" s="743"/>
      <c r="L40" s="551" t="s">
        <v>782</v>
      </c>
      <c r="M40" s="6">
        <f>SUMIFS(Sheet1!$N$2:$N$181,Sheet1!$Q$2:$Q$181,K39,Sheet1!$P$2:$P$181,L40)</f>
        <v>0</v>
      </c>
      <c r="N40" s="6">
        <f>M40/Sheet1!$T$9*Sheet1!$T$10</f>
        <v>0</v>
      </c>
      <c r="O40" s="469">
        <f>M40/Sheet1!$T$9*Sheet1!$T$11</f>
        <v>0</v>
      </c>
      <c r="P40" s="741"/>
      <c r="Q40" s="736"/>
    </row>
    <row r="41" spans="1:17" ht="15">
      <c r="A41" s="552"/>
      <c r="B41" s="737" t="s">
        <v>2</v>
      </c>
      <c r="C41" s="737"/>
      <c r="D41" s="305">
        <f>SUM(D4:D40)</f>
        <v>13433</v>
      </c>
      <c r="E41" s="305">
        <f>SUM(E4:E40)</f>
        <v>504.75048584913753</v>
      </c>
      <c r="F41" s="455">
        <f>SUM(F4:F40)</f>
        <v>0.3577219430651879</v>
      </c>
      <c r="G41" s="455">
        <f>SUM(G4:G40)</f>
        <v>0.3577219430651879</v>
      </c>
      <c r="H41" s="455">
        <f>SUM(H4:H40)</f>
        <v>0.3577219430651879</v>
      </c>
      <c r="J41" s="552"/>
      <c r="K41" s="737" t="s">
        <v>2</v>
      </c>
      <c r="L41" s="737"/>
      <c r="M41" s="305">
        <f>SUM(M4:M40)</f>
        <v>2617</v>
      </c>
      <c r="N41" s="305">
        <f>SUM(N4:N40)</f>
        <v>171.02561950413752</v>
      </c>
      <c r="O41" s="455">
        <f>SUM(O4:O40)</f>
        <v>0.15875561702569407</v>
      </c>
      <c r="P41" s="455">
        <f>SUM(P4:P40)</f>
        <v>0.15875561702569407</v>
      </c>
      <c r="Q41" s="455">
        <f>SUM(Q4:Q40)</f>
        <v>0.1587556170256941</v>
      </c>
    </row>
    <row r="42" spans="1:17" ht="15">
      <c r="A42" s="552"/>
      <c r="B42" s="737" t="s">
        <v>1</v>
      </c>
      <c r="C42" s="737"/>
      <c r="D42" s="737"/>
      <c r="E42" s="737"/>
      <c r="F42" s="553">
        <f>+Efficiency1!X160</f>
        <v>0.64227805693481199</v>
      </c>
      <c r="G42" s="553">
        <f>+F42</f>
        <v>0.64227805693481199</v>
      </c>
      <c r="H42" s="553">
        <f>+G42</f>
        <v>0.64227805693481199</v>
      </c>
      <c r="J42" s="552"/>
      <c r="K42" s="737" t="s">
        <v>1</v>
      </c>
      <c r="L42" s="737"/>
      <c r="M42" s="737"/>
      <c r="N42" s="737"/>
      <c r="O42" s="553">
        <f>+Efficiency2!X160</f>
        <v>0.8412443829743057</v>
      </c>
      <c r="P42" s="553">
        <f>+O42</f>
        <v>0.8412443829743057</v>
      </c>
      <c r="Q42" s="553">
        <f>+P42</f>
        <v>0.8412443829743057</v>
      </c>
    </row>
    <row r="43" spans="1:17" ht="15">
      <c r="A43" s="552"/>
      <c r="B43" s="737" t="s">
        <v>57</v>
      </c>
      <c r="C43" s="737"/>
      <c r="D43" s="737"/>
      <c r="E43" s="737"/>
      <c r="F43" s="471">
        <f>SUM(F41:F42)</f>
        <v>0.99999999999999989</v>
      </c>
      <c r="G43" s="471">
        <f>SUM(G41:G42)</f>
        <v>0.99999999999999989</v>
      </c>
      <c r="H43" s="544">
        <f>SUM(H41:H42)</f>
        <v>0.99999999999999989</v>
      </c>
      <c r="J43" s="552"/>
      <c r="K43" s="737" t="s">
        <v>57</v>
      </c>
      <c r="L43" s="737"/>
      <c r="M43" s="737"/>
      <c r="N43" s="737"/>
      <c r="O43" s="471">
        <f>SUM(O41:O42)</f>
        <v>0.99999999999999978</v>
      </c>
      <c r="P43" s="471">
        <f>SUM(P41:P42)</f>
        <v>0.99999999999999978</v>
      </c>
      <c r="Q43" s="544">
        <f>SUM(Q41:Q42)</f>
        <v>0.99999999999999978</v>
      </c>
    </row>
  </sheetData>
  <mergeCells count="66">
    <mergeCell ref="L2:L3"/>
    <mergeCell ref="A2:A3"/>
    <mergeCell ref="B2:B3"/>
    <mergeCell ref="C2:C3"/>
    <mergeCell ref="J2:J3"/>
    <mergeCell ref="K2:K3"/>
    <mergeCell ref="A4:A11"/>
    <mergeCell ref="H4:H11"/>
    <mergeCell ref="J4:J11"/>
    <mergeCell ref="Q4:Q11"/>
    <mergeCell ref="B6:B7"/>
    <mergeCell ref="K6:K7"/>
    <mergeCell ref="B8:B9"/>
    <mergeCell ref="K8:K9"/>
    <mergeCell ref="B10:B11"/>
    <mergeCell ref="K10:K11"/>
    <mergeCell ref="Q12:Q13"/>
    <mergeCell ref="A14:A23"/>
    <mergeCell ref="H14:H23"/>
    <mergeCell ref="J14:J23"/>
    <mergeCell ref="Q14:Q23"/>
    <mergeCell ref="B16:B17"/>
    <mergeCell ref="G16:G17"/>
    <mergeCell ref="K16:K17"/>
    <mergeCell ref="P16:P17"/>
    <mergeCell ref="B19:B23"/>
    <mergeCell ref="G19:G23"/>
    <mergeCell ref="K19:K23"/>
    <mergeCell ref="P19:P23"/>
    <mergeCell ref="A24:A38"/>
    <mergeCell ref="A39:A40"/>
    <mergeCell ref="A12:A13"/>
    <mergeCell ref="H12:H13"/>
    <mergeCell ref="J12:J13"/>
    <mergeCell ref="Q24:Q38"/>
    <mergeCell ref="B31:B32"/>
    <mergeCell ref="G31:G32"/>
    <mergeCell ref="K31:K32"/>
    <mergeCell ref="P31:P32"/>
    <mergeCell ref="B33:B36"/>
    <mergeCell ref="G33:G36"/>
    <mergeCell ref="K33:K36"/>
    <mergeCell ref="P33:P36"/>
    <mergeCell ref="K24:K30"/>
    <mergeCell ref="K37:K38"/>
    <mergeCell ref="B24:B30"/>
    <mergeCell ref="G24:G30"/>
    <mergeCell ref="H24:H38"/>
    <mergeCell ref="B37:B38"/>
    <mergeCell ref="G37:G38"/>
    <mergeCell ref="B43:E43"/>
    <mergeCell ref="K43:N43"/>
    <mergeCell ref="P37:P38"/>
    <mergeCell ref="B39:B40"/>
    <mergeCell ref="G39:G40"/>
    <mergeCell ref="H39:H40"/>
    <mergeCell ref="K39:K40"/>
    <mergeCell ref="P39:P40"/>
    <mergeCell ref="J24:J38"/>
    <mergeCell ref="P24:P30"/>
    <mergeCell ref="Q39:Q40"/>
    <mergeCell ref="B41:C41"/>
    <mergeCell ref="K41:L41"/>
    <mergeCell ref="B42:E42"/>
    <mergeCell ref="K42:N42"/>
    <mergeCell ref="J39:J40"/>
  </mergeCells>
  <conditionalFormatting sqref="D4:D40">
    <cfRule type="cellIs" dxfId="5" priority="5" operator="between">
      <formula>180</formula>
      <formula>360</formula>
    </cfRule>
    <cfRule type="cellIs" dxfId="4" priority="6" operator="greaterThan">
      <formula>360</formula>
    </cfRule>
  </conditionalFormatting>
  <conditionalFormatting sqref="M5:M40">
    <cfRule type="cellIs" dxfId="3" priority="3" operator="between">
      <formula>180</formula>
      <formula>360</formula>
    </cfRule>
    <cfRule type="cellIs" dxfId="2" priority="4" operator="greaterThan">
      <formula>360</formula>
    </cfRule>
  </conditionalFormatting>
  <conditionalFormatting sqref="M4:M40">
    <cfRule type="cellIs" dxfId="1" priority="1" operator="between">
      <formula>180</formula>
      <formula>360</formula>
    </cfRule>
    <cfRule type="cellIs" dxfId="0" priority="2" operator="greaterThan">
      <formula>360</formula>
    </cfRule>
  </conditionalFormatting>
  <pageMargins left="0.19685039370078741" right="0.19685039370078741" top="0.19685039370078741" bottom="0.19685039370078741" header="0.31496062992125984" footer="0.31496062992125984"/>
  <pageSetup paperSize="9" scale="34" fitToHeight="0"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1"/>
  <sheetViews>
    <sheetView topLeftCell="A4" zoomScale="80" zoomScaleNormal="80" workbookViewId="0">
      <selection activeCell="K16" sqref="K16"/>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4.42578125" style="148" customWidth="1"/>
    <col min="14" max="15" width="0" style="148" hidden="1" customWidth="1"/>
    <col min="16" max="16" width="10.28515625" style="148" hidden="1" customWidth="1"/>
    <col min="17" max="17" width="9.28515625" style="148" hidden="1" customWidth="1"/>
    <col min="18" max="23" width="0" style="148" hidden="1" customWidth="1"/>
    <col min="24" max="16384" width="9.140625" style="148"/>
  </cols>
  <sheetData>
    <row r="1" spans="1:29" ht="15.75">
      <c r="A1" s="147"/>
    </row>
    <row r="2" spans="1:29" ht="15.75">
      <c r="A2" s="147" t="s">
        <v>182</v>
      </c>
    </row>
    <row r="3" spans="1:29" ht="15">
      <c r="A3" s="149"/>
    </row>
    <row r="4" spans="1:29" ht="20.25">
      <c r="A4" s="150" t="s">
        <v>3</v>
      </c>
      <c r="B4" s="151"/>
      <c r="F4" s="152" t="s">
        <v>29</v>
      </c>
      <c r="G4" s="153">
        <v>31</v>
      </c>
      <c r="H4" s="153" t="str">
        <f>+'1'!H4</f>
        <v>.03.26</v>
      </c>
    </row>
    <row r="5" spans="1:29" ht="13.5" thickBot="1">
      <c r="C5" s="154"/>
      <c r="D5" s="154"/>
    </row>
    <row r="6" spans="1:2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80" t="s">
        <v>92</v>
      </c>
      <c r="O6" s="421" t="s">
        <v>189</v>
      </c>
      <c r="P6" s="421" t="s">
        <v>189</v>
      </c>
      <c r="Q6" s="421" t="s">
        <v>190</v>
      </c>
      <c r="R6" s="421" t="s">
        <v>191</v>
      </c>
      <c r="S6" s="421" t="s">
        <v>192</v>
      </c>
      <c r="T6" s="421" t="s">
        <v>187</v>
      </c>
      <c r="U6" s="422" t="s">
        <v>193</v>
      </c>
      <c r="V6" s="421" t="s">
        <v>194</v>
      </c>
      <c r="W6" s="421" t="s">
        <v>188</v>
      </c>
      <c r="X6" s="148" t="s">
        <v>536</v>
      </c>
      <c r="Y6" s="148">
        <v>1220</v>
      </c>
      <c r="Z6" s="148">
        <f>+Y6-(Y6*0.24)</f>
        <v>927.2</v>
      </c>
      <c r="AA6" s="148">
        <v>480</v>
      </c>
      <c r="AB6" s="148">
        <f t="shared" ref="AB6:AB7" si="0">+Y6*AA6</f>
        <v>585600</v>
      </c>
      <c r="AC6" s="148">
        <f t="shared" ref="AC6:AC7" si="1">+Z6*AA6</f>
        <v>445056</v>
      </c>
    </row>
    <row r="7" spans="1:29" ht="13.5" customHeight="1" thickBot="1">
      <c r="A7" s="770" t="s">
        <v>390</v>
      </c>
      <c r="B7" s="214" t="s">
        <v>561</v>
      </c>
      <c r="C7" s="215">
        <v>12997</v>
      </c>
      <c r="D7" s="216"/>
      <c r="E7" s="217"/>
      <c r="F7" s="227">
        <v>6</v>
      </c>
      <c r="G7" s="228" t="s">
        <v>12</v>
      </c>
      <c r="H7" s="229" t="s">
        <v>467</v>
      </c>
      <c r="I7" s="773" t="s">
        <v>790</v>
      </c>
      <c r="J7" s="213" t="str">
        <f>+'30'!J7</f>
        <v>F 12 VP OW</v>
      </c>
      <c r="K7" s="237"/>
      <c r="L7" s="241"/>
      <c r="M7" s="116">
        <f>+L7+'30'!M7+K7</f>
        <v>136522</v>
      </c>
      <c r="N7" s="423">
        <v>14.5</v>
      </c>
      <c r="O7" s="198">
        <v>1200</v>
      </c>
      <c r="P7" s="198">
        <v>1120</v>
      </c>
      <c r="Q7" s="198">
        <v>896</v>
      </c>
      <c r="R7" s="424">
        <f>1-(Q7/P7)</f>
        <v>0.19999999999999996</v>
      </c>
      <c r="S7" s="425">
        <v>45</v>
      </c>
      <c r="T7" s="426">
        <v>256.5</v>
      </c>
      <c r="U7" s="427">
        <f>(O7*(1-R7)*N7*T7*S7)/100000000</f>
        <v>1.606716</v>
      </c>
      <c r="V7" s="428">
        <f>+C14/1000</f>
        <v>12.997</v>
      </c>
      <c r="W7" s="429">
        <f>SUM(V7:V9)/SUM(U7:U9)</f>
        <v>0.62224390045859435</v>
      </c>
      <c r="Y7" s="148">
        <v>1220</v>
      </c>
      <c r="Z7" s="148">
        <f>+Y7-(Y7*0.24)</f>
        <v>927.2</v>
      </c>
      <c r="AA7" s="148">
        <v>480</v>
      </c>
      <c r="AB7" s="148">
        <f t="shared" si="0"/>
        <v>585600</v>
      </c>
      <c r="AC7" s="148">
        <f t="shared" si="1"/>
        <v>445056</v>
      </c>
    </row>
    <row r="8" spans="1:29" ht="13.5" thickBot="1">
      <c r="A8" s="771"/>
      <c r="B8" s="214"/>
      <c r="C8" s="215"/>
      <c r="D8" s="216"/>
      <c r="E8" s="218"/>
      <c r="F8" s="230"/>
      <c r="G8" s="231" t="s">
        <v>12</v>
      </c>
      <c r="H8" s="229" t="s">
        <v>283</v>
      </c>
      <c r="I8" s="774"/>
      <c r="J8" s="213" t="str">
        <f>+'30'!J8</f>
        <v>F 14 VP OW</v>
      </c>
      <c r="K8" s="238"/>
      <c r="L8" s="238"/>
      <c r="M8" s="116">
        <f>+L8+'30'!M8+K8</f>
        <v>89126</v>
      </c>
      <c r="N8" s="423">
        <v>18</v>
      </c>
      <c r="O8" s="198">
        <v>1200</v>
      </c>
      <c r="P8" s="198">
        <v>930</v>
      </c>
      <c r="Q8" s="198">
        <v>744</v>
      </c>
      <c r="R8" s="424">
        <f>1-(Q8/P8)</f>
        <v>0.19999999999999996</v>
      </c>
      <c r="S8" s="425">
        <f>480-S7</f>
        <v>435</v>
      </c>
      <c r="T8" s="426">
        <v>256.5</v>
      </c>
      <c r="U8" s="427">
        <f>(O8*(1-R8)*N8*T8*S8)/100000000</f>
        <v>19.280591999999999</v>
      </c>
      <c r="V8" s="428"/>
      <c r="W8" s="430"/>
    </row>
    <row r="9" spans="1:29" ht="13.5" thickBot="1">
      <c r="A9" s="771"/>
      <c r="B9" s="214"/>
      <c r="C9" s="215"/>
      <c r="D9" s="216"/>
      <c r="E9" s="219"/>
      <c r="F9" s="227">
        <f>22-6</f>
        <v>16</v>
      </c>
      <c r="G9" s="231" t="s">
        <v>12</v>
      </c>
      <c r="H9" s="232" t="s">
        <v>411</v>
      </c>
      <c r="I9" s="774"/>
      <c r="J9" s="213" t="str">
        <f>+'30'!J9</f>
        <v>F 16 VP OW</v>
      </c>
      <c r="K9" s="238"/>
      <c r="L9" s="238"/>
      <c r="M9" s="116">
        <f>+L9+'30'!M9+K9</f>
        <v>104726</v>
      </c>
      <c r="N9" s="431"/>
    </row>
    <row r="10" spans="1:29" ht="26.25" thickBot="1">
      <c r="A10" s="771"/>
      <c r="B10" s="214"/>
      <c r="C10" s="215"/>
      <c r="D10" s="216"/>
      <c r="E10" s="218"/>
      <c r="F10" s="227"/>
      <c r="G10" s="236" t="s">
        <v>13</v>
      </c>
      <c r="H10" s="232" t="s">
        <v>783</v>
      </c>
      <c r="I10" s="774"/>
      <c r="J10" s="213" t="str">
        <f>+'30'!J10</f>
        <v>F 13,5 VP OW</v>
      </c>
      <c r="K10" s="238"/>
      <c r="L10" s="238"/>
      <c r="M10" s="116">
        <f>+L10+'30'!M10+K10</f>
        <v>10827</v>
      </c>
      <c r="N10" s="431"/>
    </row>
    <row r="11" spans="1:29" ht="26.25" thickBot="1">
      <c r="A11" s="771"/>
      <c r="B11" s="214"/>
      <c r="C11" s="215"/>
      <c r="D11" s="216"/>
      <c r="E11" s="218"/>
      <c r="F11" s="227"/>
      <c r="G11" s="231"/>
      <c r="H11" s="232" t="s">
        <v>784</v>
      </c>
      <c r="I11" s="774"/>
      <c r="J11" s="213" t="str">
        <f>+'30'!J11</f>
        <v>F 13 VP OW</v>
      </c>
      <c r="K11" s="238"/>
      <c r="L11" s="238"/>
      <c r="M11" s="116">
        <f>+L11+'30'!M11+K11</f>
        <v>19832</v>
      </c>
      <c r="N11" s="431"/>
    </row>
    <row r="12" spans="1:29" ht="13.5" thickBot="1">
      <c r="A12" s="771"/>
      <c r="B12" s="214"/>
      <c r="C12" s="215"/>
      <c r="D12" s="216"/>
      <c r="E12" s="218"/>
      <c r="F12" s="227"/>
      <c r="G12" s="231"/>
      <c r="H12" s="232"/>
      <c r="I12" s="774"/>
      <c r="J12" s="213" t="str">
        <f>+'30'!J12</f>
        <v>T 14 VP OW</v>
      </c>
      <c r="K12" s="238"/>
      <c r="L12" s="238"/>
      <c r="M12" s="116">
        <f>+L12+'30'!M12+K12</f>
        <v>28770</v>
      </c>
      <c r="N12" s="431"/>
    </row>
    <row r="13" spans="1:29" ht="13.5" thickBot="1">
      <c r="A13" s="771"/>
      <c r="B13" s="214"/>
      <c r="C13" s="215"/>
      <c r="D13" s="215"/>
      <c r="E13" s="218"/>
      <c r="F13" s="227"/>
      <c r="G13" s="231"/>
      <c r="H13" s="232"/>
      <c r="I13" s="775"/>
      <c r="J13" s="213" t="str">
        <f>+'30'!J13</f>
        <v>F 11,5 VP OW</v>
      </c>
      <c r="K13" s="238">
        <f>+C34</f>
        <v>35979</v>
      </c>
      <c r="L13" s="238"/>
      <c r="M13" s="116">
        <f>+L13+'30'!M13+K13</f>
        <v>115231</v>
      </c>
      <c r="N13" s="432"/>
      <c r="O13" s="433"/>
      <c r="P13" s="433"/>
      <c r="Q13" s="433"/>
      <c r="R13" s="433"/>
      <c r="S13" s="433"/>
      <c r="T13" s="433"/>
      <c r="U13" s="433"/>
      <c r="V13" s="433"/>
      <c r="W13" s="433"/>
      <c r="AA13" s="175">
        <f>SUM(AA6:AA12)</f>
        <v>960</v>
      </c>
      <c r="AB13" s="175">
        <f>SUM(AB6:AB12)</f>
        <v>1171200</v>
      </c>
      <c r="AC13" s="175">
        <f>SUM(AC6:AC12)</f>
        <v>890112</v>
      </c>
    </row>
    <row r="14" spans="1:29" ht="13.5" thickBot="1">
      <c r="A14" s="772"/>
      <c r="B14" s="164" t="s">
        <v>2</v>
      </c>
      <c r="C14" s="98">
        <f>SUM(C7:C13)</f>
        <v>12997</v>
      </c>
      <c r="D14" s="110">
        <f>SUM(D7:D13)</f>
        <v>0</v>
      </c>
      <c r="E14" s="111">
        <f>SUM(E5:E13)</f>
        <v>0</v>
      </c>
      <c r="F14" s="101">
        <f>SUM(F6:F13)</f>
        <v>22</v>
      </c>
      <c r="G14" s="158"/>
      <c r="H14" s="165"/>
      <c r="I14" s="166"/>
      <c r="J14" s="213" t="str">
        <f>+'30'!J14</f>
        <v>F 12,5 VP OW</v>
      </c>
      <c r="K14" s="238"/>
      <c r="L14" s="238"/>
      <c r="M14" s="116">
        <f>+L14+'30'!M14+K14</f>
        <v>10132</v>
      </c>
      <c r="AA14" s="148">
        <f>480-AA13</f>
        <v>-480</v>
      </c>
      <c r="AB14" s="175">
        <f>+AB13/AA13</f>
        <v>1220</v>
      </c>
      <c r="AC14" s="175">
        <f>+AC13/AA13</f>
        <v>927.2</v>
      </c>
    </row>
    <row r="15" spans="1:29" ht="13.5" customHeight="1" thickBot="1">
      <c r="A15" s="770" t="s">
        <v>391</v>
      </c>
      <c r="B15" s="164"/>
      <c r="C15" s="112">
        <f>C14/($C$23+$D$23+$E$23)</f>
        <v>1.0426795026073004</v>
      </c>
      <c r="D15" s="113">
        <f>D14/($C$23+$D$23+$E$23)</f>
        <v>0</v>
      </c>
      <c r="E15" s="114">
        <f>E14/($C$23+$D$23+$E$23)</f>
        <v>0</v>
      </c>
      <c r="F15" s="227">
        <v>4</v>
      </c>
      <c r="G15" s="228" t="s">
        <v>12</v>
      </c>
      <c r="H15" s="229" t="s">
        <v>467</v>
      </c>
      <c r="I15" s="773" t="s">
        <v>790</v>
      </c>
      <c r="J15" s="213" t="str">
        <f>+'30'!J15</f>
        <v>T 13 VP OW</v>
      </c>
      <c r="K15" s="238"/>
      <c r="L15" s="238"/>
      <c r="M15" s="116">
        <f>+L15+'30'!M15+K15</f>
        <v>287277</v>
      </c>
      <c r="N15" s="423">
        <v>18</v>
      </c>
      <c r="O15" s="198">
        <v>1200</v>
      </c>
      <c r="P15" s="198">
        <v>850</v>
      </c>
      <c r="Q15" s="198">
        <v>680</v>
      </c>
      <c r="R15" s="424">
        <f>1-(Q15/P15)</f>
        <v>0.19999999999999996</v>
      </c>
      <c r="S15" s="425">
        <v>480</v>
      </c>
      <c r="T15" s="426">
        <v>256.5</v>
      </c>
      <c r="U15" s="427">
        <f>(O15*(1-R15)*N15*T15*S15)/100000000</f>
        <v>21.275136</v>
      </c>
      <c r="V15" s="428">
        <f>+C23/1000</f>
        <v>12.465</v>
      </c>
      <c r="W15" s="429">
        <f>SUM(V15:V17)/SUM(U15:U17)</f>
        <v>0.58589519709768245</v>
      </c>
    </row>
    <row r="16" spans="1:29" ht="13.5" thickBot="1">
      <c r="A16" s="776"/>
      <c r="B16" s="214" t="s">
        <v>561</v>
      </c>
      <c r="C16" s="221">
        <v>12465</v>
      </c>
      <c r="D16" s="222"/>
      <c r="E16" s="223"/>
      <c r="F16" s="227">
        <v>6</v>
      </c>
      <c r="G16" s="231" t="s">
        <v>12</v>
      </c>
      <c r="H16" s="229" t="s">
        <v>787</v>
      </c>
      <c r="I16" s="774"/>
      <c r="J16" s="213" t="str">
        <f>+'30'!J16</f>
        <v>T 12,5 VP OW</v>
      </c>
      <c r="K16" s="228"/>
      <c r="L16" s="228"/>
      <c r="M16" s="116">
        <f>+L16+'30'!M16+K16</f>
        <v>103820</v>
      </c>
      <c r="N16" s="434"/>
      <c r="O16" s="198"/>
      <c r="P16" s="198"/>
      <c r="Q16" s="435"/>
      <c r="R16" s="424"/>
      <c r="S16" s="198"/>
      <c r="T16" s="426"/>
      <c r="U16" s="427"/>
      <c r="V16" s="428"/>
      <c r="W16" s="430"/>
    </row>
    <row r="17" spans="1:29" ht="13.5" thickBot="1">
      <c r="A17" s="776"/>
      <c r="B17" s="214"/>
      <c r="C17" s="215"/>
      <c r="D17" s="216"/>
      <c r="E17" s="224"/>
      <c r="F17" s="227">
        <v>10</v>
      </c>
      <c r="G17" s="231" t="s">
        <v>12</v>
      </c>
      <c r="H17" s="232" t="s">
        <v>385</v>
      </c>
      <c r="I17" s="774"/>
      <c r="J17" s="213">
        <f>+'30'!J17</f>
        <v>0</v>
      </c>
      <c r="K17" s="228"/>
      <c r="L17" s="228"/>
      <c r="M17" s="116">
        <f>+L17+'30'!M17+K17</f>
        <v>0</v>
      </c>
      <c r="N17" s="431"/>
      <c r="O17" s="198"/>
      <c r="R17" s="424"/>
      <c r="T17" s="426"/>
      <c r="U17" s="427"/>
    </row>
    <row r="18" spans="1:29" ht="39" thickBot="1">
      <c r="A18" s="776"/>
      <c r="B18" s="214"/>
      <c r="C18" s="215"/>
      <c r="D18" s="216"/>
      <c r="E18" s="224"/>
      <c r="F18" s="227"/>
      <c r="G18" s="236" t="s">
        <v>13</v>
      </c>
      <c r="H18" s="232" t="s">
        <v>785</v>
      </c>
      <c r="I18" s="774"/>
      <c r="J18" s="213">
        <f>+'30'!J18</f>
        <v>0</v>
      </c>
      <c r="K18" s="238"/>
      <c r="L18" s="238"/>
      <c r="M18" s="116">
        <f>+L18+'30'!M18+K18</f>
        <v>0</v>
      </c>
      <c r="N18" s="431"/>
    </row>
    <row r="19" spans="1:29" ht="13.5" thickBot="1">
      <c r="A19" s="776"/>
      <c r="B19" s="214"/>
      <c r="C19" s="215"/>
      <c r="D19" s="216"/>
      <c r="E19" s="224"/>
      <c r="F19" s="234"/>
      <c r="G19" s="231"/>
      <c r="H19" s="232"/>
      <c r="I19" s="774"/>
      <c r="J19" s="213">
        <f>+'30'!J19</f>
        <v>0</v>
      </c>
      <c r="K19" s="238"/>
      <c r="L19" s="238"/>
      <c r="M19" s="116">
        <f>+L19+'30'!M19+K19</f>
        <v>0</v>
      </c>
      <c r="N19" s="431"/>
    </row>
    <row r="20" spans="1:29" ht="13.5" thickBot="1">
      <c r="A20" s="776"/>
      <c r="B20" s="214"/>
      <c r="C20" s="215"/>
      <c r="D20" s="216"/>
      <c r="E20" s="224"/>
      <c r="F20" s="227"/>
      <c r="G20" s="231"/>
      <c r="H20" s="232"/>
      <c r="I20" s="774"/>
      <c r="J20" s="213">
        <f>+'30'!J20</f>
        <v>0</v>
      </c>
      <c r="K20" s="239"/>
      <c r="L20" s="239"/>
      <c r="M20" s="116">
        <f>+L20+'30'!M20+K20</f>
        <v>0</v>
      </c>
      <c r="N20" s="431"/>
    </row>
    <row r="21" spans="1:29" ht="13.5" thickBot="1">
      <c r="A21" s="776"/>
      <c r="B21" s="214"/>
      <c r="C21" s="215"/>
      <c r="D21" s="216"/>
      <c r="E21" s="224"/>
      <c r="F21" s="230"/>
      <c r="G21" s="231"/>
      <c r="H21" s="232"/>
      <c r="I21" s="774"/>
      <c r="J21" s="213">
        <f>+'30'!J21</f>
        <v>0</v>
      </c>
      <c r="K21" s="238"/>
      <c r="L21" s="238"/>
      <c r="M21" s="116">
        <f>+L21+'30'!M21+K21</f>
        <v>0</v>
      </c>
      <c r="N21" s="432"/>
      <c r="O21" s="433"/>
      <c r="P21" s="433"/>
      <c r="Q21" s="433"/>
      <c r="R21" s="433"/>
      <c r="S21" s="433"/>
      <c r="T21" s="433"/>
      <c r="U21" s="433"/>
      <c r="V21" s="433"/>
      <c r="W21" s="433"/>
    </row>
    <row r="22" spans="1:29" ht="13.5" thickBot="1">
      <c r="A22" s="776"/>
      <c r="B22" s="214"/>
      <c r="C22" s="215"/>
      <c r="D22" s="216"/>
      <c r="E22" s="224"/>
      <c r="F22" s="235"/>
      <c r="G22" s="231"/>
      <c r="H22" s="232"/>
      <c r="I22" s="775"/>
      <c r="J22" s="213">
        <f>+'30'!J22</f>
        <v>0</v>
      </c>
      <c r="K22" s="238"/>
      <c r="L22" s="238"/>
      <c r="M22" s="116">
        <f>+L22+'30'!M22+K22</f>
        <v>0</v>
      </c>
    </row>
    <row r="23" spans="1:29" ht="13.5" thickBot="1">
      <c r="A23" s="777"/>
      <c r="B23" s="167" t="s">
        <v>2</v>
      </c>
      <c r="C23" s="99">
        <f>SUM(C16:C22)</f>
        <v>12465</v>
      </c>
      <c r="D23" s="110">
        <f>SUM(D16:D22)</f>
        <v>0</v>
      </c>
      <c r="E23" s="111">
        <f>SUM(E18:E22)</f>
        <v>0</v>
      </c>
      <c r="F23" s="101">
        <f>SUM(F15:F22)</f>
        <v>20</v>
      </c>
      <c r="G23" s="158"/>
      <c r="H23" s="165"/>
      <c r="I23" s="168"/>
      <c r="J23" s="213">
        <f>+'30'!J23</f>
        <v>0</v>
      </c>
      <c r="K23" s="238"/>
      <c r="L23" s="238"/>
      <c r="M23" s="116">
        <f>+L23+'30'!M23+K23</f>
        <v>0</v>
      </c>
      <c r="N23" s="436"/>
      <c r="O23" s="437"/>
      <c r="P23" s="437"/>
      <c r="Q23" s="437"/>
      <c r="R23" s="437"/>
      <c r="S23" s="437"/>
      <c r="T23" s="437"/>
      <c r="U23" s="437"/>
      <c r="V23" s="437"/>
      <c r="W23" s="437"/>
    </row>
    <row r="24" spans="1:29" ht="13.5" customHeight="1" thickBot="1">
      <c r="A24" s="770" t="s">
        <v>457</v>
      </c>
      <c r="B24" s="169"/>
      <c r="C24" s="112">
        <f>C23/($C$23+$D$23+$E$23)</f>
        <v>1</v>
      </c>
      <c r="D24" s="113">
        <f>D23/($C$23+$D$23+$E$23)</f>
        <v>0</v>
      </c>
      <c r="E24" s="114">
        <f>E23/($C$23+$D$23+$E$23)</f>
        <v>0</v>
      </c>
      <c r="F24" s="235">
        <v>4</v>
      </c>
      <c r="G24" s="228" t="s">
        <v>12</v>
      </c>
      <c r="H24" s="229" t="s">
        <v>467</v>
      </c>
      <c r="I24" s="773" t="s">
        <v>789</v>
      </c>
      <c r="J24" s="213">
        <f>+'30'!J24</f>
        <v>0</v>
      </c>
      <c r="K24" s="238"/>
      <c r="L24" s="238"/>
      <c r="M24" s="116">
        <f>+L24+'30'!M24+K24</f>
        <v>0</v>
      </c>
      <c r="N24" s="423">
        <v>18</v>
      </c>
      <c r="O24" s="198">
        <v>1200</v>
      </c>
      <c r="P24" s="198">
        <v>770</v>
      </c>
      <c r="Q24" s="198">
        <v>616</v>
      </c>
      <c r="R24" s="424">
        <f>1-(Q24/P24)</f>
        <v>0.19999999999999996</v>
      </c>
      <c r="S24" s="425">
        <v>480</v>
      </c>
      <c r="T24" s="426">
        <v>256.5</v>
      </c>
      <c r="U24" s="427">
        <f>(O24*(1-R24)*N24*T24*S24)/100000000</f>
        <v>21.275136</v>
      </c>
      <c r="V24" s="428">
        <f>+C32/1000</f>
        <v>10.516999999999999</v>
      </c>
      <c r="W24" s="429">
        <f>SUM(V24:V25)/SUM(U24:U25)</f>
        <v>0.49433291519264549</v>
      </c>
      <c r="X24" s="148" t="s">
        <v>536</v>
      </c>
      <c r="Y24" s="148">
        <v>1140</v>
      </c>
      <c r="Z24" s="148">
        <f>+Y24-(Y24*0.24)</f>
        <v>866.40000000000009</v>
      </c>
      <c r="AA24" s="148">
        <f>60*3+18</f>
        <v>198</v>
      </c>
      <c r="AB24" s="148">
        <f t="shared" ref="AB24:AB25" si="2">+Y24*AA24</f>
        <v>225720</v>
      </c>
      <c r="AC24" s="148">
        <f t="shared" ref="AC24:AC25" si="3">+Z24*AA24</f>
        <v>171547.2</v>
      </c>
    </row>
    <row r="25" spans="1:29" ht="13.5" thickBot="1">
      <c r="A25" s="776"/>
      <c r="B25" s="214" t="s">
        <v>561</v>
      </c>
      <c r="C25" s="225">
        <v>10517</v>
      </c>
      <c r="D25" s="216"/>
      <c r="E25" s="224"/>
      <c r="F25" s="230"/>
      <c r="G25" s="231" t="s">
        <v>12</v>
      </c>
      <c r="H25" s="229" t="s">
        <v>283</v>
      </c>
      <c r="I25" s="774"/>
      <c r="J25" s="213">
        <f>+'30'!J25</f>
        <v>0</v>
      </c>
      <c r="K25" s="238"/>
      <c r="L25" s="238"/>
      <c r="M25" s="116">
        <f>+L25+'30'!M25+K25</f>
        <v>0</v>
      </c>
      <c r="N25" s="423"/>
      <c r="O25" s="198"/>
      <c r="P25" s="198"/>
      <c r="Q25" s="198"/>
      <c r="R25" s="424"/>
      <c r="S25" s="425"/>
      <c r="T25" s="426"/>
      <c r="U25" s="427"/>
      <c r="V25" s="428"/>
      <c r="W25" s="429"/>
      <c r="Y25" s="148">
        <v>1220</v>
      </c>
      <c r="Z25" s="148">
        <f>+Y25-(Y25*0.24)</f>
        <v>927.2</v>
      </c>
      <c r="AA25" s="148">
        <f>60-50+180</f>
        <v>190</v>
      </c>
      <c r="AB25" s="148">
        <f t="shared" si="2"/>
        <v>231800</v>
      </c>
      <c r="AC25" s="148">
        <f t="shared" si="3"/>
        <v>176168</v>
      </c>
    </row>
    <row r="26" spans="1:29" ht="13.5" thickBot="1">
      <c r="A26" s="776"/>
      <c r="B26" s="214"/>
      <c r="C26" s="225"/>
      <c r="D26" s="216"/>
      <c r="E26" s="226"/>
      <c r="F26" s="230">
        <v>15</v>
      </c>
      <c r="G26" s="231" t="s">
        <v>12</v>
      </c>
      <c r="H26" s="232" t="s">
        <v>433</v>
      </c>
      <c r="I26" s="774"/>
      <c r="J26" s="213">
        <f>+'30'!J26</f>
        <v>0</v>
      </c>
      <c r="K26" s="238"/>
      <c r="L26" s="238"/>
      <c r="M26" s="116">
        <f>+L26+'30'!M26+K26</f>
        <v>0</v>
      </c>
    </row>
    <row r="27" spans="1:29" ht="39" thickBot="1">
      <c r="A27" s="776"/>
      <c r="B27" s="214"/>
      <c r="C27" s="215"/>
      <c r="D27" s="216"/>
      <c r="E27" s="224"/>
      <c r="F27" s="230"/>
      <c r="G27" s="236" t="s">
        <v>13</v>
      </c>
      <c r="H27" s="232" t="s">
        <v>788</v>
      </c>
      <c r="I27" s="774"/>
      <c r="J27" s="213">
        <f>+'30'!J27</f>
        <v>0</v>
      </c>
      <c r="K27" s="238"/>
      <c r="L27" s="238"/>
      <c r="M27" s="116">
        <f>+L27+'30'!M27+K27</f>
        <v>0</v>
      </c>
    </row>
    <row r="28" spans="1:29" ht="51.75" thickBot="1">
      <c r="A28" s="776"/>
      <c r="B28" s="214"/>
      <c r="C28" s="215"/>
      <c r="D28" s="216"/>
      <c r="E28" s="224"/>
      <c r="F28" s="230">
        <v>92</v>
      </c>
      <c r="G28" s="231" t="s">
        <v>66</v>
      </c>
      <c r="H28" s="232" t="s">
        <v>786</v>
      </c>
      <c r="I28" s="774"/>
      <c r="J28" s="213">
        <f>+'30'!J28</f>
        <v>0</v>
      </c>
      <c r="K28" s="238"/>
      <c r="L28" s="238"/>
      <c r="M28" s="116">
        <f>+L28+'30'!M28+K28</f>
        <v>0</v>
      </c>
    </row>
    <row r="29" spans="1:29" ht="13.5" thickBot="1">
      <c r="A29" s="776"/>
      <c r="B29" s="214"/>
      <c r="C29" s="215"/>
      <c r="D29" s="216"/>
      <c r="E29" s="224"/>
      <c r="F29" s="235"/>
      <c r="G29" s="231"/>
      <c r="H29" s="232"/>
      <c r="I29" s="774"/>
      <c r="J29" s="213">
        <f>+'30'!J29</f>
        <v>0</v>
      </c>
      <c r="K29" s="238"/>
      <c r="L29" s="238"/>
      <c r="M29" s="116">
        <f>+L29+'30'!M29+K29</f>
        <v>0</v>
      </c>
    </row>
    <row r="30" spans="1:29" ht="13.5" thickBot="1">
      <c r="A30" s="776"/>
      <c r="B30" s="214"/>
      <c r="C30" s="225"/>
      <c r="D30" s="216"/>
      <c r="E30" s="224"/>
      <c r="F30" s="235"/>
      <c r="G30" s="231"/>
      <c r="H30" s="232"/>
      <c r="I30" s="774"/>
      <c r="J30" s="213">
        <f>+'30'!J30</f>
        <v>0</v>
      </c>
      <c r="K30" s="238"/>
      <c r="L30" s="238"/>
      <c r="M30" s="116">
        <f>+L30+'30'!M30+K30</f>
        <v>0</v>
      </c>
      <c r="N30" s="154"/>
    </row>
    <row r="31" spans="1:29" ht="13.5" thickBot="1">
      <c r="A31" s="776"/>
      <c r="B31" s="214"/>
      <c r="C31" s="225"/>
      <c r="D31" s="216"/>
      <c r="E31" s="224"/>
      <c r="F31" s="235"/>
      <c r="G31" s="236"/>
      <c r="H31" s="233"/>
      <c r="I31" s="775"/>
      <c r="J31" s="213">
        <f>+'30'!J31</f>
        <v>0</v>
      </c>
      <c r="K31" s="238"/>
      <c r="L31" s="238"/>
      <c r="M31" s="116">
        <f>+L31+'30'!M31+K31</f>
        <v>0</v>
      </c>
      <c r="AA31" s="175">
        <f>SUM(AA24:AA30)</f>
        <v>388</v>
      </c>
      <c r="AB31" s="175">
        <f>SUM(AB24:AB30)</f>
        <v>457520</v>
      </c>
      <c r="AC31" s="175">
        <f>SUM(AC24:AC30)</f>
        <v>347715.2</v>
      </c>
    </row>
    <row r="32" spans="1:29" ht="13.5" thickBot="1">
      <c r="A32" s="777"/>
      <c r="B32" s="164" t="s">
        <v>2</v>
      </c>
      <c r="C32" s="98">
        <f>SUM(C25:C31)</f>
        <v>10517</v>
      </c>
      <c r="D32" s="99">
        <f>SUM(D25:D31)</f>
        <v>0</v>
      </c>
      <c r="E32" s="100">
        <f>SUM(E25:E31)</f>
        <v>0</v>
      </c>
      <c r="F32" s="101">
        <f>SUM(F24:F31)</f>
        <v>111</v>
      </c>
      <c r="G32" s="170"/>
      <c r="H32" s="171"/>
      <c r="I32" s="168"/>
      <c r="J32" s="213">
        <f>+'30'!J32</f>
        <v>0</v>
      </c>
      <c r="K32" s="240"/>
      <c r="L32" s="242"/>
      <c r="M32" s="116">
        <f>+L32+'30'!M32+K32</f>
        <v>0</v>
      </c>
      <c r="AA32" s="148">
        <f>480-AA31</f>
        <v>92</v>
      </c>
      <c r="AB32" s="175">
        <f>+AB31/AA31</f>
        <v>1179.1752577319587</v>
      </c>
      <c r="AC32" s="175">
        <f>+AC31/AA31</f>
        <v>896.17319587628867</v>
      </c>
    </row>
    <row r="33" spans="1:24" ht="13.5" thickBot="1">
      <c r="A33" s="172"/>
      <c r="B33" s="173"/>
      <c r="C33" s="102">
        <f>C32/($C$32+$D$32+$E$32)</f>
        <v>1</v>
      </c>
      <c r="D33" s="103">
        <f>D32/($C$32+$D$32+$E$32)</f>
        <v>0</v>
      </c>
      <c r="E33" s="104">
        <f>E32/($C$32+$D$32+$E$32)</f>
        <v>0</v>
      </c>
      <c r="F33" s="105"/>
      <c r="G33" s="174"/>
      <c r="H33" s="175"/>
      <c r="I33" s="176"/>
      <c r="J33" s="120"/>
      <c r="K33" s="121"/>
      <c r="L33" s="212"/>
      <c r="M33" s="118"/>
    </row>
    <row r="34" spans="1:24" ht="13.5" thickBot="1">
      <c r="A34" s="766" t="s">
        <v>57</v>
      </c>
      <c r="B34" s="767"/>
      <c r="C34" s="106">
        <f>C14+C23+C32</f>
        <v>35979</v>
      </c>
      <c r="D34" s="106">
        <f>D14+D23+D32</f>
        <v>0</v>
      </c>
      <c r="E34" s="106">
        <f>E14+E23+E32</f>
        <v>0</v>
      </c>
      <c r="F34" s="107">
        <f>F14+F23+F32</f>
        <v>153</v>
      </c>
      <c r="H34" s="177"/>
      <c r="I34" s="177"/>
      <c r="J34" s="122" t="s">
        <v>28</v>
      </c>
      <c r="K34" s="123">
        <f>SUM(K7:K32)</f>
        <v>35979</v>
      </c>
      <c r="L34" s="211">
        <f>SUM(L7:L32)</f>
        <v>0</v>
      </c>
      <c r="M34" s="119">
        <f>SUM(M7:M32)</f>
        <v>906263</v>
      </c>
      <c r="N34" s="154"/>
      <c r="X34" s="148">
        <v>480</v>
      </c>
    </row>
    <row r="35" spans="1:24" ht="13.5" thickBot="1">
      <c r="A35" s="178"/>
      <c r="B35" s="179"/>
      <c r="C35" s="103">
        <f>C34/($C$34+$D$34+$E$34)</f>
        <v>1</v>
      </c>
      <c r="D35" s="103">
        <f>D34/($C$34+$D$34+$E$34)</f>
        <v>0</v>
      </c>
      <c r="E35" s="108">
        <f>E34/($C$34+$D$34+$E$34)</f>
        <v>0</v>
      </c>
      <c r="K35" s="154"/>
      <c r="X35" s="148">
        <v>480</v>
      </c>
    </row>
    <row r="36" spans="1:24" ht="13.5" thickBot="1">
      <c r="A36" s="177"/>
      <c r="B36" s="177"/>
      <c r="C36" s="154"/>
      <c r="D36" s="154"/>
      <c r="E36" s="154"/>
      <c r="G36" s="154"/>
      <c r="H36" s="180"/>
      <c r="I36" s="161" t="s">
        <v>37</v>
      </c>
      <c r="J36" s="161" t="s">
        <v>38</v>
      </c>
      <c r="K36" s="181"/>
      <c r="X36" s="148">
        <v>388</v>
      </c>
    </row>
    <row r="37" spans="1:24" ht="17.45" customHeight="1" thickBot="1">
      <c r="A37" s="768" t="s">
        <v>58</v>
      </c>
      <c r="B37" s="769"/>
      <c r="C37" s="161" t="s">
        <v>59</v>
      </c>
      <c r="D37" s="182" t="s">
        <v>60</v>
      </c>
      <c r="E37" s="183" t="s">
        <v>61</v>
      </c>
      <c r="F37" s="321"/>
      <c r="G37" s="323"/>
      <c r="H37" s="185" t="s">
        <v>62</v>
      </c>
      <c r="I37" s="243">
        <f>(11.5*1348)/1348*G42*2.74*1348/1000000</f>
        <v>39.003935072000004</v>
      </c>
      <c r="J37" s="124">
        <f>+I37+'30'!J37</f>
        <v>1071.0274008076194</v>
      </c>
      <c r="K37" s="125" t="s">
        <v>63</v>
      </c>
      <c r="X37" s="148">
        <f>SUM(X34:X36)</f>
        <v>1348</v>
      </c>
    </row>
    <row r="38" spans="1:24" ht="17.45" customHeight="1">
      <c r="A38" s="760" t="s">
        <v>12</v>
      </c>
      <c r="B38" s="761"/>
      <c r="C38" s="163">
        <f>SUMIF($G$7:$G$31,"Process",$F$7:$F$31)</f>
        <v>61</v>
      </c>
      <c r="D38" s="117">
        <f>+C38+'30'!D38</f>
        <v>1804</v>
      </c>
      <c r="E38" s="142">
        <f t="shared" ref="E38:E51" si="4">D38/60</f>
        <v>30.066666666666666</v>
      </c>
      <c r="F38" s="321">
        <v>1220</v>
      </c>
      <c r="G38" s="321">
        <v>927.2</v>
      </c>
      <c r="H38" s="186" t="s">
        <v>64</v>
      </c>
      <c r="I38" s="244">
        <f>12.067+13.215+10.96</f>
        <v>36.242000000000004</v>
      </c>
      <c r="J38" s="126">
        <f>+I38+'30'!J38</f>
        <v>938.94899999999984</v>
      </c>
      <c r="K38" s="127" t="s">
        <v>63</v>
      </c>
    </row>
    <row r="39" spans="1:24" ht="17.45" customHeight="1">
      <c r="A39" s="764" t="s">
        <v>13</v>
      </c>
      <c r="B39" s="765"/>
      <c r="C39" s="163">
        <f>SUMIF($G$7:$G$31,"Cleaning",$F$7:$F$31)</f>
        <v>0</v>
      </c>
      <c r="D39" s="117">
        <f>+C39+'30'!D39</f>
        <v>0</v>
      </c>
      <c r="E39" s="142">
        <f t="shared" si="4"/>
        <v>0</v>
      </c>
      <c r="F39" s="321">
        <v>1220</v>
      </c>
      <c r="G39" s="321">
        <v>927.2</v>
      </c>
      <c r="H39" s="186" t="s">
        <v>65</v>
      </c>
      <c r="I39" s="141"/>
      <c r="J39" s="128">
        <f>J37/G4</f>
        <v>34.549270993794174</v>
      </c>
      <c r="K39" s="129" t="s">
        <v>63</v>
      </c>
    </row>
    <row r="40" spans="1:24" ht="17.45" customHeight="1">
      <c r="A40" s="764" t="s">
        <v>66</v>
      </c>
      <c r="B40" s="765"/>
      <c r="C40" s="163">
        <f>SUMIF($G$7:$G$31,"Mechanical",$F$7:$F$31)</f>
        <v>92</v>
      </c>
      <c r="D40" s="117">
        <f>+C40+'30'!D40</f>
        <v>92</v>
      </c>
      <c r="E40" s="142">
        <f t="shared" si="4"/>
        <v>1.5333333333333334</v>
      </c>
      <c r="F40" s="321">
        <v>1179.1752577319587</v>
      </c>
      <c r="G40" s="321">
        <v>896.17319587628867</v>
      </c>
      <c r="H40" s="186" t="s">
        <v>67</v>
      </c>
      <c r="I40" s="117">
        <f>(K34+L34)/1000</f>
        <v>35.978999999999999</v>
      </c>
      <c r="J40" s="130">
        <f>+I40+'30'!J40</f>
        <v>906.26300000000015</v>
      </c>
      <c r="K40" s="129" t="s">
        <v>63</v>
      </c>
    </row>
    <row r="41" spans="1:24" ht="17.45" customHeight="1">
      <c r="A41" s="764" t="s">
        <v>68</v>
      </c>
      <c r="B41" s="765"/>
      <c r="C41" s="163">
        <f>SUMIF($G$7:$G$31,"Electrical",$F$7:$F$31)</f>
        <v>0</v>
      </c>
      <c r="D41" s="117">
        <f>+C41+'30'!D41</f>
        <v>475</v>
      </c>
      <c r="E41" s="142">
        <f t="shared" si="4"/>
        <v>7.916666666666667</v>
      </c>
      <c r="F41" s="321"/>
      <c r="G41" s="321"/>
      <c r="H41" s="186" t="s">
        <v>69</v>
      </c>
      <c r="I41" s="141"/>
      <c r="J41" s="128">
        <f>J40/G4</f>
        <v>29.234290322580652</v>
      </c>
      <c r="K41" s="129" t="s">
        <v>63</v>
      </c>
    </row>
    <row r="42" spans="1:24" ht="17.45" customHeight="1">
      <c r="A42" s="764" t="s">
        <v>16</v>
      </c>
      <c r="B42" s="765"/>
      <c r="C42" s="163">
        <f>SUMIF($G$7:$G$31,"Instrument",$F$7:$F$31)</f>
        <v>0</v>
      </c>
      <c r="D42" s="117">
        <f>+C42+'30'!D42</f>
        <v>0</v>
      </c>
      <c r="E42" s="142">
        <f t="shared" si="4"/>
        <v>0</v>
      </c>
      <c r="F42" s="321">
        <f>+(480*F38+480*F39+388*F40)/1348</f>
        <v>1208.2492581602373</v>
      </c>
      <c r="G42" s="321">
        <f>+(480*G38+480*G39+388*G40)/1348</f>
        <v>918.26943620178042</v>
      </c>
      <c r="H42" s="186" t="s">
        <v>70</v>
      </c>
      <c r="I42" s="245"/>
      <c r="J42" s="131"/>
      <c r="K42" s="129" t="s">
        <v>71</v>
      </c>
    </row>
    <row r="43" spans="1:24" ht="17.45" customHeight="1">
      <c r="A43" s="764" t="s">
        <v>72</v>
      </c>
      <c r="B43" s="765"/>
      <c r="C43" s="163">
        <f>SUMIF($G$7:$G$31,"Water",$F$7:$F$31)</f>
        <v>0</v>
      </c>
      <c r="D43" s="117">
        <f>+C43+'30'!D43</f>
        <v>0</v>
      </c>
      <c r="E43" s="142">
        <f t="shared" si="4"/>
        <v>0</v>
      </c>
      <c r="F43" s="321"/>
      <c r="G43" s="322"/>
      <c r="H43" s="187" t="s">
        <v>73</v>
      </c>
      <c r="I43" s="117">
        <f>+Report1!Z39</f>
        <v>53.7</v>
      </c>
      <c r="J43" s="132">
        <f>+I43+'30'!J43</f>
        <v>1345.2000000000003</v>
      </c>
      <c r="K43" s="129" t="s">
        <v>63</v>
      </c>
      <c r="L43" s="188"/>
    </row>
    <row r="44" spans="1:24" ht="17.45" customHeight="1">
      <c r="A44" s="764" t="s">
        <v>17</v>
      </c>
      <c r="B44" s="765"/>
      <c r="C44" s="163">
        <f>SUMIF($G$7:$G$31,"PLN",$F$7:$F$31)</f>
        <v>0</v>
      </c>
      <c r="D44" s="117">
        <f>+C44+'30'!D44</f>
        <v>0</v>
      </c>
      <c r="E44" s="142">
        <f t="shared" si="4"/>
        <v>0</v>
      </c>
      <c r="F44" s="321"/>
      <c r="G44" s="322"/>
      <c r="H44" s="187" t="s">
        <v>74</v>
      </c>
      <c r="I44" s="117">
        <f>I43/I38</f>
        <v>1.4817063075989183</v>
      </c>
      <c r="J44" s="133">
        <f>J43/J38</f>
        <v>1.432665671937454</v>
      </c>
      <c r="K44" s="129" t="s">
        <v>63</v>
      </c>
    </row>
    <row r="45" spans="1:24" ht="17.45" customHeight="1">
      <c r="A45" s="764" t="s">
        <v>18</v>
      </c>
      <c r="B45" s="765"/>
      <c r="C45" s="163">
        <f>SUMIF($G$7:$G$31,"Boiler",$F$7:$F$31)</f>
        <v>0</v>
      </c>
      <c r="D45" s="117">
        <f>+C45+'30'!D45</f>
        <v>0</v>
      </c>
      <c r="E45" s="142">
        <f t="shared" si="4"/>
        <v>0</v>
      </c>
      <c r="F45" s="321"/>
      <c r="G45" s="324"/>
      <c r="H45" s="187" t="s">
        <v>75</v>
      </c>
      <c r="I45" s="117">
        <f>I43/I40</f>
        <v>1.4925373134328359</v>
      </c>
      <c r="J45" s="133">
        <f>J43/J40</f>
        <v>1.4843373281266035</v>
      </c>
      <c r="K45" s="129" t="s">
        <v>63</v>
      </c>
    </row>
    <row r="46" spans="1:24" ht="17.45" customHeight="1">
      <c r="A46" s="764" t="s">
        <v>76</v>
      </c>
      <c r="B46" s="765"/>
      <c r="C46" s="163">
        <f>SUMIF($G$7:$G$31,"Gas",$F$7:$F$31)</f>
        <v>0</v>
      </c>
      <c r="D46" s="117">
        <f>+C46+'30'!D46</f>
        <v>0</v>
      </c>
      <c r="E46" s="142">
        <f t="shared" si="4"/>
        <v>0</v>
      </c>
      <c r="F46" s="321"/>
      <c r="G46" s="322"/>
      <c r="H46" s="187" t="s">
        <v>77</v>
      </c>
      <c r="I46" s="139">
        <f>+SUMIF(Listrik!P38,"&gt;0")</f>
        <v>36227.800000000003</v>
      </c>
      <c r="J46" s="134">
        <f>+I46+'30'!J46</f>
        <v>889454.73999999964</v>
      </c>
      <c r="K46" s="129" t="s">
        <v>78</v>
      </c>
    </row>
    <row r="47" spans="1:24" ht="17.45" customHeight="1">
      <c r="A47" s="764" t="s">
        <v>79</v>
      </c>
      <c r="B47" s="765"/>
      <c r="C47" s="163">
        <f>SUMIF($G$7:$G$31,"Gas",$F$7:$F$31)</f>
        <v>0</v>
      </c>
      <c r="D47" s="117">
        <f>+C47+'30'!D47</f>
        <v>0</v>
      </c>
      <c r="E47" s="142">
        <f t="shared" si="4"/>
        <v>0</v>
      </c>
      <c r="F47" s="321"/>
      <c r="G47" s="322"/>
      <c r="H47" s="187" t="s">
        <v>80</v>
      </c>
      <c r="I47" s="117">
        <f>I46/I38</f>
        <v>999.60818939352134</v>
      </c>
      <c r="J47" s="134">
        <f>J46/J38</f>
        <v>947.28759495989641</v>
      </c>
      <c r="K47" s="129" t="s">
        <v>24</v>
      </c>
    </row>
    <row r="48" spans="1:24" ht="17.45" customHeight="1">
      <c r="A48" s="764" t="s">
        <v>14</v>
      </c>
      <c r="B48" s="765"/>
      <c r="C48" s="163">
        <f>SUMIF($G$7:$G$31,"Start Up",$F$7:$F$31)</f>
        <v>0</v>
      </c>
      <c r="D48" s="117">
        <f>+C48+'30'!D48</f>
        <v>0</v>
      </c>
      <c r="E48" s="142">
        <f t="shared" si="4"/>
        <v>0</v>
      </c>
      <c r="F48" s="321"/>
      <c r="G48" s="322"/>
      <c r="H48" s="187" t="s">
        <v>81</v>
      </c>
      <c r="I48" s="117">
        <f>I46/I40</f>
        <v>1006.9151449456629</v>
      </c>
      <c r="J48" s="134">
        <f>J46/J40</f>
        <v>981.45322053311179</v>
      </c>
      <c r="K48" s="129" t="s">
        <v>24</v>
      </c>
    </row>
    <row r="49" spans="1:23" ht="17.45" customHeight="1">
      <c r="A49" s="764" t="s">
        <v>20</v>
      </c>
      <c r="B49" s="765"/>
      <c r="C49" s="163">
        <f>SUMIF($G$7:$G$31,"Others",$F$7:$F$31)</f>
        <v>0</v>
      </c>
      <c r="D49" s="117">
        <f>+C49+'30'!D49</f>
        <v>948</v>
      </c>
      <c r="E49" s="142">
        <f t="shared" si="4"/>
        <v>15.8</v>
      </c>
      <c r="F49" s="184"/>
      <c r="H49" s="187" t="s">
        <v>268</v>
      </c>
      <c r="I49" s="117">
        <f>+Report1!T39</f>
        <v>4831.2756456073839</v>
      </c>
      <c r="J49" s="134">
        <f>+I49+'30'!J49</f>
        <v>119697.50021617577</v>
      </c>
      <c r="K49" s="129" t="s">
        <v>82</v>
      </c>
    </row>
    <row r="50" spans="1:23" ht="17.45" customHeight="1">
      <c r="A50" s="764" t="s">
        <v>19</v>
      </c>
      <c r="B50" s="765"/>
      <c r="C50" s="163">
        <f>SUMIF($G$7:$G$31,"Steam",$F$7:$F$31)</f>
        <v>0</v>
      </c>
      <c r="D50" s="117">
        <f>+C50+'30'!D50</f>
        <v>0</v>
      </c>
      <c r="E50" s="142">
        <f t="shared" si="4"/>
        <v>0</v>
      </c>
      <c r="F50" s="184"/>
      <c r="H50" s="187" t="s">
        <v>83</v>
      </c>
      <c r="I50" s="139">
        <f>I49/I38</f>
        <v>133.30598878669454</v>
      </c>
      <c r="J50" s="132">
        <f>J49/J38</f>
        <v>127.48030001222196</v>
      </c>
      <c r="K50" s="129" t="s">
        <v>82</v>
      </c>
    </row>
    <row r="51" spans="1:23" ht="17.45" customHeight="1" thickBot="1">
      <c r="A51" s="758" t="s">
        <v>84</v>
      </c>
      <c r="B51" s="759"/>
      <c r="C51" s="163">
        <f>SUMIF($G$7:$G$31,"Planned shut",$F$7:$F$31)</f>
        <v>0</v>
      </c>
      <c r="D51" s="117">
        <f>+C51+'30'!D51</f>
        <v>10091</v>
      </c>
      <c r="E51" s="142">
        <f t="shared" si="4"/>
        <v>168.18333333333334</v>
      </c>
      <c r="F51" s="184"/>
      <c r="H51" s="189" t="s">
        <v>85</v>
      </c>
      <c r="I51" s="140">
        <f>I49/I40</f>
        <v>134.28043151859094</v>
      </c>
      <c r="J51" s="135">
        <f>J49/J40</f>
        <v>132.078105600886</v>
      </c>
      <c r="K51" s="136" t="s">
        <v>82</v>
      </c>
    </row>
    <row r="52" spans="1:23" ht="13.5" thickBot="1">
      <c r="A52" s="760" t="s">
        <v>28</v>
      </c>
      <c r="B52" s="761"/>
      <c r="C52" s="143">
        <f>SUM(C38:C51)</f>
        <v>153</v>
      </c>
      <c r="D52" s="143">
        <f>SUM(D38:D51)</f>
        <v>13410</v>
      </c>
      <c r="E52" s="144">
        <f>SUM(E38:E51)</f>
        <v>223.5</v>
      </c>
      <c r="F52" s="184"/>
      <c r="H52" s="190"/>
      <c r="I52" s="191"/>
      <c r="J52" s="137"/>
      <c r="K52" s="138"/>
    </row>
    <row r="53" spans="1:23" ht="13.5" thickBot="1">
      <c r="A53" s="762"/>
      <c r="B53" s="763"/>
      <c r="C53" s="145">
        <f>C52/(24*60)</f>
        <v>0.10625</v>
      </c>
      <c r="D53" s="145">
        <f>D52/(24*60*G4)</f>
        <v>0.30040322580645162</v>
      </c>
      <c r="E53" s="146">
        <f>E52/(G4*24)</f>
        <v>0.30040322580645162</v>
      </c>
      <c r="F53" s="184"/>
    </row>
    <row r="54" spans="1:23">
      <c r="E54" s="192"/>
      <c r="F54" s="184"/>
    </row>
    <row r="55" spans="1:23">
      <c r="E55" s="192"/>
    </row>
    <row r="56" spans="1:23">
      <c r="A56" s="193" t="s">
        <v>86</v>
      </c>
      <c r="B56" s="194"/>
      <c r="C56" s="195"/>
      <c r="D56" s="195"/>
      <c r="E56" s="195"/>
      <c r="F56" s="196"/>
      <c r="G56" s="195"/>
      <c r="H56" s="197"/>
      <c r="I56" s="198" t="s">
        <v>87</v>
      </c>
      <c r="J56" s="199">
        <f>+D34+'30'!J56</f>
        <v>1116</v>
      </c>
      <c r="K56" s="200">
        <f>J56/(J40+J56/1000)/1000</f>
        <v>1.2299160549230255E-3</v>
      </c>
    </row>
    <row r="57" spans="1:23">
      <c r="A57" s="175"/>
      <c r="I57" s="198" t="s">
        <v>88</v>
      </c>
      <c r="J57" s="199">
        <f>+E34+'30'!J57</f>
        <v>0</v>
      </c>
      <c r="K57" s="200">
        <f>J57/(J40+J57/1000)/1000</f>
        <v>0</v>
      </c>
    </row>
    <row r="58" spans="1:23">
      <c r="A58" s="201"/>
      <c r="B58" s="202"/>
      <c r="F58" s="184"/>
      <c r="H58" s="203"/>
    </row>
    <row r="59" spans="1:23">
      <c r="A59" s="204"/>
      <c r="B59" s="175"/>
      <c r="C59" s="175"/>
      <c r="D59" s="175"/>
      <c r="E59" s="175"/>
      <c r="F59" s="188"/>
      <c r="G59" s="175"/>
      <c r="H59" s="203"/>
    </row>
    <row r="60" spans="1:23">
      <c r="H60" s="203"/>
    </row>
    <row r="61" spans="1:23">
      <c r="A61" s="205"/>
      <c r="B61" s="206"/>
      <c r="C61" s="206"/>
      <c r="D61" s="206"/>
      <c r="E61" s="206"/>
      <c r="F61" s="207"/>
      <c r="G61" s="206"/>
      <c r="H61" s="208"/>
      <c r="W61" s="148" t="s">
        <v>0</v>
      </c>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25" right="0.25" top="0.25" bottom="0.5" header="0.5" footer="0.5"/>
  <pageSetup paperSize="9" scale="60"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61"/>
  <sheetViews>
    <sheetView topLeftCell="I20" zoomScale="80" zoomScaleNormal="80" workbookViewId="0">
      <selection activeCell="AB43" sqref="AB42:AH43"/>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7.140625" style="148" customWidth="1"/>
    <col min="14" max="15" width="0" style="148" hidden="1" customWidth="1"/>
    <col min="16" max="16" width="10.28515625" style="148" hidden="1" customWidth="1"/>
    <col min="17" max="17" width="9.28515625" style="148" hidden="1" customWidth="1"/>
    <col min="18" max="23" width="0" style="148" hidden="1" customWidth="1"/>
    <col min="24" max="16384" width="9.140625" style="148"/>
  </cols>
  <sheetData>
    <row r="1" spans="1:36" ht="15.75">
      <c r="A1" s="147"/>
    </row>
    <row r="2" spans="1:36" ht="15.75">
      <c r="A2" s="147" t="s">
        <v>182</v>
      </c>
    </row>
    <row r="3" spans="1:36" ht="15">
      <c r="A3" s="149"/>
    </row>
    <row r="4" spans="1:36" ht="20.25">
      <c r="A4" s="150" t="s">
        <v>3</v>
      </c>
      <c r="B4" s="151"/>
      <c r="F4" s="152" t="s">
        <v>29</v>
      </c>
      <c r="G4" s="153">
        <v>30</v>
      </c>
      <c r="H4" s="153" t="str">
        <f>+'1'!H4</f>
        <v>.03.26</v>
      </c>
    </row>
    <row r="5" spans="1:36" ht="13.5" thickBot="1">
      <c r="C5" s="154"/>
      <c r="D5" s="154"/>
    </row>
    <row r="6" spans="1:36"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80" t="s">
        <v>92</v>
      </c>
      <c r="O6" s="421" t="s">
        <v>189</v>
      </c>
      <c r="P6" s="421" t="s">
        <v>189</v>
      </c>
      <c r="Q6" s="421" t="s">
        <v>190</v>
      </c>
      <c r="R6" s="421" t="s">
        <v>191</v>
      </c>
      <c r="S6" s="421" t="s">
        <v>192</v>
      </c>
      <c r="T6" s="421" t="s">
        <v>187</v>
      </c>
      <c r="U6" s="422" t="s">
        <v>193</v>
      </c>
      <c r="V6" s="421" t="s">
        <v>194</v>
      </c>
      <c r="W6" s="421" t="s">
        <v>188</v>
      </c>
      <c r="X6" s="148" t="s">
        <v>595</v>
      </c>
      <c r="Y6" s="148">
        <v>1120</v>
      </c>
      <c r="Z6" s="148">
        <f>+Y6-(Y6*0.22)</f>
        <v>873.6</v>
      </c>
      <c r="AA6" s="148">
        <f>60*5+11</f>
        <v>311</v>
      </c>
      <c r="AB6" s="148">
        <f t="shared" ref="AB6:AB9" si="0">+Y6*AA6</f>
        <v>348320</v>
      </c>
      <c r="AC6" s="148">
        <f t="shared" ref="AC6:AC9" si="1">+Z6*AA6</f>
        <v>271689.60000000003</v>
      </c>
      <c r="AE6" s="148" t="s">
        <v>536</v>
      </c>
      <c r="AF6" s="148">
        <v>1180</v>
      </c>
      <c r="AG6" s="148">
        <v>908.59999999999991</v>
      </c>
      <c r="AH6" s="148">
        <v>67</v>
      </c>
      <c r="AI6" s="148">
        <f t="shared" ref="AI6:AI9" si="2">+AF6*AH6</f>
        <v>79060</v>
      </c>
      <c r="AJ6" s="148">
        <f t="shared" ref="AJ6:AJ9" si="3">+AG6*AH6</f>
        <v>60876.2</v>
      </c>
    </row>
    <row r="7" spans="1:36" ht="13.5" customHeight="1" thickBot="1">
      <c r="A7" s="770" t="s">
        <v>417</v>
      </c>
      <c r="B7" s="214" t="s">
        <v>606</v>
      </c>
      <c r="C7" s="215">
        <f>6750+2966</f>
        <v>9716</v>
      </c>
      <c r="D7" s="216"/>
      <c r="E7" s="217"/>
      <c r="F7" s="227">
        <v>6</v>
      </c>
      <c r="G7" s="228" t="s">
        <v>12</v>
      </c>
      <c r="H7" s="229" t="s">
        <v>467</v>
      </c>
      <c r="I7" s="773" t="s">
        <v>773</v>
      </c>
      <c r="J7" s="213" t="str">
        <f>+'29'!J7</f>
        <v>F 12 VP OW</v>
      </c>
      <c r="K7" s="237"/>
      <c r="L7" s="241"/>
      <c r="M7" s="116">
        <f>+K7+'29'!M7+L7</f>
        <v>136522</v>
      </c>
      <c r="N7" s="423">
        <v>14.5</v>
      </c>
      <c r="O7" s="198">
        <v>1200</v>
      </c>
      <c r="P7" s="198">
        <v>1120</v>
      </c>
      <c r="Q7" s="198">
        <v>896</v>
      </c>
      <c r="R7" s="424">
        <f>1-(Q7/P7)</f>
        <v>0.19999999999999996</v>
      </c>
      <c r="S7" s="425">
        <v>45</v>
      </c>
      <c r="T7" s="426">
        <v>256.5</v>
      </c>
      <c r="U7" s="427">
        <f>(O7*(1-R7)*N7*T7*S7)/100000000</f>
        <v>1.606716</v>
      </c>
      <c r="V7" s="428">
        <f>+C14/1000</f>
        <v>10.426</v>
      </c>
      <c r="W7" s="429">
        <f>SUM(V7:V9)/SUM(U7:U9)</f>
        <v>0.49915479773650112</v>
      </c>
      <c r="X7" s="148" t="s">
        <v>536</v>
      </c>
      <c r="Y7" s="148">
        <v>1180</v>
      </c>
      <c r="Z7" s="148">
        <f>+Y7-(Y7*0.23)</f>
        <v>908.59999999999991</v>
      </c>
      <c r="AA7" s="148">
        <f>60-11+18</f>
        <v>67</v>
      </c>
      <c r="AB7" s="148">
        <f t="shared" si="0"/>
        <v>79060</v>
      </c>
      <c r="AC7" s="148">
        <f t="shared" si="1"/>
        <v>60876.2</v>
      </c>
      <c r="AF7" s="148">
        <v>1200</v>
      </c>
      <c r="AG7" s="148">
        <v>924</v>
      </c>
      <c r="AH7" s="148">
        <v>42</v>
      </c>
      <c r="AI7" s="148">
        <f t="shared" si="2"/>
        <v>50400</v>
      </c>
      <c r="AJ7" s="148">
        <f t="shared" si="3"/>
        <v>38808</v>
      </c>
    </row>
    <row r="8" spans="1:36" ht="13.5" thickBot="1">
      <c r="A8" s="771"/>
      <c r="B8" s="214" t="s">
        <v>561</v>
      </c>
      <c r="C8" s="215">
        <v>710</v>
      </c>
      <c r="D8" s="216"/>
      <c r="E8" s="218"/>
      <c r="F8" s="230"/>
      <c r="G8" s="231" t="s">
        <v>12</v>
      </c>
      <c r="H8" s="229" t="s">
        <v>283</v>
      </c>
      <c r="I8" s="774"/>
      <c r="J8" s="213" t="str">
        <f>+'29'!J8</f>
        <v>F 14 VP OW</v>
      </c>
      <c r="K8" s="238"/>
      <c r="L8" s="238"/>
      <c r="M8" s="116">
        <f>+K8+'29'!M8+L8</f>
        <v>89126</v>
      </c>
      <c r="N8" s="423">
        <v>18</v>
      </c>
      <c r="O8" s="198">
        <v>1200</v>
      </c>
      <c r="P8" s="198">
        <v>930</v>
      </c>
      <c r="Q8" s="198">
        <v>744</v>
      </c>
      <c r="R8" s="424">
        <f>1-(Q8/P8)</f>
        <v>0.19999999999999996</v>
      </c>
      <c r="S8" s="425">
        <f>480-S7</f>
        <v>435</v>
      </c>
      <c r="T8" s="426">
        <v>256.5</v>
      </c>
      <c r="U8" s="427">
        <f>(O8*(1-R8)*N8*T8*S8)/100000000</f>
        <v>19.280591999999999</v>
      </c>
      <c r="V8" s="428"/>
      <c r="W8" s="430"/>
      <c r="Y8" s="148">
        <v>1200</v>
      </c>
      <c r="Z8" s="148">
        <f>+Y8-(Y8*0.23)</f>
        <v>924</v>
      </c>
      <c r="AA8" s="148">
        <f>60-18</f>
        <v>42</v>
      </c>
      <c r="AB8" s="148">
        <f t="shared" si="0"/>
        <v>50400</v>
      </c>
      <c r="AC8" s="148">
        <f t="shared" si="1"/>
        <v>38808</v>
      </c>
      <c r="AF8" s="148">
        <v>1210</v>
      </c>
      <c r="AG8" s="148">
        <v>931.7</v>
      </c>
      <c r="AH8" s="148">
        <v>60</v>
      </c>
      <c r="AI8" s="148">
        <f t="shared" si="2"/>
        <v>72600</v>
      </c>
      <c r="AJ8" s="148">
        <f t="shared" si="3"/>
        <v>55902</v>
      </c>
    </row>
    <row r="9" spans="1:36" ht="13.5" thickBot="1">
      <c r="A9" s="771"/>
      <c r="B9" s="214"/>
      <c r="C9" s="215"/>
      <c r="D9" s="216"/>
      <c r="E9" s="219"/>
      <c r="F9" s="227">
        <f>27-6</f>
        <v>21</v>
      </c>
      <c r="G9" s="231" t="s">
        <v>12</v>
      </c>
      <c r="H9" s="232" t="s">
        <v>385</v>
      </c>
      <c r="I9" s="774"/>
      <c r="J9" s="213" t="str">
        <f>+'29'!J9</f>
        <v>F 16 VP OW</v>
      </c>
      <c r="K9" s="238"/>
      <c r="L9" s="238"/>
      <c r="M9" s="116">
        <f>+K9+'29'!M9+L9</f>
        <v>104726</v>
      </c>
      <c r="N9" s="431"/>
      <c r="Y9" s="148">
        <v>1210</v>
      </c>
      <c r="Z9" s="148">
        <f>+Y9-(Y9*0.23)</f>
        <v>931.7</v>
      </c>
      <c r="AA9" s="148">
        <v>60</v>
      </c>
      <c r="AB9" s="148">
        <f t="shared" si="0"/>
        <v>72600</v>
      </c>
      <c r="AC9" s="148">
        <f t="shared" si="1"/>
        <v>55902</v>
      </c>
      <c r="AF9" s="148">
        <v>1210</v>
      </c>
      <c r="AG9" s="148">
        <v>931.7</v>
      </c>
      <c r="AH9" s="148">
        <v>51</v>
      </c>
      <c r="AI9" s="148">
        <f t="shared" si="2"/>
        <v>61710</v>
      </c>
      <c r="AJ9" s="148">
        <f t="shared" si="3"/>
        <v>47516.700000000004</v>
      </c>
    </row>
    <row r="10" spans="1:36" ht="51.75" thickBot="1">
      <c r="A10" s="771"/>
      <c r="B10" s="214"/>
      <c r="C10" s="215"/>
      <c r="D10" s="216"/>
      <c r="E10" s="218"/>
      <c r="F10" s="227"/>
      <c r="G10" s="236" t="s">
        <v>13</v>
      </c>
      <c r="H10" s="232" t="s">
        <v>770</v>
      </c>
      <c r="I10" s="774"/>
      <c r="J10" s="213" t="str">
        <f>+'29'!J10</f>
        <v>F 13,5 VP OW</v>
      </c>
      <c r="K10" s="238"/>
      <c r="L10" s="238"/>
      <c r="M10" s="116">
        <f>+K10+'29'!M10+L10</f>
        <v>10827</v>
      </c>
      <c r="N10" s="431"/>
      <c r="AE10" s="148" t="s">
        <v>536</v>
      </c>
      <c r="AF10" s="148">
        <v>1220</v>
      </c>
      <c r="AG10" s="148">
        <v>927.2</v>
      </c>
      <c r="AH10" s="148">
        <v>96</v>
      </c>
      <c r="AI10" s="148">
        <f t="shared" ref="AI10:AI12" si="4">+AF10*AH10</f>
        <v>117120</v>
      </c>
      <c r="AJ10" s="148">
        <f t="shared" ref="AJ10:AJ12" si="5">+AG10*AH10</f>
        <v>89011.200000000012</v>
      </c>
    </row>
    <row r="11" spans="1:36" ht="64.5" thickBot="1">
      <c r="A11" s="771"/>
      <c r="B11" s="214"/>
      <c r="C11" s="215"/>
      <c r="D11" s="216"/>
      <c r="E11" s="218"/>
      <c r="F11" s="227"/>
      <c r="G11" s="231"/>
      <c r="H11" s="232" t="s">
        <v>771</v>
      </c>
      <c r="I11" s="774"/>
      <c r="J11" s="213" t="str">
        <f>+'29'!J11</f>
        <v>F 13 VP OW</v>
      </c>
      <c r="K11" s="238"/>
      <c r="L11" s="238"/>
      <c r="M11" s="116">
        <f>+K11+'29'!M11+L11</f>
        <v>19832</v>
      </c>
      <c r="N11" s="431"/>
      <c r="AF11" s="148">
        <v>1210</v>
      </c>
      <c r="AG11" s="148">
        <v>919.6</v>
      </c>
      <c r="AH11" s="148">
        <v>333</v>
      </c>
      <c r="AI11" s="148">
        <f t="shared" si="4"/>
        <v>402930</v>
      </c>
      <c r="AJ11" s="148">
        <f t="shared" si="5"/>
        <v>306226.8</v>
      </c>
    </row>
    <row r="12" spans="1:36" ht="13.5" thickBot="1">
      <c r="A12" s="771"/>
      <c r="B12" s="214"/>
      <c r="C12" s="215"/>
      <c r="D12" s="216"/>
      <c r="E12" s="218"/>
      <c r="F12" s="227"/>
      <c r="G12" s="231"/>
      <c r="H12" s="232"/>
      <c r="I12" s="774"/>
      <c r="J12" s="213" t="str">
        <f>+'29'!J12</f>
        <v>T 14 VP OW</v>
      </c>
      <c r="K12" s="238"/>
      <c r="L12" s="238"/>
      <c r="M12" s="116">
        <f>+K12+'29'!M12+L12</f>
        <v>28770</v>
      </c>
      <c r="N12" s="431"/>
      <c r="AF12" s="148">
        <v>1210</v>
      </c>
      <c r="AG12" s="148">
        <v>919.6</v>
      </c>
      <c r="AH12" s="148">
        <v>480</v>
      </c>
      <c r="AI12" s="148">
        <f t="shared" si="4"/>
        <v>580800</v>
      </c>
      <c r="AJ12" s="148">
        <f t="shared" si="5"/>
        <v>441408</v>
      </c>
    </row>
    <row r="13" spans="1:36" ht="13.5" thickBot="1">
      <c r="A13" s="771"/>
      <c r="B13" s="214"/>
      <c r="C13" s="215"/>
      <c r="D13" s="215"/>
      <c r="E13" s="218"/>
      <c r="F13" s="227"/>
      <c r="G13" s="231"/>
      <c r="H13" s="232"/>
      <c r="I13" s="775"/>
      <c r="J13" s="213" t="str">
        <f>+'29'!J13</f>
        <v>F 11,5 VP OW</v>
      </c>
      <c r="K13" s="238">
        <f>+C8+C16+C25</f>
        <v>25321</v>
      </c>
      <c r="L13" s="238"/>
      <c r="M13" s="116">
        <f>+K13+'29'!M13+L13</f>
        <v>79252</v>
      </c>
      <c r="N13" s="432"/>
      <c r="O13" s="433"/>
      <c r="P13" s="433"/>
      <c r="Q13" s="433"/>
      <c r="R13" s="433"/>
      <c r="S13" s="433"/>
      <c r="T13" s="433"/>
      <c r="U13" s="433"/>
      <c r="V13" s="433"/>
      <c r="W13" s="433"/>
      <c r="AA13" s="175">
        <f>SUM(AA6:AA12)</f>
        <v>480</v>
      </c>
      <c r="AB13" s="175">
        <f>SUM(AB6:AB12)</f>
        <v>550380</v>
      </c>
      <c r="AC13" s="175">
        <f>SUM(AC6:AC12)</f>
        <v>427275.80000000005</v>
      </c>
    </row>
    <row r="14" spans="1:36" ht="13.5" thickBot="1">
      <c r="A14" s="772"/>
      <c r="B14" s="164" t="s">
        <v>2</v>
      </c>
      <c r="C14" s="98">
        <f>SUM(C7:C13)</f>
        <v>10426</v>
      </c>
      <c r="D14" s="110">
        <f>SUM(D7:D13)</f>
        <v>0</v>
      </c>
      <c r="E14" s="111">
        <f>SUM(E5:E13)</f>
        <v>0</v>
      </c>
      <c r="F14" s="115">
        <f>SUM(F7:F13)</f>
        <v>27</v>
      </c>
      <c r="G14" s="158"/>
      <c r="H14" s="165"/>
      <c r="I14" s="166"/>
      <c r="J14" s="213" t="str">
        <f>+'29'!J14</f>
        <v>F 12,5 VP OW</v>
      </c>
      <c r="K14" s="238"/>
      <c r="L14" s="238"/>
      <c r="M14" s="116">
        <f>+K14+'29'!M14+L14</f>
        <v>10132</v>
      </c>
      <c r="AA14" s="148">
        <f>480-AA13</f>
        <v>0</v>
      </c>
      <c r="AB14" s="175">
        <f>+AB13/AA13</f>
        <v>1146.625</v>
      </c>
      <c r="AC14" s="175">
        <f>+AC13/AA13</f>
        <v>890.15791666666678</v>
      </c>
    </row>
    <row r="15" spans="1:36" ht="13.5" customHeight="1" thickBot="1">
      <c r="A15" s="770" t="s">
        <v>391</v>
      </c>
      <c r="B15" s="164"/>
      <c r="C15" s="112">
        <f>C14/($C$23+$D$23+$E$23)</f>
        <v>0.85333115076117205</v>
      </c>
      <c r="D15" s="113">
        <f>D14/($C$23+$D$23+$E$23)</f>
        <v>0</v>
      </c>
      <c r="E15" s="114">
        <f>E14/($C$23+$D$23+$E$23)</f>
        <v>0</v>
      </c>
      <c r="F15" s="227"/>
      <c r="G15" s="228" t="s">
        <v>12</v>
      </c>
      <c r="H15" s="229" t="s">
        <v>384</v>
      </c>
      <c r="I15" s="773" t="s">
        <v>774</v>
      </c>
      <c r="J15" s="213" t="str">
        <f>+'29'!J15</f>
        <v>T 13 VP OW</v>
      </c>
      <c r="K15" s="238">
        <f>+C7</f>
        <v>9716</v>
      </c>
      <c r="L15" s="238"/>
      <c r="M15" s="116">
        <f>+K15+'29'!M15+L15</f>
        <v>287277</v>
      </c>
      <c r="N15" s="423">
        <v>18</v>
      </c>
      <c r="O15" s="198">
        <v>1200</v>
      </c>
      <c r="P15" s="198">
        <v>850</v>
      </c>
      <c r="Q15" s="198">
        <v>680</v>
      </c>
      <c r="R15" s="424">
        <f>1-(Q15/P15)</f>
        <v>0.19999999999999996</v>
      </c>
      <c r="S15" s="425">
        <v>480</v>
      </c>
      <c r="T15" s="426">
        <v>256.5</v>
      </c>
      <c r="U15" s="427">
        <f>(O15*(1-R15)*N15*T15*S15)/100000000</f>
        <v>21.275136</v>
      </c>
      <c r="V15" s="428">
        <f>+C23/1000</f>
        <v>12.218</v>
      </c>
      <c r="W15" s="429">
        <f>SUM(V15:V17)/SUM(U15:U17)</f>
        <v>0.57428540057276245</v>
      </c>
    </row>
    <row r="16" spans="1:36" ht="13.5" thickBot="1">
      <c r="A16" s="776"/>
      <c r="B16" s="220" t="s">
        <v>561</v>
      </c>
      <c r="C16" s="221">
        <v>12218</v>
      </c>
      <c r="D16" s="222"/>
      <c r="E16" s="223"/>
      <c r="F16" s="227">
        <v>9</v>
      </c>
      <c r="G16" s="231" t="s">
        <v>12</v>
      </c>
      <c r="H16" s="229" t="s">
        <v>541</v>
      </c>
      <c r="I16" s="774"/>
      <c r="J16" s="213" t="str">
        <f>+'29'!J16</f>
        <v>T 12,5 VP OW</v>
      </c>
      <c r="K16" s="228"/>
      <c r="L16" s="228"/>
      <c r="M16" s="116">
        <f>+K16+'29'!M16+L16</f>
        <v>103820</v>
      </c>
      <c r="N16" s="434"/>
      <c r="O16" s="198"/>
      <c r="P16" s="198"/>
      <c r="Q16" s="435"/>
      <c r="R16" s="424"/>
      <c r="S16" s="198"/>
      <c r="T16" s="426"/>
      <c r="U16" s="427"/>
      <c r="V16" s="428"/>
      <c r="W16" s="430"/>
      <c r="X16" s="148" t="s">
        <v>536</v>
      </c>
      <c r="Y16" s="148">
        <v>1210</v>
      </c>
      <c r="Z16" s="148">
        <f>+Y16-(Y16*0.23)</f>
        <v>931.7</v>
      </c>
      <c r="AA16" s="148">
        <v>51</v>
      </c>
      <c r="AB16" s="148">
        <f t="shared" ref="AB16:AB19" si="6">+Y16*AA16</f>
        <v>61710</v>
      </c>
      <c r="AC16" s="148">
        <f t="shared" ref="AC16:AC19" si="7">+Z16*AA16</f>
        <v>47516.700000000004</v>
      </c>
      <c r="AH16" s="175">
        <f>SUM(AH6:AH15)</f>
        <v>1129</v>
      </c>
      <c r="AI16" s="175">
        <f>SUM(AI6:AI15)</f>
        <v>1364620</v>
      </c>
      <c r="AJ16" s="175">
        <f>SUM(AJ6:AJ15)</f>
        <v>1039748.9</v>
      </c>
    </row>
    <row r="17" spans="1:36" ht="13.5" thickBot="1">
      <c r="A17" s="776"/>
      <c r="B17" s="214"/>
      <c r="C17" s="215"/>
      <c r="D17" s="216"/>
      <c r="E17" s="224"/>
      <c r="F17" s="227">
        <v>10</v>
      </c>
      <c r="G17" s="231" t="s">
        <v>12</v>
      </c>
      <c r="H17" s="232" t="s">
        <v>411</v>
      </c>
      <c r="I17" s="774"/>
      <c r="J17" s="213">
        <f>+'29'!J17</f>
        <v>0</v>
      </c>
      <c r="K17" s="228"/>
      <c r="L17" s="228"/>
      <c r="M17" s="116">
        <f>+K17+'29'!M17+L17</f>
        <v>0</v>
      </c>
      <c r="N17" s="431"/>
      <c r="O17" s="198"/>
      <c r="R17" s="424"/>
      <c r="T17" s="426"/>
      <c r="U17" s="427"/>
      <c r="Y17" s="148">
        <v>1220</v>
      </c>
      <c r="Z17" s="148">
        <f>+Y17-(Y17*0.24)</f>
        <v>927.2</v>
      </c>
      <c r="AA17" s="148">
        <f>60-51+60+27</f>
        <v>96</v>
      </c>
      <c r="AB17" s="148">
        <f t="shared" si="6"/>
        <v>117120</v>
      </c>
      <c r="AC17" s="148">
        <f t="shared" si="7"/>
        <v>89011.200000000012</v>
      </c>
      <c r="AH17" s="148">
        <f>480-AH16</f>
        <v>-649</v>
      </c>
      <c r="AI17" s="175">
        <f>+AI16/AH16</f>
        <v>1208.6979627989372</v>
      </c>
      <c r="AJ17" s="175">
        <f>+AJ16/AH16</f>
        <v>920.94676705048721</v>
      </c>
    </row>
    <row r="18" spans="1:36" ht="39" thickBot="1">
      <c r="A18" s="776"/>
      <c r="B18" s="214"/>
      <c r="C18" s="215"/>
      <c r="D18" s="216"/>
      <c r="E18" s="224"/>
      <c r="F18" s="227"/>
      <c r="G18" s="236" t="s">
        <v>13</v>
      </c>
      <c r="H18" s="232" t="s">
        <v>772</v>
      </c>
      <c r="I18" s="774"/>
      <c r="J18" s="213">
        <f>+'29'!J18</f>
        <v>0</v>
      </c>
      <c r="K18" s="238"/>
      <c r="L18" s="238"/>
      <c r="M18" s="116">
        <f>+K18+'29'!M18+L18</f>
        <v>0</v>
      </c>
      <c r="N18" s="431"/>
      <c r="Y18" s="148">
        <v>1210</v>
      </c>
      <c r="Z18" s="148">
        <f>+Y18-(Y18*0.24)</f>
        <v>919.6</v>
      </c>
      <c r="AA18" s="148">
        <f>60-27+300</f>
        <v>333</v>
      </c>
      <c r="AB18" s="148">
        <f t="shared" si="6"/>
        <v>402930</v>
      </c>
      <c r="AC18" s="148">
        <f t="shared" si="7"/>
        <v>306226.8</v>
      </c>
    </row>
    <row r="19" spans="1:36" ht="112.5" customHeight="1" thickBot="1">
      <c r="A19" s="776"/>
      <c r="B19" s="214"/>
      <c r="C19" s="215"/>
      <c r="D19" s="216"/>
      <c r="E19" s="224"/>
      <c r="F19" s="234"/>
      <c r="G19" s="231"/>
      <c r="H19" s="232" t="s">
        <v>769</v>
      </c>
      <c r="I19" s="774"/>
      <c r="J19" s="213">
        <f>+'29'!J19</f>
        <v>0</v>
      </c>
      <c r="K19" s="238"/>
      <c r="L19" s="238"/>
      <c r="M19" s="116">
        <f>+K19+'29'!M19+L19</f>
        <v>0</v>
      </c>
      <c r="N19" s="431"/>
      <c r="AB19" s="148">
        <f t="shared" si="6"/>
        <v>0</v>
      </c>
      <c r="AC19" s="148">
        <f t="shared" si="7"/>
        <v>0</v>
      </c>
    </row>
    <row r="20" spans="1:36" ht="13.5" thickBot="1">
      <c r="A20" s="776"/>
      <c r="B20" s="214"/>
      <c r="C20" s="215"/>
      <c r="D20" s="216"/>
      <c r="E20" s="224"/>
      <c r="F20" s="227"/>
      <c r="G20" s="231"/>
      <c r="H20" s="232"/>
      <c r="I20" s="774"/>
      <c r="J20" s="213">
        <f>+'29'!J20</f>
        <v>0</v>
      </c>
      <c r="K20" s="239"/>
      <c r="L20" s="239"/>
      <c r="M20" s="116">
        <f>+K20+'29'!M20+L20</f>
        <v>0</v>
      </c>
      <c r="N20" s="431"/>
    </row>
    <row r="21" spans="1:36" ht="13.5" thickBot="1">
      <c r="A21" s="776"/>
      <c r="B21" s="214"/>
      <c r="C21" s="215"/>
      <c r="D21" s="216"/>
      <c r="E21" s="224"/>
      <c r="F21" s="230"/>
      <c r="G21" s="231"/>
      <c r="H21" s="232"/>
      <c r="I21" s="774"/>
      <c r="J21" s="213">
        <f>+'29'!J21</f>
        <v>0</v>
      </c>
      <c r="K21" s="238"/>
      <c r="L21" s="238"/>
      <c r="M21" s="116">
        <f>+K21+'29'!M21+L21</f>
        <v>0</v>
      </c>
      <c r="N21" s="432"/>
      <c r="O21" s="433"/>
      <c r="P21" s="433"/>
      <c r="Q21" s="433"/>
      <c r="R21" s="433"/>
      <c r="S21" s="433"/>
      <c r="T21" s="433"/>
      <c r="U21" s="433"/>
      <c r="V21" s="433"/>
      <c r="W21" s="433"/>
    </row>
    <row r="22" spans="1:36" ht="13.5" thickBot="1">
      <c r="A22" s="776"/>
      <c r="B22" s="214"/>
      <c r="C22" s="215"/>
      <c r="D22" s="216"/>
      <c r="E22" s="224"/>
      <c r="F22" s="235"/>
      <c r="G22" s="231"/>
      <c r="H22" s="232"/>
      <c r="I22" s="775"/>
      <c r="J22" s="213">
        <f>+'29'!J22</f>
        <v>0</v>
      </c>
      <c r="K22" s="238"/>
      <c r="L22" s="238"/>
      <c r="M22" s="116">
        <f>+K22+'29'!M22+L22</f>
        <v>0</v>
      </c>
    </row>
    <row r="23" spans="1:36" ht="13.5" thickBot="1">
      <c r="A23" s="777"/>
      <c r="B23" s="167" t="s">
        <v>2</v>
      </c>
      <c r="C23" s="99">
        <f>SUM(C16:C22)</f>
        <v>12218</v>
      </c>
      <c r="D23" s="110">
        <f>SUM(D16:D22)</f>
        <v>0</v>
      </c>
      <c r="E23" s="111">
        <f>SUM(E18:E22)</f>
        <v>0</v>
      </c>
      <c r="F23" s="115">
        <f>SUM(F15:F22)</f>
        <v>19</v>
      </c>
      <c r="G23" s="158"/>
      <c r="H23" s="165"/>
      <c r="I23" s="168"/>
      <c r="J23" s="213">
        <f>+'29'!J23</f>
        <v>0</v>
      </c>
      <c r="K23" s="238"/>
      <c r="L23" s="238"/>
      <c r="M23" s="116">
        <f>+K23+'29'!M23+L23</f>
        <v>0</v>
      </c>
      <c r="N23" s="436"/>
      <c r="O23" s="437"/>
      <c r="P23" s="437"/>
      <c r="Q23" s="437"/>
      <c r="R23" s="437"/>
      <c r="S23" s="437"/>
      <c r="T23" s="437"/>
      <c r="U23" s="437"/>
      <c r="V23" s="437"/>
      <c r="W23" s="437"/>
      <c r="AA23" s="175">
        <f>SUM(AA16:AA22)</f>
        <v>480</v>
      </c>
      <c r="AB23" s="175">
        <f>SUM(AB16:AB22)</f>
        <v>581760</v>
      </c>
      <c r="AC23" s="175">
        <f>SUM(AC16:AC22)</f>
        <v>442754.7</v>
      </c>
    </row>
    <row r="24" spans="1:36" ht="13.5" customHeight="1" thickBot="1">
      <c r="A24" s="770" t="s">
        <v>457</v>
      </c>
      <c r="B24" s="169"/>
      <c r="C24" s="112">
        <f>C23/($C$23+$D$23+$E$23)</f>
        <v>1</v>
      </c>
      <c r="D24" s="113">
        <f>D23/($C$23+$D$23+$E$23)</f>
        <v>0</v>
      </c>
      <c r="E24" s="114">
        <f>E23/($C$23+$D$23+$E$23)</f>
        <v>0</v>
      </c>
      <c r="F24" s="235">
        <v>6</v>
      </c>
      <c r="G24" s="228" t="s">
        <v>12</v>
      </c>
      <c r="H24" s="229" t="s">
        <v>467</v>
      </c>
      <c r="I24" s="773" t="s">
        <v>775</v>
      </c>
      <c r="J24" s="213">
        <f>+'29'!J24</f>
        <v>0</v>
      </c>
      <c r="K24" s="238"/>
      <c r="L24" s="238"/>
      <c r="M24" s="116">
        <f>+K24+'29'!M24+L24</f>
        <v>0</v>
      </c>
      <c r="N24" s="423">
        <v>18</v>
      </c>
      <c r="O24" s="198">
        <v>1200</v>
      </c>
      <c r="P24" s="198">
        <v>770</v>
      </c>
      <c r="Q24" s="198">
        <v>616</v>
      </c>
      <c r="R24" s="424">
        <f>1-(Q24/P24)</f>
        <v>0.19999999999999996</v>
      </c>
      <c r="S24" s="425">
        <v>480</v>
      </c>
      <c r="T24" s="426">
        <v>256.5</v>
      </c>
      <c r="U24" s="427">
        <f>(O24*(1-R24)*N24*T24*S24)/100000000</f>
        <v>21.275136</v>
      </c>
      <c r="V24" s="428">
        <f>+C32/1000</f>
        <v>12.393000000000001</v>
      </c>
      <c r="W24" s="429">
        <f>SUM(V24:V25)/SUM(U24:U25)</f>
        <v>0.58251096491228072</v>
      </c>
      <c r="AA24" s="148">
        <f>480-AA23</f>
        <v>0</v>
      </c>
      <c r="AB24" s="175">
        <f>+AB23/AA23</f>
        <v>1212</v>
      </c>
      <c r="AC24" s="175">
        <f>+AC23/AA23</f>
        <v>922.40562499999999</v>
      </c>
    </row>
    <row r="25" spans="1:36" ht="13.5" thickBot="1">
      <c r="A25" s="776"/>
      <c r="B25" s="214" t="s">
        <v>561</v>
      </c>
      <c r="C25" s="225">
        <v>12393</v>
      </c>
      <c r="D25" s="216"/>
      <c r="E25" s="224"/>
      <c r="F25" s="230">
        <v>2</v>
      </c>
      <c r="G25" s="231" t="s">
        <v>12</v>
      </c>
      <c r="H25" s="229" t="s">
        <v>414</v>
      </c>
      <c r="I25" s="774"/>
      <c r="J25" s="213">
        <f>+'29'!J25</f>
        <v>0</v>
      </c>
      <c r="K25" s="238"/>
      <c r="L25" s="238"/>
      <c r="M25" s="116">
        <f>+K25+'29'!M25+L25</f>
        <v>0</v>
      </c>
      <c r="N25" s="423"/>
      <c r="O25" s="198"/>
      <c r="P25" s="198"/>
      <c r="Q25" s="198"/>
      <c r="R25" s="424"/>
      <c r="S25" s="425"/>
      <c r="T25" s="426"/>
      <c r="U25" s="427"/>
      <c r="V25" s="428"/>
      <c r="W25" s="429"/>
    </row>
    <row r="26" spans="1:36" ht="13.5" thickBot="1">
      <c r="A26" s="776"/>
      <c r="B26" s="214"/>
      <c r="C26" s="225"/>
      <c r="D26" s="216"/>
      <c r="E26" s="226"/>
      <c r="F26" s="230">
        <f>27-8</f>
        <v>19</v>
      </c>
      <c r="G26" s="231" t="s">
        <v>12</v>
      </c>
      <c r="H26" s="232" t="s">
        <v>411</v>
      </c>
      <c r="I26" s="774"/>
      <c r="J26" s="213">
        <f>+'29'!J26</f>
        <v>0</v>
      </c>
      <c r="K26" s="238"/>
      <c r="L26" s="238"/>
      <c r="M26" s="116">
        <f>+K26+'29'!M26+L26</f>
        <v>0</v>
      </c>
      <c r="X26" s="148" t="s">
        <v>536</v>
      </c>
      <c r="Y26" s="148">
        <v>1210</v>
      </c>
      <c r="Z26" s="148">
        <f>+Y26-(Y26*0.24)</f>
        <v>919.6</v>
      </c>
      <c r="AA26" s="148">
        <v>480</v>
      </c>
      <c r="AB26" s="148">
        <f t="shared" ref="AB26" si="8">+Y26*AA26</f>
        <v>580800</v>
      </c>
      <c r="AC26" s="148">
        <f t="shared" ref="AC26" si="9">+Z26*AA26</f>
        <v>441408</v>
      </c>
    </row>
    <row r="27" spans="1:36" ht="39" thickBot="1">
      <c r="A27" s="776"/>
      <c r="B27" s="214"/>
      <c r="C27" s="215"/>
      <c r="D27" s="216"/>
      <c r="E27" s="224"/>
      <c r="F27" s="230"/>
      <c r="G27" s="236" t="s">
        <v>13</v>
      </c>
      <c r="H27" s="232" t="s">
        <v>768</v>
      </c>
      <c r="I27" s="774"/>
      <c r="J27" s="213">
        <f>+'29'!J27</f>
        <v>0</v>
      </c>
      <c r="K27" s="238"/>
      <c r="L27" s="238"/>
      <c r="M27" s="116">
        <f>+K27+'29'!M27+L27</f>
        <v>0</v>
      </c>
    </row>
    <row r="28" spans="1:36" ht="13.5" thickBot="1">
      <c r="A28" s="776"/>
      <c r="B28" s="214"/>
      <c r="C28" s="215"/>
      <c r="D28" s="216"/>
      <c r="E28" s="224"/>
      <c r="F28" s="230"/>
      <c r="G28" s="231"/>
      <c r="H28" s="232"/>
      <c r="I28" s="774"/>
      <c r="J28" s="213">
        <f>+'29'!J28</f>
        <v>0</v>
      </c>
      <c r="K28" s="238"/>
      <c r="L28" s="238"/>
      <c r="M28" s="116">
        <f>+K28+'29'!M28+L28</f>
        <v>0</v>
      </c>
    </row>
    <row r="29" spans="1:36" ht="13.5" thickBot="1">
      <c r="A29" s="776"/>
      <c r="B29" s="214"/>
      <c r="C29" s="215"/>
      <c r="D29" s="216"/>
      <c r="E29" s="224"/>
      <c r="F29" s="235"/>
      <c r="G29" s="231"/>
      <c r="H29" s="232"/>
      <c r="I29" s="774"/>
      <c r="J29" s="213">
        <f>+'29'!J29</f>
        <v>0</v>
      </c>
      <c r="K29" s="238"/>
      <c r="L29" s="238"/>
      <c r="M29" s="116">
        <f>+K29+'29'!M29+L29</f>
        <v>0</v>
      </c>
    </row>
    <row r="30" spans="1:36" ht="13.5" thickBot="1">
      <c r="A30" s="776"/>
      <c r="B30" s="214"/>
      <c r="C30" s="225"/>
      <c r="D30" s="216"/>
      <c r="E30" s="224"/>
      <c r="F30" s="235"/>
      <c r="G30" s="231"/>
      <c r="H30" s="232"/>
      <c r="I30" s="774"/>
      <c r="J30" s="213">
        <f>+'29'!J30</f>
        <v>0</v>
      </c>
      <c r="K30" s="238"/>
      <c r="L30" s="238"/>
      <c r="M30" s="116">
        <f>+K30+'29'!M30+L30</f>
        <v>0</v>
      </c>
      <c r="N30" s="154"/>
    </row>
    <row r="31" spans="1:36" ht="13.5" thickBot="1">
      <c r="A31" s="776"/>
      <c r="B31" s="214"/>
      <c r="C31" s="225"/>
      <c r="D31" s="216"/>
      <c r="E31" s="224"/>
      <c r="F31" s="235"/>
      <c r="G31" s="236"/>
      <c r="H31" s="233"/>
      <c r="I31" s="775"/>
      <c r="J31" s="213">
        <f>+'29'!J31</f>
        <v>0</v>
      </c>
      <c r="K31" s="238"/>
      <c r="L31" s="238"/>
      <c r="M31" s="116">
        <f>+K31+'29'!M31+L31</f>
        <v>0</v>
      </c>
    </row>
    <row r="32" spans="1:36" ht="13.5" thickBot="1">
      <c r="A32" s="777"/>
      <c r="B32" s="164" t="s">
        <v>2</v>
      </c>
      <c r="C32" s="98">
        <f>SUM(C25:C31)</f>
        <v>12393</v>
      </c>
      <c r="D32" s="99">
        <f>SUM(D25:D31)</f>
        <v>0</v>
      </c>
      <c r="E32" s="100">
        <f>SUM(E25:E31)</f>
        <v>0</v>
      </c>
      <c r="F32" s="101">
        <f>SUM(F24:F31)</f>
        <v>27</v>
      </c>
      <c r="G32" s="170"/>
      <c r="H32" s="171"/>
      <c r="I32" s="168"/>
      <c r="J32" s="213">
        <f>+'29'!J32</f>
        <v>0</v>
      </c>
      <c r="K32" s="240"/>
      <c r="L32" s="242"/>
      <c r="M32" s="116">
        <f>+K32+'29'!M32+L32</f>
        <v>0</v>
      </c>
    </row>
    <row r="33" spans="1:29" ht="13.5" thickBot="1">
      <c r="A33" s="172"/>
      <c r="B33" s="173"/>
      <c r="C33" s="102">
        <f>C32/($C$32+$D$32+$E$32)</f>
        <v>1</v>
      </c>
      <c r="D33" s="103">
        <f>D32/($C$32+$D$32+$E$32)</f>
        <v>0</v>
      </c>
      <c r="E33" s="104">
        <f>E32/($C$32+$D$32+$E$32)</f>
        <v>0</v>
      </c>
      <c r="F33" s="105"/>
      <c r="G33" s="174"/>
      <c r="H33" s="175"/>
      <c r="I33" s="176"/>
      <c r="J33" s="120"/>
      <c r="K33" s="121"/>
      <c r="L33" s="212"/>
      <c r="M33" s="118"/>
      <c r="AA33" s="175">
        <f>SUM(AA26:AA32)</f>
        <v>480</v>
      </c>
      <c r="AB33" s="175">
        <f>SUM(AB26:AB32)</f>
        <v>580800</v>
      </c>
      <c r="AC33" s="175">
        <f>SUM(AC26:AC32)</f>
        <v>441408</v>
      </c>
    </row>
    <row r="34" spans="1:29" ht="13.5" thickBot="1">
      <c r="A34" s="766" t="s">
        <v>57</v>
      </c>
      <c r="B34" s="767"/>
      <c r="C34" s="106">
        <f>C14+C23+C32</f>
        <v>35037</v>
      </c>
      <c r="D34" s="106">
        <f>D14+D23+D32</f>
        <v>0</v>
      </c>
      <c r="E34" s="106">
        <f>E14+E23+E32</f>
        <v>0</v>
      </c>
      <c r="F34" s="107">
        <f>F14+F23+F32</f>
        <v>73</v>
      </c>
      <c r="H34" s="177"/>
      <c r="I34" s="177"/>
      <c r="J34" s="122" t="s">
        <v>28</v>
      </c>
      <c r="K34" s="123">
        <f>SUM(K7:K32)</f>
        <v>35037</v>
      </c>
      <c r="L34" s="211">
        <f>SUM(L7:L32)</f>
        <v>0</v>
      </c>
      <c r="M34" s="119">
        <f>SUM(M7:M32)</f>
        <v>870284</v>
      </c>
      <c r="N34" s="154"/>
      <c r="AA34" s="148">
        <f>480-AA33</f>
        <v>0</v>
      </c>
      <c r="AB34" s="175">
        <f>+AB33/AA33</f>
        <v>1210</v>
      </c>
      <c r="AC34" s="175">
        <f>+AC33/AA33</f>
        <v>919.6</v>
      </c>
    </row>
    <row r="35" spans="1:29" ht="13.5" thickBot="1">
      <c r="A35" s="178"/>
      <c r="B35" s="179"/>
      <c r="C35" s="103">
        <f>C34/($C$34+$D$34+$E$34)</f>
        <v>1</v>
      </c>
      <c r="D35" s="103">
        <f>D34/($C$34+$D$34+$E$34)</f>
        <v>0</v>
      </c>
      <c r="E35" s="108">
        <f>E34/($C$34+$D$34+$E$34)</f>
        <v>0</v>
      </c>
      <c r="K35" s="154"/>
    </row>
    <row r="36" spans="1:29" ht="13.5" thickBot="1">
      <c r="A36" s="177"/>
      <c r="B36" s="177"/>
      <c r="C36" s="154"/>
      <c r="D36" s="154"/>
      <c r="E36" s="154"/>
      <c r="G36" s="154"/>
      <c r="H36" s="180"/>
      <c r="I36" s="161" t="s">
        <v>37</v>
      </c>
      <c r="J36" s="161" t="s">
        <v>38</v>
      </c>
      <c r="K36" s="181"/>
      <c r="X36" s="148" t="s">
        <v>595</v>
      </c>
      <c r="Y36" s="148">
        <v>1120</v>
      </c>
      <c r="Z36" s="148">
        <v>873.6</v>
      </c>
      <c r="AA36" s="148">
        <v>311</v>
      </c>
    </row>
    <row r="37" spans="1:29" ht="17.45" customHeight="1" thickBot="1">
      <c r="A37" s="768" t="s">
        <v>58</v>
      </c>
      <c r="B37" s="769"/>
      <c r="C37" s="161" t="s">
        <v>59</v>
      </c>
      <c r="D37" s="182" t="s">
        <v>60</v>
      </c>
      <c r="E37" s="183" t="s">
        <v>61</v>
      </c>
      <c r="F37" s="321"/>
      <c r="G37" s="323"/>
      <c r="H37" s="185" t="s">
        <v>62</v>
      </c>
      <c r="I37" s="243">
        <f>(13*311+11.5*1129)/1440*G42*2.74*1440/1000000</f>
        <v>42.487520055197919</v>
      </c>
      <c r="J37" s="124">
        <f>+I37+'29'!J37</f>
        <v>1032.0234657356193</v>
      </c>
      <c r="K37" s="125" t="s">
        <v>63</v>
      </c>
      <c r="X37" s="148" t="s">
        <v>536</v>
      </c>
      <c r="Y37" s="148">
        <v>1199.3886462882097</v>
      </c>
      <c r="Z37" s="148">
        <v>923.5292576419215</v>
      </c>
      <c r="AA37" s="148">
        <v>1129</v>
      </c>
    </row>
    <row r="38" spans="1:29" ht="17.45" customHeight="1">
      <c r="A38" s="760" t="s">
        <v>12</v>
      </c>
      <c r="B38" s="761"/>
      <c r="C38" s="163">
        <f>SUMIF($G$7:$G$31,"Process",$F$7:$F$31)</f>
        <v>73</v>
      </c>
      <c r="D38" s="117">
        <f>+C38+'29'!D38</f>
        <v>1743</v>
      </c>
      <c r="E38" s="142">
        <f t="shared" ref="E38:E51" si="10">D38/60</f>
        <v>29.05</v>
      </c>
      <c r="F38" s="321">
        <v>1146.625</v>
      </c>
      <c r="G38" s="321">
        <v>890.15791666666678</v>
      </c>
      <c r="H38" s="186" t="s">
        <v>64</v>
      </c>
      <c r="I38" s="244">
        <f>11.72+13.442+12.707</f>
        <v>37.869</v>
      </c>
      <c r="J38" s="126">
        <f>+I38+'29'!J38</f>
        <v>902.70699999999988</v>
      </c>
      <c r="K38" s="127" t="s">
        <v>63</v>
      </c>
      <c r="AA38" s="148">
        <f>SUM(AA36:AA37)</f>
        <v>1440</v>
      </c>
    </row>
    <row r="39" spans="1:29" ht="17.45" customHeight="1">
      <c r="A39" s="764" t="s">
        <v>13</v>
      </c>
      <c r="B39" s="765"/>
      <c r="C39" s="163">
        <f>SUMIF($G$7:$G$31,"Cleaning",$F$7:$F$31)</f>
        <v>0</v>
      </c>
      <c r="D39" s="117">
        <f>+C39+'29'!D39</f>
        <v>0</v>
      </c>
      <c r="E39" s="142">
        <f t="shared" si="10"/>
        <v>0</v>
      </c>
      <c r="F39" s="321">
        <v>1212</v>
      </c>
      <c r="G39" s="321">
        <v>922.40562499999999</v>
      </c>
      <c r="H39" s="186" t="s">
        <v>65</v>
      </c>
      <c r="I39" s="141"/>
      <c r="J39" s="128">
        <f>J37/G4</f>
        <v>34.400782191187311</v>
      </c>
      <c r="K39" s="129" t="s">
        <v>63</v>
      </c>
    </row>
    <row r="40" spans="1:29" ht="17.45" customHeight="1">
      <c r="A40" s="764" t="s">
        <v>66</v>
      </c>
      <c r="B40" s="765"/>
      <c r="C40" s="163">
        <f>SUMIF($G$7:$G$31,"Mechanical",$F$7:$F$31)</f>
        <v>0</v>
      </c>
      <c r="D40" s="117">
        <f>+C40+'29'!D40</f>
        <v>0</v>
      </c>
      <c r="E40" s="142">
        <f t="shared" si="10"/>
        <v>0</v>
      </c>
      <c r="F40" s="321">
        <v>1210</v>
      </c>
      <c r="G40" s="321">
        <v>919.6</v>
      </c>
      <c r="H40" s="186" t="s">
        <v>67</v>
      </c>
      <c r="I40" s="117">
        <f>(K34+L34)/1000</f>
        <v>35.036999999999999</v>
      </c>
      <c r="J40" s="130">
        <f>+I40+'29'!J40</f>
        <v>870.28400000000011</v>
      </c>
      <c r="K40" s="129" t="s">
        <v>63</v>
      </c>
    </row>
    <row r="41" spans="1:29" ht="17.45" customHeight="1">
      <c r="A41" s="764" t="s">
        <v>68</v>
      </c>
      <c r="B41" s="765"/>
      <c r="C41" s="163">
        <f>SUMIF($G$7:$G$31,"Electrical",$F$7:$F$31)</f>
        <v>0</v>
      </c>
      <c r="D41" s="117">
        <f>+C41+'29'!D41</f>
        <v>475</v>
      </c>
      <c r="E41" s="142">
        <f t="shared" si="10"/>
        <v>7.916666666666667</v>
      </c>
      <c r="F41" s="321"/>
      <c r="G41" s="321"/>
      <c r="H41" s="186" t="s">
        <v>69</v>
      </c>
      <c r="I41" s="141"/>
      <c r="J41" s="128">
        <f>J40/G4</f>
        <v>29.009466666666672</v>
      </c>
      <c r="K41" s="129" t="s">
        <v>63</v>
      </c>
    </row>
    <row r="42" spans="1:29" ht="17.45" customHeight="1">
      <c r="A42" s="764" t="s">
        <v>16</v>
      </c>
      <c r="B42" s="765"/>
      <c r="C42" s="163">
        <f>SUMIF($G$7:$G$31,"Instrument",$F$7:$F$31)</f>
        <v>0</v>
      </c>
      <c r="D42" s="117">
        <f>+C42+'29'!D42</f>
        <v>0</v>
      </c>
      <c r="E42" s="142">
        <f t="shared" si="10"/>
        <v>0</v>
      </c>
      <c r="F42" s="321">
        <f>+(F38*480+F39*480+F40*480)/1440</f>
        <v>1189.5416666666667</v>
      </c>
      <c r="G42" s="321">
        <f>+(G38*480+G39*480+G40*480)/1440</f>
        <v>910.72118055555552</v>
      </c>
      <c r="H42" s="186" t="s">
        <v>70</v>
      </c>
      <c r="I42" s="245" t="s">
        <v>781</v>
      </c>
      <c r="J42" s="131"/>
      <c r="K42" s="129" t="s">
        <v>71</v>
      </c>
    </row>
    <row r="43" spans="1:29" ht="17.45" customHeight="1">
      <c r="A43" s="764" t="s">
        <v>72</v>
      </c>
      <c r="B43" s="765"/>
      <c r="C43" s="163">
        <f>SUMIF($G$7:$G$31,"Water",$F$7:$F$31)</f>
        <v>0</v>
      </c>
      <c r="D43" s="117">
        <f>+C43+'29'!D43</f>
        <v>0</v>
      </c>
      <c r="E43" s="142">
        <f t="shared" si="10"/>
        <v>0</v>
      </c>
      <c r="F43" s="321"/>
      <c r="G43" s="322"/>
      <c r="H43" s="187" t="s">
        <v>73</v>
      </c>
      <c r="I43" s="117">
        <f>+Report1!Z38</f>
        <v>55.4</v>
      </c>
      <c r="J43" s="132">
        <f>+I43+'29'!J43</f>
        <v>1291.5000000000002</v>
      </c>
      <c r="K43" s="129" t="s">
        <v>63</v>
      </c>
      <c r="L43" s="188"/>
    </row>
    <row r="44" spans="1:29" ht="17.45" customHeight="1">
      <c r="A44" s="764" t="s">
        <v>17</v>
      </c>
      <c r="B44" s="765"/>
      <c r="C44" s="163">
        <f>SUMIF($G$7:$G$31,"PLN",$F$7:$F$31)</f>
        <v>0</v>
      </c>
      <c r="D44" s="117">
        <f>+C44+'29'!D44</f>
        <v>0</v>
      </c>
      <c r="E44" s="142">
        <f t="shared" si="10"/>
        <v>0</v>
      </c>
      <c r="F44" s="321"/>
      <c r="G44" s="322"/>
      <c r="H44" s="187" t="s">
        <v>74</v>
      </c>
      <c r="I44" s="117">
        <f>I43/I38</f>
        <v>1.4629380231851909</v>
      </c>
      <c r="J44" s="133">
        <f>J43/J38</f>
        <v>1.4306967820123255</v>
      </c>
      <c r="K44" s="129" t="s">
        <v>63</v>
      </c>
    </row>
    <row r="45" spans="1:29" ht="17.45" customHeight="1">
      <c r="A45" s="764" t="s">
        <v>18</v>
      </c>
      <c r="B45" s="765"/>
      <c r="C45" s="163">
        <f>SUMIF($G$7:$G$31,"Boiler",$F$7:$F$31)</f>
        <v>0</v>
      </c>
      <c r="D45" s="117">
        <f>+C45+'29'!D45</f>
        <v>0</v>
      </c>
      <c r="E45" s="142">
        <f t="shared" si="10"/>
        <v>0</v>
      </c>
      <c r="F45" s="321"/>
      <c r="G45" s="324"/>
      <c r="H45" s="187" t="s">
        <v>75</v>
      </c>
      <c r="I45" s="117">
        <f>I43/I40</f>
        <v>1.5811856037902789</v>
      </c>
      <c r="J45" s="133">
        <f>J43/J40</f>
        <v>1.483998326982916</v>
      </c>
      <c r="K45" s="129" t="s">
        <v>63</v>
      </c>
    </row>
    <row r="46" spans="1:29" ht="17.45" customHeight="1">
      <c r="A46" s="764" t="s">
        <v>76</v>
      </c>
      <c r="B46" s="765"/>
      <c r="C46" s="163">
        <f>SUMIF($G$7:$G$31,"Gas",$F$7:$F$31)</f>
        <v>0</v>
      </c>
      <c r="D46" s="117">
        <f>+C46+'29'!D46</f>
        <v>0</v>
      </c>
      <c r="E46" s="142">
        <f t="shared" si="10"/>
        <v>0</v>
      </c>
      <c r="F46" s="321"/>
      <c r="G46" s="322"/>
      <c r="H46" s="187" t="s">
        <v>77</v>
      </c>
      <c r="I46" s="139">
        <f>+SUMIF(Listrik!P37,"&gt;0")</f>
        <v>37779.079999998547</v>
      </c>
      <c r="J46" s="134">
        <f>+I46+'29'!J46</f>
        <v>853226.93999999959</v>
      </c>
      <c r="K46" s="129" t="s">
        <v>78</v>
      </c>
    </row>
    <row r="47" spans="1:29" ht="17.45" customHeight="1">
      <c r="A47" s="764" t="s">
        <v>79</v>
      </c>
      <c r="B47" s="765"/>
      <c r="C47" s="163">
        <f>SUMIF($G$7:$G$31,"Gas",$F$7:$F$31)</f>
        <v>0</v>
      </c>
      <c r="D47" s="117">
        <f>+C47+'29'!D47</f>
        <v>0</v>
      </c>
      <c r="E47" s="142">
        <f t="shared" si="10"/>
        <v>0</v>
      </c>
      <c r="F47" s="321"/>
      <c r="G47" s="322"/>
      <c r="H47" s="187" t="s">
        <v>80</v>
      </c>
      <c r="I47" s="117">
        <f>I46/I38</f>
        <v>997.62549842875558</v>
      </c>
      <c r="J47" s="134">
        <f>J46/J38</f>
        <v>945.18702081627782</v>
      </c>
      <c r="K47" s="129" t="s">
        <v>24</v>
      </c>
    </row>
    <row r="48" spans="1:29" ht="17.45" customHeight="1">
      <c r="A48" s="764" t="s">
        <v>14</v>
      </c>
      <c r="B48" s="765"/>
      <c r="C48" s="163">
        <f>SUMIF($G$7:$G$31,"Start Up",$F$7:$F$31)</f>
        <v>0</v>
      </c>
      <c r="D48" s="117">
        <f>+C48+'29'!D48</f>
        <v>0</v>
      </c>
      <c r="E48" s="142">
        <f t="shared" si="10"/>
        <v>0</v>
      </c>
      <c r="F48" s="321"/>
      <c r="G48" s="322"/>
      <c r="H48" s="187" t="s">
        <v>81</v>
      </c>
      <c r="I48" s="117">
        <f>I46/I40</f>
        <v>1078.2624083111723</v>
      </c>
      <c r="J48" s="134">
        <f>J46/J40</f>
        <v>980.4005818790182</v>
      </c>
      <c r="K48" s="129" t="s">
        <v>24</v>
      </c>
    </row>
    <row r="49" spans="1:23" ht="17.45" customHeight="1">
      <c r="A49" s="764" t="s">
        <v>20</v>
      </c>
      <c r="B49" s="765"/>
      <c r="C49" s="163">
        <f>SUMIF($G$7:$G$31,"Others",$F$7:$F$31)</f>
        <v>0</v>
      </c>
      <c r="D49" s="117">
        <f>+C49+'29'!D49</f>
        <v>948</v>
      </c>
      <c r="E49" s="142">
        <f t="shared" si="10"/>
        <v>15.8</v>
      </c>
      <c r="F49" s="184"/>
      <c r="H49" s="187" t="s">
        <v>268</v>
      </c>
      <c r="I49" s="117">
        <f>+Report1!T38</f>
        <v>5181.0148823437739</v>
      </c>
      <c r="J49" s="134">
        <f>+I49+'29'!J49</f>
        <v>114866.22457056839</v>
      </c>
      <c r="K49" s="129" t="s">
        <v>82</v>
      </c>
    </row>
    <row r="50" spans="1:23" ht="17.45" customHeight="1">
      <c r="A50" s="764" t="s">
        <v>19</v>
      </c>
      <c r="B50" s="765"/>
      <c r="C50" s="163">
        <f>SUMIF($G$7:$G$31,"Steam",$F$7:$F$31)</f>
        <v>0</v>
      </c>
      <c r="D50" s="117">
        <f>+C50+'29'!D50</f>
        <v>0</v>
      </c>
      <c r="E50" s="142">
        <f t="shared" si="10"/>
        <v>0</v>
      </c>
      <c r="F50" s="184"/>
      <c r="H50" s="187" t="s">
        <v>83</v>
      </c>
      <c r="I50" s="139">
        <f>I49/I38</f>
        <v>136.81414566911653</v>
      </c>
      <c r="J50" s="132">
        <f>J49/J38</f>
        <v>127.24640948897971</v>
      </c>
      <c r="K50" s="129" t="s">
        <v>82</v>
      </c>
    </row>
    <row r="51" spans="1:23" ht="17.45" customHeight="1" thickBot="1">
      <c r="A51" s="758" t="s">
        <v>84</v>
      </c>
      <c r="B51" s="759"/>
      <c r="C51" s="163">
        <f>SUMIF($G$7:$G$31,"Planned shut",$F$7:$F$31)</f>
        <v>0</v>
      </c>
      <c r="D51" s="117">
        <f>+C51+'29'!D51</f>
        <v>10091</v>
      </c>
      <c r="E51" s="142">
        <f t="shared" si="10"/>
        <v>168.18333333333334</v>
      </c>
      <c r="F51" s="184"/>
      <c r="H51" s="189" t="s">
        <v>85</v>
      </c>
      <c r="I51" s="140">
        <f>I49/I40</f>
        <v>147.87267409720508</v>
      </c>
      <c r="J51" s="135">
        <f>J49/J40</f>
        <v>131.98705775421399</v>
      </c>
      <c r="K51" s="136" t="s">
        <v>82</v>
      </c>
    </row>
    <row r="52" spans="1:23" ht="13.5" thickBot="1">
      <c r="A52" s="760" t="s">
        <v>28</v>
      </c>
      <c r="B52" s="761"/>
      <c r="C52" s="143">
        <f>SUM(C38:C51)</f>
        <v>73</v>
      </c>
      <c r="D52" s="143">
        <f>SUM(D38:D51)</f>
        <v>13257</v>
      </c>
      <c r="E52" s="144">
        <f>SUM(E38:E51)</f>
        <v>220.95</v>
      </c>
      <c r="F52" s="184"/>
      <c r="H52" s="190"/>
      <c r="I52" s="191"/>
      <c r="J52" s="137"/>
      <c r="K52" s="138"/>
    </row>
    <row r="53" spans="1:23" ht="13.5" thickBot="1">
      <c r="A53" s="762"/>
      <c r="B53" s="763"/>
      <c r="C53" s="145">
        <f>C52/(24*60)</f>
        <v>5.0694444444444445E-2</v>
      </c>
      <c r="D53" s="145">
        <f>D52/(24*60*G4)</f>
        <v>0.30687500000000001</v>
      </c>
      <c r="E53" s="146">
        <f>E52/(G4*24)</f>
        <v>0.30687500000000001</v>
      </c>
      <c r="F53" s="184"/>
    </row>
    <row r="54" spans="1:23">
      <c r="E54" s="192"/>
      <c r="F54" s="184"/>
    </row>
    <row r="55" spans="1:23">
      <c r="E55" s="192"/>
    </row>
    <row r="56" spans="1:23">
      <c r="A56" s="193" t="s">
        <v>86</v>
      </c>
      <c r="B56" s="194"/>
      <c r="C56" s="195"/>
      <c r="D56" s="195"/>
      <c r="E56" s="195"/>
      <c r="F56" s="196"/>
      <c r="G56" s="195"/>
      <c r="H56" s="197"/>
      <c r="I56" s="198" t="s">
        <v>87</v>
      </c>
      <c r="J56" s="199">
        <f>+D34+'29'!J56</f>
        <v>1116</v>
      </c>
      <c r="K56" s="200">
        <f>J56/(J40+J56/1000)/1000</f>
        <v>1.2806977277943538E-3</v>
      </c>
    </row>
    <row r="57" spans="1:23">
      <c r="A57" s="175"/>
      <c r="I57" s="198" t="s">
        <v>88</v>
      </c>
      <c r="J57" s="199">
        <f>+E34+'29'!J57</f>
        <v>0</v>
      </c>
      <c r="K57" s="200">
        <f>J57/(J40+J57/1000)/1000</f>
        <v>0</v>
      </c>
      <c r="M57" s="154">
        <f>+M34-Efficiency1!W160*1000</f>
        <v>-35979</v>
      </c>
    </row>
    <row r="58" spans="1:23">
      <c r="A58" s="201"/>
      <c r="B58" s="202"/>
      <c r="F58" s="184"/>
      <c r="H58" s="203"/>
    </row>
    <row r="59" spans="1:23">
      <c r="A59" s="204"/>
      <c r="B59" s="175"/>
      <c r="C59" s="175"/>
      <c r="D59" s="175"/>
      <c r="E59" s="175"/>
      <c r="F59" s="188"/>
      <c r="G59" s="175"/>
      <c r="H59" s="203"/>
    </row>
    <row r="60" spans="1:23">
      <c r="H60" s="203"/>
    </row>
    <row r="61" spans="1:23">
      <c r="A61" s="205"/>
      <c r="B61" s="206"/>
      <c r="C61" s="206"/>
      <c r="D61" s="206"/>
      <c r="E61" s="206"/>
      <c r="F61" s="207"/>
      <c r="G61" s="206"/>
      <c r="H61" s="208"/>
      <c r="W61" s="148" t="s">
        <v>0</v>
      </c>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5625" right="0.19513888888888889" top="0.39027777777777778" bottom="0.39027777777777778" header="0" footer="0"/>
  <pageSetup paperSize="9" scale="63" firstPageNumber="4294963191"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1"/>
  <sheetViews>
    <sheetView topLeftCell="F1" zoomScale="80" zoomScaleNormal="80" workbookViewId="0">
      <selection activeCell="L43" sqref="L38:AC43"/>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4.140625" style="148" customWidth="1"/>
    <col min="14" max="15" width="0" style="148" hidden="1" customWidth="1"/>
    <col min="16" max="16" width="10.28515625" style="148" hidden="1" customWidth="1"/>
    <col min="17" max="17" width="9.28515625" style="148" hidden="1" customWidth="1"/>
    <col min="18" max="23" width="0" style="148" hidden="1" customWidth="1"/>
    <col min="24" max="16384" width="9.140625" style="148"/>
  </cols>
  <sheetData>
    <row r="1" spans="1:29" ht="15.75">
      <c r="A1" s="147"/>
    </row>
    <row r="2" spans="1:29" ht="15.75">
      <c r="A2" s="147" t="s">
        <v>182</v>
      </c>
    </row>
    <row r="3" spans="1:29" ht="15">
      <c r="A3" s="149"/>
    </row>
    <row r="4" spans="1:29" ht="20.25">
      <c r="A4" s="150" t="s">
        <v>3</v>
      </c>
      <c r="B4" s="151"/>
      <c r="F4" s="152" t="s">
        <v>29</v>
      </c>
      <c r="G4" s="153">
        <v>29</v>
      </c>
      <c r="H4" s="153" t="str">
        <f>+'1'!H4</f>
        <v>.03.26</v>
      </c>
    </row>
    <row r="5" spans="1:29" ht="13.5" thickBot="1">
      <c r="C5" s="154"/>
      <c r="D5" s="154"/>
    </row>
    <row r="6" spans="1:2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80" t="s">
        <v>92</v>
      </c>
      <c r="O6" s="421" t="s">
        <v>189</v>
      </c>
      <c r="P6" s="421" t="s">
        <v>189</v>
      </c>
      <c r="Q6" s="421" t="s">
        <v>190</v>
      </c>
      <c r="R6" s="421" t="s">
        <v>191</v>
      </c>
      <c r="S6" s="421" t="s">
        <v>192</v>
      </c>
      <c r="T6" s="421" t="s">
        <v>187</v>
      </c>
      <c r="U6" s="422" t="s">
        <v>193</v>
      </c>
      <c r="V6" s="421" t="s">
        <v>194</v>
      </c>
      <c r="W6" s="421" t="s">
        <v>188</v>
      </c>
      <c r="X6" s="148" t="s">
        <v>595</v>
      </c>
      <c r="Y6" s="148">
        <v>1150</v>
      </c>
      <c r="Z6" s="148">
        <f>+Y6-(Y6*0.22)</f>
        <v>897</v>
      </c>
      <c r="AA6" s="148">
        <f>60*4+36</f>
        <v>276</v>
      </c>
      <c r="AB6" s="148">
        <f t="shared" ref="AB6:AB8" si="0">+Y6*AA6</f>
        <v>317400</v>
      </c>
      <c r="AC6" s="148">
        <f t="shared" ref="AC6:AC8" si="1">+Z6*AA6</f>
        <v>247572</v>
      </c>
    </row>
    <row r="7" spans="1:29" ht="13.5" customHeight="1" thickBot="1">
      <c r="A7" s="770" t="s">
        <v>417</v>
      </c>
      <c r="B7" s="214" t="s">
        <v>606</v>
      </c>
      <c r="C7" s="215">
        <v>11657</v>
      </c>
      <c r="D7" s="216"/>
      <c r="E7" s="217"/>
      <c r="F7" s="227">
        <v>4</v>
      </c>
      <c r="G7" s="228" t="s">
        <v>12</v>
      </c>
      <c r="H7" s="229" t="s">
        <v>467</v>
      </c>
      <c r="I7" s="773" t="s">
        <v>757</v>
      </c>
      <c r="J7" s="213" t="str">
        <f>+'28'!J7</f>
        <v>F 12 VP OW</v>
      </c>
      <c r="K7" s="237"/>
      <c r="L7" s="241"/>
      <c r="M7" s="116">
        <f>+K7+'28'!M7+L7</f>
        <v>136522</v>
      </c>
      <c r="N7" s="423">
        <v>14.5</v>
      </c>
      <c r="O7" s="198">
        <v>1200</v>
      </c>
      <c r="P7" s="198">
        <v>1120</v>
      </c>
      <c r="Q7" s="198">
        <v>896</v>
      </c>
      <c r="R7" s="424">
        <f>1-(Q7/P7)</f>
        <v>0.19999999999999996</v>
      </c>
      <c r="S7" s="425">
        <v>45</v>
      </c>
      <c r="T7" s="426">
        <v>256.5</v>
      </c>
      <c r="U7" s="427">
        <f>(O7*(1-R7)*N7*T7*S7)/100000000</f>
        <v>1.606716</v>
      </c>
      <c r="V7" s="428">
        <f>+C14/1000</f>
        <v>11.657</v>
      </c>
      <c r="W7" s="429">
        <f>SUM(V7:V9)/SUM(U7:U9)</f>
        <v>0.55809010907485068</v>
      </c>
      <c r="Y7" s="148">
        <v>1140</v>
      </c>
      <c r="Z7" s="148">
        <f>+Y7-(Y7*0.22)</f>
        <v>889.2</v>
      </c>
      <c r="AA7" s="148">
        <f>60-36+60+12</f>
        <v>96</v>
      </c>
      <c r="AB7" s="148">
        <f t="shared" si="0"/>
        <v>109440</v>
      </c>
      <c r="AC7" s="148">
        <f t="shared" si="1"/>
        <v>85363.200000000012</v>
      </c>
    </row>
    <row r="8" spans="1:29" ht="13.5" thickBot="1">
      <c r="A8" s="771"/>
      <c r="B8" s="214"/>
      <c r="C8" s="215"/>
      <c r="D8" s="216"/>
      <c r="E8" s="218"/>
      <c r="F8" s="230"/>
      <c r="G8" s="231" t="s">
        <v>12</v>
      </c>
      <c r="H8" s="229" t="s">
        <v>283</v>
      </c>
      <c r="I8" s="774"/>
      <c r="J8" s="213" t="str">
        <f>+'28'!J8</f>
        <v>F 14 VP OW</v>
      </c>
      <c r="K8" s="238"/>
      <c r="L8" s="238"/>
      <c r="M8" s="116">
        <f>+K8+'28'!M8+L8</f>
        <v>89126</v>
      </c>
      <c r="N8" s="423">
        <v>18</v>
      </c>
      <c r="O8" s="198">
        <v>1200</v>
      </c>
      <c r="P8" s="198">
        <v>930</v>
      </c>
      <c r="Q8" s="198">
        <v>744</v>
      </c>
      <c r="R8" s="424">
        <f>1-(Q8/P8)</f>
        <v>0.19999999999999996</v>
      </c>
      <c r="S8" s="425">
        <f>480-S7</f>
        <v>435</v>
      </c>
      <c r="T8" s="426">
        <v>256.5</v>
      </c>
      <c r="U8" s="427">
        <f>(O8*(1-R8)*N8*T8*S8)/100000000</f>
        <v>19.280591999999999</v>
      </c>
      <c r="V8" s="428"/>
      <c r="W8" s="430"/>
      <c r="Y8" s="148">
        <v>1120</v>
      </c>
      <c r="Z8" s="148">
        <f>+Y8-(Y8*0.22)</f>
        <v>873.6</v>
      </c>
      <c r="AA8" s="148">
        <f>60-12+60</f>
        <v>108</v>
      </c>
      <c r="AB8" s="148">
        <f t="shared" si="0"/>
        <v>120960</v>
      </c>
      <c r="AC8" s="148">
        <f t="shared" si="1"/>
        <v>94348.800000000003</v>
      </c>
    </row>
    <row r="9" spans="1:29" ht="13.5" thickBot="1">
      <c r="A9" s="771"/>
      <c r="B9" s="214"/>
      <c r="C9" s="215"/>
      <c r="D9" s="216"/>
      <c r="E9" s="219"/>
      <c r="F9" s="227">
        <v>25</v>
      </c>
      <c r="G9" s="231" t="s">
        <v>12</v>
      </c>
      <c r="H9" s="232" t="s">
        <v>385</v>
      </c>
      <c r="I9" s="774"/>
      <c r="J9" s="213" t="str">
        <f>+'28'!J9</f>
        <v>F 16 VP OW</v>
      </c>
      <c r="K9" s="238"/>
      <c r="L9" s="238"/>
      <c r="M9" s="116">
        <f>+K9+'28'!M9+L9</f>
        <v>104726</v>
      </c>
      <c r="N9" s="431"/>
    </row>
    <row r="10" spans="1:29" ht="51.75" thickBot="1">
      <c r="A10" s="771"/>
      <c r="B10" s="214"/>
      <c r="C10" s="215"/>
      <c r="D10" s="216"/>
      <c r="E10" s="218"/>
      <c r="F10" s="227"/>
      <c r="G10" s="236" t="s">
        <v>13</v>
      </c>
      <c r="H10" s="232" t="s">
        <v>751</v>
      </c>
      <c r="I10" s="774"/>
      <c r="J10" s="213" t="str">
        <f>+'28'!J10</f>
        <v>F 13,5 VP OW</v>
      </c>
      <c r="K10" s="238"/>
      <c r="L10" s="238"/>
      <c r="M10" s="116">
        <f>+K10+'28'!M10+L10</f>
        <v>10827</v>
      </c>
      <c r="N10" s="431"/>
    </row>
    <row r="11" spans="1:29" ht="159" customHeight="1" thickBot="1">
      <c r="A11" s="771"/>
      <c r="B11" s="214"/>
      <c r="C11" s="215"/>
      <c r="D11" s="216"/>
      <c r="E11" s="218"/>
      <c r="F11" s="227"/>
      <c r="G11" s="231"/>
      <c r="H11" s="232" t="s">
        <v>752</v>
      </c>
      <c r="I11" s="774"/>
      <c r="J11" s="213" t="str">
        <f>+'28'!J11</f>
        <v>F 13 VP OW</v>
      </c>
      <c r="K11" s="238"/>
      <c r="L11" s="238"/>
      <c r="M11" s="116">
        <f>+K11+'28'!M11+L11</f>
        <v>19832</v>
      </c>
      <c r="N11" s="431"/>
    </row>
    <row r="12" spans="1:29" ht="13.5" thickBot="1">
      <c r="A12" s="771"/>
      <c r="B12" s="214"/>
      <c r="C12" s="215"/>
      <c r="D12" s="216"/>
      <c r="E12" s="218"/>
      <c r="F12" s="227"/>
      <c r="G12" s="231"/>
      <c r="H12" s="232"/>
      <c r="I12" s="774"/>
      <c r="J12" s="213" t="str">
        <f>+'28'!J12</f>
        <v>T 14 VP OW</v>
      </c>
      <c r="K12" s="238"/>
      <c r="L12" s="238"/>
      <c r="M12" s="116">
        <f>+K12+'28'!M12+L12</f>
        <v>28770</v>
      </c>
      <c r="N12" s="431"/>
    </row>
    <row r="13" spans="1:29" ht="13.5" thickBot="1">
      <c r="A13" s="771"/>
      <c r="B13" s="214"/>
      <c r="C13" s="215"/>
      <c r="D13" s="215"/>
      <c r="E13" s="218"/>
      <c r="F13" s="227"/>
      <c r="G13" s="231"/>
      <c r="H13" s="232"/>
      <c r="I13" s="775"/>
      <c r="J13" s="213" t="str">
        <f>+'28'!J13</f>
        <v>F 11,5 VP OW</v>
      </c>
      <c r="K13" s="238"/>
      <c r="L13" s="238"/>
      <c r="M13" s="116">
        <f>+K13+'28'!M13+L13</f>
        <v>53931</v>
      </c>
      <c r="N13" s="432"/>
      <c r="O13" s="433"/>
      <c r="P13" s="433"/>
      <c r="Q13" s="433"/>
      <c r="R13" s="433"/>
      <c r="S13" s="433"/>
      <c r="T13" s="433"/>
      <c r="U13" s="433"/>
      <c r="V13" s="433"/>
      <c r="W13" s="433"/>
      <c r="AA13" s="175">
        <f>SUM(AA6:AA12)</f>
        <v>480</v>
      </c>
      <c r="AB13" s="175">
        <f>SUM(AB6:AB12)</f>
        <v>547800</v>
      </c>
      <c r="AC13" s="175">
        <f>SUM(AC6:AC12)</f>
        <v>427284</v>
      </c>
    </row>
    <row r="14" spans="1:29" ht="13.5" thickBot="1">
      <c r="A14" s="772"/>
      <c r="B14" s="164" t="s">
        <v>2</v>
      </c>
      <c r="C14" s="98">
        <f>SUM(C7:C13)</f>
        <v>11657</v>
      </c>
      <c r="D14" s="110">
        <f>SUM(D7:D13)</f>
        <v>0</v>
      </c>
      <c r="E14" s="111">
        <f>SUM(E5:E13)</f>
        <v>0</v>
      </c>
      <c r="F14" s="115">
        <f>SUM(F7:F13)</f>
        <v>29</v>
      </c>
      <c r="G14" s="158"/>
      <c r="H14" s="165"/>
      <c r="I14" s="166"/>
      <c r="J14" s="213" t="str">
        <f>+'28'!J14</f>
        <v>F 12,5 VP OW</v>
      </c>
      <c r="K14" s="238"/>
      <c r="L14" s="238"/>
      <c r="M14" s="116">
        <f>+K14+'28'!M14+L14</f>
        <v>10132</v>
      </c>
      <c r="AA14" s="148">
        <f>480-AA13</f>
        <v>0</v>
      </c>
      <c r="AB14" s="175">
        <f>+AB13/AA13</f>
        <v>1141.25</v>
      </c>
      <c r="AC14" s="175">
        <f>+AC13/AA13</f>
        <v>890.17499999999995</v>
      </c>
    </row>
    <row r="15" spans="1:29" ht="13.5" customHeight="1" thickBot="1">
      <c r="A15" s="770" t="s">
        <v>391</v>
      </c>
      <c r="B15" s="164"/>
      <c r="C15" s="112">
        <f>C14/($C$23+$D$23+$E$23)</f>
        <v>0.8356272401433692</v>
      </c>
      <c r="D15" s="113">
        <f>D14/($C$23+$D$23+$E$23)</f>
        <v>0</v>
      </c>
      <c r="E15" s="114">
        <f>E14/($C$23+$D$23+$E$23)</f>
        <v>0</v>
      </c>
      <c r="F15" s="227"/>
      <c r="G15" s="228" t="s">
        <v>12</v>
      </c>
      <c r="H15" s="229" t="s">
        <v>384</v>
      </c>
      <c r="I15" s="773" t="s">
        <v>756</v>
      </c>
      <c r="J15" s="213" t="str">
        <f>+'28'!J15</f>
        <v>T 13 VP OW</v>
      </c>
      <c r="K15" s="238">
        <f>+C34</f>
        <v>38028</v>
      </c>
      <c r="L15" s="238"/>
      <c r="M15" s="116">
        <f>+K15+'28'!M15+L15</f>
        <v>277561</v>
      </c>
      <c r="N15" s="423">
        <v>18</v>
      </c>
      <c r="O15" s="198">
        <v>1200</v>
      </c>
      <c r="P15" s="198">
        <v>850</v>
      </c>
      <c r="Q15" s="198">
        <v>680</v>
      </c>
      <c r="R15" s="424">
        <f>1-(Q15/P15)</f>
        <v>0.19999999999999996</v>
      </c>
      <c r="S15" s="425">
        <v>480</v>
      </c>
      <c r="T15" s="426">
        <v>256.5</v>
      </c>
      <c r="U15" s="427">
        <f>(O15*(1-R15)*N15*T15*S15)/100000000</f>
        <v>21.275136</v>
      </c>
      <c r="V15" s="428">
        <f>+C23/1000</f>
        <v>13.95</v>
      </c>
      <c r="W15" s="429">
        <f>SUM(V15:V17)/SUM(U15:U17)</f>
        <v>0.65569498592159403</v>
      </c>
    </row>
    <row r="16" spans="1:29" ht="13.5" thickBot="1">
      <c r="A16" s="776"/>
      <c r="B16" s="214" t="s">
        <v>606</v>
      </c>
      <c r="C16" s="221">
        <v>13950</v>
      </c>
      <c r="D16" s="222"/>
      <c r="E16" s="223"/>
      <c r="F16" s="230">
        <v>6</v>
      </c>
      <c r="G16" s="231" t="s">
        <v>12</v>
      </c>
      <c r="H16" s="229" t="s">
        <v>620</v>
      </c>
      <c r="I16" s="774"/>
      <c r="J16" s="213" t="str">
        <f>+'28'!J16</f>
        <v>T 12,5 VP OW</v>
      </c>
      <c r="K16" s="228"/>
      <c r="L16" s="228"/>
      <c r="M16" s="116">
        <f>+K16+'28'!M16+L16</f>
        <v>103820</v>
      </c>
      <c r="N16" s="434"/>
      <c r="O16" s="198"/>
      <c r="P16" s="198"/>
      <c r="Q16" s="435"/>
      <c r="R16" s="424"/>
      <c r="S16" s="198"/>
      <c r="T16" s="426"/>
      <c r="U16" s="427"/>
      <c r="V16" s="428"/>
      <c r="W16" s="430"/>
      <c r="X16" s="148" t="s">
        <v>595</v>
      </c>
      <c r="Y16" s="148">
        <v>1120</v>
      </c>
      <c r="Z16" s="148">
        <f>+Y16-(Y16*0.22)</f>
        <v>873.6</v>
      </c>
      <c r="AA16" s="148">
        <v>480</v>
      </c>
      <c r="AB16" s="148">
        <f t="shared" ref="AB16" si="2">+Y16*AA16</f>
        <v>537600</v>
      </c>
      <c r="AC16" s="148">
        <f t="shared" ref="AC16" si="3">+Z16*AA16</f>
        <v>419328</v>
      </c>
    </row>
    <row r="17" spans="1:29" ht="13.5" thickBot="1">
      <c r="A17" s="776"/>
      <c r="B17" s="214"/>
      <c r="C17" s="215"/>
      <c r="D17" s="216"/>
      <c r="E17" s="224"/>
      <c r="F17" s="227">
        <v>6</v>
      </c>
      <c r="G17" s="231" t="s">
        <v>12</v>
      </c>
      <c r="H17" s="232" t="s">
        <v>385</v>
      </c>
      <c r="I17" s="774"/>
      <c r="J17" s="213">
        <f>+'28'!J17</f>
        <v>0</v>
      </c>
      <c r="K17" s="228"/>
      <c r="L17" s="228"/>
      <c r="M17" s="116">
        <f>+K17+'28'!M17+L17</f>
        <v>0</v>
      </c>
      <c r="N17" s="431"/>
      <c r="O17" s="198"/>
      <c r="R17" s="424"/>
      <c r="T17" s="426"/>
      <c r="U17" s="427"/>
    </row>
    <row r="18" spans="1:29" ht="26.25" thickBot="1">
      <c r="A18" s="776"/>
      <c r="B18" s="214"/>
      <c r="C18" s="215"/>
      <c r="D18" s="216"/>
      <c r="E18" s="224"/>
      <c r="F18" s="227"/>
      <c r="G18" s="236" t="s">
        <v>13</v>
      </c>
      <c r="H18" s="232" t="s">
        <v>750</v>
      </c>
      <c r="I18" s="774"/>
      <c r="J18" s="213">
        <f>+'28'!J18</f>
        <v>0</v>
      </c>
      <c r="K18" s="238"/>
      <c r="L18" s="238"/>
      <c r="M18" s="116">
        <f>+K18+'28'!M18+L18</f>
        <v>0</v>
      </c>
      <c r="N18" s="431"/>
    </row>
    <row r="19" spans="1:29" ht="13.5" thickBot="1">
      <c r="A19" s="776"/>
      <c r="B19" s="214"/>
      <c r="C19" s="215"/>
      <c r="D19" s="216"/>
      <c r="E19" s="224"/>
      <c r="F19" s="234"/>
      <c r="G19" s="231"/>
      <c r="H19" s="232"/>
      <c r="I19" s="774"/>
      <c r="J19" s="213">
        <f>+'28'!J19</f>
        <v>0</v>
      </c>
      <c r="K19" s="238"/>
      <c r="L19" s="238"/>
      <c r="M19" s="116">
        <f>+K19+'28'!M19+L19</f>
        <v>0</v>
      </c>
      <c r="N19" s="431"/>
    </row>
    <row r="20" spans="1:29" ht="13.5" thickBot="1">
      <c r="A20" s="776"/>
      <c r="B20" s="214"/>
      <c r="C20" s="215"/>
      <c r="D20" s="216"/>
      <c r="E20" s="224"/>
      <c r="F20" s="227"/>
      <c r="G20" s="231"/>
      <c r="H20" s="232"/>
      <c r="I20" s="774"/>
      <c r="J20" s="213">
        <f>+'28'!J20</f>
        <v>0</v>
      </c>
      <c r="K20" s="239"/>
      <c r="L20" s="239"/>
      <c r="M20" s="116">
        <f>+K20+'28'!M20+L20</f>
        <v>0</v>
      </c>
      <c r="N20" s="431"/>
    </row>
    <row r="21" spans="1:29" ht="13.5" thickBot="1">
      <c r="A21" s="776"/>
      <c r="B21" s="214"/>
      <c r="C21" s="215"/>
      <c r="D21" s="216"/>
      <c r="E21" s="224"/>
      <c r="F21" s="230"/>
      <c r="G21" s="231"/>
      <c r="H21" s="232"/>
      <c r="I21" s="774"/>
      <c r="J21" s="213">
        <f>+'28'!J21</f>
        <v>0</v>
      </c>
      <c r="K21" s="238"/>
      <c r="L21" s="238"/>
      <c r="M21" s="116">
        <f>+K21+'28'!M21+L21</f>
        <v>0</v>
      </c>
      <c r="N21" s="432"/>
      <c r="O21" s="433"/>
      <c r="P21" s="433"/>
      <c r="Q21" s="433"/>
      <c r="R21" s="433"/>
      <c r="S21" s="433"/>
      <c r="T21" s="433"/>
      <c r="U21" s="433"/>
      <c r="V21" s="433"/>
      <c r="W21" s="433"/>
    </row>
    <row r="22" spans="1:29" ht="13.5" thickBot="1">
      <c r="A22" s="776"/>
      <c r="B22" s="214"/>
      <c r="C22" s="215"/>
      <c r="D22" s="216"/>
      <c r="E22" s="224"/>
      <c r="F22" s="235"/>
      <c r="G22" s="231"/>
      <c r="H22" s="232"/>
      <c r="I22" s="775"/>
      <c r="J22" s="213">
        <f>+'28'!J22</f>
        <v>0</v>
      </c>
      <c r="K22" s="238"/>
      <c r="L22" s="238"/>
      <c r="M22" s="116">
        <f>+K22+'28'!M22+L22</f>
        <v>0</v>
      </c>
    </row>
    <row r="23" spans="1:29" ht="13.5" thickBot="1">
      <c r="A23" s="777"/>
      <c r="B23" s="167" t="s">
        <v>2</v>
      </c>
      <c r="C23" s="99">
        <f>SUM(C16:C22)</f>
        <v>13950</v>
      </c>
      <c r="D23" s="110">
        <f>SUM(D16:D22)</f>
        <v>0</v>
      </c>
      <c r="E23" s="111">
        <f>SUM(E18:E22)</f>
        <v>0</v>
      </c>
      <c r="F23" s="115">
        <f>SUM(F15:F22)</f>
        <v>12</v>
      </c>
      <c r="G23" s="158"/>
      <c r="H23" s="165"/>
      <c r="I23" s="168"/>
      <c r="J23" s="213">
        <f>+'28'!J23</f>
        <v>0</v>
      </c>
      <c r="K23" s="238"/>
      <c r="L23" s="238"/>
      <c r="M23" s="116">
        <f>+K23+'28'!M23+L23</f>
        <v>0</v>
      </c>
      <c r="N23" s="436"/>
      <c r="O23" s="437"/>
      <c r="P23" s="437"/>
      <c r="Q23" s="437"/>
      <c r="R23" s="437"/>
      <c r="S23" s="437"/>
      <c r="T23" s="437"/>
      <c r="U23" s="437"/>
      <c r="V23" s="437"/>
      <c r="W23" s="437"/>
      <c r="AA23" s="175">
        <f>SUM(AA16:AA22)</f>
        <v>480</v>
      </c>
      <c r="AB23" s="175">
        <f>SUM(AB16:AB22)</f>
        <v>537600</v>
      </c>
      <c r="AC23" s="175">
        <f>SUM(AC16:AC22)</f>
        <v>419328</v>
      </c>
    </row>
    <row r="24" spans="1:29" ht="13.5" customHeight="1" thickBot="1">
      <c r="A24" s="770" t="s">
        <v>457</v>
      </c>
      <c r="B24" s="169"/>
      <c r="C24" s="112">
        <f>C23/($C$23+$D$23+$E$23)</f>
        <v>1</v>
      </c>
      <c r="D24" s="113">
        <f>D23/($C$23+$D$23+$E$23)</f>
        <v>0</v>
      </c>
      <c r="E24" s="114">
        <f>E23/($C$23+$D$23+$E$23)</f>
        <v>0</v>
      </c>
      <c r="F24" s="227">
        <v>6</v>
      </c>
      <c r="G24" s="228" t="s">
        <v>12</v>
      </c>
      <c r="H24" s="229" t="s">
        <v>467</v>
      </c>
      <c r="I24" s="773" t="s">
        <v>756</v>
      </c>
      <c r="J24" s="213">
        <f>+'28'!J24</f>
        <v>0</v>
      </c>
      <c r="K24" s="238"/>
      <c r="L24" s="238"/>
      <c r="M24" s="116">
        <f>+K24+'28'!M24+L24</f>
        <v>0</v>
      </c>
      <c r="N24" s="423">
        <v>18</v>
      </c>
      <c r="O24" s="198">
        <v>1200</v>
      </c>
      <c r="P24" s="198">
        <v>770</v>
      </c>
      <c r="Q24" s="198">
        <v>616</v>
      </c>
      <c r="R24" s="424">
        <f>1-(Q24/P24)</f>
        <v>0.19999999999999996</v>
      </c>
      <c r="S24" s="425">
        <v>480</v>
      </c>
      <c r="T24" s="426">
        <v>256.5</v>
      </c>
      <c r="U24" s="427">
        <f>(O24*(1-R24)*N24*T24*S24)/100000000</f>
        <v>21.275136</v>
      </c>
      <c r="V24" s="428">
        <f>+C32/1000</f>
        <v>12.420999999999999</v>
      </c>
      <c r="W24" s="429">
        <f>SUM(V24:V25)/SUM(U24:U25)</f>
        <v>0.58382705520660361</v>
      </c>
      <c r="AA24" s="148">
        <f>480-AA23</f>
        <v>0</v>
      </c>
      <c r="AB24" s="175">
        <f>+AB23/AA23</f>
        <v>1120</v>
      </c>
      <c r="AC24" s="175">
        <f>+AC23/AA23</f>
        <v>873.6</v>
      </c>
    </row>
    <row r="25" spans="1:29" ht="13.5" customHeight="1" thickBot="1">
      <c r="A25" s="776"/>
      <c r="B25" s="214" t="s">
        <v>606</v>
      </c>
      <c r="C25" s="225">
        <v>12421</v>
      </c>
      <c r="D25" s="216"/>
      <c r="E25" s="224"/>
      <c r="F25" s="230"/>
      <c r="G25" s="231" t="s">
        <v>12</v>
      </c>
      <c r="H25" s="229" t="s">
        <v>283</v>
      </c>
      <c r="I25" s="774"/>
      <c r="J25" s="213">
        <f>+'28'!J25</f>
        <v>0</v>
      </c>
      <c r="K25" s="238"/>
      <c r="L25" s="238"/>
      <c r="M25" s="116">
        <f>+K25+'28'!M25+L25</f>
        <v>0</v>
      </c>
      <c r="N25" s="423"/>
      <c r="O25" s="198"/>
      <c r="P25" s="198"/>
      <c r="Q25" s="198"/>
      <c r="R25" s="424"/>
      <c r="S25" s="425"/>
      <c r="T25" s="426"/>
      <c r="U25" s="427"/>
      <c r="V25" s="428"/>
      <c r="W25" s="429"/>
    </row>
    <row r="26" spans="1:29" ht="13.5" customHeight="1" thickBot="1">
      <c r="A26" s="776"/>
      <c r="B26" s="214"/>
      <c r="C26" s="225"/>
      <c r="D26" s="216"/>
      <c r="E26" s="226"/>
      <c r="F26" s="227">
        <f>23-6</f>
        <v>17</v>
      </c>
      <c r="G26" s="231" t="s">
        <v>12</v>
      </c>
      <c r="H26" s="232" t="s">
        <v>385</v>
      </c>
      <c r="I26" s="774"/>
      <c r="J26" s="213">
        <f>+'28'!J26</f>
        <v>0</v>
      </c>
      <c r="K26" s="238"/>
      <c r="L26" s="238"/>
      <c r="M26" s="116">
        <f>+K26+'28'!M26+L26</f>
        <v>0</v>
      </c>
      <c r="X26" s="148" t="s">
        <v>595</v>
      </c>
      <c r="Y26" s="148">
        <v>1120</v>
      </c>
      <c r="Z26" s="148">
        <f>+Y26-(Y26*0.22)</f>
        <v>873.6</v>
      </c>
      <c r="AA26" s="148">
        <v>480</v>
      </c>
      <c r="AB26" s="148">
        <f t="shared" ref="AB26" si="4">+Y26*AA26</f>
        <v>537600</v>
      </c>
      <c r="AC26" s="148">
        <f t="shared" ref="AC26" si="5">+Z26*AA26</f>
        <v>419328</v>
      </c>
    </row>
    <row r="27" spans="1:29" ht="39" thickBot="1">
      <c r="A27" s="776"/>
      <c r="B27" s="214"/>
      <c r="C27" s="215"/>
      <c r="D27" s="216"/>
      <c r="E27" s="224"/>
      <c r="F27" s="227"/>
      <c r="G27" s="236" t="s">
        <v>13</v>
      </c>
      <c r="H27" s="232" t="s">
        <v>749</v>
      </c>
      <c r="I27" s="774"/>
      <c r="J27" s="213">
        <f>+'28'!J27</f>
        <v>0</v>
      </c>
      <c r="K27" s="238"/>
      <c r="L27" s="238"/>
      <c r="M27" s="116">
        <f>+K27+'28'!M27+L27</f>
        <v>0</v>
      </c>
    </row>
    <row r="28" spans="1:29" ht="13.5" customHeight="1" thickBot="1">
      <c r="A28" s="776"/>
      <c r="B28" s="214"/>
      <c r="C28" s="215"/>
      <c r="D28" s="216"/>
      <c r="E28" s="224"/>
      <c r="F28" s="230"/>
      <c r="G28" s="231"/>
      <c r="H28" s="232"/>
      <c r="I28" s="774"/>
      <c r="J28" s="213">
        <f>+'28'!J28</f>
        <v>0</v>
      </c>
      <c r="K28" s="238"/>
      <c r="L28" s="238"/>
      <c r="M28" s="116">
        <f>+K28+'28'!M28+L28</f>
        <v>0</v>
      </c>
    </row>
    <row r="29" spans="1:29" ht="13.5" customHeight="1" thickBot="1">
      <c r="A29" s="776"/>
      <c r="B29" s="214"/>
      <c r="C29" s="215"/>
      <c r="D29" s="216"/>
      <c r="E29" s="224"/>
      <c r="F29" s="235"/>
      <c r="G29" s="231"/>
      <c r="H29" s="232"/>
      <c r="I29" s="774"/>
      <c r="J29" s="213">
        <f>+'28'!J29</f>
        <v>0</v>
      </c>
      <c r="K29" s="238"/>
      <c r="L29" s="238"/>
      <c r="M29" s="116">
        <f>+K29+'28'!M29+L29</f>
        <v>0</v>
      </c>
    </row>
    <row r="30" spans="1:29" ht="13.5" customHeight="1" thickBot="1">
      <c r="A30" s="776"/>
      <c r="B30" s="214"/>
      <c r="C30" s="225"/>
      <c r="D30" s="216"/>
      <c r="E30" s="224"/>
      <c r="F30" s="235"/>
      <c r="G30" s="231"/>
      <c r="H30" s="232"/>
      <c r="I30" s="774"/>
      <c r="J30" s="213">
        <f>+'28'!J30</f>
        <v>0</v>
      </c>
      <c r="K30" s="238"/>
      <c r="L30" s="238"/>
      <c r="M30" s="116">
        <f>+K30+'28'!M30+L30</f>
        <v>0</v>
      </c>
      <c r="N30" s="154"/>
    </row>
    <row r="31" spans="1:29" ht="13.5" customHeight="1" thickBot="1">
      <c r="A31" s="776"/>
      <c r="B31" s="214"/>
      <c r="C31" s="225"/>
      <c r="D31" s="216"/>
      <c r="E31" s="224"/>
      <c r="F31" s="235"/>
      <c r="G31" s="236"/>
      <c r="H31" s="443"/>
      <c r="I31" s="775"/>
      <c r="J31" s="213">
        <f>+'28'!J31</f>
        <v>0</v>
      </c>
      <c r="K31" s="238"/>
      <c r="L31" s="238"/>
      <c r="M31" s="116">
        <f>+K31+'28'!M31+L31</f>
        <v>0</v>
      </c>
    </row>
    <row r="32" spans="1:29" ht="13.5" customHeight="1" thickBot="1">
      <c r="A32" s="777"/>
      <c r="B32" s="164" t="s">
        <v>2</v>
      </c>
      <c r="C32" s="98">
        <f>SUM(C25:C31)</f>
        <v>12421</v>
      </c>
      <c r="D32" s="99">
        <f>SUM(D25:D31)</f>
        <v>0</v>
      </c>
      <c r="E32" s="100">
        <f>SUM(E25:E31)</f>
        <v>0</v>
      </c>
      <c r="F32" s="101">
        <f>SUM(F24:F31)</f>
        <v>23</v>
      </c>
      <c r="G32" s="170"/>
      <c r="H32" s="171"/>
      <c r="I32" s="168"/>
      <c r="J32" s="213">
        <f>+'28'!J32</f>
        <v>0</v>
      </c>
      <c r="K32" s="240"/>
      <c r="L32" s="242"/>
      <c r="M32" s="116">
        <f>+K32+'28'!M32+L32</f>
        <v>0</v>
      </c>
    </row>
    <row r="33" spans="1:29" ht="13.5" thickBot="1">
      <c r="A33" s="172"/>
      <c r="B33" s="173"/>
      <c r="C33" s="102">
        <f>C32/($C$32+$D$32+$E$32)</f>
        <v>1</v>
      </c>
      <c r="D33" s="103">
        <f>D32/($C$32+$D$32+$E$32)</f>
        <v>0</v>
      </c>
      <c r="E33" s="104">
        <f>E32/($C$32+$D$32+$E$32)</f>
        <v>0</v>
      </c>
      <c r="F33" s="105"/>
      <c r="G33" s="174"/>
      <c r="H33" s="175"/>
      <c r="I33" s="176"/>
      <c r="J33" s="120"/>
      <c r="K33" s="121"/>
      <c r="L33" s="212"/>
      <c r="M33" s="118"/>
      <c r="AA33" s="175">
        <f>SUM(AA26:AA32)</f>
        <v>480</v>
      </c>
      <c r="AB33" s="175">
        <f>SUM(AB26:AB32)</f>
        <v>537600</v>
      </c>
      <c r="AC33" s="175">
        <f>SUM(AC26:AC32)</f>
        <v>419328</v>
      </c>
    </row>
    <row r="34" spans="1:29" ht="13.5" thickBot="1">
      <c r="A34" s="766" t="s">
        <v>57</v>
      </c>
      <c r="B34" s="767"/>
      <c r="C34" s="106">
        <f>C14+C23+C32</f>
        <v>38028</v>
      </c>
      <c r="D34" s="106">
        <f>D14+D23+D32</f>
        <v>0</v>
      </c>
      <c r="E34" s="106">
        <f>E14+E23+E32</f>
        <v>0</v>
      </c>
      <c r="F34" s="107">
        <f>F14+F23+F32</f>
        <v>64</v>
      </c>
      <c r="H34" s="177"/>
      <c r="I34" s="177"/>
      <c r="J34" s="122" t="s">
        <v>28</v>
      </c>
      <c r="K34" s="123">
        <f>SUM(K7:K32)</f>
        <v>38028</v>
      </c>
      <c r="L34" s="211">
        <f>SUM(L7:L32)</f>
        <v>0</v>
      </c>
      <c r="M34" s="119">
        <f>SUM(M7:M32)</f>
        <v>835247</v>
      </c>
      <c r="N34" s="154"/>
      <c r="AA34" s="148">
        <f>480-AA33</f>
        <v>0</v>
      </c>
      <c r="AB34" s="175">
        <f>+AB33/AA33</f>
        <v>1120</v>
      </c>
      <c r="AC34" s="175">
        <f>+AC33/AA33</f>
        <v>873.6</v>
      </c>
    </row>
    <row r="35" spans="1:29" ht="13.5" thickBot="1">
      <c r="A35" s="178"/>
      <c r="B35" s="179"/>
      <c r="C35" s="103">
        <f>C34/($C$34+$D$34+$E$34)</f>
        <v>1</v>
      </c>
      <c r="D35" s="103">
        <f>D34/($C$34+$D$34+$E$34)</f>
        <v>0</v>
      </c>
      <c r="E35" s="108">
        <f>E34/($C$34+$D$34+$E$34)</f>
        <v>0</v>
      </c>
      <c r="K35" s="154"/>
    </row>
    <row r="36" spans="1:29" ht="13.5" thickBot="1">
      <c r="A36" s="177"/>
      <c r="B36" s="177"/>
      <c r="C36" s="154"/>
      <c r="D36" s="154"/>
      <c r="E36" s="154"/>
      <c r="G36" s="154"/>
      <c r="H36" s="180" t="s">
        <v>0</v>
      </c>
      <c r="I36" s="161" t="s">
        <v>37</v>
      </c>
      <c r="J36" s="161" t="s">
        <v>38</v>
      </c>
      <c r="K36" s="181"/>
    </row>
    <row r="37" spans="1:29" ht="17.45" customHeight="1" thickBot="1">
      <c r="A37" s="768" t="s">
        <v>58</v>
      </c>
      <c r="B37" s="769"/>
      <c r="C37" s="161" t="s">
        <v>59</v>
      </c>
      <c r="D37" s="182" t="s">
        <v>60</v>
      </c>
      <c r="E37" s="183" t="s">
        <v>61</v>
      </c>
      <c r="F37" s="321"/>
      <c r="G37" s="323"/>
      <c r="H37" s="185" t="s">
        <v>62</v>
      </c>
      <c r="I37" s="243">
        <f>(13*1440)/1440*G42*2.74*1440/1000000</f>
        <v>45.092782800000002</v>
      </c>
      <c r="J37" s="124">
        <f>+I37+'28'!J37</f>
        <v>989.53594568042138</v>
      </c>
      <c r="K37" s="125" t="s">
        <v>63</v>
      </c>
    </row>
    <row r="38" spans="1:29" ht="17.45" customHeight="1">
      <c r="A38" s="760" t="s">
        <v>12</v>
      </c>
      <c r="B38" s="761"/>
      <c r="C38" s="163">
        <f>SUMIF($G$7:$G$31,"Process",$F$7:$F$31)</f>
        <v>64</v>
      </c>
      <c r="D38" s="117">
        <f>+C38+'28'!D38</f>
        <v>1670</v>
      </c>
      <c r="E38" s="142">
        <f t="shared" ref="E38:E51" si="6">D38/60</f>
        <v>27.833333333333332</v>
      </c>
      <c r="F38" s="321">
        <v>1141.25</v>
      </c>
      <c r="G38" s="321">
        <v>890.17499999999995</v>
      </c>
      <c r="H38" s="186" t="s">
        <v>64</v>
      </c>
      <c r="I38" s="244">
        <f>12.204+13.958+13.671</f>
        <v>39.832999999999998</v>
      </c>
      <c r="J38" s="126">
        <f>+I38+'28'!J38</f>
        <v>864.83799999999985</v>
      </c>
      <c r="K38" s="127" t="s">
        <v>63</v>
      </c>
    </row>
    <row r="39" spans="1:29" ht="17.45" customHeight="1">
      <c r="A39" s="764" t="s">
        <v>13</v>
      </c>
      <c r="B39" s="765"/>
      <c r="C39" s="163">
        <f>SUMIF($G$7:$G$31,"Cleaning",$F$7:$F$31)</f>
        <v>0</v>
      </c>
      <c r="D39" s="117">
        <f>+C39+'28'!D39</f>
        <v>0</v>
      </c>
      <c r="E39" s="142">
        <f t="shared" si="6"/>
        <v>0</v>
      </c>
      <c r="F39" s="321">
        <v>1120</v>
      </c>
      <c r="G39" s="321">
        <v>873.6</v>
      </c>
      <c r="H39" s="186" t="s">
        <v>65</v>
      </c>
      <c r="I39" s="141"/>
      <c r="J39" s="128">
        <f>J37/G4</f>
        <v>34.121929161393844</v>
      </c>
      <c r="K39" s="129" t="s">
        <v>63</v>
      </c>
    </row>
    <row r="40" spans="1:29" ht="17.45" customHeight="1">
      <c r="A40" s="764" t="s">
        <v>66</v>
      </c>
      <c r="B40" s="765"/>
      <c r="C40" s="163">
        <f>SUMIF($G$7:$G$31,"Mechanical",$F$7:$F$31)</f>
        <v>0</v>
      </c>
      <c r="D40" s="117">
        <f>+C40+'28'!D40</f>
        <v>0</v>
      </c>
      <c r="E40" s="142">
        <f t="shared" si="6"/>
        <v>0</v>
      </c>
      <c r="F40" s="321">
        <v>1120</v>
      </c>
      <c r="G40" s="321">
        <v>873.6</v>
      </c>
      <c r="H40" s="186" t="s">
        <v>67</v>
      </c>
      <c r="I40" s="117">
        <f>(K34+L34)/1000</f>
        <v>38.027999999999999</v>
      </c>
      <c r="J40" s="130">
        <f>+I40+'28'!J40</f>
        <v>835.24700000000007</v>
      </c>
      <c r="K40" s="129" t="s">
        <v>63</v>
      </c>
    </row>
    <row r="41" spans="1:29" ht="17.45" customHeight="1">
      <c r="A41" s="764" t="s">
        <v>68</v>
      </c>
      <c r="B41" s="765"/>
      <c r="C41" s="163">
        <f>SUMIF($G$7:$G$31,"Electrical",$F$7:$F$31)</f>
        <v>0</v>
      </c>
      <c r="D41" s="117">
        <f>+C41+'28'!D41</f>
        <v>475</v>
      </c>
      <c r="E41" s="142">
        <f t="shared" si="6"/>
        <v>7.916666666666667</v>
      </c>
      <c r="F41" s="321"/>
      <c r="G41" s="321"/>
      <c r="H41" s="186" t="s">
        <v>69</v>
      </c>
      <c r="I41" s="141"/>
      <c r="J41" s="128">
        <f>J40/G4</f>
        <v>28.801620689655174</v>
      </c>
      <c r="K41" s="129" t="s">
        <v>63</v>
      </c>
    </row>
    <row r="42" spans="1:29" ht="17.45" customHeight="1">
      <c r="A42" s="764" t="s">
        <v>16</v>
      </c>
      <c r="B42" s="765"/>
      <c r="C42" s="163">
        <f>SUMIF($G$7:$G$31,"Instrument",$F$7:$F$31)</f>
        <v>0</v>
      </c>
      <c r="D42" s="117">
        <f>+C42+'28'!D42</f>
        <v>0</v>
      </c>
      <c r="E42" s="142">
        <f t="shared" si="6"/>
        <v>0</v>
      </c>
      <c r="F42" s="321">
        <f>+(480*F38+480*F39+480*F40)/1440</f>
        <v>1127.0833333333333</v>
      </c>
      <c r="G42" s="321">
        <f>+(480*G38+480*G39+480*G40)/1440</f>
        <v>879.125</v>
      </c>
      <c r="H42" s="186" t="s">
        <v>70</v>
      </c>
      <c r="I42" s="245" t="s">
        <v>758</v>
      </c>
      <c r="J42" s="131"/>
      <c r="K42" s="129" t="s">
        <v>71</v>
      </c>
    </row>
    <row r="43" spans="1:29" ht="17.45" customHeight="1">
      <c r="A43" s="764" t="s">
        <v>72</v>
      </c>
      <c r="B43" s="765"/>
      <c r="C43" s="163">
        <f>SUMIF($G$7:$G$31,"Water",$F$7:$F$31)</f>
        <v>0</v>
      </c>
      <c r="D43" s="117">
        <f>+C43+'28'!D43</f>
        <v>0</v>
      </c>
      <c r="E43" s="142">
        <f t="shared" si="6"/>
        <v>0</v>
      </c>
      <c r="F43" s="321"/>
      <c r="G43" s="322"/>
      <c r="H43" s="187" t="s">
        <v>73</v>
      </c>
      <c r="I43" s="117">
        <f>+Report1!Z37</f>
        <v>56.4</v>
      </c>
      <c r="J43" s="132">
        <f>+I43+'28'!J43</f>
        <v>1236.1000000000001</v>
      </c>
      <c r="K43" s="129" t="s">
        <v>63</v>
      </c>
      <c r="L43" s="188"/>
    </row>
    <row r="44" spans="1:29" ht="17.45" customHeight="1">
      <c r="A44" s="764" t="s">
        <v>17</v>
      </c>
      <c r="B44" s="765"/>
      <c r="C44" s="163">
        <f>SUMIF($G$7:$G$31,"PLN",$F$7:$F$31)</f>
        <v>0</v>
      </c>
      <c r="D44" s="117">
        <f>+C44+'28'!D44</f>
        <v>0</v>
      </c>
      <c r="E44" s="142">
        <f t="shared" si="6"/>
        <v>0</v>
      </c>
      <c r="F44" s="321"/>
      <c r="G44" s="322"/>
      <c r="H44" s="187" t="s">
        <v>74</v>
      </c>
      <c r="I44" s="117">
        <f>I43/I38</f>
        <v>1.4159114302211735</v>
      </c>
      <c r="J44" s="133">
        <f>J43/J38</f>
        <v>1.4292850221660014</v>
      </c>
      <c r="K44" s="129" t="s">
        <v>63</v>
      </c>
    </row>
    <row r="45" spans="1:29" ht="17.45" customHeight="1">
      <c r="A45" s="764" t="s">
        <v>18</v>
      </c>
      <c r="B45" s="765"/>
      <c r="C45" s="163">
        <f>SUMIF($G$7:$G$31,"Boiler",$F$7:$F$31)</f>
        <v>0</v>
      </c>
      <c r="D45" s="117">
        <f>+C45+'28'!D45</f>
        <v>0</v>
      </c>
      <c r="E45" s="142">
        <f t="shared" si="6"/>
        <v>0</v>
      </c>
      <c r="F45" s="321"/>
      <c r="G45" s="324"/>
      <c r="H45" s="187" t="s">
        <v>75</v>
      </c>
      <c r="I45" s="117">
        <f>I43/I40</f>
        <v>1.4831177027453455</v>
      </c>
      <c r="J45" s="133">
        <f>J43/J40</f>
        <v>1.4799215082484583</v>
      </c>
      <c r="K45" s="129" t="s">
        <v>63</v>
      </c>
    </row>
    <row r="46" spans="1:29" ht="17.45" customHeight="1">
      <c r="A46" s="764" t="s">
        <v>76</v>
      </c>
      <c r="B46" s="765"/>
      <c r="C46" s="163">
        <f>SUMIF($G$7:$G$31,"Gas",$F$7:$F$31)</f>
        <v>0</v>
      </c>
      <c r="D46" s="117">
        <f>+C46+'28'!D46</f>
        <v>0</v>
      </c>
      <c r="E46" s="142">
        <f t="shared" si="6"/>
        <v>0</v>
      </c>
      <c r="F46" s="321"/>
      <c r="G46" s="322"/>
      <c r="H46" s="187" t="s">
        <v>77</v>
      </c>
      <c r="I46" s="139">
        <f>+SUMIF(Listrik!P36,"&gt;0")</f>
        <v>36792.520000001452</v>
      </c>
      <c r="J46" s="134">
        <f>+I46+'28'!J46</f>
        <v>815447.86000000103</v>
      </c>
      <c r="K46" s="129" t="s">
        <v>78</v>
      </c>
    </row>
    <row r="47" spans="1:29" ht="17.45" customHeight="1">
      <c r="A47" s="764" t="s">
        <v>79</v>
      </c>
      <c r="B47" s="765"/>
      <c r="C47" s="163">
        <f>SUMIF($G$7:$G$31,"Gas",$F$7:$F$31)</f>
        <v>0</v>
      </c>
      <c r="D47" s="117">
        <f>+C47+'28'!D47</f>
        <v>0</v>
      </c>
      <c r="E47" s="142">
        <f t="shared" si="6"/>
        <v>0</v>
      </c>
      <c r="F47" s="321"/>
      <c r="G47" s="322"/>
      <c r="H47" s="187" t="s">
        <v>80</v>
      </c>
      <c r="I47" s="117">
        <f>I46/I38</f>
        <v>923.66931940856705</v>
      </c>
      <c r="J47" s="134">
        <f>J46/J38</f>
        <v>942.89087667285798</v>
      </c>
      <c r="K47" s="129" t="s">
        <v>24</v>
      </c>
    </row>
    <row r="48" spans="1:29" ht="17.45" customHeight="1">
      <c r="A48" s="764" t="s">
        <v>14</v>
      </c>
      <c r="B48" s="765"/>
      <c r="C48" s="163">
        <f>SUMIF($G$7:$G$31,"Start Up",$F$7:$F$31)</f>
        <v>0</v>
      </c>
      <c r="D48" s="117">
        <f>+C48+'28'!D48</f>
        <v>0</v>
      </c>
      <c r="E48" s="142">
        <f t="shared" si="6"/>
        <v>0</v>
      </c>
      <c r="F48" s="321"/>
      <c r="G48" s="322"/>
      <c r="H48" s="187" t="s">
        <v>81</v>
      </c>
      <c r="I48" s="117">
        <f>I46/I40</f>
        <v>967.51130745770104</v>
      </c>
      <c r="J48" s="134">
        <f>J46/J40</f>
        <v>976.2954670893771</v>
      </c>
      <c r="K48" s="129" t="s">
        <v>24</v>
      </c>
    </row>
    <row r="49" spans="1:23" ht="17.45" customHeight="1">
      <c r="A49" s="778" t="s">
        <v>20</v>
      </c>
      <c r="B49" s="765"/>
      <c r="C49" s="163">
        <f>SUMIF($G$7:$G$31,"Others",$F$7:$F$31)</f>
        <v>0</v>
      </c>
      <c r="D49" s="117">
        <f>+C49+'28'!D49</f>
        <v>948</v>
      </c>
      <c r="E49" s="142">
        <f t="shared" si="6"/>
        <v>15.8</v>
      </c>
      <c r="F49" s="184"/>
      <c r="H49" s="187" t="s">
        <v>268</v>
      </c>
      <c r="I49" s="117">
        <f>+Report1!T37</f>
        <v>5408.0459468505251</v>
      </c>
      <c r="J49" s="134">
        <f>+I49+'28'!J49</f>
        <v>109685.20968822461</v>
      </c>
      <c r="K49" s="129" t="s">
        <v>82</v>
      </c>
    </row>
    <row r="50" spans="1:23" ht="17.45" customHeight="1">
      <c r="A50" s="764" t="s">
        <v>19</v>
      </c>
      <c r="B50" s="765"/>
      <c r="C50" s="163">
        <f>SUMIF($G$7:$G$31,"Steam",$F$7:$F$31)</f>
        <v>0</v>
      </c>
      <c r="D50" s="117">
        <f>+C50+'28'!D50</f>
        <v>0</v>
      </c>
      <c r="E50" s="142">
        <f t="shared" si="6"/>
        <v>0</v>
      </c>
      <c r="F50" s="184"/>
      <c r="H50" s="187" t="s">
        <v>83</v>
      </c>
      <c r="I50" s="139">
        <f>I49/I38</f>
        <v>135.76797998771184</v>
      </c>
      <c r="J50" s="132">
        <f>J49/J38</f>
        <v>126.82746328008787</v>
      </c>
      <c r="K50" s="129" t="s">
        <v>82</v>
      </c>
    </row>
    <row r="51" spans="1:23" ht="17.45" customHeight="1" thickBot="1">
      <c r="A51" s="758" t="s">
        <v>84</v>
      </c>
      <c r="B51" s="759"/>
      <c r="C51" s="163">
        <f>SUMIF($G$7:$G$31,"Planned shut",$F$7:$F$31)</f>
        <v>0</v>
      </c>
      <c r="D51" s="117">
        <f>+C51+'28'!D51</f>
        <v>10091</v>
      </c>
      <c r="E51" s="142">
        <f t="shared" si="6"/>
        <v>168.18333333333334</v>
      </c>
      <c r="F51" s="184"/>
      <c r="H51" s="189" t="s">
        <v>85</v>
      </c>
      <c r="I51" s="140">
        <f>I49/I40</f>
        <v>142.21221065663525</v>
      </c>
      <c r="J51" s="135">
        <f>J49/J40</f>
        <v>131.3206868007004</v>
      </c>
      <c r="K51" s="136" t="s">
        <v>82</v>
      </c>
    </row>
    <row r="52" spans="1:23" ht="13.5" thickBot="1">
      <c r="A52" s="760" t="s">
        <v>28</v>
      </c>
      <c r="B52" s="761"/>
      <c r="C52" s="143">
        <f>SUM(C38:C51)</f>
        <v>64</v>
      </c>
      <c r="D52" s="143">
        <f>SUM(D38:D51)</f>
        <v>13184</v>
      </c>
      <c r="E52" s="144">
        <f>SUM(E38:E51)</f>
        <v>219.73333333333335</v>
      </c>
      <c r="F52" s="184"/>
      <c r="H52" s="190"/>
      <c r="I52" s="191"/>
      <c r="J52" s="137"/>
      <c r="K52" s="138"/>
    </row>
    <row r="53" spans="1:23" ht="13.5" thickBot="1">
      <c r="A53" s="762"/>
      <c r="B53" s="763"/>
      <c r="C53" s="145">
        <f>C52/(24*60)</f>
        <v>4.4444444444444446E-2</v>
      </c>
      <c r="D53" s="145">
        <f>D52/(24*60*G4)</f>
        <v>0.31570881226053638</v>
      </c>
      <c r="E53" s="146">
        <f>E52/(G4*24)</f>
        <v>0.31570881226053643</v>
      </c>
      <c r="F53" s="184"/>
    </row>
    <row r="54" spans="1:23">
      <c r="E54" s="192"/>
      <c r="F54" s="184"/>
    </row>
    <row r="55" spans="1:23">
      <c r="E55" s="192"/>
    </row>
    <row r="56" spans="1:23">
      <c r="A56" s="193" t="s">
        <v>86</v>
      </c>
      <c r="B56" s="194"/>
      <c r="C56" s="195"/>
      <c r="D56" s="195"/>
      <c r="E56" s="195"/>
      <c r="F56" s="196"/>
      <c r="G56" s="195"/>
      <c r="H56" s="197"/>
      <c r="I56" s="198" t="s">
        <v>87</v>
      </c>
      <c r="J56" s="199">
        <f>+D34+'28'!J56</f>
        <v>1116</v>
      </c>
      <c r="K56" s="200">
        <f>J56/(J40+J56/1000)/1000</f>
        <v>1.3343488413523792E-3</v>
      </c>
    </row>
    <row r="57" spans="1:23">
      <c r="A57" s="175"/>
      <c r="I57" s="198" t="s">
        <v>88</v>
      </c>
      <c r="J57" s="199">
        <f>+E34+'28'!J57</f>
        <v>0</v>
      </c>
      <c r="K57" s="200">
        <f>J57/(J40+J57/1000)/1000</f>
        <v>0</v>
      </c>
    </row>
    <row r="58" spans="1:23">
      <c r="A58" s="201"/>
      <c r="B58" s="202"/>
      <c r="F58" s="184"/>
      <c r="H58" s="203"/>
    </row>
    <row r="59" spans="1:23">
      <c r="A59" s="204"/>
      <c r="B59" s="175"/>
      <c r="C59" s="175"/>
      <c r="D59" s="175"/>
      <c r="E59" s="175"/>
      <c r="F59" s="188"/>
      <c r="G59" s="175"/>
      <c r="H59" s="203"/>
    </row>
    <row r="60" spans="1:23">
      <c r="H60" s="203"/>
    </row>
    <row r="61" spans="1:23">
      <c r="A61" s="205"/>
      <c r="B61" s="206"/>
      <c r="C61" s="206"/>
      <c r="D61" s="206"/>
      <c r="E61" s="206"/>
      <c r="F61" s="207"/>
      <c r="G61" s="206"/>
      <c r="H61" s="208"/>
      <c r="W61" s="148" t="s">
        <v>0</v>
      </c>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1"/>
  <sheetViews>
    <sheetView zoomScale="80" zoomScaleNormal="80" workbookViewId="0">
      <selection activeCell="C26" sqref="C26"/>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5.42578125" style="148" customWidth="1"/>
    <col min="14" max="15" width="0" style="148" hidden="1" customWidth="1"/>
    <col min="16" max="16" width="10.28515625" style="148" hidden="1" customWidth="1"/>
    <col min="17" max="17" width="9.28515625" style="148" hidden="1" customWidth="1"/>
    <col min="18" max="23" width="0" style="148" hidden="1" customWidth="1"/>
    <col min="24" max="16384" width="9.140625" style="148"/>
  </cols>
  <sheetData>
    <row r="1" spans="1:29" ht="15.75">
      <c r="A1" s="147"/>
    </row>
    <row r="2" spans="1:29" ht="15.75">
      <c r="A2" s="147" t="s">
        <v>182</v>
      </c>
    </row>
    <row r="3" spans="1:29" ht="15">
      <c r="A3" s="149"/>
    </row>
    <row r="4" spans="1:29" ht="20.25">
      <c r="A4" s="150" t="s">
        <v>3</v>
      </c>
      <c r="B4" s="151"/>
      <c r="F4" s="152" t="s">
        <v>29</v>
      </c>
      <c r="G4" s="153">
        <v>28</v>
      </c>
      <c r="H4" s="153" t="str">
        <f>+'1'!H4</f>
        <v>.03.26</v>
      </c>
    </row>
    <row r="5" spans="1:29" ht="13.5" thickBot="1">
      <c r="C5" s="154"/>
      <c r="D5" s="154"/>
    </row>
    <row r="6" spans="1:2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80" t="s">
        <v>92</v>
      </c>
      <c r="O6" s="421" t="s">
        <v>189</v>
      </c>
      <c r="P6" s="421" t="s">
        <v>189</v>
      </c>
      <c r="Q6" s="421" t="s">
        <v>190</v>
      </c>
      <c r="R6" s="421" t="s">
        <v>191</v>
      </c>
      <c r="S6" s="421" t="s">
        <v>192</v>
      </c>
      <c r="T6" s="421" t="s">
        <v>187</v>
      </c>
      <c r="U6" s="422" t="s">
        <v>193</v>
      </c>
      <c r="V6" s="421" t="s">
        <v>194</v>
      </c>
      <c r="W6" s="421" t="s">
        <v>188</v>
      </c>
      <c r="X6" s="148" t="s">
        <v>595</v>
      </c>
      <c r="Y6" s="148">
        <v>1140</v>
      </c>
      <c r="Z6" s="148">
        <f>+Y6-(Y6*0.22)</f>
        <v>889.2</v>
      </c>
      <c r="AA6" s="148">
        <v>480</v>
      </c>
      <c r="AB6" s="148">
        <f t="shared" ref="AB6:AB8" si="0">+Y6*AA6</f>
        <v>547200</v>
      </c>
      <c r="AC6" s="148">
        <f t="shared" ref="AC6:AC8" si="1">+Z6*AA6</f>
        <v>426816</v>
      </c>
    </row>
    <row r="7" spans="1:29" ht="13.5" customHeight="1" thickBot="1">
      <c r="A7" s="770" t="s">
        <v>417</v>
      </c>
      <c r="B7" s="214" t="s">
        <v>606</v>
      </c>
      <c r="C7" s="215">
        <v>12299</v>
      </c>
      <c r="D7" s="216"/>
      <c r="E7" s="217"/>
      <c r="F7" s="227">
        <v>6</v>
      </c>
      <c r="G7" s="228" t="s">
        <v>12</v>
      </c>
      <c r="H7" s="229" t="s">
        <v>467</v>
      </c>
      <c r="I7" s="773" t="s">
        <v>746</v>
      </c>
      <c r="J7" s="213" t="str">
        <f>+'27'!J7</f>
        <v>F 12 VP OW</v>
      </c>
      <c r="K7" s="237"/>
      <c r="L7" s="241"/>
      <c r="M7" s="116">
        <f>+K7+'27'!M7+L7</f>
        <v>136522</v>
      </c>
      <c r="N7" s="423">
        <v>14.5</v>
      </c>
      <c r="O7" s="198">
        <v>1200</v>
      </c>
      <c r="P7" s="198">
        <v>1120</v>
      </c>
      <c r="Q7" s="198">
        <v>896</v>
      </c>
      <c r="R7" s="424">
        <f>1-(Q7/P7)</f>
        <v>0.19999999999999996</v>
      </c>
      <c r="S7" s="425">
        <v>45</v>
      </c>
      <c r="T7" s="426">
        <v>256.5</v>
      </c>
      <c r="U7" s="427">
        <f>(O7*(1-R7)*N7*T7*S7)/100000000</f>
        <v>1.606716</v>
      </c>
      <c r="V7" s="428">
        <f>+C14/1000</f>
        <v>12.298999999999999</v>
      </c>
      <c r="W7" s="429">
        <f>SUM(V7:V9)/SUM(U7:U9)</f>
        <v>0.58882647778258457</v>
      </c>
      <c r="Y7" s="148">
        <v>1150</v>
      </c>
      <c r="Z7" s="148">
        <f>+Y7-(Y7*0.22)</f>
        <v>897</v>
      </c>
      <c r="AA7" s="148">
        <v>480</v>
      </c>
      <c r="AB7" s="148">
        <f t="shared" si="0"/>
        <v>552000</v>
      </c>
      <c r="AC7" s="148">
        <f t="shared" si="1"/>
        <v>430560</v>
      </c>
    </row>
    <row r="8" spans="1:29" ht="13.5" thickBot="1">
      <c r="A8" s="771"/>
      <c r="B8" s="214"/>
      <c r="C8" s="215"/>
      <c r="D8" s="216"/>
      <c r="E8" s="218"/>
      <c r="F8" s="230"/>
      <c r="G8" s="231" t="s">
        <v>12</v>
      </c>
      <c r="H8" s="229" t="s">
        <v>283</v>
      </c>
      <c r="I8" s="774"/>
      <c r="J8" s="213" t="str">
        <f>+'27'!J8</f>
        <v>F 14 VP OW</v>
      </c>
      <c r="K8" s="238"/>
      <c r="L8" s="238"/>
      <c r="M8" s="116">
        <f>+K8+'27'!M8+L8</f>
        <v>89126</v>
      </c>
      <c r="N8" s="423">
        <v>18</v>
      </c>
      <c r="O8" s="198">
        <v>1200</v>
      </c>
      <c r="P8" s="198">
        <v>930</v>
      </c>
      <c r="Q8" s="198">
        <v>744</v>
      </c>
      <c r="R8" s="424">
        <f>1-(Q8/P8)</f>
        <v>0.19999999999999996</v>
      </c>
      <c r="S8" s="425">
        <f>480-S7</f>
        <v>435</v>
      </c>
      <c r="T8" s="426">
        <v>256.5</v>
      </c>
      <c r="U8" s="427">
        <f>(O8*(1-R8)*N8*T8*S8)/100000000</f>
        <v>19.280591999999999</v>
      </c>
      <c r="V8" s="428"/>
      <c r="W8" s="430"/>
      <c r="Y8" s="148">
        <v>1150</v>
      </c>
      <c r="Z8" s="148">
        <f>+Y8-(Y8*0.22)</f>
        <v>897</v>
      </c>
      <c r="AA8" s="148">
        <v>480</v>
      </c>
      <c r="AB8" s="148">
        <f t="shared" si="0"/>
        <v>552000</v>
      </c>
      <c r="AC8" s="148">
        <f t="shared" si="1"/>
        <v>430560</v>
      </c>
    </row>
    <row r="9" spans="1:29" ht="13.5" thickBot="1">
      <c r="A9" s="771"/>
      <c r="B9" s="214"/>
      <c r="C9" s="215"/>
      <c r="D9" s="216"/>
      <c r="E9" s="219"/>
      <c r="F9" s="227">
        <v>14</v>
      </c>
      <c r="G9" s="231" t="s">
        <v>12</v>
      </c>
      <c r="H9" s="232" t="s">
        <v>385</v>
      </c>
      <c r="I9" s="774"/>
      <c r="J9" s="213" t="str">
        <f>+'27'!J9</f>
        <v>F 16 VP OW</v>
      </c>
      <c r="K9" s="238"/>
      <c r="L9" s="238"/>
      <c r="M9" s="116">
        <f>+K9+'27'!M9+L9</f>
        <v>104726</v>
      </c>
      <c r="N9" s="431"/>
    </row>
    <row r="10" spans="1:29" ht="26.25" thickBot="1">
      <c r="A10" s="771"/>
      <c r="B10" s="214"/>
      <c r="C10" s="215"/>
      <c r="D10" s="216"/>
      <c r="E10" s="218"/>
      <c r="F10" s="227"/>
      <c r="G10" s="236" t="s">
        <v>13</v>
      </c>
      <c r="H10" s="232" t="s">
        <v>743</v>
      </c>
      <c r="I10" s="774"/>
      <c r="J10" s="213" t="str">
        <f>+'27'!J10</f>
        <v>F 13,5 VP OW</v>
      </c>
      <c r="K10" s="238"/>
      <c r="L10" s="238"/>
      <c r="M10" s="116">
        <f>+K10+'27'!M10+L10</f>
        <v>10827</v>
      </c>
      <c r="N10" s="431"/>
    </row>
    <row r="11" spans="1:29" ht="13.5" thickBot="1">
      <c r="A11" s="771"/>
      <c r="B11" s="214"/>
      <c r="C11" s="215"/>
      <c r="D11" s="216"/>
      <c r="E11" s="218"/>
      <c r="F11" s="227"/>
      <c r="G11" s="231"/>
      <c r="H11" s="232"/>
      <c r="I11" s="774"/>
      <c r="J11" s="213" t="str">
        <f>+'27'!J11</f>
        <v>F 13 VP OW</v>
      </c>
      <c r="K11" s="238"/>
      <c r="L11" s="238"/>
      <c r="M11" s="116">
        <f>+K11+'27'!M11+L11</f>
        <v>19832</v>
      </c>
      <c r="N11" s="431"/>
    </row>
    <row r="12" spans="1:29" ht="13.5" thickBot="1">
      <c r="A12" s="771"/>
      <c r="B12" s="214"/>
      <c r="C12" s="215"/>
      <c r="D12" s="216"/>
      <c r="E12" s="218"/>
      <c r="F12" s="227"/>
      <c r="G12" s="231"/>
      <c r="H12" s="232"/>
      <c r="I12" s="774"/>
      <c r="J12" s="213" t="str">
        <f>+'27'!J12</f>
        <v>T 14 VP OW</v>
      </c>
      <c r="K12" s="238"/>
      <c r="L12" s="238"/>
      <c r="M12" s="116">
        <f>+K12+'27'!M12+L12</f>
        <v>28770</v>
      </c>
      <c r="N12" s="431"/>
    </row>
    <row r="13" spans="1:29" ht="13.5" thickBot="1">
      <c r="A13" s="771"/>
      <c r="B13" s="214"/>
      <c r="C13" s="215"/>
      <c r="D13" s="215"/>
      <c r="E13" s="218"/>
      <c r="F13" s="227"/>
      <c r="G13" s="231"/>
      <c r="H13" s="232"/>
      <c r="I13" s="775"/>
      <c r="J13" s="213" t="str">
        <f>+'27'!J13</f>
        <v>F 11,5 VP OW</v>
      </c>
      <c r="K13" s="238"/>
      <c r="L13" s="238"/>
      <c r="M13" s="116">
        <f>+K13+'27'!M13+L13</f>
        <v>53931</v>
      </c>
      <c r="N13" s="432"/>
      <c r="O13" s="433"/>
      <c r="P13" s="433"/>
      <c r="Q13" s="433"/>
      <c r="R13" s="433"/>
      <c r="S13" s="433"/>
      <c r="T13" s="433"/>
      <c r="U13" s="433"/>
      <c r="V13" s="433"/>
      <c r="W13" s="433"/>
      <c r="AA13" s="175">
        <f>SUM(AA6:AA12)</f>
        <v>1440</v>
      </c>
      <c r="AB13" s="175">
        <f>SUM(AB6:AB12)</f>
        <v>1651200</v>
      </c>
      <c r="AC13" s="175">
        <f>SUM(AC6:AC12)</f>
        <v>1287936</v>
      </c>
    </row>
    <row r="14" spans="1:29" ht="13.5" thickBot="1">
      <c r="A14" s="772"/>
      <c r="B14" s="164" t="s">
        <v>2</v>
      </c>
      <c r="C14" s="98">
        <f>SUM(C7:C13)</f>
        <v>12299</v>
      </c>
      <c r="D14" s="110">
        <f>SUM(D7:D13)</f>
        <v>0</v>
      </c>
      <c r="E14" s="111">
        <f>SUM(E5:E13)</f>
        <v>0</v>
      </c>
      <c r="F14" s="115">
        <f>SUM(F7:F13)</f>
        <v>20</v>
      </c>
      <c r="G14" s="158"/>
      <c r="H14" s="165"/>
      <c r="I14" s="166"/>
      <c r="J14" s="213" t="str">
        <f>+'27'!J14</f>
        <v>F 12,5 VP OW</v>
      </c>
      <c r="K14" s="238"/>
      <c r="L14" s="238"/>
      <c r="M14" s="116">
        <f>+K14+'27'!M14+L14</f>
        <v>10132</v>
      </c>
      <c r="AA14" s="148">
        <f>480-AA13</f>
        <v>-960</v>
      </c>
      <c r="AB14" s="175">
        <f>+AB13/AA13</f>
        <v>1146.6666666666667</v>
      </c>
      <c r="AC14" s="175">
        <f>+AC13/AA13</f>
        <v>894.4</v>
      </c>
    </row>
    <row r="15" spans="1:29" ht="13.5" customHeight="1" thickBot="1">
      <c r="A15" s="770" t="s">
        <v>390</v>
      </c>
      <c r="B15" s="164"/>
      <c r="C15" s="112">
        <f>C14/($C$23+$D$23+$E$23)</f>
        <v>1.1405916720764167</v>
      </c>
      <c r="D15" s="113">
        <f>D14/($C$23+$D$23+$E$23)</f>
        <v>0</v>
      </c>
      <c r="E15" s="114">
        <f>E14/($C$23+$D$23+$E$23)</f>
        <v>0</v>
      </c>
      <c r="F15" s="227">
        <v>6</v>
      </c>
      <c r="G15" s="228" t="s">
        <v>12</v>
      </c>
      <c r="H15" s="229" t="s">
        <v>467</v>
      </c>
      <c r="I15" s="773" t="s">
        <v>740</v>
      </c>
      <c r="J15" s="213" t="str">
        <f>+'27'!J15</f>
        <v>T 13 VP OW</v>
      </c>
      <c r="K15" s="238">
        <f>+C34</f>
        <v>39438</v>
      </c>
      <c r="L15" s="238"/>
      <c r="M15" s="116">
        <f>+K15+'27'!M15+L15</f>
        <v>239533</v>
      </c>
      <c r="N15" s="423">
        <v>18</v>
      </c>
      <c r="O15" s="198">
        <v>1200</v>
      </c>
      <c r="P15" s="198">
        <v>850</v>
      </c>
      <c r="Q15" s="198">
        <v>680</v>
      </c>
      <c r="R15" s="424">
        <f>1-(Q15/P15)</f>
        <v>0.19999999999999996</v>
      </c>
      <c r="S15" s="425">
        <v>480</v>
      </c>
      <c r="T15" s="426">
        <v>256.5</v>
      </c>
      <c r="U15" s="427">
        <f>(O15*(1-R15)*N15*T15*S15)/100000000</f>
        <v>21.275136</v>
      </c>
      <c r="V15" s="428">
        <f>+C23/1000</f>
        <v>10.782999999999999</v>
      </c>
      <c r="W15" s="429">
        <f>SUM(V15:V17)/SUM(U15:U17)</f>
        <v>0.50683577298871318</v>
      </c>
    </row>
    <row r="16" spans="1:29" ht="13.5" thickBot="1">
      <c r="A16" s="776"/>
      <c r="B16" s="214" t="s">
        <v>606</v>
      </c>
      <c r="C16" s="221">
        <v>10783</v>
      </c>
      <c r="D16" s="222"/>
      <c r="E16" s="223"/>
      <c r="F16" s="230"/>
      <c r="G16" s="231" t="s">
        <v>12</v>
      </c>
      <c r="H16" s="229" t="s">
        <v>283</v>
      </c>
      <c r="I16" s="774"/>
      <c r="J16" s="213" t="str">
        <f>+'27'!J16</f>
        <v>T 12,5 VP OW</v>
      </c>
      <c r="K16" s="228"/>
      <c r="L16" s="228"/>
      <c r="M16" s="116">
        <f>+K16+'27'!M16+L16</f>
        <v>103820</v>
      </c>
      <c r="N16" s="434"/>
      <c r="O16" s="198"/>
      <c r="P16" s="198"/>
      <c r="Q16" s="435"/>
      <c r="R16" s="424"/>
      <c r="S16" s="198"/>
      <c r="T16" s="426"/>
      <c r="U16" s="427"/>
      <c r="V16" s="428"/>
      <c r="W16" s="430"/>
    </row>
    <row r="17" spans="1:23" ht="13.5" thickBot="1">
      <c r="A17" s="776"/>
      <c r="B17" s="214"/>
      <c r="C17" s="215"/>
      <c r="D17" s="216"/>
      <c r="E17" s="224"/>
      <c r="F17" s="227">
        <v>23</v>
      </c>
      <c r="G17" s="231" t="s">
        <v>12</v>
      </c>
      <c r="H17" s="232" t="s">
        <v>482</v>
      </c>
      <c r="I17" s="774"/>
      <c r="J17" s="213">
        <f>+'27'!J17</f>
        <v>0</v>
      </c>
      <c r="K17" s="228"/>
      <c r="L17" s="228"/>
      <c r="M17" s="116">
        <f>+K17+'27'!M17+L17</f>
        <v>0</v>
      </c>
      <c r="N17" s="431"/>
      <c r="O17" s="198"/>
      <c r="R17" s="424"/>
      <c r="T17" s="426"/>
      <c r="U17" s="427"/>
    </row>
    <row r="18" spans="1:23" ht="51.75" thickBot="1">
      <c r="A18" s="776"/>
      <c r="B18" s="214"/>
      <c r="C18" s="215"/>
      <c r="D18" s="216"/>
      <c r="E18" s="224"/>
      <c r="F18" s="227"/>
      <c r="G18" s="236" t="s">
        <v>13</v>
      </c>
      <c r="H18" s="232" t="s">
        <v>751</v>
      </c>
      <c r="I18" s="774"/>
      <c r="J18" s="213">
        <f>+'27'!J18</f>
        <v>0</v>
      </c>
      <c r="K18" s="238"/>
      <c r="L18" s="238"/>
      <c r="M18" s="116">
        <f>+K18+'27'!M18+L18</f>
        <v>0</v>
      </c>
      <c r="N18" s="431"/>
    </row>
    <row r="19" spans="1:23" ht="13.5" thickBot="1">
      <c r="A19" s="776"/>
      <c r="B19" s="214"/>
      <c r="C19" s="215"/>
      <c r="D19" s="216"/>
      <c r="E19" s="224"/>
      <c r="F19" s="234"/>
      <c r="G19" s="231"/>
      <c r="H19" s="232"/>
      <c r="I19" s="774"/>
      <c r="J19" s="213">
        <f>+'27'!J19</f>
        <v>0</v>
      </c>
      <c r="K19" s="238"/>
      <c r="L19" s="238"/>
      <c r="M19" s="116">
        <f>+K19+'27'!M19+L19</f>
        <v>0</v>
      </c>
      <c r="N19" s="431"/>
    </row>
    <row r="20" spans="1:23" ht="13.5" thickBot="1">
      <c r="A20" s="776"/>
      <c r="B20" s="214"/>
      <c r="C20" s="215"/>
      <c r="D20" s="216"/>
      <c r="E20" s="224"/>
      <c r="F20" s="227"/>
      <c r="G20" s="231"/>
      <c r="H20" s="232"/>
      <c r="I20" s="774"/>
      <c r="J20" s="213">
        <f>+'27'!J20</f>
        <v>0</v>
      </c>
      <c r="K20" s="239"/>
      <c r="L20" s="239"/>
      <c r="M20" s="116">
        <f>+K20+'27'!M20+L20</f>
        <v>0</v>
      </c>
      <c r="N20" s="431"/>
    </row>
    <row r="21" spans="1:23" ht="13.5" thickBot="1">
      <c r="A21" s="776"/>
      <c r="B21" s="214"/>
      <c r="C21" s="215"/>
      <c r="D21" s="216"/>
      <c r="E21" s="224"/>
      <c r="F21" s="230"/>
      <c r="G21" s="231"/>
      <c r="H21" s="232"/>
      <c r="I21" s="774"/>
      <c r="J21" s="213">
        <f>+'27'!J21</f>
        <v>0</v>
      </c>
      <c r="K21" s="238"/>
      <c r="L21" s="238"/>
      <c r="M21" s="116">
        <f>+K21+'27'!M21+L21</f>
        <v>0</v>
      </c>
      <c r="N21" s="432"/>
      <c r="O21" s="433"/>
      <c r="P21" s="433"/>
      <c r="Q21" s="433"/>
      <c r="R21" s="433"/>
      <c r="S21" s="433"/>
      <c r="T21" s="433"/>
      <c r="U21" s="433"/>
      <c r="V21" s="433"/>
      <c r="W21" s="433"/>
    </row>
    <row r="22" spans="1:23" ht="13.5" thickBot="1">
      <c r="A22" s="776"/>
      <c r="B22" s="214"/>
      <c r="C22" s="215"/>
      <c r="D22" s="216"/>
      <c r="E22" s="224"/>
      <c r="F22" s="235"/>
      <c r="G22" s="231"/>
      <c r="H22" s="232"/>
      <c r="I22" s="775"/>
      <c r="J22" s="213">
        <f>+'27'!J22</f>
        <v>0</v>
      </c>
      <c r="K22" s="238"/>
      <c r="L22" s="238"/>
      <c r="M22" s="116">
        <f>+K22+'27'!M22+L22</f>
        <v>0</v>
      </c>
    </row>
    <row r="23" spans="1:23" ht="13.5" thickBot="1">
      <c r="A23" s="777"/>
      <c r="B23" s="167" t="s">
        <v>2</v>
      </c>
      <c r="C23" s="99">
        <f>SUM(C16:C22)</f>
        <v>10783</v>
      </c>
      <c r="D23" s="110">
        <f>SUM(D16:D22)</f>
        <v>0</v>
      </c>
      <c r="E23" s="111">
        <f>SUM(E18:E22)</f>
        <v>0</v>
      </c>
      <c r="F23" s="115">
        <f>SUM(F15:F22)</f>
        <v>29</v>
      </c>
      <c r="G23" s="158"/>
      <c r="H23" s="165"/>
      <c r="I23" s="168"/>
      <c r="J23" s="213">
        <f>+'27'!J23</f>
        <v>0</v>
      </c>
      <c r="K23" s="238"/>
      <c r="L23" s="238"/>
      <c r="M23" s="116">
        <f>+K23+'27'!M23+L23</f>
        <v>0</v>
      </c>
      <c r="N23" s="436"/>
      <c r="O23" s="437"/>
      <c r="P23" s="437"/>
      <c r="Q23" s="437"/>
      <c r="R23" s="437"/>
      <c r="S23" s="437"/>
      <c r="T23" s="437"/>
      <c r="U23" s="437"/>
      <c r="V23" s="437"/>
      <c r="W23" s="437"/>
    </row>
    <row r="24" spans="1:23" ht="13.5" customHeight="1" thickBot="1">
      <c r="A24" s="770" t="s">
        <v>457</v>
      </c>
      <c r="B24" s="169"/>
      <c r="C24" s="112">
        <f>C23/($C$23+$D$23+$E$23)</f>
        <v>1</v>
      </c>
      <c r="D24" s="113">
        <f>D23/($C$23+$D$23+$E$23)</f>
        <v>0</v>
      </c>
      <c r="E24" s="114">
        <f>E23/($C$23+$D$23+$E$23)</f>
        <v>0</v>
      </c>
      <c r="F24" s="227">
        <v>4</v>
      </c>
      <c r="G24" s="228" t="s">
        <v>12</v>
      </c>
      <c r="H24" s="229" t="s">
        <v>467</v>
      </c>
      <c r="I24" s="773" t="s">
        <v>740</v>
      </c>
      <c r="J24" s="213">
        <f>+'27'!J24</f>
        <v>0</v>
      </c>
      <c r="K24" s="238"/>
      <c r="L24" s="238"/>
      <c r="M24" s="116">
        <f>+K24+'27'!M24+L24</f>
        <v>0</v>
      </c>
      <c r="N24" s="423">
        <v>18</v>
      </c>
      <c r="O24" s="198">
        <v>1200</v>
      </c>
      <c r="P24" s="198">
        <v>770</v>
      </c>
      <c r="Q24" s="198">
        <v>616</v>
      </c>
      <c r="R24" s="424">
        <f>1-(Q24/P24)</f>
        <v>0.19999999999999996</v>
      </c>
      <c r="S24" s="425">
        <v>480</v>
      </c>
      <c r="T24" s="426">
        <v>256.5</v>
      </c>
      <c r="U24" s="427">
        <f>(O24*(1-R24)*N24*T24*S24)/100000000</f>
        <v>21.275136</v>
      </c>
      <c r="V24" s="428">
        <f>+C32/1000</f>
        <v>16.356000000000002</v>
      </c>
      <c r="W24" s="429">
        <f>SUM(V24:V25)/SUM(U24:U25)</f>
        <v>0.76878474478377024</v>
      </c>
    </row>
    <row r="25" spans="1:23" ht="13.5" customHeight="1" thickBot="1">
      <c r="A25" s="776"/>
      <c r="B25" s="214" t="s">
        <v>606</v>
      </c>
      <c r="C25" s="225">
        <v>16356</v>
      </c>
      <c r="D25" s="216"/>
      <c r="E25" s="224"/>
      <c r="F25" s="230"/>
      <c r="G25" s="231" t="s">
        <v>12</v>
      </c>
      <c r="H25" s="229" t="s">
        <v>283</v>
      </c>
      <c r="I25" s="774"/>
      <c r="J25" s="213">
        <f>+'27'!J25</f>
        <v>0</v>
      </c>
      <c r="K25" s="238"/>
      <c r="L25" s="238"/>
      <c r="M25" s="116">
        <f>+K25+'27'!M25+L25</f>
        <v>0</v>
      </c>
      <c r="N25" s="423"/>
      <c r="O25" s="198"/>
      <c r="P25" s="198"/>
      <c r="Q25" s="198"/>
      <c r="R25" s="424"/>
      <c r="S25" s="425"/>
      <c r="T25" s="426"/>
      <c r="U25" s="427"/>
      <c r="V25" s="428"/>
      <c r="W25" s="429"/>
    </row>
    <row r="26" spans="1:23" ht="13.5" customHeight="1" thickBot="1">
      <c r="A26" s="776"/>
      <c r="B26" s="214"/>
      <c r="C26" s="225"/>
      <c r="D26" s="216"/>
      <c r="E26" s="226"/>
      <c r="F26" s="227">
        <f>21-7</f>
        <v>14</v>
      </c>
      <c r="G26" s="231" t="s">
        <v>12</v>
      </c>
      <c r="H26" s="232" t="s">
        <v>385</v>
      </c>
      <c r="I26" s="774"/>
      <c r="J26" s="213">
        <f>+'27'!J26</f>
        <v>0</v>
      </c>
      <c r="K26" s="238"/>
      <c r="L26" s="238"/>
      <c r="M26" s="116">
        <f>+K26+'27'!M26+L26</f>
        <v>0</v>
      </c>
    </row>
    <row r="27" spans="1:23" ht="39" thickBot="1">
      <c r="A27" s="776"/>
      <c r="B27" s="214"/>
      <c r="C27" s="215"/>
      <c r="D27" s="216"/>
      <c r="E27" s="224"/>
      <c r="F27" s="227"/>
      <c r="G27" s="236" t="s">
        <v>13</v>
      </c>
      <c r="H27" s="232" t="s">
        <v>753</v>
      </c>
      <c r="I27" s="774"/>
      <c r="J27" s="213">
        <f>+'27'!J27</f>
        <v>0</v>
      </c>
      <c r="K27" s="238"/>
      <c r="L27" s="238"/>
      <c r="M27" s="116">
        <f>+K27+'27'!M27+L27</f>
        <v>0</v>
      </c>
    </row>
    <row r="28" spans="1:23" ht="13.5" customHeight="1" thickBot="1">
      <c r="A28" s="776"/>
      <c r="B28" s="214"/>
      <c r="C28" s="215"/>
      <c r="D28" s="216"/>
      <c r="E28" s="224"/>
      <c r="F28" s="230"/>
      <c r="G28" s="231"/>
      <c r="H28" s="232" t="s">
        <v>754</v>
      </c>
      <c r="I28" s="774"/>
      <c r="J28" s="213">
        <f>+'27'!J28</f>
        <v>0</v>
      </c>
      <c r="K28" s="238"/>
      <c r="L28" s="238"/>
      <c r="M28" s="116">
        <f>+K28+'27'!M28+L28</f>
        <v>0</v>
      </c>
    </row>
    <row r="29" spans="1:23" ht="13.5" customHeight="1" thickBot="1">
      <c r="A29" s="776"/>
      <c r="B29" s="214"/>
      <c r="C29" s="215"/>
      <c r="D29" s="216"/>
      <c r="E29" s="224"/>
      <c r="F29" s="235"/>
      <c r="G29" s="231"/>
      <c r="H29" s="232"/>
      <c r="I29" s="774"/>
      <c r="J29" s="213">
        <f>+'27'!J29</f>
        <v>0</v>
      </c>
      <c r="K29" s="238"/>
      <c r="L29" s="238"/>
      <c r="M29" s="116">
        <f>+K29+'27'!M29+L29</f>
        <v>0</v>
      </c>
    </row>
    <row r="30" spans="1:23" ht="13.5" customHeight="1" thickBot="1">
      <c r="A30" s="776"/>
      <c r="B30" s="214"/>
      <c r="C30" s="225"/>
      <c r="D30" s="216"/>
      <c r="E30" s="224"/>
      <c r="F30" s="235"/>
      <c r="G30" s="231"/>
      <c r="H30" s="232"/>
      <c r="I30" s="774"/>
      <c r="J30" s="213">
        <f>+'27'!J30</f>
        <v>0</v>
      </c>
      <c r="K30" s="238"/>
      <c r="L30" s="238"/>
      <c r="M30" s="116">
        <f>+K30+'27'!M30+L30</f>
        <v>0</v>
      </c>
      <c r="N30" s="154"/>
    </row>
    <row r="31" spans="1:23" ht="13.5" customHeight="1" thickBot="1">
      <c r="A31" s="776"/>
      <c r="B31" s="214"/>
      <c r="C31" s="225"/>
      <c r="D31" s="216"/>
      <c r="E31" s="224"/>
      <c r="F31" s="235"/>
      <c r="G31" s="236"/>
      <c r="H31" s="443"/>
      <c r="I31" s="775"/>
      <c r="J31" s="213">
        <f>+'27'!J31</f>
        <v>0</v>
      </c>
      <c r="K31" s="238"/>
      <c r="L31" s="238"/>
      <c r="M31" s="116">
        <f>+K31+'27'!M31+L31</f>
        <v>0</v>
      </c>
    </row>
    <row r="32" spans="1:23" ht="13.5" customHeight="1" thickBot="1">
      <c r="A32" s="777"/>
      <c r="B32" s="164" t="s">
        <v>2</v>
      </c>
      <c r="C32" s="98">
        <f>SUM(C25:C31)</f>
        <v>16356</v>
      </c>
      <c r="D32" s="99">
        <f>SUM(D25:D31)</f>
        <v>0</v>
      </c>
      <c r="E32" s="100">
        <f>SUM(E25:E31)</f>
        <v>0</v>
      </c>
      <c r="F32" s="101">
        <f>SUM(F24:F31)</f>
        <v>18</v>
      </c>
      <c r="G32" s="170"/>
      <c r="H32" s="171"/>
      <c r="I32" s="168"/>
      <c r="J32" s="213">
        <f>+'27'!J32</f>
        <v>0</v>
      </c>
      <c r="K32" s="240"/>
      <c r="L32" s="242"/>
      <c r="M32" s="116">
        <f>+K32+'27'!M32+L32</f>
        <v>0</v>
      </c>
    </row>
    <row r="33" spans="1:14" ht="13.5" thickBot="1">
      <c r="A33" s="172"/>
      <c r="B33" s="173"/>
      <c r="C33" s="102">
        <f>C32/($C$32+$D$32+$E$32)</f>
        <v>1</v>
      </c>
      <c r="D33" s="103">
        <f>D32/($C$32+$D$32+$E$32)</f>
        <v>0</v>
      </c>
      <c r="E33" s="104">
        <f>E32/($C$32+$D$32+$E$32)</f>
        <v>0</v>
      </c>
      <c r="F33" s="105"/>
      <c r="G33" s="174"/>
      <c r="H33" s="175"/>
      <c r="I33" s="176"/>
      <c r="J33" s="120"/>
      <c r="K33" s="121"/>
      <c r="L33" s="212"/>
      <c r="M33" s="118"/>
    </row>
    <row r="34" spans="1:14" ht="13.5" thickBot="1">
      <c r="A34" s="766" t="s">
        <v>57</v>
      </c>
      <c r="B34" s="767"/>
      <c r="C34" s="106">
        <f>C14+C23+C32</f>
        <v>39438</v>
      </c>
      <c r="D34" s="106">
        <f>D14+D23+D32</f>
        <v>0</v>
      </c>
      <c r="E34" s="106">
        <f>E14+E23+E32</f>
        <v>0</v>
      </c>
      <c r="F34" s="107">
        <f>F14+F23+F32</f>
        <v>67</v>
      </c>
      <c r="H34" s="177"/>
      <c r="I34" s="177"/>
      <c r="J34" s="122" t="s">
        <v>28</v>
      </c>
      <c r="K34" s="123">
        <f>SUM(K7:K32)</f>
        <v>39438</v>
      </c>
      <c r="L34" s="211">
        <f>SUM(L7:L32)</f>
        <v>0</v>
      </c>
      <c r="M34" s="119">
        <f>SUM(M7:M32)</f>
        <v>797219</v>
      </c>
      <c r="N34" s="154"/>
    </row>
    <row r="35" spans="1:14" ht="13.5" thickBot="1">
      <c r="A35" s="178"/>
      <c r="B35" s="179"/>
      <c r="C35" s="103">
        <f>C34/($C$34+$D$34+$E$34)</f>
        <v>1</v>
      </c>
      <c r="D35" s="103">
        <f>D34/($C$34+$D$34+$E$34)</f>
        <v>0</v>
      </c>
      <c r="E35" s="108">
        <f>E34/($C$34+$D$34+$E$34)</f>
        <v>0</v>
      </c>
      <c r="K35" s="154"/>
    </row>
    <row r="36" spans="1:14" ht="13.5" thickBot="1">
      <c r="A36" s="177"/>
      <c r="B36" s="177"/>
      <c r="C36" s="154"/>
      <c r="D36" s="154"/>
      <c r="E36" s="154"/>
      <c r="G36" s="154"/>
      <c r="H36" s="180"/>
      <c r="I36" s="161" t="s">
        <v>37</v>
      </c>
      <c r="J36" s="161" t="s">
        <v>38</v>
      </c>
      <c r="K36" s="181"/>
    </row>
    <row r="37" spans="1:14" ht="17.45" customHeight="1" thickBot="1">
      <c r="A37" s="768" t="s">
        <v>58</v>
      </c>
      <c r="B37" s="769"/>
      <c r="C37" s="161" t="s">
        <v>59</v>
      </c>
      <c r="D37" s="182" t="s">
        <v>60</v>
      </c>
      <c r="E37" s="183" t="s">
        <v>61</v>
      </c>
      <c r="F37" s="321"/>
      <c r="G37" s="323"/>
      <c r="H37" s="185" t="s">
        <v>62</v>
      </c>
      <c r="I37" s="243">
        <f>(13*1440)/1440*G42*2.74*1440/1000000</f>
        <v>45.876280319999999</v>
      </c>
      <c r="J37" s="124">
        <f>+I37+'27'!J37</f>
        <v>944.44316288042137</v>
      </c>
      <c r="K37" s="125" t="s">
        <v>63</v>
      </c>
    </row>
    <row r="38" spans="1:14" ht="17.45" customHeight="1">
      <c r="A38" s="760" t="s">
        <v>12</v>
      </c>
      <c r="B38" s="761"/>
      <c r="C38" s="163">
        <f>SUMIF($G$7:$G$31,"Process",$F$7:$F$31)</f>
        <v>67</v>
      </c>
      <c r="D38" s="117">
        <f>+C38+'27'!D38</f>
        <v>1606</v>
      </c>
      <c r="E38" s="142">
        <f t="shared" ref="E38:E51" si="2">D38/60</f>
        <v>26.766666666666666</v>
      </c>
      <c r="F38" s="321">
        <v>1140</v>
      </c>
      <c r="G38" s="321">
        <v>889.2</v>
      </c>
      <c r="H38" s="186" t="s">
        <v>64</v>
      </c>
      <c r="I38" s="244">
        <f>14.338+12.704+14.305</f>
        <v>41.347000000000001</v>
      </c>
      <c r="J38" s="126">
        <f>+I38+'27'!J38</f>
        <v>825.00499999999988</v>
      </c>
      <c r="K38" s="127" t="s">
        <v>63</v>
      </c>
    </row>
    <row r="39" spans="1:14" ht="17.45" customHeight="1">
      <c r="A39" s="764" t="s">
        <v>13</v>
      </c>
      <c r="B39" s="765"/>
      <c r="C39" s="163">
        <f>SUMIF($G$7:$G$31,"Cleaning",$F$7:$F$31)</f>
        <v>0</v>
      </c>
      <c r="D39" s="117">
        <f>+C39+'27'!D39</f>
        <v>0</v>
      </c>
      <c r="E39" s="142">
        <f t="shared" si="2"/>
        <v>0</v>
      </c>
      <c r="F39" s="321">
        <v>1150</v>
      </c>
      <c r="G39" s="321">
        <v>897</v>
      </c>
      <c r="H39" s="186" t="s">
        <v>65</v>
      </c>
      <c r="I39" s="141"/>
      <c r="J39" s="128">
        <f>J37/G4</f>
        <v>33.730112960015049</v>
      </c>
      <c r="K39" s="129" t="s">
        <v>63</v>
      </c>
    </row>
    <row r="40" spans="1:14" ht="17.45" customHeight="1">
      <c r="A40" s="764" t="s">
        <v>66</v>
      </c>
      <c r="B40" s="765"/>
      <c r="C40" s="163">
        <f>SUMIF($G$7:$G$31,"Mechanical",$F$7:$F$31)</f>
        <v>0</v>
      </c>
      <c r="D40" s="117">
        <f>+C40+'27'!D40</f>
        <v>0</v>
      </c>
      <c r="E40" s="142">
        <f t="shared" si="2"/>
        <v>0</v>
      </c>
      <c r="F40" s="321">
        <v>1150</v>
      </c>
      <c r="G40" s="321">
        <v>897</v>
      </c>
      <c r="H40" s="186" t="s">
        <v>67</v>
      </c>
      <c r="I40" s="117">
        <f>(K34+L34)/1000</f>
        <v>39.438000000000002</v>
      </c>
      <c r="J40" s="130">
        <f>+I40+'27'!J40</f>
        <v>797.21900000000005</v>
      </c>
      <c r="K40" s="129" t="s">
        <v>63</v>
      </c>
    </row>
    <row r="41" spans="1:14" ht="17.45" customHeight="1">
      <c r="A41" s="764" t="s">
        <v>68</v>
      </c>
      <c r="B41" s="765"/>
      <c r="C41" s="163">
        <f>SUMIF($G$7:$G$31,"Electrical",$F$7:$F$31)</f>
        <v>0</v>
      </c>
      <c r="D41" s="117">
        <f>+C41+'27'!D41</f>
        <v>475</v>
      </c>
      <c r="E41" s="142">
        <f t="shared" si="2"/>
        <v>7.916666666666667</v>
      </c>
      <c r="F41" s="321"/>
      <c r="G41" s="321"/>
      <c r="H41" s="186" t="s">
        <v>69</v>
      </c>
      <c r="I41" s="141"/>
      <c r="J41" s="128">
        <f>J40/G4</f>
        <v>28.472107142857144</v>
      </c>
      <c r="K41" s="129" t="s">
        <v>63</v>
      </c>
    </row>
    <row r="42" spans="1:14" ht="17.45" customHeight="1">
      <c r="A42" s="764" t="s">
        <v>16</v>
      </c>
      <c r="B42" s="765"/>
      <c r="C42" s="163">
        <f>SUMIF($G$7:$G$31,"Instrument",$F$7:$F$31)</f>
        <v>0</v>
      </c>
      <c r="D42" s="117">
        <f>+C42+'27'!D42</f>
        <v>0</v>
      </c>
      <c r="E42" s="142">
        <f t="shared" si="2"/>
        <v>0</v>
      </c>
      <c r="F42" s="321">
        <f>+(F38*480+F39*480+F40*480)/1440</f>
        <v>1146.6666666666667</v>
      </c>
      <c r="G42" s="321">
        <f>+(G38*480+G39*480+G40*480)/1440</f>
        <v>894.4</v>
      </c>
      <c r="H42" s="186" t="s">
        <v>70</v>
      </c>
      <c r="I42" s="245" t="s">
        <v>755</v>
      </c>
      <c r="J42" s="131"/>
      <c r="K42" s="129" t="s">
        <v>71</v>
      </c>
    </row>
    <row r="43" spans="1:14" ht="17.45" customHeight="1">
      <c r="A43" s="764" t="s">
        <v>72</v>
      </c>
      <c r="B43" s="765"/>
      <c r="C43" s="163">
        <f>SUMIF($G$7:$G$31,"Water",$F$7:$F$31)</f>
        <v>0</v>
      </c>
      <c r="D43" s="117">
        <f>+C43+'27'!D43</f>
        <v>0</v>
      </c>
      <c r="E43" s="142">
        <f t="shared" si="2"/>
        <v>0</v>
      </c>
      <c r="F43" s="321"/>
      <c r="G43" s="322"/>
      <c r="H43" s="187" t="s">
        <v>73</v>
      </c>
      <c r="I43" s="117">
        <f>+Report1!Z36</f>
        <v>59.6</v>
      </c>
      <c r="J43" s="132">
        <f>+I43+'27'!J43</f>
        <v>1179.7</v>
      </c>
      <c r="K43" s="129" t="s">
        <v>63</v>
      </c>
      <c r="L43" s="188"/>
    </row>
    <row r="44" spans="1:14" ht="17.45" customHeight="1">
      <c r="A44" s="764" t="s">
        <v>17</v>
      </c>
      <c r="B44" s="765"/>
      <c r="C44" s="163">
        <f>SUMIF($G$7:$G$31,"PLN",$F$7:$F$31)</f>
        <v>0</v>
      </c>
      <c r="D44" s="117">
        <f>+C44+'27'!D44</f>
        <v>0</v>
      </c>
      <c r="E44" s="142">
        <f t="shared" si="2"/>
        <v>0</v>
      </c>
      <c r="F44" s="321"/>
      <c r="G44" s="322"/>
      <c r="H44" s="187" t="s">
        <v>74</v>
      </c>
      <c r="I44" s="117">
        <f>I43/I38</f>
        <v>1.4414588724695867</v>
      </c>
      <c r="J44" s="133">
        <f>J43/J38</f>
        <v>1.4299307276925597</v>
      </c>
      <c r="K44" s="129" t="s">
        <v>63</v>
      </c>
    </row>
    <row r="45" spans="1:14" ht="17.45" customHeight="1">
      <c r="A45" s="764" t="s">
        <v>18</v>
      </c>
      <c r="B45" s="765"/>
      <c r="C45" s="163">
        <f>SUMIF($G$7:$G$31,"Boiler",$F$7:$F$31)</f>
        <v>0</v>
      </c>
      <c r="D45" s="117">
        <f>+C45+'27'!D45</f>
        <v>0</v>
      </c>
      <c r="E45" s="142">
        <f t="shared" si="2"/>
        <v>0</v>
      </c>
      <c r="F45" s="321"/>
      <c r="G45" s="324"/>
      <c r="H45" s="187" t="s">
        <v>75</v>
      </c>
      <c r="I45" s="117">
        <f>I43/I40</f>
        <v>1.5112328211369745</v>
      </c>
      <c r="J45" s="133">
        <f>J43/J40</f>
        <v>1.4797690471501557</v>
      </c>
      <c r="K45" s="129" t="s">
        <v>63</v>
      </c>
    </row>
    <row r="46" spans="1:14" ht="17.45" customHeight="1">
      <c r="A46" s="764" t="s">
        <v>76</v>
      </c>
      <c r="B46" s="765"/>
      <c r="C46" s="163">
        <f>SUMIF($G$7:$G$31,"Gas",$F$7:$F$31)</f>
        <v>0</v>
      </c>
      <c r="D46" s="117">
        <f>+C46+'27'!D46</f>
        <v>0</v>
      </c>
      <c r="E46" s="142">
        <f t="shared" si="2"/>
        <v>0</v>
      </c>
      <c r="F46" s="321"/>
      <c r="G46" s="322"/>
      <c r="H46" s="187" t="s">
        <v>77</v>
      </c>
      <c r="I46" s="139">
        <f>+SUMIF(Listrik!P35,"&gt;0")</f>
        <v>35419.079999999638</v>
      </c>
      <c r="J46" s="134">
        <f>+I46+'27'!J46</f>
        <v>778655.33999999962</v>
      </c>
      <c r="K46" s="129" t="s">
        <v>78</v>
      </c>
    </row>
    <row r="47" spans="1:14" ht="17.45" customHeight="1">
      <c r="A47" s="764" t="s">
        <v>79</v>
      </c>
      <c r="B47" s="765"/>
      <c r="C47" s="163">
        <f>SUMIF($G$7:$G$31,"Gas",$F$7:$F$31)</f>
        <v>0</v>
      </c>
      <c r="D47" s="117">
        <f>+C47+'27'!D47</f>
        <v>0</v>
      </c>
      <c r="E47" s="142">
        <f t="shared" si="2"/>
        <v>0</v>
      </c>
      <c r="F47" s="321"/>
      <c r="G47" s="322"/>
      <c r="H47" s="187" t="s">
        <v>80</v>
      </c>
      <c r="I47" s="117">
        <f>I46/I38</f>
        <v>856.62998524680472</v>
      </c>
      <c r="J47" s="134">
        <f>J46/J38</f>
        <v>943.8189344307001</v>
      </c>
      <c r="K47" s="129" t="s">
        <v>24</v>
      </c>
    </row>
    <row r="48" spans="1:14" ht="17.45" customHeight="1">
      <c r="A48" s="764" t="s">
        <v>14</v>
      </c>
      <c r="B48" s="765"/>
      <c r="C48" s="163">
        <f>SUMIF($G$7:$G$31,"Start Up",$F$7:$F$31)</f>
        <v>0</v>
      </c>
      <c r="D48" s="117">
        <f>+C48+'27'!D48</f>
        <v>0</v>
      </c>
      <c r="E48" s="142">
        <f t="shared" si="2"/>
        <v>0</v>
      </c>
      <c r="F48" s="321"/>
      <c r="G48" s="322"/>
      <c r="H48" s="187" t="s">
        <v>81</v>
      </c>
      <c r="I48" s="117">
        <f>I46/I40</f>
        <v>898.09523809522886</v>
      </c>
      <c r="J48" s="134">
        <f>J46/J40</f>
        <v>976.71447870660324</v>
      </c>
      <c r="K48" s="129" t="s">
        <v>24</v>
      </c>
    </row>
    <row r="49" spans="1:23" ht="17.45" customHeight="1">
      <c r="A49" s="764" t="s">
        <v>20</v>
      </c>
      <c r="B49" s="765"/>
      <c r="C49" s="163">
        <f>SUMIF($G$7:$G$31,"Others",$F$7:$F$31)</f>
        <v>0</v>
      </c>
      <c r="D49" s="117">
        <f>+C49+'27'!D49</f>
        <v>948</v>
      </c>
      <c r="E49" s="142">
        <f t="shared" si="2"/>
        <v>15.8</v>
      </c>
      <c r="F49" s="184"/>
      <c r="H49" s="187" t="s">
        <v>268</v>
      </c>
      <c r="I49" s="117">
        <f>+Report1!T36</f>
        <v>5487.2414507495005</v>
      </c>
      <c r="J49" s="134">
        <f>+I49+'27'!J49</f>
        <v>104277.16374137408</v>
      </c>
      <c r="K49" s="129" t="s">
        <v>82</v>
      </c>
    </row>
    <row r="50" spans="1:23" ht="17.45" customHeight="1">
      <c r="A50" s="764" t="s">
        <v>19</v>
      </c>
      <c r="B50" s="765"/>
      <c r="C50" s="163">
        <f>SUMIF($G$7:$G$31,"Steam",$F$7:$F$31)</f>
        <v>0</v>
      </c>
      <c r="D50" s="117">
        <f>+C50+'27'!D50</f>
        <v>0</v>
      </c>
      <c r="E50" s="142">
        <f t="shared" si="2"/>
        <v>0</v>
      </c>
      <c r="F50" s="184"/>
      <c r="H50" s="187" t="s">
        <v>83</v>
      </c>
      <c r="I50" s="139">
        <f>I49/I38</f>
        <v>132.71196098264687</v>
      </c>
      <c r="J50" s="132">
        <f>J49/J38</f>
        <v>126.39579607562875</v>
      </c>
      <c r="K50" s="129" t="s">
        <v>82</v>
      </c>
    </row>
    <row r="51" spans="1:23" ht="17.45" customHeight="1" thickBot="1">
      <c r="A51" s="758" t="s">
        <v>84</v>
      </c>
      <c r="B51" s="759"/>
      <c r="C51" s="163">
        <f>SUMIF($G$7:$G$31,"Planned shut",$F$7:$F$31)</f>
        <v>0</v>
      </c>
      <c r="D51" s="117">
        <f>+C51+'27'!D51</f>
        <v>10091</v>
      </c>
      <c r="E51" s="142">
        <f t="shared" si="2"/>
        <v>168.18333333333334</v>
      </c>
      <c r="F51" s="184"/>
      <c r="H51" s="189" t="s">
        <v>85</v>
      </c>
      <c r="I51" s="140">
        <f>I49/I40</f>
        <v>139.13589560194484</v>
      </c>
      <c r="J51" s="135">
        <f>J49/J40</f>
        <v>130.80115218199023</v>
      </c>
      <c r="K51" s="136" t="s">
        <v>82</v>
      </c>
    </row>
    <row r="52" spans="1:23" ht="13.5" thickBot="1">
      <c r="A52" s="760" t="s">
        <v>28</v>
      </c>
      <c r="B52" s="761"/>
      <c r="C52" s="143">
        <f>SUM(C38:C51)</f>
        <v>67</v>
      </c>
      <c r="D52" s="143">
        <f>SUM(D38:D51)</f>
        <v>13120</v>
      </c>
      <c r="E52" s="144">
        <f>SUM(E38:E51)</f>
        <v>218.66666666666669</v>
      </c>
      <c r="F52" s="184"/>
      <c r="H52" s="190"/>
      <c r="I52" s="191"/>
      <c r="J52" s="137"/>
      <c r="K52" s="138"/>
    </row>
    <row r="53" spans="1:23" ht="13.5" thickBot="1">
      <c r="A53" s="762"/>
      <c r="B53" s="763"/>
      <c r="C53" s="145">
        <f>C52/(24*60)</f>
        <v>4.6527777777777779E-2</v>
      </c>
      <c r="D53" s="145">
        <f>D52/(24*60*G4)</f>
        <v>0.32539682539682541</v>
      </c>
      <c r="E53" s="146">
        <f>E52/(G4*24)</f>
        <v>0.32539682539682541</v>
      </c>
      <c r="F53" s="184"/>
    </row>
    <row r="54" spans="1:23">
      <c r="E54" s="192"/>
      <c r="F54" s="184"/>
    </row>
    <row r="55" spans="1:23">
      <c r="E55" s="192"/>
    </row>
    <row r="56" spans="1:23">
      <c r="A56" s="193" t="s">
        <v>86</v>
      </c>
      <c r="B56" s="194"/>
      <c r="C56" s="195"/>
      <c r="D56" s="195"/>
      <c r="E56" s="195"/>
      <c r="F56" s="196"/>
      <c r="G56" s="195"/>
      <c r="H56" s="197"/>
      <c r="I56" s="198" t="s">
        <v>87</v>
      </c>
      <c r="J56" s="199">
        <f>+D34+'27'!J56</f>
        <v>1116</v>
      </c>
      <c r="K56" s="200">
        <f>J56/(J40+J56/1000)/1000</f>
        <v>1.3979093989365365E-3</v>
      </c>
    </row>
    <row r="57" spans="1:23">
      <c r="A57" s="175"/>
      <c r="I57" s="198" t="s">
        <v>88</v>
      </c>
      <c r="J57" s="199">
        <f>+E34+'27'!J57</f>
        <v>0</v>
      </c>
      <c r="K57" s="200">
        <f>J57/(J40+J57/1000)/1000</f>
        <v>0</v>
      </c>
    </row>
    <row r="58" spans="1:23">
      <c r="A58" s="201"/>
      <c r="B58" s="202"/>
      <c r="F58" s="184"/>
      <c r="H58" s="203"/>
    </row>
    <row r="59" spans="1:23">
      <c r="A59" s="204"/>
      <c r="B59" s="175"/>
      <c r="C59" s="175"/>
      <c r="D59" s="175"/>
      <c r="E59" s="175"/>
      <c r="F59" s="188"/>
      <c r="G59" s="175"/>
      <c r="H59" s="203"/>
    </row>
    <row r="60" spans="1:23">
      <c r="H60" s="203"/>
    </row>
    <row r="61" spans="1:23">
      <c r="A61" s="205"/>
      <c r="B61" s="206"/>
      <c r="C61" s="206"/>
      <c r="D61" s="206"/>
      <c r="E61" s="206"/>
      <c r="F61" s="207"/>
      <c r="G61" s="206"/>
      <c r="H61" s="208"/>
      <c r="W61" s="148" t="s">
        <v>0</v>
      </c>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05" right="0.05" top="0.19513888888888889" bottom="0.39027777777777778" header="0" footer="0"/>
  <pageSetup paperSize="9" scale="63"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topLeftCell="F1" zoomScale="80" zoomScaleNormal="80" workbookViewId="0">
      <selection activeCell="M32" sqref="M27:S32"/>
    </sheetView>
  </sheetViews>
  <sheetFormatPr defaultColWidth="9.140625" defaultRowHeight="12.75"/>
  <cols>
    <col min="1" max="1" width="8" style="148" customWidth="1"/>
    <col min="2" max="2" width="10.7109375" style="148"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4.28515625" style="148"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27</v>
      </c>
      <c r="H4" s="153" t="str">
        <f>+'1'!H4</f>
        <v>.03.26</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595</v>
      </c>
      <c r="O6" s="148">
        <v>1140</v>
      </c>
      <c r="P6" s="148">
        <f>+O6-(O6*0.22)</f>
        <v>889.2</v>
      </c>
      <c r="Q6" s="148">
        <v>480</v>
      </c>
      <c r="R6" s="148">
        <f t="shared" ref="R6:R8" si="0">+O6*Q6</f>
        <v>547200</v>
      </c>
      <c r="S6" s="148">
        <f t="shared" ref="S6:S8" si="1">+P6*Q6</f>
        <v>426816</v>
      </c>
    </row>
    <row r="7" spans="1:19" ht="13.5" customHeight="1" thickBot="1">
      <c r="A7" s="770" t="s">
        <v>417</v>
      </c>
      <c r="B7" s="214" t="s">
        <v>606</v>
      </c>
      <c r="C7" s="215">
        <v>14075</v>
      </c>
      <c r="D7" s="216"/>
      <c r="E7" s="217"/>
      <c r="F7" s="227">
        <v>6</v>
      </c>
      <c r="G7" s="228" t="s">
        <v>12</v>
      </c>
      <c r="H7" s="229" t="s">
        <v>467</v>
      </c>
      <c r="I7" s="773" t="s">
        <v>746</v>
      </c>
      <c r="J7" s="213" t="str">
        <f>+'26'!J7</f>
        <v>F 12 VP OW</v>
      </c>
      <c r="K7" s="237"/>
      <c r="L7" s="241"/>
      <c r="M7" s="116">
        <f>+K7+'26'!M7+L7</f>
        <v>136522</v>
      </c>
      <c r="O7" s="148">
        <v>1140</v>
      </c>
      <c r="P7" s="148">
        <f>+O7-(O7*0.22)</f>
        <v>889.2</v>
      </c>
      <c r="Q7" s="148">
        <v>480</v>
      </c>
      <c r="R7" s="148">
        <f t="shared" si="0"/>
        <v>547200</v>
      </c>
      <c r="S7" s="148">
        <f t="shared" si="1"/>
        <v>426816</v>
      </c>
    </row>
    <row r="8" spans="1:19" ht="13.5" thickBot="1">
      <c r="A8" s="771"/>
      <c r="B8" s="214"/>
      <c r="C8" s="215"/>
      <c r="D8" s="216"/>
      <c r="E8" s="218"/>
      <c r="F8" s="230"/>
      <c r="G8" s="231" t="s">
        <v>12</v>
      </c>
      <c r="H8" s="229" t="s">
        <v>283</v>
      </c>
      <c r="I8" s="774"/>
      <c r="J8" s="213" t="str">
        <f>+'26'!J8</f>
        <v>F 14 VP OW</v>
      </c>
      <c r="K8" s="238"/>
      <c r="L8" s="238"/>
      <c r="M8" s="116">
        <f>+K8+'26'!M8+L8</f>
        <v>89126</v>
      </c>
      <c r="O8" s="148">
        <v>1140</v>
      </c>
      <c r="P8" s="148">
        <f>+O8-(O8*0.22)</f>
        <v>889.2</v>
      </c>
      <c r="Q8" s="148">
        <v>480</v>
      </c>
      <c r="R8" s="148">
        <f t="shared" si="0"/>
        <v>547200</v>
      </c>
      <c r="S8" s="148">
        <f t="shared" si="1"/>
        <v>426816</v>
      </c>
    </row>
    <row r="9" spans="1:19" ht="13.5" thickBot="1">
      <c r="A9" s="771"/>
      <c r="B9" s="214"/>
      <c r="C9" s="215"/>
      <c r="D9" s="216"/>
      <c r="E9" s="219"/>
      <c r="F9" s="227">
        <v>23</v>
      </c>
      <c r="G9" s="231" t="s">
        <v>12</v>
      </c>
      <c r="H9" s="232" t="s">
        <v>385</v>
      </c>
      <c r="I9" s="774"/>
      <c r="J9" s="213" t="str">
        <f>+'26'!J9</f>
        <v>F 16 VP OW</v>
      </c>
      <c r="K9" s="238"/>
      <c r="L9" s="238"/>
      <c r="M9" s="116">
        <f>+K9+'26'!M9+L9</f>
        <v>104726</v>
      </c>
    </row>
    <row r="10" spans="1:19" ht="26.25" thickBot="1">
      <c r="A10" s="771"/>
      <c r="B10" s="214"/>
      <c r="C10" s="215"/>
      <c r="D10" s="216"/>
      <c r="E10" s="218"/>
      <c r="F10" s="227"/>
      <c r="G10" s="236" t="s">
        <v>13</v>
      </c>
      <c r="H10" s="232" t="s">
        <v>744</v>
      </c>
      <c r="I10" s="774"/>
      <c r="J10" s="213" t="str">
        <f>+'26'!J10</f>
        <v>F 13,5 VP OW</v>
      </c>
      <c r="K10" s="238"/>
      <c r="L10" s="238"/>
      <c r="M10" s="116">
        <f>+K10+'26'!M10+L10</f>
        <v>10827</v>
      </c>
    </row>
    <row r="11" spans="1:19" ht="13.5" thickBot="1">
      <c r="A11" s="771"/>
      <c r="B11" s="214"/>
      <c r="C11" s="215"/>
      <c r="D11" s="216"/>
      <c r="E11" s="218"/>
      <c r="F11" s="227"/>
      <c r="G11" s="231"/>
      <c r="H11" s="232"/>
      <c r="I11" s="774"/>
      <c r="J11" s="213" t="str">
        <f>+'26'!J11</f>
        <v>F 13 VP OW</v>
      </c>
      <c r="K11" s="238"/>
      <c r="L11" s="238"/>
      <c r="M11" s="116">
        <f>+K11+'26'!M11+L11</f>
        <v>19832</v>
      </c>
    </row>
    <row r="12" spans="1:19" ht="13.5" thickBot="1">
      <c r="A12" s="771"/>
      <c r="B12" s="214"/>
      <c r="C12" s="215"/>
      <c r="D12" s="216"/>
      <c r="E12" s="218"/>
      <c r="F12" s="227"/>
      <c r="G12" s="231"/>
      <c r="H12" s="232"/>
      <c r="I12" s="774"/>
      <c r="J12" s="213" t="str">
        <f>+'26'!J12</f>
        <v>T 14 VP OW</v>
      </c>
      <c r="K12" s="238"/>
      <c r="L12" s="238"/>
      <c r="M12" s="116">
        <f>+K12+'26'!M12+L12</f>
        <v>28770</v>
      </c>
    </row>
    <row r="13" spans="1:19" ht="13.5" thickBot="1">
      <c r="A13" s="771"/>
      <c r="B13" s="214"/>
      <c r="C13" s="215"/>
      <c r="D13" s="215"/>
      <c r="E13" s="218"/>
      <c r="F13" s="227"/>
      <c r="G13" s="231"/>
      <c r="H13" s="232"/>
      <c r="I13" s="775"/>
      <c r="J13" s="213" t="str">
        <f>+'26'!J13</f>
        <v>F 11,5 VP OW</v>
      </c>
      <c r="K13" s="238"/>
      <c r="L13" s="238"/>
      <c r="M13" s="116">
        <f>+K13+'26'!M13+L13</f>
        <v>53931</v>
      </c>
      <c r="Q13" s="175">
        <f>SUM(Q6:Q12)</f>
        <v>1440</v>
      </c>
      <c r="R13" s="175">
        <f>SUM(R6:R12)</f>
        <v>1641600</v>
      </c>
      <c r="S13" s="175">
        <f>SUM(S6:S12)</f>
        <v>1280448</v>
      </c>
    </row>
    <row r="14" spans="1:19" ht="13.5" thickBot="1">
      <c r="A14" s="772"/>
      <c r="B14" s="164" t="s">
        <v>2</v>
      </c>
      <c r="C14" s="98">
        <f>SUM(C7:C13)</f>
        <v>14075</v>
      </c>
      <c r="D14" s="110">
        <f>SUM(D7:D13)</f>
        <v>0</v>
      </c>
      <c r="E14" s="111">
        <f>SUM(E5:E13)</f>
        <v>0</v>
      </c>
      <c r="F14" s="115">
        <f>SUM(F7:F13)</f>
        <v>29</v>
      </c>
      <c r="G14" s="158"/>
      <c r="H14" s="165"/>
      <c r="I14" s="166"/>
      <c r="J14" s="213" t="str">
        <f>+'26'!J14</f>
        <v>F 12,5 VP OW</v>
      </c>
      <c r="K14" s="238"/>
      <c r="L14" s="238"/>
      <c r="M14" s="116">
        <f>+K14+'26'!M14+L14</f>
        <v>10132</v>
      </c>
      <c r="Q14" s="148">
        <f>480-Q13</f>
        <v>-960</v>
      </c>
      <c r="R14" s="175">
        <f>+R13/Q13</f>
        <v>1140</v>
      </c>
      <c r="S14" s="175">
        <f>+S13/Q13</f>
        <v>889.2</v>
      </c>
    </row>
    <row r="15" spans="1:19" ht="13.5" customHeight="1" thickBot="1">
      <c r="A15" s="770" t="s">
        <v>390</v>
      </c>
      <c r="B15" s="164"/>
      <c r="C15" s="112">
        <f>C14/($C$23+$D$23+$E$23)</f>
        <v>1.1361801743622861</v>
      </c>
      <c r="D15" s="113">
        <f>D14/($C$23+$D$23+$E$23)</f>
        <v>0</v>
      </c>
      <c r="E15" s="114">
        <f>E14/($C$23+$D$23+$E$23)</f>
        <v>0</v>
      </c>
      <c r="F15" s="227">
        <v>4</v>
      </c>
      <c r="G15" s="228" t="s">
        <v>12</v>
      </c>
      <c r="H15" s="229" t="s">
        <v>467</v>
      </c>
      <c r="I15" s="773" t="s">
        <v>746</v>
      </c>
      <c r="J15" s="213" t="str">
        <f>+'26'!J15</f>
        <v>T 13 VP OW</v>
      </c>
      <c r="K15" s="238">
        <f>+C34</f>
        <v>40677</v>
      </c>
      <c r="L15" s="238"/>
      <c r="M15" s="116">
        <f>+K15+'26'!M15+L15</f>
        <v>200095</v>
      </c>
    </row>
    <row r="16" spans="1:19" ht="13.5" thickBot="1">
      <c r="A16" s="776"/>
      <c r="B16" s="214" t="s">
        <v>606</v>
      </c>
      <c r="C16" s="221">
        <v>12388</v>
      </c>
      <c r="D16" s="222"/>
      <c r="E16" s="223"/>
      <c r="F16" s="230"/>
      <c r="G16" s="231" t="s">
        <v>12</v>
      </c>
      <c r="H16" s="229" t="s">
        <v>283</v>
      </c>
      <c r="I16" s="774"/>
      <c r="J16" s="213" t="str">
        <f>+'26'!J16</f>
        <v>T 12,5 VP OW</v>
      </c>
      <c r="K16" s="228"/>
      <c r="L16" s="228"/>
      <c r="M16" s="116">
        <f>+K16+'26'!M16+L16</f>
        <v>103820</v>
      </c>
    </row>
    <row r="17" spans="1:13" ht="13.5" thickBot="1">
      <c r="A17" s="776"/>
      <c r="B17" s="214"/>
      <c r="C17" s="215"/>
      <c r="D17" s="216"/>
      <c r="E17" s="224"/>
      <c r="F17" s="227">
        <f>21-4</f>
        <v>17</v>
      </c>
      <c r="G17" s="231" t="s">
        <v>12</v>
      </c>
      <c r="H17" s="232" t="s">
        <v>482</v>
      </c>
      <c r="I17" s="774"/>
      <c r="J17" s="213">
        <f>+'26'!J17</f>
        <v>0</v>
      </c>
      <c r="K17" s="228"/>
      <c r="L17" s="228"/>
      <c r="M17" s="116">
        <f>+K17+'26'!M17+L17</f>
        <v>0</v>
      </c>
    </row>
    <row r="18" spans="1:13" ht="26.25" thickBot="1">
      <c r="A18" s="776"/>
      <c r="B18" s="214"/>
      <c r="C18" s="215"/>
      <c r="D18" s="216"/>
      <c r="E18" s="224"/>
      <c r="F18" s="227"/>
      <c r="G18" s="236" t="s">
        <v>13</v>
      </c>
      <c r="H18" s="232" t="s">
        <v>743</v>
      </c>
      <c r="I18" s="774"/>
      <c r="J18" s="213">
        <f>+'26'!J18</f>
        <v>0</v>
      </c>
      <c r="K18" s="238"/>
      <c r="L18" s="238"/>
      <c r="M18" s="116">
        <f>+K18+'26'!M18+L18</f>
        <v>0</v>
      </c>
    </row>
    <row r="19" spans="1:13" ht="13.5" thickBot="1">
      <c r="A19" s="776"/>
      <c r="B19" s="214"/>
      <c r="C19" s="215"/>
      <c r="D19" s="216"/>
      <c r="E19" s="224"/>
      <c r="F19" s="234"/>
      <c r="G19" s="231"/>
      <c r="H19" s="232"/>
      <c r="I19" s="774"/>
      <c r="J19" s="213">
        <f>+'26'!J19</f>
        <v>0</v>
      </c>
      <c r="K19" s="238"/>
      <c r="L19" s="238"/>
      <c r="M19" s="116">
        <f>+K19+'26'!M19+L19</f>
        <v>0</v>
      </c>
    </row>
    <row r="20" spans="1:13" ht="13.5" thickBot="1">
      <c r="A20" s="776"/>
      <c r="B20" s="214"/>
      <c r="C20" s="215"/>
      <c r="D20" s="216"/>
      <c r="E20" s="224"/>
      <c r="F20" s="227"/>
      <c r="G20" s="231"/>
      <c r="H20" s="232"/>
      <c r="I20" s="774"/>
      <c r="J20" s="213">
        <f>+'26'!J20</f>
        <v>0</v>
      </c>
      <c r="K20" s="239"/>
      <c r="L20" s="239"/>
      <c r="M20" s="116">
        <f>+K20+'26'!M20+L20</f>
        <v>0</v>
      </c>
    </row>
    <row r="21" spans="1:13" ht="13.5" thickBot="1">
      <c r="A21" s="776"/>
      <c r="B21" s="214"/>
      <c r="C21" s="215"/>
      <c r="D21" s="216"/>
      <c r="E21" s="224"/>
      <c r="F21" s="230"/>
      <c r="G21" s="231"/>
      <c r="H21" s="232"/>
      <c r="I21" s="774"/>
      <c r="J21" s="213">
        <f>+'26'!J21</f>
        <v>0</v>
      </c>
      <c r="K21" s="238"/>
      <c r="L21" s="238"/>
      <c r="M21" s="116">
        <f>+K21+'26'!M21+L21</f>
        <v>0</v>
      </c>
    </row>
    <row r="22" spans="1:13" ht="13.5" thickBot="1">
      <c r="A22" s="776"/>
      <c r="B22" s="214"/>
      <c r="C22" s="215"/>
      <c r="D22" s="216"/>
      <c r="E22" s="224"/>
      <c r="F22" s="235"/>
      <c r="G22" s="231"/>
      <c r="H22" s="232"/>
      <c r="I22" s="775"/>
      <c r="J22" s="213">
        <f>+'26'!J22</f>
        <v>0</v>
      </c>
      <c r="K22" s="238"/>
      <c r="L22" s="238"/>
      <c r="M22" s="116">
        <f>+K22+'26'!M22+L22</f>
        <v>0</v>
      </c>
    </row>
    <row r="23" spans="1:13" ht="13.5" thickBot="1">
      <c r="A23" s="777"/>
      <c r="B23" s="167" t="s">
        <v>2</v>
      </c>
      <c r="C23" s="99">
        <f>SUM(C16:C22)</f>
        <v>12388</v>
      </c>
      <c r="D23" s="110">
        <f>SUM(D16:D22)</f>
        <v>0</v>
      </c>
      <c r="E23" s="111">
        <f>SUM(E18:E22)</f>
        <v>0</v>
      </c>
      <c r="F23" s="115">
        <f>SUM(F15:F22)</f>
        <v>21</v>
      </c>
      <c r="G23" s="158"/>
      <c r="H23" s="165"/>
      <c r="I23" s="168"/>
      <c r="J23" s="213">
        <f>+'26'!J23</f>
        <v>0</v>
      </c>
      <c r="K23" s="238"/>
      <c r="L23" s="238"/>
      <c r="M23" s="116">
        <f>+K23+'26'!M23+L23</f>
        <v>0</v>
      </c>
    </row>
    <row r="24" spans="1:13" ht="13.5" customHeight="1" thickBot="1">
      <c r="A24" s="770" t="s">
        <v>457</v>
      </c>
      <c r="B24" s="169"/>
      <c r="C24" s="112">
        <f>C23/($C$23+$D$23+$E$23)</f>
        <v>1</v>
      </c>
      <c r="D24" s="113">
        <f>D23/($C$23+$D$23+$E$23)</f>
        <v>0</v>
      </c>
      <c r="E24" s="114">
        <f>E23/($C$23+$D$23+$E$23)</f>
        <v>0</v>
      </c>
      <c r="F24" s="227">
        <v>4</v>
      </c>
      <c r="G24" s="228" t="s">
        <v>12</v>
      </c>
      <c r="H24" s="229" t="s">
        <v>467</v>
      </c>
      <c r="I24" s="773" t="s">
        <v>746</v>
      </c>
      <c r="J24" s="213">
        <f>+'26'!J24</f>
        <v>0</v>
      </c>
      <c r="K24" s="238"/>
      <c r="L24" s="238"/>
      <c r="M24" s="116">
        <f>+K24+'26'!M24+L24</f>
        <v>0</v>
      </c>
    </row>
    <row r="25" spans="1:13" ht="13.5" thickBot="1">
      <c r="A25" s="776"/>
      <c r="B25" s="214" t="s">
        <v>606</v>
      </c>
      <c r="C25" s="225">
        <v>14214</v>
      </c>
      <c r="D25" s="216"/>
      <c r="E25" s="224"/>
      <c r="F25" s="230"/>
      <c r="G25" s="231" t="s">
        <v>12</v>
      </c>
      <c r="H25" s="229" t="s">
        <v>283</v>
      </c>
      <c r="I25" s="774"/>
      <c r="J25" s="213">
        <f>+'26'!J25</f>
        <v>0</v>
      </c>
      <c r="K25" s="238"/>
      <c r="L25" s="238"/>
      <c r="M25" s="116">
        <f>+K25+'26'!M25+L25</f>
        <v>0</v>
      </c>
    </row>
    <row r="26" spans="1:13" ht="13.5" thickBot="1">
      <c r="A26" s="776"/>
      <c r="B26" s="214"/>
      <c r="C26" s="225"/>
      <c r="D26" s="216"/>
      <c r="E26" s="226"/>
      <c r="F26" s="227">
        <v>20</v>
      </c>
      <c r="G26" s="231" t="s">
        <v>12</v>
      </c>
      <c r="H26" s="232" t="s">
        <v>385</v>
      </c>
      <c r="I26" s="774"/>
      <c r="J26" s="213">
        <f>+'26'!J26</f>
        <v>0</v>
      </c>
      <c r="K26" s="238"/>
      <c r="L26" s="238"/>
      <c r="M26" s="116">
        <f>+K26+'26'!M26+L26</f>
        <v>0</v>
      </c>
    </row>
    <row r="27" spans="1:13" ht="39" thickBot="1">
      <c r="A27" s="776"/>
      <c r="B27" s="214"/>
      <c r="C27" s="215"/>
      <c r="D27" s="216"/>
      <c r="E27" s="224"/>
      <c r="F27" s="227"/>
      <c r="G27" s="236" t="s">
        <v>13</v>
      </c>
      <c r="H27" s="232" t="s">
        <v>745</v>
      </c>
      <c r="I27" s="774"/>
      <c r="J27" s="213">
        <f>+'26'!J27</f>
        <v>0</v>
      </c>
      <c r="K27" s="238"/>
      <c r="L27" s="238"/>
      <c r="M27" s="116">
        <f>+K27+'26'!M27+L27</f>
        <v>0</v>
      </c>
    </row>
    <row r="28" spans="1:13" ht="13.5" thickBot="1">
      <c r="A28" s="776"/>
      <c r="B28" s="214"/>
      <c r="C28" s="215"/>
      <c r="D28" s="216"/>
      <c r="E28" s="224"/>
      <c r="F28" s="230"/>
      <c r="G28" s="231"/>
      <c r="H28" s="232"/>
      <c r="I28" s="774"/>
      <c r="J28" s="213">
        <f>+'26'!J28</f>
        <v>0</v>
      </c>
      <c r="K28" s="238"/>
      <c r="L28" s="238"/>
      <c r="M28" s="116">
        <f>+K28+'26'!M28+L28</f>
        <v>0</v>
      </c>
    </row>
    <row r="29" spans="1:13" ht="13.5" thickBot="1">
      <c r="A29" s="776"/>
      <c r="B29" s="214"/>
      <c r="C29" s="215"/>
      <c r="D29" s="216"/>
      <c r="E29" s="224"/>
      <c r="F29" s="235"/>
      <c r="G29" s="231"/>
      <c r="H29" s="232"/>
      <c r="I29" s="774"/>
      <c r="J29" s="213">
        <f>+'26'!J29</f>
        <v>0</v>
      </c>
      <c r="K29" s="238"/>
      <c r="L29" s="238"/>
      <c r="M29" s="116">
        <f>+K29+'26'!M29+L29</f>
        <v>0</v>
      </c>
    </row>
    <row r="30" spans="1:13" ht="13.5" thickBot="1">
      <c r="A30" s="776"/>
      <c r="B30" s="214"/>
      <c r="C30" s="225"/>
      <c r="D30" s="216"/>
      <c r="E30" s="224"/>
      <c r="F30" s="235"/>
      <c r="G30" s="231"/>
      <c r="H30" s="232"/>
      <c r="I30" s="774"/>
      <c r="J30" s="213">
        <f>+'26'!J30</f>
        <v>0</v>
      </c>
      <c r="K30" s="238"/>
      <c r="L30" s="238"/>
      <c r="M30" s="116">
        <f>+K30+'26'!M30+L30</f>
        <v>0</v>
      </c>
    </row>
    <row r="31" spans="1:13" ht="13.5" thickBot="1">
      <c r="A31" s="776"/>
      <c r="B31" s="214"/>
      <c r="C31" s="225"/>
      <c r="D31" s="216"/>
      <c r="E31" s="224"/>
      <c r="F31" s="235"/>
      <c r="G31" s="236"/>
      <c r="H31" s="443"/>
      <c r="I31" s="775"/>
      <c r="J31" s="213">
        <f>+'26'!J31</f>
        <v>0</v>
      </c>
      <c r="K31" s="238"/>
      <c r="L31" s="238"/>
      <c r="M31" s="116">
        <f>+K31+'26'!M31+L31</f>
        <v>0</v>
      </c>
    </row>
    <row r="32" spans="1:13" ht="13.5" thickBot="1">
      <c r="A32" s="777"/>
      <c r="B32" s="164" t="s">
        <v>2</v>
      </c>
      <c r="C32" s="98">
        <f>SUM(C25:C31)</f>
        <v>14214</v>
      </c>
      <c r="D32" s="99">
        <f>SUM(D25:D31)</f>
        <v>0</v>
      </c>
      <c r="E32" s="100">
        <f>SUM(E25:E31)</f>
        <v>0</v>
      </c>
      <c r="F32" s="101">
        <f>SUM(F24:F31)</f>
        <v>24</v>
      </c>
      <c r="G32" s="170"/>
      <c r="H32" s="171"/>
      <c r="I32" s="168"/>
      <c r="J32" s="213">
        <f>+'26'!J32</f>
        <v>0</v>
      </c>
      <c r="K32" s="240"/>
      <c r="L32" s="242"/>
      <c r="M32" s="116">
        <f>+K32+'26'!M32+L32</f>
        <v>0</v>
      </c>
    </row>
    <row r="33" spans="1:13" ht="13.5" thickBot="1">
      <c r="A33" s="172"/>
      <c r="B33" s="173"/>
      <c r="C33" s="102">
        <f>C32/($C$32+$D$32+$E$32)</f>
        <v>1</v>
      </c>
      <c r="D33" s="103">
        <f>D32/($C$32+$D$32+$E$32)</f>
        <v>0</v>
      </c>
      <c r="E33" s="104">
        <f>E32/($C$32+$D$32+$E$32)</f>
        <v>0</v>
      </c>
      <c r="F33" s="105"/>
      <c r="G33" s="174"/>
      <c r="H33" s="175"/>
      <c r="I33" s="176"/>
      <c r="J33" s="120"/>
      <c r="K33" s="121"/>
      <c r="L33" s="212"/>
      <c r="M33" s="118"/>
    </row>
    <row r="34" spans="1:13" ht="13.5" thickBot="1">
      <c r="A34" s="766" t="s">
        <v>57</v>
      </c>
      <c r="B34" s="767"/>
      <c r="C34" s="106">
        <f>C14+C23+C32</f>
        <v>40677</v>
      </c>
      <c r="D34" s="106">
        <f>D14+D23+D32</f>
        <v>0</v>
      </c>
      <c r="E34" s="106">
        <f>E14+E23+E32</f>
        <v>0</v>
      </c>
      <c r="F34" s="107">
        <f>F14+F23+F32</f>
        <v>74</v>
      </c>
      <c r="H34" s="177"/>
      <c r="I34" s="177"/>
      <c r="J34" s="122" t="s">
        <v>28</v>
      </c>
      <c r="K34" s="123">
        <f>SUM(K7:K32)</f>
        <v>40677</v>
      </c>
      <c r="L34" s="211">
        <f>SUM(L7:L32)</f>
        <v>0</v>
      </c>
      <c r="M34" s="119">
        <f>SUM(M7:M32)</f>
        <v>757781</v>
      </c>
    </row>
    <row r="35" spans="1:13" ht="13.5" thickBot="1">
      <c r="A35" s="178"/>
      <c r="B35" s="179"/>
      <c r="C35" s="103">
        <f>C34/($C$34+$D$34+$E$34)</f>
        <v>1</v>
      </c>
      <c r="D35" s="103">
        <f>D34/($C$34+$D$34+$E$34)</f>
        <v>0</v>
      </c>
      <c r="E35" s="108">
        <f>E34/($C$34+$D$34+$E$34)</f>
        <v>0</v>
      </c>
      <c r="K35" s="154"/>
    </row>
    <row r="36" spans="1:13" ht="13.5" thickBot="1">
      <c r="A36" s="177"/>
      <c r="B36" s="177"/>
      <c r="C36" s="154"/>
      <c r="D36" s="154"/>
      <c r="E36" s="154"/>
      <c r="G36" s="154"/>
      <c r="H36" s="180"/>
      <c r="I36" s="161" t="s">
        <v>37</v>
      </c>
      <c r="J36" s="161" t="s">
        <v>38</v>
      </c>
      <c r="K36" s="181"/>
    </row>
    <row r="37" spans="1:13" ht="17.45" customHeight="1" thickBot="1">
      <c r="A37" s="768" t="s">
        <v>58</v>
      </c>
      <c r="B37" s="769"/>
      <c r="C37" s="161" t="s">
        <v>59</v>
      </c>
      <c r="D37" s="182" t="s">
        <v>60</v>
      </c>
      <c r="E37" s="183" t="s">
        <v>61</v>
      </c>
      <c r="F37" s="328"/>
      <c r="G37" s="323"/>
      <c r="H37" s="185" t="s">
        <v>62</v>
      </c>
      <c r="I37" s="243">
        <f>(13*1440)/1440*G42*2.74*1440/1000000</f>
        <v>45.609557760000008</v>
      </c>
      <c r="J37" s="124">
        <f>+I37+'26'!J37</f>
        <v>898.56688256042139</v>
      </c>
      <c r="K37" s="125" t="s">
        <v>63</v>
      </c>
    </row>
    <row r="38" spans="1:13" ht="17.45" customHeight="1">
      <c r="A38" s="760" t="s">
        <v>12</v>
      </c>
      <c r="B38" s="761"/>
      <c r="C38" s="163">
        <f>SUMIF($G$7:$G$31,"Process",$F$7:$F$31)</f>
        <v>74</v>
      </c>
      <c r="D38" s="117">
        <f>+C38+'26'!D38</f>
        <v>1539</v>
      </c>
      <c r="E38" s="142">
        <f t="shared" ref="E38:E51" si="2">D38/60</f>
        <v>25.65</v>
      </c>
      <c r="F38" s="321">
        <v>1140</v>
      </c>
      <c r="G38" s="321">
        <v>889.2</v>
      </c>
      <c r="H38" s="186" t="s">
        <v>64</v>
      </c>
      <c r="I38" s="244">
        <f>13.538+12.538+14.405</f>
        <v>40.481000000000002</v>
      </c>
      <c r="J38" s="126">
        <f>+I38+'26'!J38</f>
        <v>783.6579999999999</v>
      </c>
      <c r="K38" s="127" t="s">
        <v>63</v>
      </c>
    </row>
    <row r="39" spans="1:13" ht="17.45" customHeight="1">
      <c r="A39" s="764" t="s">
        <v>13</v>
      </c>
      <c r="B39" s="765"/>
      <c r="C39" s="163">
        <f>SUMIF($G$7:$G$31,"Cleaning",$F$7:$F$31)</f>
        <v>0</v>
      </c>
      <c r="D39" s="117">
        <f>+C39+'26'!D39</f>
        <v>0</v>
      </c>
      <c r="E39" s="142">
        <f t="shared" si="2"/>
        <v>0</v>
      </c>
      <c r="F39" s="321">
        <v>1140</v>
      </c>
      <c r="G39" s="321">
        <v>889.2</v>
      </c>
      <c r="H39" s="186" t="s">
        <v>65</v>
      </c>
      <c r="I39" s="141"/>
      <c r="J39" s="128">
        <f>J37/G4</f>
        <v>33.280254909645237</v>
      </c>
      <c r="K39" s="129" t="s">
        <v>63</v>
      </c>
    </row>
    <row r="40" spans="1:13" ht="17.45" customHeight="1">
      <c r="A40" s="764" t="s">
        <v>66</v>
      </c>
      <c r="B40" s="765"/>
      <c r="C40" s="163">
        <f>SUMIF($G$7:$G$31,"Mechanical",$F$7:$F$31)</f>
        <v>0</v>
      </c>
      <c r="D40" s="117">
        <f>+C40+'26'!D40</f>
        <v>0</v>
      </c>
      <c r="E40" s="142">
        <f t="shared" si="2"/>
        <v>0</v>
      </c>
      <c r="F40" s="321">
        <v>1140</v>
      </c>
      <c r="G40" s="321">
        <v>889.2</v>
      </c>
      <c r="H40" s="186" t="s">
        <v>67</v>
      </c>
      <c r="I40" s="117">
        <f>(K34+L34)/1000</f>
        <v>40.677</v>
      </c>
      <c r="J40" s="130">
        <f>+I40+'26'!J40</f>
        <v>757.78100000000006</v>
      </c>
      <c r="K40" s="129" t="s">
        <v>63</v>
      </c>
    </row>
    <row r="41" spans="1:13" ht="17.45" customHeight="1">
      <c r="A41" s="764" t="s">
        <v>68</v>
      </c>
      <c r="B41" s="765"/>
      <c r="C41" s="163">
        <f>SUMIF($G$7:$G$31,"Electrical",$F$7:$F$31)</f>
        <v>0</v>
      </c>
      <c r="D41" s="117">
        <f>+C41+'26'!D41</f>
        <v>475</v>
      </c>
      <c r="E41" s="142">
        <f t="shared" si="2"/>
        <v>7.916666666666667</v>
      </c>
      <c r="F41" s="321"/>
      <c r="G41" s="321"/>
      <c r="H41" s="186" t="s">
        <v>69</v>
      </c>
      <c r="I41" s="141"/>
      <c r="J41" s="128">
        <f>J40/G4</f>
        <v>28.065962962962967</v>
      </c>
      <c r="K41" s="129" t="s">
        <v>63</v>
      </c>
    </row>
    <row r="42" spans="1:13" ht="17.45" customHeight="1">
      <c r="A42" s="764" t="s">
        <v>16</v>
      </c>
      <c r="B42" s="765"/>
      <c r="C42" s="163">
        <f>SUMIF($G$7:$G$31,"Instrument",$F$7:$F$31)</f>
        <v>0</v>
      </c>
      <c r="D42" s="117">
        <f>+C42+'26'!D42</f>
        <v>0</v>
      </c>
      <c r="E42" s="142">
        <f t="shared" si="2"/>
        <v>0</v>
      </c>
      <c r="F42" s="321">
        <f>+(480*F38+480*F39+480*F40)/1440</f>
        <v>1140</v>
      </c>
      <c r="G42" s="321">
        <f>+(480*G38+480*G39+480*G40)/1440</f>
        <v>889.2</v>
      </c>
      <c r="H42" s="186" t="s">
        <v>70</v>
      </c>
      <c r="I42" s="245" t="s">
        <v>747</v>
      </c>
      <c r="J42" s="131"/>
      <c r="K42" s="129" t="s">
        <v>71</v>
      </c>
    </row>
    <row r="43" spans="1:13" ht="17.45" customHeight="1">
      <c r="A43" s="764" t="s">
        <v>72</v>
      </c>
      <c r="B43" s="765"/>
      <c r="C43" s="163">
        <f>SUMIF($G$7:$G$31,"Water",$F$7:$F$31)</f>
        <v>0</v>
      </c>
      <c r="D43" s="117">
        <f>+C43+'26'!D43</f>
        <v>0</v>
      </c>
      <c r="E43" s="142">
        <f t="shared" si="2"/>
        <v>0</v>
      </c>
      <c r="F43" s="321"/>
      <c r="G43" s="322"/>
      <c r="H43" s="187" t="s">
        <v>73</v>
      </c>
      <c r="I43" s="117">
        <f>+Report1!Z35</f>
        <v>58.8</v>
      </c>
      <c r="J43" s="132">
        <f>+I43+'26'!J43</f>
        <v>1120.1000000000001</v>
      </c>
      <c r="K43" s="129" t="s">
        <v>63</v>
      </c>
      <c r="L43" s="188"/>
    </row>
    <row r="44" spans="1:13" ht="17.45" customHeight="1">
      <c r="A44" s="764" t="s">
        <v>17</v>
      </c>
      <c r="B44" s="765"/>
      <c r="C44" s="163">
        <f>SUMIF($G$7:$G$31,"PLN",$F$7:$F$31)</f>
        <v>0</v>
      </c>
      <c r="D44" s="117">
        <f>+C44+'26'!D44</f>
        <v>0</v>
      </c>
      <c r="E44" s="142">
        <f t="shared" si="2"/>
        <v>0</v>
      </c>
      <c r="F44" s="321"/>
      <c r="G44" s="322"/>
      <c r="H44" s="187" t="s">
        <v>74</v>
      </c>
      <c r="I44" s="117">
        <f>I43/I38</f>
        <v>1.4525332872211654</v>
      </c>
      <c r="J44" s="133">
        <f>J43/J38</f>
        <v>1.4293224850636379</v>
      </c>
      <c r="K44" s="129" t="s">
        <v>63</v>
      </c>
    </row>
    <row r="45" spans="1:13" ht="17.45" customHeight="1">
      <c r="A45" s="764" t="s">
        <v>18</v>
      </c>
      <c r="B45" s="765"/>
      <c r="C45" s="163">
        <f>SUMIF($G$7:$G$31,"Boiler",$F$7:$F$31)</f>
        <v>0</v>
      </c>
      <c r="D45" s="117">
        <f>+C45+'26'!D45</f>
        <v>0</v>
      </c>
      <c r="E45" s="142">
        <f t="shared" si="2"/>
        <v>0</v>
      </c>
      <c r="F45" s="321"/>
      <c r="G45" s="324"/>
      <c r="H45" s="187" t="s">
        <v>75</v>
      </c>
      <c r="I45" s="117">
        <f>I43/I40</f>
        <v>1.4455343314403717</v>
      </c>
      <c r="J45" s="133">
        <f>J43/J40</f>
        <v>1.4781315446019365</v>
      </c>
      <c r="K45" s="129" t="s">
        <v>63</v>
      </c>
    </row>
    <row r="46" spans="1:13" ht="17.45" customHeight="1">
      <c r="A46" s="764" t="s">
        <v>76</v>
      </c>
      <c r="B46" s="765"/>
      <c r="C46" s="163">
        <f>SUMIF($G$7:$G$31,"Gas",$F$7:$F$31)</f>
        <v>0</v>
      </c>
      <c r="D46" s="117">
        <f>+C46+'26'!D46</f>
        <v>0</v>
      </c>
      <c r="E46" s="142">
        <f t="shared" si="2"/>
        <v>0</v>
      </c>
      <c r="F46" s="321"/>
      <c r="G46" s="322"/>
      <c r="H46" s="187" t="s">
        <v>77</v>
      </c>
      <c r="I46" s="139">
        <f>+SUMIF(Listrik!P34,"&gt;0")</f>
        <v>35518.959999999999</v>
      </c>
      <c r="J46" s="134">
        <f>+I46+'26'!J46</f>
        <v>743236.26</v>
      </c>
      <c r="K46" s="129" t="s">
        <v>78</v>
      </c>
    </row>
    <row r="47" spans="1:13" ht="17.45" customHeight="1">
      <c r="A47" s="764" t="s">
        <v>79</v>
      </c>
      <c r="B47" s="765"/>
      <c r="C47" s="163">
        <f>SUMIF($G$7:$G$31,"Gas",$F$7:$F$31)</f>
        <v>0</v>
      </c>
      <c r="D47" s="117">
        <f>+C47+'26'!D47</f>
        <v>0</v>
      </c>
      <c r="E47" s="142">
        <f t="shared" si="2"/>
        <v>0</v>
      </c>
      <c r="F47" s="321"/>
      <c r="G47" s="322"/>
      <c r="H47" s="187" t="s">
        <v>80</v>
      </c>
      <c r="I47" s="117">
        <f>I46/I38</f>
        <v>877.42298856253547</v>
      </c>
      <c r="J47" s="134">
        <f>J46/J38</f>
        <v>948.41915733649125</v>
      </c>
      <c r="K47" s="129" t="s">
        <v>24</v>
      </c>
    </row>
    <row r="48" spans="1:13" ht="17.45" customHeight="1">
      <c r="A48" s="764" t="s">
        <v>14</v>
      </c>
      <c r="B48" s="765"/>
      <c r="C48" s="163">
        <f>SUMIF($G$7:$G$31,"Start Up",$F$7:$F$31)</f>
        <v>0</v>
      </c>
      <c r="D48" s="117">
        <f>+C48+'26'!D48</f>
        <v>0</v>
      </c>
      <c r="E48" s="142">
        <f t="shared" si="2"/>
        <v>0</v>
      </c>
      <c r="F48" s="321"/>
      <c r="G48" s="322"/>
      <c r="H48" s="187" t="s">
        <v>81</v>
      </c>
      <c r="I48" s="117">
        <f>I46/I40</f>
        <v>873.19517171866164</v>
      </c>
      <c r="J48" s="134">
        <f>J46/J40</f>
        <v>980.80614319968424</v>
      </c>
      <c r="K48" s="129" t="s">
        <v>24</v>
      </c>
    </row>
    <row r="49" spans="1:11" ht="17.45" customHeight="1">
      <c r="A49" s="764" t="s">
        <v>20</v>
      </c>
      <c r="B49" s="765"/>
      <c r="C49" s="163">
        <f>SUMIF($G$7:$G$31,"Others",$F$7:$F$31)</f>
        <v>0</v>
      </c>
      <c r="D49" s="117">
        <f>+C49+'26'!D49</f>
        <v>948</v>
      </c>
      <c r="E49" s="142">
        <f t="shared" si="2"/>
        <v>15.8</v>
      </c>
      <c r="F49" s="184"/>
      <c r="H49" s="187" t="s">
        <v>268</v>
      </c>
      <c r="I49" s="117">
        <f>+Report1!T35</f>
        <v>5535.0343583158747</v>
      </c>
      <c r="J49" s="134">
        <f>+I49+'26'!J49</f>
        <v>98789.922290624585</v>
      </c>
      <c r="K49" s="129" t="s">
        <v>82</v>
      </c>
    </row>
    <row r="50" spans="1:11" ht="17.45" customHeight="1">
      <c r="A50" s="764" t="s">
        <v>19</v>
      </c>
      <c r="B50" s="765"/>
      <c r="C50" s="163">
        <f>SUMIF($G$7:$G$31,"Steam",$F$7:$F$31)</f>
        <v>0</v>
      </c>
      <c r="D50" s="117">
        <f>+C50+'26'!D50</f>
        <v>0</v>
      </c>
      <c r="E50" s="142">
        <f t="shared" si="2"/>
        <v>0</v>
      </c>
      <c r="F50" s="184"/>
      <c r="H50" s="187" t="s">
        <v>83</v>
      </c>
      <c r="I50" s="139">
        <f>I49/I38</f>
        <v>136.73166073752807</v>
      </c>
      <c r="J50" s="132">
        <f>J49/J38</f>
        <v>126.06254551172144</v>
      </c>
      <c r="K50" s="129" t="s">
        <v>82</v>
      </c>
    </row>
    <row r="51" spans="1:11" ht="17.45" customHeight="1" thickBot="1">
      <c r="A51" s="758" t="s">
        <v>84</v>
      </c>
      <c r="B51" s="759"/>
      <c r="C51" s="163">
        <f>SUMIF($G$7:$G$31,"Planned shut",$F$7:$F$31)</f>
        <v>0</v>
      </c>
      <c r="D51" s="117">
        <f>+C51+'26'!D51</f>
        <v>10091</v>
      </c>
      <c r="E51" s="142">
        <f t="shared" si="2"/>
        <v>168.18333333333334</v>
      </c>
      <c r="F51" s="184"/>
      <c r="H51" s="189" t="s">
        <v>85</v>
      </c>
      <c r="I51" s="140">
        <f>I49/I40</f>
        <v>136.07282637155825</v>
      </c>
      <c r="J51" s="135">
        <f>J49/J40</f>
        <v>130.36737829349715</v>
      </c>
      <c r="K51" s="136" t="s">
        <v>82</v>
      </c>
    </row>
    <row r="52" spans="1:11" ht="13.5" thickBot="1">
      <c r="A52" s="760" t="s">
        <v>28</v>
      </c>
      <c r="B52" s="761"/>
      <c r="C52" s="143">
        <f>SUM(C38:C51)</f>
        <v>74</v>
      </c>
      <c r="D52" s="143">
        <f>SUM(D38:D51)</f>
        <v>13053</v>
      </c>
      <c r="E52" s="144">
        <f>SUM(E38:E51)</f>
        <v>217.55</v>
      </c>
      <c r="F52" s="184"/>
      <c r="H52" s="190"/>
      <c r="I52" s="191"/>
      <c r="J52" s="137"/>
      <c r="K52" s="138"/>
    </row>
    <row r="53" spans="1:11" ht="13.5" thickBot="1">
      <c r="A53" s="762"/>
      <c r="B53" s="763"/>
      <c r="C53" s="145">
        <f>C52/(24*60)</f>
        <v>5.1388888888888887E-2</v>
      </c>
      <c r="D53" s="145">
        <f>D52/(24*60*G4)</f>
        <v>0.33572530864197531</v>
      </c>
      <c r="E53" s="146">
        <f>E52/(G4*24)</f>
        <v>0.33572530864197531</v>
      </c>
      <c r="F53" s="184"/>
    </row>
    <row r="54" spans="1:11">
      <c r="E54" s="192"/>
      <c r="F54" s="184"/>
    </row>
    <row r="55" spans="1:11">
      <c r="E55" s="192"/>
    </row>
    <row r="56" spans="1:11">
      <c r="A56" s="193" t="s">
        <v>86</v>
      </c>
      <c r="B56" s="194"/>
      <c r="C56" s="195"/>
      <c r="D56" s="195"/>
      <c r="E56" s="195"/>
      <c r="F56" s="196"/>
      <c r="G56" s="195"/>
      <c r="H56" s="197"/>
      <c r="I56" s="198" t="s">
        <v>87</v>
      </c>
      <c r="J56" s="199">
        <f>+D34+'26'!J56</f>
        <v>1116</v>
      </c>
      <c r="K56" s="200">
        <f>J56/(J40+J56/1000)/1000</f>
        <v>1.470555292747237E-3</v>
      </c>
    </row>
    <row r="57" spans="1:11">
      <c r="A57" s="175"/>
      <c r="I57" s="198" t="s">
        <v>88</v>
      </c>
      <c r="J57" s="199">
        <f>+E34+'26'!J57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A37:B37"/>
    <mergeCell ref="A38:B38"/>
    <mergeCell ref="A24:A32"/>
    <mergeCell ref="I24:I31"/>
    <mergeCell ref="I7:I13"/>
    <mergeCell ref="A15:A23"/>
    <mergeCell ref="I15:I22"/>
    <mergeCell ref="A34:B34"/>
    <mergeCell ref="A7:A14"/>
  </mergeCells>
  <phoneticPr fontId="32" type="noConversion"/>
  <printOptions horizontalCentered="1"/>
  <pageMargins left="0.74791666666666667" right="0.74791666666666667" top="0.39027777777777778" bottom="0.39027777777777778" header="0" footer="0"/>
  <pageSetup paperSize="9" scale="63" firstPageNumber="4294963191" orientation="landscape"/>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topLeftCell="A4" zoomScale="80" zoomScaleNormal="80" workbookViewId="0">
      <selection activeCell="A7" sqref="A7:A32"/>
    </sheetView>
  </sheetViews>
  <sheetFormatPr defaultColWidth="9.140625" defaultRowHeight="12.75"/>
  <cols>
    <col min="1" max="1" width="8" style="148" customWidth="1"/>
    <col min="2" max="2" width="7" style="148" bestFit="1" customWidth="1"/>
    <col min="3" max="3" width="1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4" style="148" bestFit="1" customWidth="1"/>
    <col min="12" max="12" width="8.28515625" style="148" customWidth="1"/>
    <col min="13" max="13" width="17.140625" style="148" customWidth="1"/>
    <col min="14" max="16384" width="9.140625" style="148"/>
  </cols>
  <sheetData>
    <row r="1" spans="1:20" ht="15.75">
      <c r="A1" s="147"/>
    </row>
    <row r="2" spans="1:20" ht="15.75">
      <c r="A2" s="147" t="s">
        <v>182</v>
      </c>
    </row>
    <row r="3" spans="1:20" ht="15">
      <c r="A3" s="149"/>
    </row>
    <row r="4" spans="1:20" ht="20.25">
      <c r="A4" s="150" t="s">
        <v>3</v>
      </c>
      <c r="B4" s="151"/>
      <c r="F4" s="152" t="s">
        <v>29</v>
      </c>
      <c r="G4" s="153">
        <v>26</v>
      </c>
      <c r="H4" s="153" t="str">
        <f>+'1'!H4</f>
        <v>.03.26</v>
      </c>
    </row>
    <row r="5" spans="1:20" ht="13.5" thickBot="1">
      <c r="C5" s="154"/>
      <c r="D5" s="154"/>
    </row>
    <row r="6" spans="1:20"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O6" s="148" t="s">
        <v>614</v>
      </c>
      <c r="P6" s="148">
        <v>1150</v>
      </c>
      <c r="Q6" s="148">
        <f>+P6-(P6*0.24)</f>
        <v>874</v>
      </c>
      <c r="R6" s="148">
        <f>60+54</f>
        <v>114</v>
      </c>
      <c r="S6" s="148">
        <f t="shared" ref="S6:S8" si="0">+P6*R6</f>
        <v>131100</v>
      </c>
      <c r="T6" s="148">
        <f t="shared" ref="T6:T8" si="1">+Q6*R6</f>
        <v>99636</v>
      </c>
    </row>
    <row r="7" spans="1:20" ht="13.5" customHeight="1" thickBot="1">
      <c r="A7" s="770" t="s">
        <v>417</v>
      </c>
      <c r="B7" s="214" t="s">
        <v>623</v>
      </c>
      <c r="C7" s="215">
        <v>6039</v>
      </c>
      <c r="D7" s="216"/>
      <c r="E7" s="217"/>
      <c r="F7" s="227">
        <v>4</v>
      </c>
      <c r="G7" s="228" t="s">
        <v>12</v>
      </c>
      <c r="H7" s="229" t="s">
        <v>467</v>
      </c>
      <c r="I7" s="773" t="s">
        <v>741</v>
      </c>
      <c r="J7" s="213" t="str">
        <f>+'25'!J7</f>
        <v>F 12 VP OW</v>
      </c>
      <c r="K7" s="237"/>
      <c r="L7" s="241"/>
      <c r="M7" s="116">
        <f>+K7+'25'!M7+L7</f>
        <v>136522</v>
      </c>
      <c r="O7" s="148" t="s">
        <v>595</v>
      </c>
      <c r="P7" s="148">
        <v>1160</v>
      </c>
      <c r="Q7" s="148">
        <f>+P7-(P7*0.22)</f>
        <v>904.8</v>
      </c>
      <c r="R7" s="148">
        <f>480-R6</f>
        <v>366</v>
      </c>
      <c r="S7" s="148">
        <f t="shared" si="0"/>
        <v>424560</v>
      </c>
      <c r="T7" s="148">
        <f t="shared" si="1"/>
        <v>331156.8</v>
      </c>
    </row>
    <row r="8" spans="1:20" ht="13.5" thickBot="1">
      <c r="A8" s="771"/>
      <c r="B8" s="214" t="s">
        <v>606</v>
      </c>
      <c r="C8" s="215">
        <v>7222</v>
      </c>
      <c r="D8" s="216"/>
      <c r="E8" s="218"/>
      <c r="F8" s="230"/>
      <c r="G8" s="231" t="s">
        <v>12</v>
      </c>
      <c r="H8" s="229" t="s">
        <v>283</v>
      </c>
      <c r="I8" s="774"/>
      <c r="J8" s="213" t="str">
        <f>+'25'!J8</f>
        <v>F 14 VP OW</v>
      </c>
      <c r="K8" s="238"/>
      <c r="L8" s="238"/>
      <c r="M8" s="116">
        <f>+K8+'25'!M8+L8</f>
        <v>89126</v>
      </c>
      <c r="Q8" s="148">
        <f>+P8-(P8*0.23)</f>
        <v>0</v>
      </c>
      <c r="S8" s="148">
        <f t="shared" si="0"/>
        <v>0</v>
      </c>
      <c r="T8" s="148">
        <f t="shared" si="1"/>
        <v>0</v>
      </c>
    </row>
    <row r="9" spans="1:20" ht="13.5" thickBot="1">
      <c r="A9" s="771"/>
      <c r="B9" s="214"/>
      <c r="C9" s="215"/>
      <c r="D9" s="216"/>
      <c r="E9" s="219"/>
      <c r="F9" s="227">
        <f>33-4</f>
        <v>29</v>
      </c>
      <c r="G9" s="231" t="s">
        <v>12</v>
      </c>
      <c r="H9" s="232" t="s">
        <v>411</v>
      </c>
      <c r="I9" s="774"/>
      <c r="J9" s="213" t="str">
        <f>+'25'!J9</f>
        <v>F 16 VP OW</v>
      </c>
      <c r="K9" s="238"/>
      <c r="L9" s="238"/>
      <c r="M9" s="116">
        <f>+K9+'25'!M9+L9</f>
        <v>104726</v>
      </c>
    </row>
    <row r="10" spans="1:20" ht="51.75" thickBot="1">
      <c r="A10" s="771"/>
      <c r="B10" s="214"/>
      <c r="C10" s="215"/>
      <c r="D10" s="216"/>
      <c r="E10" s="218"/>
      <c r="F10" s="227"/>
      <c r="G10" s="236" t="s">
        <v>13</v>
      </c>
      <c r="H10" s="232" t="s">
        <v>736</v>
      </c>
      <c r="I10" s="774"/>
      <c r="J10" s="213" t="str">
        <f>+'25'!J10</f>
        <v>F 13,5 VP OW</v>
      </c>
      <c r="K10" s="238"/>
      <c r="L10" s="238"/>
      <c r="M10" s="116">
        <f>+K10+'25'!M10+L10</f>
        <v>10827</v>
      </c>
    </row>
    <row r="11" spans="1:20" ht="51.75" thickBot="1">
      <c r="A11" s="771"/>
      <c r="B11" s="214"/>
      <c r="C11" s="215"/>
      <c r="D11" s="216"/>
      <c r="E11" s="218"/>
      <c r="F11" s="227"/>
      <c r="G11" s="231"/>
      <c r="H11" s="232" t="s">
        <v>737</v>
      </c>
      <c r="I11" s="774"/>
      <c r="J11" s="213" t="str">
        <f>+'25'!J11</f>
        <v>F 13 VP OW</v>
      </c>
      <c r="K11" s="238"/>
      <c r="L11" s="238"/>
      <c r="M11" s="116">
        <f>+K11+'25'!M11+L11</f>
        <v>19832</v>
      </c>
    </row>
    <row r="12" spans="1:20" ht="13.5" thickBot="1">
      <c r="A12" s="771"/>
      <c r="B12" s="214"/>
      <c r="C12" s="215"/>
      <c r="D12" s="216"/>
      <c r="E12" s="218"/>
      <c r="F12" s="227"/>
      <c r="G12" s="231"/>
      <c r="H12" s="232"/>
      <c r="I12" s="774"/>
      <c r="J12" s="213" t="str">
        <f>+'25'!J12</f>
        <v>T 14 VP OW</v>
      </c>
      <c r="K12" s="238"/>
      <c r="L12" s="238"/>
      <c r="M12" s="116">
        <f>+K12+'25'!M12+L12</f>
        <v>28770</v>
      </c>
    </row>
    <row r="13" spans="1:20" ht="13.5" thickBot="1">
      <c r="A13" s="771"/>
      <c r="B13" s="214"/>
      <c r="C13" s="215"/>
      <c r="D13" s="215"/>
      <c r="E13" s="218"/>
      <c r="F13" s="227"/>
      <c r="G13" s="231"/>
      <c r="H13" s="232"/>
      <c r="I13" s="775"/>
      <c r="J13" s="213" t="str">
        <f>+'25'!J13</f>
        <v>F 11,5 VP OW</v>
      </c>
      <c r="K13" s="238"/>
      <c r="L13" s="238"/>
      <c r="M13" s="116">
        <f>+K13+'25'!M13+L13</f>
        <v>53931</v>
      </c>
      <c r="R13" s="175">
        <f>SUM(R6:R12)</f>
        <v>480</v>
      </c>
      <c r="S13" s="175">
        <f>SUM(S6:S12)</f>
        <v>555660</v>
      </c>
      <c r="T13" s="175">
        <f>SUM(T6:T12)</f>
        <v>430792.8</v>
      </c>
    </row>
    <row r="14" spans="1:20" ht="13.5" thickBot="1">
      <c r="A14" s="772"/>
      <c r="B14" s="164" t="s">
        <v>2</v>
      </c>
      <c r="C14" s="98">
        <f>SUM(C7:C13)</f>
        <v>13261</v>
      </c>
      <c r="D14" s="110">
        <f>SUM(D7:D13)</f>
        <v>0</v>
      </c>
      <c r="E14" s="111">
        <f>SUM(E5:E13)</f>
        <v>0</v>
      </c>
      <c r="F14" s="115">
        <f>SUM(F7:F13)</f>
        <v>33</v>
      </c>
      <c r="G14" s="158"/>
      <c r="H14" s="165"/>
      <c r="I14" s="166"/>
      <c r="J14" s="213" t="str">
        <f>+'25'!J14</f>
        <v>F 12,5 VP OW</v>
      </c>
      <c r="K14" s="238"/>
      <c r="L14" s="238"/>
      <c r="M14" s="116">
        <f>+K14+'25'!M14+L14</f>
        <v>10132</v>
      </c>
      <c r="R14" s="148">
        <f>480-R13</f>
        <v>0</v>
      </c>
      <c r="S14" s="175">
        <f>+S13/R13</f>
        <v>1157.625</v>
      </c>
      <c r="T14" s="175">
        <f>+T13/R13</f>
        <v>897.48500000000001</v>
      </c>
    </row>
    <row r="15" spans="1:20" ht="13.5" customHeight="1" thickBot="1">
      <c r="A15" s="770" t="s">
        <v>390</v>
      </c>
      <c r="B15" s="164"/>
      <c r="C15" s="112">
        <f>C14/($C$23+$D$23+$E$23)</f>
        <v>0.91341782614685219</v>
      </c>
      <c r="D15" s="113">
        <f>D14/($C$23+$D$23+$E$23)</f>
        <v>0</v>
      </c>
      <c r="E15" s="114">
        <f>E14/($C$23+$D$23+$E$23)</f>
        <v>0</v>
      </c>
      <c r="F15" s="227">
        <v>4</v>
      </c>
      <c r="G15" s="228" t="s">
        <v>12</v>
      </c>
      <c r="H15" s="229" t="s">
        <v>467</v>
      </c>
      <c r="I15" s="773" t="s">
        <v>740</v>
      </c>
      <c r="J15" s="213" t="str">
        <f>+'25'!J15</f>
        <v>T 13 VP OW</v>
      </c>
      <c r="K15" s="238">
        <f>+C8+C16+C25</f>
        <v>34553</v>
      </c>
      <c r="L15" s="238"/>
      <c r="M15" s="116">
        <f>+K15+'25'!M15+L15</f>
        <v>159418</v>
      </c>
      <c r="O15" s="148" t="s">
        <v>595</v>
      </c>
      <c r="P15" s="148">
        <v>1150</v>
      </c>
      <c r="Q15" s="148">
        <f>+P15-(P15*0.22)</f>
        <v>897</v>
      </c>
      <c r="R15" s="148">
        <v>480</v>
      </c>
      <c r="S15" s="148">
        <f t="shared" ref="S15:S17" si="2">+P15*R15</f>
        <v>552000</v>
      </c>
      <c r="T15" s="148">
        <f t="shared" ref="T15:T17" si="3">+Q15*R15</f>
        <v>430560</v>
      </c>
    </row>
    <row r="16" spans="1:20" ht="13.5" thickBot="1">
      <c r="A16" s="776"/>
      <c r="B16" s="214" t="s">
        <v>606</v>
      </c>
      <c r="C16" s="221">
        <v>14518</v>
      </c>
      <c r="D16" s="222"/>
      <c r="E16" s="223"/>
      <c r="F16" s="230"/>
      <c r="G16" s="231" t="s">
        <v>12</v>
      </c>
      <c r="H16" s="229" t="s">
        <v>283</v>
      </c>
      <c r="I16" s="774"/>
      <c r="J16" s="213" t="str">
        <f>+'25'!J16</f>
        <v>T 12,5 VP OW</v>
      </c>
      <c r="K16" s="228">
        <f>+C7</f>
        <v>6039</v>
      </c>
      <c r="L16" s="228"/>
      <c r="M16" s="116">
        <f>+K16+'25'!M16+L16</f>
        <v>103820</v>
      </c>
      <c r="R16" s="148">
        <f>480-R15</f>
        <v>0</v>
      </c>
      <c r="S16" s="148">
        <f t="shared" si="2"/>
        <v>0</v>
      </c>
      <c r="T16" s="148">
        <f t="shared" si="3"/>
        <v>0</v>
      </c>
    </row>
    <row r="17" spans="1:26" ht="13.5" thickBot="1">
      <c r="A17" s="776"/>
      <c r="B17" s="214"/>
      <c r="C17" s="215"/>
      <c r="D17" s="216"/>
      <c r="E17" s="224"/>
      <c r="F17" s="227">
        <v>20</v>
      </c>
      <c r="G17" s="231" t="s">
        <v>12</v>
      </c>
      <c r="H17" s="232" t="s">
        <v>385</v>
      </c>
      <c r="I17" s="774"/>
      <c r="J17" s="213">
        <f>+'25'!J17</f>
        <v>0</v>
      </c>
      <c r="K17" s="228"/>
      <c r="L17" s="228"/>
      <c r="M17" s="116">
        <f>+K17+'25'!M17+L17</f>
        <v>0</v>
      </c>
      <c r="Q17" s="148">
        <f>+P17-(P17*0.23)</f>
        <v>0</v>
      </c>
      <c r="S17" s="148">
        <f t="shared" si="2"/>
        <v>0</v>
      </c>
      <c r="T17" s="148">
        <f t="shared" si="3"/>
        <v>0</v>
      </c>
    </row>
    <row r="18" spans="1:26" ht="26.25" thickBot="1">
      <c r="A18" s="776"/>
      <c r="B18" s="214"/>
      <c r="C18" s="215"/>
      <c r="D18" s="216"/>
      <c r="E18" s="224"/>
      <c r="F18" s="227"/>
      <c r="G18" s="236" t="s">
        <v>13</v>
      </c>
      <c r="H18" s="232" t="s">
        <v>735</v>
      </c>
      <c r="I18" s="774"/>
      <c r="J18" s="213">
        <f>+'25'!J18</f>
        <v>0</v>
      </c>
      <c r="K18" s="238"/>
      <c r="L18" s="238"/>
      <c r="M18" s="116">
        <f>+K18+'25'!M18+L18</f>
        <v>0</v>
      </c>
    </row>
    <row r="19" spans="1:26" ht="13.5" thickBot="1">
      <c r="A19" s="776"/>
      <c r="B19" s="214"/>
      <c r="C19" s="215"/>
      <c r="D19" s="216"/>
      <c r="E19" s="224"/>
      <c r="F19" s="234"/>
      <c r="G19" s="231"/>
      <c r="H19" s="232" t="s">
        <v>738</v>
      </c>
      <c r="I19" s="774"/>
      <c r="J19" s="213">
        <f>+'25'!J19</f>
        <v>0</v>
      </c>
      <c r="K19" s="238"/>
      <c r="L19" s="238"/>
      <c r="M19" s="116">
        <f>+K19+'25'!M19+L19</f>
        <v>0</v>
      </c>
    </row>
    <row r="20" spans="1:26" ht="13.5" thickBot="1">
      <c r="A20" s="776"/>
      <c r="B20" s="214"/>
      <c r="C20" s="215"/>
      <c r="D20" s="216"/>
      <c r="E20" s="224"/>
      <c r="F20" s="227"/>
      <c r="G20" s="231"/>
      <c r="H20" s="232"/>
      <c r="I20" s="774"/>
      <c r="J20" s="213">
        <f>+'25'!J20</f>
        <v>0</v>
      </c>
      <c r="K20" s="239"/>
      <c r="L20" s="239"/>
      <c r="M20" s="116">
        <f>+K20+'25'!M20+L20</f>
        <v>0</v>
      </c>
    </row>
    <row r="21" spans="1:26" ht="13.5" thickBot="1">
      <c r="A21" s="776"/>
      <c r="B21" s="214"/>
      <c r="C21" s="215"/>
      <c r="D21" s="216"/>
      <c r="E21" s="224"/>
      <c r="F21" s="230"/>
      <c r="G21" s="231"/>
      <c r="H21" s="232"/>
      <c r="I21" s="774"/>
      <c r="J21" s="213">
        <f>+'25'!J21</f>
        <v>0</v>
      </c>
      <c r="K21" s="238"/>
      <c r="L21" s="238"/>
      <c r="M21" s="116">
        <f>+K21+'25'!M21+L21</f>
        <v>0</v>
      </c>
    </row>
    <row r="22" spans="1:26" ht="13.5" thickBot="1">
      <c r="A22" s="776"/>
      <c r="B22" s="214"/>
      <c r="C22" s="215"/>
      <c r="D22" s="216"/>
      <c r="E22" s="224"/>
      <c r="F22" s="235"/>
      <c r="G22" s="231"/>
      <c r="H22" s="232"/>
      <c r="I22" s="775"/>
      <c r="J22" s="213">
        <f>+'25'!J22</f>
        <v>0</v>
      </c>
      <c r="K22" s="238"/>
      <c r="L22" s="238"/>
      <c r="M22" s="116">
        <f>+K22+'25'!M22+L22</f>
        <v>0</v>
      </c>
      <c r="R22" s="175">
        <f>SUM(R15:R21)</f>
        <v>480</v>
      </c>
      <c r="S22" s="175">
        <f>SUM(S15:S21)</f>
        <v>552000</v>
      </c>
      <c r="T22" s="175">
        <f>SUM(T15:T21)</f>
        <v>430560</v>
      </c>
    </row>
    <row r="23" spans="1:26" ht="13.5" thickBot="1">
      <c r="A23" s="777"/>
      <c r="B23" s="167" t="s">
        <v>2</v>
      </c>
      <c r="C23" s="99">
        <f>SUM(C16:C22)</f>
        <v>14518</v>
      </c>
      <c r="D23" s="110">
        <f>SUM(D16:D22)</f>
        <v>0</v>
      </c>
      <c r="E23" s="111">
        <f>SUM(E18:E22)</f>
        <v>0</v>
      </c>
      <c r="F23" s="115">
        <f>SUM(F15:F22)</f>
        <v>24</v>
      </c>
      <c r="G23" s="158"/>
      <c r="H23" s="165"/>
      <c r="I23" s="168"/>
      <c r="J23" s="213">
        <f>+'25'!J23</f>
        <v>0</v>
      </c>
      <c r="K23" s="238"/>
      <c r="L23" s="238"/>
      <c r="M23" s="116">
        <f>+K23+'25'!M23+L23</f>
        <v>0</v>
      </c>
      <c r="R23" s="148">
        <f>480-R22</f>
        <v>0</v>
      </c>
      <c r="S23" s="175">
        <f>+S22/R22</f>
        <v>1150</v>
      </c>
      <c r="T23" s="175">
        <f>+T22/R22</f>
        <v>897</v>
      </c>
    </row>
    <row r="24" spans="1:26" ht="13.5" customHeight="1" thickBot="1">
      <c r="A24" s="770" t="s">
        <v>391</v>
      </c>
      <c r="B24" s="169"/>
      <c r="C24" s="112">
        <f>C23/($C$23+$D$23+$E$23)</f>
        <v>1</v>
      </c>
      <c r="D24" s="113">
        <f>D23/($C$23+$D$23+$E$23)</f>
        <v>0</v>
      </c>
      <c r="E24" s="114">
        <f>E23/($C$23+$D$23+$E$23)</f>
        <v>0</v>
      </c>
      <c r="F24" s="227">
        <v>4</v>
      </c>
      <c r="G24" s="228" t="s">
        <v>12</v>
      </c>
      <c r="H24" s="229" t="s">
        <v>467</v>
      </c>
      <c r="I24" s="773" t="s">
        <v>740</v>
      </c>
      <c r="J24" s="213">
        <f>+'25'!J24</f>
        <v>0</v>
      </c>
      <c r="K24" s="238"/>
      <c r="L24" s="238"/>
      <c r="M24" s="116">
        <f>+K24+'25'!M24+L24</f>
        <v>0</v>
      </c>
    </row>
    <row r="25" spans="1:26" ht="13.5" thickBot="1">
      <c r="A25" s="776"/>
      <c r="B25" s="214" t="s">
        <v>606</v>
      </c>
      <c r="C25" s="225">
        <v>12813</v>
      </c>
      <c r="D25" s="216"/>
      <c r="E25" s="224"/>
      <c r="F25" s="230"/>
      <c r="G25" s="231" t="s">
        <v>12</v>
      </c>
      <c r="H25" s="229" t="s">
        <v>283</v>
      </c>
      <c r="I25" s="774"/>
      <c r="J25" s="213">
        <f>+'25'!J25</f>
        <v>0</v>
      </c>
      <c r="K25" s="238"/>
      <c r="L25" s="238"/>
      <c r="M25" s="116">
        <f>+K25+'25'!M25+L25</f>
        <v>0</v>
      </c>
      <c r="O25" s="148" t="s">
        <v>595</v>
      </c>
      <c r="P25" s="148">
        <v>1150</v>
      </c>
      <c r="Q25" s="148">
        <f>+P25-(P25*0.22)</f>
        <v>897</v>
      </c>
      <c r="R25" s="148">
        <v>480</v>
      </c>
      <c r="S25" s="148">
        <f t="shared" ref="S25:S27" si="4">+P25*R25</f>
        <v>552000</v>
      </c>
      <c r="T25" s="148">
        <f t="shared" ref="T25:T27" si="5">+Q25*R25</f>
        <v>430560</v>
      </c>
      <c r="U25" s="148" t="s">
        <v>595</v>
      </c>
      <c r="V25" s="148">
        <v>1160</v>
      </c>
      <c r="W25" s="148">
        <v>904.8</v>
      </c>
      <c r="X25" s="148">
        <v>366</v>
      </c>
      <c r="Y25" s="148">
        <f t="shared" ref="Y25:Y27" si="6">+V25*X25</f>
        <v>424560</v>
      </c>
      <c r="Z25" s="148">
        <f t="shared" ref="Z25:Z27" si="7">+W25*X25</f>
        <v>331156.8</v>
      </c>
    </row>
    <row r="26" spans="1:26" ht="13.5" thickBot="1">
      <c r="A26" s="776"/>
      <c r="B26" s="214"/>
      <c r="C26" s="225"/>
      <c r="D26" s="216"/>
      <c r="E26" s="226"/>
      <c r="F26" s="227">
        <f>26-4</f>
        <v>22</v>
      </c>
      <c r="G26" s="231" t="s">
        <v>12</v>
      </c>
      <c r="H26" s="232" t="s">
        <v>482</v>
      </c>
      <c r="I26" s="774"/>
      <c r="J26" s="213">
        <f>+'25'!J26</f>
        <v>0</v>
      </c>
      <c r="K26" s="238"/>
      <c r="L26" s="238"/>
      <c r="M26" s="116">
        <f>+K26+'25'!M26+L26</f>
        <v>0</v>
      </c>
      <c r="R26" s="148">
        <f>480-R25</f>
        <v>0</v>
      </c>
      <c r="S26" s="148">
        <f t="shared" si="4"/>
        <v>0</v>
      </c>
      <c r="T26" s="148">
        <f t="shared" si="5"/>
        <v>0</v>
      </c>
      <c r="U26" s="148" t="s">
        <v>595</v>
      </c>
      <c r="V26" s="148">
        <v>1150</v>
      </c>
      <c r="W26" s="148">
        <v>897</v>
      </c>
      <c r="X26" s="148">
        <v>480</v>
      </c>
      <c r="Y26" s="148">
        <f t="shared" si="6"/>
        <v>552000</v>
      </c>
      <c r="Z26" s="148">
        <f t="shared" si="7"/>
        <v>430560</v>
      </c>
    </row>
    <row r="27" spans="1:26" ht="26.25" thickBot="1">
      <c r="A27" s="776"/>
      <c r="B27" s="214"/>
      <c r="C27" s="215"/>
      <c r="D27" s="216"/>
      <c r="E27" s="224"/>
      <c r="F27" s="227"/>
      <c r="G27" s="236" t="s">
        <v>13</v>
      </c>
      <c r="H27" s="232" t="s">
        <v>735</v>
      </c>
      <c r="I27" s="774"/>
      <c r="J27" s="213">
        <f>+'25'!J27</f>
        <v>0</v>
      </c>
      <c r="K27" s="238"/>
      <c r="L27" s="238"/>
      <c r="M27" s="116">
        <f>+K27+'25'!M27+L27</f>
        <v>0</v>
      </c>
      <c r="Q27" s="148">
        <f>+P27-(P27*0.23)</f>
        <v>0</v>
      </c>
      <c r="S27" s="148">
        <f t="shared" si="4"/>
        <v>0</v>
      </c>
      <c r="T27" s="148">
        <f t="shared" si="5"/>
        <v>0</v>
      </c>
      <c r="U27" s="148" t="s">
        <v>595</v>
      </c>
      <c r="V27" s="148">
        <v>1150</v>
      </c>
      <c r="W27" s="148">
        <v>897</v>
      </c>
      <c r="X27" s="148">
        <v>480</v>
      </c>
      <c r="Y27" s="148">
        <f t="shared" si="6"/>
        <v>552000</v>
      </c>
      <c r="Z27" s="148">
        <f t="shared" si="7"/>
        <v>430560</v>
      </c>
    </row>
    <row r="28" spans="1:26" ht="13.5" customHeight="1" thickBot="1">
      <c r="A28" s="776"/>
      <c r="B28" s="214"/>
      <c r="C28" s="215"/>
      <c r="D28" s="216"/>
      <c r="E28" s="224"/>
      <c r="F28" s="230"/>
      <c r="G28" s="231"/>
      <c r="H28" s="232" t="s">
        <v>739</v>
      </c>
      <c r="I28" s="774"/>
      <c r="J28" s="213">
        <f>+'25'!J28</f>
        <v>0</v>
      </c>
      <c r="K28" s="238"/>
      <c r="L28" s="238"/>
      <c r="M28" s="116">
        <f>+K28+'25'!M28+L28</f>
        <v>0</v>
      </c>
    </row>
    <row r="29" spans="1:26" ht="13.5" thickBot="1">
      <c r="A29" s="776"/>
      <c r="B29" s="214"/>
      <c r="C29" s="215"/>
      <c r="D29" s="216"/>
      <c r="E29" s="224"/>
      <c r="F29" s="235"/>
      <c r="G29" s="231"/>
      <c r="H29" s="232"/>
      <c r="I29" s="774"/>
      <c r="J29" s="213">
        <f>+'25'!J29</f>
        <v>0</v>
      </c>
      <c r="K29" s="238"/>
      <c r="L29" s="238"/>
      <c r="M29" s="116">
        <f>+K29+'25'!M29+L29</f>
        <v>0</v>
      </c>
    </row>
    <row r="30" spans="1:26" ht="13.5" thickBot="1">
      <c r="A30" s="776"/>
      <c r="B30" s="214"/>
      <c r="C30" s="225"/>
      <c r="D30" s="216"/>
      <c r="E30" s="224"/>
      <c r="F30" s="235"/>
      <c r="G30" s="231"/>
      <c r="H30" s="232"/>
      <c r="I30" s="774"/>
      <c r="J30" s="213">
        <f>+'25'!J30</f>
        <v>0</v>
      </c>
      <c r="K30" s="238"/>
      <c r="L30" s="238"/>
      <c r="M30" s="116">
        <f>+K30+'25'!M30+L30</f>
        <v>0</v>
      </c>
    </row>
    <row r="31" spans="1:26" ht="13.5" thickBot="1">
      <c r="A31" s="776"/>
      <c r="B31" s="214"/>
      <c r="C31" s="225"/>
      <c r="D31" s="216"/>
      <c r="E31" s="224"/>
      <c r="F31" s="235"/>
      <c r="G31" s="236"/>
      <c r="H31" s="443"/>
      <c r="I31" s="775"/>
      <c r="J31" s="213">
        <f>+'25'!J31</f>
        <v>0</v>
      </c>
      <c r="K31" s="238"/>
      <c r="L31" s="238"/>
      <c r="M31" s="116">
        <f>+K31+'25'!M31+L31</f>
        <v>0</v>
      </c>
    </row>
    <row r="32" spans="1:26" ht="13.5" thickBot="1">
      <c r="A32" s="777"/>
      <c r="B32" s="164" t="s">
        <v>2</v>
      </c>
      <c r="C32" s="98">
        <f>SUM(C25:C31)</f>
        <v>12813</v>
      </c>
      <c r="D32" s="99">
        <f>SUM(D25:D31)</f>
        <v>0</v>
      </c>
      <c r="E32" s="100">
        <f>SUM(E25:E31)</f>
        <v>0</v>
      </c>
      <c r="F32" s="101">
        <f>SUM(F24:F31)</f>
        <v>26</v>
      </c>
      <c r="G32" s="170"/>
      <c r="H32" s="171"/>
      <c r="I32" s="168"/>
      <c r="J32" s="213">
        <f>+'25'!J32</f>
        <v>0</v>
      </c>
      <c r="K32" s="240"/>
      <c r="L32" s="242"/>
      <c r="M32" s="116">
        <f>+K32+'25'!M32+L32</f>
        <v>0</v>
      </c>
      <c r="R32" s="175">
        <f>SUM(R25:R31)</f>
        <v>480</v>
      </c>
      <c r="S32" s="175">
        <f>SUM(S25:S31)</f>
        <v>552000</v>
      </c>
      <c r="T32" s="175">
        <f>SUM(T25:T31)</f>
        <v>430560</v>
      </c>
      <c r="X32" s="175">
        <f>SUM(X25:X31)</f>
        <v>1326</v>
      </c>
      <c r="Y32" s="175">
        <f>SUM(Y25:Y31)</f>
        <v>1528560</v>
      </c>
      <c r="Z32" s="175">
        <f>SUM(Z25:Z31)</f>
        <v>1192276.8</v>
      </c>
    </row>
    <row r="33" spans="1:26" ht="13.5" thickBot="1">
      <c r="A33" s="172"/>
      <c r="B33" s="173"/>
      <c r="C33" s="102">
        <f>C32/($C$32+$D$32+$E$32)</f>
        <v>1</v>
      </c>
      <c r="D33" s="103">
        <f>D32/($C$32+$D$32+$E$32)</f>
        <v>0</v>
      </c>
      <c r="E33" s="104">
        <f>E32/($C$32+$D$32+$E$32)</f>
        <v>0</v>
      </c>
      <c r="F33" s="105"/>
      <c r="G33" s="174"/>
      <c r="H33" s="175"/>
      <c r="I33" s="176"/>
      <c r="J33" s="120"/>
      <c r="K33" s="121"/>
      <c r="L33" s="212"/>
      <c r="M33" s="118"/>
      <c r="R33" s="148">
        <f>480-R32</f>
        <v>0</v>
      </c>
      <c r="S33" s="175">
        <f>+S32/R32</f>
        <v>1150</v>
      </c>
      <c r="T33" s="175">
        <f>+T32/R32</f>
        <v>897</v>
      </c>
      <c r="X33" s="148">
        <f>480-X32</f>
        <v>-846</v>
      </c>
      <c r="Y33" s="175">
        <f>+Y32/X32</f>
        <v>1152.7601809954751</v>
      </c>
      <c r="Z33" s="175">
        <f>+Z32/X32</f>
        <v>899.15294117647068</v>
      </c>
    </row>
    <row r="34" spans="1:26" ht="13.5" thickBot="1">
      <c r="A34" s="766" t="s">
        <v>57</v>
      </c>
      <c r="B34" s="767"/>
      <c r="C34" s="106">
        <f>C14+C23+C32</f>
        <v>40592</v>
      </c>
      <c r="D34" s="106">
        <f>D14+D23+D32</f>
        <v>0</v>
      </c>
      <c r="E34" s="106">
        <f>E14+E23+E32</f>
        <v>0</v>
      </c>
      <c r="F34" s="107">
        <f>F14+F23+F32</f>
        <v>83</v>
      </c>
      <c r="H34" s="177"/>
      <c r="I34" s="177"/>
      <c r="J34" s="122" t="s">
        <v>28</v>
      </c>
      <c r="K34" s="123">
        <f>SUM(K7:K32)</f>
        <v>40592</v>
      </c>
      <c r="L34" s="211">
        <f>SUM(L7:L32)</f>
        <v>0</v>
      </c>
      <c r="M34" s="119">
        <f>SUM(M7:M32)</f>
        <v>717104</v>
      </c>
    </row>
    <row r="35" spans="1:26" ht="13.5" thickBot="1">
      <c r="A35" s="178"/>
      <c r="B35" s="179"/>
      <c r="C35" s="103">
        <f>C34/($C$34+$D$34+$E$34)</f>
        <v>1</v>
      </c>
      <c r="D35" s="103">
        <f>D34/($C$34+$D$34+$E$34)</f>
        <v>0</v>
      </c>
      <c r="E35" s="108">
        <f>E34/($C$34+$D$34+$E$34)</f>
        <v>0</v>
      </c>
      <c r="K35" s="154"/>
    </row>
    <row r="36" spans="1:26" ht="13.5" thickBot="1">
      <c r="A36" s="177"/>
      <c r="B36" s="177"/>
      <c r="C36" s="154"/>
      <c r="D36" s="154"/>
      <c r="E36" s="154"/>
      <c r="G36" s="154"/>
      <c r="H36" s="180"/>
      <c r="I36" s="161" t="s">
        <v>37</v>
      </c>
      <c r="J36" s="161" t="s">
        <v>38</v>
      </c>
      <c r="K36" s="181"/>
      <c r="O36" s="148" t="s">
        <v>614</v>
      </c>
      <c r="P36" s="148">
        <v>1150</v>
      </c>
      <c r="Q36" s="148">
        <v>874</v>
      </c>
      <c r="R36" s="148">
        <v>114</v>
      </c>
    </row>
    <row r="37" spans="1:26" ht="17.45" customHeight="1" thickBot="1">
      <c r="A37" s="768" t="s">
        <v>58</v>
      </c>
      <c r="B37" s="769"/>
      <c r="C37" s="161" t="s">
        <v>59</v>
      </c>
      <c r="D37" s="182" t="s">
        <v>60</v>
      </c>
      <c r="E37" s="183" t="s">
        <v>61</v>
      </c>
      <c r="F37" s="321"/>
      <c r="G37" s="323"/>
      <c r="H37" s="185" t="s">
        <v>62</v>
      </c>
      <c r="I37" s="243">
        <f>(12.5*114+13*1326)/1440*G42*2.74*1440/1000000</f>
        <v>45.877815226900012</v>
      </c>
      <c r="J37" s="124">
        <f>+I37+'25'!J37</f>
        <v>852.95732480042136</v>
      </c>
      <c r="K37" s="125" t="s">
        <v>63</v>
      </c>
      <c r="O37" s="148" t="s">
        <v>595</v>
      </c>
      <c r="P37" s="148">
        <v>1152.7601809954751</v>
      </c>
      <c r="Q37" s="148">
        <v>899.15294117647068</v>
      </c>
      <c r="R37" s="148">
        <v>1326</v>
      </c>
    </row>
    <row r="38" spans="1:26" ht="17.45" customHeight="1">
      <c r="A38" s="760" t="s">
        <v>12</v>
      </c>
      <c r="B38" s="761"/>
      <c r="C38" s="163">
        <f>SUMIF($G$7:$G$31,"Process",$F$7:$F$31)</f>
        <v>83</v>
      </c>
      <c r="D38" s="117">
        <f>+C38+'25'!D38</f>
        <v>1465</v>
      </c>
      <c r="E38" s="142">
        <f t="shared" ref="E38:E51" si="8">D38/60</f>
        <v>24.416666666666668</v>
      </c>
      <c r="F38" s="321">
        <v>1157.625</v>
      </c>
      <c r="G38" s="321">
        <v>897.48500000000001</v>
      </c>
      <c r="H38" s="186" t="s">
        <v>64</v>
      </c>
      <c r="I38" s="244">
        <f>11.132+14.605+12.813</f>
        <v>38.550000000000004</v>
      </c>
      <c r="J38" s="126">
        <f>+I38+'25'!J38</f>
        <v>743.17699999999991</v>
      </c>
      <c r="K38" s="127" t="s">
        <v>63</v>
      </c>
    </row>
    <row r="39" spans="1:26" ht="17.45" customHeight="1">
      <c r="A39" s="764" t="s">
        <v>13</v>
      </c>
      <c r="B39" s="765"/>
      <c r="C39" s="163">
        <f>SUMIF($G$7:$G$31,"Cleaning",$F$7:$F$31)</f>
        <v>0</v>
      </c>
      <c r="D39" s="117">
        <f>+C39+'25'!D39</f>
        <v>0</v>
      </c>
      <c r="E39" s="142">
        <f t="shared" si="8"/>
        <v>0</v>
      </c>
      <c r="F39" s="321">
        <v>1150</v>
      </c>
      <c r="G39" s="321">
        <v>897</v>
      </c>
      <c r="H39" s="186" t="s">
        <v>65</v>
      </c>
      <c r="I39" s="141"/>
      <c r="J39" s="128">
        <f>J37/G4</f>
        <v>32.806050953862361</v>
      </c>
      <c r="K39" s="129" t="s">
        <v>63</v>
      </c>
    </row>
    <row r="40" spans="1:26" ht="17.45" customHeight="1">
      <c r="A40" s="764" t="s">
        <v>66</v>
      </c>
      <c r="B40" s="765"/>
      <c r="C40" s="163">
        <f>SUMIF($G$7:$G$31,"Mechanical",$F$7:$F$31)</f>
        <v>0</v>
      </c>
      <c r="D40" s="117">
        <f>+C40+'25'!D40</f>
        <v>0</v>
      </c>
      <c r="E40" s="142">
        <f t="shared" si="8"/>
        <v>0</v>
      </c>
      <c r="F40" s="321">
        <v>1150</v>
      </c>
      <c r="G40" s="321">
        <v>897</v>
      </c>
      <c r="H40" s="186" t="s">
        <v>67</v>
      </c>
      <c r="I40" s="117">
        <f>(K34+L34)/1000</f>
        <v>40.591999999999999</v>
      </c>
      <c r="J40" s="130">
        <f>+I40+'25'!J40</f>
        <v>717.10400000000004</v>
      </c>
      <c r="K40" s="129" t="s">
        <v>63</v>
      </c>
    </row>
    <row r="41" spans="1:26" ht="17.45" customHeight="1">
      <c r="A41" s="764" t="s">
        <v>68</v>
      </c>
      <c r="B41" s="765"/>
      <c r="C41" s="163">
        <f>SUMIF($G$7:$G$31,"Electrical",$F$7:$F$31)</f>
        <v>0</v>
      </c>
      <c r="D41" s="117">
        <f>+C41+'25'!D41</f>
        <v>475</v>
      </c>
      <c r="E41" s="142">
        <f t="shared" si="8"/>
        <v>7.916666666666667</v>
      </c>
      <c r="F41" s="321"/>
      <c r="G41" s="321"/>
      <c r="H41" s="186" t="s">
        <v>69</v>
      </c>
      <c r="I41" s="141"/>
      <c r="J41" s="128">
        <f>J40/G4</f>
        <v>27.580923076923078</v>
      </c>
      <c r="K41" s="129" t="s">
        <v>63</v>
      </c>
    </row>
    <row r="42" spans="1:26" ht="17.45" customHeight="1">
      <c r="A42" s="764" t="s">
        <v>16</v>
      </c>
      <c r="B42" s="765"/>
      <c r="C42" s="163">
        <f>SUMIF($G$7:$G$31,"Instrument",$F$7:$F$31)</f>
        <v>0</v>
      </c>
      <c r="D42" s="117">
        <f>+C42+'25'!D42</f>
        <v>0</v>
      </c>
      <c r="E42" s="142">
        <f t="shared" si="8"/>
        <v>0</v>
      </c>
      <c r="F42" s="321">
        <f>+(480*F38+480*F39+480*F40)/1440</f>
        <v>1152.5416666666667</v>
      </c>
      <c r="G42" s="321">
        <f>+(480*G38+480*G39+480*G40)/1440</f>
        <v>897.16166666666675</v>
      </c>
      <c r="H42" s="186" t="s">
        <v>70</v>
      </c>
      <c r="I42" s="245" t="s">
        <v>742</v>
      </c>
      <c r="J42" s="131"/>
      <c r="K42" s="129" t="s">
        <v>71</v>
      </c>
    </row>
    <row r="43" spans="1:26" ht="17.45" customHeight="1">
      <c r="A43" s="764" t="s">
        <v>72</v>
      </c>
      <c r="B43" s="765"/>
      <c r="C43" s="163">
        <f>SUMIF($G$7:$G$31,"Water",$F$7:$F$31)</f>
        <v>0</v>
      </c>
      <c r="D43" s="117">
        <f>+C43+'25'!D43</f>
        <v>0</v>
      </c>
      <c r="E43" s="142">
        <f t="shared" si="8"/>
        <v>0</v>
      </c>
      <c r="F43" s="321"/>
      <c r="G43" s="322"/>
      <c r="H43" s="187" t="s">
        <v>73</v>
      </c>
      <c r="I43" s="117">
        <f>+Report1!Z34</f>
        <v>60.5</v>
      </c>
      <c r="J43" s="132">
        <f>+I43+'25'!J43</f>
        <v>1061.3000000000002</v>
      </c>
      <c r="K43" s="129" t="s">
        <v>63</v>
      </c>
      <c r="L43" s="188"/>
    </row>
    <row r="44" spans="1:26" ht="17.45" customHeight="1">
      <c r="A44" s="764" t="s">
        <v>17</v>
      </c>
      <c r="B44" s="765"/>
      <c r="C44" s="163">
        <f>SUMIF($G$7:$G$31,"PLN",$F$7:$F$31)</f>
        <v>0</v>
      </c>
      <c r="D44" s="117">
        <f>+C44+'25'!D44</f>
        <v>0</v>
      </c>
      <c r="E44" s="142">
        <f t="shared" si="8"/>
        <v>0</v>
      </c>
      <c r="F44" s="321"/>
      <c r="G44" s="322"/>
      <c r="H44" s="187" t="s">
        <v>74</v>
      </c>
      <c r="I44" s="117">
        <f>I43/I38</f>
        <v>1.5693904020752267</v>
      </c>
      <c r="J44" s="133">
        <f>J43/J38</f>
        <v>1.4280581880225038</v>
      </c>
      <c r="K44" s="129" t="s">
        <v>63</v>
      </c>
    </row>
    <row r="45" spans="1:26" ht="17.45" customHeight="1">
      <c r="A45" s="764" t="s">
        <v>18</v>
      </c>
      <c r="B45" s="765"/>
      <c r="C45" s="163">
        <f>SUMIF($G$7:$G$31,"Boiler",$F$7:$F$31)</f>
        <v>0</v>
      </c>
      <c r="D45" s="117">
        <f>+C45+'25'!D45</f>
        <v>0</v>
      </c>
      <c r="E45" s="142">
        <f t="shared" si="8"/>
        <v>0</v>
      </c>
      <c r="F45" s="321"/>
      <c r="G45" s="324"/>
      <c r="H45" s="187" t="s">
        <v>75</v>
      </c>
      <c r="I45" s="117">
        <f>I43/I40</f>
        <v>1.4904414662987782</v>
      </c>
      <c r="J45" s="133">
        <f>J43/J40</f>
        <v>1.4799805885896609</v>
      </c>
      <c r="K45" s="129" t="s">
        <v>63</v>
      </c>
    </row>
    <row r="46" spans="1:26" ht="17.45" customHeight="1">
      <c r="A46" s="764" t="s">
        <v>76</v>
      </c>
      <c r="B46" s="765"/>
      <c r="C46" s="163">
        <f>SUMIF($G$7:$G$31,"Gas",$F$7:$F$31)</f>
        <v>0</v>
      </c>
      <c r="D46" s="117">
        <f>+C46+'25'!D46</f>
        <v>0</v>
      </c>
      <c r="E46" s="142">
        <f t="shared" si="8"/>
        <v>0</v>
      </c>
      <c r="F46" s="321"/>
      <c r="G46" s="322"/>
      <c r="H46" s="187" t="s">
        <v>77</v>
      </c>
      <c r="I46" s="139">
        <f>+SUMIF(Listrik!P33,"&gt;0")</f>
        <v>37028.599999999271</v>
      </c>
      <c r="J46" s="134">
        <f>+I46+'25'!J46</f>
        <v>707717.3</v>
      </c>
      <c r="K46" s="129" t="s">
        <v>78</v>
      </c>
    </row>
    <row r="47" spans="1:26" ht="17.45" customHeight="1">
      <c r="A47" s="764" t="s">
        <v>79</v>
      </c>
      <c r="B47" s="765"/>
      <c r="C47" s="163">
        <f>SUMIF($G$7:$G$31,"Gas",$F$7:$F$31)</f>
        <v>0</v>
      </c>
      <c r="D47" s="117">
        <f>+C47+'25'!D47</f>
        <v>0</v>
      </c>
      <c r="E47" s="142">
        <f t="shared" si="8"/>
        <v>0</v>
      </c>
      <c r="F47" s="321"/>
      <c r="G47" s="322"/>
      <c r="H47" s="187" t="s">
        <v>80</v>
      </c>
      <c r="I47" s="117">
        <f>I46/I38</f>
        <v>960.53437094680328</v>
      </c>
      <c r="J47" s="134">
        <f>J46/J38</f>
        <v>952.28633286552213</v>
      </c>
      <c r="K47" s="129" t="s">
        <v>24</v>
      </c>
    </row>
    <row r="48" spans="1:26" ht="17.45" customHeight="1">
      <c r="A48" s="764" t="s">
        <v>14</v>
      </c>
      <c r="B48" s="765"/>
      <c r="C48" s="163">
        <f>SUMIF($G$7:$G$31,"Start Up",$F$7:$F$31)</f>
        <v>0</v>
      </c>
      <c r="D48" s="117">
        <f>+C48+'25'!D48</f>
        <v>0</v>
      </c>
      <c r="E48" s="142">
        <f t="shared" si="8"/>
        <v>0</v>
      </c>
      <c r="F48" s="321"/>
      <c r="G48" s="322"/>
      <c r="H48" s="187" t="s">
        <v>81</v>
      </c>
      <c r="I48" s="117">
        <f>I46/I40</f>
        <v>912.2142294047909</v>
      </c>
      <c r="J48" s="134">
        <f>J46/J40</f>
        <v>986.91026685111228</v>
      </c>
      <c r="K48" s="129" t="s">
        <v>24</v>
      </c>
    </row>
    <row r="49" spans="1:11" ht="17.45" customHeight="1">
      <c r="A49" s="764" t="s">
        <v>20</v>
      </c>
      <c r="B49" s="765"/>
      <c r="C49" s="163">
        <f>SUMIF($G$7:$G$31,"Others",$F$7:$F$31)</f>
        <v>0</v>
      </c>
      <c r="D49" s="117">
        <f>+C49+'25'!D49</f>
        <v>948</v>
      </c>
      <c r="E49" s="142">
        <f t="shared" si="8"/>
        <v>15.8</v>
      </c>
      <c r="F49" s="184"/>
      <c r="H49" s="187" t="s">
        <v>268</v>
      </c>
      <c r="I49" s="117">
        <f>+Report1!T34</f>
        <v>5482.2038475102972</v>
      </c>
      <c r="J49" s="134">
        <f>+I49+'25'!J49</f>
        <v>93254.887932308717</v>
      </c>
      <c r="K49" s="129" t="s">
        <v>82</v>
      </c>
    </row>
    <row r="50" spans="1:11" ht="17.45" customHeight="1">
      <c r="A50" s="764" t="s">
        <v>19</v>
      </c>
      <c r="B50" s="765"/>
      <c r="C50" s="163">
        <f>SUMIF($G$7:$G$31,"Steam",$F$7:$F$31)</f>
        <v>0</v>
      </c>
      <c r="D50" s="117">
        <f>+C50+'25'!D50</f>
        <v>0</v>
      </c>
      <c r="E50" s="142">
        <f t="shared" si="8"/>
        <v>0</v>
      </c>
      <c r="F50" s="184"/>
      <c r="H50" s="187" t="s">
        <v>83</v>
      </c>
      <c r="I50" s="139">
        <f>I49/I38</f>
        <v>142.21021653723207</v>
      </c>
      <c r="J50" s="132">
        <f>J49/J38</f>
        <v>125.48139666904214</v>
      </c>
      <c r="K50" s="129" t="s">
        <v>82</v>
      </c>
    </row>
    <row r="51" spans="1:11" ht="17.45" customHeight="1" thickBot="1">
      <c r="A51" s="758" t="s">
        <v>84</v>
      </c>
      <c r="B51" s="759"/>
      <c r="C51" s="163">
        <f>SUMIF($G$7:$G$31,"Planned shut",$F$7:$F$31)</f>
        <v>0</v>
      </c>
      <c r="D51" s="117">
        <f>+C51+'25'!D51</f>
        <v>10091</v>
      </c>
      <c r="E51" s="142">
        <f t="shared" si="8"/>
        <v>168.18333333333334</v>
      </c>
      <c r="F51" s="184"/>
      <c r="H51" s="189" t="s">
        <v>85</v>
      </c>
      <c r="I51" s="140">
        <f>I49/I40</f>
        <v>135.05626348813306</v>
      </c>
      <c r="J51" s="135">
        <f>J49/J40</f>
        <v>130.04374251476594</v>
      </c>
      <c r="K51" s="136" t="s">
        <v>82</v>
      </c>
    </row>
    <row r="52" spans="1:11" ht="13.5" thickBot="1">
      <c r="A52" s="760" t="s">
        <v>28</v>
      </c>
      <c r="B52" s="761"/>
      <c r="C52" s="143">
        <f>SUM(C38:C51)</f>
        <v>83</v>
      </c>
      <c r="D52" s="143">
        <f>SUM(D38:D51)</f>
        <v>12979</v>
      </c>
      <c r="E52" s="144">
        <f>SUM(E38:E51)</f>
        <v>216.31666666666666</v>
      </c>
      <c r="F52" s="184"/>
      <c r="H52" s="190"/>
      <c r="I52" s="191"/>
      <c r="J52" s="137"/>
      <c r="K52" s="138"/>
    </row>
    <row r="53" spans="1:11" ht="13.5" thickBot="1">
      <c r="A53" s="762"/>
      <c r="B53" s="763"/>
      <c r="C53" s="145">
        <f>C52/(24*60)</f>
        <v>5.7638888888888892E-2</v>
      </c>
      <c r="D53" s="145">
        <f>D52/(24*60*G4)</f>
        <v>0.34666132478632478</v>
      </c>
      <c r="E53" s="146">
        <f>E52/(G4*24)</f>
        <v>0.34666132478632478</v>
      </c>
      <c r="F53" s="184"/>
    </row>
    <row r="54" spans="1:11">
      <c r="E54" s="192"/>
      <c r="F54" s="184"/>
    </row>
    <row r="55" spans="1:11">
      <c r="E55" s="192"/>
    </row>
    <row r="56" spans="1:11">
      <c r="A56" s="193" t="s">
        <v>86</v>
      </c>
      <c r="B56" s="194"/>
      <c r="C56" s="195"/>
      <c r="D56" s="195"/>
      <c r="E56" s="195"/>
      <c r="F56" s="196"/>
      <c r="G56" s="195"/>
      <c r="H56" s="197"/>
      <c r="I56" s="198" t="s">
        <v>87</v>
      </c>
      <c r="J56" s="199">
        <f>+D34+'25'!J56</f>
        <v>1116</v>
      </c>
      <c r="K56" s="200">
        <f>J56/(J40+J56/1000)/1000</f>
        <v>1.5538414413410933E-3</v>
      </c>
    </row>
    <row r="57" spans="1:11">
      <c r="A57" s="175"/>
      <c r="I57" s="198" t="s">
        <v>88</v>
      </c>
      <c r="J57" s="199">
        <f>+E34+'25'!J57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I24:I31"/>
    <mergeCell ref="A7:A14"/>
    <mergeCell ref="A41:B41"/>
    <mergeCell ref="I7:I13"/>
    <mergeCell ref="A15:A23"/>
    <mergeCell ref="I15:I22"/>
    <mergeCell ref="A43:B43"/>
    <mergeCell ref="A44:B44"/>
    <mergeCell ref="A45:B45"/>
    <mergeCell ref="A24:A32"/>
    <mergeCell ref="A42:B42"/>
    <mergeCell ref="A34:B34"/>
    <mergeCell ref="A37:B37"/>
    <mergeCell ref="A38:B38"/>
    <mergeCell ref="A39:B39"/>
    <mergeCell ref="A40:B40"/>
    <mergeCell ref="A46:B46"/>
    <mergeCell ref="A52:B52"/>
    <mergeCell ref="A53:B53"/>
    <mergeCell ref="A47:B47"/>
    <mergeCell ref="A48:B48"/>
    <mergeCell ref="A49:B49"/>
    <mergeCell ref="A50:B50"/>
    <mergeCell ref="A51:B51"/>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zoomScale="80" zoomScaleNormal="80" workbookViewId="0">
      <selection activeCell="A7" sqref="A7:A32"/>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4.42578125" style="148" bestFit="1"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25</v>
      </c>
      <c r="H4" s="153" t="str">
        <f>+'1'!H4</f>
        <v>.03.26</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614</v>
      </c>
      <c r="O6" s="148">
        <v>1150</v>
      </c>
      <c r="P6" s="148">
        <f>+O6-(O6*0.23)</f>
        <v>885.5</v>
      </c>
      <c r="Q6" s="148">
        <f>60+34</f>
        <v>94</v>
      </c>
      <c r="R6" s="148">
        <f t="shared" ref="R6:R8" si="0">+O6*Q6</f>
        <v>108100</v>
      </c>
      <c r="S6" s="148">
        <f t="shared" ref="S6:S8" si="1">+P6*Q6</f>
        <v>83237</v>
      </c>
    </row>
    <row r="7" spans="1:19" ht="13.5" customHeight="1" thickBot="1">
      <c r="A7" s="770" t="s">
        <v>417</v>
      </c>
      <c r="B7" s="214" t="s">
        <v>623</v>
      </c>
      <c r="C7" s="215">
        <v>12660</v>
      </c>
      <c r="D7" s="216"/>
      <c r="E7" s="217"/>
      <c r="F7" s="227">
        <v>4</v>
      </c>
      <c r="G7" s="228" t="s">
        <v>12</v>
      </c>
      <c r="H7" s="229" t="s">
        <v>467</v>
      </c>
      <c r="I7" s="773" t="s">
        <v>731</v>
      </c>
      <c r="J7" s="213" t="str">
        <f>+'24'!J7</f>
        <v>F 12 VP OW</v>
      </c>
      <c r="K7" s="237"/>
      <c r="L7" s="241"/>
      <c r="M7" s="116">
        <f>+K7+'24'!M7+L7</f>
        <v>136522</v>
      </c>
      <c r="O7" s="148">
        <v>1000</v>
      </c>
      <c r="P7" s="148">
        <f>+O7-(O7*0.23)</f>
        <v>770</v>
      </c>
      <c r="Q7" s="148">
        <f>60-34+120+20</f>
        <v>166</v>
      </c>
      <c r="R7" s="148">
        <f t="shared" si="0"/>
        <v>166000</v>
      </c>
      <c r="S7" s="148">
        <f t="shared" si="1"/>
        <v>127820</v>
      </c>
    </row>
    <row r="8" spans="1:19" ht="13.5" thickBot="1">
      <c r="A8" s="771"/>
      <c r="B8" s="214"/>
      <c r="C8" s="215"/>
      <c r="D8" s="216"/>
      <c r="E8" s="218"/>
      <c r="F8" s="230"/>
      <c r="G8" s="231" t="s">
        <v>12</v>
      </c>
      <c r="H8" s="229" t="s">
        <v>283</v>
      </c>
      <c r="I8" s="774"/>
      <c r="J8" s="213" t="str">
        <f>+'24'!J8</f>
        <v>F 14 VP OW</v>
      </c>
      <c r="K8" s="238"/>
      <c r="L8" s="238"/>
      <c r="M8" s="116">
        <f>+K8+'24'!M8+L8</f>
        <v>89126</v>
      </c>
      <c r="O8" s="148">
        <v>1150</v>
      </c>
      <c r="P8" s="148">
        <f>+O8-(O8*0.23)</f>
        <v>885.5</v>
      </c>
      <c r="Q8" s="148">
        <f>60-20+180</f>
        <v>220</v>
      </c>
      <c r="R8" s="148">
        <f t="shared" si="0"/>
        <v>253000</v>
      </c>
      <c r="S8" s="148">
        <f t="shared" si="1"/>
        <v>194810</v>
      </c>
    </row>
    <row r="9" spans="1:19" ht="13.5" thickBot="1">
      <c r="A9" s="771"/>
      <c r="B9" s="214"/>
      <c r="C9" s="215"/>
      <c r="D9" s="216"/>
      <c r="E9" s="219"/>
      <c r="F9" s="227">
        <v>13</v>
      </c>
      <c r="G9" s="231" t="s">
        <v>12</v>
      </c>
      <c r="H9" s="232" t="s">
        <v>482</v>
      </c>
      <c r="I9" s="774"/>
      <c r="J9" s="213" t="str">
        <f>+'24'!J9</f>
        <v>F 16 VP OW</v>
      </c>
      <c r="K9" s="238"/>
      <c r="L9" s="238"/>
      <c r="M9" s="116">
        <f>+K9+'24'!M9+L9</f>
        <v>104726</v>
      </c>
    </row>
    <row r="10" spans="1:19" ht="26.25" thickBot="1">
      <c r="A10" s="771"/>
      <c r="B10" s="214"/>
      <c r="C10" s="215"/>
      <c r="D10" s="216"/>
      <c r="E10" s="218"/>
      <c r="F10" s="227"/>
      <c r="G10" s="236" t="s">
        <v>13</v>
      </c>
      <c r="H10" s="232" t="s">
        <v>727</v>
      </c>
      <c r="I10" s="774"/>
      <c r="J10" s="213" t="str">
        <f>+'24'!J10</f>
        <v>F 13,5 VP OW</v>
      </c>
      <c r="K10" s="238"/>
      <c r="L10" s="238"/>
      <c r="M10" s="116">
        <f>+K10+'24'!M10+L10</f>
        <v>10827</v>
      </c>
    </row>
    <row r="11" spans="1:19" ht="90" thickBot="1">
      <c r="A11" s="771"/>
      <c r="B11" s="214"/>
      <c r="C11" s="215"/>
      <c r="D11" s="216"/>
      <c r="E11" s="218"/>
      <c r="F11" s="227">
        <v>50</v>
      </c>
      <c r="G11" s="231" t="s">
        <v>68</v>
      </c>
      <c r="H11" s="232" t="s">
        <v>728</v>
      </c>
      <c r="I11" s="774"/>
      <c r="J11" s="213" t="str">
        <f>+'24'!J11</f>
        <v>F 13 VP OW</v>
      </c>
      <c r="K11" s="238"/>
      <c r="L11" s="238"/>
      <c r="M11" s="116">
        <f>+K11+'24'!M11+L11</f>
        <v>19832</v>
      </c>
    </row>
    <row r="12" spans="1:19" ht="13.5" thickBot="1">
      <c r="A12" s="771"/>
      <c r="B12" s="214"/>
      <c r="C12" s="215"/>
      <c r="D12" s="216"/>
      <c r="E12" s="218"/>
      <c r="F12" s="227"/>
      <c r="G12" s="231"/>
      <c r="H12" s="232"/>
      <c r="I12" s="774"/>
      <c r="J12" s="213" t="str">
        <f>+'24'!J12</f>
        <v>T 14 VP OW</v>
      </c>
      <c r="K12" s="238"/>
      <c r="L12" s="238"/>
      <c r="M12" s="116">
        <f>+K12+'24'!M12+L12</f>
        <v>28770</v>
      </c>
    </row>
    <row r="13" spans="1:19" ht="13.5" thickBot="1">
      <c r="A13" s="771"/>
      <c r="B13" s="214"/>
      <c r="C13" s="215"/>
      <c r="D13" s="215"/>
      <c r="E13" s="218"/>
      <c r="F13" s="227"/>
      <c r="G13" s="231"/>
      <c r="H13" s="232"/>
      <c r="I13" s="775"/>
      <c r="J13" s="213" t="str">
        <f>+'24'!J13</f>
        <v>F 11,5 VP OW</v>
      </c>
      <c r="K13" s="238"/>
      <c r="L13" s="238"/>
      <c r="M13" s="116">
        <f>+K13+'24'!M13+L13</f>
        <v>53931</v>
      </c>
      <c r="Q13" s="175">
        <f>SUM(Q6:Q12)</f>
        <v>480</v>
      </c>
      <c r="R13" s="175">
        <f>SUM(R6:R12)</f>
        <v>527100</v>
      </c>
      <c r="S13" s="175">
        <f>SUM(S6:S12)</f>
        <v>405867</v>
      </c>
    </row>
    <row r="14" spans="1:19" ht="13.5" thickBot="1">
      <c r="A14" s="772"/>
      <c r="B14" s="164" t="s">
        <v>2</v>
      </c>
      <c r="C14" s="98">
        <f>SUM(C7:C13)</f>
        <v>12660</v>
      </c>
      <c r="D14" s="110">
        <f>SUM(D7:D13)</f>
        <v>0</v>
      </c>
      <c r="E14" s="111">
        <f>SUM(E5:E13)</f>
        <v>0</v>
      </c>
      <c r="F14" s="115">
        <f>SUM(F7:F13)</f>
        <v>67</v>
      </c>
      <c r="G14" s="158"/>
      <c r="H14" s="165"/>
      <c r="I14" s="166"/>
      <c r="J14" s="213" t="str">
        <f>+'24'!J14</f>
        <v>F 12,5 VP OW</v>
      </c>
      <c r="K14" s="238"/>
      <c r="L14" s="238"/>
      <c r="M14" s="116">
        <f>+K14+'24'!M14+L14</f>
        <v>10132</v>
      </c>
      <c r="Q14" s="148">
        <f>480-Q13</f>
        <v>0</v>
      </c>
      <c r="R14" s="175">
        <f>+R13/Q13</f>
        <v>1098.125</v>
      </c>
      <c r="S14" s="175">
        <f>+S13/Q13</f>
        <v>845.55624999999998</v>
      </c>
    </row>
    <row r="15" spans="1:19" ht="13.5" customHeight="1" thickBot="1">
      <c r="A15" s="770" t="s">
        <v>390</v>
      </c>
      <c r="B15" s="164"/>
      <c r="C15" s="112">
        <f>C14/($C$23+$D$23+$E$23)</f>
        <v>1.0456760551746924</v>
      </c>
      <c r="D15" s="113">
        <f>D14/($C$23+$D$23+$E$23)</f>
        <v>0</v>
      </c>
      <c r="E15" s="114">
        <f>E14/($C$23+$D$23+$E$23)</f>
        <v>0</v>
      </c>
      <c r="F15" s="227">
        <v>9</v>
      </c>
      <c r="G15" s="228" t="s">
        <v>12</v>
      </c>
      <c r="H15" s="229" t="s">
        <v>412</v>
      </c>
      <c r="I15" s="773" t="s">
        <v>732</v>
      </c>
      <c r="J15" s="213" t="str">
        <f>+'24'!J15</f>
        <v>T 13 VP OW</v>
      </c>
      <c r="K15" s="238"/>
      <c r="L15" s="238"/>
      <c r="M15" s="116">
        <f>+K15+'24'!M15+L15</f>
        <v>124865</v>
      </c>
    </row>
    <row r="16" spans="1:19" ht="13.5" thickBot="1">
      <c r="A16" s="776"/>
      <c r="B16" s="214" t="s">
        <v>623</v>
      </c>
      <c r="C16" s="221">
        <v>12107</v>
      </c>
      <c r="D16" s="222"/>
      <c r="E16" s="223"/>
      <c r="F16" s="230"/>
      <c r="G16" s="231" t="s">
        <v>12</v>
      </c>
      <c r="H16" s="229" t="s">
        <v>283</v>
      </c>
      <c r="I16" s="774"/>
      <c r="J16" s="213" t="str">
        <f>+'24'!J16</f>
        <v>T 12,5 VP OW</v>
      </c>
      <c r="K16" s="228">
        <f>+C34</f>
        <v>38254</v>
      </c>
      <c r="L16" s="228"/>
      <c r="M16" s="116">
        <f>+K16+'24'!M16+L16</f>
        <v>97781</v>
      </c>
      <c r="N16" s="148" t="s">
        <v>614</v>
      </c>
      <c r="O16" s="148">
        <v>1170</v>
      </c>
      <c r="P16" s="148">
        <f>+O16-(O16*0.23)</f>
        <v>900.9</v>
      </c>
      <c r="Q16" s="148">
        <v>480</v>
      </c>
      <c r="R16" s="148">
        <f t="shared" ref="R16:R18" si="2">+O16*Q16</f>
        <v>561600</v>
      </c>
      <c r="S16" s="148">
        <f t="shared" ref="S16:S18" si="3">+P16*Q16</f>
        <v>432432</v>
      </c>
    </row>
    <row r="17" spans="1:19" ht="13.5" thickBot="1">
      <c r="A17" s="776"/>
      <c r="B17" s="214"/>
      <c r="C17" s="215"/>
      <c r="D17" s="216"/>
      <c r="E17" s="224"/>
      <c r="F17" s="227">
        <f>21-9</f>
        <v>12</v>
      </c>
      <c r="G17" s="231" t="s">
        <v>12</v>
      </c>
      <c r="H17" s="232" t="s">
        <v>385</v>
      </c>
      <c r="I17" s="774"/>
      <c r="J17" s="213">
        <f>+'24'!J17</f>
        <v>0</v>
      </c>
      <c r="K17" s="228"/>
      <c r="L17" s="228"/>
      <c r="M17" s="116">
        <f>+K17+'24'!M17+L17</f>
        <v>0</v>
      </c>
      <c r="P17" s="148">
        <f>+O17-(O17*0.23)</f>
        <v>0</v>
      </c>
      <c r="R17" s="148">
        <f t="shared" si="2"/>
        <v>0</v>
      </c>
      <c r="S17" s="148">
        <f t="shared" si="3"/>
        <v>0</v>
      </c>
    </row>
    <row r="18" spans="1:19" ht="39" thickBot="1">
      <c r="A18" s="776"/>
      <c r="B18" s="214"/>
      <c r="C18" s="215"/>
      <c r="D18" s="216"/>
      <c r="E18" s="224"/>
      <c r="F18" s="227"/>
      <c r="G18" s="236" t="s">
        <v>13</v>
      </c>
      <c r="H18" s="232" t="s">
        <v>729</v>
      </c>
      <c r="I18" s="774"/>
      <c r="J18" s="213">
        <f>+'24'!J18</f>
        <v>0</v>
      </c>
      <c r="K18" s="238"/>
      <c r="L18" s="238"/>
      <c r="M18" s="116">
        <f>+K18+'24'!M18+L18</f>
        <v>0</v>
      </c>
      <c r="P18" s="148">
        <f>+O18-(O18*0.23)</f>
        <v>0</v>
      </c>
      <c r="R18" s="148">
        <f t="shared" si="2"/>
        <v>0</v>
      </c>
      <c r="S18" s="148">
        <f t="shared" si="3"/>
        <v>0</v>
      </c>
    </row>
    <row r="19" spans="1:19" ht="13.5" thickBot="1">
      <c r="A19" s="776"/>
      <c r="B19" s="214"/>
      <c r="C19" s="215"/>
      <c r="D19" s="216"/>
      <c r="E19" s="224"/>
      <c r="F19" s="234"/>
      <c r="G19" s="231"/>
      <c r="H19" s="232"/>
      <c r="I19" s="774"/>
      <c r="J19" s="213">
        <f>+'24'!J19</f>
        <v>0</v>
      </c>
      <c r="K19" s="238"/>
      <c r="L19" s="238"/>
      <c r="M19" s="116">
        <f>+K19+'24'!M19+L19</f>
        <v>0</v>
      </c>
    </row>
    <row r="20" spans="1:19" ht="13.5" thickBot="1">
      <c r="A20" s="776"/>
      <c r="B20" s="214"/>
      <c r="C20" s="215"/>
      <c r="D20" s="216"/>
      <c r="E20" s="224"/>
      <c r="F20" s="227"/>
      <c r="G20" s="231"/>
      <c r="H20" s="232"/>
      <c r="I20" s="774"/>
      <c r="J20" s="213">
        <f>+'24'!J20</f>
        <v>0</v>
      </c>
      <c r="K20" s="239"/>
      <c r="L20" s="239"/>
      <c r="M20" s="116">
        <f>+K20+'24'!M20+L20</f>
        <v>0</v>
      </c>
    </row>
    <row r="21" spans="1:19" ht="13.5" thickBot="1">
      <c r="A21" s="776"/>
      <c r="B21" s="214"/>
      <c r="C21" s="215"/>
      <c r="D21" s="216"/>
      <c r="E21" s="224"/>
      <c r="F21" s="230"/>
      <c r="G21" s="231"/>
      <c r="H21" s="232"/>
      <c r="I21" s="774"/>
      <c r="J21" s="213">
        <f>+'24'!J21</f>
        <v>0</v>
      </c>
      <c r="K21" s="238"/>
      <c r="L21" s="238"/>
      <c r="M21" s="116">
        <f>+K21+'24'!M21+L21</f>
        <v>0</v>
      </c>
    </row>
    <row r="22" spans="1:19" ht="13.5" thickBot="1">
      <c r="A22" s="776"/>
      <c r="B22" s="214"/>
      <c r="C22" s="215"/>
      <c r="D22" s="216"/>
      <c r="E22" s="224"/>
      <c r="F22" s="235"/>
      <c r="G22" s="231"/>
      <c r="H22" s="232"/>
      <c r="I22" s="775"/>
      <c r="J22" s="213">
        <f>+'24'!J22</f>
        <v>0</v>
      </c>
      <c r="K22" s="238"/>
      <c r="L22" s="238"/>
      <c r="M22" s="116">
        <f>+K22+'24'!M22+L22</f>
        <v>0</v>
      </c>
    </row>
    <row r="23" spans="1:19" ht="13.5" thickBot="1">
      <c r="A23" s="777"/>
      <c r="B23" s="167" t="s">
        <v>2</v>
      </c>
      <c r="C23" s="99">
        <f>SUM(C16:C22)</f>
        <v>12107</v>
      </c>
      <c r="D23" s="110">
        <f>SUM(D16:D22)</f>
        <v>0</v>
      </c>
      <c r="E23" s="111">
        <f>SUM(E18:E22)</f>
        <v>0</v>
      </c>
      <c r="F23" s="115">
        <f>SUM(F15:F22)</f>
        <v>21</v>
      </c>
      <c r="G23" s="158"/>
      <c r="H23" s="165"/>
      <c r="I23" s="168"/>
      <c r="J23" s="213">
        <f>+'24'!J23</f>
        <v>0</v>
      </c>
      <c r="K23" s="238"/>
      <c r="L23" s="238"/>
      <c r="M23" s="116">
        <f>+K23+'24'!M23+L23</f>
        <v>0</v>
      </c>
      <c r="Q23" s="175">
        <f>SUM(Q16:Q22)</f>
        <v>480</v>
      </c>
      <c r="R23" s="175">
        <f>SUM(R16:R22)</f>
        <v>561600</v>
      </c>
      <c r="S23" s="175">
        <f>SUM(S16:S22)</f>
        <v>432432</v>
      </c>
    </row>
    <row r="24" spans="1:19" ht="13.5" customHeight="1" thickBot="1">
      <c r="A24" s="770" t="s">
        <v>391</v>
      </c>
      <c r="B24" s="169"/>
      <c r="C24" s="112">
        <f>C23/($C$23+$D$23+$E$23)</f>
        <v>1</v>
      </c>
      <c r="D24" s="113">
        <f>D23/($C$23+$D$23+$E$23)</f>
        <v>0</v>
      </c>
      <c r="E24" s="114">
        <f>E23/($C$23+$D$23+$E$23)</f>
        <v>0</v>
      </c>
      <c r="F24" s="227">
        <v>6</v>
      </c>
      <c r="G24" s="228" t="s">
        <v>12</v>
      </c>
      <c r="H24" s="229" t="s">
        <v>467</v>
      </c>
      <c r="I24" s="773" t="s">
        <v>733</v>
      </c>
      <c r="J24" s="213">
        <f>+'24'!J24</f>
        <v>0</v>
      </c>
      <c r="K24" s="238"/>
      <c r="L24" s="238"/>
      <c r="M24" s="116">
        <f>+K24+'24'!M24+L24</f>
        <v>0</v>
      </c>
      <c r="Q24" s="148">
        <f>480-Q23</f>
        <v>0</v>
      </c>
      <c r="R24" s="175">
        <f>+R23/Q23</f>
        <v>1170</v>
      </c>
      <c r="S24" s="175">
        <f>+S23/Q23</f>
        <v>900.9</v>
      </c>
    </row>
    <row r="25" spans="1:19" ht="13.5" thickBot="1">
      <c r="A25" s="776"/>
      <c r="B25" s="214" t="s">
        <v>623</v>
      </c>
      <c r="C25" s="225">
        <v>13487</v>
      </c>
      <c r="D25" s="216"/>
      <c r="E25" s="224"/>
      <c r="F25" s="230"/>
      <c r="G25" s="231" t="s">
        <v>12</v>
      </c>
      <c r="H25" s="229" t="s">
        <v>283</v>
      </c>
      <c r="I25" s="774"/>
      <c r="J25" s="213">
        <f>+'24'!J25</f>
        <v>0</v>
      </c>
      <c r="K25" s="238"/>
      <c r="L25" s="238"/>
      <c r="M25" s="116">
        <f>+K25+'24'!M25+L25</f>
        <v>0</v>
      </c>
    </row>
    <row r="26" spans="1:19" ht="13.5" thickBot="1">
      <c r="A26" s="776"/>
      <c r="B26" s="214"/>
      <c r="C26" s="225"/>
      <c r="D26" s="216"/>
      <c r="E26" s="226"/>
      <c r="F26" s="227">
        <v>14</v>
      </c>
      <c r="G26" s="231" t="s">
        <v>12</v>
      </c>
      <c r="H26" s="232" t="s">
        <v>411</v>
      </c>
      <c r="I26" s="774"/>
      <c r="J26" s="213">
        <f>+'24'!J26</f>
        <v>0</v>
      </c>
      <c r="K26" s="238"/>
      <c r="L26" s="238"/>
      <c r="M26" s="116">
        <f>+K26+'24'!M26+L26</f>
        <v>0</v>
      </c>
      <c r="N26" s="148" t="s">
        <v>614</v>
      </c>
      <c r="O26" s="148">
        <v>1170</v>
      </c>
      <c r="P26" s="148">
        <f>+O26-(O26*0.24)</f>
        <v>889.2</v>
      </c>
      <c r="Q26" s="148">
        <v>480</v>
      </c>
      <c r="R26" s="148">
        <f t="shared" ref="R26:R28" si="4">+O26*Q26</f>
        <v>561600</v>
      </c>
      <c r="S26" s="148">
        <f t="shared" ref="S26:S28" si="5">+P26*Q26</f>
        <v>426816</v>
      </c>
    </row>
    <row r="27" spans="1:19" ht="39" thickBot="1">
      <c r="A27" s="776"/>
      <c r="B27" s="214"/>
      <c r="C27" s="215"/>
      <c r="D27" s="216"/>
      <c r="E27" s="224"/>
      <c r="F27" s="227"/>
      <c r="G27" s="236" t="s">
        <v>13</v>
      </c>
      <c r="H27" s="232" t="s">
        <v>730</v>
      </c>
      <c r="I27" s="774"/>
      <c r="J27" s="213">
        <f>+'24'!J27</f>
        <v>0</v>
      </c>
      <c r="K27" s="238"/>
      <c r="L27" s="238"/>
      <c r="M27" s="116">
        <f>+K27+'24'!M27+L27</f>
        <v>0</v>
      </c>
      <c r="P27" s="148">
        <f>+O27-(O27*0.23)</f>
        <v>0</v>
      </c>
      <c r="R27" s="148">
        <f t="shared" si="4"/>
        <v>0</v>
      </c>
      <c r="S27" s="148">
        <f t="shared" si="5"/>
        <v>0</v>
      </c>
    </row>
    <row r="28" spans="1:19" ht="13.5" thickBot="1">
      <c r="A28" s="776"/>
      <c r="B28" s="214"/>
      <c r="C28" s="215"/>
      <c r="D28" s="216"/>
      <c r="E28" s="224"/>
      <c r="F28" s="230"/>
      <c r="G28" s="231"/>
      <c r="H28" s="232"/>
      <c r="I28" s="774"/>
      <c r="J28" s="213">
        <f>+'24'!J28</f>
        <v>0</v>
      </c>
      <c r="K28" s="238"/>
      <c r="L28" s="238"/>
      <c r="M28" s="116">
        <f>+K28+'24'!M28+L28</f>
        <v>0</v>
      </c>
      <c r="P28" s="148">
        <f>+O28-(O28*0.23)</f>
        <v>0</v>
      </c>
      <c r="R28" s="148">
        <f t="shared" si="4"/>
        <v>0</v>
      </c>
      <c r="S28" s="148">
        <f t="shared" si="5"/>
        <v>0</v>
      </c>
    </row>
    <row r="29" spans="1:19" ht="13.5" thickBot="1">
      <c r="A29" s="776"/>
      <c r="B29" s="214"/>
      <c r="C29" s="215"/>
      <c r="D29" s="216"/>
      <c r="E29" s="224"/>
      <c r="F29" s="235"/>
      <c r="G29" s="231"/>
      <c r="H29" s="232"/>
      <c r="I29" s="774"/>
      <c r="J29" s="213">
        <f>+'24'!J29</f>
        <v>0</v>
      </c>
      <c r="K29" s="238"/>
      <c r="L29" s="238"/>
      <c r="M29" s="116">
        <f>+K29+'24'!M29+L29</f>
        <v>0</v>
      </c>
    </row>
    <row r="30" spans="1:19" ht="13.5" thickBot="1">
      <c r="A30" s="776"/>
      <c r="B30" s="214"/>
      <c r="C30" s="225"/>
      <c r="D30" s="216"/>
      <c r="E30" s="224"/>
      <c r="F30" s="235"/>
      <c r="G30" s="231"/>
      <c r="H30" s="232"/>
      <c r="I30" s="774"/>
      <c r="J30" s="213">
        <f>+'24'!J30</f>
        <v>0</v>
      </c>
      <c r="K30" s="238"/>
      <c r="L30" s="238"/>
      <c r="M30" s="116">
        <f>+K30+'24'!M30+L30</f>
        <v>0</v>
      </c>
    </row>
    <row r="31" spans="1:19" ht="13.5" thickBot="1">
      <c r="A31" s="776"/>
      <c r="B31" s="214"/>
      <c r="C31" s="225"/>
      <c r="D31" s="216"/>
      <c r="E31" s="224"/>
      <c r="F31" s="235"/>
      <c r="G31" s="236"/>
      <c r="H31" s="443"/>
      <c r="I31" s="775"/>
      <c r="J31" s="213">
        <f>+'24'!J31</f>
        <v>0</v>
      </c>
      <c r="K31" s="238"/>
      <c r="L31" s="238"/>
      <c r="M31" s="116">
        <f>+K31+'24'!M31+L31</f>
        <v>0</v>
      </c>
    </row>
    <row r="32" spans="1:19" ht="13.5" thickBot="1">
      <c r="A32" s="777"/>
      <c r="B32" s="164" t="s">
        <v>2</v>
      </c>
      <c r="C32" s="98">
        <f>SUM(C25:C31)</f>
        <v>13487</v>
      </c>
      <c r="D32" s="99">
        <f>SUM(D25:D31)</f>
        <v>0</v>
      </c>
      <c r="E32" s="100">
        <f>SUM(E25:E31)</f>
        <v>0</v>
      </c>
      <c r="F32" s="101">
        <f>SUM(F24:F31)</f>
        <v>20</v>
      </c>
      <c r="G32" s="170"/>
      <c r="H32" s="171"/>
      <c r="I32" s="168"/>
      <c r="J32" s="213">
        <f>+'24'!J32</f>
        <v>0</v>
      </c>
      <c r="K32" s="240"/>
      <c r="L32" s="242"/>
      <c r="M32" s="116">
        <f>+K32+'24'!M32+L32</f>
        <v>0</v>
      </c>
    </row>
    <row r="33" spans="1:19" ht="13.5" thickBot="1">
      <c r="A33" s="172"/>
      <c r="B33" s="173"/>
      <c r="C33" s="102">
        <f>C32/($C$32+$D$32+$E$32)</f>
        <v>1</v>
      </c>
      <c r="D33" s="103">
        <f>D32/($C$32+$D$32+$E$32)</f>
        <v>0</v>
      </c>
      <c r="E33" s="104">
        <f>E32/($C$32+$D$32+$E$32)</f>
        <v>0</v>
      </c>
      <c r="F33" s="105"/>
      <c r="G33" s="174"/>
      <c r="H33" s="175"/>
      <c r="I33" s="176"/>
      <c r="J33" s="120"/>
      <c r="K33" s="121"/>
      <c r="L33" s="212"/>
      <c r="M33" s="118"/>
      <c r="Q33" s="175">
        <f>SUM(Q26:Q32)</f>
        <v>480</v>
      </c>
      <c r="R33" s="175">
        <f>SUM(R26:R32)</f>
        <v>561600</v>
      </c>
      <c r="S33" s="175">
        <f>SUM(S26:S32)</f>
        <v>426816</v>
      </c>
    </row>
    <row r="34" spans="1:19" ht="13.5" thickBot="1">
      <c r="A34" s="766" t="s">
        <v>57</v>
      </c>
      <c r="B34" s="767"/>
      <c r="C34" s="106">
        <f>C14+C23+C32</f>
        <v>38254</v>
      </c>
      <c r="D34" s="106">
        <f>D14+D23+D32</f>
        <v>0</v>
      </c>
      <c r="E34" s="106">
        <f>E14+E23+E32</f>
        <v>0</v>
      </c>
      <c r="F34" s="107">
        <f>F14+F23+F32</f>
        <v>108</v>
      </c>
      <c r="H34" s="177"/>
      <c r="I34" s="177"/>
      <c r="J34" s="122" t="s">
        <v>28</v>
      </c>
      <c r="K34" s="123">
        <f>SUM(K7:K32)</f>
        <v>38254</v>
      </c>
      <c r="L34" s="211">
        <f>SUM(L7:L32)</f>
        <v>0</v>
      </c>
      <c r="M34" s="119">
        <f>SUM(M7:M32)</f>
        <v>676512</v>
      </c>
      <c r="Q34" s="148">
        <f>480-Q33</f>
        <v>0</v>
      </c>
      <c r="R34" s="175">
        <f>+R33/Q33</f>
        <v>1170</v>
      </c>
      <c r="S34" s="175">
        <f>+S33/Q33</f>
        <v>889.2</v>
      </c>
    </row>
    <row r="35" spans="1:19" ht="13.5" thickBot="1">
      <c r="A35" s="178"/>
      <c r="B35" s="179"/>
      <c r="C35" s="103">
        <f>C34/($C$34+$D$34+$E$34)</f>
        <v>1</v>
      </c>
      <c r="D35" s="103">
        <f>D34/($C$34+$D$34+$E$34)</f>
        <v>0</v>
      </c>
      <c r="E35" s="108">
        <f>E34/($C$34+$D$34+$E$34)</f>
        <v>0</v>
      </c>
      <c r="K35" s="154"/>
    </row>
    <row r="36" spans="1:19" ht="13.5" thickBot="1">
      <c r="A36" s="177"/>
      <c r="B36" s="177"/>
      <c r="C36" s="154"/>
      <c r="D36" s="154"/>
      <c r="E36" s="154"/>
      <c r="G36" s="154"/>
      <c r="H36" s="180"/>
      <c r="I36" s="161" t="s">
        <v>37</v>
      </c>
      <c r="J36" s="161" t="s">
        <v>38</v>
      </c>
      <c r="K36" s="181"/>
    </row>
    <row r="37" spans="1:19" ht="17.45" customHeight="1" thickBot="1">
      <c r="A37" s="768" t="s">
        <v>58</v>
      </c>
      <c r="B37" s="769"/>
      <c r="C37" s="161" t="s">
        <v>59</v>
      </c>
      <c r="D37" s="182" t="s">
        <v>60</v>
      </c>
      <c r="E37" s="183" t="s">
        <v>61</v>
      </c>
      <c r="F37" s="321"/>
      <c r="G37" s="323"/>
      <c r="H37" s="185" t="s">
        <v>62</v>
      </c>
      <c r="I37" s="243">
        <f>(12.5*1440)/1440*G42*2.74*1440/1000000</f>
        <v>43.330188750000005</v>
      </c>
      <c r="J37" s="124">
        <f>+I37+'24'!J37</f>
        <v>807.07950957352136</v>
      </c>
      <c r="K37" s="125" t="s">
        <v>63</v>
      </c>
    </row>
    <row r="38" spans="1:19" ht="17.45" customHeight="1">
      <c r="A38" s="760" t="s">
        <v>12</v>
      </c>
      <c r="B38" s="761"/>
      <c r="C38" s="163">
        <f>SUMIF($G$7:$G$31,"Process",$F$7:$F$31)</f>
        <v>58</v>
      </c>
      <c r="D38" s="117">
        <f>+C38+'24'!D38</f>
        <v>1382</v>
      </c>
      <c r="E38" s="142">
        <f t="shared" ref="E38:E51" si="6">D38/60</f>
        <v>23.033333333333335</v>
      </c>
      <c r="F38" s="321">
        <v>1098.125</v>
      </c>
      <c r="G38" s="321">
        <v>845.55624999999998</v>
      </c>
      <c r="H38" s="186" t="s">
        <v>64</v>
      </c>
      <c r="I38" s="244">
        <f>10.939+14.02+12.968</f>
        <v>37.927</v>
      </c>
      <c r="J38" s="126">
        <f>+I38+'24'!J38</f>
        <v>704.62699999999995</v>
      </c>
      <c r="K38" s="127" t="s">
        <v>63</v>
      </c>
    </row>
    <row r="39" spans="1:19" ht="17.45" customHeight="1">
      <c r="A39" s="764" t="s">
        <v>13</v>
      </c>
      <c r="B39" s="765"/>
      <c r="C39" s="163">
        <f>SUMIF($G$7:$G$31,"Cleaning",$F$7:$F$31)</f>
        <v>0</v>
      </c>
      <c r="D39" s="117">
        <f>+C39+'24'!D39</f>
        <v>0</v>
      </c>
      <c r="E39" s="142">
        <f t="shared" si="6"/>
        <v>0</v>
      </c>
      <c r="F39" s="321">
        <v>1170</v>
      </c>
      <c r="G39" s="321">
        <v>900.9</v>
      </c>
      <c r="H39" s="186" t="s">
        <v>65</v>
      </c>
      <c r="I39" s="141"/>
      <c r="J39" s="128">
        <f>J37/G4</f>
        <v>32.283180382940856</v>
      </c>
      <c r="K39" s="129" t="s">
        <v>63</v>
      </c>
    </row>
    <row r="40" spans="1:19" ht="17.45" customHeight="1">
      <c r="A40" s="764" t="s">
        <v>66</v>
      </c>
      <c r="B40" s="765"/>
      <c r="C40" s="163">
        <f>SUMIF($G$7:$G$31,"Mechanical",$F$7:$F$31)</f>
        <v>0</v>
      </c>
      <c r="D40" s="117">
        <f>+C40+'24'!D40</f>
        <v>0</v>
      </c>
      <c r="E40" s="142">
        <f t="shared" si="6"/>
        <v>0</v>
      </c>
      <c r="F40" s="321">
        <v>1170</v>
      </c>
      <c r="G40" s="321">
        <v>889.2</v>
      </c>
      <c r="H40" s="186" t="s">
        <v>67</v>
      </c>
      <c r="I40" s="117">
        <f>(K34+L34)/1000</f>
        <v>38.253999999999998</v>
      </c>
      <c r="J40" s="130">
        <f>+I40+'24'!J40</f>
        <v>676.51200000000006</v>
      </c>
      <c r="K40" s="129" t="s">
        <v>63</v>
      </c>
    </row>
    <row r="41" spans="1:19" ht="17.45" customHeight="1">
      <c r="A41" s="764" t="s">
        <v>68</v>
      </c>
      <c r="B41" s="765"/>
      <c r="C41" s="163">
        <f>SUMIF($G$7:$G$31,"Electrical",$F$7:$F$31)</f>
        <v>50</v>
      </c>
      <c r="D41" s="117">
        <f>+C41+'24'!D41</f>
        <v>475</v>
      </c>
      <c r="E41" s="142">
        <f t="shared" si="6"/>
        <v>7.916666666666667</v>
      </c>
      <c r="F41" s="321"/>
      <c r="G41" s="321"/>
      <c r="H41" s="186" t="s">
        <v>69</v>
      </c>
      <c r="I41" s="141"/>
      <c r="J41" s="128">
        <f>J40/G4</f>
        <v>27.060480000000002</v>
      </c>
      <c r="K41" s="129" t="s">
        <v>63</v>
      </c>
    </row>
    <row r="42" spans="1:19" ht="17.45" customHeight="1">
      <c r="A42" s="764" t="s">
        <v>16</v>
      </c>
      <c r="B42" s="765"/>
      <c r="C42" s="163">
        <f>SUMIF($G$7:$G$31,"Instrument",$F$7:$F$31)</f>
        <v>0</v>
      </c>
      <c r="D42" s="117">
        <f>+C42+'24'!D42</f>
        <v>0</v>
      </c>
      <c r="E42" s="142">
        <f t="shared" si="6"/>
        <v>0</v>
      </c>
      <c r="F42" s="321">
        <f>+(480*F38+480*F39+480*F40)/1440</f>
        <v>1146.0416666666667</v>
      </c>
      <c r="G42" s="321">
        <f>+(480*G38+480*G39+480*G40)/1440</f>
        <v>878.55208333333337</v>
      </c>
      <c r="H42" s="186" t="s">
        <v>70</v>
      </c>
      <c r="I42" s="245" t="s">
        <v>734</v>
      </c>
      <c r="J42" s="131"/>
      <c r="K42" s="129" t="s">
        <v>71</v>
      </c>
    </row>
    <row r="43" spans="1:19" ht="17.45" customHeight="1">
      <c r="A43" s="764" t="s">
        <v>72</v>
      </c>
      <c r="B43" s="765"/>
      <c r="C43" s="163">
        <f>SUMIF($G$7:$G$31,"Water",$F$7:$F$31)</f>
        <v>0</v>
      </c>
      <c r="D43" s="117">
        <f>+C43+'24'!D43</f>
        <v>0</v>
      </c>
      <c r="E43" s="142">
        <f t="shared" si="6"/>
        <v>0</v>
      </c>
      <c r="F43" s="321"/>
      <c r="G43" s="322"/>
      <c r="H43" s="187" t="s">
        <v>73</v>
      </c>
      <c r="I43" s="117">
        <f>+Report1!Z33</f>
        <v>58.7</v>
      </c>
      <c r="J43" s="132">
        <f>+I43+'24'!J43</f>
        <v>1000.8000000000001</v>
      </c>
      <c r="K43" s="129" t="s">
        <v>63</v>
      </c>
      <c r="L43" s="188"/>
    </row>
    <row r="44" spans="1:19" ht="17.45" customHeight="1">
      <c r="A44" s="764" t="s">
        <v>17</v>
      </c>
      <c r="B44" s="765"/>
      <c r="C44" s="163">
        <f>SUMIF($G$7:$G$31,"PLN",$F$7:$F$31)</f>
        <v>0</v>
      </c>
      <c r="D44" s="117">
        <f>+C44+'24'!D44</f>
        <v>0</v>
      </c>
      <c r="E44" s="142">
        <f t="shared" si="6"/>
        <v>0</v>
      </c>
      <c r="F44" s="321"/>
      <c r="G44" s="322"/>
      <c r="H44" s="187" t="s">
        <v>74</v>
      </c>
      <c r="I44" s="117">
        <f>I43/I38</f>
        <v>1.5477100746170276</v>
      </c>
      <c r="J44" s="133">
        <f>J43/J38</f>
        <v>1.4203259313083378</v>
      </c>
      <c r="K44" s="129" t="s">
        <v>63</v>
      </c>
    </row>
    <row r="45" spans="1:19" ht="17.45" customHeight="1">
      <c r="A45" s="764" t="s">
        <v>18</v>
      </c>
      <c r="B45" s="765"/>
      <c r="C45" s="163">
        <f>SUMIF($G$7:$G$31,"Boiler",$F$7:$F$31)</f>
        <v>0</v>
      </c>
      <c r="D45" s="117">
        <f>+C45+'24'!D45</f>
        <v>0</v>
      </c>
      <c r="E45" s="142">
        <f t="shared" si="6"/>
        <v>0</v>
      </c>
      <c r="F45" s="321"/>
      <c r="G45" s="324"/>
      <c r="H45" s="187" t="s">
        <v>75</v>
      </c>
      <c r="I45" s="117">
        <f>I43/I40</f>
        <v>1.534480054373399</v>
      </c>
      <c r="J45" s="133">
        <f>J43/J40</f>
        <v>1.4793529161345254</v>
      </c>
      <c r="K45" s="129" t="s">
        <v>63</v>
      </c>
    </row>
    <row r="46" spans="1:19" ht="17.45" customHeight="1">
      <c r="A46" s="764" t="s">
        <v>76</v>
      </c>
      <c r="B46" s="765"/>
      <c r="C46" s="163">
        <f>SUMIF($G$7:$G$31,"Gas",$F$7:$F$31)</f>
        <v>0</v>
      </c>
      <c r="D46" s="117">
        <f>+C46+'24'!D46</f>
        <v>0</v>
      </c>
      <c r="E46" s="142">
        <f t="shared" si="6"/>
        <v>0</v>
      </c>
      <c r="F46" s="321"/>
      <c r="G46" s="322"/>
      <c r="H46" s="187" t="s">
        <v>77</v>
      </c>
      <c r="I46" s="139">
        <f>+SUMIF(Listrik!P32,"&gt;0")</f>
        <v>34704.020000000724</v>
      </c>
      <c r="J46" s="134">
        <f>+I46+'24'!J46</f>
        <v>670688.70000000077</v>
      </c>
      <c r="K46" s="129" t="s">
        <v>78</v>
      </c>
    </row>
    <row r="47" spans="1:19" ht="17.45" customHeight="1">
      <c r="A47" s="764" t="s">
        <v>79</v>
      </c>
      <c r="B47" s="765"/>
      <c r="C47" s="163">
        <f>SUMIF($G$7:$G$31,"Gas",$F$7:$F$31)</f>
        <v>0</v>
      </c>
      <c r="D47" s="117">
        <f>+C47+'24'!D47</f>
        <v>0</v>
      </c>
      <c r="E47" s="142">
        <f t="shared" si="6"/>
        <v>0</v>
      </c>
      <c r="F47" s="321"/>
      <c r="G47" s="322"/>
      <c r="H47" s="187" t="s">
        <v>80</v>
      </c>
      <c r="I47" s="117">
        <f>I46/I38</f>
        <v>915.0214886492663</v>
      </c>
      <c r="J47" s="134">
        <f>J46/J38</f>
        <v>951.83508437797707</v>
      </c>
      <c r="K47" s="129" t="s">
        <v>24</v>
      </c>
    </row>
    <row r="48" spans="1:19" ht="17.45" customHeight="1">
      <c r="A48" s="764" t="s">
        <v>14</v>
      </c>
      <c r="B48" s="765"/>
      <c r="C48" s="163">
        <f>SUMIF($G$7:$G$31,"Start Up",$F$7:$F$31)</f>
        <v>0</v>
      </c>
      <c r="D48" s="117">
        <f>+C48+'24'!D48</f>
        <v>0</v>
      </c>
      <c r="E48" s="142">
        <f t="shared" si="6"/>
        <v>0</v>
      </c>
      <c r="F48" s="321"/>
      <c r="G48" s="322"/>
      <c r="H48" s="187" t="s">
        <v>81</v>
      </c>
      <c r="I48" s="117">
        <f>I46/I40</f>
        <v>907.19976995871616</v>
      </c>
      <c r="J48" s="134">
        <f>J46/J40</f>
        <v>991.39217042713312</v>
      </c>
      <c r="K48" s="129" t="s">
        <v>24</v>
      </c>
    </row>
    <row r="49" spans="1:11" ht="17.45" customHeight="1">
      <c r="A49" s="764" t="s">
        <v>20</v>
      </c>
      <c r="B49" s="765"/>
      <c r="C49" s="163">
        <f>SUMIF($G$7:$G$31,"Others",$F$7:$F$31)</f>
        <v>0</v>
      </c>
      <c r="D49" s="117">
        <f>+C49+'24'!D49</f>
        <v>948</v>
      </c>
      <c r="E49" s="142">
        <f t="shared" si="6"/>
        <v>15.8</v>
      </c>
      <c r="F49" s="184"/>
      <c r="H49" s="187" t="s">
        <v>268</v>
      </c>
      <c r="I49" s="117">
        <f>+Report1!T33</f>
        <v>5296.4760316350139</v>
      </c>
      <c r="J49" s="134">
        <f>+I49+'24'!J49</f>
        <v>87772.684084798413</v>
      </c>
      <c r="K49" s="129" t="s">
        <v>82</v>
      </c>
    </row>
    <row r="50" spans="1:11" ht="17.45" customHeight="1">
      <c r="A50" s="764" t="s">
        <v>19</v>
      </c>
      <c r="B50" s="765"/>
      <c r="C50" s="163">
        <f>SUMIF($G$7:$G$31,"Steam",$F$7:$F$31)</f>
        <v>0</v>
      </c>
      <c r="D50" s="117">
        <f>+C50+'24'!D50</f>
        <v>0</v>
      </c>
      <c r="E50" s="142">
        <f t="shared" si="6"/>
        <v>0</v>
      </c>
      <c r="F50" s="184"/>
      <c r="H50" s="187" t="s">
        <v>83</v>
      </c>
      <c r="I50" s="139">
        <f>I49/I38</f>
        <v>139.64922170577725</v>
      </c>
      <c r="J50" s="132">
        <f>J49/J38</f>
        <v>124.56616633310733</v>
      </c>
      <c r="K50" s="129" t="s">
        <v>82</v>
      </c>
    </row>
    <row r="51" spans="1:11" ht="17.45" customHeight="1" thickBot="1">
      <c r="A51" s="758" t="s">
        <v>84</v>
      </c>
      <c r="B51" s="759"/>
      <c r="C51" s="163">
        <f>SUMIF($G$7:$G$31,"Planned shut",$F$7:$F$31)</f>
        <v>0</v>
      </c>
      <c r="D51" s="117">
        <f>+C51+'24'!D51</f>
        <v>10091</v>
      </c>
      <c r="E51" s="142">
        <f t="shared" si="6"/>
        <v>168.18333333333334</v>
      </c>
      <c r="F51" s="184"/>
      <c r="H51" s="189" t="s">
        <v>85</v>
      </c>
      <c r="I51" s="140">
        <f>I49/I40</f>
        <v>138.45548260665589</v>
      </c>
      <c r="J51" s="135">
        <f>J49/J40</f>
        <v>129.74298177238305</v>
      </c>
      <c r="K51" s="136" t="s">
        <v>82</v>
      </c>
    </row>
    <row r="52" spans="1:11" ht="13.5" thickBot="1">
      <c r="A52" s="760" t="s">
        <v>28</v>
      </c>
      <c r="B52" s="761"/>
      <c r="C52" s="143">
        <f>SUM(C38:C51)</f>
        <v>108</v>
      </c>
      <c r="D52" s="143">
        <f>SUM(D38:D51)</f>
        <v>12896</v>
      </c>
      <c r="E52" s="144">
        <f>SUM(E38:E51)</f>
        <v>214.93333333333334</v>
      </c>
      <c r="F52" s="184"/>
      <c r="H52" s="190"/>
      <c r="I52" s="191"/>
      <c r="J52" s="137"/>
      <c r="K52" s="138"/>
    </row>
    <row r="53" spans="1:11" ht="13.5" thickBot="1">
      <c r="A53" s="762"/>
      <c r="B53" s="763"/>
      <c r="C53" s="145">
        <f>C52/(24*60)</f>
        <v>7.4999999999999997E-2</v>
      </c>
      <c r="D53" s="145">
        <f>D52/(24*60*G4)</f>
        <v>0.35822222222222222</v>
      </c>
      <c r="E53" s="146">
        <f>E52/(G4*24)</f>
        <v>0.35822222222222222</v>
      </c>
      <c r="F53" s="184"/>
    </row>
    <row r="54" spans="1:11">
      <c r="E54" s="192"/>
      <c r="F54" s="184"/>
    </row>
    <row r="55" spans="1:11">
      <c r="E55" s="192"/>
    </row>
    <row r="56" spans="1:11">
      <c r="A56" s="193" t="s">
        <v>86</v>
      </c>
      <c r="B56" s="194"/>
      <c r="C56" s="195"/>
      <c r="D56" s="195"/>
      <c r="E56" s="195"/>
      <c r="F56" s="196"/>
      <c r="G56" s="195"/>
      <c r="H56" s="197"/>
      <c r="I56" s="198" t="s">
        <v>87</v>
      </c>
      <c r="J56" s="199">
        <f>+D34+'24'!J56</f>
        <v>1116</v>
      </c>
      <c r="K56" s="200">
        <f>J56/(J40+J56/1000)/1000</f>
        <v>1.6469213196621153E-3</v>
      </c>
    </row>
    <row r="57" spans="1:11">
      <c r="A57" s="175"/>
      <c r="I57" s="198" t="s">
        <v>88</v>
      </c>
      <c r="J57" s="199">
        <f>+E34+'24'!J57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A37:B37"/>
    <mergeCell ref="A38:B38"/>
    <mergeCell ref="A24:A32"/>
    <mergeCell ref="I24:I31"/>
    <mergeCell ref="I7:I13"/>
    <mergeCell ref="A15:A23"/>
    <mergeCell ref="I15:I22"/>
    <mergeCell ref="A34:B34"/>
    <mergeCell ref="A7:A14"/>
  </mergeCells>
  <phoneticPr fontId="32"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
  <sheetViews>
    <sheetView topLeftCell="D16" zoomScale="80" zoomScaleNormal="80" workbookViewId="0">
      <selection activeCell="I15" sqref="I15:I22"/>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4.42578125" style="148"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3.5703125" style="148" customWidth="1"/>
    <col min="14" max="16384" width="9.140625" style="148"/>
  </cols>
  <sheetData>
    <row r="1" spans="1:25" ht="15.75">
      <c r="A1" s="147"/>
    </row>
    <row r="2" spans="1:25" ht="15.75">
      <c r="A2" s="147" t="s">
        <v>182</v>
      </c>
    </row>
    <row r="3" spans="1:25" ht="15">
      <c r="A3" s="149"/>
    </row>
    <row r="4" spans="1:25" ht="20.25">
      <c r="A4" s="150" t="s">
        <v>3</v>
      </c>
      <c r="B4" s="151"/>
      <c r="F4" s="152" t="s">
        <v>29</v>
      </c>
      <c r="G4" s="153">
        <v>24</v>
      </c>
      <c r="H4" s="153" t="str">
        <f>+'1'!H4</f>
        <v>.03.26</v>
      </c>
    </row>
    <row r="5" spans="1:25" ht="13.5" thickBot="1">
      <c r="C5" s="154"/>
      <c r="D5" s="154"/>
    </row>
    <row r="6" spans="1:25"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532</v>
      </c>
      <c r="O6" s="148">
        <v>1000</v>
      </c>
      <c r="P6" s="148">
        <f>+O6-(O6*0.24)</f>
        <v>760</v>
      </c>
      <c r="Q6" s="148">
        <f>60-21+240+30</f>
        <v>309</v>
      </c>
      <c r="R6" s="148">
        <f t="shared" ref="R6" si="0">+O6*Q6</f>
        <v>309000</v>
      </c>
      <c r="S6" s="148">
        <f t="shared" ref="S6" si="1">+P6*Q6</f>
        <v>234840</v>
      </c>
      <c r="T6" s="148" t="s">
        <v>532</v>
      </c>
      <c r="U6" s="148">
        <v>1000</v>
      </c>
      <c r="V6" s="148">
        <f>+U6-(U6*0.24)</f>
        <v>760</v>
      </c>
      <c r="W6" s="148">
        <f>60-21+240+30</f>
        <v>309</v>
      </c>
      <c r="X6" s="148">
        <f t="shared" ref="X6:X9" si="2">+U6*W6</f>
        <v>309000</v>
      </c>
      <c r="Y6" s="148">
        <f t="shared" ref="Y6:Y9" si="3">+V6*W6</f>
        <v>234840</v>
      </c>
    </row>
    <row r="7" spans="1:25" ht="13.5" customHeight="1" thickBot="1">
      <c r="A7" s="770" t="s">
        <v>457</v>
      </c>
      <c r="B7" s="214" t="s">
        <v>556</v>
      </c>
      <c r="C7" s="215">
        <v>3147</v>
      </c>
      <c r="D7" s="216"/>
      <c r="E7" s="217"/>
      <c r="F7" s="227">
        <v>20</v>
      </c>
      <c r="G7" s="228" t="s">
        <v>12</v>
      </c>
      <c r="H7" s="229" t="s">
        <v>497</v>
      </c>
      <c r="I7" s="773" t="s">
        <v>724</v>
      </c>
      <c r="J7" s="213" t="str">
        <f>+'23'!J7</f>
        <v>F 12 VP OW</v>
      </c>
      <c r="K7" s="237"/>
      <c r="L7" s="241"/>
      <c r="M7" s="116">
        <f>+K7+'23'!M7+L7</f>
        <v>136522</v>
      </c>
      <c r="O7" s="148">
        <v>1180</v>
      </c>
      <c r="P7" s="148">
        <f t="shared" ref="P7:P9" si="4">+O7-(O7*0.24)</f>
        <v>896.8</v>
      </c>
      <c r="Q7" s="148">
        <f>50-30</f>
        <v>20</v>
      </c>
      <c r="R7" s="148">
        <f t="shared" ref="R7:R9" si="5">+O7*Q7</f>
        <v>23600</v>
      </c>
      <c r="S7" s="148">
        <f t="shared" ref="S7:S9" si="6">+P7*Q7</f>
        <v>17936</v>
      </c>
      <c r="U7" s="148">
        <v>1180</v>
      </c>
      <c r="V7" s="148">
        <f t="shared" ref="V7:V9" si="7">+U7-(U7*0.24)</f>
        <v>896.8</v>
      </c>
      <c r="W7" s="148">
        <f>50-30</f>
        <v>20</v>
      </c>
      <c r="X7" s="148">
        <f t="shared" si="2"/>
        <v>23600</v>
      </c>
      <c r="Y7" s="148">
        <f t="shared" si="3"/>
        <v>17936</v>
      </c>
    </row>
    <row r="8" spans="1:25" ht="13.5" thickBot="1">
      <c r="A8" s="771"/>
      <c r="B8" s="214"/>
      <c r="C8" s="215"/>
      <c r="D8" s="216"/>
      <c r="E8" s="218"/>
      <c r="F8" s="230"/>
      <c r="G8" s="231" t="s">
        <v>12</v>
      </c>
      <c r="H8" s="229" t="s">
        <v>283</v>
      </c>
      <c r="I8" s="774"/>
      <c r="J8" s="213" t="str">
        <f>+'23'!J8</f>
        <v>F 14 VP OW</v>
      </c>
      <c r="K8" s="238"/>
      <c r="L8" s="238"/>
      <c r="M8" s="116">
        <f>+K8+'23'!M8+L8</f>
        <v>89126</v>
      </c>
      <c r="O8" s="148">
        <f>+O7-20</f>
        <v>1160</v>
      </c>
      <c r="P8" s="148">
        <f t="shared" si="4"/>
        <v>881.6</v>
      </c>
      <c r="Q8" s="148">
        <f>53-50</f>
        <v>3</v>
      </c>
      <c r="R8" s="148">
        <f t="shared" si="5"/>
        <v>3480</v>
      </c>
      <c r="S8" s="148">
        <f t="shared" si="6"/>
        <v>2644.8</v>
      </c>
      <c r="U8" s="148">
        <f>+U7-20</f>
        <v>1160</v>
      </c>
      <c r="V8" s="148">
        <f t="shared" si="7"/>
        <v>881.6</v>
      </c>
      <c r="W8" s="148">
        <f>53-50</f>
        <v>3</v>
      </c>
      <c r="X8" s="148">
        <f t="shared" si="2"/>
        <v>3480</v>
      </c>
      <c r="Y8" s="148">
        <f t="shared" si="3"/>
        <v>2644.8</v>
      </c>
    </row>
    <row r="9" spans="1:25" ht="13.5" thickBot="1">
      <c r="A9" s="771"/>
      <c r="B9" s="214"/>
      <c r="C9" s="215"/>
      <c r="D9" s="216"/>
      <c r="E9" s="219"/>
      <c r="F9" s="227">
        <v>11</v>
      </c>
      <c r="G9" s="231" t="s">
        <v>12</v>
      </c>
      <c r="H9" s="232" t="s">
        <v>482</v>
      </c>
      <c r="I9" s="774"/>
      <c r="J9" s="213" t="str">
        <f>+'23'!J9</f>
        <v>F 16 VP OW</v>
      </c>
      <c r="K9" s="238"/>
      <c r="L9" s="238"/>
      <c r="M9" s="116">
        <f>+K9+'23'!M9+L9</f>
        <v>104726</v>
      </c>
      <c r="O9" s="148">
        <v>1100</v>
      </c>
      <c r="P9" s="148">
        <f t="shared" si="4"/>
        <v>836</v>
      </c>
      <c r="Q9" s="148">
        <f>60-53+60</f>
        <v>67</v>
      </c>
      <c r="R9" s="148">
        <f t="shared" si="5"/>
        <v>73700</v>
      </c>
      <c r="S9" s="148">
        <f t="shared" si="6"/>
        <v>56012</v>
      </c>
      <c r="U9" s="148">
        <v>1100</v>
      </c>
      <c r="V9" s="148">
        <f t="shared" si="7"/>
        <v>836</v>
      </c>
      <c r="W9" s="148">
        <f>60-53+60</f>
        <v>67</v>
      </c>
      <c r="X9" s="148">
        <f t="shared" si="2"/>
        <v>73700</v>
      </c>
      <c r="Y9" s="148">
        <f t="shared" si="3"/>
        <v>56012</v>
      </c>
    </row>
    <row r="10" spans="1:25" ht="39" thickBot="1">
      <c r="A10" s="771"/>
      <c r="B10" s="214"/>
      <c r="C10" s="215"/>
      <c r="D10" s="216"/>
      <c r="E10" s="218"/>
      <c r="F10" s="227"/>
      <c r="G10" s="236" t="s">
        <v>13</v>
      </c>
      <c r="H10" s="232" t="s">
        <v>702</v>
      </c>
      <c r="I10" s="774"/>
      <c r="J10" s="213" t="str">
        <f>+'23'!J10</f>
        <v>F 13,5 VP OW</v>
      </c>
      <c r="K10" s="238"/>
      <c r="L10" s="238"/>
      <c r="M10" s="116">
        <f>+K10+'23'!M10+L10</f>
        <v>10827</v>
      </c>
      <c r="T10" s="148" t="s">
        <v>532</v>
      </c>
      <c r="U10" s="148">
        <v>1180</v>
      </c>
      <c r="V10" s="148">
        <v>896.8</v>
      </c>
      <c r="W10" s="148">
        <v>422</v>
      </c>
      <c r="X10" s="148">
        <f t="shared" ref="X10" si="8">+U10*W10</f>
        <v>497960</v>
      </c>
      <c r="Y10" s="148">
        <f t="shared" ref="Y10" si="9">+V10*W10</f>
        <v>378449.6</v>
      </c>
    </row>
    <row r="11" spans="1:25" ht="160.5" customHeight="1" thickBot="1">
      <c r="A11" s="771"/>
      <c r="B11" s="214"/>
      <c r="C11" s="215"/>
      <c r="D11" s="216"/>
      <c r="E11" s="218"/>
      <c r="F11" s="227">
        <f>18+7</f>
        <v>25</v>
      </c>
      <c r="G11" s="231" t="s">
        <v>68</v>
      </c>
      <c r="H11" s="232" t="s">
        <v>778</v>
      </c>
      <c r="I11" s="774"/>
      <c r="J11" s="213" t="str">
        <f>+'23'!J11</f>
        <v>F 13 VP OW</v>
      </c>
      <c r="K11" s="238"/>
      <c r="L11" s="238"/>
      <c r="M11" s="116">
        <f>+K11+'23'!M11+L11</f>
        <v>19832</v>
      </c>
    </row>
    <row r="12" spans="1:25" ht="13.5" thickBot="1">
      <c r="A12" s="771"/>
      <c r="B12" s="214"/>
      <c r="C12" s="215"/>
      <c r="D12" s="216"/>
      <c r="E12" s="218"/>
      <c r="F12" s="227">
        <f>60+21</f>
        <v>81</v>
      </c>
      <c r="G12" s="231" t="s">
        <v>675</v>
      </c>
      <c r="H12" s="232" t="s">
        <v>714</v>
      </c>
      <c r="I12" s="774"/>
      <c r="J12" s="213" t="str">
        <f>+'23'!J12</f>
        <v>T 14 VP OW</v>
      </c>
      <c r="K12" s="238">
        <f>+C7+C16+C25</f>
        <v>18322</v>
      </c>
      <c r="L12" s="238"/>
      <c r="M12" s="116">
        <f>+K12+'23'!M12+L12</f>
        <v>28770</v>
      </c>
    </row>
    <row r="13" spans="1:25" ht="13.5" thickBot="1">
      <c r="A13" s="771"/>
      <c r="B13" s="214"/>
      <c r="C13" s="215"/>
      <c r="D13" s="215"/>
      <c r="E13" s="218"/>
      <c r="F13" s="227">
        <v>105</v>
      </c>
      <c r="G13" s="231" t="s">
        <v>675</v>
      </c>
      <c r="H13" s="232" t="s">
        <v>779</v>
      </c>
      <c r="I13" s="775"/>
      <c r="J13" s="213" t="str">
        <f>+'23'!J13</f>
        <v>F 11,5 VP OW</v>
      </c>
      <c r="K13" s="238"/>
      <c r="L13" s="238"/>
      <c r="M13" s="116">
        <f>+K13+'23'!M13+L13</f>
        <v>53931</v>
      </c>
      <c r="Q13" s="175">
        <f>SUM(Q6:Q12)</f>
        <v>399</v>
      </c>
      <c r="R13" s="175">
        <f>SUM(R6:R12)</f>
        <v>409780</v>
      </c>
      <c r="S13" s="175">
        <f>SUM(S6:S12)</f>
        <v>311432.8</v>
      </c>
      <c r="W13" s="175">
        <f>SUM(W6:W12)</f>
        <v>821</v>
      </c>
      <c r="X13" s="175">
        <f>SUM(X6:X12)</f>
        <v>907740</v>
      </c>
      <c r="Y13" s="175">
        <f>SUM(Y6:Y12)</f>
        <v>689882.39999999991</v>
      </c>
    </row>
    <row r="14" spans="1:25" ht="13.5" thickBot="1">
      <c r="A14" s="772"/>
      <c r="B14" s="164" t="s">
        <v>2</v>
      </c>
      <c r="C14" s="98">
        <f>SUM(C7:C13)</f>
        <v>3147</v>
      </c>
      <c r="D14" s="110">
        <f>SUM(D7:D13)</f>
        <v>0</v>
      </c>
      <c r="E14" s="111">
        <f>SUM(E5:E13)</f>
        <v>0</v>
      </c>
      <c r="F14" s="115">
        <f>SUM(F7:F13)</f>
        <v>242</v>
      </c>
      <c r="G14" s="158"/>
      <c r="H14" s="165"/>
      <c r="I14" s="166"/>
      <c r="J14" s="213" t="str">
        <f>+'23'!J14</f>
        <v>F 12,5 VP OW</v>
      </c>
      <c r="K14" s="238"/>
      <c r="L14" s="238"/>
      <c r="M14" s="116">
        <f>+K14+'23'!M14+L14</f>
        <v>10132</v>
      </c>
      <c r="Q14" s="148">
        <f>480-Q13</f>
        <v>81</v>
      </c>
      <c r="R14" s="175">
        <f>+R13/Q13</f>
        <v>1027.0175438596491</v>
      </c>
      <c r="S14" s="175">
        <f>+S13/Q13</f>
        <v>780.5333333333333</v>
      </c>
      <c r="W14" s="148">
        <f>480-W13</f>
        <v>-341</v>
      </c>
      <c r="X14" s="175">
        <f>+X13/W13</f>
        <v>1105.6516443361754</v>
      </c>
      <c r="Y14" s="175">
        <f>+Y13/W13</f>
        <v>840.29524969549323</v>
      </c>
    </row>
    <row r="15" spans="1:25" ht="13.5" customHeight="1" thickBot="1">
      <c r="A15" s="770" t="s">
        <v>390</v>
      </c>
      <c r="B15" s="164"/>
      <c r="C15" s="112">
        <f>C14/($C$23+$D$23+$E$23)</f>
        <v>0.2631931086392908</v>
      </c>
      <c r="D15" s="113">
        <f>D14/($C$23+$D$23+$E$23)</f>
        <v>0</v>
      </c>
      <c r="E15" s="114">
        <f>E14/($C$23+$D$23+$E$23)</f>
        <v>0</v>
      </c>
      <c r="F15" s="227"/>
      <c r="G15" s="228" t="s">
        <v>12</v>
      </c>
      <c r="H15" s="229" t="s">
        <v>384</v>
      </c>
      <c r="I15" s="773" t="s">
        <v>723</v>
      </c>
      <c r="J15" s="213" t="str">
        <f>+'23'!J15</f>
        <v>T 13 VP OW</v>
      </c>
      <c r="K15" s="238"/>
      <c r="L15" s="238"/>
      <c r="M15" s="116">
        <f>+K15+'23'!M15+L15</f>
        <v>124865</v>
      </c>
    </row>
    <row r="16" spans="1:25" ht="13.5" thickBot="1">
      <c r="A16" s="776"/>
      <c r="B16" s="214" t="s">
        <v>556</v>
      </c>
      <c r="C16" s="221">
        <v>11957</v>
      </c>
      <c r="D16" s="222"/>
      <c r="E16" s="223"/>
      <c r="F16" s="230">
        <v>2</v>
      </c>
      <c r="G16" s="231" t="s">
        <v>12</v>
      </c>
      <c r="H16" s="229" t="s">
        <v>414</v>
      </c>
      <c r="I16" s="774"/>
      <c r="J16" s="213" t="str">
        <f>+'23'!J16</f>
        <v>T 12,5 VP OW</v>
      </c>
      <c r="K16" s="228">
        <f>+C26</f>
        <v>6839</v>
      </c>
      <c r="L16" s="228"/>
      <c r="M16" s="116">
        <f>+K16+'23'!M16+L16</f>
        <v>59527</v>
      </c>
      <c r="N16" s="148" t="s">
        <v>532</v>
      </c>
      <c r="O16" s="148">
        <v>1180</v>
      </c>
      <c r="P16" s="148">
        <f>+O16-(O16*0.24)</f>
        <v>896.8</v>
      </c>
      <c r="Q16" s="148">
        <f>60*7+2</f>
        <v>422</v>
      </c>
      <c r="R16" s="148">
        <f t="shared" ref="R16:R19" si="10">+O16*Q16</f>
        <v>497960</v>
      </c>
      <c r="S16" s="148">
        <f t="shared" ref="S16:S19" si="11">+P16*Q16</f>
        <v>378449.6</v>
      </c>
      <c r="T16" s="148" t="s">
        <v>614</v>
      </c>
      <c r="U16" s="148">
        <v>1180</v>
      </c>
      <c r="V16" s="148">
        <v>920.4</v>
      </c>
      <c r="W16" s="148">
        <v>18</v>
      </c>
      <c r="X16" s="148">
        <f t="shared" ref="X16:X20" si="12">+U16*W16</f>
        <v>21240</v>
      </c>
      <c r="Y16" s="148">
        <f t="shared" ref="Y16:Y20" si="13">+V16*W16</f>
        <v>16567.2</v>
      </c>
    </row>
    <row r="17" spans="1:25" ht="13.5" thickBot="1">
      <c r="A17" s="776"/>
      <c r="B17" s="214"/>
      <c r="C17" s="215"/>
      <c r="D17" s="216"/>
      <c r="E17" s="224"/>
      <c r="F17" s="227">
        <v>14</v>
      </c>
      <c r="G17" s="231" t="s">
        <v>12</v>
      </c>
      <c r="H17" s="232" t="s">
        <v>433</v>
      </c>
      <c r="I17" s="774"/>
      <c r="J17" s="213">
        <f>+'23'!J17</f>
        <v>0</v>
      </c>
      <c r="K17" s="228"/>
      <c r="L17" s="228"/>
      <c r="M17" s="116">
        <f>+K17+'23'!M17+L17</f>
        <v>0</v>
      </c>
      <c r="N17" s="148" t="s">
        <v>614</v>
      </c>
      <c r="O17" s="148">
        <v>1180</v>
      </c>
      <c r="P17" s="148">
        <f>+O17-(O17*0.22)</f>
        <v>920.4</v>
      </c>
      <c r="Q17" s="148">
        <f>20-2</f>
        <v>18</v>
      </c>
      <c r="R17" s="148">
        <f t="shared" si="10"/>
        <v>21240</v>
      </c>
      <c r="S17" s="148">
        <f t="shared" si="11"/>
        <v>16567.2</v>
      </c>
      <c r="U17" s="148">
        <v>1100</v>
      </c>
      <c r="V17" s="148">
        <v>858</v>
      </c>
      <c r="W17" s="148">
        <v>35</v>
      </c>
      <c r="X17" s="148">
        <f t="shared" si="12"/>
        <v>38500</v>
      </c>
      <c r="Y17" s="148">
        <f t="shared" si="13"/>
        <v>30030</v>
      </c>
    </row>
    <row r="18" spans="1:25" ht="26.25" thickBot="1">
      <c r="A18" s="776"/>
      <c r="B18" s="214"/>
      <c r="C18" s="215"/>
      <c r="D18" s="216"/>
      <c r="E18" s="224"/>
      <c r="F18" s="227"/>
      <c r="G18" s="236" t="s">
        <v>13</v>
      </c>
      <c r="H18" s="232" t="s">
        <v>711</v>
      </c>
      <c r="I18" s="774"/>
      <c r="J18" s="213">
        <f>+'23'!J18</f>
        <v>0</v>
      </c>
      <c r="K18" s="238"/>
      <c r="L18" s="238"/>
      <c r="M18" s="116">
        <f>+K18+'23'!M18+L18</f>
        <v>0</v>
      </c>
      <c r="O18" s="148">
        <v>1100</v>
      </c>
      <c r="P18" s="148">
        <f>+O18-(O18*0.22)</f>
        <v>858</v>
      </c>
      <c r="Q18" s="148">
        <f>55-20</f>
        <v>35</v>
      </c>
      <c r="R18" s="148">
        <f t="shared" si="10"/>
        <v>38500</v>
      </c>
      <c r="S18" s="148">
        <f t="shared" si="11"/>
        <v>30030</v>
      </c>
      <c r="U18" s="148">
        <v>1180</v>
      </c>
      <c r="V18" s="148">
        <v>920.4</v>
      </c>
      <c r="W18" s="148">
        <v>5</v>
      </c>
      <c r="X18" s="148">
        <f t="shared" si="12"/>
        <v>5900</v>
      </c>
      <c r="Y18" s="148">
        <f t="shared" si="13"/>
        <v>4602</v>
      </c>
    </row>
    <row r="19" spans="1:25" ht="13.5" thickBot="1">
      <c r="A19" s="776"/>
      <c r="B19" s="214"/>
      <c r="C19" s="215"/>
      <c r="D19" s="216"/>
      <c r="E19" s="224"/>
      <c r="F19" s="227">
        <f>35+10</f>
        <v>45</v>
      </c>
      <c r="G19" s="231" t="s">
        <v>68</v>
      </c>
      <c r="H19" s="232" t="s">
        <v>712</v>
      </c>
      <c r="I19" s="774"/>
      <c r="J19" s="213">
        <f>+'23'!J19</f>
        <v>0</v>
      </c>
      <c r="K19" s="238"/>
      <c r="L19" s="238">
        <v>0</v>
      </c>
      <c r="M19" s="116">
        <f>+K19+'23'!M19+L19</f>
        <v>0</v>
      </c>
      <c r="O19" s="148">
        <v>1180</v>
      </c>
      <c r="P19" s="148">
        <f>+O19-(O19*0.22)</f>
        <v>920.4</v>
      </c>
      <c r="Q19" s="148">
        <f>60-55</f>
        <v>5</v>
      </c>
      <c r="R19" s="148">
        <f t="shared" si="10"/>
        <v>5900</v>
      </c>
      <c r="S19" s="148">
        <f t="shared" si="11"/>
        <v>4602</v>
      </c>
      <c r="T19" s="148" t="s">
        <v>614</v>
      </c>
      <c r="U19" s="148">
        <v>1180</v>
      </c>
      <c r="V19" s="148">
        <v>920.4</v>
      </c>
      <c r="W19" s="148">
        <v>322</v>
      </c>
      <c r="X19" s="148">
        <f t="shared" si="12"/>
        <v>379960</v>
      </c>
      <c r="Y19" s="148">
        <f t="shared" si="13"/>
        <v>296368.8</v>
      </c>
    </row>
    <row r="20" spans="1:25" ht="160.5" customHeight="1" thickBot="1">
      <c r="A20" s="776"/>
      <c r="B20" s="214"/>
      <c r="C20" s="215"/>
      <c r="D20" s="216"/>
      <c r="E20" s="224"/>
      <c r="F20" s="227"/>
      <c r="G20" s="231"/>
      <c r="H20" s="232" t="s">
        <v>713</v>
      </c>
      <c r="I20" s="774"/>
      <c r="J20" s="213">
        <f>+'23'!J20</f>
        <v>0</v>
      </c>
      <c r="K20" s="239"/>
      <c r="L20" s="239">
        <v>0</v>
      </c>
      <c r="M20" s="116">
        <f>+K20+'23'!M20+L20</f>
        <v>0</v>
      </c>
      <c r="U20" s="148">
        <v>1180</v>
      </c>
      <c r="V20" s="148">
        <v>920.4</v>
      </c>
      <c r="W20" s="148">
        <v>53</v>
      </c>
      <c r="X20" s="148">
        <f t="shared" si="12"/>
        <v>62540</v>
      </c>
      <c r="Y20" s="148">
        <f t="shared" si="13"/>
        <v>48781.2</v>
      </c>
    </row>
    <row r="21" spans="1:25" ht="13.5" thickBot="1">
      <c r="A21" s="776"/>
      <c r="B21" s="214"/>
      <c r="C21" s="215"/>
      <c r="D21" s="216"/>
      <c r="E21" s="224"/>
      <c r="F21" s="230"/>
      <c r="G21" s="231"/>
      <c r="H21" s="232"/>
      <c r="I21" s="774"/>
      <c r="J21" s="213">
        <f>+'23'!J21</f>
        <v>0</v>
      </c>
      <c r="K21" s="238"/>
      <c r="L21" s="238">
        <v>0</v>
      </c>
      <c r="M21" s="116">
        <f>+K21+'23'!M21+L21</f>
        <v>0</v>
      </c>
      <c r="U21" s="148">
        <v>1150</v>
      </c>
      <c r="V21" s="148">
        <v>897</v>
      </c>
      <c r="W21" s="148">
        <v>105</v>
      </c>
    </row>
    <row r="22" spans="1:25" ht="13.5" thickBot="1">
      <c r="A22" s="776"/>
      <c r="B22" s="214"/>
      <c r="C22" s="215"/>
      <c r="D22" s="216"/>
      <c r="E22" s="224"/>
      <c r="F22" s="235"/>
      <c r="G22" s="231"/>
      <c r="H22" s="232"/>
      <c r="I22" s="775"/>
      <c r="J22" s="213">
        <f>+'23'!J22</f>
        <v>0</v>
      </c>
      <c r="K22" s="238"/>
      <c r="L22" s="238">
        <v>0</v>
      </c>
      <c r="M22" s="116">
        <f>+K22+'23'!M22+L22</f>
        <v>0</v>
      </c>
    </row>
    <row r="23" spans="1:25" ht="13.5" thickBot="1">
      <c r="A23" s="777"/>
      <c r="B23" s="167" t="s">
        <v>2</v>
      </c>
      <c r="C23" s="99">
        <f>SUM(C16:C22)</f>
        <v>11957</v>
      </c>
      <c r="D23" s="110">
        <f>SUM(D16:D22)</f>
        <v>0</v>
      </c>
      <c r="E23" s="111">
        <f>SUM(E18:E22)</f>
        <v>0</v>
      </c>
      <c r="F23" s="115">
        <f>SUM(F15:F22)</f>
        <v>61</v>
      </c>
      <c r="G23" s="158"/>
      <c r="H23" s="165"/>
      <c r="I23" s="168"/>
      <c r="J23" s="213">
        <f>+'23'!J23</f>
        <v>0</v>
      </c>
      <c r="K23" s="238"/>
      <c r="L23" s="238"/>
      <c r="M23" s="116">
        <f>+K23+'23'!M23+L23</f>
        <v>0</v>
      </c>
      <c r="Q23" s="175">
        <f>SUM(Q16:Q22)</f>
        <v>480</v>
      </c>
      <c r="R23" s="175">
        <f>SUM(R16:R22)</f>
        <v>563600</v>
      </c>
      <c r="S23" s="175">
        <f>SUM(S16:S22)</f>
        <v>429648.8</v>
      </c>
    </row>
    <row r="24" spans="1:25" ht="13.5" customHeight="1" thickBot="1">
      <c r="A24" s="770" t="s">
        <v>391</v>
      </c>
      <c r="B24" s="169"/>
      <c r="C24" s="112">
        <f>C23/($C$23+$D$23+$E$23)</f>
        <v>1</v>
      </c>
      <c r="D24" s="113">
        <f>D23/($C$23+$D$23+$E$23)</f>
        <v>0</v>
      </c>
      <c r="E24" s="114">
        <f>E23/($C$23+$D$23+$E$23)</f>
        <v>0</v>
      </c>
      <c r="F24" s="227"/>
      <c r="G24" s="228" t="s">
        <v>12</v>
      </c>
      <c r="H24" s="229" t="s">
        <v>384</v>
      </c>
      <c r="I24" s="773" t="s">
        <v>716</v>
      </c>
      <c r="J24" s="213">
        <f>+'23'!J24</f>
        <v>0</v>
      </c>
      <c r="K24" s="238"/>
      <c r="L24" s="238"/>
      <c r="M24" s="116">
        <f>+K24+'23'!M24+L24</f>
        <v>0</v>
      </c>
      <c r="Q24" s="148">
        <f>480-Q23</f>
        <v>0</v>
      </c>
      <c r="R24" s="175">
        <f>+R23/Q23</f>
        <v>1174.1666666666667</v>
      </c>
      <c r="S24" s="175">
        <f>+S23/Q23</f>
        <v>895.10166666666669</v>
      </c>
    </row>
    <row r="25" spans="1:25" ht="13.5" thickBot="1">
      <c r="A25" s="776"/>
      <c r="B25" s="214" t="s">
        <v>556</v>
      </c>
      <c r="C25" s="225">
        <v>3218</v>
      </c>
      <c r="D25" s="216"/>
      <c r="E25" s="224"/>
      <c r="F25" s="230">
        <v>7</v>
      </c>
      <c r="G25" s="231" t="s">
        <v>12</v>
      </c>
      <c r="H25" s="229" t="s">
        <v>718</v>
      </c>
      <c r="I25" s="774"/>
      <c r="J25" s="213">
        <f>+'23'!J25</f>
        <v>0</v>
      </c>
      <c r="K25" s="238"/>
      <c r="L25" s="238"/>
      <c r="M25" s="116">
        <f>+K25+'23'!M25+L25</f>
        <v>0</v>
      </c>
      <c r="W25" s="175">
        <f>SUM(W16:W22)</f>
        <v>538</v>
      </c>
      <c r="X25" s="175">
        <f>SUM(X16:X22)</f>
        <v>508140</v>
      </c>
      <c r="Y25" s="175">
        <f>SUM(Y16:Y22)</f>
        <v>396349.2</v>
      </c>
    </row>
    <row r="26" spans="1:25" ht="13.5" thickBot="1">
      <c r="A26" s="776"/>
      <c r="B26" s="214" t="s">
        <v>623</v>
      </c>
      <c r="C26" s="225">
        <v>6839</v>
      </c>
      <c r="D26" s="216"/>
      <c r="E26" s="226"/>
      <c r="F26" s="227">
        <v>10</v>
      </c>
      <c r="G26" s="231" t="s">
        <v>12</v>
      </c>
      <c r="H26" s="232" t="s">
        <v>482</v>
      </c>
      <c r="I26" s="774"/>
      <c r="J26" s="213">
        <f>+'23'!J26</f>
        <v>0</v>
      </c>
      <c r="K26" s="238"/>
      <c r="L26" s="238"/>
      <c r="M26" s="116">
        <f>+K26+'23'!M26+L26</f>
        <v>0</v>
      </c>
      <c r="N26" s="148" t="s">
        <v>614</v>
      </c>
      <c r="O26" s="148">
        <v>1180</v>
      </c>
      <c r="P26" s="148">
        <f>+O26-(O26*0.22)</f>
        <v>920.4</v>
      </c>
      <c r="Q26" s="148">
        <f>60*5+22</f>
        <v>322</v>
      </c>
      <c r="R26" s="148">
        <f t="shared" ref="R26" si="14">+O26*Q26</f>
        <v>379960</v>
      </c>
      <c r="S26" s="148">
        <f t="shared" ref="S26" si="15">+P26*Q26</f>
        <v>296368.8</v>
      </c>
      <c r="W26" s="148">
        <f>480-W25</f>
        <v>-58</v>
      </c>
      <c r="X26" s="175">
        <f>+X25/W25</f>
        <v>944.49814126394051</v>
      </c>
      <c r="Y26" s="175">
        <f>+Y25/W25</f>
        <v>736.70855018587361</v>
      </c>
    </row>
    <row r="27" spans="1:25" ht="39" thickBot="1">
      <c r="A27" s="776"/>
      <c r="B27" s="214"/>
      <c r="C27" s="215"/>
      <c r="D27" s="216"/>
      <c r="E27" s="224"/>
      <c r="F27" s="227"/>
      <c r="G27" s="236" t="s">
        <v>13</v>
      </c>
      <c r="H27" s="232" t="s">
        <v>715</v>
      </c>
      <c r="I27" s="774"/>
      <c r="J27" s="213">
        <f>+'23'!J27</f>
        <v>0</v>
      </c>
      <c r="K27" s="238"/>
      <c r="L27" s="238"/>
      <c r="M27" s="116">
        <f>+K27+'23'!M27+L27</f>
        <v>0</v>
      </c>
      <c r="O27" s="148">
        <v>1180</v>
      </c>
      <c r="P27" s="148">
        <f t="shared" ref="P27:P28" si="16">+O27-(O27*0.22)</f>
        <v>920.4</v>
      </c>
      <c r="Q27" s="148">
        <f>60-22+15</f>
        <v>53</v>
      </c>
      <c r="R27" s="148">
        <f t="shared" ref="R27:R28" si="17">+O27*Q27</f>
        <v>62540</v>
      </c>
      <c r="S27" s="148">
        <f t="shared" ref="S27:S28" si="18">+P27*Q27</f>
        <v>48781.2</v>
      </c>
    </row>
    <row r="28" spans="1:25" ht="102.75" thickBot="1">
      <c r="A28" s="776"/>
      <c r="B28" s="214"/>
      <c r="C28" s="215"/>
      <c r="D28" s="216"/>
      <c r="E28" s="224"/>
      <c r="F28" s="230">
        <f>27+17</f>
        <v>44</v>
      </c>
      <c r="G28" s="231" t="s">
        <v>68</v>
      </c>
      <c r="H28" s="232" t="s">
        <v>709</v>
      </c>
      <c r="I28" s="774"/>
      <c r="J28" s="213">
        <f>+'23'!J28</f>
        <v>0</v>
      </c>
      <c r="K28" s="238"/>
      <c r="L28" s="238"/>
      <c r="M28" s="116">
        <f>+K28+'23'!M28+L28</f>
        <v>0</v>
      </c>
      <c r="O28" s="148">
        <v>1150</v>
      </c>
      <c r="P28" s="148">
        <f t="shared" si="16"/>
        <v>897</v>
      </c>
      <c r="Q28" s="148">
        <f>60-15+60</f>
        <v>105</v>
      </c>
      <c r="R28" s="148">
        <f t="shared" si="17"/>
        <v>120750</v>
      </c>
      <c r="S28" s="148">
        <f t="shared" si="18"/>
        <v>94185</v>
      </c>
    </row>
    <row r="29" spans="1:25" ht="26.25" thickBot="1">
      <c r="A29" s="776"/>
      <c r="B29" s="214"/>
      <c r="C29" s="215"/>
      <c r="D29" s="216"/>
      <c r="E29" s="224"/>
      <c r="F29" s="235"/>
      <c r="G29" s="231"/>
      <c r="H29" s="232" t="s">
        <v>710</v>
      </c>
      <c r="I29" s="774"/>
      <c r="J29" s="213">
        <f>+'23'!J29</f>
        <v>0</v>
      </c>
      <c r="K29" s="238"/>
      <c r="L29" s="238"/>
      <c r="M29" s="116">
        <f>+K29+'23'!M29+L29</f>
        <v>0</v>
      </c>
    </row>
    <row r="30" spans="1:25" ht="13.5" thickBot="1">
      <c r="A30" s="776"/>
      <c r="B30" s="214"/>
      <c r="C30" s="225"/>
      <c r="D30" s="216"/>
      <c r="E30" s="224"/>
      <c r="F30" s="235"/>
      <c r="G30" s="231"/>
      <c r="H30" s="232"/>
      <c r="I30" s="774"/>
      <c r="J30" s="213">
        <f>+'23'!J30</f>
        <v>0</v>
      </c>
      <c r="K30" s="238"/>
      <c r="L30" s="238"/>
      <c r="M30" s="116">
        <f>+K30+'23'!M30+L30</f>
        <v>0</v>
      </c>
    </row>
    <row r="31" spans="1:25" ht="13.5" thickBot="1">
      <c r="A31" s="776"/>
      <c r="B31" s="214"/>
      <c r="C31" s="225"/>
      <c r="D31" s="216"/>
      <c r="E31" s="224"/>
      <c r="F31" s="235"/>
      <c r="G31" s="236"/>
      <c r="H31" s="443"/>
      <c r="I31" s="775"/>
      <c r="J31" s="213">
        <f>+'23'!J31</f>
        <v>0</v>
      </c>
      <c r="K31" s="238"/>
      <c r="L31" s="238"/>
      <c r="M31" s="116">
        <f>+K31+'23'!M31+L31</f>
        <v>0</v>
      </c>
    </row>
    <row r="32" spans="1:25" ht="13.5" thickBot="1">
      <c r="A32" s="777"/>
      <c r="B32" s="164" t="s">
        <v>2</v>
      </c>
      <c r="C32" s="98">
        <f>SUM(C25:C31)</f>
        <v>10057</v>
      </c>
      <c r="D32" s="99">
        <f>SUM(D25:D31)</f>
        <v>0</v>
      </c>
      <c r="E32" s="100">
        <f>SUM(E25:E31)</f>
        <v>0</v>
      </c>
      <c r="F32" s="101">
        <f>SUM(F24:F31)</f>
        <v>61</v>
      </c>
      <c r="G32" s="170"/>
      <c r="H32" s="171"/>
      <c r="I32" s="168"/>
      <c r="J32" s="213">
        <f>+'23'!J32</f>
        <v>0</v>
      </c>
      <c r="K32" s="240"/>
      <c r="L32" s="242"/>
      <c r="M32" s="116">
        <f>+K32+'23'!M32+L32</f>
        <v>0</v>
      </c>
    </row>
    <row r="33" spans="1:25" ht="13.5" thickBot="1">
      <c r="A33" s="172"/>
      <c r="B33" s="173"/>
      <c r="C33" s="102">
        <f>C32/($C$32+$D$32+$E$32)</f>
        <v>1</v>
      </c>
      <c r="D33" s="103">
        <f>D32/($C$32+$D$32+$E$32)</f>
        <v>0</v>
      </c>
      <c r="E33" s="104">
        <f>E32/($C$32+$D$32+$E$32)</f>
        <v>0</v>
      </c>
      <c r="F33" s="105"/>
      <c r="G33" s="174"/>
      <c r="H33" s="175"/>
      <c r="I33" s="176"/>
      <c r="J33" s="120"/>
      <c r="K33" s="121"/>
      <c r="L33" s="212"/>
      <c r="M33" s="118"/>
      <c r="Q33" s="175">
        <f>SUM(Q26:Q32)</f>
        <v>480</v>
      </c>
      <c r="R33" s="175">
        <f>SUM(R26:R32)</f>
        <v>563250</v>
      </c>
      <c r="S33" s="175">
        <f>SUM(S26:S32)</f>
        <v>439335</v>
      </c>
    </row>
    <row r="34" spans="1:25" ht="13.5" thickBot="1">
      <c r="A34" s="766" t="s">
        <v>57</v>
      </c>
      <c r="B34" s="767"/>
      <c r="C34" s="106">
        <f>C14+C23+C32</f>
        <v>25161</v>
      </c>
      <c r="D34" s="106">
        <f>D14+D23+D32</f>
        <v>0</v>
      </c>
      <c r="E34" s="106">
        <f>E14+E23+E32</f>
        <v>0</v>
      </c>
      <c r="F34" s="107">
        <f>F14+F23+F32</f>
        <v>364</v>
      </c>
      <c r="H34" s="177"/>
      <c r="I34" s="177"/>
      <c r="J34" s="122" t="s">
        <v>28</v>
      </c>
      <c r="K34" s="123">
        <f>SUM(K7:K32)</f>
        <v>25161</v>
      </c>
      <c r="L34" s="211">
        <f>SUM(L7:L32)</f>
        <v>0</v>
      </c>
      <c r="M34" s="119">
        <f>SUM(M7:M32)</f>
        <v>638258</v>
      </c>
      <c r="Q34" s="148">
        <f>480-Q33</f>
        <v>0</v>
      </c>
      <c r="R34" s="175">
        <f>+R33/Q33</f>
        <v>1173.4375</v>
      </c>
      <c r="S34" s="175">
        <f>+S33/Q33</f>
        <v>915.28125</v>
      </c>
    </row>
    <row r="35" spans="1:25" ht="13.5" thickBot="1">
      <c r="A35" s="178"/>
      <c r="B35" s="179"/>
      <c r="C35" s="103">
        <f>C34/($C$34+$D$34+$E$34)</f>
        <v>1</v>
      </c>
      <c r="D35" s="103">
        <f>D34/($C$34+$D$34+$E$34)</f>
        <v>0</v>
      </c>
      <c r="E35" s="108">
        <f>E34/($C$34+$D$34+$E$34)</f>
        <v>0</v>
      </c>
      <c r="K35" s="154"/>
    </row>
    <row r="36" spans="1:25" ht="13.5" thickBot="1">
      <c r="A36" s="177"/>
      <c r="B36" s="177"/>
      <c r="C36" s="154"/>
      <c r="D36" s="154"/>
      <c r="E36" s="154"/>
      <c r="G36" s="154"/>
      <c r="H36" s="180"/>
      <c r="I36" s="161" t="s">
        <v>37</v>
      </c>
      <c r="J36" s="161" t="s">
        <v>38</v>
      </c>
      <c r="K36" s="181"/>
      <c r="O36" s="148" t="s">
        <v>532</v>
      </c>
      <c r="P36" s="148">
        <v>1105.6516443361754</v>
      </c>
      <c r="Q36" s="148">
        <v>840.29524969549323</v>
      </c>
      <c r="R36" s="148">
        <v>821</v>
      </c>
    </row>
    <row r="37" spans="1:25" ht="17.45" customHeight="1" thickBot="1">
      <c r="A37" s="768" t="s">
        <v>58</v>
      </c>
      <c r="B37" s="769"/>
      <c r="C37" s="161" t="s">
        <v>59</v>
      </c>
      <c r="D37" s="182" t="s">
        <v>60</v>
      </c>
      <c r="E37" s="183" t="s">
        <v>61</v>
      </c>
      <c r="F37" s="321"/>
      <c r="G37" s="323"/>
      <c r="H37" s="185" t="s">
        <v>62</v>
      </c>
      <c r="I37" s="243">
        <f>(14*821+12.5*538)/1440*G42*2.74*1440/1000000</f>
        <v>43.360167400291395</v>
      </c>
      <c r="J37" s="124">
        <f>+I37+'23'!J37</f>
        <v>763.74932082352132</v>
      </c>
      <c r="K37" s="125" t="s">
        <v>63</v>
      </c>
      <c r="O37" s="148" t="s">
        <v>614</v>
      </c>
      <c r="P37" s="148">
        <v>944.49814126394051</v>
      </c>
      <c r="Q37" s="148">
        <v>736.70855018587361</v>
      </c>
      <c r="R37" s="148">
        <v>538</v>
      </c>
    </row>
    <row r="38" spans="1:25" ht="17.45" customHeight="1">
      <c r="A38" s="760" t="s">
        <v>12</v>
      </c>
      <c r="B38" s="761"/>
      <c r="C38" s="163">
        <f>SUMIF($G$7:$G$31,"Process",$F$7:$F$31)</f>
        <v>64</v>
      </c>
      <c r="D38" s="117">
        <f>+C38+'23'!D38</f>
        <v>1324</v>
      </c>
      <c r="E38" s="142">
        <f t="shared" ref="E38:E51" si="19">D38/60</f>
        <v>22.066666666666666</v>
      </c>
      <c r="F38" s="321">
        <v>1027.0175438596491</v>
      </c>
      <c r="G38" s="321">
        <v>780.5333333333333</v>
      </c>
      <c r="H38" s="186" t="s">
        <v>64</v>
      </c>
      <c r="I38" s="244">
        <f>7.969+14.598+11.928</f>
        <v>34.495000000000005</v>
      </c>
      <c r="J38" s="126">
        <f>+I38+'23'!J38</f>
        <v>666.69999999999993</v>
      </c>
      <c r="K38" s="127" t="s">
        <v>63</v>
      </c>
      <c r="R38" s="175">
        <f>+R36+R37</f>
        <v>1359</v>
      </c>
    </row>
    <row r="39" spans="1:25" ht="17.45" customHeight="1">
      <c r="A39" s="764" t="s">
        <v>13</v>
      </c>
      <c r="B39" s="765"/>
      <c r="C39" s="163">
        <f>SUMIF($G$7:$G$31,"Cleaning",$F$7:$F$31)</f>
        <v>0</v>
      </c>
      <c r="D39" s="117">
        <f>+C39+'23'!D39</f>
        <v>0</v>
      </c>
      <c r="E39" s="142">
        <f t="shared" si="19"/>
        <v>0</v>
      </c>
      <c r="F39" s="321">
        <v>1174.1666666666667</v>
      </c>
      <c r="G39" s="321">
        <v>895.10166666666669</v>
      </c>
      <c r="H39" s="186" t="s">
        <v>65</v>
      </c>
      <c r="I39" s="141"/>
      <c r="J39" s="128">
        <f>J37/G4</f>
        <v>31.822888367646723</v>
      </c>
      <c r="K39" s="129" t="s">
        <v>63</v>
      </c>
      <c r="R39" s="175"/>
    </row>
    <row r="40" spans="1:25" ht="17.45" customHeight="1">
      <c r="A40" s="764" t="s">
        <v>66</v>
      </c>
      <c r="B40" s="765"/>
      <c r="C40" s="163">
        <f>SUMIF($G$7:$G$31,"Mechanical",$F$7:$F$31)</f>
        <v>0</v>
      </c>
      <c r="D40" s="117">
        <f>+C40+'23'!D40</f>
        <v>0</v>
      </c>
      <c r="E40" s="142">
        <f t="shared" si="19"/>
        <v>0</v>
      </c>
      <c r="F40" s="321">
        <v>1173.4375</v>
      </c>
      <c r="G40" s="321">
        <v>915.28125</v>
      </c>
      <c r="H40" s="186" t="s">
        <v>67</v>
      </c>
      <c r="I40" s="117">
        <f>(K34+L34)/1000</f>
        <v>25.161000000000001</v>
      </c>
      <c r="J40" s="130">
        <f>+I40+'23'!J40</f>
        <v>638.25800000000004</v>
      </c>
      <c r="K40" s="129" t="s">
        <v>63</v>
      </c>
    </row>
    <row r="41" spans="1:25" ht="17.45" customHeight="1" thickBot="1">
      <c r="A41" s="764" t="s">
        <v>68</v>
      </c>
      <c r="B41" s="765"/>
      <c r="C41" s="163">
        <f>SUMIF($G$7:$G$31,"Electrical",$F$7:$F$31)</f>
        <v>114</v>
      </c>
      <c r="D41" s="117">
        <f>+C41+'23'!D41</f>
        <v>425</v>
      </c>
      <c r="E41" s="142">
        <f t="shared" si="19"/>
        <v>7.083333333333333</v>
      </c>
      <c r="F41" s="321"/>
      <c r="G41" s="321"/>
      <c r="H41" s="186" t="s">
        <v>69</v>
      </c>
      <c r="I41" s="141"/>
      <c r="J41" s="128">
        <f>J40/G4</f>
        <v>26.594083333333334</v>
      </c>
      <c r="K41" s="129" t="s">
        <v>63</v>
      </c>
    </row>
    <row r="42" spans="1:25" ht="17.45" customHeight="1" thickBot="1">
      <c r="A42" s="764" t="s">
        <v>16</v>
      </c>
      <c r="B42" s="765"/>
      <c r="C42" s="163">
        <f>SUMIF($G$7:$G$31,"Instrument",$F$7:$F$31)</f>
        <v>0</v>
      </c>
      <c r="D42" s="117">
        <f>+C42+'23'!D42</f>
        <v>0</v>
      </c>
      <c r="E42" s="142">
        <f t="shared" si="19"/>
        <v>0</v>
      </c>
      <c r="F42" s="321">
        <f>+(399*F38+480*F39+480*F40)/1359</f>
        <v>1130.7064017660043</v>
      </c>
      <c r="G42" s="321">
        <f>+(399*G38+480*G39+480*G40)/1359</f>
        <v>868.59205298013251</v>
      </c>
      <c r="H42" s="186" t="s">
        <v>70</v>
      </c>
      <c r="I42" s="245" t="s">
        <v>717</v>
      </c>
      <c r="J42" s="131"/>
      <c r="K42" s="129" t="s">
        <v>71</v>
      </c>
      <c r="N42" s="148">
        <v>399</v>
      </c>
      <c r="P42" s="180" t="s">
        <v>92</v>
      </c>
      <c r="Q42" s="421" t="s">
        <v>562</v>
      </c>
      <c r="R42" s="421" t="s">
        <v>563</v>
      </c>
      <c r="S42" s="421" t="s">
        <v>190</v>
      </c>
      <c r="T42" s="421" t="s">
        <v>191</v>
      </c>
      <c r="U42" s="577" t="s">
        <v>192</v>
      </c>
      <c r="V42" s="421" t="s">
        <v>187</v>
      </c>
      <c r="W42" s="422" t="s">
        <v>193</v>
      </c>
      <c r="X42" s="421" t="s">
        <v>194</v>
      </c>
      <c r="Y42" s="421" t="s">
        <v>188</v>
      </c>
    </row>
    <row r="43" spans="1:25" ht="17.45" customHeight="1" thickBot="1">
      <c r="A43" s="764" t="s">
        <v>72</v>
      </c>
      <c r="B43" s="765"/>
      <c r="C43" s="163">
        <f>SUMIF($G$7:$G$31,"Water",$F$7:$F$31)</f>
        <v>0</v>
      </c>
      <c r="D43" s="117">
        <f>+C43+'23'!D43</f>
        <v>0</v>
      </c>
      <c r="E43" s="142">
        <f t="shared" si="19"/>
        <v>0</v>
      </c>
      <c r="F43" s="321"/>
      <c r="G43" s="322"/>
      <c r="H43" s="187" t="s">
        <v>73</v>
      </c>
      <c r="I43" s="117">
        <f>+Report1!Z32</f>
        <v>58.3</v>
      </c>
      <c r="J43" s="132">
        <f>+I43+'23'!J43</f>
        <v>942.1</v>
      </c>
      <c r="K43" s="129" t="s">
        <v>63</v>
      </c>
      <c r="L43" s="188"/>
      <c r="N43" s="148">
        <v>480</v>
      </c>
      <c r="P43" s="423">
        <v>14</v>
      </c>
      <c r="Q43" s="198">
        <v>1105.6516443361754</v>
      </c>
      <c r="R43" s="198">
        <v>1230</v>
      </c>
      <c r="S43" s="148">
        <v>840.29524969549323</v>
      </c>
      <c r="T43" s="424">
        <f>1-(S43/Q43)</f>
        <v>0.2400000000000001</v>
      </c>
      <c r="U43" s="578">
        <v>7</v>
      </c>
      <c r="V43" s="426">
        <v>266</v>
      </c>
      <c r="W43" s="427">
        <f>(Q43*(1-T43)*P43*V43*U43)/100000000</f>
        <v>0.21904816569062119</v>
      </c>
      <c r="X43" s="428">
        <f>+E50/1000</f>
        <v>0</v>
      </c>
      <c r="Y43" s="429">
        <f>SUM(X43:X45)/SUM(W43:W45)</f>
        <v>0.1960062786838449</v>
      </c>
    </row>
    <row r="44" spans="1:25" ht="17.45" customHeight="1">
      <c r="A44" s="764" t="s">
        <v>17</v>
      </c>
      <c r="B44" s="765"/>
      <c r="C44" s="163">
        <f>SUMIF($G$7:$G$31,"PLN",$F$7:$F$31)</f>
        <v>0</v>
      </c>
      <c r="D44" s="117">
        <f>+C44+'23'!D44</f>
        <v>0</v>
      </c>
      <c r="E44" s="142">
        <f t="shared" si="19"/>
        <v>0</v>
      </c>
      <c r="F44" s="321"/>
      <c r="G44" s="322"/>
      <c r="H44" s="187" t="s">
        <v>74</v>
      </c>
      <c r="I44" s="117">
        <f>I43/I38</f>
        <v>1.6901000144948539</v>
      </c>
      <c r="J44" s="133">
        <f>J43/J38</f>
        <v>1.4130793460326985</v>
      </c>
      <c r="K44" s="129" t="s">
        <v>63</v>
      </c>
      <c r="P44" s="423">
        <v>12.5</v>
      </c>
      <c r="Q44" s="198">
        <v>944.49814126394051</v>
      </c>
      <c r="R44" s="198">
        <v>1230</v>
      </c>
      <c r="S44" s="148">
        <v>736.70855018587361</v>
      </c>
      <c r="T44" s="424">
        <f>1-(S44/Q44)</f>
        <v>0.21999999999999997</v>
      </c>
      <c r="U44" s="578">
        <v>27</v>
      </c>
      <c r="V44" s="426">
        <v>257</v>
      </c>
      <c r="W44" s="427">
        <f>(Q44*(1-T44)*P44*V44*U44)/100000000</f>
        <v>0.63900257871747213</v>
      </c>
      <c r="X44" s="428">
        <f>+E51/1000</f>
        <v>0.16818333333333332</v>
      </c>
      <c r="Y44" s="429">
        <f>SUM(X44:X46)/SUM(W44:W46)</f>
        <v>0.26319664260336845</v>
      </c>
    </row>
    <row r="45" spans="1:25" ht="17.45" customHeight="1">
      <c r="A45" s="764" t="s">
        <v>18</v>
      </c>
      <c r="B45" s="765"/>
      <c r="C45" s="163">
        <f>SUMIF($G$7:$G$31,"Boiler",$F$7:$F$31)</f>
        <v>0</v>
      </c>
      <c r="D45" s="117">
        <f>+C45+'23'!D45</f>
        <v>0</v>
      </c>
      <c r="E45" s="142">
        <f t="shared" si="19"/>
        <v>0</v>
      </c>
      <c r="F45" s="321"/>
      <c r="G45" s="324"/>
      <c r="H45" s="187" t="s">
        <v>75</v>
      </c>
      <c r="I45" s="117">
        <f>I43/I40</f>
        <v>2.3170780175668693</v>
      </c>
      <c r="J45" s="133">
        <f>J43/J40</f>
        <v>1.476048870519445</v>
      </c>
      <c r="K45" s="129" t="s">
        <v>63</v>
      </c>
      <c r="N45" s="148">
        <v>480</v>
      </c>
    </row>
    <row r="46" spans="1:25" ht="17.45" customHeight="1">
      <c r="A46" s="764" t="s">
        <v>76</v>
      </c>
      <c r="B46" s="765"/>
      <c r="C46" s="163">
        <f>SUMIF($G$7:$G$31,"Gas",$F$7:$F$31)</f>
        <v>0</v>
      </c>
      <c r="D46" s="117">
        <f>+C46+'23'!D46</f>
        <v>0</v>
      </c>
      <c r="E46" s="142">
        <f t="shared" si="19"/>
        <v>0</v>
      </c>
      <c r="F46" s="321"/>
      <c r="G46" s="322"/>
      <c r="H46" s="187" t="s">
        <v>77</v>
      </c>
      <c r="I46" s="139">
        <f>+SUMIF(Listrik!P31,"&gt;0")</f>
        <v>34527.660000000003</v>
      </c>
      <c r="J46" s="134">
        <f>+I46+'23'!J46</f>
        <v>635984.68000000005</v>
      </c>
      <c r="K46" s="129" t="s">
        <v>78</v>
      </c>
      <c r="N46" s="148">
        <f>SUM(N42:N45)</f>
        <v>1359</v>
      </c>
      <c r="V46" s="148">
        <f>650/1000</f>
        <v>0.65</v>
      </c>
    </row>
    <row r="47" spans="1:25" ht="17.45" customHeight="1" thickBot="1">
      <c r="A47" s="764" t="s">
        <v>79</v>
      </c>
      <c r="B47" s="765"/>
      <c r="C47" s="163">
        <f>SUMIF($G$7:$G$31,"Gas",$F$7:$F$31)</f>
        <v>0</v>
      </c>
      <c r="D47" s="117">
        <f>+C47+'23'!D47</f>
        <v>0</v>
      </c>
      <c r="E47" s="142">
        <f t="shared" si="19"/>
        <v>0</v>
      </c>
      <c r="F47" s="321"/>
      <c r="G47" s="322"/>
      <c r="H47" s="187" t="s">
        <v>80</v>
      </c>
      <c r="I47" s="117">
        <f>I46/I38</f>
        <v>1000.946803884621</v>
      </c>
      <c r="J47" s="134">
        <f>J46/J38</f>
        <v>953.92932353382344</v>
      </c>
      <c r="K47" s="129" t="s">
        <v>24</v>
      </c>
      <c r="M47" s="148">
        <f>64+45+81</f>
        <v>190</v>
      </c>
    </row>
    <row r="48" spans="1:25" ht="17.45" customHeight="1" thickBot="1">
      <c r="A48" s="764" t="s">
        <v>14</v>
      </c>
      <c r="B48" s="765"/>
      <c r="C48" s="163">
        <f>SUMIF($G$7:$G$31,"Start Up",$F$7:$F$31)</f>
        <v>0</v>
      </c>
      <c r="D48" s="117">
        <f>+C48+'23'!D48</f>
        <v>0</v>
      </c>
      <c r="E48" s="142">
        <f t="shared" si="19"/>
        <v>0</v>
      </c>
      <c r="F48" s="321"/>
      <c r="G48" s="322"/>
      <c r="H48" s="187" t="s">
        <v>81</v>
      </c>
      <c r="I48" s="117">
        <f>I46/I40</f>
        <v>1372.2689877190892</v>
      </c>
      <c r="J48" s="134">
        <f>J46/J40</f>
        <v>996.43824284223626</v>
      </c>
      <c r="K48" s="129" t="s">
        <v>24</v>
      </c>
      <c r="P48" s="180" t="s">
        <v>92</v>
      </c>
      <c r="Q48" s="421" t="s">
        <v>562</v>
      </c>
      <c r="R48" s="421" t="s">
        <v>563</v>
      </c>
      <c r="S48" s="421" t="s">
        <v>190</v>
      </c>
      <c r="T48" s="421" t="s">
        <v>191</v>
      </c>
      <c r="U48" s="577" t="s">
        <v>192</v>
      </c>
      <c r="V48" s="421" t="s">
        <v>187</v>
      </c>
      <c r="W48" s="422" t="s">
        <v>193</v>
      </c>
      <c r="X48" s="421" t="s">
        <v>194</v>
      </c>
      <c r="Y48" s="421" t="s">
        <v>188</v>
      </c>
    </row>
    <row r="49" spans="1:25" ht="17.45" customHeight="1" thickBot="1">
      <c r="A49" s="764" t="s">
        <v>20</v>
      </c>
      <c r="B49" s="765"/>
      <c r="C49" s="163">
        <f>SUMIF($G$7:$G$31,"Others",$F$7:$F$31)</f>
        <v>0</v>
      </c>
      <c r="D49" s="117">
        <f>+C49+'23'!D49</f>
        <v>948</v>
      </c>
      <c r="E49" s="142">
        <f t="shared" si="19"/>
        <v>15.8</v>
      </c>
      <c r="F49" s="184"/>
      <c r="H49" s="187" t="s">
        <v>268</v>
      </c>
      <c r="I49" s="117">
        <f>+Report1!T32</f>
        <v>5296.876230746816</v>
      </c>
      <c r="J49" s="134">
        <f>+I49+'23'!J49</f>
        <v>82476.208053163398</v>
      </c>
      <c r="K49" s="129" t="s">
        <v>82</v>
      </c>
      <c r="P49" s="423">
        <v>14</v>
      </c>
      <c r="Q49" s="198">
        <v>1027.0175438596491</v>
      </c>
      <c r="R49" s="198">
        <v>1230</v>
      </c>
      <c r="S49" s="148">
        <v>780.5333333333333</v>
      </c>
      <c r="T49" s="424">
        <f>1-(S49/Q49)</f>
        <v>0.24</v>
      </c>
      <c r="U49" s="578">
        <v>105</v>
      </c>
      <c r="V49" s="426">
        <v>266</v>
      </c>
      <c r="W49" s="427">
        <f>(Q49*(1-T49)*P49*V49*U49)/100000000</f>
        <v>3.05204144</v>
      </c>
      <c r="X49" s="428">
        <f>+E56/1000</f>
        <v>0</v>
      </c>
      <c r="Y49" s="429">
        <f>SUM(X49:X51)/SUM(W49:W51)</f>
        <v>0</v>
      </c>
    </row>
    <row r="50" spans="1:25" ht="17.45" customHeight="1">
      <c r="A50" s="764" t="s">
        <v>19</v>
      </c>
      <c r="B50" s="765"/>
      <c r="C50" s="163">
        <f>SUMIF($G$7:$G$31,"Steam",$F$7:$F$31)</f>
        <v>0</v>
      </c>
      <c r="D50" s="117">
        <f>+C50+'23'!D50</f>
        <v>0</v>
      </c>
      <c r="E50" s="142">
        <f t="shared" si="19"/>
        <v>0</v>
      </c>
      <c r="F50" s="184"/>
      <c r="H50" s="187" t="s">
        <v>83</v>
      </c>
      <c r="I50" s="139">
        <f>I49/I38</f>
        <v>153.5548987026182</v>
      </c>
      <c r="J50" s="132">
        <f>J49/J38</f>
        <v>123.70812667341144</v>
      </c>
      <c r="K50" s="129" t="s">
        <v>82</v>
      </c>
      <c r="P50" s="423"/>
      <c r="Q50" s="198"/>
      <c r="R50" s="198"/>
      <c r="T50" s="424"/>
      <c r="U50" s="578"/>
      <c r="V50" s="426"/>
      <c r="W50" s="427"/>
      <c r="X50" s="428"/>
      <c r="Y50" s="429"/>
    </row>
    <row r="51" spans="1:25" ht="17.45" customHeight="1" thickBot="1">
      <c r="A51" s="758" t="s">
        <v>84</v>
      </c>
      <c r="B51" s="759"/>
      <c r="C51" s="163">
        <f>SUMIF($G$7:$G$31,"Planned shut",$F$7:$F$31)</f>
        <v>186</v>
      </c>
      <c r="D51" s="117">
        <f>+C51+'23'!D51</f>
        <v>10091</v>
      </c>
      <c r="E51" s="142">
        <f t="shared" si="19"/>
        <v>168.18333333333334</v>
      </c>
      <c r="F51" s="184"/>
      <c r="H51" s="189" t="s">
        <v>85</v>
      </c>
      <c r="I51" s="140">
        <f>I49/I40</f>
        <v>210.5193049062762</v>
      </c>
      <c r="J51" s="135">
        <f>J49/J40</f>
        <v>129.22079794246744</v>
      </c>
      <c r="K51" s="136" t="s">
        <v>82</v>
      </c>
    </row>
    <row r="52" spans="1:25" ht="13.5" thickBot="1">
      <c r="A52" s="760" t="s">
        <v>28</v>
      </c>
      <c r="B52" s="761"/>
      <c r="C52" s="143">
        <f>SUM(C38:C51)</f>
        <v>364</v>
      </c>
      <c r="D52" s="143">
        <f>SUM(D38:D51)</f>
        <v>12788</v>
      </c>
      <c r="E52" s="144">
        <f>SUM(E38:E51)</f>
        <v>213.13333333333333</v>
      </c>
      <c r="F52" s="184"/>
      <c r="H52" s="190"/>
      <c r="I52" s="191"/>
      <c r="J52" s="137"/>
      <c r="K52" s="138"/>
    </row>
    <row r="53" spans="1:25" ht="13.5" thickBot="1">
      <c r="A53" s="762"/>
      <c r="B53" s="763"/>
      <c r="C53" s="145">
        <f>C52/(24*60)</f>
        <v>0.25277777777777777</v>
      </c>
      <c r="D53" s="145">
        <f>D52/(24*60*G4)</f>
        <v>0.37002314814814813</v>
      </c>
      <c r="E53" s="146">
        <f>E52/(G4*24)</f>
        <v>0.37002314814814813</v>
      </c>
      <c r="F53" s="184"/>
    </row>
    <row r="54" spans="1:25">
      <c r="E54" s="192"/>
      <c r="F54" s="184"/>
    </row>
    <row r="55" spans="1:25">
      <c r="E55" s="192"/>
    </row>
    <row r="56" spans="1:25">
      <c r="A56" s="193" t="s">
        <v>86</v>
      </c>
      <c r="B56" s="194"/>
      <c r="C56" s="195"/>
      <c r="D56" s="195"/>
      <c r="E56" s="195"/>
      <c r="F56" s="196"/>
      <c r="G56" s="195"/>
      <c r="H56" s="197"/>
      <c r="I56" s="198" t="s">
        <v>87</v>
      </c>
      <c r="J56" s="199">
        <f>+D34+'23'!J56</f>
        <v>1116</v>
      </c>
      <c r="K56" s="200">
        <f>J56/(J40+J56/1000)/1000</f>
        <v>1.7454572753974982E-3</v>
      </c>
    </row>
    <row r="57" spans="1:25">
      <c r="A57" s="175"/>
      <c r="I57" s="198" t="s">
        <v>88</v>
      </c>
      <c r="J57" s="199">
        <f>+E34+'23'!J57</f>
        <v>0</v>
      </c>
      <c r="K57" s="200">
        <f>J57/(J40+J57/1000)/1000</f>
        <v>0</v>
      </c>
    </row>
    <row r="58" spans="1:25">
      <c r="A58" s="201"/>
      <c r="B58" s="202"/>
      <c r="F58" s="184"/>
      <c r="H58" s="203"/>
    </row>
    <row r="59" spans="1:25">
      <c r="A59" s="204"/>
      <c r="B59" s="175"/>
      <c r="C59" s="175"/>
      <c r="D59" s="175"/>
      <c r="E59" s="175"/>
      <c r="F59" s="188"/>
      <c r="G59" s="175"/>
      <c r="H59" s="203"/>
    </row>
    <row r="60" spans="1:25">
      <c r="H60" s="203"/>
    </row>
    <row r="61" spans="1:25">
      <c r="A61" s="205"/>
      <c r="B61" s="206"/>
      <c r="C61" s="206"/>
      <c r="D61" s="206"/>
      <c r="E61" s="206"/>
      <c r="F61" s="207"/>
      <c r="G61" s="206"/>
      <c r="H61" s="208"/>
    </row>
  </sheetData>
  <mergeCells count="24">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A37:B37"/>
    <mergeCell ref="A38:B38"/>
    <mergeCell ref="A24:A32"/>
    <mergeCell ref="I24:I31"/>
    <mergeCell ref="I7:I13"/>
    <mergeCell ref="A15:A23"/>
    <mergeCell ref="I15:I22"/>
    <mergeCell ref="A34:B34"/>
    <mergeCell ref="A7:A14"/>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topLeftCell="A4" zoomScale="80" zoomScaleNormal="80" workbookViewId="0">
      <selection activeCell="H16" sqref="A7:H23"/>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57.28515625" style="148" customWidth="1"/>
    <col min="9" max="9" width="14.7109375" style="148" bestFit="1" customWidth="1"/>
    <col min="10" max="10" width="14.7109375" style="148" customWidth="1"/>
    <col min="11" max="11" width="12.5703125" style="148" bestFit="1" customWidth="1"/>
    <col min="12" max="12" width="8.28515625" style="148" customWidth="1"/>
    <col min="13" max="13" width="13.7109375" style="148" customWidth="1"/>
    <col min="14" max="16384" width="9.140625" style="148"/>
  </cols>
  <sheetData>
    <row r="1" spans="1:13" ht="15.75">
      <c r="A1" s="147"/>
    </row>
    <row r="2" spans="1:13" ht="15.75">
      <c r="A2" s="147" t="s">
        <v>182</v>
      </c>
    </row>
    <row r="3" spans="1:13" ht="15">
      <c r="A3" s="149"/>
    </row>
    <row r="4" spans="1:13" ht="20.25">
      <c r="A4" s="150" t="s">
        <v>3</v>
      </c>
      <c r="B4" s="151"/>
      <c r="F4" s="152" t="s">
        <v>29</v>
      </c>
      <c r="G4" s="153">
        <v>23</v>
      </c>
      <c r="H4" s="153" t="str">
        <f>+'1'!H4</f>
        <v>.03.26</v>
      </c>
    </row>
    <row r="5" spans="1:13" ht="13.5" thickBot="1">
      <c r="C5" s="154"/>
      <c r="D5" s="154"/>
    </row>
    <row r="6" spans="1:13"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row>
    <row r="7" spans="1:13" ht="13.5" customHeight="1" thickBot="1">
      <c r="A7" s="770" t="s">
        <v>457</v>
      </c>
      <c r="B7" s="214"/>
      <c r="C7" s="215"/>
      <c r="D7" s="216"/>
      <c r="E7" s="217"/>
      <c r="F7" s="227"/>
      <c r="G7" s="228" t="s">
        <v>12</v>
      </c>
      <c r="H7" s="229" t="s">
        <v>412</v>
      </c>
      <c r="I7" s="773" t="s">
        <v>491</v>
      </c>
      <c r="J7" s="213" t="str">
        <f>+'22'!J7</f>
        <v>F 12 VP OW</v>
      </c>
      <c r="K7" s="237"/>
      <c r="L7" s="241"/>
      <c r="M7" s="116">
        <f>+K7+'22'!M7+L7</f>
        <v>136522</v>
      </c>
    </row>
    <row r="8" spans="1:13" ht="13.5" thickBot="1">
      <c r="A8" s="771"/>
      <c r="B8" s="214"/>
      <c r="C8" s="215"/>
      <c r="D8" s="216"/>
      <c r="E8" s="218"/>
      <c r="F8" s="230"/>
      <c r="G8" s="231" t="s">
        <v>12</v>
      </c>
      <c r="H8" s="229" t="s">
        <v>283</v>
      </c>
      <c r="I8" s="774"/>
      <c r="J8" s="213" t="str">
        <f>+'22'!J8</f>
        <v>F 14 VP OW</v>
      </c>
      <c r="K8" s="238"/>
      <c r="L8" s="238"/>
      <c r="M8" s="116">
        <f>+K8+'22'!M8+L8</f>
        <v>89126</v>
      </c>
    </row>
    <row r="9" spans="1:13" ht="13.5" thickBot="1">
      <c r="A9" s="771"/>
      <c r="B9" s="214"/>
      <c r="C9" s="215"/>
      <c r="D9" s="216"/>
      <c r="E9" s="219"/>
      <c r="F9" s="227"/>
      <c r="G9" s="231" t="s">
        <v>12</v>
      </c>
      <c r="H9" s="232" t="s">
        <v>411</v>
      </c>
      <c r="I9" s="774"/>
      <c r="J9" s="213" t="str">
        <f>+'22'!J9</f>
        <v>F 16 VP OW</v>
      </c>
      <c r="K9" s="238"/>
      <c r="L9" s="238"/>
      <c r="M9" s="116">
        <f>+K9+'22'!M9+L9</f>
        <v>104726</v>
      </c>
    </row>
    <row r="10" spans="1:13" ht="13.5" thickBot="1">
      <c r="A10" s="771"/>
      <c r="B10" s="214"/>
      <c r="C10" s="215"/>
      <c r="D10" s="216"/>
      <c r="E10" s="218"/>
      <c r="F10" s="227"/>
      <c r="G10" s="236" t="s">
        <v>13</v>
      </c>
      <c r="H10" s="232" t="s">
        <v>676</v>
      </c>
      <c r="I10" s="774"/>
      <c r="J10" s="213" t="str">
        <f>+'22'!J10</f>
        <v>F 13,5 VP OW</v>
      </c>
      <c r="K10" s="238"/>
      <c r="L10" s="238"/>
      <c r="M10" s="116">
        <f>+K10+'22'!M10+L10</f>
        <v>10827</v>
      </c>
    </row>
    <row r="11" spans="1:13" ht="64.5" thickBot="1">
      <c r="A11" s="771"/>
      <c r="B11" s="214"/>
      <c r="C11" s="215"/>
      <c r="D11" s="216"/>
      <c r="E11" s="218"/>
      <c r="F11" s="234">
        <v>480</v>
      </c>
      <c r="G11" s="231" t="s">
        <v>675</v>
      </c>
      <c r="H11" s="232" t="s">
        <v>699</v>
      </c>
      <c r="I11" s="774"/>
      <c r="J11" s="213" t="str">
        <f>+'22'!J11</f>
        <v>F 13 VP OW</v>
      </c>
      <c r="K11" s="238"/>
      <c r="L11" s="238"/>
      <c r="M11" s="116">
        <f>+K11+'22'!M11+L11</f>
        <v>19832</v>
      </c>
    </row>
    <row r="12" spans="1:13" ht="13.5" thickBot="1">
      <c r="A12" s="771"/>
      <c r="B12" s="214"/>
      <c r="C12" s="215"/>
      <c r="D12" s="216"/>
      <c r="E12" s="218"/>
      <c r="F12" s="227"/>
      <c r="G12" s="231"/>
      <c r="H12" s="232"/>
      <c r="I12" s="774"/>
      <c r="J12" s="213" t="str">
        <f>+'22'!J12</f>
        <v>T 14 VP OW</v>
      </c>
      <c r="K12" s="238"/>
      <c r="L12" s="238"/>
      <c r="M12" s="116">
        <f>+K12+'22'!M12+L12</f>
        <v>10448</v>
      </c>
    </row>
    <row r="13" spans="1:13" ht="13.5" thickBot="1">
      <c r="A13" s="771"/>
      <c r="B13" s="214"/>
      <c r="C13" s="215"/>
      <c r="D13" s="215"/>
      <c r="E13" s="218"/>
      <c r="F13" s="227"/>
      <c r="G13" s="231"/>
      <c r="H13" s="232"/>
      <c r="I13" s="774"/>
      <c r="J13" s="213" t="str">
        <f>+'22'!J13</f>
        <v>F 11,5 VP OW</v>
      </c>
      <c r="K13" s="238"/>
      <c r="L13" s="238"/>
      <c r="M13" s="116">
        <f>+K13+'22'!M13+L13</f>
        <v>53931</v>
      </c>
    </row>
    <row r="14" spans="1:13" ht="13.5" thickBot="1">
      <c r="A14" s="772"/>
      <c r="B14" s="164" t="s">
        <v>2</v>
      </c>
      <c r="C14" s="98">
        <f>SUM(C7:C13)</f>
        <v>0</v>
      </c>
      <c r="D14" s="110">
        <f>SUM(D7:D13)</f>
        <v>0</v>
      </c>
      <c r="E14" s="111">
        <f>SUM(E5:E13)</f>
        <v>0</v>
      </c>
      <c r="F14" s="115">
        <f>SUM(F7:F13)</f>
        <v>480</v>
      </c>
      <c r="G14" s="158"/>
      <c r="H14" s="165"/>
      <c r="I14" s="775"/>
      <c r="J14" s="213" t="str">
        <f>+'22'!J14</f>
        <v>F 12,5 VP OW</v>
      </c>
      <c r="K14" s="238"/>
      <c r="L14" s="238"/>
      <c r="M14" s="116">
        <f>+K14+'22'!M14+L14</f>
        <v>10132</v>
      </c>
    </row>
    <row r="15" spans="1:13" ht="13.5" customHeight="1" thickBot="1">
      <c r="A15" s="770" t="s">
        <v>390</v>
      </c>
      <c r="B15" s="164"/>
      <c r="C15" s="112" t="e">
        <f>C14/($C$23+$D$23+$E$23)</f>
        <v>#DIV/0!</v>
      </c>
      <c r="D15" s="113" t="e">
        <f>D14/($C$23+$D$23+$E$23)</f>
        <v>#DIV/0!</v>
      </c>
      <c r="E15" s="114" t="e">
        <f>E14/($C$23+$D$23+$E$23)</f>
        <v>#DIV/0!</v>
      </c>
      <c r="F15" s="227"/>
      <c r="G15" s="228" t="s">
        <v>12</v>
      </c>
      <c r="H15" s="229" t="s">
        <v>412</v>
      </c>
      <c r="I15" s="773" t="s">
        <v>491</v>
      </c>
      <c r="J15" s="213" t="str">
        <f>+'22'!J15</f>
        <v>T 13 VP OW</v>
      </c>
      <c r="K15" s="238"/>
      <c r="L15" s="238"/>
      <c r="M15" s="116">
        <f>+K15+'22'!M15+L15</f>
        <v>124865</v>
      </c>
    </row>
    <row r="16" spans="1:13" ht="13.5" thickBot="1">
      <c r="A16" s="776"/>
      <c r="B16" s="214"/>
      <c r="C16" s="221"/>
      <c r="D16" s="222"/>
      <c r="E16" s="223"/>
      <c r="F16" s="230"/>
      <c r="G16" s="231" t="s">
        <v>12</v>
      </c>
      <c r="H16" s="229" t="s">
        <v>283</v>
      </c>
      <c r="I16" s="774"/>
      <c r="J16" s="213" t="str">
        <f>+'22'!J16</f>
        <v>T 12,5 VP OW</v>
      </c>
      <c r="K16" s="238"/>
      <c r="L16" s="228"/>
      <c r="M16" s="116">
        <f>+K16+'22'!M16+L16</f>
        <v>52688</v>
      </c>
    </row>
    <row r="17" spans="1:13" ht="13.5" thickBot="1">
      <c r="A17" s="776"/>
      <c r="B17" s="214"/>
      <c r="C17" s="215"/>
      <c r="D17" s="216"/>
      <c r="E17" s="224"/>
      <c r="F17" s="227"/>
      <c r="G17" s="231" t="s">
        <v>12</v>
      </c>
      <c r="H17" s="232" t="s">
        <v>411</v>
      </c>
      <c r="I17" s="774"/>
      <c r="J17" s="213">
        <f>+'22'!J17</f>
        <v>0</v>
      </c>
      <c r="K17" s="238"/>
      <c r="L17" s="228"/>
      <c r="M17" s="116">
        <f>+K17+'22'!M17+L17</f>
        <v>0</v>
      </c>
    </row>
    <row r="18" spans="1:13" ht="13.5" thickBot="1">
      <c r="A18" s="776"/>
      <c r="B18" s="214"/>
      <c r="C18" s="215"/>
      <c r="D18" s="216"/>
      <c r="E18" s="224"/>
      <c r="F18" s="227"/>
      <c r="G18" s="236" t="s">
        <v>13</v>
      </c>
      <c r="H18" s="232" t="s">
        <v>676</v>
      </c>
      <c r="I18" s="774"/>
      <c r="J18" s="213">
        <f>+'22'!J18</f>
        <v>0</v>
      </c>
      <c r="K18" s="238"/>
      <c r="L18" s="238"/>
      <c r="M18" s="116">
        <f>+K18+'22'!M18+L18</f>
        <v>0</v>
      </c>
    </row>
    <row r="19" spans="1:13" ht="77.25" customHeight="1" thickBot="1">
      <c r="A19" s="776"/>
      <c r="B19" s="214"/>
      <c r="C19" s="215"/>
      <c r="D19" s="216"/>
      <c r="E19" s="224"/>
      <c r="F19" s="234">
        <v>480</v>
      </c>
      <c r="G19" s="231" t="s">
        <v>675</v>
      </c>
      <c r="H19" s="232" t="s">
        <v>701</v>
      </c>
      <c r="I19" s="774"/>
      <c r="J19" s="213">
        <f>+'22'!J19</f>
        <v>0</v>
      </c>
      <c r="K19" s="238"/>
      <c r="L19" s="238"/>
      <c r="M19" s="116">
        <f>+K19+'22'!M19+L19</f>
        <v>0</v>
      </c>
    </row>
    <row r="20" spans="1:13" ht="13.5" thickBot="1">
      <c r="A20" s="776"/>
      <c r="B20" s="214"/>
      <c r="C20" s="215"/>
      <c r="D20" s="216"/>
      <c r="E20" s="224"/>
      <c r="F20" s="227"/>
      <c r="G20" s="231"/>
      <c r="H20" s="232"/>
      <c r="I20" s="774"/>
      <c r="J20" s="213">
        <f>+'22'!J20</f>
        <v>0</v>
      </c>
      <c r="K20" s="239"/>
      <c r="L20" s="239"/>
      <c r="M20" s="116">
        <f>+K20+'22'!M20+L20</f>
        <v>0</v>
      </c>
    </row>
    <row r="21" spans="1:13" ht="13.5" thickBot="1">
      <c r="A21" s="776"/>
      <c r="B21" s="214"/>
      <c r="C21" s="215"/>
      <c r="D21" s="216"/>
      <c r="E21" s="224"/>
      <c r="F21" s="230"/>
      <c r="G21" s="231"/>
      <c r="H21" s="232"/>
      <c r="I21" s="774"/>
      <c r="J21" s="213">
        <f>+'22'!J21</f>
        <v>0</v>
      </c>
      <c r="K21" s="238"/>
      <c r="L21" s="238"/>
      <c r="M21" s="116">
        <f>+K21+'22'!M21+L21</f>
        <v>0</v>
      </c>
    </row>
    <row r="22" spans="1:13" ht="13.5" thickBot="1">
      <c r="A22" s="776"/>
      <c r="B22" s="214"/>
      <c r="C22" s="215"/>
      <c r="D22" s="216"/>
      <c r="E22" s="224"/>
      <c r="F22" s="235"/>
      <c r="G22" s="231"/>
      <c r="H22" s="232"/>
      <c r="I22" s="775"/>
      <c r="J22" s="213">
        <f>+'22'!J22</f>
        <v>0</v>
      </c>
      <c r="K22" s="238"/>
      <c r="L22" s="238"/>
      <c r="M22" s="116">
        <f>+K22+'22'!M22+L22</f>
        <v>0</v>
      </c>
    </row>
    <row r="23" spans="1:13" ht="13.5" thickBot="1">
      <c r="A23" s="777"/>
      <c r="B23" s="167" t="s">
        <v>2</v>
      </c>
      <c r="C23" s="99">
        <f>SUM(C16:C22)</f>
        <v>0</v>
      </c>
      <c r="D23" s="110">
        <f>SUM(D16:D22)</f>
        <v>0</v>
      </c>
      <c r="E23" s="111">
        <f>SUM(E18:E22)</f>
        <v>0</v>
      </c>
      <c r="F23" s="115">
        <f>SUM(F15:F22)</f>
        <v>480</v>
      </c>
      <c r="G23" s="158"/>
      <c r="H23" s="165"/>
      <c r="I23" s="168"/>
      <c r="J23" s="213">
        <f>+'22'!J23</f>
        <v>0</v>
      </c>
      <c r="K23" s="238"/>
      <c r="L23" s="238"/>
      <c r="M23" s="116">
        <f>+K23+'22'!M23+L23</f>
        <v>0</v>
      </c>
    </row>
    <row r="24" spans="1:13" ht="13.5" customHeight="1" thickBot="1">
      <c r="A24" s="770" t="s">
        <v>689</v>
      </c>
      <c r="B24" s="169"/>
      <c r="C24" s="112" t="e">
        <f>C23/($C$23+$D$23+$E$23)</f>
        <v>#DIV/0!</v>
      </c>
      <c r="D24" s="113" t="e">
        <f>D23/($C$23+$D$23+$E$23)</f>
        <v>#DIV/0!</v>
      </c>
      <c r="E24" s="114" t="e">
        <f>E23/($C$23+$D$23+$E$23)</f>
        <v>#DIV/0!</v>
      </c>
      <c r="F24" s="227"/>
      <c r="G24" s="228" t="s">
        <v>12</v>
      </c>
      <c r="H24" s="229" t="s">
        <v>412</v>
      </c>
      <c r="I24" s="773" t="s">
        <v>491</v>
      </c>
      <c r="J24" s="213">
        <f>+'22'!J24</f>
        <v>0</v>
      </c>
      <c r="K24" s="238"/>
      <c r="L24" s="238"/>
      <c r="M24" s="116">
        <f>+K24+'22'!M24+L24</f>
        <v>0</v>
      </c>
    </row>
    <row r="25" spans="1:13" ht="13.5" thickBot="1">
      <c r="A25" s="776"/>
      <c r="B25" s="214"/>
      <c r="C25" s="225"/>
      <c r="D25" s="216"/>
      <c r="E25" s="224"/>
      <c r="F25" s="230"/>
      <c r="G25" s="231" t="s">
        <v>12</v>
      </c>
      <c r="H25" s="229" t="s">
        <v>283</v>
      </c>
      <c r="I25" s="774"/>
      <c r="J25" s="213">
        <f>+'22'!J25</f>
        <v>0</v>
      </c>
      <c r="K25" s="238"/>
      <c r="L25" s="238"/>
      <c r="M25" s="116">
        <f>+K25+'22'!M25+L25</f>
        <v>0</v>
      </c>
    </row>
    <row r="26" spans="1:13" ht="13.5" thickBot="1">
      <c r="A26" s="776"/>
      <c r="B26" s="214"/>
      <c r="C26" s="225"/>
      <c r="D26" s="216"/>
      <c r="E26" s="226"/>
      <c r="F26" s="227"/>
      <c r="G26" s="231" t="s">
        <v>12</v>
      </c>
      <c r="H26" s="232" t="s">
        <v>411</v>
      </c>
      <c r="I26" s="774"/>
      <c r="J26" s="213">
        <f>+'22'!J26</f>
        <v>0</v>
      </c>
      <c r="K26" s="238"/>
      <c r="L26" s="238"/>
      <c r="M26" s="116">
        <f>+K26+'22'!M26+L26</f>
        <v>0</v>
      </c>
    </row>
    <row r="27" spans="1:13" ht="13.5" thickBot="1">
      <c r="A27" s="776"/>
      <c r="B27" s="214"/>
      <c r="C27" s="215"/>
      <c r="D27" s="216"/>
      <c r="E27" s="224"/>
      <c r="F27" s="227"/>
      <c r="G27" s="236" t="s">
        <v>13</v>
      </c>
      <c r="H27" s="232" t="s">
        <v>676</v>
      </c>
      <c r="I27" s="774"/>
      <c r="J27" s="213">
        <f>+'22'!J27</f>
        <v>0</v>
      </c>
      <c r="K27" s="238"/>
      <c r="L27" s="238"/>
      <c r="M27" s="116">
        <f>+K27+'22'!M27+L27</f>
        <v>0</v>
      </c>
    </row>
    <row r="28" spans="1:13" ht="77.25" thickBot="1">
      <c r="A28" s="776"/>
      <c r="B28" s="214"/>
      <c r="C28" s="215"/>
      <c r="D28" s="216"/>
      <c r="E28" s="224"/>
      <c r="F28" s="234">
        <v>480</v>
      </c>
      <c r="G28" s="231" t="s">
        <v>675</v>
      </c>
      <c r="H28" s="232" t="s">
        <v>700</v>
      </c>
      <c r="I28" s="774"/>
      <c r="J28" s="213">
        <f>+'22'!J28</f>
        <v>0</v>
      </c>
      <c r="K28" s="238"/>
      <c r="L28" s="238"/>
      <c r="M28" s="116">
        <f>+K28+'22'!M28+L28</f>
        <v>0</v>
      </c>
    </row>
    <row r="29" spans="1:13" ht="13.5" thickBot="1">
      <c r="A29" s="776"/>
      <c r="B29" s="214"/>
      <c r="C29" s="215"/>
      <c r="D29" s="216"/>
      <c r="E29" s="224"/>
      <c r="F29" s="235"/>
      <c r="G29" s="231"/>
      <c r="H29" s="232"/>
      <c r="I29" s="774"/>
      <c r="J29" s="213">
        <f>+'22'!J29</f>
        <v>0</v>
      </c>
      <c r="K29" s="238"/>
      <c r="L29" s="238"/>
      <c r="M29" s="116">
        <f>+K29+'22'!M29+L29</f>
        <v>0</v>
      </c>
    </row>
    <row r="30" spans="1:13" ht="13.5" thickBot="1">
      <c r="A30" s="776"/>
      <c r="B30" s="214"/>
      <c r="C30" s="225"/>
      <c r="D30" s="216"/>
      <c r="E30" s="224"/>
      <c r="F30" s="235"/>
      <c r="G30" s="231"/>
      <c r="H30" s="232"/>
      <c r="I30" s="774"/>
      <c r="J30" s="213">
        <f>+'22'!J30</f>
        <v>0</v>
      </c>
      <c r="K30" s="238"/>
      <c r="L30" s="238"/>
      <c r="M30" s="116">
        <f>+K30+'22'!M30+L30</f>
        <v>0</v>
      </c>
    </row>
    <row r="31" spans="1:13" ht="13.5" thickBot="1">
      <c r="A31" s="776"/>
      <c r="B31" s="214"/>
      <c r="C31" s="225"/>
      <c r="D31" s="216"/>
      <c r="E31" s="224"/>
      <c r="F31" s="235"/>
      <c r="G31" s="236"/>
      <c r="H31" s="443"/>
      <c r="I31" s="775"/>
      <c r="J31" s="213">
        <f>+'22'!J31</f>
        <v>0</v>
      </c>
      <c r="K31" s="238"/>
      <c r="L31" s="238"/>
      <c r="M31" s="116">
        <f>+K31+'22'!M31+L31</f>
        <v>0</v>
      </c>
    </row>
    <row r="32" spans="1:13" ht="13.5" thickBot="1">
      <c r="A32" s="777"/>
      <c r="B32" s="164" t="s">
        <v>2</v>
      </c>
      <c r="C32" s="98">
        <f>SUM(C25:C31)</f>
        <v>0</v>
      </c>
      <c r="D32" s="99">
        <f>SUM(D25:D31)</f>
        <v>0</v>
      </c>
      <c r="E32" s="100">
        <f>SUM(E25:E31)</f>
        <v>0</v>
      </c>
      <c r="F32" s="101">
        <f>SUM(F24:F31)</f>
        <v>480</v>
      </c>
      <c r="G32" s="170"/>
      <c r="H32" s="171"/>
      <c r="I32" s="168"/>
      <c r="J32" s="213">
        <f>+'22'!J32</f>
        <v>0</v>
      </c>
      <c r="K32" s="240"/>
      <c r="L32" s="242"/>
      <c r="M32" s="116">
        <f>+K32+'22'!M32+L32</f>
        <v>0</v>
      </c>
    </row>
    <row r="33" spans="1:13" ht="13.5" thickBot="1">
      <c r="A33" s="172"/>
      <c r="B33" s="173"/>
      <c r="C33" s="102" t="e">
        <f>C32/($C$32+$D$32+$E$32)</f>
        <v>#DIV/0!</v>
      </c>
      <c r="D33" s="103" t="e">
        <f>D32/($C$32+$D$32+$E$32)</f>
        <v>#DIV/0!</v>
      </c>
      <c r="E33" s="104" t="e">
        <f>E32/($C$32+$D$32+$E$32)</f>
        <v>#DIV/0!</v>
      </c>
      <c r="F33" s="105"/>
      <c r="G33" s="174"/>
      <c r="H33" s="175"/>
      <c r="I33" s="176"/>
      <c r="J33" s="120"/>
      <c r="K33" s="121"/>
      <c r="L33" s="212"/>
      <c r="M33" s="118"/>
    </row>
    <row r="34" spans="1:13" ht="13.5" thickBot="1">
      <c r="A34" s="766" t="s">
        <v>57</v>
      </c>
      <c r="B34" s="767"/>
      <c r="C34" s="106">
        <f>C14+C23+C32</f>
        <v>0</v>
      </c>
      <c r="D34" s="106">
        <f>D14+D23+D32</f>
        <v>0</v>
      </c>
      <c r="E34" s="106">
        <f>E14+E23+E32</f>
        <v>0</v>
      </c>
      <c r="F34" s="107">
        <f>F14+F23+F32</f>
        <v>1440</v>
      </c>
      <c r="H34" s="177"/>
      <c r="I34" s="177"/>
      <c r="J34" s="122" t="s">
        <v>28</v>
      </c>
      <c r="K34" s="123">
        <f>SUM(K7:K32)</f>
        <v>0</v>
      </c>
      <c r="L34" s="211">
        <f>SUM(L7:L32)</f>
        <v>0</v>
      </c>
      <c r="M34" s="119">
        <f>SUM(M7:M32)</f>
        <v>613097</v>
      </c>
    </row>
    <row r="35" spans="1:13" ht="13.5" thickBot="1">
      <c r="A35" s="178"/>
      <c r="B35" s="179"/>
      <c r="C35" s="103" t="e">
        <f>C34/($C$34+$D$34+$E$34)</f>
        <v>#DIV/0!</v>
      </c>
      <c r="D35" s="103" t="e">
        <f>D34/($C$34+$D$34+$E$34)</f>
        <v>#DIV/0!</v>
      </c>
      <c r="E35" s="108" t="e">
        <f>E34/($C$34+$D$34+$E$34)</f>
        <v>#DIV/0!</v>
      </c>
      <c r="K35" s="154"/>
    </row>
    <row r="36" spans="1:13" ht="13.5" thickBot="1">
      <c r="A36" s="177"/>
      <c r="B36" s="177"/>
      <c r="C36" s="154"/>
      <c r="D36" s="154"/>
      <c r="E36" s="154"/>
      <c r="G36" s="154"/>
      <c r="H36" s="180"/>
      <c r="I36" s="161" t="s">
        <v>37</v>
      </c>
      <c r="J36" s="161" t="s">
        <v>38</v>
      </c>
      <c r="K36" s="181"/>
    </row>
    <row r="37" spans="1:13" ht="17.45" customHeight="1" thickBot="1">
      <c r="A37" s="768" t="s">
        <v>58</v>
      </c>
      <c r="B37" s="769"/>
      <c r="C37" s="161" t="s">
        <v>59</v>
      </c>
      <c r="D37" s="182" t="s">
        <v>60</v>
      </c>
      <c r="E37" s="183" t="s">
        <v>61</v>
      </c>
      <c r="F37" s="321"/>
      <c r="G37" s="323"/>
      <c r="H37" s="185" t="s">
        <v>62</v>
      </c>
      <c r="I37" s="243">
        <f>(10.3*1440)/1440*G42*2.74*1440/1000000</f>
        <v>0</v>
      </c>
      <c r="J37" s="124">
        <f>+I37+'22'!J37</f>
        <v>720.38915342322991</v>
      </c>
      <c r="K37" s="125" t="s">
        <v>63</v>
      </c>
    </row>
    <row r="38" spans="1:13" ht="17.45" customHeight="1">
      <c r="A38" s="760" t="s">
        <v>12</v>
      </c>
      <c r="B38" s="761"/>
      <c r="C38" s="163">
        <f>SUMIF($G$7:$G$31,"Process",$F$7:$F$31)</f>
        <v>0</v>
      </c>
      <c r="D38" s="117">
        <f>+C38+'22'!D38</f>
        <v>1260</v>
      </c>
      <c r="E38" s="142">
        <f t="shared" ref="E38:E51" si="0">D38/60</f>
        <v>21</v>
      </c>
      <c r="F38" s="321"/>
      <c r="G38" s="321"/>
      <c r="H38" s="186" t="s">
        <v>64</v>
      </c>
      <c r="I38" s="244"/>
      <c r="J38" s="126">
        <f>+I38+'22'!J38</f>
        <v>632.20499999999993</v>
      </c>
      <c r="K38" s="127" t="s">
        <v>63</v>
      </c>
    </row>
    <row r="39" spans="1:13" ht="17.45" customHeight="1">
      <c r="A39" s="764" t="s">
        <v>13</v>
      </c>
      <c r="B39" s="765"/>
      <c r="C39" s="163">
        <f>SUMIF($G$7:$G$31,"Cleaning",$F$7:$F$31)</f>
        <v>0</v>
      </c>
      <c r="D39" s="117">
        <f>+C39+'22'!D39</f>
        <v>0</v>
      </c>
      <c r="E39" s="142">
        <f t="shared" si="0"/>
        <v>0</v>
      </c>
      <c r="F39" s="321"/>
      <c r="G39" s="321"/>
      <c r="H39" s="186" t="s">
        <v>65</v>
      </c>
      <c r="I39" s="141"/>
      <c r="J39" s="128">
        <f>J37/G4</f>
        <v>31.321267540140433</v>
      </c>
      <c r="K39" s="129" t="s">
        <v>63</v>
      </c>
    </row>
    <row r="40" spans="1:13" ht="17.45" customHeight="1">
      <c r="A40" s="764" t="s">
        <v>66</v>
      </c>
      <c r="B40" s="765"/>
      <c r="C40" s="163">
        <f>SUMIF($G$7:$G$31,"Mechanical",$F$7:$F$31)</f>
        <v>0</v>
      </c>
      <c r="D40" s="117">
        <f>+C40+'22'!D40</f>
        <v>0</v>
      </c>
      <c r="E40" s="142">
        <f t="shared" si="0"/>
        <v>0</v>
      </c>
      <c r="F40" s="321"/>
      <c r="G40" s="321"/>
      <c r="H40" s="186" t="s">
        <v>67</v>
      </c>
      <c r="I40" s="117">
        <f>(K34+L34)/1000</f>
        <v>0</v>
      </c>
      <c r="J40" s="130">
        <f>+I40+'22'!J40</f>
        <v>613.09699999999998</v>
      </c>
      <c r="K40" s="129" t="s">
        <v>63</v>
      </c>
    </row>
    <row r="41" spans="1:13" ht="17.45" customHeight="1">
      <c r="A41" s="764" t="s">
        <v>68</v>
      </c>
      <c r="B41" s="765"/>
      <c r="C41" s="163">
        <f>SUMIF($G$7:$G$31,"Electrical",$F$7:$F$31)</f>
        <v>0</v>
      </c>
      <c r="D41" s="117">
        <f>+C41+'22'!D41</f>
        <v>311</v>
      </c>
      <c r="E41" s="142">
        <f t="shared" si="0"/>
        <v>5.1833333333333336</v>
      </c>
      <c r="F41" s="321"/>
      <c r="G41" s="321"/>
      <c r="H41" s="186" t="s">
        <v>69</v>
      </c>
      <c r="I41" s="141"/>
      <c r="J41" s="128">
        <f>J40/G4</f>
        <v>26.656391304347824</v>
      </c>
      <c r="K41" s="129" t="s">
        <v>63</v>
      </c>
    </row>
    <row r="42" spans="1:13" ht="17.45" customHeight="1">
      <c r="A42" s="764" t="s">
        <v>16</v>
      </c>
      <c r="B42" s="765"/>
      <c r="C42" s="163">
        <f>SUMIF($G$7:$G$31,"Instrument",$F$7:$F$31)</f>
        <v>0</v>
      </c>
      <c r="D42" s="117">
        <f>+C42+'22'!D42</f>
        <v>0</v>
      </c>
      <c r="E42" s="142">
        <f t="shared" si="0"/>
        <v>0</v>
      </c>
      <c r="F42" s="321"/>
      <c r="G42" s="321"/>
      <c r="H42" s="186" t="s">
        <v>70</v>
      </c>
      <c r="I42" s="245"/>
      <c r="J42" s="131"/>
      <c r="K42" s="129" t="s">
        <v>71</v>
      </c>
    </row>
    <row r="43" spans="1:13" ht="17.45" customHeight="1">
      <c r="A43" s="764" t="s">
        <v>72</v>
      </c>
      <c r="B43" s="765"/>
      <c r="C43" s="163">
        <f>SUMIF($G$7:$G$31,"Water",$F$7:$F$31)</f>
        <v>0</v>
      </c>
      <c r="D43" s="117">
        <f>+C43+'22'!D43</f>
        <v>0</v>
      </c>
      <c r="E43" s="142">
        <f t="shared" si="0"/>
        <v>0</v>
      </c>
      <c r="F43" s="321"/>
      <c r="G43" s="322"/>
      <c r="H43" s="187" t="s">
        <v>73</v>
      </c>
      <c r="I43" s="117">
        <f>+Report1!Z31</f>
        <v>12.3</v>
      </c>
      <c r="J43" s="132">
        <f>+I43+'22'!J43</f>
        <v>883.80000000000007</v>
      </c>
      <c r="K43" s="129" t="s">
        <v>63</v>
      </c>
      <c r="L43" s="188"/>
    </row>
    <row r="44" spans="1:13" ht="17.45" customHeight="1">
      <c r="A44" s="764" t="s">
        <v>17</v>
      </c>
      <c r="B44" s="765"/>
      <c r="C44" s="163">
        <f>SUMIF($G$7:$G$31,"PLN",$F$7:$F$31)</f>
        <v>0</v>
      </c>
      <c r="D44" s="117">
        <f>+C44+'22'!D44</f>
        <v>0</v>
      </c>
      <c r="E44" s="142">
        <f t="shared" si="0"/>
        <v>0</v>
      </c>
      <c r="F44" s="321"/>
      <c r="G44" s="322"/>
      <c r="H44" s="187" t="s">
        <v>74</v>
      </c>
      <c r="I44" s="117" t="e">
        <f>I43/I38</f>
        <v>#DIV/0!</v>
      </c>
      <c r="J44" s="133">
        <f>J43/J38</f>
        <v>1.3979642679194251</v>
      </c>
      <c r="K44" s="129" t="s">
        <v>63</v>
      </c>
    </row>
    <row r="45" spans="1:13" ht="17.45" customHeight="1">
      <c r="A45" s="764" t="s">
        <v>18</v>
      </c>
      <c r="B45" s="765"/>
      <c r="C45" s="163">
        <f>SUMIF($G$7:$G$31,"Boiler",$F$7:$F$31)</f>
        <v>0</v>
      </c>
      <c r="D45" s="117">
        <f>+C45+'22'!D45</f>
        <v>0</v>
      </c>
      <c r="E45" s="142">
        <f t="shared" si="0"/>
        <v>0</v>
      </c>
      <c r="F45" s="321"/>
      <c r="G45" s="324"/>
      <c r="H45" s="187" t="s">
        <v>75</v>
      </c>
      <c r="I45" s="117" t="e">
        <f>I43/I40</f>
        <v>#DIV/0!</v>
      </c>
      <c r="J45" s="133">
        <f>J43/J40</f>
        <v>1.4415337214176551</v>
      </c>
      <c r="K45" s="129" t="s">
        <v>63</v>
      </c>
    </row>
    <row r="46" spans="1:13" ht="17.45" customHeight="1">
      <c r="A46" s="764" t="s">
        <v>76</v>
      </c>
      <c r="B46" s="765"/>
      <c r="C46" s="163">
        <f>SUMIF($G$7:$G$31,"Gas",$F$7:$F$31)</f>
        <v>0</v>
      </c>
      <c r="D46" s="117">
        <f>+C46+'22'!D46</f>
        <v>0</v>
      </c>
      <c r="E46" s="142">
        <f t="shared" si="0"/>
        <v>0</v>
      </c>
      <c r="F46" s="321"/>
      <c r="G46" s="322"/>
      <c r="H46" s="187" t="s">
        <v>77</v>
      </c>
      <c r="I46" s="139">
        <f>+SUMIF(Listrik!P30,"&gt;0")</f>
        <v>5654.019999998909</v>
      </c>
      <c r="J46" s="134">
        <f>+I46+'22'!J46</f>
        <v>601457.02</v>
      </c>
      <c r="K46" s="129" t="s">
        <v>78</v>
      </c>
    </row>
    <row r="47" spans="1:13" ht="17.45" customHeight="1">
      <c r="A47" s="764" t="s">
        <v>79</v>
      </c>
      <c r="B47" s="765"/>
      <c r="C47" s="163">
        <f>SUMIF($G$7:$G$31,"Gas",$F$7:$F$31)</f>
        <v>0</v>
      </c>
      <c r="D47" s="117">
        <f>+C47+'22'!D47</f>
        <v>0</v>
      </c>
      <c r="E47" s="142">
        <f t="shared" si="0"/>
        <v>0</v>
      </c>
      <c r="F47" s="321"/>
      <c r="G47" s="322"/>
      <c r="H47" s="187" t="s">
        <v>80</v>
      </c>
      <c r="I47" s="117" t="e">
        <f>I46/I38</f>
        <v>#DIV/0!</v>
      </c>
      <c r="J47" s="134">
        <f>J46/J38</f>
        <v>951.36390885867729</v>
      </c>
      <c r="K47" s="129" t="s">
        <v>24</v>
      </c>
    </row>
    <row r="48" spans="1:13" ht="17.45" customHeight="1">
      <c r="A48" s="764" t="s">
        <v>14</v>
      </c>
      <c r="B48" s="765"/>
      <c r="C48" s="163">
        <f>SUMIF($G$7:$G$31,"Start Up",$F$7:$F$31)</f>
        <v>0</v>
      </c>
      <c r="D48" s="117">
        <f>+C48+'22'!D48</f>
        <v>0</v>
      </c>
      <c r="E48" s="142">
        <f t="shared" si="0"/>
        <v>0</v>
      </c>
      <c r="F48" s="321"/>
      <c r="G48" s="322"/>
      <c r="H48" s="187" t="s">
        <v>81</v>
      </c>
      <c r="I48" s="117" t="e">
        <f>I46/I40</f>
        <v>#DIV/0!</v>
      </c>
      <c r="J48" s="134">
        <f>J46/J40</f>
        <v>981.01445611379609</v>
      </c>
      <c r="K48" s="129" t="s">
        <v>24</v>
      </c>
    </row>
    <row r="49" spans="1:11" ht="17.45" customHeight="1">
      <c r="A49" s="764" t="s">
        <v>20</v>
      </c>
      <c r="B49" s="765"/>
      <c r="C49" s="163">
        <f>SUMIF($G$7:$G$31,"Others",$F$7:$F$31)</f>
        <v>0</v>
      </c>
      <c r="D49" s="117">
        <f>+C49+'22'!D49</f>
        <v>948</v>
      </c>
      <c r="E49" s="142">
        <f t="shared" si="0"/>
        <v>15.8</v>
      </c>
      <c r="F49" s="184"/>
      <c r="H49" s="187" t="s">
        <v>268</v>
      </c>
      <c r="I49" s="117">
        <f>+Report1!T31</f>
        <v>8.3748172092665278</v>
      </c>
      <c r="J49" s="134">
        <f>+I49+'22'!J49</f>
        <v>77179.331822416585</v>
      </c>
      <c r="K49" s="129" t="s">
        <v>82</v>
      </c>
    </row>
    <row r="50" spans="1:11" ht="17.45" customHeight="1">
      <c r="A50" s="764" t="s">
        <v>19</v>
      </c>
      <c r="B50" s="765"/>
      <c r="C50" s="163">
        <f>SUMIF($G$7:$G$31,"Steam",$F$7:$F$31)</f>
        <v>0</v>
      </c>
      <c r="D50" s="117">
        <f>+C50+'22'!D50</f>
        <v>0</v>
      </c>
      <c r="E50" s="142">
        <f t="shared" si="0"/>
        <v>0</v>
      </c>
      <c r="F50" s="184"/>
      <c r="H50" s="187" t="s">
        <v>83</v>
      </c>
      <c r="I50" s="139" t="e">
        <f>I49/I38</f>
        <v>#DIV/0!</v>
      </c>
      <c r="J50" s="132">
        <f>J49/J38</f>
        <v>122.07959731798482</v>
      </c>
      <c r="K50" s="129" t="s">
        <v>82</v>
      </c>
    </row>
    <row r="51" spans="1:11" ht="17.45" customHeight="1" thickBot="1">
      <c r="A51" s="758" t="s">
        <v>84</v>
      </c>
      <c r="B51" s="759"/>
      <c r="C51" s="163">
        <f>SUMIF($G$7:$G$31,"Planned shut",$F$7:$F$31)</f>
        <v>1440</v>
      </c>
      <c r="D51" s="117">
        <f>+C51+'22'!D51</f>
        <v>9905</v>
      </c>
      <c r="E51" s="142">
        <f t="shared" si="0"/>
        <v>165.08333333333334</v>
      </c>
      <c r="F51" s="184"/>
      <c r="H51" s="189" t="s">
        <v>85</v>
      </c>
      <c r="I51" s="140" t="e">
        <f>I49/I40</f>
        <v>#DIV/0!</v>
      </c>
      <c r="J51" s="135">
        <f>J49/J40</f>
        <v>125.88437363486787</v>
      </c>
      <c r="K51" s="136" t="s">
        <v>82</v>
      </c>
    </row>
    <row r="52" spans="1:11" ht="13.5" thickBot="1">
      <c r="A52" s="760" t="s">
        <v>28</v>
      </c>
      <c r="B52" s="761"/>
      <c r="C52" s="143">
        <f>SUM(C38:C51)</f>
        <v>1440</v>
      </c>
      <c r="D52" s="143">
        <f>SUM(D38:D51)</f>
        <v>12424</v>
      </c>
      <c r="E52" s="144">
        <f>SUM(E38:E51)</f>
        <v>207.06666666666666</v>
      </c>
      <c r="F52" s="184"/>
      <c r="H52" s="190"/>
      <c r="I52" s="191"/>
      <c r="J52" s="137"/>
      <c r="K52" s="138"/>
    </row>
    <row r="53" spans="1:11" ht="13.5" thickBot="1">
      <c r="A53" s="762"/>
      <c r="B53" s="763"/>
      <c r="C53" s="145">
        <f>C52/(24*60)</f>
        <v>1</v>
      </c>
      <c r="D53" s="145">
        <f>D52/(24*60*G4)</f>
        <v>0.37512077294685992</v>
      </c>
      <c r="E53" s="146">
        <f>E52/(G4*24)</f>
        <v>0.37512077294685992</v>
      </c>
      <c r="F53" s="184"/>
    </row>
    <row r="54" spans="1:11">
      <c r="E54" s="192"/>
      <c r="F54" s="184"/>
    </row>
    <row r="55" spans="1:11">
      <c r="E55" s="192"/>
    </row>
    <row r="56" spans="1:11">
      <c r="A56" s="193" t="s">
        <v>86</v>
      </c>
      <c r="B56" s="194"/>
      <c r="C56" s="195"/>
      <c r="D56" s="195"/>
      <c r="E56" s="195"/>
      <c r="F56" s="196"/>
      <c r="G56" s="195"/>
      <c r="H56" s="197"/>
      <c r="I56" s="198" t="s">
        <v>87</v>
      </c>
      <c r="J56" s="199">
        <f>+D34+'22'!J56</f>
        <v>1116</v>
      </c>
      <c r="K56" s="200">
        <f>J56/(J40+J56/1000)/1000</f>
        <v>1.8169592633174485E-3</v>
      </c>
    </row>
    <row r="57" spans="1:11">
      <c r="A57" s="175"/>
      <c r="I57" s="198" t="s">
        <v>88</v>
      </c>
      <c r="J57" s="199">
        <f>+E34+'22'!J57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7:A14"/>
    <mergeCell ref="A15:A23"/>
    <mergeCell ref="I15:I22"/>
    <mergeCell ref="A38:B38"/>
    <mergeCell ref="I7:I14"/>
    <mergeCell ref="A39:B39"/>
    <mergeCell ref="A24:A32"/>
    <mergeCell ref="I24:I31"/>
    <mergeCell ref="A34:B34"/>
    <mergeCell ref="A37:B37"/>
    <mergeCell ref="A46:B46"/>
    <mergeCell ref="A51:B51"/>
    <mergeCell ref="A40:B40"/>
    <mergeCell ref="A41:B41"/>
    <mergeCell ref="A42:B42"/>
    <mergeCell ref="A43:B43"/>
    <mergeCell ref="A44:B44"/>
    <mergeCell ref="A45:B45"/>
    <mergeCell ref="A52:B52"/>
    <mergeCell ref="A53:B53"/>
    <mergeCell ref="A47:B47"/>
    <mergeCell ref="A48:B48"/>
    <mergeCell ref="A49:B49"/>
    <mergeCell ref="A50:B50"/>
  </mergeCells>
  <phoneticPr fontId="32" type="noConversion"/>
  <printOptions horizontalCentered="1"/>
  <pageMargins left="0.19513888888888889" right="0.19513888888888889" top="0.19513888888888889" bottom="0.19513888888888889" header="0" footer="0"/>
  <pageSetup paperSize="9" scale="65" firstPageNumber="4294963191" orientation="landscape"/>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zoomScale="80" zoomScaleNormal="80" workbookViewId="0">
      <selection activeCell="I36" sqref="I36"/>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7109375" style="148" bestFit="1" customWidth="1"/>
    <col min="12" max="12" width="8.28515625" style="148" customWidth="1"/>
    <col min="13" max="13" width="15.28515625" style="148" customWidth="1"/>
    <col min="14" max="16384" width="9.140625" style="148"/>
  </cols>
  <sheetData>
    <row r="1" spans="1:13" ht="15.75">
      <c r="A1" s="147"/>
    </row>
    <row r="2" spans="1:13" ht="15.75">
      <c r="A2" s="147" t="s">
        <v>182</v>
      </c>
    </row>
    <row r="3" spans="1:13" ht="15">
      <c r="A3" s="149"/>
    </row>
    <row r="4" spans="1:13" ht="20.25">
      <c r="A4" s="150" t="s">
        <v>3</v>
      </c>
      <c r="B4" s="151"/>
      <c r="F4" s="152" t="s">
        <v>29</v>
      </c>
      <c r="G4" s="153">
        <v>22</v>
      </c>
      <c r="H4" s="153" t="str">
        <f>+'1'!H4</f>
        <v>.03.26</v>
      </c>
    </row>
    <row r="5" spans="1:13" ht="13.5" thickBot="1">
      <c r="C5" s="154"/>
      <c r="D5" s="154"/>
    </row>
    <row r="6" spans="1:13"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row>
    <row r="7" spans="1:13" ht="13.5" customHeight="1" thickBot="1">
      <c r="A7" s="770" t="s">
        <v>457</v>
      </c>
      <c r="B7" s="214"/>
      <c r="C7" s="215"/>
      <c r="D7" s="216"/>
      <c r="E7" s="217"/>
      <c r="F7" s="227"/>
      <c r="G7" s="228" t="s">
        <v>12</v>
      </c>
      <c r="H7" s="229" t="s">
        <v>412</v>
      </c>
      <c r="I7" s="773" t="s">
        <v>491</v>
      </c>
      <c r="J7" s="213" t="str">
        <f>+'21'!J7</f>
        <v>F 12 VP OW</v>
      </c>
      <c r="K7" s="237"/>
      <c r="L7" s="241"/>
      <c r="M7" s="116">
        <f>+K7+'21'!M7+L7</f>
        <v>136522</v>
      </c>
    </row>
    <row r="8" spans="1:13" ht="13.5" thickBot="1">
      <c r="A8" s="771"/>
      <c r="B8" s="214"/>
      <c r="C8" s="215"/>
      <c r="D8" s="216"/>
      <c r="E8" s="218"/>
      <c r="F8" s="230"/>
      <c r="G8" s="231" t="s">
        <v>12</v>
      </c>
      <c r="H8" s="229" t="s">
        <v>283</v>
      </c>
      <c r="I8" s="774"/>
      <c r="J8" s="213" t="str">
        <f>+'21'!J8</f>
        <v>F 14 VP OW</v>
      </c>
      <c r="K8" s="238"/>
      <c r="L8" s="238"/>
      <c r="M8" s="116">
        <f>+K8+'21'!M8+L8</f>
        <v>89126</v>
      </c>
    </row>
    <row r="9" spans="1:13" ht="13.5" thickBot="1">
      <c r="A9" s="771"/>
      <c r="B9" s="214"/>
      <c r="C9" s="215"/>
      <c r="D9" s="216"/>
      <c r="E9" s="219"/>
      <c r="F9" s="227"/>
      <c r="G9" s="231" t="s">
        <v>12</v>
      </c>
      <c r="H9" s="232" t="s">
        <v>411</v>
      </c>
      <c r="I9" s="774"/>
      <c r="J9" s="213" t="str">
        <f>+'21'!J9</f>
        <v>F 16 VP OW</v>
      </c>
      <c r="K9" s="238"/>
      <c r="L9" s="238"/>
      <c r="M9" s="116">
        <f>+K9+'21'!M9+L9</f>
        <v>104726</v>
      </c>
    </row>
    <row r="10" spans="1:13" ht="13.5" thickBot="1">
      <c r="A10" s="771"/>
      <c r="B10" s="214"/>
      <c r="C10" s="215"/>
      <c r="D10" s="216"/>
      <c r="E10" s="218"/>
      <c r="F10" s="227"/>
      <c r="G10" s="236" t="s">
        <v>13</v>
      </c>
      <c r="H10" s="232" t="s">
        <v>676</v>
      </c>
      <c r="I10" s="774"/>
      <c r="J10" s="213" t="str">
        <f>+'21'!J10</f>
        <v>F 13,5 VP OW</v>
      </c>
      <c r="K10" s="238"/>
      <c r="L10" s="238"/>
      <c r="M10" s="116">
        <f>+K10+'21'!M10+L10</f>
        <v>10827</v>
      </c>
    </row>
    <row r="11" spans="1:13" ht="64.5" thickBot="1">
      <c r="A11" s="771"/>
      <c r="B11" s="214"/>
      <c r="C11" s="215"/>
      <c r="D11" s="216"/>
      <c r="E11" s="218"/>
      <c r="F11" s="234">
        <v>480</v>
      </c>
      <c r="G11" s="231" t="s">
        <v>675</v>
      </c>
      <c r="H11" s="232" t="s">
        <v>690</v>
      </c>
      <c r="I11" s="774"/>
      <c r="J11" s="213" t="str">
        <f>+'21'!J11</f>
        <v>F 13 VP OW</v>
      </c>
      <c r="K11" s="238"/>
      <c r="L11" s="238"/>
      <c r="M11" s="116">
        <f>+K11+'21'!M11+L11</f>
        <v>19832</v>
      </c>
    </row>
    <row r="12" spans="1:13" ht="13.5" thickBot="1">
      <c r="A12" s="771"/>
      <c r="B12" s="214"/>
      <c r="C12" s="215"/>
      <c r="D12" s="216"/>
      <c r="E12" s="218"/>
      <c r="F12" s="227"/>
      <c r="G12" s="231"/>
      <c r="H12" s="232"/>
      <c r="I12" s="774"/>
      <c r="J12" s="213" t="str">
        <f>+'21'!J12</f>
        <v>T 14 VP OW</v>
      </c>
      <c r="K12" s="238"/>
      <c r="L12" s="238"/>
      <c r="M12" s="116">
        <f>+K12+'21'!M12+L12</f>
        <v>10448</v>
      </c>
    </row>
    <row r="13" spans="1:13" ht="13.5" thickBot="1">
      <c r="A13" s="771"/>
      <c r="B13" s="214"/>
      <c r="C13" s="215"/>
      <c r="D13" s="215"/>
      <c r="E13" s="218"/>
      <c r="F13" s="227"/>
      <c r="G13" s="231"/>
      <c r="H13" s="232"/>
      <c r="I13" s="774"/>
      <c r="J13" s="213" t="str">
        <f>+'21'!J13</f>
        <v>F 11,5 VP OW</v>
      </c>
      <c r="K13" s="238"/>
      <c r="L13" s="238"/>
      <c r="M13" s="116">
        <f>+K13+'21'!M13+L13</f>
        <v>53931</v>
      </c>
    </row>
    <row r="14" spans="1:13" ht="13.5" thickBot="1">
      <c r="A14" s="772"/>
      <c r="B14" s="164" t="s">
        <v>2</v>
      </c>
      <c r="C14" s="98">
        <f>SUM(C7:C13)</f>
        <v>0</v>
      </c>
      <c r="D14" s="110">
        <f>SUM(D7:D13)</f>
        <v>0</v>
      </c>
      <c r="E14" s="111">
        <f>SUM(E5:E13)</f>
        <v>0</v>
      </c>
      <c r="F14" s="115">
        <f>SUM(F7:F13)</f>
        <v>480</v>
      </c>
      <c r="G14" s="158"/>
      <c r="H14" s="165"/>
      <c r="I14" s="775"/>
      <c r="J14" s="213" t="str">
        <f>+'21'!J14</f>
        <v>F 12,5 VP OW</v>
      </c>
      <c r="K14" s="238"/>
      <c r="L14" s="238"/>
      <c r="M14" s="116">
        <f>+K14+'21'!M14+L14</f>
        <v>10132</v>
      </c>
    </row>
    <row r="15" spans="1:13" ht="13.5" customHeight="1" thickBot="1">
      <c r="A15" s="770" t="s">
        <v>687</v>
      </c>
      <c r="B15" s="164"/>
      <c r="C15" s="112" t="e">
        <f>C14/($C$23+$D$23+$E$23)</f>
        <v>#DIV/0!</v>
      </c>
      <c r="D15" s="113" t="e">
        <f>D14/($C$23+$D$23+$E$23)</f>
        <v>#DIV/0!</v>
      </c>
      <c r="E15" s="114" t="e">
        <f>E14/($C$23+$D$23+$E$23)</f>
        <v>#DIV/0!</v>
      </c>
      <c r="F15" s="227"/>
      <c r="G15" s="228" t="s">
        <v>12</v>
      </c>
      <c r="H15" s="229" t="s">
        <v>412</v>
      </c>
      <c r="I15" s="773" t="s">
        <v>491</v>
      </c>
      <c r="J15" s="213" t="str">
        <f>+'21'!J15</f>
        <v>T 13 VP OW</v>
      </c>
      <c r="K15" s="238"/>
      <c r="L15" s="238"/>
      <c r="M15" s="116">
        <f>+K15+'21'!M15+L15</f>
        <v>124865</v>
      </c>
    </row>
    <row r="16" spans="1:13" ht="13.5" thickBot="1">
      <c r="A16" s="776"/>
      <c r="B16" s="214"/>
      <c r="C16" s="221"/>
      <c r="D16" s="222"/>
      <c r="E16" s="223"/>
      <c r="F16" s="230"/>
      <c r="G16" s="231" t="s">
        <v>12</v>
      </c>
      <c r="H16" s="229" t="s">
        <v>283</v>
      </c>
      <c r="I16" s="774"/>
      <c r="J16" s="213" t="str">
        <f>+'21'!J16</f>
        <v>T 12,5 VP OW</v>
      </c>
      <c r="K16" s="228"/>
      <c r="L16" s="228"/>
      <c r="M16" s="116">
        <f>+K16+'21'!M16+L16</f>
        <v>52688</v>
      </c>
    </row>
    <row r="17" spans="1:13" ht="13.5" thickBot="1">
      <c r="A17" s="776"/>
      <c r="B17" s="214"/>
      <c r="C17" s="215"/>
      <c r="D17" s="216"/>
      <c r="E17" s="224"/>
      <c r="F17" s="227"/>
      <c r="G17" s="231" t="s">
        <v>12</v>
      </c>
      <c r="H17" s="232" t="s">
        <v>411</v>
      </c>
      <c r="I17" s="774"/>
      <c r="J17" s="213">
        <f>+'21'!J17</f>
        <v>0</v>
      </c>
      <c r="K17" s="228"/>
      <c r="L17" s="228"/>
      <c r="M17" s="116">
        <f>+K17+'21'!M17+L17</f>
        <v>0</v>
      </c>
    </row>
    <row r="18" spans="1:13" ht="13.5" thickBot="1">
      <c r="A18" s="776"/>
      <c r="B18" s="214"/>
      <c r="C18" s="215"/>
      <c r="D18" s="216"/>
      <c r="E18" s="224"/>
      <c r="F18" s="227"/>
      <c r="G18" s="236" t="s">
        <v>13</v>
      </c>
      <c r="H18" s="232" t="s">
        <v>676</v>
      </c>
      <c r="I18" s="774"/>
      <c r="J18" s="213">
        <f>+'21'!J18</f>
        <v>0</v>
      </c>
      <c r="K18" s="238"/>
      <c r="L18" s="238"/>
      <c r="M18" s="116">
        <f>+K18+'21'!M18+L18</f>
        <v>0</v>
      </c>
    </row>
    <row r="19" spans="1:13" ht="51.75" thickBot="1">
      <c r="A19" s="776"/>
      <c r="B19" s="214"/>
      <c r="C19" s="215"/>
      <c r="D19" s="216"/>
      <c r="E19" s="224"/>
      <c r="F19" s="234">
        <v>480</v>
      </c>
      <c r="G19" s="231" t="s">
        <v>675</v>
      </c>
      <c r="H19" s="232" t="s">
        <v>698</v>
      </c>
      <c r="I19" s="774"/>
      <c r="J19" s="213">
        <f>+'21'!J19</f>
        <v>0</v>
      </c>
      <c r="K19" s="238"/>
      <c r="L19" s="238"/>
      <c r="M19" s="116">
        <f>+K19+'21'!M19+L19</f>
        <v>0</v>
      </c>
    </row>
    <row r="20" spans="1:13" ht="13.5" thickBot="1">
      <c r="A20" s="776"/>
      <c r="B20" s="214"/>
      <c r="C20" s="215"/>
      <c r="D20" s="216"/>
      <c r="E20" s="224"/>
      <c r="F20" s="227"/>
      <c r="G20" s="231"/>
      <c r="H20" s="232"/>
      <c r="I20" s="774"/>
      <c r="J20" s="213">
        <f>+'21'!J20</f>
        <v>0</v>
      </c>
      <c r="K20" s="239"/>
      <c r="L20" s="239"/>
      <c r="M20" s="116">
        <f>+K20+'21'!M20+L20</f>
        <v>0</v>
      </c>
    </row>
    <row r="21" spans="1:13" ht="13.5" thickBot="1">
      <c r="A21" s="776"/>
      <c r="B21" s="214"/>
      <c r="C21" s="215"/>
      <c r="D21" s="216"/>
      <c r="E21" s="224"/>
      <c r="F21" s="230"/>
      <c r="G21" s="231"/>
      <c r="H21" s="232"/>
      <c r="I21" s="774"/>
      <c r="J21" s="213">
        <f>+'21'!J21</f>
        <v>0</v>
      </c>
      <c r="K21" s="238"/>
      <c r="L21" s="238"/>
      <c r="M21" s="116">
        <f>+K21+'21'!M21+L21</f>
        <v>0</v>
      </c>
    </row>
    <row r="22" spans="1:13" ht="13.5" thickBot="1">
      <c r="A22" s="776"/>
      <c r="B22" s="214"/>
      <c r="C22" s="215"/>
      <c r="D22" s="216"/>
      <c r="E22" s="224"/>
      <c r="F22" s="235"/>
      <c r="G22" s="231"/>
      <c r="H22" s="232"/>
      <c r="I22" s="775"/>
      <c r="J22" s="213">
        <f>+'21'!J22</f>
        <v>0</v>
      </c>
      <c r="K22" s="238"/>
      <c r="L22" s="238"/>
      <c r="M22" s="116">
        <f>+K22+'21'!M22+L22</f>
        <v>0</v>
      </c>
    </row>
    <row r="23" spans="1:13" ht="13.5" thickBot="1">
      <c r="A23" s="777"/>
      <c r="B23" s="167" t="s">
        <v>2</v>
      </c>
      <c r="C23" s="99">
        <f>SUM(C16:C22)</f>
        <v>0</v>
      </c>
      <c r="D23" s="110">
        <f>SUM(D16:D22)</f>
        <v>0</v>
      </c>
      <c r="E23" s="111">
        <f>SUM(E18:E22)</f>
        <v>0</v>
      </c>
      <c r="F23" s="115">
        <f>SUM(F15:F22)</f>
        <v>480</v>
      </c>
      <c r="G23" s="158"/>
      <c r="H23" s="165"/>
      <c r="I23" s="168"/>
      <c r="J23" s="213">
        <f>+'21'!J23</f>
        <v>0</v>
      </c>
      <c r="K23" s="238"/>
      <c r="L23" s="238"/>
      <c r="M23" s="116">
        <f>+K23+'21'!M23+L23</f>
        <v>0</v>
      </c>
    </row>
    <row r="24" spans="1:13" ht="13.5" customHeight="1" thickBot="1">
      <c r="A24" s="770" t="s">
        <v>689</v>
      </c>
      <c r="B24" s="169"/>
      <c r="C24" s="112" t="e">
        <f>C23/($C$23+$D$23+$E$23)</f>
        <v>#DIV/0!</v>
      </c>
      <c r="D24" s="113" t="e">
        <f>D23/($C$23+$D$23+$E$23)</f>
        <v>#DIV/0!</v>
      </c>
      <c r="E24" s="114" t="e">
        <f>E23/($C$23+$D$23+$E$23)</f>
        <v>#DIV/0!</v>
      </c>
      <c r="F24" s="227"/>
      <c r="G24" s="228" t="s">
        <v>12</v>
      </c>
      <c r="H24" s="229" t="s">
        <v>412</v>
      </c>
      <c r="I24" s="773" t="s">
        <v>491</v>
      </c>
      <c r="J24" s="213">
        <f>+'21'!J24</f>
        <v>0</v>
      </c>
      <c r="K24" s="238"/>
      <c r="L24" s="238"/>
      <c r="M24" s="116">
        <f>+K24+'21'!M24+L24</f>
        <v>0</v>
      </c>
    </row>
    <row r="25" spans="1:13" ht="13.5" thickBot="1">
      <c r="A25" s="776"/>
      <c r="B25" s="214"/>
      <c r="C25" s="225"/>
      <c r="D25" s="216"/>
      <c r="E25" s="224"/>
      <c r="F25" s="230"/>
      <c r="G25" s="231" t="s">
        <v>12</v>
      </c>
      <c r="H25" s="229" t="s">
        <v>283</v>
      </c>
      <c r="I25" s="774"/>
      <c r="J25" s="213">
        <f>+'21'!J25</f>
        <v>0</v>
      </c>
      <c r="K25" s="238"/>
      <c r="L25" s="238"/>
      <c r="M25" s="116">
        <f>+K25+'21'!M25+L25</f>
        <v>0</v>
      </c>
    </row>
    <row r="26" spans="1:13" ht="13.5" thickBot="1">
      <c r="A26" s="776"/>
      <c r="B26" s="214"/>
      <c r="C26" s="225"/>
      <c r="D26" s="216"/>
      <c r="E26" s="226"/>
      <c r="F26" s="227"/>
      <c r="G26" s="231" t="s">
        <v>12</v>
      </c>
      <c r="H26" s="232" t="s">
        <v>411</v>
      </c>
      <c r="I26" s="774"/>
      <c r="J26" s="213">
        <f>+'21'!J26</f>
        <v>0</v>
      </c>
      <c r="K26" s="238"/>
      <c r="L26" s="238"/>
      <c r="M26" s="116">
        <f>+K26+'21'!M26+L26</f>
        <v>0</v>
      </c>
    </row>
    <row r="27" spans="1:13" ht="13.5" thickBot="1">
      <c r="A27" s="776"/>
      <c r="B27" s="214"/>
      <c r="C27" s="215"/>
      <c r="D27" s="216"/>
      <c r="E27" s="224"/>
      <c r="F27" s="227"/>
      <c r="G27" s="236" t="s">
        <v>13</v>
      </c>
      <c r="H27" s="232" t="s">
        <v>676</v>
      </c>
      <c r="I27" s="774"/>
      <c r="J27" s="213">
        <f>+'21'!J27</f>
        <v>0</v>
      </c>
      <c r="K27" s="238"/>
      <c r="L27" s="238"/>
      <c r="M27" s="116">
        <f>+K27+'21'!M27+L27</f>
        <v>0</v>
      </c>
    </row>
    <row r="28" spans="1:13" ht="39" thickBot="1">
      <c r="A28" s="776"/>
      <c r="B28" s="214"/>
      <c r="C28" s="215"/>
      <c r="D28" s="216"/>
      <c r="E28" s="224"/>
      <c r="F28" s="234">
        <v>480</v>
      </c>
      <c r="G28" s="231" t="s">
        <v>675</v>
      </c>
      <c r="H28" s="232" t="s">
        <v>697</v>
      </c>
      <c r="I28" s="774"/>
      <c r="J28" s="213">
        <f>+'21'!J28</f>
        <v>0</v>
      </c>
      <c r="K28" s="238"/>
      <c r="L28" s="238"/>
      <c r="M28" s="116">
        <f>+K28+'21'!M28+L28</f>
        <v>0</v>
      </c>
    </row>
    <row r="29" spans="1:13" ht="13.5" thickBot="1">
      <c r="A29" s="776"/>
      <c r="B29" s="214"/>
      <c r="C29" s="215"/>
      <c r="D29" s="216"/>
      <c r="E29" s="224"/>
      <c r="F29" s="235"/>
      <c r="G29" s="231"/>
      <c r="H29" s="232"/>
      <c r="I29" s="774"/>
      <c r="J29" s="213">
        <f>+'21'!J29</f>
        <v>0</v>
      </c>
      <c r="K29" s="238"/>
      <c r="L29" s="238"/>
      <c r="M29" s="116">
        <f>+K29+'21'!M29+L29</f>
        <v>0</v>
      </c>
    </row>
    <row r="30" spans="1:13" ht="13.5" thickBot="1">
      <c r="A30" s="776"/>
      <c r="B30" s="214"/>
      <c r="C30" s="225"/>
      <c r="D30" s="216"/>
      <c r="E30" s="224"/>
      <c r="F30" s="235"/>
      <c r="G30" s="231"/>
      <c r="H30" s="232"/>
      <c r="I30" s="774"/>
      <c r="J30" s="213">
        <f>+'21'!J30</f>
        <v>0</v>
      </c>
      <c r="K30" s="238"/>
      <c r="L30" s="238"/>
      <c r="M30" s="116">
        <f>+K30+'21'!M30+L30</f>
        <v>0</v>
      </c>
    </row>
    <row r="31" spans="1:13" ht="13.5" thickBot="1">
      <c r="A31" s="776"/>
      <c r="B31" s="214"/>
      <c r="C31" s="225"/>
      <c r="D31" s="216"/>
      <c r="E31" s="224"/>
      <c r="F31" s="235"/>
      <c r="G31" s="236"/>
      <c r="H31" s="443"/>
      <c r="I31" s="775"/>
      <c r="J31" s="213">
        <f>+'21'!J31</f>
        <v>0</v>
      </c>
      <c r="K31" s="238"/>
      <c r="L31" s="238"/>
      <c r="M31" s="116">
        <f>+K31+'21'!M31+L31</f>
        <v>0</v>
      </c>
    </row>
    <row r="32" spans="1:13" ht="13.5" thickBot="1">
      <c r="A32" s="777"/>
      <c r="B32" s="164" t="s">
        <v>2</v>
      </c>
      <c r="C32" s="98">
        <f>SUM(C25:C31)</f>
        <v>0</v>
      </c>
      <c r="D32" s="99">
        <f>SUM(D25:D31)</f>
        <v>0</v>
      </c>
      <c r="E32" s="100">
        <f>SUM(E25:E31)</f>
        <v>0</v>
      </c>
      <c r="F32" s="101">
        <f>SUM(F24:F31)</f>
        <v>480</v>
      </c>
      <c r="G32" s="170"/>
      <c r="H32" s="171"/>
      <c r="I32" s="168"/>
      <c r="J32" s="213">
        <f>+'21'!J32</f>
        <v>0</v>
      </c>
      <c r="K32" s="240"/>
      <c r="L32" s="242"/>
      <c r="M32" s="116">
        <f>+K32+'21'!M32+L32</f>
        <v>0</v>
      </c>
    </row>
    <row r="33" spans="1:13" ht="13.5" thickBot="1">
      <c r="A33" s="172"/>
      <c r="B33" s="173"/>
      <c r="C33" s="102" t="e">
        <f>C32/($C$32+$D$32+$E$32)</f>
        <v>#DIV/0!</v>
      </c>
      <c r="D33" s="103" t="e">
        <f>D32/($C$32+$D$32+$E$32)</f>
        <v>#DIV/0!</v>
      </c>
      <c r="E33" s="104" t="e">
        <f>E32/($C$32+$D$32+$E$32)</f>
        <v>#DIV/0!</v>
      </c>
      <c r="F33" s="105"/>
      <c r="G33" s="174"/>
      <c r="H33" s="175"/>
      <c r="I33" s="176"/>
      <c r="J33" s="120"/>
      <c r="K33" s="121"/>
      <c r="L33" s="212"/>
      <c r="M33" s="118"/>
    </row>
    <row r="34" spans="1:13" ht="13.5" thickBot="1">
      <c r="A34" s="766" t="s">
        <v>57</v>
      </c>
      <c r="B34" s="767"/>
      <c r="C34" s="106">
        <f>C14+C23+C32</f>
        <v>0</v>
      </c>
      <c r="D34" s="106">
        <f>D14+D23+D32</f>
        <v>0</v>
      </c>
      <c r="E34" s="106">
        <f>E14+E23+E32</f>
        <v>0</v>
      </c>
      <c r="F34" s="107">
        <f>F14+F23+F32</f>
        <v>1440</v>
      </c>
      <c r="H34" s="177"/>
      <c r="I34" s="177"/>
      <c r="J34" s="122" t="s">
        <v>28</v>
      </c>
      <c r="K34" s="123">
        <f>SUM(K7:K32)</f>
        <v>0</v>
      </c>
      <c r="L34" s="211">
        <f>SUM(L7:L32)</f>
        <v>0</v>
      </c>
      <c r="M34" s="119">
        <f>SUM(M7:M32)</f>
        <v>613097</v>
      </c>
    </row>
    <row r="35" spans="1:13" ht="13.5" thickBot="1">
      <c r="A35" s="178"/>
      <c r="B35" s="179"/>
      <c r="C35" s="103" t="e">
        <f>C34/($C$34+$D$34+$E$34)</f>
        <v>#DIV/0!</v>
      </c>
      <c r="D35" s="103" t="e">
        <f>D34/($C$34+$D$34+$E$34)</f>
        <v>#DIV/0!</v>
      </c>
      <c r="E35" s="108" t="e">
        <f>E34/($C$34+$D$34+$E$34)</f>
        <v>#DIV/0!</v>
      </c>
      <c r="K35" s="154"/>
    </row>
    <row r="36" spans="1:13" ht="13.5" thickBot="1">
      <c r="A36" s="177"/>
      <c r="B36" s="177"/>
      <c r="C36" s="154"/>
      <c r="D36" s="154"/>
      <c r="E36" s="154"/>
      <c r="G36" s="154"/>
      <c r="H36" s="180"/>
      <c r="I36" s="161" t="s">
        <v>37</v>
      </c>
      <c r="J36" s="161" t="s">
        <v>38</v>
      </c>
      <c r="K36" s="181"/>
    </row>
    <row r="37" spans="1:13" ht="17.45" customHeight="1" thickBot="1">
      <c r="A37" s="768" t="s">
        <v>58</v>
      </c>
      <c r="B37" s="769"/>
      <c r="C37" s="161" t="s">
        <v>59</v>
      </c>
      <c r="D37" s="182" t="s">
        <v>60</v>
      </c>
      <c r="E37" s="183" t="s">
        <v>61</v>
      </c>
      <c r="F37" s="321"/>
      <c r="G37" s="323"/>
      <c r="H37" s="185" t="s">
        <v>62</v>
      </c>
      <c r="I37" s="243">
        <f>(10.3*1440)/1440*G42*2.74*1440/1000000</f>
        <v>0</v>
      </c>
      <c r="J37" s="124">
        <f>+I37+'21'!J37</f>
        <v>720.38915342322991</v>
      </c>
      <c r="K37" s="125" t="s">
        <v>63</v>
      </c>
    </row>
    <row r="38" spans="1:13" ht="17.45" customHeight="1">
      <c r="A38" s="760" t="s">
        <v>12</v>
      </c>
      <c r="B38" s="761"/>
      <c r="C38" s="163">
        <f>SUMIF($G$7:$G$31,"Process",$F$7:$F$31)</f>
        <v>0</v>
      </c>
      <c r="D38" s="117">
        <f>+C38+'21'!D38</f>
        <v>1260</v>
      </c>
      <c r="E38" s="142">
        <f t="shared" ref="E38:E51" si="0">D38/60</f>
        <v>21</v>
      </c>
      <c r="F38" s="321"/>
      <c r="G38" s="321"/>
      <c r="H38" s="186" t="s">
        <v>64</v>
      </c>
      <c r="I38" s="244"/>
      <c r="J38" s="126">
        <f>+I38+'21'!J38</f>
        <v>632.20499999999993</v>
      </c>
      <c r="K38" s="127" t="s">
        <v>63</v>
      </c>
    </row>
    <row r="39" spans="1:13" ht="17.45" customHeight="1">
      <c r="A39" s="764" t="s">
        <v>13</v>
      </c>
      <c r="B39" s="765"/>
      <c r="C39" s="163">
        <f>SUMIF($G$7:$G$31,"Cleaning",$F$7:$F$31)</f>
        <v>0</v>
      </c>
      <c r="D39" s="117">
        <f>+C39+'21'!D39</f>
        <v>0</v>
      </c>
      <c r="E39" s="142">
        <f t="shared" si="0"/>
        <v>0</v>
      </c>
      <c r="F39" s="321"/>
      <c r="G39" s="321"/>
      <c r="H39" s="186" t="s">
        <v>65</v>
      </c>
      <c r="I39" s="141"/>
      <c r="J39" s="128">
        <f>J37/G4</f>
        <v>32.744961519237727</v>
      </c>
      <c r="K39" s="129" t="s">
        <v>63</v>
      </c>
    </row>
    <row r="40" spans="1:13" ht="17.45" customHeight="1">
      <c r="A40" s="764" t="s">
        <v>66</v>
      </c>
      <c r="B40" s="765"/>
      <c r="C40" s="163">
        <f>SUMIF($G$7:$G$31,"Mechanical",$F$7:$F$31)</f>
        <v>0</v>
      </c>
      <c r="D40" s="117">
        <f>+C40+'21'!D40</f>
        <v>0</v>
      </c>
      <c r="E40" s="142">
        <f t="shared" si="0"/>
        <v>0</v>
      </c>
      <c r="F40" s="321"/>
      <c r="G40" s="321"/>
      <c r="H40" s="186" t="s">
        <v>67</v>
      </c>
      <c r="I40" s="117">
        <f>(K34+L34)/1000</f>
        <v>0</v>
      </c>
      <c r="J40" s="130">
        <f>+I40+'21'!J40</f>
        <v>613.09699999999998</v>
      </c>
      <c r="K40" s="129" t="s">
        <v>63</v>
      </c>
    </row>
    <row r="41" spans="1:13" ht="17.45" customHeight="1">
      <c r="A41" s="764" t="s">
        <v>68</v>
      </c>
      <c r="B41" s="765"/>
      <c r="C41" s="163">
        <f>SUMIF($G$7:$G$31,"Electrical",$F$7:$F$31)</f>
        <v>0</v>
      </c>
      <c r="D41" s="117">
        <f>+C41+'21'!D41</f>
        <v>311</v>
      </c>
      <c r="E41" s="142">
        <f t="shared" si="0"/>
        <v>5.1833333333333336</v>
      </c>
      <c r="F41" s="321"/>
      <c r="G41" s="321"/>
      <c r="H41" s="186" t="s">
        <v>69</v>
      </c>
      <c r="I41" s="141"/>
      <c r="J41" s="128">
        <f>J40/G4</f>
        <v>27.868045454545452</v>
      </c>
      <c r="K41" s="129" t="s">
        <v>63</v>
      </c>
    </row>
    <row r="42" spans="1:13" ht="17.45" customHeight="1">
      <c r="A42" s="764" t="s">
        <v>16</v>
      </c>
      <c r="B42" s="765"/>
      <c r="C42" s="163">
        <f>SUMIF($G$7:$G$31,"Instrument",$F$7:$F$31)</f>
        <v>0</v>
      </c>
      <c r="D42" s="117">
        <f>+C42+'21'!D42</f>
        <v>0</v>
      </c>
      <c r="E42" s="142">
        <f t="shared" si="0"/>
        <v>0</v>
      </c>
      <c r="F42" s="321"/>
      <c r="G42" s="321"/>
      <c r="H42" s="186" t="s">
        <v>70</v>
      </c>
      <c r="I42" s="245"/>
      <c r="J42" s="131"/>
      <c r="K42" s="129" t="s">
        <v>71</v>
      </c>
    </row>
    <row r="43" spans="1:13" ht="17.45" customHeight="1">
      <c r="A43" s="764" t="s">
        <v>72</v>
      </c>
      <c r="B43" s="765"/>
      <c r="C43" s="163">
        <f>SUMIF($G$7:$G$31,"Water",$F$7:$F$31)</f>
        <v>0</v>
      </c>
      <c r="D43" s="117">
        <f>+C43+'21'!D43</f>
        <v>0</v>
      </c>
      <c r="E43" s="142">
        <f t="shared" si="0"/>
        <v>0</v>
      </c>
      <c r="F43" s="321"/>
      <c r="G43" s="322"/>
      <c r="H43" s="187" t="s">
        <v>73</v>
      </c>
      <c r="I43" s="117">
        <f>+Report1!Z30</f>
        <v>4.5</v>
      </c>
      <c r="J43" s="132">
        <f>+I43+'21'!J43</f>
        <v>871.50000000000011</v>
      </c>
      <c r="K43" s="129" t="s">
        <v>63</v>
      </c>
      <c r="L43" s="188"/>
    </row>
    <row r="44" spans="1:13" ht="17.45" customHeight="1">
      <c r="A44" s="764" t="s">
        <v>17</v>
      </c>
      <c r="B44" s="765"/>
      <c r="C44" s="163">
        <f>SUMIF($G$7:$G$31,"PLN",$F$7:$F$31)</f>
        <v>0</v>
      </c>
      <c r="D44" s="117">
        <f>+C44+'21'!D44</f>
        <v>0</v>
      </c>
      <c r="E44" s="142">
        <f t="shared" si="0"/>
        <v>0</v>
      </c>
      <c r="F44" s="321"/>
      <c r="G44" s="322"/>
      <c r="H44" s="187" t="s">
        <v>74</v>
      </c>
      <c r="I44" s="117" t="e">
        <f>I43/I38</f>
        <v>#DIV/0!</v>
      </c>
      <c r="J44" s="133">
        <f>J43/J38</f>
        <v>1.3785085533964461</v>
      </c>
      <c r="K44" s="129" t="s">
        <v>63</v>
      </c>
    </row>
    <row r="45" spans="1:13" ht="17.45" customHeight="1">
      <c r="A45" s="764" t="s">
        <v>18</v>
      </c>
      <c r="B45" s="765"/>
      <c r="C45" s="163">
        <f>SUMIF($G$7:$G$31,"Boiler",$F$7:$F$31)</f>
        <v>0</v>
      </c>
      <c r="D45" s="117">
        <f>+C45+'21'!D45</f>
        <v>0</v>
      </c>
      <c r="E45" s="142">
        <f t="shared" si="0"/>
        <v>0</v>
      </c>
      <c r="F45" s="321"/>
      <c r="G45" s="324"/>
      <c r="H45" s="187" t="s">
        <v>75</v>
      </c>
      <c r="I45" s="117" t="e">
        <f>I43/I40</f>
        <v>#DIV/0!</v>
      </c>
      <c r="J45" s="133">
        <f>J43/J40</f>
        <v>1.421471643149453</v>
      </c>
      <c r="K45" s="129" t="s">
        <v>63</v>
      </c>
    </row>
    <row r="46" spans="1:13" ht="17.45" customHeight="1">
      <c r="A46" s="764" t="s">
        <v>76</v>
      </c>
      <c r="B46" s="765"/>
      <c r="C46" s="163">
        <f>SUMIF($G$7:$G$31,"Gas",$F$7:$F$31)</f>
        <v>0</v>
      </c>
      <c r="D46" s="117">
        <f>+C46+'21'!D46</f>
        <v>0</v>
      </c>
      <c r="E46" s="142">
        <f t="shared" si="0"/>
        <v>0</v>
      </c>
      <c r="F46" s="321"/>
      <c r="G46" s="322"/>
      <c r="H46" s="187" t="s">
        <v>77</v>
      </c>
      <c r="I46" s="139">
        <f>+SUMIF(Listrik!P29,"&gt;0")</f>
        <v>4580.300000000364</v>
      </c>
      <c r="J46" s="134">
        <f>+I46+'21'!J46</f>
        <v>595803.00000000116</v>
      </c>
      <c r="K46" s="129" t="s">
        <v>78</v>
      </c>
    </row>
    <row r="47" spans="1:13" ht="17.45" customHeight="1">
      <c r="A47" s="764" t="s">
        <v>79</v>
      </c>
      <c r="B47" s="765"/>
      <c r="C47" s="163">
        <f>SUMIF($G$7:$G$31,"Gas",$F$7:$F$31)</f>
        <v>0</v>
      </c>
      <c r="D47" s="117">
        <f>+C47+'21'!D47</f>
        <v>0</v>
      </c>
      <c r="E47" s="142">
        <f t="shared" si="0"/>
        <v>0</v>
      </c>
      <c r="F47" s="321"/>
      <c r="G47" s="322"/>
      <c r="H47" s="187" t="s">
        <v>80</v>
      </c>
      <c r="I47" s="117" t="e">
        <f>I46/I38</f>
        <v>#DIV/0!</v>
      </c>
      <c r="J47" s="134">
        <f>J46/J38</f>
        <v>942.42057560443402</v>
      </c>
      <c r="K47" s="129" t="s">
        <v>24</v>
      </c>
    </row>
    <row r="48" spans="1:13" ht="17.45" customHeight="1">
      <c r="A48" s="764" t="s">
        <v>14</v>
      </c>
      <c r="B48" s="765"/>
      <c r="C48" s="163">
        <f>SUMIF($G$7:$G$31,"Start Up",$F$7:$F$31)</f>
        <v>0</v>
      </c>
      <c r="D48" s="117">
        <f>+C48+'21'!D48</f>
        <v>0</v>
      </c>
      <c r="E48" s="142">
        <f t="shared" si="0"/>
        <v>0</v>
      </c>
      <c r="F48" s="321"/>
      <c r="G48" s="322"/>
      <c r="H48" s="187" t="s">
        <v>81</v>
      </c>
      <c r="I48" s="117" t="e">
        <f>I46/I40</f>
        <v>#DIV/0!</v>
      </c>
      <c r="J48" s="134">
        <f>J46/J40</f>
        <v>971.79239174225484</v>
      </c>
      <c r="K48" s="129" t="s">
        <v>24</v>
      </c>
    </row>
    <row r="49" spans="1:11" ht="17.45" customHeight="1">
      <c r="A49" s="764" t="s">
        <v>20</v>
      </c>
      <c r="B49" s="765"/>
      <c r="C49" s="163">
        <f>SUMIF($G$7:$G$31,"Others",$F$7:$F$31)</f>
        <v>0</v>
      </c>
      <c r="D49" s="117">
        <f>+C49+'21'!D49</f>
        <v>948</v>
      </c>
      <c r="E49" s="142">
        <f t="shared" si="0"/>
        <v>15.8</v>
      </c>
      <c r="F49" s="184"/>
      <c r="H49" s="187" t="s">
        <v>268</v>
      </c>
      <c r="I49" s="117">
        <f>+Report1!T30</f>
        <v>0</v>
      </c>
      <c r="J49" s="134">
        <f>+I49+'21'!J49</f>
        <v>77170.957005207325</v>
      </c>
      <c r="K49" s="129" t="s">
        <v>82</v>
      </c>
    </row>
    <row r="50" spans="1:11" ht="17.45" customHeight="1">
      <c r="A50" s="764" t="s">
        <v>19</v>
      </c>
      <c r="B50" s="765"/>
      <c r="C50" s="163">
        <f>SUMIF($G$7:$G$31,"Steam",$F$7:$F$31)</f>
        <v>0</v>
      </c>
      <c r="D50" s="117">
        <f>+C50+'21'!D50</f>
        <v>0</v>
      </c>
      <c r="E50" s="142">
        <f t="shared" si="0"/>
        <v>0</v>
      </c>
      <c r="F50" s="184"/>
      <c r="H50" s="187" t="s">
        <v>83</v>
      </c>
      <c r="I50" s="139" t="e">
        <f>I49/I38</f>
        <v>#DIV/0!</v>
      </c>
      <c r="J50" s="132">
        <f>J49/J38</f>
        <v>122.06635032182177</v>
      </c>
      <c r="K50" s="129" t="s">
        <v>82</v>
      </c>
    </row>
    <row r="51" spans="1:11" ht="17.45" customHeight="1" thickBot="1">
      <c r="A51" s="758" t="s">
        <v>84</v>
      </c>
      <c r="B51" s="759"/>
      <c r="C51" s="163">
        <f>SUMIF($G$7:$G$31,"Planned shut",$F$7:$F$31)</f>
        <v>1440</v>
      </c>
      <c r="D51" s="117">
        <f>+C51+'21'!D51</f>
        <v>8465</v>
      </c>
      <c r="E51" s="142">
        <f t="shared" si="0"/>
        <v>141.08333333333334</v>
      </c>
      <c r="F51" s="184"/>
      <c r="H51" s="189" t="s">
        <v>85</v>
      </c>
      <c r="I51" s="140" t="e">
        <f>I49/I40</f>
        <v>#DIV/0!</v>
      </c>
      <c r="J51" s="135">
        <f>J49/J40</f>
        <v>125.87071377809275</v>
      </c>
      <c r="K51" s="136" t="s">
        <v>82</v>
      </c>
    </row>
    <row r="52" spans="1:11" ht="13.5" thickBot="1">
      <c r="A52" s="760" t="s">
        <v>28</v>
      </c>
      <c r="B52" s="761"/>
      <c r="C52" s="143">
        <f>SUM(C38:C51)</f>
        <v>1440</v>
      </c>
      <c r="D52" s="143">
        <f>SUM(D38:D51)</f>
        <v>10984</v>
      </c>
      <c r="E52" s="144">
        <f>SUM(E38:E51)</f>
        <v>183.06666666666666</v>
      </c>
      <c r="F52" s="184"/>
      <c r="H52" s="190"/>
      <c r="I52" s="191"/>
      <c r="J52" s="137"/>
      <c r="K52" s="138"/>
    </row>
    <row r="53" spans="1:11" ht="13.5" thickBot="1">
      <c r="A53" s="762"/>
      <c r="B53" s="763"/>
      <c r="C53" s="145">
        <f>C52/(24*60)</f>
        <v>1</v>
      </c>
      <c r="D53" s="145">
        <f>D52/(24*60*G4)</f>
        <v>0.3467171717171717</v>
      </c>
      <c r="E53" s="146">
        <f>E52/(G4*24)</f>
        <v>0.3467171717171717</v>
      </c>
      <c r="F53" s="184"/>
    </row>
    <row r="54" spans="1:11">
      <c r="E54" s="192"/>
      <c r="F54" s="184"/>
    </row>
    <row r="55" spans="1:11">
      <c r="E55" s="192"/>
    </row>
    <row r="56" spans="1:11">
      <c r="A56" s="193" t="s">
        <v>86</v>
      </c>
      <c r="B56" s="194"/>
      <c r="C56" s="195"/>
      <c r="D56" s="195"/>
      <c r="E56" s="195"/>
      <c r="F56" s="196"/>
      <c r="G56" s="195"/>
      <c r="H56" s="197"/>
      <c r="I56" s="198" t="s">
        <v>87</v>
      </c>
      <c r="J56" s="199">
        <f>+D34+'21'!J56</f>
        <v>1116</v>
      </c>
      <c r="K56" s="200">
        <f>J56/(J40+J56/1000)/1000</f>
        <v>1.8169592633174485E-3</v>
      </c>
    </row>
    <row r="57" spans="1:11">
      <c r="A57" s="175"/>
      <c r="I57" s="198" t="s">
        <v>88</v>
      </c>
      <c r="J57" s="199">
        <f>+E34+'21'!J57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1:B51"/>
    <mergeCell ref="A52:B52"/>
    <mergeCell ref="A53:B53"/>
    <mergeCell ref="A47:B47"/>
    <mergeCell ref="A48:B48"/>
    <mergeCell ref="A49:B49"/>
    <mergeCell ref="A50:B50"/>
    <mergeCell ref="A46:B46"/>
    <mergeCell ref="A39:B39"/>
    <mergeCell ref="A40:B40"/>
    <mergeCell ref="A41:B41"/>
    <mergeCell ref="A42:B42"/>
    <mergeCell ref="A7:A14"/>
    <mergeCell ref="I7:I14"/>
    <mergeCell ref="A43:B43"/>
    <mergeCell ref="A44:B44"/>
    <mergeCell ref="A45:B45"/>
    <mergeCell ref="A37:B37"/>
    <mergeCell ref="A38:B38"/>
    <mergeCell ref="A24:A32"/>
    <mergeCell ref="I24:I31"/>
    <mergeCell ref="A15:A23"/>
    <mergeCell ref="I15:I22"/>
    <mergeCell ref="A34:B34"/>
  </mergeCells>
  <phoneticPr fontId="32"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zoomScale="80" zoomScaleNormal="80" workbookViewId="0">
      <selection activeCell="I7" sqref="I7:I31"/>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710937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4.7109375" style="148" customWidth="1"/>
    <col min="14" max="15" width="9.140625" style="148"/>
    <col min="16" max="16" width="10.28515625" style="148" bestFit="1" customWidth="1"/>
    <col min="17" max="17" width="9.28515625" style="148" bestFit="1" customWidth="1"/>
    <col min="18" max="16384" width="9.140625" style="148"/>
  </cols>
  <sheetData>
    <row r="1" spans="1:23" ht="15.75">
      <c r="A1" s="147"/>
    </row>
    <row r="2" spans="1:23" ht="15.75">
      <c r="A2" s="147" t="s">
        <v>182</v>
      </c>
    </row>
    <row r="3" spans="1:23" ht="15">
      <c r="A3" s="149"/>
    </row>
    <row r="4" spans="1:23" ht="20.25">
      <c r="A4" s="150" t="s">
        <v>3</v>
      </c>
      <c r="B4" s="151"/>
      <c r="F4" s="152" t="s">
        <v>29</v>
      </c>
      <c r="G4" s="153">
        <v>21</v>
      </c>
      <c r="H4" s="153" t="str">
        <f>+'1'!H4</f>
        <v>.03.26</v>
      </c>
    </row>
    <row r="5" spans="1:23" ht="13.5" thickBot="1">
      <c r="C5" s="154"/>
      <c r="D5" s="154"/>
    </row>
    <row r="6" spans="1:23"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80" t="s">
        <v>92</v>
      </c>
      <c r="O6" s="421" t="s">
        <v>189</v>
      </c>
      <c r="P6" s="421" t="s">
        <v>189</v>
      </c>
      <c r="Q6" s="421" t="s">
        <v>190</v>
      </c>
      <c r="R6" s="421" t="s">
        <v>191</v>
      </c>
      <c r="S6" s="421" t="s">
        <v>192</v>
      </c>
      <c r="T6" s="421" t="s">
        <v>187</v>
      </c>
      <c r="U6" s="422" t="s">
        <v>193</v>
      </c>
      <c r="V6" s="421" t="s">
        <v>194</v>
      </c>
      <c r="W6" s="421" t="s">
        <v>188</v>
      </c>
    </row>
    <row r="7" spans="1:23" ht="13.5" customHeight="1" thickBot="1">
      <c r="A7" s="770" t="s">
        <v>457</v>
      </c>
      <c r="B7" s="214"/>
      <c r="C7" s="215"/>
      <c r="D7" s="216"/>
      <c r="E7" s="217"/>
      <c r="F7" s="227"/>
      <c r="G7" s="228" t="s">
        <v>12</v>
      </c>
      <c r="H7" s="229" t="s">
        <v>412</v>
      </c>
      <c r="I7" s="773" t="s">
        <v>491</v>
      </c>
      <c r="J7" s="326" t="str">
        <f>+'20'!J7</f>
        <v>F 12 VP OW</v>
      </c>
      <c r="K7" s="237">
        <f>+C34</f>
        <v>0</v>
      </c>
      <c r="L7" s="241"/>
      <c r="M7" s="116">
        <f>+K7+'20'!M7+L7</f>
        <v>136522</v>
      </c>
      <c r="N7" s="423">
        <v>14.5</v>
      </c>
      <c r="O7" s="198">
        <v>1200</v>
      </c>
      <c r="P7" s="198">
        <v>1120</v>
      </c>
      <c r="Q7" s="198">
        <v>896</v>
      </c>
      <c r="R7" s="424">
        <f>1-(Q7/P7)</f>
        <v>0.19999999999999996</v>
      </c>
      <c r="S7" s="425">
        <v>45</v>
      </c>
      <c r="T7" s="426">
        <v>256.5</v>
      </c>
      <c r="U7" s="427">
        <f>(O7*(1-R7)*N7*T7*S7)/100000000</f>
        <v>1.606716</v>
      </c>
      <c r="V7" s="428">
        <f>+C14/1000</f>
        <v>0</v>
      </c>
      <c r="W7" s="429">
        <f>SUM(V7:V9)/SUM(U7:U9)</f>
        <v>0</v>
      </c>
    </row>
    <row r="8" spans="1:23" ht="13.5" thickBot="1">
      <c r="A8" s="771"/>
      <c r="B8" s="214"/>
      <c r="C8" s="215"/>
      <c r="D8" s="216"/>
      <c r="E8" s="218"/>
      <c r="F8" s="230"/>
      <c r="G8" s="231" t="s">
        <v>12</v>
      </c>
      <c r="H8" s="229" t="s">
        <v>283</v>
      </c>
      <c r="I8" s="774"/>
      <c r="J8" s="213" t="str">
        <f>+'20'!J8</f>
        <v>F 14 VP OW</v>
      </c>
      <c r="K8" s="238"/>
      <c r="L8" s="238"/>
      <c r="M8" s="116">
        <f>+K8+'20'!M8+L8</f>
        <v>89126</v>
      </c>
      <c r="N8" s="423">
        <v>18</v>
      </c>
      <c r="O8" s="198">
        <v>1200</v>
      </c>
      <c r="P8" s="198">
        <v>930</v>
      </c>
      <c r="Q8" s="198">
        <v>744</v>
      </c>
      <c r="R8" s="424">
        <f>1-(Q8/P8)</f>
        <v>0.19999999999999996</v>
      </c>
      <c r="S8" s="425">
        <f>480-S7</f>
        <v>435</v>
      </c>
      <c r="T8" s="426">
        <v>256.5</v>
      </c>
      <c r="U8" s="427">
        <f>(O8*(1-R8)*N8*T8*S8)/100000000</f>
        <v>19.280591999999999</v>
      </c>
      <c r="V8" s="428"/>
      <c r="W8" s="430"/>
    </row>
    <row r="9" spans="1:23" ht="13.5" thickBot="1">
      <c r="A9" s="771"/>
      <c r="B9" s="214"/>
      <c r="C9" s="215"/>
      <c r="D9" s="216"/>
      <c r="E9" s="219"/>
      <c r="F9" s="227"/>
      <c r="G9" s="231" t="s">
        <v>12</v>
      </c>
      <c r="H9" s="232" t="s">
        <v>411</v>
      </c>
      <c r="I9" s="774"/>
      <c r="J9" s="213" t="str">
        <f>+'20'!J9</f>
        <v>F 16 VP OW</v>
      </c>
      <c r="K9" s="238"/>
      <c r="L9" s="238"/>
      <c r="M9" s="116">
        <f>+K9+'20'!M9+L9</f>
        <v>104726</v>
      </c>
      <c r="N9" s="431"/>
    </row>
    <row r="10" spans="1:23" ht="13.5" thickBot="1">
      <c r="A10" s="771"/>
      <c r="B10" s="214"/>
      <c r="C10" s="215"/>
      <c r="D10" s="216"/>
      <c r="E10" s="218"/>
      <c r="F10" s="227"/>
      <c r="G10" s="236" t="s">
        <v>13</v>
      </c>
      <c r="H10" s="232" t="s">
        <v>676</v>
      </c>
      <c r="I10" s="774"/>
      <c r="J10" s="213" t="str">
        <f>+'20'!J10</f>
        <v>F 13,5 VP OW</v>
      </c>
      <c r="K10" s="238"/>
      <c r="L10" s="238"/>
      <c r="M10" s="116">
        <f>+K10+'20'!M10+L10</f>
        <v>10827</v>
      </c>
      <c r="N10" s="431"/>
    </row>
    <row r="11" spans="1:23" ht="39" thickBot="1">
      <c r="A11" s="771"/>
      <c r="B11" s="214"/>
      <c r="C11" s="215"/>
      <c r="D11" s="216"/>
      <c r="E11" s="218"/>
      <c r="F11" s="234">
        <v>480</v>
      </c>
      <c r="G11" s="231" t="s">
        <v>675</v>
      </c>
      <c r="H11" s="232" t="s">
        <v>693</v>
      </c>
      <c r="I11" s="774"/>
      <c r="J11" s="213" t="str">
        <f>+'20'!J11</f>
        <v>F 13 VP OW</v>
      </c>
      <c r="K11" s="238"/>
      <c r="L11" s="238"/>
      <c r="M11" s="116">
        <f>+K11+'20'!M11+L11</f>
        <v>19832</v>
      </c>
      <c r="N11" s="431"/>
    </row>
    <row r="12" spans="1:23" ht="13.5" thickBot="1">
      <c r="A12" s="771"/>
      <c r="B12" s="214"/>
      <c r="C12" s="215"/>
      <c r="D12" s="216"/>
      <c r="E12" s="218"/>
      <c r="F12" s="227"/>
      <c r="G12" s="231"/>
      <c r="H12" s="232"/>
      <c r="I12" s="774"/>
      <c r="J12" s="213" t="str">
        <f>+'20'!J12</f>
        <v>T 14 VP OW</v>
      </c>
      <c r="K12" s="238"/>
      <c r="L12" s="238"/>
      <c r="M12" s="116">
        <f>+K12+'20'!M12+L12</f>
        <v>10448</v>
      </c>
      <c r="N12" s="431"/>
    </row>
    <row r="13" spans="1:23" ht="13.5" thickBot="1">
      <c r="A13" s="771"/>
      <c r="B13" s="214"/>
      <c r="C13" s="215"/>
      <c r="D13" s="215"/>
      <c r="E13" s="218"/>
      <c r="F13" s="227"/>
      <c r="G13" s="231"/>
      <c r="H13" s="232"/>
      <c r="I13" s="774"/>
      <c r="J13" s="213" t="str">
        <f>+'20'!J13</f>
        <v>F 11,5 VP OW</v>
      </c>
      <c r="K13" s="238"/>
      <c r="L13" s="238"/>
      <c r="M13" s="116">
        <f>+K13+'20'!M13+L13</f>
        <v>53931</v>
      </c>
      <c r="N13" s="432"/>
      <c r="O13" s="433"/>
      <c r="P13" s="433"/>
      <c r="Q13" s="433"/>
      <c r="R13" s="433"/>
      <c r="S13" s="433"/>
      <c r="T13" s="433"/>
      <c r="U13" s="433"/>
      <c r="V13" s="433"/>
      <c r="W13" s="433"/>
    </row>
    <row r="14" spans="1:23" ht="13.5" thickBot="1">
      <c r="A14" s="772"/>
      <c r="B14" s="164" t="s">
        <v>2</v>
      </c>
      <c r="C14" s="98">
        <f>SUM(C7:C13)</f>
        <v>0</v>
      </c>
      <c r="D14" s="110">
        <f>SUM(D7:D13)</f>
        <v>0</v>
      </c>
      <c r="E14" s="111">
        <f>SUM(E5:E13)</f>
        <v>0</v>
      </c>
      <c r="F14" s="115">
        <f>SUM(F7:F13)</f>
        <v>480</v>
      </c>
      <c r="G14" s="158"/>
      <c r="H14" s="165"/>
      <c r="I14" s="775"/>
      <c r="J14" s="213" t="str">
        <f>+'20'!J14</f>
        <v>F 12,5 VP OW</v>
      </c>
      <c r="K14" s="238"/>
      <c r="L14" s="238"/>
      <c r="M14" s="116">
        <f>+K14+'20'!M14+L14</f>
        <v>10132</v>
      </c>
    </row>
    <row r="15" spans="1:23" ht="13.5" customHeight="1" thickBot="1">
      <c r="A15" s="770" t="s">
        <v>687</v>
      </c>
      <c r="B15" s="164"/>
      <c r="C15" s="112" t="e">
        <f>C14/($C$23+$D$23+$E$23)</f>
        <v>#DIV/0!</v>
      </c>
      <c r="D15" s="113" t="e">
        <f>D14/($C$23+$D$23+$E$23)</f>
        <v>#DIV/0!</v>
      </c>
      <c r="E15" s="114" t="e">
        <f>E14/($C$23+$D$23+$E$23)</f>
        <v>#DIV/0!</v>
      </c>
      <c r="F15" s="227"/>
      <c r="G15" s="228" t="s">
        <v>12</v>
      </c>
      <c r="H15" s="229" t="s">
        <v>412</v>
      </c>
      <c r="I15" s="773" t="s">
        <v>491</v>
      </c>
      <c r="J15" s="213" t="str">
        <f>+'20'!J15</f>
        <v>T 13 VP OW</v>
      </c>
      <c r="K15" s="238"/>
      <c r="L15" s="238"/>
      <c r="M15" s="116">
        <f>+K15+'20'!M15+L15</f>
        <v>124865</v>
      </c>
      <c r="N15" s="423">
        <v>18</v>
      </c>
      <c r="O15" s="198">
        <v>1200</v>
      </c>
      <c r="P15" s="198">
        <v>850</v>
      </c>
      <c r="Q15" s="198">
        <v>680</v>
      </c>
      <c r="R15" s="424">
        <f>1-(Q15/P15)</f>
        <v>0.19999999999999996</v>
      </c>
      <c r="S15" s="425">
        <v>480</v>
      </c>
      <c r="T15" s="426">
        <v>256.5</v>
      </c>
      <c r="U15" s="427">
        <f>(O15*(1-R15)*N15*T15*S15)/100000000</f>
        <v>21.275136</v>
      </c>
      <c r="V15" s="428">
        <f>+C23/1000</f>
        <v>0</v>
      </c>
      <c r="W15" s="429">
        <f>SUM(V15:V17)/SUM(U15:U17)</f>
        <v>0</v>
      </c>
    </row>
    <row r="16" spans="1:23" ht="13.5" thickBot="1">
      <c r="A16" s="776"/>
      <c r="B16" s="214"/>
      <c r="C16" s="221"/>
      <c r="D16" s="222"/>
      <c r="E16" s="223"/>
      <c r="F16" s="230"/>
      <c r="G16" s="231" t="s">
        <v>12</v>
      </c>
      <c r="H16" s="229" t="s">
        <v>283</v>
      </c>
      <c r="I16" s="774"/>
      <c r="J16" s="213" t="str">
        <f>+'20'!J16</f>
        <v>T 12,5 VP OW</v>
      </c>
      <c r="K16" s="228"/>
      <c r="L16" s="228"/>
      <c r="M16" s="116">
        <f>+K16+'20'!M16+L16</f>
        <v>52688</v>
      </c>
      <c r="N16" s="434"/>
      <c r="O16" s="198"/>
      <c r="P16" s="198"/>
      <c r="Q16" s="435"/>
      <c r="R16" s="424"/>
      <c r="S16" s="198"/>
      <c r="T16" s="426"/>
      <c r="U16" s="427"/>
      <c r="V16" s="428"/>
      <c r="W16" s="430"/>
    </row>
    <row r="17" spans="1:23" ht="13.5" thickBot="1">
      <c r="A17" s="776"/>
      <c r="B17" s="214"/>
      <c r="C17" s="215"/>
      <c r="D17" s="216"/>
      <c r="E17" s="224"/>
      <c r="F17" s="227"/>
      <c r="G17" s="231" t="s">
        <v>12</v>
      </c>
      <c r="H17" s="232" t="s">
        <v>411</v>
      </c>
      <c r="I17" s="774"/>
      <c r="J17" s="213">
        <f>+'20'!J17</f>
        <v>0</v>
      </c>
      <c r="K17" s="228"/>
      <c r="L17" s="228"/>
      <c r="M17" s="116">
        <f>+K17+'20'!M17+L17</f>
        <v>0</v>
      </c>
      <c r="N17" s="431"/>
      <c r="O17" s="198"/>
      <c r="R17" s="424"/>
      <c r="T17" s="426"/>
      <c r="U17" s="427"/>
    </row>
    <row r="18" spans="1:23" ht="13.5" thickBot="1">
      <c r="A18" s="776"/>
      <c r="B18" s="214"/>
      <c r="C18" s="215"/>
      <c r="D18" s="216"/>
      <c r="E18" s="224"/>
      <c r="F18" s="227"/>
      <c r="G18" s="236" t="s">
        <v>13</v>
      </c>
      <c r="H18" s="232" t="s">
        <v>676</v>
      </c>
      <c r="I18" s="774"/>
      <c r="J18" s="213">
        <f>+'20'!J18</f>
        <v>0</v>
      </c>
      <c r="K18" s="238"/>
      <c r="L18" s="238"/>
      <c r="M18" s="116">
        <f>+K18+'20'!M18+L18</f>
        <v>0</v>
      </c>
      <c r="N18" s="431"/>
    </row>
    <row r="19" spans="1:23" ht="26.25" thickBot="1">
      <c r="A19" s="776"/>
      <c r="B19" s="214"/>
      <c r="C19" s="215"/>
      <c r="D19" s="216"/>
      <c r="E19" s="224"/>
      <c r="F19" s="234">
        <v>480</v>
      </c>
      <c r="G19" s="231" t="s">
        <v>675</v>
      </c>
      <c r="H19" s="232" t="s">
        <v>692</v>
      </c>
      <c r="I19" s="774"/>
      <c r="J19" s="213">
        <f>+'20'!J19</f>
        <v>0</v>
      </c>
      <c r="K19" s="238"/>
      <c r="L19" s="238"/>
      <c r="M19" s="116">
        <f>+K19+'20'!M19+L19</f>
        <v>0</v>
      </c>
      <c r="N19" s="431"/>
    </row>
    <row r="20" spans="1:23" ht="13.5" thickBot="1">
      <c r="A20" s="776"/>
      <c r="B20" s="214"/>
      <c r="C20" s="215"/>
      <c r="D20" s="216"/>
      <c r="E20" s="224"/>
      <c r="F20" s="227"/>
      <c r="G20" s="231"/>
      <c r="H20" s="232"/>
      <c r="I20" s="774"/>
      <c r="J20" s="213">
        <f>+'20'!J20</f>
        <v>0</v>
      </c>
      <c r="K20" s="239"/>
      <c r="L20" s="239"/>
      <c r="M20" s="116">
        <f>+K20+'20'!M20+L20</f>
        <v>0</v>
      </c>
      <c r="N20" s="431"/>
    </row>
    <row r="21" spans="1:23" ht="13.5" thickBot="1">
      <c r="A21" s="776"/>
      <c r="B21" s="214"/>
      <c r="C21" s="215"/>
      <c r="D21" s="216"/>
      <c r="E21" s="224"/>
      <c r="F21" s="230"/>
      <c r="G21" s="231"/>
      <c r="H21" s="232"/>
      <c r="I21" s="774"/>
      <c r="J21" s="213">
        <f>+'20'!J21</f>
        <v>0</v>
      </c>
      <c r="K21" s="238"/>
      <c r="L21" s="238"/>
      <c r="M21" s="116">
        <f>+K21+'20'!M21+L21</f>
        <v>0</v>
      </c>
      <c r="N21" s="432"/>
      <c r="O21" s="433"/>
      <c r="P21" s="433"/>
      <c r="Q21" s="433"/>
      <c r="R21" s="433"/>
      <c r="S21" s="433"/>
      <c r="T21" s="433"/>
      <c r="U21" s="433"/>
      <c r="V21" s="433"/>
      <c r="W21" s="433"/>
    </row>
    <row r="22" spans="1:23" ht="13.5" thickBot="1">
      <c r="A22" s="776"/>
      <c r="B22" s="214"/>
      <c r="C22" s="215"/>
      <c r="D22" s="216"/>
      <c r="E22" s="224"/>
      <c r="F22" s="235"/>
      <c r="G22" s="231"/>
      <c r="H22" s="232"/>
      <c r="I22" s="775"/>
      <c r="J22" s="213">
        <f>+'20'!J22</f>
        <v>0</v>
      </c>
      <c r="K22" s="238"/>
      <c r="L22" s="238"/>
      <c r="M22" s="116">
        <f>+K22+'20'!M22+L22</f>
        <v>0</v>
      </c>
    </row>
    <row r="23" spans="1:23" ht="13.5" thickBot="1">
      <c r="A23" s="777"/>
      <c r="B23" s="167" t="s">
        <v>2</v>
      </c>
      <c r="C23" s="99">
        <f>SUM(C16:C22)</f>
        <v>0</v>
      </c>
      <c r="D23" s="110">
        <f>SUM(D16:D22)</f>
        <v>0</v>
      </c>
      <c r="E23" s="111">
        <f>SUM(E18:E22)</f>
        <v>0</v>
      </c>
      <c r="F23" s="115">
        <f>SUM(F15:F22)</f>
        <v>480</v>
      </c>
      <c r="G23" s="158"/>
      <c r="H23" s="165"/>
      <c r="I23" s="168"/>
      <c r="J23" s="213">
        <f>+'20'!J23</f>
        <v>0</v>
      </c>
      <c r="K23" s="238"/>
      <c r="L23" s="238"/>
      <c r="M23" s="116">
        <f>+K23+'20'!M23+L23</f>
        <v>0</v>
      </c>
      <c r="N23" s="436"/>
      <c r="O23" s="437"/>
      <c r="P23" s="437"/>
      <c r="Q23" s="437"/>
      <c r="R23" s="437"/>
      <c r="S23" s="437"/>
      <c r="T23" s="437"/>
      <c r="U23" s="437"/>
      <c r="V23" s="437"/>
      <c r="W23" s="437"/>
    </row>
    <row r="24" spans="1:23" ht="13.5" customHeight="1" thickBot="1">
      <c r="A24" s="770" t="s">
        <v>689</v>
      </c>
      <c r="B24" s="169"/>
      <c r="C24" s="112" t="e">
        <f>C23/($C$23+$D$23+$E$23)</f>
        <v>#DIV/0!</v>
      </c>
      <c r="D24" s="113" t="e">
        <f>D23/($C$23+$D$23+$E$23)</f>
        <v>#DIV/0!</v>
      </c>
      <c r="E24" s="114" t="e">
        <f>E23/($C$23+$D$23+$E$23)</f>
        <v>#DIV/0!</v>
      </c>
      <c r="F24" s="227"/>
      <c r="G24" s="228" t="s">
        <v>12</v>
      </c>
      <c r="H24" s="229" t="s">
        <v>412</v>
      </c>
      <c r="I24" s="773" t="s">
        <v>491</v>
      </c>
      <c r="J24" s="213">
        <f>+'20'!J24</f>
        <v>0</v>
      </c>
      <c r="K24" s="238"/>
      <c r="L24" s="238"/>
      <c r="M24" s="116">
        <f>+K24+'20'!M24+L24</f>
        <v>0</v>
      </c>
      <c r="N24" s="423">
        <v>14.5</v>
      </c>
      <c r="O24" s="198">
        <v>1130</v>
      </c>
      <c r="P24" s="198">
        <v>1130</v>
      </c>
      <c r="Q24" s="198">
        <v>915</v>
      </c>
      <c r="R24" s="424">
        <f>1-(Q24/P24)</f>
        <v>0.19026548672566368</v>
      </c>
      <c r="S24" s="425">
        <v>9</v>
      </c>
      <c r="T24" s="426">
        <v>266</v>
      </c>
      <c r="U24" s="427">
        <f>(O24*(1-R24)*N24*T24*S24)/100000000</f>
        <v>0.31762394999999999</v>
      </c>
      <c r="V24" s="428">
        <f>+C32/1000</f>
        <v>0</v>
      </c>
      <c r="W24" s="429">
        <f>SUM(V24:V25)/SUM(U24:U25)</f>
        <v>0</v>
      </c>
    </row>
    <row r="25" spans="1:23" ht="13.5" thickBot="1">
      <c r="A25" s="776"/>
      <c r="B25" s="214"/>
      <c r="C25" s="225"/>
      <c r="D25" s="216"/>
      <c r="E25" s="224"/>
      <c r="F25" s="230"/>
      <c r="G25" s="231" t="s">
        <v>12</v>
      </c>
      <c r="H25" s="229" t="s">
        <v>283</v>
      </c>
      <c r="I25" s="774"/>
      <c r="J25" s="213">
        <f>+'20'!J25</f>
        <v>0</v>
      </c>
      <c r="K25" s="238"/>
      <c r="L25" s="238"/>
      <c r="M25" s="116">
        <f>+K25+'20'!M25+L25</f>
        <v>0</v>
      </c>
      <c r="N25" s="423"/>
      <c r="O25" s="198"/>
      <c r="P25" s="198"/>
      <c r="Q25" s="198"/>
      <c r="R25" s="424"/>
      <c r="S25" s="425"/>
      <c r="T25" s="426"/>
      <c r="U25" s="427"/>
      <c r="V25" s="428"/>
      <c r="W25" s="429"/>
    </row>
    <row r="26" spans="1:23" ht="13.5" thickBot="1">
      <c r="A26" s="776"/>
      <c r="B26" s="214"/>
      <c r="C26" s="225"/>
      <c r="D26" s="216"/>
      <c r="E26" s="226"/>
      <c r="F26" s="227"/>
      <c r="G26" s="231" t="s">
        <v>12</v>
      </c>
      <c r="H26" s="232" t="s">
        <v>411</v>
      </c>
      <c r="I26" s="774"/>
      <c r="J26" s="213">
        <f>+'20'!J26</f>
        <v>0</v>
      </c>
      <c r="K26" s="238"/>
      <c r="L26" s="238"/>
      <c r="M26" s="116">
        <f>+K26+'20'!M26+L26</f>
        <v>0</v>
      </c>
    </row>
    <row r="27" spans="1:23" ht="13.5" thickBot="1">
      <c r="A27" s="776"/>
      <c r="B27" s="214"/>
      <c r="C27" s="215"/>
      <c r="D27" s="216"/>
      <c r="E27" s="224"/>
      <c r="F27" s="227"/>
      <c r="G27" s="236" t="s">
        <v>13</v>
      </c>
      <c r="H27" s="232" t="s">
        <v>676</v>
      </c>
      <c r="I27" s="774"/>
      <c r="J27" s="213">
        <f>+'20'!J27</f>
        <v>0</v>
      </c>
      <c r="K27" s="238"/>
      <c r="L27" s="238"/>
      <c r="M27" s="116">
        <f>+K27+'20'!M27+L27</f>
        <v>0</v>
      </c>
    </row>
    <row r="28" spans="1:23" ht="39" thickBot="1">
      <c r="A28" s="776"/>
      <c r="B28" s="214"/>
      <c r="C28" s="215"/>
      <c r="D28" s="216"/>
      <c r="E28" s="224"/>
      <c r="F28" s="234">
        <v>480</v>
      </c>
      <c r="G28" s="231" t="s">
        <v>675</v>
      </c>
      <c r="H28" s="232" t="s">
        <v>691</v>
      </c>
      <c r="I28" s="774"/>
      <c r="J28" s="213">
        <f>+'20'!J28</f>
        <v>0</v>
      </c>
      <c r="K28" s="238"/>
      <c r="L28" s="238"/>
      <c r="M28" s="116">
        <f>+K28+'20'!M28+L28</f>
        <v>0</v>
      </c>
    </row>
    <row r="29" spans="1:23" ht="13.5" thickBot="1">
      <c r="A29" s="776"/>
      <c r="B29" s="214"/>
      <c r="C29" s="215"/>
      <c r="D29" s="216"/>
      <c r="E29" s="224"/>
      <c r="F29" s="235"/>
      <c r="G29" s="231"/>
      <c r="H29" s="232"/>
      <c r="I29" s="774"/>
      <c r="J29" s="213">
        <f>+'20'!J29</f>
        <v>0</v>
      </c>
      <c r="K29" s="238"/>
      <c r="L29" s="238"/>
      <c r="M29" s="116">
        <f>+K29+'20'!M29+L29</f>
        <v>0</v>
      </c>
    </row>
    <row r="30" spans="1:23" ht="13.5" thickBot="1">
      <c r="A30" s="776"/>
      <c r="B30" s="214"/>
      <c r="C30" s="225"/>
      <c r="D30" s="216"/>
      <c r="E30" s="224"/>
      <c r="F30" s="235"/>
      <c r="G30" s="231"/>
      <c r="H30" s="232"/>
      <c r="I30" s="774"/>
      <c r="J30" s="213">
        <f>+'20'!J30</f>
        <v>0</v>
      </c>
      <c r="K30" s="238"/>
      <c r="L30" s="238"/>
      <c r="M30" s="116">
        <f>+K30+'20'!M30+L30</f>
        <v>0</v>
      </c>
      <c r="N30" s="154"/>
    </row>
    <row r="31" spans="1:23" ht="13.5" thickBot="1">
      <c r="A31" s="776"/>
      <c r="B31" s="214"/>
      <c r="C31" s="225"/>
      <c r="D31" s="216"/>
      <c r="E31" s="224"/>
      <c r="F31" s="235"/>
      <c r="G31" s="236"/>
      <c r="H31" s="443"/>
      <c r="I31" s="775"/>
      <c r="J31" s="213">
        <f>+'20'!J31</f>
        <v>0</v>
      </c>
      <c r="K31" s="238"/>
      <c r="L31" s="238"/>
      <c r="M31" s="116">
        <f>+K31+'20'!M31+L31</f>
        <v>0</v>
      </c>
    </row>
    <row r="32" spans="1:23" ht="13.5" thickBot="1">
      <c r="A32" s="777"/>
      <c r="B32" s="164" t="s">
        <v>2</v>
      </c>
      <c r="C32" s="98">
        <f>SUM(C25:C31)</f>
        <v>0</v>
      </c>
      <c r="D32" s="99">
        <f>SUM(D25:D31)</f>
        <v>0</v>
      </c>
      <c r="E32" s="100">
        <f>SUM(E25:E31)</f>
        <v>0</v>
      </c>
      <c r="F32" s="101">
        <f>SUM(F24:F31)</f>
        <v>480</v>
      </c>
      <c r="G32" s="170"/>
      <c r="H32" s="171"/>
      <c r="I32" s="168"/>
      <c r="J32" s="213">
        <f>+'20'!J32</f>
        <v>0</v>
      </c>
      <c r="K32" s="240"/>
      <c r="L32" s="242"/>
      <c r="M32" s="116">
        <f>+K32+'20'!M32+L32</f>
        <v>0</v>
      </c>
    </row>
    <row r="33" spans="1:14" ht="13.5" thickBot="1">
      <c r="A33" s="172"/>
      <c r="B33" s="173"/>
      <c r="C33" s="102" t="e">
        <f>C32/($C$32+$D$32+$E$32)</f>
        <v>#DIV/0!</v>
      </c>
      <c r="D33" s="103" t="e">
        <f>D32/($C$32+$D$32+$E$32)</f>
        <v>#DIV/0!</v>
      </c>
      <c r="E33" s="104" t="e">
        <f>E32/($C$32+$D$32+$E$32)</f>
        <v>#DIV/0!</v>
      </c>
      <c r="F33" s="105"/>
      <c r="G33" s="174"/>
      <c r="H33" s="175"/>
      <c r="I33" s="176"/>
      <c r="J33" s="120"/>
      <c r="K33" s="121"/>
      <c r="L33" s="212"/>
      <c r="M33" s="118"/>
    </row>
    <row r="34" spans="1:14" ht="13.5" thickBot="1">
      <c r="A34" s="766" t="s">
        <v>57</v>
      </c>
      <c r="B34" s="767"/>
      <c r="C34" s="106">
        <f>C14+C23+C32</f>
        <v>0</v>
      </c>
      <c r="D34" s="106">
        <f>D14+D23+D32</f>
        <v>0</v>
      </c>
      <c r="E34" s="106">
        <f>E14+E23+E32</f>
        <v>0</v>
      </c>
      <c r="F34" s="107">
        <f>F14+F23+F32</f>
        <v>1440</v>
      </c>
      <c r="H34" s="177"/>
      <c r="I34" s="177"/>
      <c r="J34" s="122" t="s">
        <v>28</v>
      </c>
      <c r="K34" s="123">
        <f>SUM(K7:K32)</f>
        <v>0</v>
      </c>
      <c r="L34" s="211">
        <f>SUM(L7:L32)</f>
        <v>0</v>
      </c>
      <c r="M34" s="119">
        <f>SUM(M7:M32)</f>
        <v>613097</v>
      </c>
      <c r="N34" s="154"/>
    </row>
    <row r="35" spans="1:14" ht="13.5" thickBot="1">
      <c r="A35" s="178"/>
      <c r="B35" s="179"/>
      <c r="C35" s="103" t="e">
        <f>C34/($C$34+$D$34+$E$34)</f>
        <v>#DIV/0!</v>
      </c>
      <c r="D35" s="103" t="e">
        <f>D34/($C$34+$D$34+$E$34)</f>
        <v>#DIV/0!</v>
      </c>
      <c r="E35" s="108" t="e">
        <f>E34/($C$34+$D$34+$E$34)</f>
        <v>#DIV/0!</v>
      </c>
      <c r="K35" s="154"/>
    </row>
    <row r="36" spans="1:14" ht="13.5" thickBot="1">
      <c r="A36" s="177"/>
      <c r="B36" s="177"/>
      <c r="C36" s="154"/>
      <c r="D36" s="154"/>
      <c r="E36" s="154"/>
      <c r="G36" s="154"/>
      <c r="H36" s="180"/>
      <c r="I36" s="161" t="s">
        <v>37</v>
      </c>
      <c r="J36" s="161" t="s">
        <v>38</v>
      </c>
      <c r="K36" s="181"/>
    </row>
    <row r="37" spans="1:14" ht="17.45" customHeight="1" thickBot="1">
      <c r="A37" s="768" t="s">
        <v>58</v>
      </c>
      <c r="B37" s="769"/>
      <c r="C37" s="161" t="s">
        <v>59</v>
      </c>
      <c r="D37" s="182" t="s">
        <v>60</v>
      </c>
      <c r="E37" s="183" t="s">
        <v>61</v>
      </c>
      <c r="F37" s="321"/>
      <c r="G37" s="323"/>
      <c r="H37" s="185" t="s">
        <v>62</v>
      </c>
      <c r="I37" s="243">
        <f>(10.3*1440)/1440*G42*2.74*1440/1000000</f>
        <v>0</v>
      </c>
      <c r="J37" s="124">
        <f>+I37+'20'!J37</f>
        <v>720.38915342322991</v>
      </c>
      <c r="K37" s="125" t="s">
        <v>63</v>
      </c>
    </row>
    <row r="38" spans="1:14" ht="17.45" customHeight="1">
      <c r="A38" s="760" t="s">
        <v>12</v>
      </c>
      <c r="B38" s="761"/>
      <c r="C38" s="163">
        <f>SUMIF($G$7:$G$31,"Process",$F$7:$F$31)</f>
        <v>0</v>
      </c>
      <c r="D38" s="117">
        <f>+C38+'20'!D38</f>
        <v>1260</v>
      </c>
      <c r="E38" s="142">
        <f t="shared" ref="E38:E51" si="0">D38/60</f>
        <v>21</v>
      </c>
      <c r="F38" s="321"/>
      <c r="G38" s="321"/>
      <c r="H38" s="186" t="s">
        <v>64</v>
      </c>
      <c r="I38" s="244"/>
      <c r="J38" s="126">
        <f>+I38+'20'!J38</f>
        <v>632.20499999999993</v>
      </c>
      <c r="K38" s="127" t="s">
        <v>63</v>
      </c>
    </row>
    <row r="39" spans="1:14" ht="17.45" customHeight="1">
      <c r="A39" s="764" t="s">
        <v>13</v>
      </c>
      <c r="B39" s="765"/>
      <c r="C39" s="163">
        <f>SUMIF($G$7:$G$31,"Cleaning",$F$7:$F$31)</f>
        <v>0</v>
      </c>
      <c r="D39" s="117">
        <f>+C39+'20'!D39</f>
        <v>0</v>
      </c>
      <c r="E39" s="142">
        <f t="shared" si="0"/>
        <v>0</v>
      </c>
      <c r="F39" s="321"/>
      <c r="G39" s="321"/>
      <c r="H39" s="186" t="s">
        <v>65</v>
      </c>
      <c r="I39" s="141"/>
      <c r="J39" s="128">
        <f>J37/G4</f>
        <v>34.304245401106186</v>
      </c>
      <c r="K39" s="129" t="s">
        <v>63</v>
      </c>
    </row>
    <row r="40" spans="1:14" ht="17.45" customHeight="1">
      <c r="A40" s="764" t="s">
        <v>66</v>
      </c>
      <c r="B40" s="765"/>
      <c r="C40" s="163">
        <f>SUMIF($G$7:$G$31,"Mechanical",$F$7:$F$31)</f>
        <v>0</v>
      </c>
      <c r="D40" s="117">
        <f>+C40+'20'!D40</f>
        <v>0</v>
      </c>
      <c r="E40" s="142">
        <f t="shared" si="0"/>
        <v>0</v>
      </c>
      <c r="F40" s="321"/>
      <c r="G40" s="321"/>
      <c r="H40" s="186" t="s">
        <v>67</v>
      </c>
      <c r="I40" s="117">
        <f>(K34+L34)/1000</f>
        <v>0</v>
      </c>
      <c r="J40" s="130">
        <f>+I40+'20'!J40</f>
        <v>613.09699999999998</v>
      </c>
      <c r="K40" s="129" t="s">
        <v>63</v>
      </c>
    </row>
    <row r="41" spans="1:14" ht="17.45" customHeight="1">
      <c r="A41" s="764" t="s">
        <v>68</v>
      </c>
      <c r="B41" s="765"/>
      <c r="C41" s="163">
        <f>SUMIF($G$7:$G$31,"Electrical",$F$7:$F$31)</f>
        <v>0</v>
      </c>
      <c r="D41" s="117">
        <f>+C41+'20'!D41</f>
        <v>311</v>
      </c>
      <c r="E41" s="142">
        <f t="shared" si="0"/>
        <v>5.1833333333333336</v>
      </c>
      <c r="F41" s="321"/>
      <c r="G41" s="321"/>
      <c r="H41" s="186" t="s">
        <v>69</v>
      </c>
      <c r="I41" s="141"/>
      <c r="J41" s="128">
        <f>J40/G4</f>
        <v>29.195095238095238</v>
      </c>
      <c r="K41" s="129" t="s">
        <v>63</v>
      </c>
    </row>
    <row r="42" spans="1:14" ht="17.45" customHeight="1">
      <c r="A42" s="764" t="s">
        <v>16</v>
      </c>
      <c r="B42" s="765"/>
      <c r="C42" s="163">
        <f>SUMIF($G$7:$G$31,"Instrument",$F$7:$F$31)</f>
        <v>0</v>
      </c>
      <c r="D42" s="117">
        <f>+C42+'20'!D42</f>
        <v>0</v>
      </c>
      <c r="E42" s="142">
        <f t="shared" si="0"/>
        <v>0</v>
      </c>
      <c r="F42" s="321"/>
      <c r="G42" s="321"/>
      <c r="H42" s="186" t="s">
        <v>70</v>
      </c>
      <c r="I42" s="245"/>
      <c r="J42" s="131"/>
      <c r="K42" s="129" t="s">
        <v>71</v>
      </c>
    </row>
    <row r="43" spans="1:14" ht="17.45" customHeight="1">
      <c r="A43" s="764" t="s">
        <v>72</v>
      </c>
      <c r="B43" s="765"/>
      <c r="C43" s="163">
        <f>SUMIF($G$7:$G$31,"Water",$F$7:$F$31)</f>
        <v>0</v>
      </c>
      <c r="D43" s="117">
        <f>+C43+'20'!D43</f>
        <v>0</v>
      </c>
      <c r="E43" s="142">
        <f t="shared" si="0"/>
        <v>0</v>
      </c>
      <c r="F43" s="321"/>
      <c r="G43" s="322"/>
      <c r="H43" s="187" t="s">
        <v>73</v>
      </c>
      <c r="I43" s="117">
        <f>+Report1!Z29</f>
        <v>5</v>
      </c>
      <c r="J43" s="132">
        <f>+I43+'20'!J43</f>
        <v>867.00000000000011</v>
      </c>
      <c r="K43" s="129" t="s">
        <v>63</v>
      </c>
      <c r="L43" s="188"/>
    </row>
    <row r="44" spans="1:14" ht="17.45" customHeight="1">
      <c r="A44" s="764" t="s">
        <v>17</v>
      </c>
      <c r="B44" s="765"/>
      <c r="C44" s="163">
        <f>SUMIF($G$7:$G$31,"PLN",$F$7:$F$31)</f>
        <v>0</v>
      </c>
      <c r="D44" s="117">
        <f>+C44+'20'!D44</f>
        <v>0</v>
      </c>
      <c r="E44" s="142">
        <f t="shared" si="0"/>
        <v>0</v>
      </c>
      <c r="F44" s="321"/>
      <c r="G44" s="322"/>
      <c r="H44" s="187" t="s">
        <v>74</v>
      </c>
      <c r="I44" s="117" t="e">
        <f>I43/I38</f>
        <v>#DIV/0!</v>
      </c>
      <c r="J44" s="133">
        <f>J43/J38</f>
        <v>1.3713906090587709</v>
      </c>
      <c r="K44" s="129" t="s">
        <v>63</v>
      </c>
    </row>
    <row r="45" spans="1:14" ht="17.45" customHeight="1">
      <c r="A45" s="764" t="s">
        <v>18</v>
      </c>
      <c r="B45" s="765"/>
      <c r="C45" s="163">
        <f>SUMIF($G$7:$G$31,"Boiler",$F$7:$F$31)</f>
        <v>0</v>
      </c>
      <c r="D45" s="117">
        <f>+C45+'20'!D45</f>
        <v>0</v>
      </c>
      <c r="E45" s="142">
        <f t="shared" si="0"/>
        <v>0</v>
      </c>
      <c r="F45" s="321"/>
      <c r="G45" s="324"/>
      <c r="H45" s="187" t="s">
        <v>75</v>
      </c>
      <c r="I45" s="117" t="e">
        <f>I43/I40</f>
        <v>#DIV/0!</v>
      </c>
      <c r="J45" s="133">
        <f>J43/J40</f>
        <v>1.4141318584171838</v>
      </c>
      <c r="K45" s="129" t="s">
        <v>63</v>
      </c>
    </row>
    <row r="46" spans="1:14" ht="17.45" customHeight="1">
      <c r="A46" s="764" t="s">
        <v>76</v>
      </c>
      <c r="B46" s="765"/>
      <c r="C46" s="163">
        <f>SUMIF($G$7:$G$31,"Gas",$F$7:$F$31)</f>
        <v>0</v>
      </c>
      <c r="D46" s="117">
        <f>+C46+'20'!D46</f>
        <v>0</v>
      </c>
      <c r="E46" s="142">
        <f t="shared" si="0"/>
        <v>0</v>
      </c>
      <c r="F46" s="321"/>
      <c r="G46" s="322"/>
      <c r="H46" s="187" t="s">
        <v>77</v>
      </c>
      <c r="I46" s="139">
        <f>+SUMIF(Listrik!P28,"&gt;0")</f>
        <v>5326.5399999996371</v>
      </c>
      <c r="J46" s="134">
        <f>+I46+'20'!J46</f>
        <v>591222.70000000077</v>
      </c>
      <c r="K46" s="129" t="s">
        <v>78</v>
      </c>
    </row>
    <row r="47" spans="1:14" ht="17.45" customHeight="1">
      <c r="A47" s="764" t="s">
        <v>79</v>
      </c>
      <c r="B47" s="765"/>
      <c r="C47" s="163">
        <f>SUMIF($G$7:$G$31,"Gas",$F$7:$F$31)</f>
        <v>0</v>
      </c>
      <c r="D47" s="117">
        <f>+C47+'20'!D47</f>
        <v>0</v>
      </c>
      <c r="E47" s="142">
        <f t="shared" si="0"/>
        <v>0</v>
      </c>
      <c r="F47" s="321"/>
      <c r="G47" s="322"/>
      <c r="H47" s="187" t="s">
        <v>80</v>
      </c>
      <c r="I47" s="117" t="e">
        <f>I46/I38</f>
        <v>#DIV/0!</v>
      </c>
      <c r="J47" s="134">
        <f>J46/J38</f>
        <v>935.1756155044659</v>
      </c>
      <c r="K47" s="129" t="s">
        <v>24</v>
      </c>
    </row>
    <row r="48" spans="1:14" ht="17.45" customHeight="1">
      <c r="A48" s="764" t="s">
        <v>14</v>
      </c>
      <c r="B48" s="765"/>
      <c r="C48" s="163">
        <f>SUMIF($G$7:$G$31,"Start Up",$F$7:$F$31)</f>
        <v>0</v>
      </c>
      <c r="D48" s="117">
        <f>+C48+'20'!D48</f>
        <v>0</v>
      </c>
      <c r="E48" s="142">
        <f t="shared" si="0"/>
        <v>0</v>
      </c>
      <c r="F48" s="321"/>
      <c r="G48" s="322"/>
      <c r="H48" s="187" t="s">
        <v>81</v>
      </c>
      <c r="I48" s="117" t="e">
        <f>I46/I40</f>
        <v>#DIV/0!</v>
      </c>
      <c r="J48" s="134">
        <f>J46/J40</f>
        <v>964.32163262909592</v>
      </c>
      <c r="K48" s="129" t="s">
        <v>24</v>
      </c>
    </row>
    <row r="49" spans="1:23" ht="17.45" customHeight="1">
      <c r="A49" s="778" t="s">
        <v>20</v>
      </c>
      <c r="B49" s="765"/>
      <c r="C49" s="163">
        <f>SUMIF($G$7:$G$31,"Others",$F$7:$F$31)</f>
        <v>0</v>
      </c>
      <c r="D49" s="117">
        <f>+C49+'20'!D49</f>
        <v>948</v>
      </c>
      <c r="E49" s="142">
        <f t="shared" si="0"/>
        <v>15.8</v>
      </c>
      <c r="F49" s="184"/>
      <c r="H49" s="187" t="s">
        <v>268</v>
      </c>
      <c r="I49" s="117">
        <f>+Report1!T29</f>
        <v>0</v>
      </c>
      <c r="J49" s="134">
        <f>+I49+'20'!J49</f>
        <v>77170.957005207325</v>
      </c>
      <c r="K49" s="129" t="s">
        <v>82</v>
      </c>
    </row>
    <row r="50" spans="1:23" ht="17.45" customHeight="1">
      <c r="A50" s="764" t="s">
        <v>19</v>
      </c>
      <c r="B50" s="765"/>
      <c r="C50" s="163">
        <f>SUMIF($G$7:$G$31,"Steam",$F$7:$F$31)</f>
        <v>0</v>
      </c>
      <c r="D50" s="117">
        <f>+C50+'20'!D50</f>
        <v>0</v>
      </c>
      <c r="E50" s="142">
        <f t="shared" si="0"/>
        <v>0</v>
      </c>
      <c r="F50" s="184"/>
      <c r="H50" s="187" t="s">
        <v>83</v>
      </c>
      <c r="I50" s="139" t="e">
        <f>I49/I38</f>
        <v>#DIV/0!</v>
      </c>
      <c r="J50" s="132">
        <f>J49/J38</f>
        <v>122.06635032182177</v>
      </c>
      <c r="K50" s="129" t="s">
        <v>82</v>
      </c>
    </row>
    <row r="51" spans="1:23" ht="17.45" customHeight="1" thickBot="1">
      <c r="A51" s="758" t="s">
        <v>84</v>
      </c>
      <c r="B51" s="759"/>
      <c r="C51" s="163">
        <f>SUMIF($G$7:$G$31,"Planned shut",$F$7:$F$31)</f>
        <v>1440</v>
      </c>
      <c r="D51" s="117">
        <f>+C51+'20'!D51</f>
        <v>7025</v>
      </c>
      <c r="E51" s="142">
        <f t="shared" si="0"/>
        <v>117.08333333333333</v>
      </c>
      <c r="F51" s="184"/>
      <c r="H51" s="189" t="s">
        <v>85</v>
      </c>
      <c r="I51" s="140" t="e">
        <f>I49/I40</f>
        <v>#DIV/0!</v>
      </c>
      <c r="J51" s="135">
        <f>J49/J40</f>
        <v>125.87071377809275</v>
      </c>
      <c r="K51" s="136" t="s">
        <v>82</v>
      </c>
    </row>
    <row r="52" spans="1:23" ht="13.5" thickBot="1">
      <c r="A52" s="760" t="s">
        <v>28</v>
      </c>
      <c r="B52" s="761"/>
      <c r="C52" s="143">
        <f>SUM(C38:C51)</f>
        <v>1440</v>
      </c>
      <c r="D52" s="143">
        <f>SUM(D38:D51)</f>
        <v>9544</v>
      </c>
      <c r="E52" s="144">
        <f>SUM(E38:E51)</f>
        <v>159.06666666666666</v>
      </c>
      <c r="F52" s="184"/>
      <c r="H52" s="190"/>
      <c r="I52" s="191"/>
      <c r="J52" s="137"/>
      <c r="K52" s="138"/>
    </row>
    <row r="53" spans="1:23" ht="13.5" thickBot="1">
      <c r="A53" s="762"/>
      <c r="B53" s="763"/>
      <c r="C53" s="145">
        <f>C52/(24*60)</f>
        <v>1</v>
      </c>
      <c r="D53" s="145">
        <f>D52/(24*60*G4)</f>
        <v>0.31560846560846562</v>
      </c>
      <c r="E53" s="146">
        <f>E52/(G4*24)</f>
        <v>0.31560846560846562</v>
      </c>
      <c r="F53" s="184"/>
    </row>
    <row r="54" spans="1:23">
      <c r="E54" s="192"/>
      <c r="F54" s="184"/>
    </row>
    <row r="55" spans="1:23">
      <c r="E55" s="192"/>
    </row>
    <row r="56" spans="1:23">
      <c r="A56" s="193" t="s">
        <v>86</v>
      </c>
      <c r="B56" s="194"/>
      <c r="C56" s="195"/>
      <c r="D56" s="195"/>
      <c r="E56" s="195"/>
      <c r="F56" s="196"/>
      <c r="G56" s="195"/>
      <c r="H56" s="197"/>
      <c r="I56" s="198" t="s">
        <v>87</v>
      </c>
      <c r="J56" s="199">
        <f>+D34+'20'!J56</f>
        <v>1116</v>
      </c>
      <c r="K56" s="200">
        <f>J56/(J40+J56/1000)/1000</f>
        <v>1.8169592633174485E-3</v>
      </c>
    </row>
    <row r="57" spans="1:23">
      <c r="A57" s="175"/>
      <c r="I57" s="198" t="s">
        <v>88</v>
      </c>
      <c r="J57" s="199">
        <f>+E34+'20'!J57</f>
        <v>0</v>
      </c>
      <c r="K57" s="200">
        <f>J57/(J40+J57/1000)/1000</f>
        <v>0</v>
      </c>
    </row>
    <row r="58" spans="1:23">
      <c r="A58" s="201"/>
      <c r="B58" s="202"/>
      <c r="F58" s="184"/>
      <c r="H58" s="203"/>
    </row>
    <row r="59" spans="1:23">
      <c r="A59" s="204"/>
      <c r="B59" s="175"/>
      <c r="C59" s="175"/>
      <c r="D59" s="175"/>
      <c r="E59" s="175"/>
      <c r="F59" s="188"/>
      <c r="G59" s="175"/>
      <c r="H59" s="203"/>
    </row>
    <row r="60" spans="1:23">
      <c r="H60" s="203"/>
    </row>
    <row r="61" spans="1:23">
      <c r="A61" s="205"/>
      <c r="B61" s="206"/>
      <c r="C61" s="206"/>
      <c r="D61" s="206"/>
      <c r="E61" s="206"/>
      <c r="F61" s="207"/>
      <c r="G61" s="206"/>
      <c r="H61" s="208"/>
      <c r="W61" s="148" t="s">
        <v>0</v>
      </c>
    </row>
  </sheetData>
  <mergeCells count="24">
    <mergeCell ref="A7:A14"/>
    <mergeCell ref="A15:A23"/>
    <mergeCell ref="I15:I22"/>
    <mergeCell ref="A38:B38"/>
    <mergeCell ref="I7:I14"/>
    <mergeCell ref="A39:B39"/>
    <mergeCell ref="A24:A32"/>
    <mergeCell ref="I24:I31"/>
    <mergeCell ref="A34:B34"/>
    <mergeCell ref="A37:B37"/>
    <mergeCell ref="A46:B46"/>
    <mergeCell ref="A51:B51"/>
    <mergeCell ref="A40:B40"/>
    <mergeCell ref="A41:B41"/>
    <mergeCell ref="A42:B42"/>
    <mergeCell ref="A43:B43"/>
    <mergeCell ref="A44:B44"/>
    <mergeCell ref="A45:B45"/>
    <mergeCell ref="A52:B52"/>
    <mergeCell ref="A53:B53"/>
    <mergeCell ref="A47:B47"/>
    <mergeCell ref="A48:B48"/>
    <mergeCell ref="A49:B49"/>
    <mergeCell ref="A50:B50"/>
  </mergeCells>
  <phoneticPr fontId="32"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1"/>
  <sheetViews>
    <sheetView zoomScale="80" zoomScaleNormal="80" workbookViewId="0">
      <selection activeCell="D25" sqref="D25"/>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5.42578125" style="148" customWidth="1"/>
    <col min="14" max="16384" width="9.140625" style="148"/>
  </cols>
  <sheetData>
    <row r="1" spans="1:13" ht="15.75">
      <c r="A1" s="147"/>
    </row>
    <row r="2" spans="1:13" ht="15.75">
      <c r="A2" s="147" t="s">
        <v>182</v>
      </c>
    </row>
    <row r="3" spans="1:13" ht="15">
      <c r="A3" s="149"/>
    </row>
    <row r="4" spans="1:13" ht="20.25">
      <c r="A4" s="150" t="s">
        <v>3</v>
      </c>
      <c r="B4" s="151"/>
      <c r="F4" s="152" t="s">
        <v>29</v>
      </c>
      <c r="G4" s="153">
        <v>20</v>
      </c>
      <c r="H4" s="153" t="str">
        <f>+'1'!H4</f>
        <v>.03.26</v>
      </c>
    </row>
    <row r="5" spans="1:13" ht="13.5" thickBot="1">
      <c r="C5" s="154"/>
      <c r="D5" s="154"/>
    </row>
    <row r="6" spans="1:13"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row>
    <row r="7" spans="1:13" ht="13.5" customHeight="1" thickBot="1">
      <c r="A7" s="770" t="s">
        <v>457</v>
      </c>
      <c r="B7" s="214"/>
      <c r="C7" s="215"/>
      <c r="D7" s="216"/>
      <c r="E7" s="217"/>
      <c r="F7" s="227"/>
      <c r="G7" s="228" t="s">
        <v>12</v>
      </c>
      <c r="H7" s="229" t="s">
        <v>412</v>
      </c>
      <c r="I7" s="773" t="s">
        <v>491</v>
      </c>
      <c r="J7" s="213" t="str">
        <f>+'19'!J7</f>
        <v>F 12 VP OW</v>
      </c>
      <c r="K7" s="237"/>
      <c r="L7" s="241"/>
      <c r="M7" s="116">
        <f>+K7+'19'!M7+L7</f>
        <v>136522</v>
      </c>
    </row>
    <row r="8" spans="1:13" ht="13.5" thickBot="1">
      <c r="A8" s="771"/>
      <c r="B8" s="214"/>
      <c r="C8" s="215"/>
      <c r="D8" s="216"/>
      <c r="E8" s="218"/>
      <c r="F8" s="230"/>
      <c r="G8" s="231" t="s">
        <v>12</v>
      </c>
      <c r="H8" s="229" t="s">
        <v>283</v>
      </c>
      <c r="I8" s="774"/>
      <c r="J8" s="213" t="str">
        <f>+'19'!J8</f>
        <v>F 14 VP OW</v>
      </c>
      <c r="K8" s="238"/>
      <c r="L8" s="238"/>
      <c r="M8" s="116">
        <f>+K8+'19'!M8+L8</f>
        <v>89126</v>
      </c>
    </row>
    <row r="9" spans="1:13" ht="13.5" thickBot="1">
      <c r="A9" s="771"/>
      <c r="B9" s="214"/>
      <c r="C9" s="215"/>
      <c r="D9" s="216"/>
      <c r="E9" s="219"/>
      <c r="F9" s="227"/>
      <c r="G9" s="231" t="s">
        <v>12</v>
      </c>
      <c r="H9" s="232" t="s">
        <v>411</v>
      </c>
      <c r="I9" s="774"/>
      <c r="J9" s="213" t="str">
        <f>+'19'!J9</f>
        <v>F 16 VP OW</v>
      </c>
      <c r="K9" s="238"/>
      <c r="L9" s="238"/>
      <c r="M9" s="116">
        <f>+K9+'19'!M9+L9</f>
        <v>104726</v>
      </c>
    </row>
    <row r="10" spans="1:13" ht="13.5" thickBot="1">
      <c r="A10" s="771"/>
      <c r="B10" s="214"/>
      <c r="C10" s="215"/>
      <c r="D10" s="216"/>
      <c r="E10" s="218"/>
      <c r="F10" s="227"/>
      <c r="G10" s="236" t="s">
        <v>13</v>
      </c>
      <c r="H10" s="232" t="s">
        <v>676</v>
      </c>
      <c r="I10" s="774"/>
      <c r="J10" s="213" t="str">
        <f>+'19'!J10</f>
        <v>F 13,5 VP OW</v>
      </c>
      <c r="K10" s="238"/>
      <c r="L10" s="238"/>
      <c r="M10" s="116">
        <f>+K10+'19'!M10+L10</f>
        <v>10827</v>
      </c>
    </row>
    <row r="11" spans="1:13" ht="77.25" thickBot="1">
      <c r="A11" s="771"/>
      <c r="B11" s="214"/>
      <c r="C11" s="215"/>
      <c r="D11" s="216"/>
      <c r="E11" s="218"/>
      <c r="F11" s="234">
        <v>480</v>
      </c>
      <c r="G11" s="231" t="s">
        <v>675</v>
      </c>
      <c r="H11" s="232" t="s">
        <v>696</v>
      </c>
      <c r="I11" s="774"/>
      <c r="J11" s="213" t="str">
        <f>+'19'!J11</f>
        <v>F 13 VP OW</v>
      </c>
      <c r="K11" s="238"/>
      <c r="L11" s="238"/>
      <c r="M11" s="116">
        <f>+K11+'19'!M11+L11</f>
        <v>19832</v>
      </c>
    </row>
    <row r="12" spans="1:13" ht="13.5" thickBot="1">
      <c r="A12" s="771"/>
      <c r="B12" s="214"/>
      <c r="C12" s="215"/>
      <c r="D12" s="216"/>
      <c r="E12" s="218"/>
      <c r="F12" s="227"/>
      <c r="G12" s="231"/>
      <c r="H12" s="232"/>
      <c r="I12" s="774"/>
      <c r="J12" s="213" t="str">
        <f>+'19'!J12</f>
        <v>T 14 VP OW</v>
      </c>
      <c r="K12" s="238"/>
      <c r="L12" s="238"/>
      <c r="M12" s="116">
        <f>+K12+'19'!M12+L12</f>
        <v>10448</v>
      </c>
    </row>
    <row r="13" spans="1:13" ht="13.5" thickBot="1">
      <c r="A13" s="771"/>
      <c r="B13" s="214"/>
      <c r="C13" s="215"/>
      <c r="D13" s="215"/>
      <c r="E13" s="218"/>
      <c r="F13" s="227"/>
      <c r="G13" s="231"/>
      <c r="H13" s="232"/>
      <c r="I13" s="774"/>
      <c r="J13" s="213" t="str">
        <f>+'19'!J13</f>
        <v>F 11,5 VP OW</v>
      </c>
      <c r="K13" s="238"/>
      <c r="L13" s="238"/>
      <c r="M13" s="116">
        <f>+K13+'19'!M13+L13</f>
        <v>53931</v>
      </c>
    </row>
    <row r="14" spans="1:13" ht="13.5" thickBot="1">
      <c r="A14" s="772"/>
      <c r="B14" s="164" t="s">
        <v>2</v>
      </c>
      <c r="C14" s="98">
        <f>SUM(C7:C13)</f>
        <v>0</v>
      </c>
      <c r="D14" s="110">
        <f>SUM(D7:D13)</f>
        <v>0</v>
      </c>
      <c r="E14" s="111">
        <f>SUM(E5:E13)</f>
        <v>0</v>
      </c>
      <c r="F14" s="115">
        <f>SUM(F7:F13)</f>
        <v>480</v>
      </c>
      <c r="G14" s="158"/>
      <c r="H14" s="165"/>
      <c r="I14" s="775"/>
      <c r="J14" s="213" t="str">
        <f>+'19'!J14</f>
        <v>F 12,5 VP OW</v>
      </c>
      <c r="K14" s="238"/>
      <c r="L14" s="238"/>
      <c r="M14" s="116">
        <f>+K14+'19'!M14+L14</f>
        <v>10132</v>
      </c>
    </row>
    <row r="15" spans="1:13" ht="13.5" customHeight="1" thickBot="1">
      <c r="A15" s="770" t="s">
        <v>687</v>
      </c>
      <c r="B15" s="164"/>
      <c r="C15" s="112" t="e">
        <f>C14/($C$23+$D$23+$E$23)</f>
        <v>#DIV/0!</v>
      </c>
      <c r="D15" s="113" t="e">
        <f>D14/($C$23+$D$23+$E$23)</f>
        <v>#DIV/0!</v>
      </c>
      <c r="E15" s="114" t="e">
        <f>E14/($C$23+$D$23+$E$23)</f>
        <v>#DIV/0!</v>
      </c>
      <c r="F15" s="227"/>
      <c r="G15" s="228" t="s">
        <v>12</v>
      </c>
      <c r="H15" s="229" t="s">
        <v>412</v>
      </c>
      <c r="I15" s="773" t="s">
        <v>491</v>
      </c>
      <c r="J15" s="213" t="str">
        <f>+'19'!J15</f>
        <v>T 13 VP OW</v>
      </c>
      <c r="K15" s="238"/>
      <c r="L15" s="238"/>
      <c r="M15" s="116">
        <f>+K15+'19'!M15+L15</f>
        <v>124865</v>
      </c>
    </row>
    <row r="16" spans="1:13" ht="13.5" thickBot="1">
      <c r="A16" s="776"/>
      <c r="B16" s="214"/>
      <c r="C16" s="221"/>
      <c r="D16" s="222"/>
      <c r="E16" s="223"/>
      <c r="F16" s="230"/>
      <c r="G16" s="231" t="s">
        <v>12</v>
      </c>
      <c r="H16" s="229" t="s">
        <v>283</v>
      </c>
      <c r="I16" s="774"/>
      <c r="J16" s="213" t="str">
        <f>+'19'!J16</f>
        <v>T 12,5 VP OW</v>
      </c>
      <c r="K16" s="228"/>
      <c r="L16" s="228"/>
      <c r="M16" s="116">
        <f>+K16+'19'!M16+L16</f>
        <v>52688</v>
      </c>
    </row>
    <row r="17" spans="1:13" ht="13.5" thickBot="1">
      <c r="A17" s="776"/>
      <c r="B17" s="214"/>
      <c r="C17" s="215"/>
      <c r="D17" s="216"/>
      <c r="E17" s="224"/>
      <c r="F17" s="227"/>
      <c r="G17" s="231" t="s">
        <v>12</v>
      </c>
      <c r="H17" s="232" t="s">
        <v>411</v>
      </c>
      <c r="I17" s="774"/>
      <c r="J17" s="213">
        <f>+'19'!J17</f>
        <v>0</v>
      </c>
      <c r="K17" s="228"/>
      <c r="L17" s="228"/>
      <c r="M17" s="116">
        <f>+K17+'19'!M17+L17</f>
        <v>0</v>
      </c>
    </row>
    <row r="18" spans="1:13" ht="13.5" thickBot="1">
      <c r="A18" s="776"/>
      <c r="B18" s="214"/>
      <c r="C18" s="215"/>
      <c r="D18" s="216"/>
      <c r="E18" s="224"/>
      <c r="F18" s="227"/>
      <c r="G18" s="236" t="s">
        <v>13</v>
      </c>
      <c r="H18" s="232" t="s">
        <v>676</v>
      </c>
      <c r="I18" s="774"/>
      <c r="J18" s="213">
        <f>+'19'!J18</f>
        <v>0</v>
      </c>
      <c r="K18" s="238"/>
      <c r="L18" s="238"/>
      <c r="M18" s="116">
        <f>+K18+'19'!M18+L18</f>
        <v>0</v>
      </c>
    </row>
    <row r="19" spans="1:13" ht="51.75" thickBot="1">
      <c r="A19" s="776"/>
      <c r="B19" s="214"/>
      <c r="C19" s="215"/>
      <c r="D19" s="216"/>
      <c r="E19" s="224"/>
      <c r="F19" s="234">
        <v>480</v>
      </c>
      <c r="G19" s="231" t="s">
        <v>675</v>
      </c>
      <c r="H19" s="232" t="s">
        <v>695</v>
      </c>
      <c r="I19" s="774"/>
      <c r="J19" s="213">
        <f>+'19'!J19</f>
        <v>0</v>
      </c>
      <c r="K19" s="238"/>
      <c r="L19" s="238"/>
      <c r="M19" s="116">
        <f>+K19+'19'!M19+L19</f>
        <v>0</v>
      </c>
    </row>
    <row r="20" spans="1:13" ht="13.5" thickBot="1">
      <c r="A20" s="776"/>
      <c r="B20" s="214"/>
      <c r="C20" s="215"/>
      <c r="D20" s="216"/>
      <c r="E20" s="224"/>
      <c r="F20" s="227"/>
      <c r="G20" s="231"/>
      <c r="H20" s="232"/>
      <c r="I20" s="774"/>
      <c r="J20" s="213">
        <f>+'19'!J20</f>
        <v>0</v>
      </c>
      <c r="K20" s="239"/>
      <c r="L20" s="239"/>
      <c r="M20" s="116">
        <f>+K20+'19'!M20+L20</f>
        <v>0</v>
      </c>
    </row>
    <row r="21" spans="1:13" ht="13.5" thickBot="1">
      <c r="A21" s="776"/>
      <c r="B21" s="214"/>
      <c r="C21" s="215"/>
      <c r="D21" s="216"/>
      <c r="E21" s="224"/>
      <c r="F21" s="230"/>
      <c r="G21" s="231"/>
      <c r="H21" s="232"/>
      <c r="I21" s="774"/>
      <c r="J21" s="213">
        <f>+'19'!J21</f>
        <v>0</v>
      </c>
      <c r="K21" s="238"/>
      <c r="L21" s="238"/>
      <c r="M21" s="116">
        <f>+K21+'19'!M21+L21</f>
        <v>0</v>
      </c>
    </row>
    <row r="22" spans="1:13" ht="13.5" thickBot="1">
      <c r="A22" s="776"/>
      <c r="B22" s="214"/>
      <c r="C22" s="215"/>
      <c r="D22" s="216"/>
      <c r="E22" s="224"/>
      <c r="F22" s="235"/>
      <c r="G22" s="231"/>
      <c r="H22" s="232"/>
      <c r="I22" s="775"/>
      <c r="J22" s="213">
        <f>+'19'!J22</f>
        <v>0</v>
      </c>
      <c r="K22" s="238"/>
      <c r="L22" s="238"/>
      <c r="M22" s="116">
        <f>+K22+'19'!M22+L22</f>
        <v>0</v>
      </c>
    </row>
    <row r="23" spans="1:13" ht="13.5" thickBot="1">
      <c r="A23" s="777"/>
      <c r="B23" s="167" t="s">
        <v>2</v>
      </c>
      <c r="C23" s="99">
        <f>SUM(C16:C22)</f>
        <v>0</v>
      </c>
      <c r="D23" s="110">
        <f>SUM(D16:D22)</f>
        <v>0</v>
      </c>
      <c r="E23" s="111">
        <f>SUM(E18:E22)</f>
        <v>0</v>
      </c>
      <c r="F23" s="115">
        <f>SUM(F15:F22)</f>
        <v>480</v>
      </c>
      <c r="G23" s="158"/>
      <c r="H23" s="165"/>
      <c r="I23" s="168"/>
      <c r="J23" s="213">
        <f>+'19'!J23</f>
        <v>0</v>
      </c>
      <c r="K23" s="238"/>
      <c r="L23" s="238"/>
      <c r="M23" s="116">
        <f>+K23+'19'!M23+L23</f>
        <v>0</v>
      </c>
    </row>
    <row r="24" spans="1:13" ht="13.5" customHeight="1" thickBot="1">
      <c r="A24" s="770" t="s">
        <v>686</v>
      </c>
      <c r="B24" s="169"/>
      <c r="C24" s="112" t="e">
        <f>C23/($C$23+$D$23+$E$23)</f>
        <v>#DIV/0!</v>
      </c>
      <c r="D24" s="113" t="e">
        <f>D23/($C$23+$D$23+$E$23)</f>
        <v>#DIV/0!</v>
      </c>
      <c r="E24" s="114" t="e">
        <f>E23/($C$23+$D$23+$E$23)</f>
        <v>#DIV/0!</v>
      </c>
      <c r="F24" s="227"/>
      <c r="G24" s="228" t="s">
        <v>12</v>
      </c>
      <c r="H24" s="229" t="s">
        <v>412</v>
      </c>
      <c r="I24" s="773" t="s">
        <v>491</v>
      </c>
      <c r="J24" s="213">
        <f>+'19'!J24</f>
        <v>0</v>
      </c>
      <c r="K24" s="238"/>
      <c r="L24" s="238"/>
      <c r="M24" s="116">
        <f>+K24+'19'!M24+L24</f>
        <v>0</v>
      </c>
    </row>
    <row r="25" spans="1:13" ht="13.5" thickBot="1">
      <c r="A25" s="776"/>
      <c r="B25" s="214"/>
      <c r="C25" s="225"/>
      <c r="D25" s="216"/>
      <c r="E25" s="224"/>
      <c r="F25" s="230"/>
      <c r="G25" s="231" t="s">
        <v>12</v>
      </c>
      <c r="H25" s="229" t="s">
        <v>283</v>
      </c>
      <c r="I25" s="774"/>
      <c r="J25" s="213">
        <f>+'19'!J25</f>
        <v>0</v>
      </c>
      <c r="K25" s="238"/>
      <c r="L25" s="238"/>
      <c r="M25" s="116">
        <f>+K25+'19'!M25+L25</f>
        <v>0</v>
      </c>
    </row>
    <row r="26" spans="1:13" ht="13.5" thickBot="1">
      <c r="A26" s="776"/>
      <c r="B26" s="214"/>
      <c r="C26" s="225"/>
      <c r="D26" s="216"/>
      <c r="E26" s="226"/>
      <c r="F26" s="227"/>
      <c r="G26" s="231" t="s">
        <v>12</v>
      </c>
      <c r="H26" s="232" t="s">
        <v>411</v>
      </c>
      <c r="I26" s="774"/>
      <c r="J26" s="213">
        <f>+'19'!J26</f>
        <v>0</v>
      </c>
      <c r="K26" s="238"/>
      <c r="L26" s="238"/>
      <c r="M26" s="116">
        <f>+K26+'19'!M26+L26</f>
        <v>0</v>
      </c>
    </row>
    <row r="27" spans="1:13" ht="13.5" thickBot="1">
      <c r="A27" s="776"/>
      <c r="B27" s="214"/>
      <c r="C27" s="215"/>
      <c r="D27" s="216"/>
      <c r="E27" s="224"/>
      <c r="F27" s="227"/>
      <c r="G27" s="236" t="s">
        <v>13</v>
      </c>
      <c r="H27" s="232" t="s">
        <v>676</v>
      </c>
      <c r="I27" s="774"/>
      <c r="J27" s="213">
        <f>+'19'!J27</f>
        <v>0</v>
      </c>
      <c r="K27" s="238"/>
      <c r="L27" s="238"/>
      <c r="M27" s="116">
        <f>+K27+'19'!M27+L27</f>
        <v>0</v>
      </c>
    </row>
    <row r="28" spans="1:13" ht="64.5" thickBot="1">
      <c r="A28" s="776"/>
      <c r="B28" s="214"/>
      <c r="C28" s="215"/>
      <c r="D28" s="216"/>
      <c r="E28" s="224"/>
      <c r="F28" s="234">
        <v>480</v>
      </c>
      <c r="G28" s="231" t="s">
        <v>675</v>
      </c>
      <c r="H28" s="232" t="s">
        <v>694</v>
      </c>
      <c r="I28" s="774"/>
      <c r="J28" s="213">
        <f>+'19'!J28</f>
        <v>0</v>
      </c>
      <c r="K28" s="238"/>
      <c r="L28" s="238"/>
      <c r="M28" s="116">
        <f>+K28+'19'!M28+L28</f>
        <v>0</v>
      </c>
    </row>
    <row r="29" spans="1:13" ht="13.5" thickBot="1">
      <c r="A29" s="776"/>
      <c r="B29" s="214"/>
      <c r="C29" s="215"/>
      <c r="D29" s="216"/>
      <c r="E29" s="224"/>
      <c r="F29" s="235"/>
      <c r="G29" s="231"/>
      <c r="H29" s="232"/>
      <c r="I29" s="774"/>
      <c r="J29" s="213">
        <f>+'19'!J29</f>
        <v>0</v>
      </c>
      <c r="K29" s="238"/>
      <c r="L29" s="238"/>
      <c r="M29" s="116">
        <f>+K29+'19'!M29+L29</f>
        <v>0</v>
      </c>
    </row>
    <row r="30" spans="1:13" ht="13.5" thickBot="1">
      <c r="A30" s="776"/>
      <c r="B30" s="214"/>
      <c r="C30" s="225"/>
      <c r="D30" s="216"/>
      <c r="E30" s="224"/>
      <c r="F30" s="235"/>
      <c r="G30" s="231"/>
      <c r="H30" s="232"/>
      <c r="I30" s="774"/>
      <c r="J30" s="213">
        <f>+'19'!J30</f>
        <v>0</v>
      </c>
      <c r="K30" s="238"/>
      <c r="L30" s="238"/>
      <c r="M30" s="116">
        <f>+K30+'19'!M30+L30</f>
        <v>0</v>
      </c>
    </row>
    <row r="31" spans="1:13" ht="13.5" thickBot="1">
      <c r="A31" s="776"/>
      <c r="B31" s="214"/>
      <c r="C31" s="225"/>
      <c r="D31" s="216"/>
      <c r="E31" s="224"/>
      <c r="F31" s="235"/>
      <c r="G31" s="236"/>
      <c r="H31" s="443"/>
      <c r="I31" s="775"/>
      <c r="J31" s="213">
        <f>+'19'!J31</f>
        <v>0</v>
      </c>
      <c r="K31" s="238"/>
      <c r="L31" s="238"/>
      <c r="M31" s="116">
        <f>+K31+'19'!M31+L31</f>
        <v>0</v>
      </c>
    </row>
    <row r="32" spans="1:13" ht="13.5" thickBot="1">
      <c r="A32" s="777"/>
      <c r="B32" s="164" t="s">
        <v>2</v>
      </c>
      <c r="C32" s="98">
        <f>SUM(C25:C31)</f>
        <v>0</v>
      </c>
      <c r="D32" s="99">
        <f>SUM(D25:D31)</f>
        <v>0</v>
      </c>
      <c r="E32" s="100">
        <f>SUM(E25:E31)</f>
        <v>0</v>
      </c>
      <c r="F32" s="101">
        <f>SUM(F24:F31)</f>
        <v>480</v>
      </c>
      <c r="G32" s="170"/>
      <c r="H32" s="171"/>
      <c r="I32" s="168"/>
      <c r="J32" s="213">
        <f>+'19'!J32</f>
        <v>0</v>
      </c>
      <c r="K32" s="240"/>
      <c r="L32" s="242"/>
      <c r="M32" s="116">
        <f>+K32+'19'!M32+L32</f>
        <v>0</v>
      </c>
    </row>
    <row r="33" spans="1:13" ht="13.5" thickBot="1">
      <c r="A33" s="172"/>
      <c r="B33" s="173"/>
      <c r="C33" s="102" t="e">
        <f>C32/($C$32+$D$32+$E$32)</f>
        <v>#DIV/0!</v>
      </c>
      <c r="D33" s="103" t="e">
        <f>D32/($C$32+$D$32+$E$32)</f>
        <v>#DIV/0!</v>
      </c>
      <c r="E33" s="104" t="e">
        <f>E32/($C$32+$D$32+$E$32)</f>
        <v>#DIV/0!</v>
      </c>
      <c r="F33" s="105"/>
      <c r="G33" s="174"/>
      <c r="H33" s="175"/>
      <c r="I33" s="176"/>
      <c r="J33" s="120"/>
      <c r="K33" s="121"/>
      <c r="L33" s="212"/>
      <c r="M33" s="118"/>
    </row>
    <row r="34" spans="1:13" ht="13.5" thickBot="1">
      <c r="A34" s="766" t="s">
        <v>57</v>
      </c>
      <c r="B34" s="767"/>
      <c r="C34" s="106">
        <f>C14+C23+C32</f>
        <v>0</v>
      </c>
      <c r="D34" s="106">
        <f>D14+D23+D32</f>
        <v>0</v>
      </c>
      <c r="E34" s="106">
        <f>E14+E23+E32</f>
        <v>0</v>
      </c>
      <c r="F34" s="107">
        <f>F14+F23+F32</f>
        <v>1440</v>
      </c>
      <c r="H34" s="177"/>
      <c r="I34" s="177"/>
      <c r="J34" s="122" t="s">
        <v>28</v>
      </c>
      <c r="K34" s="123">
        <f>SUM(K7:K32)</f>
        <v>0</v>
      </c>
      <c r="L34" s="211">
        <f>SUM(L7:L32)</f>
        <v>0</v>
      </c>
      <c r="M34" s="119">
        <f>SUM(M7:M32)</f>
        <v>613097</v>
      </c>
    </row>
    <row r="35" spans="1:13" ht="13.5" thickBot="1">
      <c r="A35" s="178"/>
      <c r="B35" s="179"/>
      <c r="C35" s="103" t="e">
        <f>C34/($C$34+$D$34+$E$34)</f>
        <v>#DIV/0!</v>
      </c>
      <c r="D35" s="103" t="e">
        <f>D34/($C$34+$D$34+$E$34)</f>
        <v>#DIV/0!</v>
      </c>
      <c r="E35" s="108" t="e">
        <f>E34/($C$34+$D$34+$E$34)</f>
        <v>#DIV/0!</v>
      </c>
      <c r="K35" s="154"/>
    </row>
    <row r="36" spans="1:13" ht="13.5" thickBot="1">
      <c r="A36" s="177"/>
      <c r="B36" s="177"/>
      <c r="C36" s="154"/>
      <c r="D36" s="154"/>
      <c r="E36" s="154"/>
      <c r="G36" s="154"/>
      <c r="H36" s="180"/>
      <c r="I36" s="161" t="s">
        <v>37</v>
      </c>
      <c r="J36" s="161" t="s">
        <v>38</v>
      </c>
      <c r="K36" s="181"/>
    </row>
    <row r="37" spans="1:13" ht="17.45" customHeight="1" thickBot="1">
      <c r="A37" s="768" t="s">
        <v>58</v>
      </c>
      <c r="B37" s="769"/>
      <c r="C37" s="161" t="s">
        <v>59</v>
      </c>
      <c r="D37" s="182" t="s">
        <v>60</v>
      </c>
      <c r="E37" s="183" t="s">
        <v>61</v>
      </c>
      <c r="F37" s="321"/>
      <c r="G37" s="323"/>
      <c r="H37" s="185" t="s">
        <v>62</v>
      </c>
      <c r="I37" s="243">
        <f>(10.3*1440)/1440*G42*2.74*1440/1000000</f>
        <v>0</v>
      </c>
      <c r="J37" s="124">
        <f>+I37+'19'!J37</f>
        <v>720.38915342322991</v>
      </c>
      <c r="K37" s="125" t="s">
        <v>63</v>
      </c>
    </row>
    <row r="38" spans="1:13" ht="17.45" customHeight="1">
      <c r="A38" s="760" t="s">
        <v>12</v>
      </c>
      <c r="B38" s="761"/>
      <c r="C38" s="163">
        <f>SUMIF($G$7:$G$31,"Process",$F$7:$F$31)</f>
        <v>0</v>
      </c>
      <c r="D38" s="117">
        <f>+C38+'19'!D38</f>
        <v>1260</v>
      </c>
      <c r="E38" s="142">
        <f t="shared" ref="E38:E51" si="0">D38/60</f>
        <v>21</v>
      </c>
      <c r="F38" s="321"/>
      <c r="G38" s="321"/>
      <c r="H38" s="186" t="s">
        <v>64</v>
      </c>
      <c r="I38" s="244"/>
      <c r="J38" s="126">
        <f>+I38+'19'!J38</f>
        <v>632.20499999999993</v>
      </c>
      <c r="K38" s="127" t="s">
        <v>63</v>
      </c>
    </row>
    <row r="39" spans="1:13" ht="17.45" customHeight="1">
      <c r="A39" s="764" t="s">
        <v>13</v>
      </c>
      <c r="B39" s="765"/>
      <c r="C39" s="163">
        <f>SUMIF($G$7:$G$31,"Cleaning",$F$7:$F$31)</f>
        <v>0</v>
      </c>
      <c r="D39" s="117">
        <f>+C39+'19'!D39</f>
        <v>0</v>
      </c>
      <c r="E39" s="142">
        <f t="shared" si="0"/>
        <v>0</v>
      </c>
      <c r="F39" s="321"/>
      <c r="G39" s="321"/>
      <c r="H39" s="186" t="s">
        <v>65</v>
      </c>
      <c r="I39" s="141"/>
      <c r="J39" s="128">
        <f>J37/G4</f>
        <v>36.019457671161497</v>
      </c>
      <c r="K39" s="129" t="s">
        <v>63</v>
      </c>
    </row>
    <row r="40" spans="1:13" ht="17.45" customHeight="1">
      <c r="A40" s="764" t="s">
        <v>66</v>
      </c>
      <c r="B40" s="765"/>
      <c r="C40" s="163">
        <f>SUMIF($G$7:$G$31,"Mechanical",$F$7:$F$31)</f>
        <v>0</v>
      </c>
      <c r="D40" s="117">
        <f>+C40+'19'!D40</f>
        <v>0</v>
      </c>
      <c r="E40" s="142">
        <f t="shared" si="0"/>
        <v>0</v>
      </c>
      <c r="F40" s="321"/>
      <c r="G40" s="321"/>
      <c r="H40" s="186" t="s">
        <v>67</v>
      </c>
      <c r="I40" s="117">
        <f>(K34+L34)/1000</f>
        <v>0</v>
      </c>
      <c r="J40" s="130">
        <f>+I40+'19'!J40</f>
        <v>613.09699999999998</v>
      </c>
      <c r="K40" s="129" t="s">
        <v>63</v>
      </c>
    </row>
    <row r="41" spans="1:13" ht="17.45" customHeight="1">
      <c r="A41" s="764" t="s">
        <v>68</v>
      </c>
      <c r="B41" s="765"/>
      <c r="C41" s="163">
        <f>SUMIF($G$7:$G$31,"Electrical",$F$7:$F$31)</f>
        <v>0</v>
      </c>
      <c r="D41" s="117">
        <f>+C41+'19'!D41</f>
        <v>311</v>
      </c>
      <c r="E41" s="142">
        <f t="shared" si="0"/>
        <v>5.1833333333333336</v>
      </c>
      <c r="F41" s="321"/>
      <c r="G41" s="321"/>
      <c r="H41" s="186" t="s">
        <v>69</v>
      </c>
      <c r="I41" s="141"/>
      <c r="J41" s="128">
        <f>J40/G4</f>
        <v>30.65485</v>
      </c>
      <c r="K41" s="129" t="s">
        <v>63</v>
      </c>
    </row>
    <row r="42" spans="1:13" ht="17.45" customHeight="1">
      <c r="A42" s="764" t="s">
        <v>16</v>
      </c>
      <c r="B42" s="765"/>
      <c r="C42" s="163">
        <f>SUMIF($G$7:$G$31,"Instrument",$F$7:$F$31)</f>
        <v>0</v>
      </c>
      <c r="D42" s="117">
        <f>+C42+'19'!D42</f>
        <v>0</v>
      </c>
      <c r="E42" s="142">
        <f t="shared" si="0"/>
        <v>0</v>
      </c>
      <c r="F42" s="321"/>
      <c r="G42" s="321"/>
      <c r="H42" s="186" t="s">
        <v>70</v>
      </c>
      <c r="I42" s="245"/>
      <c r="J42" s="131"/>
      <c r="K42" s="129" t="s">
        <v>71</v>
      </c>
    </row>
    <row r="43" spans="1:13" ht="17.45" customHeight="1">
      <c r="A43" s="764" t="s">
        <v>72</v>
      </c>
      <c r="B43" s="765"/>
      <c r="C43" s="163">
        <f>SUMIF($G$7:$G$31,"Water",$F$7:$F$31)</f>
        <v>0</v>
      </c>
      <c r="D43" s="117">
        <f>+C43+'19'!D43</f>
        <v>0</v>
      </c>
      <c r="E43" s="142">
        <f t="shared" si="0"/>
        <v>0</v>
      </c>
      <c r="F43" s="321"/>
      <c r="G43" s="322"/>
      <c r="H43" s="187" t="s">
        <v>73</v>
      </c>
      <c r="I43" s="117">
        <f>+Report1!Z28</f>
        <v>4</v>
      </c>
      <c r="J43" s="132">
        <f>+I43+'19'!J43</f>
        <v>862.00000000000011</v>
      </c>
      <c r="K43" s="129" t="s">
        <v>63</v>
      </c>
      <c r="L43" s="188"/>
    </row>
    <row r="44" spans="1:13" ht="17.45" customHeight="1">
      <c r="A44" s="764" t="s">
        <v>17</v>
      </c>
      <c r="B44" s="765"/>
      <c r="C44" s="163">
        <f>SUMIF($G$7:$G$31,"PLN",$F$7:$F$31)</f>
        <v>0</v>
      </c>
      <c r="D44" s="117">
        <f>+C44+'19'!D44</f>
        <v>0</v>
      </c>
      <c r="E44" s="142">
        <f t="shared" si="0"/>
        <v>0</v>
      </c>
      <c r="F44" s="321"/>
      <c r="G44" s="322"/>
      <c r="H44" s="187" t="s">
        <v>74</v>
      </c>
      <c r="I44" s="117" t="e">
        <f>I43/I38</f>
        <v>#DIV/0!</v>
      </c>
      <c r="J44" s="133">
        <f>J43/J38</f>
        <v>1.3634817820169094</v>
      </c>
      <c r="K44" s="129" t="s">
        <v>63</v>
      </c>
    </row>
    <row r="45" spans="1:13" ht="17.45" customHeight="1">
      <c r="A45" s="764" t="s">
        <v>18</v>
      </c>
      <c r="B45" s="765"/>
      <c r="C45" s="163">
        <f>SUMIF($G$7:$G$31,"Boiler",$F$7:$F$31)</f>
        <v>0</v>
      </c>
      <c r="D45" s="117">
        <f>+C45+'19'!D45</f>
        <v>0</v>
      </c>
      <c r="E45" s="142">
        <f t="shared" si="0"/>
        <v>0</v>
      </c>
      <c r="F45" s="321"/>
      <c r="G45" s="324"/>
      <c r="H45" s="187" t="s">
        <v>75</v>
      </c>
      <c r="I45" s="117" t="e">
        <f>I43/I40</f>
        <v>#DIV/0!</v>
      </c>
      <c r="J45" s="133">
        <f>J43/J40</f>
        <v>1.4059765420479959</v>
      </c>
      <c r="K45" s="129" t="s">
        <v>63</v>
      </c>
    </row>
    <row r="46" spans="1:13" ht="17.45" customHeight="1">
      <c r="A46" s="764" t="s">
        <v>76</v>
      </c>
      <c r="B46" s="765"/>
      <c r="C46" s="163">
        <f>SUMIF($G$7:$G$31,"Gas",$F$7:$F$31)</f>
        <v>0</v>
      </c>
      <c r="D46" s="117">
        <f>+C46+'19'!D46</f>
        <v>0</v>
      </c>
      <c r="E46" s="142">
        <f t="shared" si="0"/>
        <v>0</v>
      </c>
      <c r="F46" s="321"/>
      <c r="G46" s="322"/>
      <c r="H46" s="187" t="s">
        <v>77</v>
      </c>
      <c r="I46" s="139">
        <f>+SUMIF(Listrik!P27,"&gt;0")</f>
        <v>6014.980000001091</v>
      </c>
      <c r="J46" s="134">
        <f>+I46+'19'!J46</f>
        <v>585896.16000000108</v>
      </c>
      <c r="K46" s="129" t="s">
        <v>78</v>
      </c>
    </row>
    <row r="47" spans="1:13" ht="17.45" customHeight="1">
      <c r="A47" s="764" t="s">
        <v>79</v>
      </c>
      <c r="B47" s="765"/>
      <c r="C47" s="163">
        <f>SUMIF($G$7:$G$31,"Gas",$F$7:$F$31)</f>
        <v>0</v>
      </c>
      <c r="D47" s="117">
        <f>+C47+'19'!D47</f>
        <v>0</v>
      </c>
      <c r="E47" s="142">
        <f t="shared" si="0"/>
        <v>0</v>
      </c>
      <c r="F47" s="321"/>
      <c r="G47" s="322"/>
      <c r="H47" s="187" t="s">
        <v>80</v>
      </c>
      <c r="I47" s="117" t="e">
        <f>I46/I38</f>
        <v>#DIV/0!</v>
      </c>
      <c r="J47" s="134">
        <f>J46/J38</f>
        <v>926.75027878615504</v>
      </c>
      <c r="K47" s="129" t="s">
        <v>24</v>
      </c>
    </row>
    <row r="48" spans="1:13" ht="17.45" customHeight="1">
      <c r="A48" s="764" t="s">
        <v>14</v>
      </c>
      <c r="B48" s="765"/>
      <c r="C48" s="163">
        <f>SUMIF($G$7:$G$31,"Start Up",$F$7:$F$31)</f>
        <v>0</v>
      </c>
      <c r="D48" s="117">
        <f>+C48+'19'!D48</f>
        <v>0</v>
      </c>
      <c r="E48" s="142">
        <f t="shared" si="0"/>
        <v>0</v>
      </c>
      <c r="F48" s="321"/>
      <c r="G48" s="322"/>
      <c r="H48" s="187" t="s">
        <v>81</v>
      </c>
      <c r="I48" s="117" t="e">
        <f>I46/I40</f>
        <v>#DIV/0!</v>
      </c>
      <c r="J48" s="134">
        <f>J46/J40</f>
        <v>955.6337088584695</v>
      </c>
      <c r="K48" s="129" t="s">
        <v>24</v>
      </c>
    </row>
    <row r="49" spans="1:11" ht="17.45" customHeight="1">
      <c r="A49" s="764" t="s">
        <v>20</v>
      </c>
      <c r="B49" s="765"/>
      <c r="C49" s="163">
        <f>SUMIF($G$7:$G$31,"Others",$F$7:$F$31)</f>
        <v>0</v>
      </c>
      <c r="D49" s="117">
        <f>+C49+'19'!D49</f>
        <v>948</v>
      </c>
      <c r="E49" s="142">
        <f t="shared" si="0"/>
        <v>15.8</v>
      </c>
      <c r="F49" s="184"/>
      <c r="H49" s="187" t="s">
        <v>268</v>
      </c>
      <c r="I49" s="117">
        <f>+Report1!T28</f>
        <v>0</v>
      </c>
      <c r="J49" s="134">
        <f>+I49+'19'!J49</f>
        <v>77170.957005207325</v>
      </c>
      <c r="K49" s="129" t="s">
        <v>82</v>
      </c>
    </row>
    <row r="50" spans="1:11" ht="17.45" customHeight="1">
      <c r="A50" s="764" t="s">
        <v>19</v>
      </c>
      <c r="B50" s="765"/>
      <c r="C50" s="163">
        <f>SUMIF($G$7:$G$31,"Steam",$F$7:$F$31)</f>
        <v>0</v>
      </c>
      <c r="D50" s="117">
        <f>+C50+'19'!D50</f>
        <v>0</v>
      </c>
      <c r="E50" s="142">
        <f t="shared" si="0"/>
        <v>0</v>
      </c>
      <c r="F50" s="184"/>
      <c r="H50" s="187" t="s">
        <v>83</v>
      </c>
      <c r="I50" s="139" t="e">
        <f>I49/I38</f>
        <v>#DIV/0!</v>
      </c>
      <c r="J50" s="132">
        <f>J49/J38</f>
        <v>122.06635032182177</v>
      </c>
      <c r="K50" s="129" t="s">
        <v>82</v>
      </c>
    </row>
    <row r="51" spans="1:11" ht="17.45" customHeight="1" thickBot="1">
      <c r="A51" s="758" t="s">
        <v>84</v>
      </c>
      <c r="B51" s="759"/>
      <c r="C51" s="163">
        <f>SUMIF($G$7:$G$31,"Planned shut",$F$7:$F$31)</f>
        <v>1440</v>
      </c>
      <c r="D51" s="117">
        <f>+C51+'19'!D51</f>
        <v>5585</v>
      </c>
      <c r="E51" s="142">
        <f t="shared" si="0"/>
        <v>93.083333333333329</v>
      </c>
      <c r="F51" s="184"/>
      <c r="H51" s="189" t="s">
        <v>85</v>
      </c>
      <c r="I51" s="140" t="e">
        <f>I49/I40</f>
        <v>#DIV/0!</v>
      </c>
      <c r="J51" s="135">
        <f>J49/J40</f>
        <v>125.87071377809275</v>
      </c>
      <c r="K51" s="136" t="s">
        <v>82</v>
      </c>
    </row>
    <row r="52" spans="1:11" ht="13.5" thickBot="1">
      <c r="A52" s="760" t="s">
        <v>28</v>
      </c>
      <c r="B52" s="761"/>
      <c r="C52" s="143">
        <f>SUM(C38:C51)</f>
        <v>1440</v>
      </c>
      <c r="D52" s="143">
        <f>SUM(D38:D51)</f>
        <v>8104</v>
      </c>
      <c r="E52" s="144">
        <f>SUM(E38:E51)</f>
        <v>135.06666666666666</v>
      </c>
      <c r="F52" s="184"/>
      <c r="H52" s="190"/>
      <c r="I52" s="191"/>
      <c r="J52" s="137"/>
      <c r="K52" s="138"/>
    </row>
    <row r="53" spans="1:11" ht="13.5" thickBot="1">
      <c r="A53" s="762"/>
      <c r="B53" s="763"/>
      <c r="C53" s="145">
        <f>C52/(24*60)</f>
        <v>1</v>
      </c>
      <c r="D53" s="145">
        <f>D52/(24*60*G4)</f>
        <v>0.28138888888888891</v>
      </c>
      <c r="E53" s="146">
        <f>E52/(G4*24)</f>
        <v>0.28138888888888886</v>
      </c>
      <c r="F53" s="184"/>
    </row>
    <row r="54" spans="1:11">
      <c r="E54" s="192"/>
      <c r="F54" s="184"/>
    </row>
    <row r="55" spans="1:11">
      <c r="E55" s="192"/>
    </row>
    <row r="56" spans="1:11">
      <c r="A56" s="193" t="s">
        <v>86</v>
      </c>
      <c r="B56" s="194"/>
      <c r="C56" s="195"/>
      <c r="D56" s="195"/>
      <c r="E56" s="195"/>
      <c r="F56" s="196"/>
      <c r="G56" s="195"/>
      <c r="H56" s="197"/>
      <c r="I56" s="198" t="s">
        <v>87</v>
      </c>
      <c r="J56" s="199">
        <f>+D34+'19'!J56</f>
        <v>1116</v>
      </c>
      <c r="K56" s="200">
        <f>J56/(J40+J56/1000)/1000</f>
        <v>1.8169592633174485E-3</v>
      </c>
    </row>
    <row r="57" spans="1:11">
      <c r="A57" s="175"/>
      <c r="I57" s="198" t="s">
        <v>88</v>
      </c>
      <c r="J57" s="199">
        <f>+E34+'19'!J57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1:B51"/>
    <mergeCell ref="A52:B52"/>
    <mergeCell ref="A53:B53"/>
    <mergeCell ref="A47:B47"/>
    <mergeCell ref="A48:B48"/>
    <mergeCell ref="A49:B49"/>
    <mergeCell ref="A50:B50"/>
    <mergeCell ref="A46:B46"/>
    <mergeCell ref="A39:B39"/>
    <mergeCell ref="A40:B40"/>
    <mergeCell ref="A41:B41"/>
    <mergeCell ref="A42:B42"/>
    <mergeCell ref="A7:A14"/>
    <mergeCell ref="I7:I14"/>
    <mergeCell ref="A43:B43"/>
    <mergeCell ref="A44:B44"/>
    <mergeCell ref="A45:B45"/>
    <mergeCell ref="A37:B37"/>
    <mergeCell ref="A38:B38"/>
    <mergeCell ref="A24:A32"/>
    <mergeCell ref="I24:I31"/>
    <mergeCell ref="A15:A23"/>
    <mergeCell ref="I15:I22"/>
    <mergeCell ref="A34:B34"/>
  </mergeCells>
  <phoneticPr fontId="32" type="noConversion"/>
  <printOptions horizontalCentered="1"/>
  <pageMargins left="0.74791666666666667" right="0.74791666666666667" top="0.39027777777777778" bottom="0.59027777777777779" header="0" footer="0"/>
  <pageSetup paperSize="9" scale="61" firstPageNumber="4294963191" orientation="landscape"/>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topLeftCell="A4" zoomScale="80" zoomScaleNormal="80" workbookViewId="0">
      <selection activeCell="G19" sqref="G19"/>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4.140625" style="148" customWidth="1"/>
    <col min="14" max="14" width="10.140625" style="148" bestFit="1" customWidth="1"/>
    <col min="15" max="16384" width="9.140625" style="148"/>
  </cols>
  <sheetData>
    <row r="1" spans="1:13" ht="15.75">
      <c r="A1" s="147"/>
    </row>
    <row r="2" spans="1:13" ht="15.75">
      <c r="A2" s="147" t="s">
        <v>182</v>
      </c>
    </row>
    <row r="3" spans="1:13" ht="15">
      <c r="A3" s="149"/>
    </row>
    <row r="4" spans="1:13" ht="20.25">
      <c r="A4" s="150" t="s">
        <v>3</v>
      </c>
      <c r="B4" s="151"/>
      <c r="F4" s="152" t="s">
        <v>29</v>
      </c>
      <c r="G4" s="153">
        <v>19</v>
      </c>
      <c r="H4" s="153" t="str">
        <f>+'1'!H4</f>
        <v>.03.26</v>
      </c>
      <c r="J4" s="148">
        <f>426.1+347.3+332.5</f>
        <v>1105.9000000000001</v>
      </c>
    </row>
    <row r="5" spans="1:13" ht="13.5" thickBot="1">
      <c r="C5" s="154"/>
      <c r="D5" s="154"/>
    </row>
    <row r="6" spans="1:13"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row>
    <row r="7" spans="1:13" ht="13.5" customHeight="1" thickBot="1">
      <c r="A7" s="770" t="s">
        <v>457</v>
      </c>
      <c r="B7" s="214" t="s">
        <v>623</v>
      </c>
      <c r="C7" s="215"/>
      <c r="D7" s="216"/>
      <c r="E7" s="217"/>
      <c r="F7" s="583"/>
      <c r="G7" s="584" t="s">
        <v>12</v>
      </c>
      <c r="H7" s="585" t="s">
        <v>412</v>
      </c>
      <c r="I7" s="773" t="s">
        <v>491</v>
      </c>
      <c r="J7" s="213" t="str">
        <f>+'18'!J7</f>
        <v>F 12 VP OW</v>
      </c>
      <c r="K7" s="237"/>
      <c r="L7" s="241"/>
      <c r="M7" s="116">
        <f>+K7+'18'!M7+L7</f>
        <v>136522</v>
      </c>
    </row>
    <row r="8" spans="1:13" ht="13.5" thickBot="1">
      <c r="A8" s="771"/>
      <c r="B8" s="214"/>
      <c r="C8" s="215"/>
      <c r="D8" s="216"/>
      <c r="E8" s="218"/>
      <c r="F8" s="230"/>
      <c r="G8" s="586" t="s">
        <v>12</v>
      </c>
      <c r="H8" s="587" t="s">
        <v>283</v>
      </c>
      <c r="I8" s="774"/>
      <c r="J8" s="213" t="str">
        <f>+'18'!J8</f>
        <v>F 14 VP OW</v>
      </c>
      <c r="K8" s="238"/>
      <c r="L8" s="238"/>
      <c r="M8" s="116">
        <f>+K8+'18'!M8+L8</f>
        <v>89126</v>
      </c>
    </row>
    <row r="9" spans="1:13" ht="13.5" thickBot="1">
      <c r="A9" s="771"/>
      <c r="B9" s="214"/>
      <c r="C9" s="215"/>
      <c r="D9" s="216"/>
      <c r="E9" s="219"/>
      <c r="F9" s="227"/>
      <c r="G9" s="586" t="s">
        <v>12</v>
      </c>
      <c r="H9" s="587" t="s">
        <v>411</v>
      </c>
      <c r="I9" s="774"/>
      <c r="J9" s="213" t="str">
        <f>+'18'!J9</f>
        <v>F 16 VP OW</v>
      </c>
      <c r="K9" s="238"/>
      <c r="L9" s="238"/>
      <c r="M9" s="116">
        <f>+K9+'18'!M9+L9</f>
        <v>104726</v>
      </c>
    </row>
    <row r="10" spans="1:13" ht="13.5" thickBot="1">
      <c r="A10" s="771"/>
      <c r="B10" s="214"/>
      <c r="C10" s="215"/>
      <c r="D10" s="216"/>
      <c r="E10" s="218"/>
      <c r="F10" s="227"/>
      <c r="G10" s="236" t="s">
        <v>13</v>
      </c>
      <c r="H10" s="587" t="s">
        <v>685</v>
      </c>
      <c r="I10" s="774"/>
      <c r="J10" s="213" t="str">
        <f>+'18'!J10</f>
        <v>F 13,5 VP OW</v>
      </c>
      <c r="K10" s="238"/>
      <c r="L10" s="238"/>
      <c r="M10" s="116">
        <f>+K10+'18'!M10+L10</f>
        <v>10827</v>
      </c>
    </row>
    <row r="11" spans="1:13" ht="128.25" thickBot="1">
      <c r="A11" s="771"/>
      <c r="B11" s="214"/>
      <c r="C11" s="215"/>
      <c r="D11" s="216"/>
      <c r="E11" s="218"/>
      <c r="F11" s="588">
        <v>480</v>
      </c>
      <c r="G11" s="586" t="s">
        <v>675</v>
      </c>
      <c r="H11" s="587" t="s">
        <v>671</v>
      </c>
      <c r="I11" s="774"/>
      <c r="J11" s="213" t="str">
        <f>+'18'!J11</f>
        <v>F 13 VP OW</v>
      </c>
      <c r="K11" s="238"/>
      <c r="L11" s="238"/>
      <c r="M11" s="116">
        <f>+K11+'18'!M11+L11</f>
        <v>19832</v>
      </c>
    </row>
    <row r="12" spans="1:13" ht="13.5" thickBot="1">
      <c r="A12" s="771"/>
      <c r="B12" s="214"/>
      <c r="C12" s="215"/>
      <c r="D12" s="216"/>
      <c r="E12" s="218"/>
      <c r="F12" s="235"/>
      <c r="G12" s="586"/>
      <c r="H12" s="587"/>
      <c r="I12" s="774"/>
      <c r="J12" s="213" t="str">
        <f>+'18'!J12</f>
        <v>T 14 VP OW</v>
      </c>
      <c r="K12" s="238"/>
      <c r="L12" s="238"/>
      <c r="M12" s="116">
        <f>+K12+'18'!M12+L12</f>
        <v>10448</v>
      </c>
    </row>
    <row r="13" spans="1:13" ht="13.5" thickBot="1">
      <c r="A13" s="771"/>
      <c r="B13" s="214"/>
      <c r="C13" s="215"/>
      <c r="D13" s="215"/>
      <c r="E13" s="218"/>
      <c r="F13" s="235"/>
      <c r="G13" s="586"/>
      <c r="H13" s="587"/>
      <c r="I13" s="774"/>
      <c r="J13" s="213" t="str">
        <f>+'18'!J13</f>
        <v>F 11,5 VP OW</v>
      </c>
      <c r="K13" s="238"/>
      <c r="L13" s="238"/>
      <c r="M13" s="116">
        <f>+K13+'18'!M13+L13</f>
        <v>53931</v>
      </c>
    </row>
    <row r="14" spans="1:13" ht="13.5" thickBot="1">
      <c r="A14" s="772"/>
      <c r="B14" s="164" t="s">
        <v>2</v>
      </c>
      <c r="C14" s="98">
        <f>SUM(C7:C13)</f>
        <v>0</v>
      </c>
      <c r="D14" s="110">
        <f>SUM(D7:D13)</f>
        <v>0</v>
      </c>
      <c r="E14" s="111">
        <f>SUM(E5:E13)</f>
        <v>0</v>
      </c>
      <c r="F14" s="589"/>
      <c r="G14" s="590"/>
      <c r="H14" s="591"/>
      <c r="I14" s="775"/>
      <c r="J14" s="213" t="str">
        <f>+'18'!J14</f>
        <v>F 12,5 VP OW</v>
      </c>
      <c r="K14" s="238"/>
      <c r="L14" s="238"/>
      <c r="M14" s="116">
        <f>+K14+'18'!M14+L14</f>
        <v>10132</v>
      </c>
    </row>
    <row r="15" spans="1:13" ht="13.5" customHeight="1" thickBot="1">
      <c r="A15" s="770" t="s">
        <v>687</v>
      </c>
      <c r="B15" s="164"/>
      <c r="C15" s="112" t="e">
        <f>C14/($C$23+$D$23+$E$23)</f>
        <v>#DIV/0!</v>
      </c>
      <c r="D15" s="113" t="e">
        <f>D14/($C$23+$D$23+$E$23)</f>
        <v>#DIV/0!</v>
      </c>
      <c r="E15" s="114" t="e">
        <f>E14/($C$23+$D$23+$E$23)</f>
        <v>#DIV/0!</v>
      </c>
      <c r="F15" s="580"/>
      <c r="G15" s="581" t="s">
        <v>12</v>
      </c>
      <c r="H15" s="582" t="s">
        <v>412</v>
      </c>
      <c r="I15" s="773" t="s">
        <v>491</v>
      </c>
      <c r="J15" s="213" t="str">
        <f>+'18'!J15</f>
        <v>T 13 VP OW</v>
      </c>
      <c r="K15" s="238"/>
      <c r="L15" s="238"/>
      <c r="M15" s="116">
        <f>+K15+'18'!M15+L15</f>
        <v>124865</v>
      </c>
    </row>
    <row r="16" spans="1:13" ht="13.5" thickBot="1">
      <c r="A16" s="776"/>
      <c r="B16" s="214" t="s">
        <v>623</v>
      </c>
      <c r="C16" s="221"/>
      <c r="D16" s="222"/>
      <c r="E16" s="223"/>
      <c r="F16" s="230"/>
      <c r="G16" s="231" t="s">
        <v>12</v>
      </c>
      <c r="H16" s="229" t="s">
        <v>283</v>
      </c>
      <c r="I16" s="774"/>
      <c r="J16" s="213" t="str">
        <f>+'18'!J16</f>
        <v>T 12,5 VP OW</v>
      </c>
      <c r="K16" s="228">
        <f>+C34</f>
        <v>0</v>
      </c>
      <c r="L16" s="228"/>
      <c r="M16" s="116">
        <f>+K16+'18'!M16+L16</f>
        <v>52688</v>
      </c>
    </row>
    <row r="17" spans="1:13" ht="13.5" thickBot="1">
      <c r="A17" s="776"/>
      <c r="B17" s="214"/>
      <c r="C17" s="215"/>
      <c r="D17" s="216"/>
      <c r="E17" s="224"/>
      <c r="F17" s="227"/>
      <c r="G17" s="231" t="s">
        <v>12</v>
      </c>
      <c r="H17" s="232" t="s">
        <v>411</v>
      </c>
      <c r="I17" s="774"/>
      <c r="J17" s="213">
        <f>+'18'!J17</f>
        <v>0</v>
      </c>
      <c r="K17" s="228"/>
      <c r="L17" s="228"/>
      <c r="M17" s="116">
        <f>+K17+'18'!M17+L17</f>
        <v>0</v>
      </c>
    </row>
    <row r="18" spans="1:13" ht="13.5" thickBot="1">
      <c r="A18" s="776"/>
      <c r="B18" s="214"/>
      <c r="C18" s="215"/>
      <c r="D18" s="216"/>
      <c r="E18" s="224"/>
      <c r="F18" s="227"/>
      <c r="G18" s="236" t="s">
        <v>13</v>
      </c>
      <c r="H18" s="232" t="s">
        <v>685</v>
      </c>
      <c r="I18" s="774"/>
      <c r="J18" s="213">
        <f>+'18'!J18</f>
        <v>0</v>
      </c>
      <c r="K18" s="238"/>
      <c r="L18" s="238"/>
      <c r="M18" s="116">
        <f>+K18+'18'!M18+L18</f>
        <v>0</v>
      </c>
    </row>
    <row r="19" spans="1:13" ht="128.25" thickBot="1">
      <c r="A19" s="776"/>
      <c r="B19" s="214"/>
      <c r="C19" s="215"/>
      <c r="D19" s="216"/>
      <c r="E19" s="224"/>
      <c r="F19" s="234">
        <v>480</v>
      </c>
      <c r="G19" s="231" t="s">
        <v>675</v>
      </c>
      <c r="H19" s="232" t="s">
        <v>671</v>
      </c>
      <c r="I19" s="774"/>
      <c r="J19" s="213">
        <f>+'18'!J19</f>
        <v>0</v>
      </c>
      <c r="K19" s="238"/>
      <c r="L19" s="238"/>
      <c r="M19" s="116">
        <f>+K19+'18'!M19+L19</f>
        <v>0</v>
      </c>
    </row>
    <row r="20" spans="1:13" ht="13.5" thickBot="1">
      <c r="A20" s="776"/>
      <c r="B20" s="214"/>
      <c r="C20" s="215"/>
      <c r="D20" s="216"/>
      <c r="E20" s="224"/>
      <c r="F20" s="235"/>
      <c r="G20" s="231"/>
      <c r="H20" s="232"/>
      <c r="I20" s="774"/>
      <c r="J20" s="213">
        <f>+'18'!J20</f>
        <v>0</v>
      </c>
      <c r="K20" s="239"/>
      <c r="L20" s="239"/>
      <c r="M20" s="116">
        <f>+K20+'18'!M20+L20</f>
        <v>0</v>
      </c>
    </row>
    <row r="21" spans="1:13" ht="13.5" thickBot="1">
      <c r="A21" s="776"/>
      <c r="B21" s="214"/>
      <c r="C21" s="215"/>
      <c r="D21" s="216"/>
      <c r="E21" s="224"/>
      <c r="F21" s="235"/>
      <c r="G21" s="231"/>
      <c r="H21" s="232"/>
      <c r="I21" s="774"/>
      <c r="J21" s="213">
        <f>+'18'!J21</f>
        <v>0</v>
      </c>
      <c r="K21" s="238"/>
      <c r="L21" s="238"/>
      <c r="M21" s="116">
        <f>+K21+'18'!M21+L21</f>
        <v>0</v>
      </c>
    </row>
    <row r="22" spans="1:13" ht="13.5" thickBot="1">
      <c r="A22" s="776"/>
      <c r="B22" s="214"/>
      <c r="C22" s="215"/>
      <c r="D22" s="216"/>
      <c r="E22" s="224"/>
      <c r="F22" s="235"/>
      <c r="G22" s="236"/>
      <c r="H22" s="443"/>
      <c r="I22" s="775"/>
      <c r="J22" s="213">
        <f>+'18'!J22</f>
        <v>0</v>
      </c>
      <c r="K22" s="238"/>
      <c r="L22" s="238"/>
      <c r="M22" s="116">
        <f>+K22+'18'!M22+L22</f>
        <v>0</v>
      </c>
    </row>
    <row r="23" spans="1:13" ht="13.5" thickBot="1">
      <c r="A23" s="777"/>
      <c r="B23" s="167" t="s">
        <v>2</v>
      </c>
      <c r="C23" s="99">
        <f>SUM(C16:C22)</f>
        <v>0</v>
      </c>
      <c r="D23" s="110">
        <f>SUM(D16:D22)</f>
        <v>0</v>
      </c>
      <c r="E23" s="111">
        <f>SUM(E18:E22)</f>
        <v>0</v>
      </c>
      <c r="F23" s="115">
        <f>SUM(F15:F22)</f>
        <v>480</v>
      </c>
      <c r="G23" s="158"/>
      <c r="H23" s="165"/>
      <c r="I23" s="168"/>
      <c r="J23" s="213">
        <f>+'18'!J23</f>
        <v>0</v>
      </c>
      <c r="K23" s="238"/>
      <c r="L23" s="238"/>
      <c r="M23" s="116">
        <f>+K23+'18'!M23+L23</f>
        <v>0</v>
      </c>
    </row>
    <row r="24" spans="1:13" ht="13.5" customHeight="1" thickBot="1">
      <c r="A24" s="770" t="s">
        <v>686</v>
      </c>
      <c r="B24" s="169"/>
      <c r="C24" s="112" t="e">
        <f>C23/($C$23+$D$23+$E$23)</f>
        <v>#DIV/0!</v>
      </c>
      <c r="D24" s="113" t="e">
        <f>D23/($C$23+$D$23+$E$23)</f>
        <v>#DIV/0!</v>
      </c>
      <c r="E24" s="114" t="e">
        <f>E23/($C$23+$D$23+$E$23)</f>
        <v>#DIV/0!</v>
      </c>
      <c r="F24" s="227"/>
      <c r="G24" s="228" t="s">
        <v>12</v>
      </c>
      <c r="H24" s="229" t="s">
        <v>412</v>
      </c>
      <c r="I24" s="773" t="s">
        <v>491</v>
      </c>
      <c r="J24" s="213">
        <f>+'18'!J24</f>
        <v>0</v>
      </c>
      <c r="K24" s="238"/>
      <c r="L24" s="238"/>
      <c r="M24" s="116">
        <f>+K24+'18'!M24+L24</f>
        <v>0</v>
      </c>
    </row>
    <row r="25" spans="1:13" ht="13.5" thickBot="1">
      <c r="A25" s="776"/>
      <c r="B25" s="214" t="s">
        <v>623</v>
      </c>
      <c r="C25" s="225"/>
      <c r="D25" s="216"/>
      <c r="E25" s="224"/>
      <c r="F25" s="230"/>
      <c r="G25" s="231" t="s">
        <v>12</v>
      </c>
      <c r="H25" s="229" t="s">
        <v>283</v>
      </c>
      <c r="I25" s="774"/>
      <c r="J25" s="213">
        <f>+'18'!J25</f>
        <v>0</v>
      </c>
      <c r="K25" s="238"/>
      <c r="L25" s="238"/>
      <c r="M25" s="116">
        <f>+K25+'18'!M25+L25</f>
        <v>0</v>
      </c>
    </row>
    <row r="26" spans="1:13" ht="13.5" thickBot="1">
      <c r="A26" s="776"/>
      <c r="B26" s="214"/>
      <c r="C26" s="225"/>
      <c r="D26" s="216"/>
      <c r="E26" s="226"/>
      <c r="F26" s="227"/>
      <c r="G26" s="231" t="s">
        <v>12</v>
      </c>
      <c r="H26" s="232" t="s">
        <v>411</v>
      </c>
      <c r="I26" s="774"/>
      <c r="J26" s="213">
        <f>+'18'!J26</f>
        <v>0</v>
      </c>
      <c r="K26" s="238"/>
      <c r="L26" s="238"/>
      <c r="M26" s="116">
        <f>+K26+'18'!M26+L26</f>
        <v>0</v>
      </c>
    </row>
    <row r="27" spans="1:13" ht="13.5" thickBot="1">
      <c r="A27" s="776"/>
      <c r="B27" s="214"/>
      <c r="C27" s="215"/>
      <c r="D27" s="216"/>
      <c r="E27" s="224"/>
      <c r="F27" s="227"/>
      <c r="G27" s="236" t="s">
        <v>13</v>
      </c>
      <c r="H27" s="232" t="s">
        <v>685</v>
      </c>
      <c r="I27" s="774"/>
      <c r="J27" s="213">
        <f>+'18'!J27</f>
        <v>0</v>
      </c>
      <c r="K27" s="238"/>
      <c r="L27" s="238"/>
      <c r="M27" s="116">
        <f>+K27+'18'!M27+L27</f>
        <v>0</v>
      </c>
    </row>
    <row r="28" spans="1:13" ht="128.25" thickBot="1">
      <c r="A28" s="776"/>
      <c r="B28" s="214"/>
      <c r="C28" s="215"/>
      <c r="D28" s="216"/>
      <c r="E28" s="224"/>
      <c r="F28" s="234">
        <v>480</v>
      </c>
      <c r="G28" s="231" t="s">
        <v>675</v>
      </c>
      <c r="H28" s="232" t="s">
        <v>671</v>
      </c>
      <c r="I28" s="774"/>
      <c r="J28" s="213">
        <f>+'18'!J28</f>
        <v>0</v>
      </c>
      <c r="K28" s="238"/>
      <c r="L28" s="238"/>
      <c r="M28" s="116">
        <f>+K28+'18'!M28+L28</f>
        <v>0</v>
      </c>
    </row>
    <row r="29" spans="1:13" ht="13.5" thickBot="1">
      <c r="A29" s="776"/>
      <c r="B29" s="214"/>
      <c r="C29" s="215"/>
      <c r="D29" s="216"/>
      <c r="E29" s="224"/>
      <c r="F29" s="235"/>
      <c r="G29" s="231"/>
      <c r="H29" s="232"/>
      <c r="I29" s="774"/>
      <c r="J29" s="213">
        <f>+'18'!J29</f>
        <v>0</v>
      </c>
      <c r="K29" s="238"/>
      <c r="L29" s="238"/>
      <c r="M29" s="116">
        <f>+K29+'18'!M29+L29</f>
        <v>0</v>
      </c>
    </row>
    <row r="30" spans="1:13" ht="13.5" thickBot="1">
      <c r="A30" s="776"/>
      <c r="B30" s="214"/>
      <c r="C30" s="225"/>
      <c r="D30" s="216"/>
      <c r="E30" s="224"/>
      <c r="F30" s="235"/>
      <c r="G30" s="231"/>
      <c r="H30" s="232"/>
      <c r="I30" s="774"/>
      <c r="J30" s="213">
        <f>+'18'!J30</f>
        <v>0</v>
      </c>
      <c r="K30" s="238"/>
      <c r="L30" s="238"/>
      <c r="M30" s="116">
        <f>+K30+'18'!M30+L30</f>
        <v>0</v>
      </c>
    </row>
    <row r="31" spans="1:13" ht="13.5" thickBot="1">
      <c r="A31" s="776"/>
      <c r="B31" s="214"/>
      <c r="C31" s="225"/>
      <c r="D31" s="216"/>
      <c r="E31" s="224"/>
      <c r="F31" s="235"/>
      <c r="G31" s="236"/>
      <c r="H31" s="443"/>
      <c r="I31" s="775"/>
      <c r="J31" s="213">
        <f>+'18'!J31</f>
        <v>0</v>
      </c>
      <c r="K31" s="238"/>
      <c r="L31" s="238"/>
      <c r="M31" s="116">
        <f>+K31+'18'!M31+L31</f>
        <v>0</v>
      </c>
    </row>
    <row r="32" spans="1:13" ht="13.5" thickBot="1">
      <c r="A32" s="777"/>
      <c r="B32" s="164" t="s">
        <v>2</v>
      </c>
      <c r="C32" s="98">
        <f>SUM(C25:C31)</f>
        <v>0</v>
      </c>
      <c r="D32" s="99">
        <f>SUM(D25:D31)</f>
        <v>0</v>
      </c>
      <c r="E32" s="100">
        <f>SUM(E25:E31)</f>
        <v>0</v>
      </c>
      <c r="F32" s="101">
        <f>SUM(F24:F31)</f>
        <v>480</v>
      </c>
      <c r="G32" s="170"/>
      <c r="H32" s="171"/>
      <c r="I32" s="168"/>
      <c r="J32" s="213">
        <f>+'18'!J32</f>
        <v>0</v>
      </c>
      <c r="K32" s="240"/>
      <c r="L32" s="242"/>
      <c r="M32" s="116">
        <f>+K32+'18'!M32+L32</f>
        <v>0</v>
      </c>
    </row>
    <row r="33" spans="1:14" ht="13.5" thickBot="1">
      <c r="A33" s="172"/>
      <c r="B33" s="173"/>
      <c r="C33" s="102" t="e">
        <f>C32/($C$32+$D$32+$E$32)</f>
        <v>#DIV/0!</v>
      </c>
      <c r="D33" s="103" t="e">
        <f>D32/($C$32+$D$32+$E$32)</f>
        <v>#DIV/0!</v>
      </c>
      <c r="E33" s="104" t="e">
        <f>E32/($C$32+$D$32+$E$32)</f>
        <v>#DIV/0!</v>
      </c>
      <c r="F33" s="105"/>
      <c r="G33" s="174"/>
      <c r="H33" s="175"/>
      <c r="I33" s="176"/>
      <c r="J33" s="120"/>
      <c r="K33" s="121"/>
      <c r="L33" s="212"/>
      <c r="M33" s="118"/>
    </row>
    <row r="34" spans="1:14" ht="13.5" thickBot="1">
      <c r="A34" s="766" t="s">
        <v>57</v>
      </c>
      <c r="B34" s="767"/>
      <c r="C34" s="106">
        <f>C14+C23+C32</f>
        <v>0</v>
      </c>
      <c r="D34" s="106">
        <f>D14+D23+D32</f>
        <v>0</v>
      </c>
      <c r="E34" s="106">
        <f>E14+E23+E32</f>
        <v>0</v>
      </c>
      <c r="F34" s="107">
        <f>F14+F23+F32</f>
        <v>960</v>
      </c>
      <c r="H34" s="177"/>
      <c r="I34" s="177"/>
      <c r="J34" s="122" t="s">
        <v>28</v>
      </c>
      <c r="K34" s="123">
        <f>SUM(K7:K32)</f>
        <v>0</v>
      </c>
      <c r="L34" s="211">
        <f>SUM(L7:L32)</f>
        <v>0</v>
      </c>
      <c r="M34" s="119">
        <f>SUM(M7:M32)</f>
        <v>613097</v>
      </c>
      <c r="N34" s="154"/>
    </row>
    <row r="35" spans="1:14" ht="13.5" thickBot="1">
      <c r="A35" s="178"/>
      <c r="B35" s="179"/>
      <c r="C35" s="103" t="e">
        <f>C34/($C$34+$D$34+$E$34)</f>
        <v>#DIV/0!</v>
      </c>
      <c r="D35" s="103" t="e">
        <f>D34/($C$34+$D$34+$E$34)</f>
        <v>#DIV/0!</v>
      </c>
      <c r="E35" s="108" t="e">
        <f>E34/($C$34+$D$34+$E$34)</f>
        <v>#DIV/0!</v>
      </c>
      <c r="K35" s="154"/>
    </row>
    <row r="36" spans="1:14" ht="13.5" thickBot="1">
      <c r="A36" s="177"/>
      <c r="B36" s="177"/>
      <c r="C36" s="154"/>
      <c r="D36" s="154"/>
      <c r="E36" s="154"/>
      <c r="G36" s="154"/>
      <c r="H36" s="180" t="s">
        <v>226</v>
      </c>
      <c r="I36" s="161" t="s">
        <v>37</v>
      </c>
      <c r="J36" s="161" t="s">
        <v>38</v>
      </c>
      <c r="K36" s="181"/>
    </row>
    <row r="37" spans="1:14" ht="17.45" customHeight="1" thickBot="1">
      <c r="A37" s="768" t="s">
        <v>58</v>
      </c>
      <c r="B37" s="769"/>
      <c r="C37" s="161" t="s">
        <v>59</v>
      </c>
      <c r="D37" s="182" t="s">
        <v>60</v>
      </c>
      <c r="E37" s="183" t="s">
        <v>61</v>
      </c>
      <c r="F37" s="321"/>
      <c r="G37" s="323"/>
      <c r="H37" s="185" t="s">
        <v>62</v>
      </c>
      <c r="I37" s="243">
        <f>(10.3*1440)/1440*G42*2.74*1440/1000000</f>
        <v>0</v>
      </c>
      <c r="J37" s="124">
        <f>+I37+'18'!J37</f>
        <v>720.38915342322991</v>
      </c>
      <c r="K37" s="125" t="s">
        <v>63</v>
      </c>
    </row>
    <row r="38" spans="1:14" ht="17.45" customHeight="1">
      <c r="A38" s="760" t="s">
        <v>12</v>
      </c>
      <c r="B38" s="761"/>
      <c r="C38" s="163">
        <f>SUMIF($G$7:$G$31,"Process",$F$7:$F$31)</f>
        <v>0</v>
      </c>
      <c r="D38" s="117">
        <f>+C38+'18'!D38</f>
        <v>1260</v>
      </c>
      <c r="E38" s="142">
        <f t="shared" ref="E38:E51" si="0">D38/60</f>
        <v>21</v>
      </c>
      <c r="F38" s="321"/>
      <c r="G38" s="321"/>
      <c r="H38" s="186" t="s">
        <v>64</v>
      </c>
      <c r="I38" s="244"/>
      <c r="J38" s="126">
        <f>+I38+'18'!J38</f>
        <v>632.20499999999993</v>
      </c>
      <c r="K38" s="127" t="s">
        <v>63</v>
      </c>
    </row>
    <row r="39" spans="1:14" ht="17.45" customHeight="1">
      <c r="A39" s="764" t="s">
        <v>13</v>
      </c>
      <c r="B39" s="765"/>
      <c r="C39" s="163">
        <f>SUMIF($G$7:$G$31,"Cleaning",$F$7:$F$31)</f>
        <v>0</v>
      </c>
      <c r="D39" s="117">
        <f>+C39+'18'!D39</f>
        <v>0</v>
      </c>
      <c r="E39" s="142">
        <f t="shared" si="0"/>
        <v>0</v>
      </c>
      <c r="F39" s="321"/>
      <c r="G39" s="321"/>
      <c r="H39" s="186" t="s">
        <v>65</v>
      </c>
      <c r="I39" s="141"/>
      <c r="J39" s="128">
        <f>J37/G4</f>
        <v>37.915218601222627</v>
      </c>
      <c r="K39" s="129" t="s">
        <v>63</v>
      </c>
    </row>
    <row r="40" spans="1:14" ht="17.45" customHeight="1">
      <c r="A40" s="764" t="s">
        <v>66</v>
      </c>
      <c r="B40" s="765"/>
      <c r="C40" s="163">
        <f>SUMIF($G$7:$G$31,"Mechanical",$F$7:$F$31)</f>
        <v>0</v>
      </c>
      <c r="D40" s="117">
        <f>+C40+'18'!D40</f>
        <v>0</v>
      </c>
      <c r="E40" s="142">
        <f t="shared" si="0"/>
        <v>0</v>
      </c>
      <c r="F40" s="321"/>
      <c r="G40" s="321"/>
      <c r="H40" s="186" t="s">
        <v>67</v>
      </c>
      <c r="I40" s="117">
        <f>(K34+L34)/1000</f>
        <v>0</v>
      </c>
      <c r="J40" s="130">
        <f>+I40+'18'!J40</f>
        <v>613.09699999999998</v>
      </c>
      <c r="K40" s="129" t="s">
        <v>63</v>
      </c>
    </row>
    <row r="41" spans="1:14" ht="17.45" customHeight="1">
      <c r="A41" s="764" t="s">
        <v>68</v>
      </c>
      <c r="B41" s="765"/>
      <c r="C41" s="163">
        <f>SUMIF($G$7:$G$31,"Electrical",$F$7:$F$31)</f>
        <v>0</v>
      </c>
      <c r="D41" s="117">
        <f>+C41+'18'!D41</f>
        <v>311</v>
      </c>
      <c r="E41" s="142">
        <f t="shared" si="0"/>
        <v>5.1833333333333336</v>
      </c>
      <c r="F41" s="321"/>
      <c r="G41" s="321"/>
      <c r="H41" s="186" t="s">
        <v>69</v>
      </c>
      <c r="I41" s="141"/>
      <c r="J41" s="128">
        <f>J40/G4</f>
        <v>32.268263157894737</v>
      </c>
      <c r="K41" s="129" t="s">
        <v>63</v>
      </c>
    </row>
    <row r="42" spans="1:14" ht="17.45" customHeight="1">
      <c r="A42" s="764" t="s">
        <v>16</v>
      </c>
      <c r="B42" s="765"/>
      <c r="C42" s="163">
        <f>SUMIF($G$7:$G$31,"Instrument",$F$7:$F$31)</f>
        <v>0</v>
      </c>
      <c r="D42" s="117">
        <f>+C42+'18'!D42</f>
        <v>0</v>
      </c>
      <c r="E42" s="142">
        <f t="shared" si="0"/>
        <v>0</v>
      </c>
      <c r="F42" s="321"/>
      <c r="G42" s="321"/>
      <c r="H42" s="186" t="s">
        <v>70</v>
      </c>
      <c r="I42" s="245"/>
      <c r="J42" s="131"/>
      <c r="K42" s="129" t="s">
        <v>71</v>
      </c>
    </row>
    <row r="43" spans="1:14" ht="17.45" customHeight="1">
      <c r="A43" s="764" t="s">
        <v>72</v>
      </c>
      <c r="B43" s="765"/>
      <c r="C43" s="163">
        <f>SUMIF($G$7:$G$31,"Water",$F$7:$F$31)</f>
        <v>0</v>
      </c>
      <c r="D43" s="117">
        <f>+C43+'18'!D43</f>
        <v>0</v>
      </c>
      <c r="E43" s="142">
        <f t="shared" si="0"/>
        <v>0</v>
      </c>
      <c r="F43" s="321"/>
      <c r="G43" s="322"/>
      <c r="H43" s="187" t="s">
        <v>73</v>
      </c>
      <c r="I43" s="117">
        <f>+Report1!Z27</f>
        <v>3.2</v>
      </c>
      <c r="J43" s="132">
        <f>+I43+'18'!J43</f>
        <v>858.00000000000011</v>
      </c>
      <c r="K43" s="129" t="s">
        <v>63</v>
      </c>
      <c r="L43" s="188"/>
    </row>
    <row r="44" spans="1:14" ht="17.45" customHeight="1">
      <c r="A44" s="764" t="s">
        <v>17</v>
      </c>
      <c r="B44" s="765"/>
      <c r="C44" s="163">
        <f>SUMIF($G$7:$G$31,"PLN",$F$7:$F$31)</f>
        <v>0</v>
      </c>
      <c r="D44" s="117">
        <f>+C44+'18'!D44</f>
        <v>0</v>
      </c>
      <c r="E44" s="142">
        <f t="shared" si="0"/>
        <v>0</v>
      </c>
      <c r="F44" s="321"/>
      <c r="G44" s="322"/>
      <c r="H44" s="187" t="s">
        <v>74</v>
      </c>
      <c r="I44" s="117" t="e">
        <f>I43/I38</f>
        <v>#DIV/0!</v>
      </c>
      <c r="J44" s="133">
        <f>J43/J38</f>
        <v>1.3571547203834202</v>
      </c>
      <c r="K44" s="129" t="s">
        <v>63</v>
      </c>
    </row>
    <row r="45" spans="1:14" ht="17.45" customHeight="1">
      <c r="A45" s="764" t="s">
        <v>18</v>
      </c>
      <c r="B45" s="765"/>
      <c r="C45" s="163">
        <f>SUMIF($G$7:$G$31,"Boiler",$F$7:$F$31)</f>
        <v>0</v>
      </c>
      <c r="D45" s="117">
        <f>+C45+'18'!D45</f>
        <v>0</v>
      </c>
      <c r="E45" s="142">
        <f t="shared" si="0"/>
        <v>0</v>
      </c>
      <c r="F45" s="321"/>
      <c r="G45" s="324"/>
      <c r="H45" s="187" t="s">
        <v>75</v>
      </c>
      <c r="I45" s="117" t="e">
        <f>I43/I40</f>
        <v>#DIV/0!</v>
      </c>
      <c r="J45" s="133">
        <f>J43/J40</f>
        <v>1.3994522889526455</v>
      </c>
      <c r="K45" s="129" t="s">
        <v>63</v>
      </c>
    </row>
    <row r="46" spans="1:14" ht="17.45" customHeight="1">
      <c r="A46" s="764" t="s">
        <v>76</v>
      </c>
      <c r="B46" s="765"/>
      <c r="C46" s="163">
        <f>SUMIF($G$7:$G$31,"Gas",$F$7:$F$31)</f>
        <v>0</v>
      </c>
      <c r="D46" s="117">
        <f>+C46+'18'!D46</f>
        <v>0</v>
      </c>
      <c r="E46" s="142">
        <f t="shared" si="0"/>
        <v>0</v>
      </c>
      <c r="F46" s="321"/>
      <c r="G46" s="322"/>
      <c r="H46" s="187" t="s">
        <v>77</v>
      </c>
      <c r="I46" s="139">
        <f>+SUMIF(Listrik!P26,"&gt;0")</f>
        <v>3665.1600000003637</v>
      </c>
      <c r="J46" s="134">
        <f>+I46+'18'!J46</f>
        <v>579881.17999999993</v>
      </c>
      <c r="K46" s="129" t="s">
        <v>78</v>
      </c>
    </row>
    <row r="47" spans="1:14" ht="17.45" customHeight="1">
      <c r="A47" s="764" t="s">
        <v>79</v>
      </c>
      <c r="B47" s="765"/>
      <c r="C47" s="163">
        <f>SUMIF($G$7:$G$31,"Gas",$F$7:$F$31)</f>
        <v>0</v>
      </c>
      <c r="D47" s="117">
        <f>+C47+'18'!D47</f>
        <v>0</v>
      </c>
      <c r="E47" s="142">
        <f t="shared" si="0"/>
        <v>0</v>
      </c>
      <c r="F47" s="321"/>
      <c r="G47" s="322"/>
      <c r="H47" s="187" t="s">
        <v>80</v>
      </c>
      <c r="I47" s="117" t="e">
        <f>I46/I38</f>
        <v>#DIV/0!</v>
      </c>
      <c r="J47" s="134">
        <f>J46/J38</f>
        <v>917.23599149010215</v>
      </c>
      <c r="K47" s="129" t="s">
        <v>24</v>
      </c>
    </row>
    <row r="48" spans="1:14" ht="17.45" customHeight="1">
      <c r="A48" s="764" t="s">
        <v>14</v>
      </c>
      <c r="B48" s="765"/>
      <c r="C48" s="163">
        <f>SUMIF($G$7:$G$31,"Start Up",$F$7:$F$31)</f>
        <v>0</v>
      </c>
      <c r="D48" s="117">
        <f>+C48+'18'!D48</f>
        <v>0</v>
      </c>
      <c r="E48" s="142">
        <f t="shared" si="0"/>
        <v>0</v>
      </c>
      <c r="F48" s="321"/>
      <c r="G48" s="322"/>
      <c r="H48" s="187" t="s">
        <v>81</v>
      </c>
      <c r="I48" s="117" t="e">
        <f>I46/I40</f>
        <v>#DIV/0!</v>
      </c>
      <c r="J48" s="134">
        <f>J46/J40</f>
        <v>945.82289588760011</v>
      </c>
      <c r="K48" s="129" t="s">
        <v>24</v>
      </c>
    </row>
    <row r="49" spans="1:11" ht="17.45" customHeight="1">
      <c r="A49" s="764" t="s">
        <v>20</v>
      </c>
      <c r="B49" s="765"/>
      <c r="C49" s="163">
        <f>SUMIF($G$7:$G$31,"Others",$F$7:$F$31)</f>
        <v>0</v>
      </c>
      <c r="D49" s="117">
        <f>+C49+'18'!D49</f>
        <v>948</v>
      </c>
      <c r="E49" s="142">
        <f t="shared" si="0"/>
        <v>15.8</v>
      </c>
      <c r="F49" s="184"/>
      <c r="H49" s="187" t="s">
        <v>268</v>
      </c>
      <c r="I49" s="117">
        <f>+Report1!T27</f>
        <v>0</v>
      </c>
      <c r="J49" s="134">
        <f>+I49+'18'!J49</f>
        <v>77170.957005207325</v>
      </c>
      <c r="K49" s="129" t="s">
        <v>82</v>
      </c>
    </row>
    <row r="50" spans="1:11" ht="17.45" customHeight="1">
      <c r="A50" s="764" t="s">
        <v>19</v>
      </c>
      <c r="B50" s="765"/>
      <c r="C50" s="163">
        <f>SUMIF($G$7:$G$31,"Steam",$F$7:$F$31)</f>
        <v>0</v>
      </c>
      <c r="D50" s="117">
        <f>+C50+'18'!D50</f>
        <v>0</v>
      </c>
      <c r="E50" s="142">
        <f t="shared" si="0"/>
        <v>0</v>
      </c>
      <c r="F50" s="184"/>
      <c r="H50" s="187" t="s">
        <v>83</v>
      </c>
      <c r="I50" s="139" t="e">
        <f>I49/I38</f>
        <v>#DIV/0!</v>
      </c>
      <c r="J50" s="132">
        <f>J49/J38</f>
        <v>122.06635032182177</v>
      </c>
      <c r="K50" s="129" t="s">
        <v>82</v>
      </c>
    </row>
    <row r="51" spans="1:11" ht="17.45" customHeight="1" thickBot="1">
      <c r="A51" s="758" t="s">
        <v>84</v>
      </c>
      <c r="B51" s="759"/>
      <c r="C51" s="163">
        <f>SUMIF($G$7:$G$31,"Planned shut",$F$7:$F$31)</f>
        <v>1440</v>
      </c>
      <c r="D51" s="117">
        <f>+C51+'18'!D51</f>
        <v>4145</v>
      </c>
      <c r="E51" s="142">
        <f t="shared" si="0"/>
        <v>69.083333333333329</v>
      </c>
      <c r="F51" s="184"/>
      <c r="H51" s="189" t="s">
        <v>85</v>
      </c>
      <c r="I51" s="140" t="e">
        <f>I49/I40</f>
        <v>#DIV/0!</v>
      </c>
      <c r="J51" s="135">
        <f>J49/J40</f>
        <v>125.87071377809275</v>
      </c>
      <c r="K51" s="136" t="s">
        <v>82</v>
      </c>
    </row>
    <row r="52" spans="1:11" ht="13.5" thickBot="1">
      <c r="A52" s="760" t="s">
        <v>28</v>
      </c>
      <c r="B52" s="761"/>
      <c r="C52" s="143">
        <f>SUM(C38:C51)</f>
        <v>1440</v>
      </c>
      <c r="D52" s="143">
        <f>SUM(D38:D51)</f>
        <v>6664</v>
      </c>
      <c r="E52" s="144">
        <f>SUM(E38:E51)</f>
        <v>111.06666666666666</v>
      </c>
      <c r="F52" s="184"/>
      <c r="H52" s="190"/>
      <c r="I52" s="191"/>
      <c r="J52" s="137"/>
      <c r="K52" s="138"/>
    </row>
    <row r="53" spans="1:11" ht="13.5" thickBot="1">
      <c r="A53" s="762"/>
      <c r="B53" s="763"/>
      <c r="C53" s="145">
        <f>C52/(24*60)</f>
        <v>1</v>
      </c>
      <c r="D53" s="145">
        <f>D52/(24*60*G4)</f>
        <v>0.24356725146198829</v>
      </c>
      <c r="E53" s="146">
        <f>E52/(G4*24)</f>
        <v>0.24356725146198829</v>
      </c>
      <c r="F53" s="184"/>
    </row>
    <row r="54" spans="1:11">
      <c r="E54" s="192"/>
      <c r="F54" s="184"/>
    </row>
    <row r="55" spans="1:11">
      <c r="E55" s="192"/>
    </row>
    <row r="56" spans="1:11">
      <c r="A56" s="193" t="s">
        <v>86</v>
      </c>
      <c r="B56" s="194"/>
      <c r="C56" s="195"/>
      <c r="D56" s="195"/>
      <c r="E56" s="195"/>
      <c r="F56" s="196"/>
      <c r="G56" s="195"/>
      <c r="H56" s="197"/>
      <c r="I56" s="198" t="s">
        <v>87</v>
      </c>
      <c r="J56" s="199">
        <f>+D34+'18'!J56</f>
        <v>1116</v>
      </c>
      <c r="K56" s="200">
        <f>J56/(J40+J56/1000)/1000</f>
        <v>1.8169592633174485E-3</v>
      </c>
    </row>
    <row r="57" spans="1:11">
      <c r="A57" s="175"/>
      <c r="I57" s="198" t="s">
        <v>88</v>
      </c>
      <c r="J57" s="199">
        <f>+E34+'18'!J57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I24:I31"/>
    <mergeCell ref="A7:A14"/>
    <mergeCell ref="A41:B41"/>
    <mergeCell ref="A15:A23"/>
    <mergeCell ref="I15:I22"/>
    <mergeCell ref="I7:I14"/>
    <mergeCell ref="A43:B43"/>
    <mergeCell ref="A44:B44"/>
    <mergeCell ref="A45:B45"/>
    <mergeCell ref="A24:A32"/>
    <mergeCell ref="A42:B42"/>
    <mergeCell ref="A34:B34"/>
    <mergeCell ref="A37:B37"/>
    <mergeCell ref="A38:B38"/>
    <mergeCell ref="A39:B39"/>
    <mergeCell ref="A40:B40"/>
    <mergeCell ref="A46:B46"/>
    <mergeCell ref="A52:B52"/>
    <mergeCell ref="A53:B53"/>
    <mergeCell ref="A47:B47"/>
    <mergeCell ref="A48:B48"/>
    <mergeCell ref="A49:B49"/>
    <mergeCell ref="A50:B50"/>
    <mergeCell ref="A51:B51"/>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zoomScale="80" zoomScaleNormal="80" workbookViewId="0">
      <selection activeCell="I7" sqref="I7:I31"/>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2.28515625" style="148"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5.140625" style="148" customWidth="1"/>
    <col min="14" max="16384" width="9.140625" style="148"/>
  </cols>
  <sheetData>
    <row r="1" spans="1:13" ht="15.75">
      <c r="A1" s="147"/>
    </row>
    <row r="2" spans="1:13" ht="15.75">
      <c r="A2" s="147" t="s">
        <v>182</v>
      </c>
    </row>
    <row r="3" spans="1:13" ht="15">
      <c r="A3" s="149"/>
    </row>
    <row r="4" spans="1:13" ht="20.25">
      <c r="A4" s="150" t="s">
        <v>3</v>
      </c>
      <c r="B4" s="151"/>
      <c r="F4" s="152" t="s">
        <v>29</v>
      </c>
      <c r="G4" s="153">
        <v>18</v>
      </c>
      <c r="H4" s="153" t="str">
        <f>+'1'!H4</f>
        <v>.03.26</v>
      </c>
      <c r="J4" s="148">
        <f>492.8+336.8+331.9</f>
        <v>1161.5</v>
      </c>
    </row>
    <row r="5" spans="1:13" ht="13.5" thickBot="1">
      <c r="C5" s="154"/>
      <c r="D5" s="154"/>
    </row>
    <row r="6" spans="1:13"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row>
    <row r="7" spans="1:13" ht="13.5" customHeight="1" thickBot="1">
      <c r="A7" s="770" t="s">
        <v>391</v>
      </c>
      <c r="B7" s="214" t="s">
        <v>623</v>
      </c>
      <c r="C7" s="215"/>
      <c r="D7" s="216"/>
      <c r="E7" s="217"/>
      <c r="F7" s="227"/>
      <c r="G7" s="228" t="s">
        <v>12</v>
      </c>
      <c r="H7" s="229" t="s">
        <v>412</v>
      </c>
      <c r="I7" s="773" t="s">
        <v>491</v>
      </c>
      <c r="J7" s="213" t="str">
        <f>+'17'!J7</f>
        <v>F 12 VP OW</v>
      </c>
      <c r="K7" s="237"/>
      <c r="L7" s="241"/>
      <c r="M7" s="116">
        <f>+K7+'17'!M7+L7</f>
        <v>136522</v>
      </c>
    </row>
    <row r="8" spans="1:13" ht="13.5" thickBot="1">
      <c r="A8" s="771"/>
      <c r="B8" s="214"/>
      <c r="C8" s="215"/>
      <c r="D8" s="216"/>
      <c r="E8" s="218"/>
      <c r="F8" s="230"/>
      <c r="G8" s="231" t="s">
        <v>12</v>
      </c>
      <c r="H8" s="229" t="s">
        <v>283</v>
      </c>
      <c r="I8" s="774"/>
      <c r="J8" s="213" t="str">
        <f>+'17'!J8</f>
        <v>F 14 VP OW</v>
      </c>
      <c r="K8" s="238"/>
      <c r="L8" s="238"/>
      <c r="M8" s="116">
        <f>+K8+'17'!M8+L8</f>
        <v>89126</v>
      </c>
    </row>
    <row r="9" spans="1:13" ht="13.5" thickBot="1">
      <c r="A9" s="771"/>
      <c r="B9" s="214"/>
      <c r="C9" s="215"/>
      <c r="D9" s="216"/>
      <c r="E9" s="219"/>
      <c r="F9" s="227"/>
      <c r="G9" s="231" t="s">
        <v>12</v>
      </c>
      <c r="H9" s="232" t="s">
        <v>411</v>
      </c>
      <c r="I9" s="774"/>
      <c r="J9" s="213" t="str">
        <f>+'17'!J9</f>
        <v>F 16 VP OW</v>
      </c>
      <c r="K9" s="238"/>
      <c r="L9" s="238"/>
      <c r="M9" s="116">
        <f>+K9+'17'!M9+L9</f>
        <v>104726</v>
      </c>
    </row>
    <row r="10" spans="1:13" ht="13.5" thickBot="1">
      <c r="A10" s="771"/>
      <c r="B10" s="214"/>
      <c r="C10" s="215"/>
      <c r="D10" s="216"/>
      <c r="E10" s="218"/>
      <c r="F10" s="227"/>
      <c r="G10" s="236" t="s">
        <v>13</v>
      </c>
      <c r="H10" s="232" t="s">
        <v>685</v>
      </c>
      <c r="I10" s="774"/>
      <c r="J10" s="213" t="str">
        <f>+'17'!J10</f>
        <v>F 13,5 VP OW</v>
      </c>
      <c r="K10" s="238"/>
      <c r="L10" s="238"/>
      <c r="M10" s="116">
        <f>+K10+'17'!M10+L10</f>
        <v>10827</v>
      </c>
    </row>
    <row r="11" spans="1:13" ht="51.75" thickBot="1">
      <c r="A11" s="771"/>
      <c r="B11" s="214"/>
      <c r="C11" s="215"/>
      <c r="D11" s="216"/>
      <c r="E11" s="218"/>
      <c r="F11" s="234">
        <v>480</v>
      </c>
      <c r="G11" s="231" t="s">
        <v>675</v>
      </c>
      <c r="H11" s="232" t="s">
        <v>680</v>
      </c>
      <c r="I11" s="774"/>
      <c r="J11" s="213" t="str">
        <f>+'17'!J11</f>
        <v>F 13 VP OW</v>
      </c>
      <c r="K11" s="238"/>
      <c r="L11" s="238"/>
      <c r="M11" s="116">
        <f>+K11+'17'!M11+L11</f>
        <v>19832</v>
      </c>
    </row>
    <row r="12" spans="1:13" ht="13.5" thickBot="1">
      <c r="A12" s="771"/>
      <c r="B12" s="214"/>
      <c r="C12" s="215"/>
      <c r="D12" s="216"/>
      <c r="E12" s="218"/>
      <c r="F12" s="235"/>
      <c r="G12" s="231"/>
      <c r="H12" s="232"/>
      <c r="I12" s="774"/>
      <c r="J12" s="213" t="str">
        <f>+'17'!J12</f>
        <v>T 14 VP OW</v>
      </c>
      <c r="K12" s="238"/>
      <c r="L12" s="238"/>
      <c r="M12" s="116">
        <f>+K12+'17'!M12+L12</f>
        <v>10448</v>
      </c>
    </row>
    <row r="13" spans="1:13" ht="13.5" thickBot="1">
      <c r="A13" s="771"/>
      <c r="B13" s="214"/>
      <c r="C13" s="215"/>
      <c r="D13" s="215"/>
      <c r="E13" s="218"/>
      <c r="F13" s="235"/>
      <c r="G13" s="231"/>
      <c r="H13" s="232"/>
      <c r="I13" s="774"/>
      <c r="J13" s="213" t="str">
        <f>+'17'!J13</f>
        <v>F 11,5 VP OW</v>
      </c>
      <c r="K13" s="238"/>
      <c r="L13" s="238"/>
      <c r="M13" s="116">
        <f>+K13+'17'!M13+L13</f>
        <v>53931</v>
      </c>
    </row>
    <row r="14" spans="1:13" ht="13.5" thickBot="1">
      <c r="A14" s="772"/>
      <c r="B14" s="164" t="s">
        <v>2</v>
      </c>
      <c r="C14" s="98">
        <f>SUM(C7:C13)</f>
        <v>0</v>
      </c>
      <c r="D14" s="110">
        <f>SUM(D7:D13)</f>
        <v>0</v>
      </c>
      <c r="E14" s="111">
        <f>SUM(E5:E13)</f>
        <v>0</v>
      </c>
      <c r="F14" s="235"/>
      <c r="G14" s="236"/>
      <c r="H14" s="443"/>
      <c r="I14" s="775"/>
      <c r="J14" s="213" t="str">
        <f>+'17'!J14</f>
        <v>F 12,5 VP OW</v>
      </c>
      <c r="K14" s="238"/>
      <c r="L14" s="238"/>
      <c r="M14" s="116">
        <f>+K14+'17'!M14+L14</f>
        <v>10132</v>
      </c>
    </row>
    <row r="15" spans="1:13" ht="13.5" customHeight="1" thickBot="1">
      <c r="A15" s="770" t="s">
        <v>687</v>
      </c>
      <c r="B15" s="164"/>
      <c r="C15" s="112" t="e">
        <f>C14/($C$23+$D$23+$E$23)</f>
        <v>#DIV/0!</v>
      </c>
      <c r="D15" s="113" t="e">
        <f>D14/($C$23+$D$23+$E$23)</f>
        <v>#DIV/0!</v>
      </c>
      <c r="E15" s="114" t="e">
        <f>E14/($C$23+$D$23+$E$23)</f>
        <v>#DIV/0!</v>
      </c>
      <c r="F15" s="227"/>
      <c r="G15" s="228" t="s">
        <v>12</v>
      </c>
      <c r="H15" s="229" t="s">
        <v>412</v>
      </c>
      <c r="I15" s="773" t="s">
        <v>491</v>
      </c>
      <c r="J15" s="213" t="str">
        <f>+'17'!J15</f>
        <v>T 13 VP OW</v>
      </c>
      <c r="K15" s="238"/>
      <c r="L15" s="238"/>
      <c r="M15" s="116">
        <f>+K15+'17'!M15+L15</f>
        <v>124865</v>
      </c>
    </row>
    <row r="16" spans="1:13" ht="13.5" thickBot="1">
      <c r="A16" s="776"/>
      <c r="B16" s="214" t="s">
        <v>623</v>
      </c>
      <c r="C16" s="221"/>
      <c r="D16" s="222"/>
      <c r="E16" s="223"/>
      <c r="F16" s="230"/>
      <c r="G16" s="231" t="s">
        <v>12</v>
      </c>
      <c r="H16" s="229" t="s">
        <v>283</v>
      </c>
      <c r="I16" s="774"/>
      <c r="J16" s="213" t="str">
        <f>+'17'!J16</f>
        <v>T 12,5 VP OW</v>
      </c>
      <c r="K16" s="228">
        <f>+C34</f>
        <v>0</v>
      </c>
      <c r="L16" s="228"/>
      <c r="M16" s="116">
        <f>+K16+'17'!M16+L16</f>
        <v>52688</v>
      </c>
    </row>
    <row r="17" spans="1:13" ht="13.5" thickBot="1">
      <c r="A17" s="776"/>
      <c r="B17" s="214"/>
      <c r="C17" s="215"/>
      <c r="D17" s="216"/>
      <c r="E17" s="224"/>
      <c r="F17" s="227"/>
      <c r="G17" s="231" t="s">
        <v>12</v>
      </c>
      <c r="H17" s="232" t="s">
        <v>411</v>
      </c>
      <c r="I17" s="774"/>
      <c r="J17" s="213">
        <f>+'17'!J17</f>
        <v>0</v>
      </c>
      <c r="K17" s="228"/>
      <c r="L17" s="228"/>
      <c r="M17" s="116">
        <f>+K17+'17'!M17+L17</f>
        <v>0</v>
      </c>
    </row>
    <row r="18" spans="1:13" ht="13.5" thickBot="1">
      <c r="A18" s="776"/>
      <c r="B18" s="214"/>
      <c r="C18" s="215"/>
      <c r="D18" s="216"/>
      <c r="E18" s="224"/>
      <c r="F18" s="227"/>
      <c r="G18" s="236" t="s">
        <v>13</v>
      </c>
      <c r="H18" s="232" t="s">
        <v>685</v>
      </c>
      <c r="I18" s="774"/>
      <c r="J18" s="213">
        <f>+'17'!J18</f>
        <v>0</v>
      </c>
      <c r="K18" s="238"/>
      <c r="L18" s="238"/>
      <c r="M18" s="116">
        <f>+K18+'17'!M18+L18</f>
        <v>0</v>
      </c>
    </row>
    <row r="19" spans="1:13" ht="51.75" thickBot="1">
      <c r="A19" s="776"/>
      <c r="B19" s="214"/>
      <c r="C19" s="215"/>
      <c r="D19" s="216"/>
      <c r="E19" s="224"/>
      <c r="F19" s="234">
        <v>480</v>
      </c>
      <c r="G19" s="231" t="s">
        <v>675</v>
      </c>
      <c r="H19" s="232" t="s">
        <v>681</v>
      </c>
      <c r="I19" s="774"/>
      <c r="J19" s="213">
        <f>+'17'!J19</f>
        <v>0</v>
      </c>
      <c r="K19" s="238"/>
      <c r="L19" s="238"/>
      <c r="M19" s="116">
        <f>+K19+'17'!M19+L19</f>
        <v>0</v>
      </c>
    </row>
    <row r="20" spans="1:13" ht="39" thickBot="1">
      <c r="A20" s="776"/>
      <c r="B20" s="214"/>
      <c r="C20" s="215"/>
      <c r="D20" s="216"/>
      <c r="E20" s="224"/>
      <c r="F20" s="235"/>
      <c r="G20" s="231"/>
      <c r="H20" s="232" t="s">
        <v>682</v>
      </c>
      <c r="I20" s="774"/>
      <c r="J20" s="213">
        <f>+'17'!J20</f>
        <v>0</v>
      </c>
      <c r="K20" s="239"/>
      <c r="L20" s="239"/>
      <c r="M20" s="116">
        <f>+K20+'17'!M20+L20</f>
        <v>0</v>
      </c>
    </row>
    <row r="21" spans="1:13" ht="26.25" customHeight="1" thickBot="1">
      <c r="A21" s="776"/>
      <c r="B21" s="214"/>
      <c r="C21" s="215"/>
      <c r="D21" s="216"/>
      <c r="E21" s="224"/>
      <c r="F21" s="235"/>
      <c r="G21" s="231"/>
      <c r="H21" s="232" t="s">
        <v>683</v>
      </c>
      <c r="I21" s="774"/>
      <c r="J21" s="213">
        <f>+'17'!J21</f>
        <v>0</v>
      </c>
      <c r="K21" s="238"/>
      <c r="L21" s="238"/>
      <c r="M21" s="116">
        <f>+K21+'17'!M21+L21</f>
        <v>0</v>
      </c>
    </row>
    <row r="22" spans="1:13" ht="13.5" thickBot="1">
      <c r="A22" s="776"/>
      <c r="B22" s="214"/>
      <c r="C22" s="215"/>
      <c r="D22" s="216"/>
      <c r="E22" s="224"/>
      <c r="F22" s="235"/>
      <c r="G22" s="236"/>
      <c r="H22" s="443" t="s">
        <v>684</v>
      </c>
      <c r="I22" s="775"/>
      <c r="J22" s="213">
        <f>+'17'!J22</f>
        <v>0</v>
      </c>
      <c r="K22" s="238"/>
      <c r="L22" s="238"/>
      <c r="M22" s="116">
        <f>+K22+'17'!M22+L22</f>
        <v>0</v>
      </c>
    </row>
    <row r="23" spans="1:13" ht="13.5" thickBot="1">
      <c r="A23" s="777"/>
      <c r="B23" s="167" t="s">
        <v>2</v>
      </c>
      <c r="C23" s="99">
        <f>SUM(C16:C22)</f>
        <v>0</v>
      </c>
      <c r="D23" s="110">
        <f>SUM(D16:D22)</f>
        <v>0</v>
      </c>
      <c r="E23" s="111">
        <f>SUM(E18:E22)</f>
        <v>0</v>
      </c>
      <c r="F23" s="115">
        <f>SUM(F15:F22)</f>
        <v>480</v>
      </c>
      <c r="G23" s="158"/>
      <c r="H23" s="165"/>
      <c r="I23" s="168"/>
      <c r="J23" s="213">
        <f>+'17'!J23</f>
        <v>0</v>
      </c>
      <c r="K23" s="238"/>
      <c r="L23" s="238"/>
      <c r="M23" s="116">
        <f>+K23+'17'!M23+L23</f>
        <v>0</v>
      </c>
    </row>
    <row r="24" spans="1:13" ht="13.5" customHeight="1" thickBot="1">
      <c r="A24" s="770" t="s">
        <v>686</v>
      </c>
      <c r="B24" s="169"/>
      <c r="C24" s="112" t="e">
        <f>C23/($C$23+$D$23+$E$23)</f>
        <v>#DIV/0!</v>
      </c>
      <c r="D24" s="113" t="e">
        <f>D23/($C$23+$D$23+$E$23)</f>
        <v>#DIV/0!</v>
      </c>
      <c r="E24" s="114" t="e">
        <f>E23/($C$23+$D$23+$E$23)</f>
        <v>#DIV/0!</v>
      </c>
      <c r="F24" s="227"/>
      <c r="G24" s="228" t="s">
        <v>12</v>
      </c>
      <c r="H24" s="229" t="s">
        <v>412</v>
      </c>
      <c r="I24" s="773" t="s">
        <v>491</v>
      </c>
      <c r="J24" s="213">
        <f>+'17'!J24</f>
        <v>0</v>
      </c>
      <c r="K24" s="238"/>
      <c r="L24" s="238"/>
      <c r="M24" s="116">
        <f>+K24+'17'!M24+L24</f>
        <v>0</v>
      </c>
    </row>
    <row r="25" spans="1:13" ht="13.5" thickBot="1">
      <c r="A25" s="776"/>
      <c r="B25" s="214" t="s">
        <v>623</v>
      </c>
      <c r="C25" s="225"/>
      <c r="D25" s="216"/>
      <c r="E25" s="224"/>
      <c r="F25" s="230"/>
      <c r="G25" s="231" t="s">
        <v>12</v>
      </c>
      <c r="H25" s="229" t="s">
        <v>283</v>
      </c>
      <c r="I25" s="774"/>
      <c r="J25" s="213">
        <f>+'17'!J25</f>
        <v>0</v>
      </c>
      <c r="K25" s="238"/>
      <c r="L25" s="238"/>
      <c r="M25" s="116">
        <f>+K25+'17'!M25+L25</f>
        <v>0</v>
      </c>
    </row>
    <row r="26" spans="1:13" ht="13.5" thickBot="1">
      <c r="A26" s="776"/>
      <c r="B26" s="214"/>
      <c r="C26" s="225"/>
      <c r="D26" s="216"/>
      <c r="E26" s="226"/>
      <c r="F26" s="227"/>
      <c r="G26" s="231" t="s">
        <v>12</v>
      </c>
      <c r="H26" s="232" t="s">
        <v>411</v>
      </c>
      <c r="I26" s="774"/>
      <c r="J26" s="213">
        <f>+'17'!J26</f>
        <v>0</v>
      </c>
      <c r="K26" s="238"/>
      <c r="L26" s="238"/>
      <c r="M26" s="116">
        <f>+K26+'17'!M26+L26</f>
        <v>0</v>
      </c>
    </row>
    <row r="27" spans="1:13" ht="13.5" thickBot="1">
      <c r="A27" s="776"/>
      <c r="B27" s="214"/>
      <c r="C27" s="215"/>
      <c r="D27" s="216"/>
      <c r="E27" s="224"/>
      <c r="F27" s="227"/>
      <c r="G27" s="236" t="s">
        <v>13</v>
      </c>
      <c r="H27" s="232" t="s">
        <v>685</v>
      </c>
      <c r="I27" s="774"/>
      <c r="J27" s="213">
        <f>+'17'!J27</f>
        <v>0</v>
      </c>
      <c r="K27" s="238"/>
      <c r="L27" s="238"/>
      <c r="M27" s="116">
        <f>+K27+'17'!M27+L27</f>
        <v>0</v>
      </c>
    </row>
    <row r="28" spans="1:13" ht="128.25" thickBot="1">
      <c r="A28" s="776"/>
      <c r="B28" s="214"/>
      <c r="C28" s="215"/>
      <c r="D28" s="216"/>
      <c r="E28" s="224"/>
      <c r="F28" s="234">
        <v>480</v>
      </c>
      <c r="G28" s="231" t="s">
        <v>675</v>
      </c>
      <c r="H28" s="232" t="s">
        <v>671</v>
      </c>
      <c r="I28" s="774"/>
      <c r="J28" s="213">
        <f>+'17'!J28</f>
        <v>0</v>
      </c>
      <c r="K28" s="238"/>
      <c r="L28" s="238"/>
      <c r="M28" s="116">
        <f>+K28+'17'!M28+L28</f>
        <v>0</v>
      </c>
    </row>
    <row r="29" spans="1:13" ht="13.5" thickBot="1">
      <c r="A29" s="776"/>
      <c r="B29" s="214"/>
      <c r="C29" s="215"/>
      <c r="D29" s="216"/>
      <c r="E29" s="224"/>
      <c r="F29" s="235"/>
      <c r="G29" s="231"/>
      <c r="H29" s="232"/>
      <c r="I29" s="774"/>
      <c r="J29" s="213">
        <f>+'17'!J29</f>
        <v>0</v>
      </c>
      <c r="K29" s="238"/>
      <c r="L29" s="238"/>
      <c r="M29" s="116">
        <f>+K29+'17'!M29+L29</f>
        <v>0</v>
      </c>
    </row>
    <row r="30" spans="1:13" ht="13.5" thickBot="1">
      <c r="A30" s="776"/>
      <c r="B30" s="214"/>
      <c r="C30" s="225"/>
      <c r="D30" s="216"/>
      <c r="E30" s="224"/>
      <c r="F30" s="235"/>
      <c r="G30" s="231"/>
      <c r="H30" s="232"/>
      <c r="I30" s="774"/>
      <c r="J30" s="213">
        <f>+'17'!J30</f>
        <v>0</v>
      </c>
      <c r="K30" s="238"/>
      <c r="L30" s="238"/>
      <c r="M30" s="116">
        <f>+K30+'17'!M30+L30</f>
        <v>0</v>
      </c>
    </row>
    <row r="31" spans="1:13" ht="13.5" thickBot="1">
      <c r="A31" s="776"/>
      <c r="B31" s="214"/>
      <c r="C31" s="225"/>
      <c r="D31" s="216"/>
      <c r="E31" s="224"/>
      <c r="F31" s="235"/>
      <c r="G31" s="236"/>
      <c r="H31" s="443"/>
      <c r="I31" s="775"/>
      <c r="J31" s="213">
        <f>+'17'!J31</f>
        <v>0</v>
      </c>
      <c r="K31" s="238"/>
      <c r="L31" s="238"/>
      <c r="M31" s="116">
        <f>+K31+'17'!M31+L31</f>
        <v>0</v>
      </c>
    </row>
    <row r="32" spans="1:13" ht="13.5" thickBot="1">
      <c r="A32" s="777"/>
      <c r="B32" s="164" t="s">
        <v>2</v>
      </c>
      <c r="C32" s="98">
        <f>SUM(C25:C31)</f>
        <v>0</v>
      </c>
      <c r="D32" s="99">
        <f>SUM(D25:D31)</f>
        <v>0</v>
      </c>
      <c r="E32" s="100">
        <f>SUM(E25:E31)</f>
        <v>0</v>
      </c>
      <c r="F32" s="101">
        <f>SUM(F24:F31)</f>
        <v>480</v>
      </c>
      <c r="G32" s="170"/>
      <c r="H32" s="171"/>
      <c r="I32" s="168"/>
      <c r="J32" s="213">
        <f>+'17'!J32</f>
        <v>0</v>
      </c>
      <c r="K32" s="240"/>
      <c r="L32" s="242"/>
      <c r="M32" s="116">
        <f>+K32+'17'!M32+L32</f>
        <v>0</v>
      </c>
    </row>
    <row r="33" spans="1:13" ht="13.5" thickBot="1">
      <c r="A33" s="172"/>
      <c r="B33" s="173"/>
      <c r="C33" s="102" t="e">
        <f>C32/($C$32+$D$32+$E$32)</f>
        <v>#DIV/0!</v>
      </c>
      <c r="D33" s="103" t="e">
        <f>D32/($C$32+$D$32+$E$32)</f>
        <v>#DIV/0!</v>
      </c>
      <c r="E33" s="104" t="e">
        <f>E32/($C$32+$D$32+$E$32)</f>
        <v>#DIV/0!</v>
      </c>
      <c r="F33" s="105"/>
      <c r="G33" s="174"/>
      <c r="H33" s="175"/>
      <c r="I33" s="176"/>
      <c r="J33" s="120"/>
      <c r="K33" s="121"/>
      <c r="L33" s="212"/>
      <c r="M33" s="118"/>
    </row>
    <row r="34" spans="1:13" ht="13.5" thickBot="1">
      <c r="A34" s="766" t="s">
        <v>57</v>
      </c>
      <c r="B34" s="767"/>
      <c r="C34" s="106">
        <f>C14+C23+C32</f>
        <v>0</v>
      </c>
      <c r="D34" s="106">
        <f>D14+D23+D32</f>
        <v>0</v>
      </c>
      <c r="E34" s="106">
        <f>E14+E23+E32</f>
        <v>0</v>
      </c>
      <c r="F34" s="107">
        <f>F14+F23+F32</f>
        <v>960</v>
      </c>
      <c r="H34" s="177"/>
      <c r="I34" s="177"/>
      <c r="J34" s="122" t="s">
        <v>28</v>
      </c>
      <c r="K34" s="123">
        <f>SUM(K7:K32)</f>
        <v>0</v>
      </c>
      <c r="L34" s="211">
        <f>SUM(L7:L32)</f>
        <v>0</v>
      </c>
      <c r="M34" s="119">
        <f>SUM(M7:M32)</f>
        <v>613097</v>
      </c>
    </row>
    <row r="35" spans="1:13" ht="13.5" thickBot="1">
      <c r="A35" s="178"/>
      <c r="B35" s="179"/>
      <c r="C35" s="103" t="e">
        <f>C34/($C$34+$D$34+$E$34)</f>
        <v>#DIV/0!</v>
      </c>
      <c r="D35" s="103" t="e">
        <f>D34/($C$34+$D$34+$E$34)</f>
        <v>#DIV/0!</v>
      </c>
      <c r="E35" s="108" t="e">
        <f>E34/($C$34+$D$34+$E$34)</f>
        <v>#DIV/0!</v>
      </c>
      <c r="K35" s="154"/>
    </row>
    <row r="36" spans="1:13" ht="13.5" thickBot="1">
      <c r="A36" s="177"/>
      <c r="B36" s="177"/>
      <c r="C36" s="154"/>
      <c r="D36" s="154"/>
      <c r="E36" s="154"/>
      <c r="G36" s="154"/>
      <c r="H36" s="180"/>
      <c r="I36" s="161" t="s">
        <v>37</v>
      </c>
      <c r="J36" s="161" t="s">
        <v>38</v>
      </c>
      <c r="K36" s="181"/>
    </row>
    <row r="37" spans="1:13" ht="17.45" customHeight="1" thickBot="1">
      <c r="A37" s="768" t="s">
        <v>58</v>
      </c>
      <c r="B37" s="769"/>
      <c r="C37" s="161" t="s">
        <v>59</v>
      </c>
      <c r="D37" s="182" t="s">
        <v>60</v>
      </c>
      <c r="E37" s="183" t="s">
        <v>61</v>
      </c>
      <c r="F37" s="321"/>
      <c r="G37" s="323"/>
      <c r="H37" s="185" t="s">
        <v>62</v>
      </c>
      <c r="I37" s="243">
        <f>(10.3*1440)/1440*G42*2.74*1440/1000000</f>
        <v>0</v>
      </c>
      <c r="J37" s="124">
        <f>+I37+'17'!J37</f>
        <v>720.38915342322991</v>
      </c>
      <c r="K37" s="125" t="s">
        <v>63</v>
      </c>
    </row>
    <row r="38" spans="1:13" ht="17.45" customHeight="1">
      <c r="A38" s="760" t="s">
        <v>12</v>
      </c>
      <c r="B38" s="761"/>
      <c r="C38" s="163">
        <f>SUMIF($G$7:$G$31,"Process",$F$7:$F$31)</f>
        <v>0</v>
      </c>
      <c r="D38" s="117">
        <f>+C38+'17'!D38</f>
        <v>1260</v>
      </c>
      <c r="E38" s="142">
        <f t="shared" ref="E38:E51" si="0">D38/60</f>
        <v>21</v>
      </c>
      <c r="F38" s="321"/>
      <c r="G38" s="321"/>
      <c r="H38" s="186" t="s">
        <v>64</v>
      </c>
      <c r="I38" s="244"/>
      <c r="J38" s="126">
        <f>+I38+'17'!J38</f>
        <v>632.20499999999993</v>
      </c>
      <c r="K38" s="127" t="s">
        <v>63</v>
      </c>
    </row>
    <row r="39" spans="1:13" ht="17.45" customHeight="1">
      <c r="A39" s="764" t="s">
        <v>13</v>
      </c>
      <c r="B39" s="765"/>
      <c r="C39" s="163">
        <f>SUMIF($G$7:$G$31,"Cleaning",$F$7:$F$31)</f>
        <v>0</v>
      </c>
      <c r="D39" s="117">
        <f>+C39+'17'!D39</f>
        <v>0</v>
      </c>
      <c r="E39" s="142">
        <f t="shared" si="0"/>
        <v>0</v>
      </c>
      <c r="F39" s="321"/>
      <c r="G39" s="321"/>
      <c r="H39" s="186" t="s">
        <v>65</v>
      </c>
      <c r="I39" s="141"/>
      <c r="J39" s="128">
        <f>J37/G4</f>
        <v>40.021619634623882</v>
      </c>
      <c r="K39" s="129" t="s">
        <v>63</v>
      </c>
    </row>
    <row r="40" spans="1:13" ht="17.45" customHeight="1">
      <c r="A40" s="764" t="s">
        <v>66</v>
      </c>
      <c r="B40" s="765"/>
      <c r="C40" s="163">
        <f>SUMIF($G$7:$G$31,"Mechanical",$F$7:$F$31)</f>
        <v>0</v>
      </c>
      <c r="D40" s="117">
        <f>+C40+'17'!D40</f>
        <v>0</v>
      </c>
      <c r="E40" s="142">
        <f t="shared" si="0"/>
        <v>0</v>
      </c>
      <c r="F40" s="321"/>
      <c r="G40" s="321"/>
      <c r="H40" s="186" t="s">
        <v>67</v>
      </c>
      <c r="I40" s="117">
        <f>(K34+L34)/1000</f>
        <v>0</v>
      </c>
      <c r="J40" s="130">
        <f>+I40+'17'!J40</f>
        <v>613.09699999999998</v>
      </c>
      <c r="K40" s="129" t="s">
        <v>63</v>
      </c>
    </row>
    <row r="41" spans="1:13" ht="17.45" customHeight="1">
      <c r="A41" s="764" t="s">
        <v>68</v>
      </c>
      <c r="B41" s="765"/>
      <c r="C41" s="163">
        <f>SUMIF($G$7:$G$31,"Electrical",$F$7:$F$31)</f>
        <v>0</v>
      </c>
      <c r="D41" s="117">
        <f>+C41+'17'!D41</f>
        <v>311</v>
      </c>
      <c r="E41" s="142">
        <f t="shared" si="0"/>
        <v>5.1833333333333336</v>
      </c>
      <c r="F41" s="321"/>
      <c r="G41" s="321"/>
      <c r="H41" s="186" t="s">
        <v>69</v>
      </c>
      <c r="I41" s="141"/>
      <c r="J41" s="128">
        <f>J40/G4</f>
        <v>34.060944444444445</v>
      </c>
      <c r="K41" s="129" t="s">
        <v>63</v>
      </c>
    </row>
    <row r="42" spans="1:13" ht="17.45" customHeight="1">
      <c r="A42" s="764" t="s">
        <v>16</v>
      </c>
      <c r="B42" s="765"/>
      <c r="C42" s="163">
        <f>SUMIF($G$7:$G$31,"Instrument",$F$7:$F$31)</f>
        <v>0</v>
      </c>
      <c r="D42" s="117">
        <f>+C42+'17'!D42</f>
        <v>0</v>
      </c>
      <c r="E42" s="142">
        <f t="shared" si="0"/>
        <v>0</v>
      </c>
      <c r="F42" s="321">
        <f>+(F38*480+F39*480+F40*480)/1440</f>
        <v>0</v>
      </c>
      <c r="G42" s="321">
        <f>+(G38*480+G39*480+G40*480)/1440</f>
        <v>0</v>
      </c>
      <c r="H42" s="186" t="s">
        <v>70</v>
      </c>
      <c r="I42" s="245"/>
      <c r="J42" s="131"/>
      <c r="K42" s="129" t="s">
        <v>71</v>
      </c>
    </row>
    <row r="43" spans="1:13" ht="17.45" customHeight="1">
      <c r="A43" s="764" t="s">
        <v>219</v>
      </c>
      <c r="B43" s="765"/>
      <c r="C43" s="163">
        <f>SUMIF($G$7:$G$31,"Change Grade",$F$7:$F$31)</f>
        <v>0</v>
      </c>
      <c r="D43" s="117">
        <f>+C43+'17'!D43</f>
        <v>0</v>
      </c>
      <c r="E43" s="142">
        <f t="shared" si="0"/>
        <v>0</v>
      </c>
      <c r="F43" s="321"/>
      <c r="G43" s="322"/>
      <c r="H43" s="187" t="s">
        <v>73</v>
      </c>
      <c r="I43" s="117">
        <f>+Report1!Z26</f>
        <v>2.1</v>
      </c>
      <c r="J43" s="132">
        <f>+I43+'17'!J43</f>
        <v>854.80000000000007</v>
      </c>
      <c r="K43" s="129" t="s">
        <v>63</v>
      </c>
      <c r="L43" s="188"/>
    </row>
    <row r="44" spans="1:13" ht="17.45" customHeight="1">
      <c r="A44" s="764" t="s">
        <v>17</v>
      </c>
      <c r="B44" s="765"/>
      <c r="C44" s="163">
        <f>SUMIF($G$7:$G$31,"PLN",$F$7:$F$31)</f>
        <v>0</v>
      </c>
      <c r="D44" s="117">
        <f>+C44+'17'!D44</f>
        <v>0</v>
      </c>
      <c r="E44" s="142">
        <f t="shared" si="0"/>
        <v>0</v>
      </c>
      <c r="F44" s="321"/>
      <c r="G44" s="322"/>
      <c r="H44" s="187" t="s">
        <v>74</v>
      </c>
      <c r="I44" s="117" t="e">
        <f>I43/I38</f>
        <v>#DIV/0!</v>
      </c>
      <c r="J44" s="133">
        <f>J43/J38</f>
        <v>1.3520930710766288</v>
      </c>
      <c r="K44" s="129" t="s">
        <v>63</v>
      </c>
    </row>
    <row r="45" spans="1:13" ht="17.45" customHeight="1">
      <c r="A45" s="764" t="s">
        <v>18</v>
      </c>
      <c r="B45" s="765"/>
      <c r="C45" s="163">
        <f>SUMIF($G$7:$G$31,"Boiler",$F$7:$F$31)</f>
        <v>0</v>
      </c>
      <c r="D45" s="117">
        <f>+C45+'17'!D45</f>
        <v>0</v>
      </c>
      <c r="E45" s="142">
        <f t="shared" si="0"/>
        <v>0</v>
      </c>
      <c r="F45" s="321"/>
      <c r="G45" s="324"/>
      <c r="H45" s="187" t="s">
        <v>75</v>
      </c>
      <c r="I45" s="117" t="e">
        <f>I43/I40</f>
        <v>#DIV/0!</v>
      </c>
      <c r="J45" s="133">
        <f>J43/J40</f>
        <v>1.3942328864763653</v>
      </c>
      <c r="K45" s="129" t="s">
        <v>63</v>
      </c>
    </row>
    <row r="46" spans="1:13" ht="17.45" customHeight="1">
      <c r="A46" s="764" t="s">
        <v>76</v>
      </c>
      <c r="B46" s="765"/>
      <c r="C46" s="163">
        <f>SUMIF($G$7:$G$31,"Gas",$F$7:$F$31)</f>
        <v>0</v>
      </c>
      <c r="D46" s="117">
        <f>+C46+'17'!D46</f>
        <v>0</v>
      </c>
      <c r="E46" s="142">
        <f t="shared" si="0"/>
        <v>0</v>
      </c>
      <c r="F46" s="321"/>
      <c r="G46" s="322"/>
      <c r="H46" s="187" t="s">
        <v>77</v>
      </c>
      <c r="I46" s="139">
        <f>+SUMIF(Listrik!P25,"&gt;0")</f>
        <v>5911.2799999989093</v>
      </c>
      <c r="J46" s="134">
        <f>+I46+'17'!J46</f>
        <v>576216.01999999955</v>
      </c>
      <c r="K46" s="129" t="s">
        <v>78</v>
      </c>
    </row>
    <row r="47" spans="1:13" ht="17.45" customHeight="1">
      <c r="A47" s="764" t="s">
        <v>79</v>
      </c>
      <c r="B47" s="765"/>
      <c r="C47" s="163">
        <f>SUMIF($G$7:$G$31,"Gas",$F$7:$F$31)</f>
        <v>0</v>
      </c>
      <c r="D47" s="117">
        <f>+C47+'17'!D47</f>
        <v>0</v>
      </c>
      <c r="E47" s="142">
        <f t="shared" si="0"/>
        <v>0</v>
      </c>
      <c r="F47" s="321"/>
      <c r="G47" s="322"/>
      <c r="H47" s="187" t="s">
        <v>80</v>
      </c>
      <c r="I47" s="117" t="e">
        <f>I46/I38</f>
        <v>#DIV/0!</v>
      </c>
      <c r="J47" s="134">
        <f>J46/J38</f>
        <v>911.43856818595179</v>
      </c>
      <c r="K47" s="129" t="s">
        <v>24</v>
      </c>
    </row>
    <row r="48" spans="1:13" ht="17.45" customHeight="1">
      <c r="A48" s="764" t="s">
        <v>14</v>
      </c>
      <c r="B48" s="765"/>
      <c r="C48" s="163">
        <f>SUMIF($G$7:$G$31,"Start Up",$F$7:$F$31)</f>
        <v>0</v>
      </c>
      <c r="D48" s="117">
        <f>+C48+'17'!D48</f>
        <v>0</v>
      </c>
      <c r="E48" s="142">
        <f t="shared" si="0"/>
        <v>0</v>
      </c>
      <c r="F48" s="321"/>
      <c r="G48" s="322"/>
      <c r="H48" s="187" t="s">
        <v>81</v>
      </c>
      <c r="I48" s="117" t="e">
        <f>I46/I40</f>
        <v>#DIV/0!</v>
      </c>
      <c r="J48" s="134">
        <f>J46/J40</f>
        <v>939.84478801886087</v>
      </c>
      <c r="K48" s="129" t="s">
        <v>24</v>
      </c>
    </row>
    <row r="49" spans="1:11" ht="17.45" customHeight="1">
      <c r="A49" s="764" t="s">
        <v>20</v>
      </c>
      <c r="B49" s="765"/>
      <c r="C49" s="163">
        <f>SUMIF($G$7:$G$31,"Others",$F$7:$F$31)</f>
        <v>0</v>
      </c>
      <c r="D49" s="117">
        <f>+C49+'17'!D49</f>
        <v>948</v>
      </c>
      <c r="E49" s="142">
        <f t="shared" si="0"/>
        <v>15.8</v>
      </c>
      <c r="F49" s="184"/>
      <c r="H49" s="187" t="s">
        <v>268</v>
      </c>
      <c r="I49" s="117">
        <f>+Report1!T26</f>
        <v>0</v>
      </c>
      <c r="J49" s="134">
        <f>+I49+'17'!J49</f>
        <v>77170.957005207325</v>
      </c>
      <c r="K49" s="129" t="s">
        <v>82</v>
      </c>
    </row>
    <row r="50" spans="1:11" ht="17.45" customHeight="1">
      <c r="A50" s="764" t="s">
        <v>19</v>
      </c>
      <c r="B50" s="765"/>
      <c r="C50" s="163">
        <f>SUMIF($G$7:$G$31,"Steam",$F$7:$F$31)</f>
        <v>0</v>
      </c>
      <c r="D50" s="117">
        <f>+C50+'17'!D50</f>
        <v>0</v>
      </c>
      <c r="E50" s="142">
        <f t="shared" si="0"/>
        <v>0</v>
      </c>
      <c r="F50" s="184"/>
      <c r="H50" s="187" t="s">
        <v>83</v>
      </c>
      <c r="I50" s="139" t="e">
        <f>I49/I38</f>
        <v>#DIV/0!</v>
      </c>
      <c r="J50" s="132">
        <f>J49/J38</f>
        <v>122.06635032182177</v>
      </c>
      <c r="K50" s="129" t="s">
        <v>82</v>
      </c>
    </row>
    <row r="51" spans="1:11" ht="17.45" customHeight="1" thickBot="1">
      <c r="A51" s="758" t="s">
        <v>84</v>
      </c>
      <c r="B51" s="759"/>
      <c r="C51" s="163">
        <f>SUMIF($G$7:$G$31,"Planned shut",$F$7:$F$31)</f>
        <v>1440</v>
      </c>
      <c r="D51" s="117">
        <f>+C51+'17'!D51</f>
        <v>2705</v>
      </c>
      <c r="E51" s="142">
        <f t="shared" si="0"/>
        <v>45.083333333333336</v>
      </c>
      <c r="F51" s="184"/>
      <c r="H51" s="189" t="s">
        <v>85</v>
      </c>
      <c r="I51" s="140" t="e">
        <f>I49/I40</f>
        <v>#DIV/0!</v>
      </c>
      <c r="J51" s="135">
        <f>J49/J40</f>
        <v>125.87071377809275</v>
      </c>
      <c r="K51" s="136" t="s">
        <v>82</v>
      </c>
    </row>
    <row r="52" spans="1:11" ht="13.5" thickBot="1">
      <c r="A52" s="760" t="s">
        <v>28</v>
      </c>
      <c r="B52" s="761"/>
      <c r="C52" s="143">
        <f>SUM(C38:C51)</f>
        <v>1440</v>
      </c>
      <c r="D52" s="143">
        <f>SUM(D38:D51)</f>
        <v>5224</v>
      </c>
      <c r="E52" s="144">
        <f>SUM(E38:E51)</f>
        <v>87.066666666666663</v>
      </c>
      <c r="F52" s="184"/>
      <c r="H52" s="190"/>
      <c r="I52" s="191"/>
      <c r="J52" s="137"/>
      <c r="K52" s="138"/>
    </row>
    <row r="53" spans="1:11" ht="13.5" thickBot="1">
      <c r="A53" s="762"/>
      <c r="B53" s="763"/>
      <c r="C53" s="145">
        <f>C52/(24*60)</f>
        <v>1</v>
      </c>
      <c r="D53" s="145">
        <f>D52/(24*60*G4)</f>
        <v>0.2015432098765432</v>
      </c>
      <c r="E53" s="146">
        <f>E52/(G4*24)</f>
        <v>0.2015432098765432</v>
      </c>
      <c r="F53" s="184"/>
    </row>
    <row r="54" spans="1:11">
      <c r="E54" s="192"/>
      <c r="F54" s="184"/>
    </row>
    <row r="55" spans="1:11">
      <c r="E55" s="192"/>
    </row>
    <row r="56" spans="1:11">
      <c r="A56" s="193" t="s">
        <v>86</v>
      </c>
      <c r="B56" s="194"/>
      <c r="C56" s="195"/>
      <c r="D56" s="195"/>
      <c r="E56" s="195"/>
      <c r="F56" s="196"/>
      <c r="G56" s="195"/>
      <c r="H56" s="197"/>
      <c r="I56" s="198" t="s">
        <v>87</v>
      </c>
      <c r="J56" s="199">
        <f>+D34+'17'!J56</f>
        <v>1116</v>
      </c>
      <c r="K56" s="200">
        <f>J56/(J40+J56/1000)/1000</f>
        <v>1.8169592633174485E-3</v>
      </c>
    </row>
    <row r="57" spans="1:11">
      <c r="A57" s="175"/>
      <c r="I57" s="198" t="s">
        <v>88</v>
      </c>
      <c r="J57" s="199">
        <f>+E34+'17'!J57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7:A14"/>
    <mergeCell ref="A15:A23"/>
    <mergeCell ref="I15:I22"/>
    <mergeCell ref="A38:B38"/>
    <mergeCell ref="I7:I14"/>
    <mergeCell ref="A39:B39"/>
    <mergeCell ref="A24:A32"/>
    <mergeCell ref="I24:I31"/>
    <mergeCell ref="A34:B34"/>
    <mergeCell ref="A37:B37"/>
    <mergeCell ref="A46:B46"/>
    <mergeCell ref="A51:B51"/>
    <mergeCell ref="A40:B40"/>
    <mergeCell ref="A41:B41"/>
    <mergeCell ref="A42:B42"/>
    <mergeCell ref="A43:B43"/>
    <mergeCell ref="A44:B44"/>
    <mergeCell ref="A45:B45"/>
    <mergeCell ref="A52:B52"/>
    <mergeCell ref="A53:B53"/>
    <mergeCell ref="A47:B47"/>
    <mergeCell ref="A48:B48"/>
    <mergeCell ref="A49:B49"/>
    <mergeCell ref="A50:B50"/>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topLeftCell="B13" zoomScale="80" zoomScaleNormal="80" workbookViewId="0">
      <selection activeCell="H19" sqref="H19"/>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4.85546875" style="148"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2.140625" style="148"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17</v>
      </c>
      <c r="H4" s="153" t="str">
        <f>+'1'!H4</f>
        <v>.03.26</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614</v>
      </c>
      <c r="O6" s="148">
        <v>1230</v>
      </c>
      <c r="P6" s="148">
        <f>+O6-(O6*0.22)</f>
        <v>959.4</v>
      </c>
      <c r="Q6" s="148">
        <f>60*2+55</f>
        <v>175</v>
      </c>
      <c r="R6" s="148">
        <f t="shared" ref="R6:R7" si="0">+O6*Q6</f>
        <v>215250</v>
      </c>
      <c r="S6" s="148">
        <f t="shared" ref="S6:S7" si="1">+P6*Q6</f>
        <v>167895</v>
      </c>
    </row>
    <row r="7" spans="1:19" ht="13.5" customHeight="1" thickBot="1">
      <c r="A7" s="770" t="s">
        <v>391</v>
      </c>
      <c r="B7" s="214" t="s">
        <v>623</v>
      </c>
      <c r="C7" s="215">
        <v>5859</v>
      </c>
      <c r="D7" s="216"/>
      <c r="E7" s="217"/>
      <c r="F7" s="227">
        <v>6</v>
      </c>
      <c r="G7" s="228" t="s">
        <v>12</v>
      </c>
      <c r="H7" s="229" t="s">
        <v>467</v>
      </c>
      <c r="I7" s="773" t="s">
        <v>652</v>
      </c>
      <c r="J7" s="213" t="str">
        <f>+'16'!J7</f>
        <v>F 12 VP OW</v>
      </c>
      <c r="K7" s="237"/>
      <c r="L7" s="241"/>
      <c r="M7" s="116">
        <f>+K7+'16'!M7+L7</f>
        <v>136522</v>
      </c>
      <c r="P7" s="148">
        <f>+O7-(O7*0.22)</f>
        <v>0</v>
      </c>
      <c r="R7" s="148">
        <f t="shared" si="0"/>
        <v>0</v>
      </c>
      <c r="S7" s="148">
        <f t="shared" si="1"/>
        <v>0</v>
      </c>
    </row>
    <row r="8" spans="1:19" ht="13.5" thickBot="1">
      <c r="A8" s="771"/>
      <c r="B8" s="214"/>
      <c r="C8" s="215"/>
      <c r="D8" s="216"/>
      <c r="E8" s="218"/>
      <c r="F8" s="230"/>
      <c r="G8" s="231" t="s">
        <v>12</v>
      </c>
      <c r="H8" s="229" t="s">
        <v>283</v>
      </c>
      <c r="I8" s="774"/>
      <c r="J8" s="213" t="str">
        <f>+'16'!J8</f>
        <v>F 14 VP OW</v>
      </c>
      <c r="K8" s="238"/>
      <c r="L8" s="238"/>
      <c r="M8" s="116">
        <f>+K8+'16'!M8+L8</f>
        <v>89126</v>
      </c>
    </row>
    <row r="9" spans="1:19" ht="13.5" thickBot="1">
      <c r="A9" s="771"/>
      <c r="B9" s="214"/>
      <c r="C9" s="215"/>
      <c r="D9" s="216"/>
      <c r="E9" s="219"/>
      <c r="F9" s="227">
        <v>8</v>
      </c>
      <c r="G9" s="231" t="s">
        <v>12</v>
      </c>
      <c r="H9" s="232" t="s">
        <v>677</v>
      </c>
      <c r="I9" s="774"/>
      <c r="J9" s="213" t="str">
        <f>+'16'!J9</f>
        <v>F 16 VP OW</v>
      </c>
      <c r="K9" s="238"/>
      <c r="L9" s="238"/>
      <c r="M9" s="116">
        <f>+K9+'16'!M9+L9</f>
        <v>104726</v>
      </c>
    </row>
    <row r="10" spans="1:19" ht="39" thickBot="1">
      <c r="A10" s="771"/>
      <c r="B10" s="214"/>
      <c r="C10" s="215"/>
      <c r="D10" s="216"/>
      <c r="E10" s="218"/>
      <c r="F10" s="227"/>
      <c r="G10" s="236" t="s">
        <v>13</v>
      </c>
      <c r="H10" s="232" t="s">
        <v>673</v>
      </c>
      <c r="I10" s="774"/>
      <c r="J10" s="213" t="str">
        <f>+'16'!J10</f>
        <v>F 13,5 VP OW</v>
      </c>
      <c r="K10" s="238"/>
      <c r="L10" s="238"/>
      <c r="M10" s="116">
        <f>+K10+'16'!M10+L10</f>
        <v>10827</v>
      </c>
    </row>
    <row r="11" spans="1:19" ht="189.75" customHeight="1" thickBot="1">
      <c r="A11" s="771"/>
      <c r="B11" s="214"/>
      <c r="C11" s="215"/>
      <c r="D11" s="216"/>
      <c r="E11" s="218"/>
      <c r="F11" s="227">
        <v>305</v>
      </c>
      <c r="G11" s="231" t="s">
        <v>675</v>
      </c>
      <c r="H11" s="232" t="s">
        <v>674</v>
      </c>
      <c r="I11" s="774"/>
      <c r="J11" s="213" t="str">
        <f>+'16'!J11</f>
        <v>F 13 VP OW</v>
      </c>
      <c r="K11" s="238"/>
      <c r="L11" s="238"/>
      <c r="M11" s="116">
        <f>+K11+'16'!M11+L11</f>
        <v>19832</v>
      </c>
    </row>
    <row r="12" spans="1:19" ht="13.5" thickBot="1">
      <c r="A12" s="771"/>
      <c r="B12" s="214"/>
      <c r="C12" s="215"/>
      <c r="D12" s="216"/>
      <c r="E12" s="218"/>
      <c r="F12" s="227"/>
      <c r="G12" s="231"/>
      <c r="H12" s="232"/>
      <c r="I12" s="774"/>
      <c r="J12" s="213" t="str">
        <f>+'16'!J12</f>
        <v>T 14 VP OW</v>
      </c>
      <c r="K12" s="238"/>
      <c r="L12" s="238"/>
      <c r="M12" s="116">
        <f>+K12+'16'!M12+L12</f>
        <v>10448</v>
      </c>
    </row>
    <row r="13" spans="1:19" ht="13.5" thickBot="1">
      <c r="A13" s="771"/>
      <c r="B13" s="214"/>
      <c r="C13" s="215"/>
      <c r="D13" s="215"/>
      <c r="E13" s="218"/>
      <c r="F13" s="227"/>
      <c r="G13" s="231"/>
      <c r="H13" s="232"/>
      <c r="I13" s="775"/>
      <c r="J13" s="213" t="str">
        <f>+'16'!J13</f>
        <v>F 11,5 VP OW</v>
      </c>
      <c r="K13" s="238"/>
      <c r="L13" s="238"/>
      <c r="M13" s="116">
        <f>+K13+'16'!M13+L13</f>
        <v>53931</v>
      </c>
      <c r="Q13" s="175">
        <f>SUM(Q6:Q12)</f>
        <v>175</v>
      </c>
      <c r="R13" s="175">
        <f>SUM(R6:R12)</f>
        <v>215250</v>
      </c>
      <c r="S13" s="175">
        <f>SUM(S6:S12)</f>
        <v>167895</v>
      </c>
    </row>
    <row r="14" spans="1:19" ht="13.5" thickBot="1">
      <c r="A14" s="772"/>
      <c r="B14" s="164" t="s">
        <v>2</v>
      </c>
      <c r="C14" s="98">
        <f>SUM(C7:C13)</f>
        <v>5859</v>
      </c>
      <c r="D14" s="110">
        <f>SUM(D7:D13)</f>
        <v>0</v>
      </c>
      <c r="E14" s="111">
        <f>SUM(E5:E13)</f>
        <v>0</v>
      </c>
      <c r="F14" s="115">
        <f>SUM(F7:F13)</f>
        <v>319</v>
      </c>
      <c r="G14" s="158"/>
      <c r="H14" s="165"/>
      <c r="I14" s="166"/>
      <c r="J14" s="213" t="str">
        <f>+'16'!J14</f>
        <v>F 12,5 VP OW</v>
      </c>
      <c r="K14" s="238"/>
      <c r="L14" s="238"/>
      <c r="M14" s="116">
        <f>+K14+'16'!M14+L14</f>
        <v>10132</v>
      </c>
      <c r="Q14" s="148">
        <f>480-Q13</f>
        <v>305</v>
      </c>
      <c r="R14" s="175">
        <f>+R13/Q13</f>
        <v>1230</v>
      </c>
      <c r="S14" s="175">
        <f>+S13/Q13</f>
        <v>959.4</v>
      </c>
    </row>
    <row r="15" spans="1:19" ht="13.5" customHeight="1" thickBot="1">
      <c r="A15" s="770" t="s">
        <v>687</v>
      </c>
      <c r="B15" s="164"/>
      <c r="C15" s="112" t="e">
        <f>C14/($C$23+$D$23+$E$23)</f>
        <v>#DIV/0!</v>
      </c>
      <c r="D15" s="113" t="e">
        <f>D14/($C$23+$D$23+$E$23)</f>
        <v>#DIV/0!</v>
      </c>
      <c r="E15" s="114" t="e">
        <f>E14/($C$23+$D$23+$E$23)</f>
        <v>#DIV/0!</v>
      </c>
      <c r="F15" s="227"/>
      <c r="G15" s="228" t="s">
        <v>12</v>
      </c>
      <c r="H15" s="229" t="s">
        <v>412</v>
      </c>
      <c r="I15" s="773" t="s">
        <v>491</v>
      </c>
      <c r="J15" s="213" t="str">
        <f>+'16'!J15</f>
        <v>T 13 VP OW</v>
      </c>
      <c r="K15" s="238"/>
      <c r="L15" s="238"/>
      <c r="M15" s="116">
        <f>+K15+'16'!M15+L15</f>
        <v>124865</v>
      </c>
    </row>
    <row r="16" spans="1:19" ht="13.5" thickBot="1">
      <c r="A16" s="776"/>
      <c r="B16" s="214"/>
      <c r="C16" s="221"/>
      <c r="D16" s="222"/>
      <c r="E16" s="223"/>
      <c r="F16" s="230"/>
      <c r="G16" s="231" t="s">
        <v>12</v>
      </c>
      <c r="H16" s="229" t="s">
        <v>283</v>
      </c>
      <c r="I16" s="774"/>
      <c r="J16" s="213" t="str">
        <f>+'16'!J16</f>
        <v>T 12,5 VP OW</v>
      </c>
      <c r="K16" s="228">
        <f>+C7</f>
        <v>5859</v>
      </c>
      <c r="L16" s="228"/>
      <c r="M16" s="116">
        <f>+K16+'16'!M16+L16</f>
        <v>52688</v>
      </c>
    </row>
    <row r="17" spans="1:13" ht="13.5" thickBot="1">
      <c r="A17" s="776"/>
      <c r="B17" s="214"/>
      <c r="C17" s="215"/>
      <c r="D17" s="216"/>
      <c r="E17" s="224"/>
      <c r="F17" s="227"/>
      <c r="G17" s="231" t="s">
        <v>12</v>
      </c>
      <c r="H17" s="232" t="s">
        <v>411</v>
      </c>
      <c r="I17" s="774"/>
      <c r="J17" s="213">
        <f>+'16'!J17</f>
        <v>0</v>
      </c>
      <c r="K17" s="228"/>
      <c r="L17" s="228"/>
      <c r="M17" s="116">
        <f>+K17+'16'!M17+L17</f>
        <v>0</v>
      </c>
    </row>
    <row r="18" spans="1:13" ht="13.5" thickBot="1">
      <c r="A18" s="776"/>
      <c r="B18" s="214"/>
      <c r="C18" s="215"/>
      <c r="D18" s="216"/>
      <c r="E18" s="224"/>
      <c r="F18" s="227"/>
      <c r="G18" s="236" t="s">
        <v>13</v>
      </c>
      <c r="H18" s="232" t="s">
        <v>676</v>
      </c>
      <c r="I18" s="774"/>
      <c r="J18" s="213">
        <f>+'16'!J18</f>
        <v>0</v>
      </c>
      <c r="K18" s="238"/>
      <c r="L18" s="238"/>
      <c r="M18" s="116">
        <f>+K18+'16'!M18+L18</f>
        <v>0</v>
      </c>
    </row>
    <row r="19" spans="1:13" ht="135" customHeight="1" thickBot="1">
      <c r="A19" s="776"/>
      <c r="B19" s="214"/>
      <c r="C19" s="215"/>
      <c r="D19" s="216"/>
      <c r="E19" s="224"/>
      <c r="F19" s="234">
        <v>480</v>
      </c>
      <c r="G19" s="231" t="s">
        <v>675</v>
      </c>
      <c r="H19" s="232" t="s">
        <v>672</v>
      </c>
      <c r="I19" s="774"/>
      <c r="J19" s="213">
        <f>+'16'!J19</f>
        <v>0</v>
      </c>
      <c r="K19" s="238"/>
      <c r="L19" s="238"/>
      <c r="M19" s="116">
        <f>+K19+'16'!M19+L19</f>
        <v>0</v>
      </c>
    </row>
    <row r="20" spans="1:13" ht="13.5" thickBot="1">
      <c r="A20" s="776"/>
      <c r="B20" s="214"/>
      <c r="C20" s="215"/>
      <c r="D20" s="216"/>
      <c r="E20" s="224"/>
      <c r="F20" s="227"/>
      <c r="G20" s="231"/>
      <c r="H20" s="232"/>
      <c r="I20" s="774"/>
      <c r="J20" s="213">
        <f>+'16'!J20</f>
        <v>0</v>
      </c>
      <c r="K20" s="239"/>
      <c r="L20" s="239"/>
      <c r="M20" s="116">
        <f>+K20+'16'!M20+L20</f>
        <v>0</v>
      </c>
    </row>
    <row r="21" spans="1:13" ht="13.5" thickBot="1">
      <c r="A21" s="776"/>
      <c r="B21" s="214"/>
      <c r="C21" s="215"/>
      <c r="D21" s="216"/>
      <c r="E21" s="224"/>
      <c r="F21" s="230"/>
      <c r="G21" s="231"/>
      <c r="H21" s="232"/>
      <c r="I21" s="774"/>
      <c r="J21" s="213">
        <f>+'16'!J21</f>
        <v>0</v>
      </c>
      <c r="K21" s="238"/>
      <c r="L21" s="238"/>
      <c r="M21" s="116">
        <f>+K21+'16'!M21+L21</f>
        <v>0</v>
      </c>
    </row>
    <row r="22" spans="1:13" ht="13.5" thickBot="1">
      <c r="A22" s="776"/>
      <c r="B22" s="214"/>
      <c r="C22" s="215"/>
      <c r="D22" s="216"/>
      <c r="E22" s="224"/>
      <c r="F22" s="235"/>
      <c r="G22" s="231"/>
      <c r="H22" s="232"/>
      <c r="I22" s="775"/>
      <c r="J22" s="213">
        <f>+'16'!J22</f>
        <v>0</v>
      </c>
      <c r="K22" s="238"/>
      <c r="L22" s="238"/>
      <c r="M22" s="116">
        <f>+K22+'16'!M22+L22</f>
        <v>0</v>
      </c>
    </row>
    <row r="23" spans="1:13" ht="13.5" thickBot="1">
      <c r="A23" s="777"/>
      <c r="B23" s="167" t="s">
        <v>2</v>
      </c>
      <c r="C23" s="99">
        <f>SUM(C16:C22)</f>
        <v>0</v>
      </c>
      <c r="D23" s="110">
        <f>SUM(D16:D22)</f>
        <v>0</v>
      </c>
      <c r="E23" s="111">
        <f>SUM(E18:E22)</f>
        <v>0</v>
      </c>
      <c r="F23" s="115">
        <f>SUM(F15:F22)</f>
        <v>480</v>
      </c>
      <c r="G23" s="158"/>
      <c r="H23" s="165"/>
      <c r="I23" s="168"/>
      <c r="J23" s="213">
        <f>+'16'!J23</f>
        <v>0</v>
      </c>
      <c r="K23" s="238"/>
      <c r="L23" s="238"/>
      <c r="M23" s="116">
        <f>+K23+'16'!M23+L23</f>
        <v>0</v>
      </c>
    </row>
    <row r="24" spans="1:13" ht="13.5" customHeight="1" thickBot="1">
      <c r="A24" s="770" t="s">
        <v>686</v>
      </c>
      <c r="B24" s="169"/>
      <c r="C24" s="112" t="e">
        <f>C23/($C$23+$D$23+$E$23)</f>
        <v>#DIV/0!</v>
      </c>
      <c r="D24" s="113" t="e">
        <f>D23/($C$23+$D$23+$E$23)</f>
        <v>#DIV/0!</v>
      </c>
      <c r="E24" s="114" t="e">
        <f>E23/($C$23+$D$23+$E$23)</f>
        <v>#DIV/0!</v>
      </c>
      <c r="F24" s="227"/>
      <c r="G24" s="228" t="s">
        <v>12</v>
      </c>
      <c r="H24" s="229" t="s">
        <v>412</v>
      </c>
      <c r="I24" s="773" t="s">
        <v>491</v>
      </c>
      <c r="J24" s="213">
        <f>+'16'!J24</f>
        <v>0</v>
      </c>
      <c r="K24" s="238"/>
      <c r="L24" s="238"/>
      <c r="M24" s="116">
        <f>+K24+'16'!M24+L24</f>
        <v>0</v>
      </c>
    </row>
    <row r="25" spans="1:13" ht="13.5" thickBot="1">
      <c r="A25" s="776"/>
      <c r="B25" s="214"/>
      <c r="C25" s="225"/>
      <c r="D25" s="216"/>
      <c r="E25" s="224"/>
      <c r="F25" s="230"/>
      <c r="G25" s="231" t="s">
        <v>12</v>
      </c>
      <c r="H25" s="229" t="s">
        <v>283</v>
      </c>
      <c r="I25" s="774"/>
      <c r="J25" s="213">
        <f>+'16'!J25</f>
        <v>0</v>
      </c>
      <c r="K25" s="238"/>
      <c r="L25" s="238"/>
      <c r="M25" s="116">
        <f>+K25+'16'!M25+L25</f>
        <v>0</v>
      </c>
    </row>
    <row r="26" spans="1:13" ht="13.5" thickBot="1">
      <c r="A26" s="776"/>
      <c r="B26" s="214"/>
      <c r="C26" s="225"/>
      <c r="D26" s="216"/>
      <c r="E26" s="226"/>
      <c r="F26" s="227"/>
      <c r="G26" s="231" t="s">
        <v>12</v>
      </c>
      <c r="H26" s="232" t="s">
        <v>411</v>
      </c>
      <c r="I26" s="774"/>
      <c r="J26" s="213">
        <f>+'16'!J26</f>
        <v>0</v>
      </c>
      <c r="K26" s="238"/>
      <c r="L26" s="238"/>
      <c r="M26" s="116">
        <f>+K26+'16'!M26+L26</f>
        <v>0</v>
      </c>
    </row>
    <row r="27" spans="1:13" ht="13.5" thickBot="1">
      <c r="A27" s="776"/>
      <c r="B27" s="214"/>
      <c r="C27" s="215"/>
      <c r="D27" s="216"/>
      <c r="E27" s="224"/>
      <c r="F27" s="227"/>
      <c r="G27" s="236" t="s">
        <v>13</v>
      </c>
      <c r="H27" s="232" t="s">
        <v>676</v>
      </c>
      <c r="I27" s="774"/>
      <c r="J27" s="213">
        <f>+'16'!J27</f>
        <v>0</v>
      </c>
      <c r="K27" s="238"/>
      <c r="L27" s="238"/>
      <c r="M27" s="116">
        <f>+K27+'16'!M27+L27</f>
        <v>0</v>
      </c>
    </row>
    <row r="28" spans="1:13" ht="139.5" customHeight="1" thickBot="1">
      <c r="A28" s="776"/>
      <c r="B28" s="214"/>
      <c r="C28" s="215"/>
      <c r="D28" s="216"/>
      <c r="E28" s="224"/>
      <c r="F28" s="234">
        <v>480</v>
      </c>
      <c r="G28" s="231" t="s">
        <v>675</v>
      </c>
      <c r="H28" s="232" t="s">
        <v>671</v>
      </c>
      <c r="I28" s="774"/>
      <c r="J28" s="213">
        <f>+'16'!J28</f>
        <v>0</v>
      </c>
      <c r="K28" s="238"/>
      <c r="L28" s="238"/>
      <c r="M28" s="116">
        <f>+K28+'16'!M28+L28</f>
        <v>0</v>
      </c>
    </row>
    <row r="29" spans="1:13" ht="13.5" thickBot="1">
      <c r="A29" s="776"/>
      <c r="B29" s="214"/>
      <c r="C29" s="215"/>
      <c r="D29" s="216"/>
      <c r="E29" s="224"/>
      <c r="F29" s="235"/>
      <c r="G29" s="231"/>
      <c r="H29" s="232"/>
      <c r="I29" s="774"/>
      <c r="J29" s="213">
        <f>+'16'!J29</f>
        <v>0</v>
      </c>
      <c r="K29" s="238"/>
      <c r="L29" s="238"/>
      <c r="M29" s="116">
        <f>+K29+'16'!M29+L29</f>
        <v>0</v>
      </c>
    </row>
    <row r="30" spans="1:13" ht="13.5" thickBot="1">
      <c r="A30" s="776"/>
      <c r="B30" s="214"/>
      <c r="C30" s="225"/>
      <c r="D30" s="216"/>
      <c r="E30" s="224"/>
      <c r="F30" s="235"/>
      <c r="G30" s="231"/>
      <c r="H30" s="232"/>
      <c r="I30" s="774"/>
      <c r="J30" s="213">
        <f>+'16'!J30</f>
        <v>0</v>
      </c>
      <c r="K30" s="238"/>
      <c r="L30" s="238"/>
      <c r="M30" s="116">
        <f>+K30+'16'!M30+L30</f>
        <v>0</v>
      </c>
    </row>
    <row r="31" spans="1:13" ht="13.5" thickBot="1">
      <c r="A31" s="776"/>
      <c r="B31" s="214"/>
      <c r="C31" s="225"/>
      <c r="D31" s="216"/>
      <c r="E31" s="224"/>
      <c r="F31" s="235"/>
      <c r="G31" s="236"/>
      <c r="H31" s="443"/>
      <c r="I31" s="775"/>
      <c r="J31" s="213">
        <f>+'16'!J31</f>
        <v>0</v>
      </c>
      <c r="K31" s="238"/>
      <c r="L31" s="238"/>
      <c r="M31" s="116">
        <f>+K31+'16'!M31+L31</f>
        <v>0</v>
      </c>
    </row>
    <row r="32" spans="1:13" ht="13.5" thickBot="1">
      <c r="A32" s="777"/>
      <c r="B32" s="164" t="s">
        <v>2</v>
      </c>
      <c r="C32" s="98">
        <f>SUM(C25:C31)</f>
        <v>0</v>
      </c>
      <c r="D32" s="99">
        <f>SUM(D25:D31)</f>
        <v>0</v>
      </c>
      <c r="E32" s="100">
        <f>SUM(E25:E31)</f>
        <v>0</v>
      </c>
      <c r="F32" s="101">
        <f>SUM(F24:F31)</f>
        <v>480</v>
      </c>
      <c r="G32" s="170"/>
      <c r="H32" s="171"/>
      <c r="I32" s="168"/>
      <c r="J32" s="213">
        <f>+'16'!J32</f>
        <v>0</v>
      </c>
      <c r="K32" s="240"/>
      <c r="L32" s="242"/>
      <c r="M32" s="116">
        <f>+K32+'16'!M32+L32</f>
        <v>0</v>
      </c>
    </row>
    <row r="33" spans="1:13" ht="13.5" thickBot="1">
      <c r="A33" s="172"/>
      <c r="B33" s="173"/>
      <c r="C33" s="102" t="e">
        <f>C32/($C$32+$D$32+$E$32)</f>
        <v>#DIV/0!</v>
      </c>
      <c r="D33" s="103" t="e">
        <f>D32/($C$32+$D$32+$E$32)</f>
        <v>#DIV/0!</v>
      </c>
      <c r="E33" s="104" t="e">
        <f>E32/($C$32+$D$32+$E$32)</f>
        <v>#DIV/0!</v>
      </c>
      <c r="F33" s="105"/>
      <c r="G33" s="174"/>
      <c r="H33" s="175"/>
      <c r="I33" s="176"/>
      <c r="J33" s="120"/>
      <c r="K33" s="121"/>
      <c r="L33" s="212"/>
      <c r="M33" s="118"/>
    </row>
    <row r="34" spans="1:13" ht="13.5" thickBot="1">
      <c r="A34" s="766" t="s">
        <v>57</v>
      </c>
      <c r="B34" s="767"/>
      <c r="C34" s="106">
        <f>C14+C23+C32</f>
        <v>5859</v>
      </c>
      <c r="D34" s="106">
        <f>D14+D23+D32</f>
        <v>0</v>
      </c>
      <c r="E34" s="106">
        <f>E14+E23+E32</f>
        <v>0</v>
      </c>
      <c r="F34" s="107">
        <f>F14+F23+F32</f>
        <v>1279</v>
      </c>
      <c r="H34" s="177"/>
      <c r="I34" s="177"/>
      <c r="J34" s="122" t="s">
        <v>28</v>
      </c>
      <c r="K34" s="123">
        <f>SUM(K7:K32)</f>
        <v>5859</v>
      </c>
      <c r="L34" s="211">
        <f>SUM(L7:L32)</f>
        <v>0</v>
      </c>
      <c r="M34" s="119">
        <f>SUM(M7:M32)</f>
        <v>613097</v>
      </c>
    </row>
    <row r="35" spans="1:13" ht="13.5" thickBot="1">
      <c r="A35" s="178"/>
      <c r="B35" s="179"/>
      <c r="C35" s="103">
        <f>C34/($C$34+$D$34+$E$34)</f>
        <v>1</v>
      </c>
      <c r="D35" s="103">
        <f>D34/($C$34+$D$34+$E$34)</f>
        <v>0</v>
      </c>
      <c r="E35" s="108">
        <f>E34/($C$34+$D$34+$E$34)</f>
        <v>0</v>
      </c>
      <c r="K35" s="154"/>
    </row>
    <row r="36" spans="1:13" ht="13.5" thickBot="1">
      <c r="A36" s="177"/>
      <c r="B36" s="177"/>
      <c r="C36" s="154"/>
      <c r="D36" s="154"/>
      <c r="E36" s="154"/>
      <c r="G36" s="154"/>
      <c r="H36" s="180"/>
      <c r="I36" s="161" t="s">
        <v>37</v>
      </c>
      <c r="J36" s="161" t="s">
        <v>38</v>
      </c>
      <c r="K36" s="181"/>
    </row>
    <row r="37" spans="1:13" ht="17.45" customHeight="1" thickBot="1">
      <c r="A37" s="768" t="s">
        <v>58</v>
      </c>
      <c r="B37" s="769"/>
      <c r="C37" s="161" t="s">
        <v>59</v>
      </c>
      <c r="D37" s="182" t="s">
        <v>60</v>
      </c>
      <c r="E37" s="183" t="s">
        <v>61</v>
      </c>
      <c r="F37" s="321"/>
      <c r="G37" s="323"/>
      <c r="H37" s="185" t="s">
        <v>62</v>
      </c>
      <c r="I37" s="243">
        <f>(12.5*175)/175*G42*2.74*175/1000000</f>
        <v>5.7504037500000011</v>
      </c>
      <c r="J37" s="124">
        <f>+I37+'16'!J37</f>
        <v>720.38915342322991</v>
      </c>
      <c r="K37" s="125" t="s">
        <v>63</v>
      </c>
    </row>
    <row r="38" spans="1:13" ht="17.45" customHeight="1">
      <c r="A38" s="760" t="s">
        <v>12</v>
      </c>
      <c r="B38" s="761"/>
      <c r="C38" s="163">
        <f>SUMIF($G$7:$G$31,"Process",$F$7:$F$31)</f>
        <v>14</v>
      </c>
      <c r="D38" s="117">
        <f>+C38+'16'!D38</f>
        <v>1260</v>
      </c>
      <c r="E38" s="142">
        <f t="shared" ref="E38:E51" si="2">D38/60</f>
        <v>21</v>
      </c>
      <c r="F38" s="321">
        <v>1230</v>
      </c>
      <c r="G38" s="321">
        <v>959.4</v>
      </c>
      <c r="H38" s="186" t="s">
        <v>64</v>
      </c>
      <c r="I38" s="244">
        <v>5.4</v>
      </c>
      <c r="J38" s="126">
        <f>+I38+'16'!J38</f>
        <v>632.20499999999993</v>
      </c>
      <c r="K38" s="127" t="s">
        <v>63</v>
      </c>
    </row>
    <row r="39" spans="1:13" ht="17.45" customHeight="1">
      <c r="A39" s="764" t="s">
        <v>13</v>
      </c>
      <c r="B39" s="765"/>
      <c r="C39" s="163">
        <f>SUMIF($G$7:$G$31,"Cleaning",$F$7:$F$31)</f>
        <v>0</v>
      </c>
      <c r="D39" s="117">
        <f>+C39+'16'!D39</f>
        <v>0</v>
      </c>
      <c r="E39" s="142">
        <f t="shared" si="2"/>
        <v>0</v>
      </c>
      <c r="F39" s="321"/>
      <c r="G39" s="321"/>
      <c r="H39" s="186" t="s">
        <v>65</v>
      </c>
      <c r="I39" s="141"/>
      <c r="J39" s="128">
        <f>J37/G4</f>
        <v>42.375832554307642</v>
      </c>
      <c r="K39" s="129" t="s">
        <v>63</v>
      </c>
      <c r="M39" s="148">
        <v>175</v>
      </c>
    </row>
    <row r="40" spans="1:13" ht="17.45" customHeight="1">
      <c r="A40" s="764" t="s">
        <v>66</v>
      </c>
      <c r="B40" s="765"/>
      <c r="C40" s="163">
        <f>SUMIF($G$7:$G$31,"Mechanical",$F$7:$F$31)</f>
        <v>0</v>
      </c>
      <c r="D40" s="117">
        <f>+C40+'16'!D40</f>
        <v>0</v>
      </c>
      <c r="E40" s="142">
        <f t="shared" si="2"/>
        <v>0</v>
      </c>
      <c r="F40" s="321"/>
      <c r="G40" s="321"/>
      <c r="H40" s="186" t="s">
        <v>67</v>
      </c>
      <c r="I40" s="117">
        <f>(K34+L34)/1000</f>
        <v>5.859</v>
      </c>
      <c r="J40" s="130">
        <f>+I40+'16'!J40</f>
        <v>613.09699999999998</v>
      </c>
      <c r="K40" s="129" t="s">
        <v>63</v>
      </c>
    </row>
    <row r="41" spans="1:13" ht="17.45" customHeight="1">
      <c r="A41" s="764" t="s">
        <v>68</v>
      </c>
      <c r="B41" s="765"/>
      <c r="C41" s="163">
        <f>SUMIF($G$7:$G$31,"Electrical",$F$7:$F$31)</f>
        <v>0</v>
      </c>
      <c r="D41" s="117">
        <f>+C41+'16'!D41</f>
        <v>311</v>
      </c>
      <c r="E41" s="142">
        <f t="shared" si="2"/>
        <v>5.1833333333333336</v>
      </c>
      <c r="F41" s="321"/>
      <c r="G41" s="321"/>
      <c r="H41" s="186" t="s">
        <v>69</v>
      </c>
      <c r="I41" s="141"/>
      <c r="J41" s="128">
        <f>J40/G4</f>
        <v>36.064529411764703</v>
      </c>
      <c r="K41" s="129" t="s">
        <v>63</v>
      </c>
    </row>
    <row r="42" spans="1:13" ht="17.45" customHeight="1">
      <c r="A42" s="764" t="s">
        <v>16</v>
      </c>
      <c r="B42" s="765"/>
      <c r="C42" s="163">
        <f>SUMIF($G$7:$G$31,"Instrument",$F$7:$F$31)</f>
        <v>0</v>
      </c>
      <c r="D42" s="117">
        <f>+C42+'16'!D42</f>
        <v>0</v>
      </c>
      <c r="E42" s="142">
        <f t="shared" si="2"/>
        <v>0</v>
      </c>
      <c r="F42" s="321">
        <f>+F38</f>
        <v>1230</v>
      </c>
      <c r="G42" s="321">
        <f>+G38</f>
        <v>959.4</v>
      </c>
      <c r="H42" s="186" t="s">
        <v>70</v>
      </c>
      <c r="I42" s="245"/>
      <c r="J42" s="131"/>
      <c r="K42" s="129" t="s">
        <v>71</v>
      </c>
    </row>
    <row r="43" spans="1:13" ht="17.45" customHeight="1">
      <c r="A43" s="764" t="s">
        <v>72</v>
      </c>
      <c r="B43" s="765"/>
      <c r="C43" s="163">
        <f>SUMIF($G$7:$G$31,"Water",$F$7:$F$31)</f>
        <v>0</v>
      </c>
      <c r="D43" s="117">
        <f>+C43+'16'!D43</f>
        <v>0</v>
      </c>
      <c r="E43" s="142">
        <f t="shared" si="2"/>
        <v>0</v>
      </c>
      <c r="F43" s="321"/>
      <c r="G43" s="322"/>
      <c r="H43" s="187" t="s">
        <v>73</v>
      </c>
      <c r="I43" s="117">
        <f>+Report1!Z25</f>
        <v>8.6</v>
      </c>
      <c r="J43" s="132">
        <f>+I43+'16'!J43</f>
        <v>852.7</v>
      </c>
      <c r="K43" s="129" t="s">
        <v>63</v>
      </c>
      <c r="L43" s="188"/>
    </row>
    <row r="44" spans="1:13" ht="17.45" customHeight="1">
      <c r="A44" s="764" t="s">
        <v>17</v>
      </c>
      <c r="B44" s="765"/>
      <c r="C44" s="163">
        <f>SUMIF($G$7:$G$31,"PLN",$F$7:$F$31)</f>
        <v>0</v>
      </c>
      <c r="D44" s="117">
        <f>+C44+'16'!D44</f>
        <v>0</v>
      </c>
      <c r="E44" s="142">
        <f t="shared" si="2"/>
        <v>0</v>
      </c>
      <c r="F44" s="321"/>
      <c r="G44" s="322"/>
      <c r="H44" s="187" t="s">
        <v>74</v>
      </c>
      <c r="I44" s="117">
        <f>I43/I38</f>
        <v>1.5925925925925923</v>
      </c>
      <c r="J44" s="133">
        <f>J43/J38</f>
        <v>1.348771363719047</v>
      </c>
      <c r="K44" s="129" t="s">
        <v>63</v>
      </c>
    </row>
    <row r="45" spans="1:13" ht="17.45" customHeight="1">
      <c r="A45" s="764" t="s">
        <v>18</v>
      </c>
      <c r="B45" s="765"/>
      <c r="C45" s="163">
        <f>SUMIF($G$7:$G$31,"Boiler",$F$7:$F$31)</f>
        <v>0</v>
      </c>
      <c r="D45" s="117">
        <f>+C45+'16'!D45</f>
        <v>0</v>
      </c>
      <c r="E45" s="142">
        <f t="shared" si="2"/>
        <v>0</v>
      </c>
      <c r="F45" s="321"/>
      <c r="G45" s="324"/>
      <c r="H45" s="187" t="s">
        <v>75</v>
      </c>
      <c r="I45" s="117">
        <f>I43/I40</f>
        <v>1.4678272742788872</v>
      </c>
      <c r="J45" s="133">
        <f>J43/J40</f>
        <v>1.3908076536013063</v>
      </c>
      <c r="K45" s="129" t="s">
        <v>63</v>
      </c>
    </row>
    <row r="46" spans="1:13" ht="17.45" customHeight="1">
      <c r="A46" s="764" t="s">
        <v>76</v>
      </c>
      <c r="B46" s="765"/>
      <c r="C46" s="163">
        <f>SUMIF($G$7:$G$31,"Gas",$F$7:$F$31)</f>
        <v>0</v>
      </c>
      <c r="D46" s="117">
        <f>+C46+'16'!D46</f>
        <v>0</v>
      </c>
      <c r="E46" s="142">
        <f t="shared" si="2"/>
        <v>0</v>
      </c>
      <c r="F46" s="321"/>
      <c r="G46" s="322"/>
      <c r="H46" s="187" t="s">
        <v>77</v>
      </c>
      <c r="I46" s="139">
        <f>+SUMIF(Listrik!P24,"&gt;0")</f>
        <v>11728.060000000725</v>
      </c>
      <c r="J46" s="134">
        <f>+I46+'16'!J46</f>
        <v>570304.74000000069</v>
      </c>
      <c r="K46" s="129" t="s">
        <v>78</v>
      </c>
    </row>
    <row r="47" spans="1:13" ht="17.45" customHeight="1">
      <c r="A47" s="764" t="s">
        <v>79</v>
      </c>
      <c r="B47" s="765"/>
      <c r="C47" s="163">
        <f>SUMIF($G$7:$G$31,"Gas",$F$7:$F$31)</f>
        <v>0</v>
      </c>
      <c r="D47" s="117">
        <f>+C47+'16'!D47</f>
        <v>0</v>
      </c>
      <c r="E47" s="142">
        <f t="shared" si="2"/>
        <v>0</v>
      </c>
      <c r="F47" s="321"/>
      <c r="G47" s="322"/>
      <c r="H47" s="187" t="s">
        <v>80</v>
      </c>
      <c r="I47" s="117">
        <f>I46/I38</f>
        <v>2171.8629629630973</v>
      </c>
      <c r="J47" s="134">
        <f>J46/J38</f>
        <v>902.0883099627506</v>
      </c>
      <c r="K47" s="129" t="s">
        <v>24</v>
      </c>
    </row>
    <row r="48" spans="1:13" ht="17.45" customHeight="1">
      <c r="A48" s="764" t="s">
        <v>14</v>
      </c>
      <c r="B48" s="765"/>
      <c r="C48" s="163">
        <f>SUMIF($G$7:$G$31,"Start Up",$F$7:$F$31)</f>
        <v>0</v>
      </c>
      <c r="D48" s="117">
        <f>+C48+'16'!D48</f>
        <v>0</v>
      </c>
      <c r="E48" s="142">
        <f t="shared" si="2"/>
        <v>0</v>
      </c>
      <c r="F48" s="321"/>
      <c r="G48" s="322"/>
      <c r="H48" s="187" t="s">
        <v>81</v>
      </c>
      <c r="I48" s="117">
        <f>I46/I40</f>
        <v>2001.71701655585</v>
      </c>
      <c r="J48" s="134">
        <f>J46/J40</f>
        <v>930.2031163094922</v>
      </c>
      <c r="K48" s="129" t="s">
        <v>24</v>
      </c>
    </row>
    <row r="49" spans="1:11" ht="17.45" customHeight="1">
      <c r="A49" s="764" t="s">
        <v>20</v>
      </c>
      <c r="B49" s="765"/>
      <c r="C49" s="163">
        <f>SUMIF($G$7:$G$31,"Others",$F$7:$F$31)</f>
        <v>0</v>
      </c>
      <c r="D49" s="117">
        <f>+C49+'16'!D49</f>
        <v>948</v>
      </c>
      <c r="E49" s="142">
        <f t="shared" si="2"/>
        <v>15.8</v>
      </c>
      <c r="F49" s="184"/>
      <c r="H49" s="187" t="s">
        <v>268</v>
      </c>
      <c r="I49" s="117">
        <f>+Report1!T25</f>
        <v>502.64249922052466</v>
      </c>
      <c r="J49" s="134">
        <f>+I49+'16'!J49</f>
        <v>77170.957005207325</v>
      </c>
      <c r="K49" s="129" t="s">
        <v>82</v>
      </c>
    </row>
    <row r="50" spans="1:11" ht="17.45" customHeight="1">
      <c r="A50" s="764" t="s">
        <v>19</v>
      </c>
      <c r="B50" s="765"/>
      <c r="C50" s="163">
        <f>SUMIF($G$7:$G$31,"Steam",$F$7:$F$31)</f>
        <v>0</v>
      </c>
      <c r="D50" s="117">
        <f>+C50+'16'!D50</f>
        <v>0</v>
      </c>
      <c r="E50" s="142">
        <f t="shared" si="2"/>
        <v>0</v>
      </c>
      <c r="F50" s="184"/>
      <c r="H50" s="187" t="s">
        <v>83</v>
      </c>
      <c r="I50" s="139">
        <f>I49/I38</f>
        <v>93.081944300097149</v>
      </c>
      <c r="J50" s="132">
        <f>J49/J38</f>
        <v>122.06635032182177</v>
      </c>
      <c r="K50" s="129" t="s">
        <v>82</v>
      </c>
    </row>
    <row r="51" spans="1:11" ht="17.45" customHeight="1" thickBot="1">
      <c r="A51" s="758" t="s">
        <v>84</v>
      </c>
      <c r="B51" s="759"/>
      <c r="C51" s="163">
        <f>SUMIF($G$7:$G$31,"Planned shut",$F$7:$F$31)</f>
        <v>1265</v>
      </c>
      <c r="D51" s="117">
        <f>+C51+'16'!D51</f>
        <v>1265</v>
      </c>
      <c r="E51" s="142">
        <f t="shared" si="2"/>
        <v>21.083333333333332</v>
      </c>
      <c r="F51" s="184"/>
      <c r="H51" s="189" t="s">
        <v>85</v>
      </c>
      <c r="I51" s="140">
        <f>I49/I40</f>
        <v>85.789810414836097</v>
      </c>
      <c r="J51" s="135">
        <f>J49/J40</f>
        <v>125.87071377809275</v>
      </c>
      <c r="K51" s="136" t="s">
        <v>82</v>
      </c>
    </row>
    <row r="52" spans="1:11" ht="13.5" thickBot="1">
      <c r="A52" s="760" t="s">
        <v>28</v>
      </c>
      <c r="B52" s="761"/>
      <c r="C52" s="143">
        <f>SUM(C38:C51)</f>
        <v>1279</v>
      </c>
      <c r="D52" s="143">
        <f>SUM(D38:D51)</f>
        <v>3784</v>
      </c>
      <c r="E52" s="144">
        <f>SUM(E38:E51)</f>
        <v>63.066666666666663</v>
      </c>
      <c r="F52" s="184"/>
      <c r="H52" s="190"/>
      <c r="I52" s="191"/>
      <c r="J52" s="137"/>
      <c r="K52" s="138"/>
    </row>
    <row r="53" spans="1:11" ht="13.5" thickBot="1">
      <c r="A53" s="762"/>
      <c r="B53" s="763"/>
      <c r="C53" s="145">
        <f>C52/(24*60)</f>
        <v>0.8881944444444444</v>
      </c>
      <c r="D53" s="145">
        <f>D52/(24*60*G4)</f>
        <v>0.15457516339869282</v>
      </c>
      <c r="E53" s="146">
        <f>E52/(G4*24)</f>
        <v>0.15457516339869279</v>
      </c>
      <c r="F53" s="184"/>
    </row>
    <row r="54" spans="1:11">
      <c r="E54" s="192"/>
      <c r="F54" s="184"/>
    </row>
    <row r="55" spans="1:11">
      <c r="E55" s="192"/>
    </row>
    <row r="56" spans="1:11">
      <c r="A56" s="193" t="s">
        <v>86</v>
      </c>
      <c r="B56" s="194"/>
      <c r="C56" s="195"/>
      <c r="D56" s="195"/>
      <c r="E56" s="195"/>
      <c r="F56" s="196"/>
      <c r="G56" s="195"/>
      <c r="H56" s="197"/>
      <c r="I56" s="198" t="s">
        <v>87</v>
      </c>
      <c r="J56" s="199">
        <f>+D34+'16'!J56</f>
        <v>1116</v>
      </c>
      <c r="K56" s="200">
        <f>J56/(J40+J56/1000)/1000</f>
        <v>1.8169592633174485E-3</v>
      </c>
    </row>
    <row r="57" spans="1:11">
      <c r="A57" s="175"/>
      <c r="I57" s="198" t="s">
        <v>88</v>
      </c>
      <c r="J57" s="199">
        <f>+E34+'16'!J57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7:A14"/>
    <mergeCell ref="I7:I13"/>
    <mergeCell ref="A15:A23"/>
    <mergeCell ref="I15:I22"/>
    <mergeCell ref="A34:B34"/>
    <mergeCell ref="A37:B37"/>
    <mergeCell ref="A38:B38"/>
    <mergeCell ref="I24:I31"/>
    <mergeCell ref="A24:A32"/>
    <mergeCell ref="A39:B39"/>
    <mergeCell ref="A40:B40"/>
    <mergeCell ref="A41:B41"/>
    <mergeCell ref="A42:B42"/>
    <mergeCell ref="A43:B43"/>
    <mergeCell ref="A44:B44"/>
    <mergeCell ref="A45:B45"/>
    <mergeCell ref="A46:B46"/>
    <mergeCell ref="A51:B51"/>
    <mergeCell ref="A52:B52"/>
    <mergeCell ref="A53:B53"/>
    <mergeCell ref="A47:B47"/>
    <mergeCell ref="A48:B48"/>
    <mergeCell ref="A49:B49"/>
    <mergeCell ref="A50:B50"/>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
  <sheetViews>
    <sheetView topLeftCell="C1" zoomScale="80" zoomScaleNormal="80" workbookViewId="0">
      <selection activeCell="G24" sqref="G24:H27"/>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2.140625" style="148"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16</v>
      </c>
      <c r="H4" s="153" t="str">
        <f>+'1'!H4</f>
        <v>.03.26</v>
      </c>
      <c r="J4" s="148">
        <f>497+541+679</f>
        <v>1717</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595</v>
      </c>
      <c r="O6" s="148">
        <v>1170</v>
      </c>
      <c r="P6" s="148">
        <f>+O6-(O6*0.18)</f>
        <v>959.4</v>
      </c>
      <c r="Q6" s="148">
        <v>480</v>
      </c>
      <c r="R6" s="148">
        <f t="shared" ref="R6:R7" si="0">+O6*Q6</f>
        <v>561600</v>
      </c>
      <c r="S6" s="148">
        <f t="shared" ref="S6:S7" si="1">+P6*Q6</f>
        <v>460512</v>
      </c>
    </row>
    <row r="7" spans="1:19" ht="13.5" customHeight="1" thickBot="1">
      <c r="A7" s="770" t="s">
        <v>391</v>
      </c>
      <c r="B7" s="214" t="s">
        <v>606</v>
      </c>
      <c r="C7" s="215">
        <v>13947</v>
      </c>
      <c r="D7" s="216"/>
      <c r="E7" s="217"/>
      <c r="F7" s="227">
        <v>9</v>
      </c>
      <c r="G7" s="228" t="s">
        <v>12</v>
      </c>
      <c r="H7" s="229" t="s">
        <v>412</v>
      </c>
      <c r="I7" s="773" t="s">
        <v>665</v>
      </c>
      <c r="J7" s="213" t="str">
        <f>+'15'!J7</f>
        <v>F 12 VP OW</v>
      </c>
      <c r="K7" s="237"/>
      <c r="L7" s="241"/>
      <c r="M7" s="116">
        <f>+K7+'15'!M7+L7</f>
        <v>136522</v>
      </c>
      <c r="O7" s="148">
        <v>1170</v>
      </c>
      <c r="P7" s="148">
        <f>+O7-(O7*0.22)</f>
        <v>912.6</v>
      </c>
      <c r="Q7" s="148">
        <v>480</v>
      </c>
      <c r="R7" s="148">
        <f t="shared" si="0"/>
        <v>561600</v>
      </c>
      <c r="S7" s="148">
        <f t="shared" si="1"/>
        <v>438048</v>
      </c>
    </row>
    <row r="8" spans="1:19" ht="13.5" thickBot="1">
      <c r="A8" s="771"/>
      <c r="B8" s="214"/>
      <c r="C8" s="215"/>
      <c r="D8" s="216"/>
      <c r="E8" s="218"/>
      <c r="F8" s="230"/>
      <c r="G8" s="231" t="s">
        <v>12</v>
      </c>
      <c r="H8" s="229" t="s">
        <v>283</v>
      </c>
      <c r="I8" s="774"/>
      <c r="J8" s="213" t="str">
        <f>+'15'!J8</f>
        <v>F 14 VP OW</v>
      </c>
      <c r="K8" s="238"/>
      <c r="L8" s="238"/>
      <c r="M8" s="116">
        <f>+K8+'15'!M8+L8</f>
        <v>89126</v>
      </c>
    </row>
    <row r="9" spans="1:19" ht="13.5" thickBot="1">
      <c r="A9" s="771"/>
      <c r="B9" s="214"/>
      <c r="C9" s="215"/>
      <c r="D9" s="216"/>
      <c r="E9" s="219"/>
      <c r="F9" s="227">
        <f>23-9</f>
        <v>14</v>
      </c>
      <c r="G9" s="231" t="s">
        <v>12</v>
      </c>
      <c r="H9" s="232" t="s">
        <v>385</v>
      </c>
      <c r="I9" s="774"/>
      <c r="J9" s="213" t="str">
        <f>+'15'!J9</f>
        <v>F 16 VP OW</v>
      </c>
      <c r="K9" s="238"/>
      <c r="L9" s="238"/>
      <c r="M9" s="116">
        <f>+K9+'15'!M9+L9</f>
        <v>104726</v>
      </c>
    </row>
    <row r="10" spans="1:19" ht="39" thickBot="1">
      <c r="A10" s="771"/>
      <c r="B10" s="214"/>
      <c r="C10" s="215"/>
      <c r="D10" s="216"/>
      <c r="E10" s="218"/>
      <c r="F10" s="227"/>
      <c r="G10" s="236" t="s">
        <v>13</v>
      </c>
      <c r="H10" s="232" t="s">
        <v>663</v>
      </c>
      <c r="I10" s="774"/>
      <c r="J10" s="213" t="str">
        <f>+'15'!J10</f>
        <v>F 13,5 VP OW</v>
      </c>
      <c r="K10" s="238"/>
      <c r="L10" s="238"/>
      <c r="M10" s="116">
        <f>+K10+'15'!M10+L10</f>
        <v>10827</v>
      </c>
    </row>
    <row r="11" spans="1:19" ht="13.5" thickBot="1">
      <c r="A11" s="771"/>
      <c r="B11" s="214"/>
      <c r="C11" s="215"/>
      <c r="D11" s="216"/>
      <c r="E11" s="218"/>
      <c r="F11" s="227"/>
      <c r="G11" s="231"/>
      <c r="H11" s="232" t="s">
        <v>662</v>
      </c>
      <c r="I11" s="774"/>
      <c r="J11" s="213" t="str">
        <f>+'15'!J11</f>
        <v>F 13 VP OW</v>
      </c>
      <c r="K11" s="238"/>
      <c r="L11" s="238"/>
      <c r="M11" s="116">
        <f>+K11+'15'!M11+L11</f>
        <v>19832</v>
      </c>
    </row>
    <row r="12" spans="1:19" ht="13.5" thickBot="1">
      <c r="A12" s="771"/>
      <c r="B12" s="214"/>
      <c r="C12" s="215"/>
      <c r="D12" s="216"/>
      <c r="E12" s="218"/>
      <c r="F12" s="227"/>
      <c r="G12" s="231"/>
      <c r="H12" s="232"/>
      <c r="I12" s="774"/>
      <c r="J12" s="213" t="str">
        <f>+'15'!J12</f>
        <v>T 14 VP OW</v>
      </c>
      <c r="K12" s="238"/>
      <c r="L12" s="238"/>
      <c r="M12" s="116">
        <f>+K12+'15'!M12+L12</f>
        <v>10448</v>
      </c>
    </row>
    <row r="13" spans="1:19" ht="13.5" thickBot="1">
      <c r="A13" s="771"/>
      <c r="B13" s="214"/>
      <c r="C13" s="215"/>
      <c r="D13" s="215"/>
      <c r="E13" s="218"/>
      <c r="F13" s="227"/>
      <c r="G13" s="231"/>
      <c r="H13" s="232"/>
      <c r="I13" s="775"/>
      <c r="J13" s="213" t="str">
        <f>+'15'!J13</f>
        <v>F 11,5 VP OW</v>
      </c>
      <c r="K13" s="238"/>
      <c r="L13" s="238"/>
      <c r="M13" s="116">
        <f>+K13+'15'!M13+L13</f>
        <v>53931</v>
      </c>
      <c r="Q13" s="175">
        <f>SUM(Q6:Q12)</f>
        <v>960</v>
      </c>
      <c r="R13" s="175">
        <f>SUM(R6:R12)</f>
        <v>1123200</v>
      </c>
      <c r="S13" s="175">
        <f>SUM(S6:S12)</f>
        <v>898560</v>
      </c>
    </row>
    <row r="14" spans="1:19" ht="13.5" thickBot="1">
      <c r="A14" s="772"/>
      <c r="B14" s="164" t="s">
        <v>2</v>
      </c>
      <c r="C14" s="98">
        <f>SUM(C7:C13)</f>
        <v>13947</v>
      </c>
      <c r="D14" s="110">
        <f>SUM(D7:D13)</f>
        <v>0</v>
      </c>
      <c r="E14" s="111">
        <f>SUM(E5:E13)</f>
        <v>0</v>
      </c>
      <c r="F14" s="115">
        <f>SUM(F7:F13)</f>
        <v>23</v>
      </c>
      <c r="G14" s="158"/>
      <c r="H14" s="165"/>
      <c r="I14" s="166"/>
      <c r="J14" s="213" t="str">
        <f>+'15'!J14</f>
        <v>F 12,5 VP OW</v>
      </c>
      <c r="K14" s="238"/>
      <c r="L14" s="238"/>
      <c r="M14" s="116">
        <f>+K14+'15'!M14+L14</f>
        <v>10132</v>
      </c>
      <c r="Q14" s="148">
        <f>480-Q13</f>
        <v>-480</v>
      </c>
      <c r="R14" s="175">
        <f>+R13/Q13</f>
        <v>1170</v>
      </c>
      <c r="S14" s="175">
        <f>+S13/Q13</f>
        <v>936</v>
      </c>
    </row>
    <row r="15" spans="1:19" ht="13.5" customHeight="1" thickBot="1">
      <c r="A15" s="770" t="s">
        <v>457</v>
      </c>
      <c r="B15" s="164"/>
      <c r="C15" s="112">
        <f>C14/($C$23+$D$23+$E$23)</f>
        <v>0.98579304495335029</v>
      </c>
      <c r="D15" s="113">
        <f>D14/($C$23+$D$23+$E$23)</f>
        <v>0</v>
      </c>
      <c r="E15" s="114">
        <f>E14/($C$23+$D$23+$E$23)</f>
        <v>0</v>
      </c>
      <c r="F15" s="227"/>
      <c r="G15" s="228" t="s">
        <v>12</v>
      </c>
      <c r="H15" s="229" t="s">
        <v>384</v>
      </c>
      <c r="I15" s="773" t="s">
        <v>666</v>
      </c>
      <c r="J15" s="213" t="str">
        <f>+'15'!J15</f>
        <v>T 13 VP OW</v>
      </c>
      <c r="K15" s="238">
        <f>+C7+C16+C25</f>
        <v>33502</v>
      </c>
      <c r="L15" s="238"/>
      <c r="M15" s="116">
        <f>+K15+'15'!M15+L15</f>
        <v>124865</v>
      </c>
    </row>
    <row r="16" spans="1:19" ht="13.5" thickBot="1">
      <c r="A16" s="776"/>
      <c r="B16" s="214" t="s">
        <v>606</v>
      </c>
      <c r="C16" s="221">
        <v>14148</v>
      </c>
      <c r="D16" s="222"/>
      <c r="E16" s="223"/>
      <c r="F16" s="230">
        <v>10</v>
      </c>
      <c r="G16" s="231" t="s">
        <v>12</v>
      </c>
      <c r="H16" s="229" t="s">
        <v>669</v>
      </c>
      <c r="I16" s="774"/>
      <c r="J16" s="213" t="str">
        <f>+'15'!J16</f>
        <v>T 12,5 VP OW</v>
      </c>
      <c r="K16" s="228">
        <f>+C26</f>
        <v>6001</v>
      </c>
      <c r="L16" s="228"/>
      <c r="M16" s="116">
        <f>+K16+'15'!M16+L16</f>
        <v>46829</v>
      </c>
    </row>
    <row r="17" spans="1:25" ht="13.5" thickBot="1">
      <c r="A17" s="776"/>
      <c r="B17" s="214"/>
      <c r="C17" s="215"/>
      <c r="D17" s="216"/>
      <c r="E17" s="224"/>
      <c r="F17" s="227">
        <v>10</v>
      </c>
      <c r="G17" s="231" t="s">
        <v>12</v>
      </c>
      <c r="H17" s="232" t="s">
        <v>385</v>
      </c>
      <c r="I17" s="774"/>
      <c r="J17" s="213">
        <f>+'15'!J17</f>
        <v>0</v>
      </c>
      <c r="K17" s="228"/>
      <c r="L17" s="228"/>
      <c r="M17" s="116">
        <f>+K17+'15'!M17+L17</f>
        <v>0</v>
      </c>
    </row>
    <row r="18" spans="1:25" ht="39" thickBot="1">
      <c r="A18" s="776"/>
      <c r="B18" s="214"/>
      <c r="C18" s="215"/>
      <c r="D18" s="216"/>
      <c r="E18" s="224"/>
      <c r="F18" s="227"/>
      <c r="G18" s="236" t="s">
        <v>13</v>
      </c>
      <c r="H18" s="232" t="s">
        <v>664</v>
      </c>
      <c r="I18" s="774"/>
      <c r="J18" s="213">
        <f>+'15'!J18</f>
        <v>0</v>
      </c>
      <c r="K18" s="238"/>
      <c r="L18" s="238"/>
      <c r="M18" s="116">
        <f>+K18+'15'!M18+L18</f>
        <v>0</v>
      </c>
      <c r="N18" s="148" t="s">
        <v>595</v>
      </c>
      <c r="O18" s="148">
        <v>1230</v>
      </c>
      <c r="P18" s="148">
        <f>+O18-(O18*0.22)</f>
        <v>959.4</v>
      </c>
      <c r="Q18" s="148">
        <f>60*2+30</f>
        <v>150</v>
      </c>
      <c r="R18" s="148">
        <f t="shared" ref="R18:R19" si="2">+O18*Q18</f>
        <v>184500</v>
      </c>
      <c r="S18" s="148">
        <f t="shared" ref="S18:S19" si="3">+P18*Q18</f>
        <v>143910</v>
      </c>
      <c r="T18" s="148" t="s">
        <v>595</v>
      </c>
      <c r="U18" s="148">
        <v>1170</v>
      </c>
      <c r="V18" s="148">
        <v>959.4</v>
      </c>
      <c r="W18" s="148">
        <v>480</v>
      </c>
      <c r="X18" s="148">
        <f t="shared" ref="X18:X19" si="4">+U18*W18</f>
        <v>561600</v>
      </c>
      <c r="Y18" s="148">
        <f t="shared" ref="Y18:Y19" si="5">+V18*W18</f>
        <v>460512</v>
      </c>
    </row>
    <row r="19" spans="1:25" ht="13.5" thickBot="1">
      <c r="A19" s="776"/>
      <c r="B19" s="214"/>
      <c r="C19" s="215"/>
      <c r="D19" s="216"/>
      <c r="E19" s="224"/>
      <c r="F19" s="234"/>
      <c r="G19" s="231"/>
      <c r="H19" s="232"/>
      <c r="I19" s="774"/>
      <c r="J19" s="213">
        <f>+'15'!J19</f>
        <v>0</v>
      </c>
      <c r="K19" s="238"/>
      <c r="L19" s="238"/>
      <c r="M19" s="116">
        <f>+K19+'15'!M19+L19</f>
        <v>0</v>
      </c>
      <c r="N19" s="148" t="s">
        <v>614</v>
      </c>
      <c r="O19" s="148">
        <v>1230</v>
      </c>
      <c r="P19" s="148">
        <f>+O19-(O19*0.23)</f>
        <v>947.09999999999991</v>
      </c>
      <c r="Q19" s="148">
        <f>480-Q18</f>
        <v>330</v>
      </c>
      <c r="R19" s="148">
        <f t="shared" si="2"/>
        <v>405900</v>
      </c>
      <c r="S19" s="148">
        <f t="shared" si="3"/>
        <v>312542.99999999994</v>
      </c>
      <c r="U19" s="148">
        <v>1170</v>
      </c>
      <c r="V19" s="148">
        <v>912.6</v>
      </c>
      <c r="W19" s="148">
        <v>480</v>
      </c>
      <c r="X19" s="148">
        <f t="shared" si="4"/>
        <v>561600</v>
      </c>
      <c r="Y19" s="148">
        <f t="shared" si="5"/>
        <v>438048</v>
      </c>
    </row>
    <row r="20" spans="1:25" ht="13.5" thickBot="1">
      <c r="A20" s="776"/>
      <c r="B20" s="214"/>
      <c r="C20" s="215"/>
      <c r="D20" s="216"/>
      <c r="E20" s="224"/>
      <c r="F20" s="227"/>
      <c r="G20" s="231"/>
      <c r="H20" s="232"/>
      <c r="I20" s="774"/>
      <c r="J20" s="213">
        <f>+'15'!J20</f>
        <v>0</v>
      </c>
      <c r="K20" s="239"/>
      <c r="L20" s="239"/>
      <c r="M20" s="116">
        <f>+K20+'15'!M20+L20</f>
        <v>0</v>
      </c>
      <c r="T20" s="148" t="s">
        <v>595</v>
      </c>
      <c r="U20" s="148">
        <v>1230</v>
      </c>
      <c r="V20" s="148">
        <v>959.4</v>
      </c>
      <c r="W20" s="148">
        <v>150</v>
      </c>
      <c r="X20" s="148">
        <f t="shared" ref="X20" si="6">+U20*W20</f>
        <v>184500</v>
      </c>
      <c r="Y20" s="148">
        <f t="shared" ref="Y20" si="7">+V20*W20</f>
        <v>143910</v>
      </c>
    </row>
    <row r="21" spans="1:25" ht="13.5" thickBot="1">
      <c r="A21" s="776"/>
      <c r="B21" s="214"/>
      <c r="C21" s="215"/>
      <c r="D21" s="216"/>
      <c r="E21" s="224"/>
      <c r="F21" s="230"/>
      <c r="G21" s="231"/>
      <c r="H21" s="232"/>
      <c r="I21" s="774"/>
      <c r="J21" s="213">
        <f>+'15'!J21</f>
        <v>0</v>
      </c>
      <c r="K21" s="238"/>
      <c r="L21" s="238"/>
      <c r="M21" s="116">
        <f>+K21+'15'!M21+L21</f>
        <v>0</v>
      </c>
    </row>
    <row r="22" spans="1:25" ht="13.5" thickBot="1">
      <c r="A22" s="776"/>
      <c r="B22" s="214"/>
      <c r="C22" s="215"/>
      <c r="D22" s="216"/>
      <c r="E22" s="224"/>
      <c r="F22" s="235"/>
      <c r="G22" s="231"/>
      <c r="H22" s="232"/>
      <c r="I22" s="775"/>
      <c r="J22" s="213">
        <f>+'15'!J22</f>
        <v>0</v>
      </c>
      <c r="K22" s="238"/>
      <c r="L22" s="238"/>
      <c r="M22" s="116">
        <f>+K22+'15'!M22+L22</f>
        <v>0</v>
      </c>
    </row>
    <row r="23" spans="1:25" ht="13.5" thickBot="1">
      <c r="A23" s="777"/>
      <c r="B23" s="167" t="s">
        <v>2</v>
      </c>
      <c r="C23" s="99">
        <f>SUM(C16:C22)</f>
        <v>14148</v>
      </c>
      <c r="D23" s="110">
        <f>SUM(D16:D22)</f>
        <v>0</v>
      </c>
      <c r="E23" s="111">
        <f>SUM(E18:E22)</f>
        <v>0</v>
      </c>
      <c r="F23" s="115">
        <f>SUM(F15:F22)</f>
        <v>20</v>
      </c>
      <c r="G23" s="158"/>
      <c r="H23" s="165"/>
      <c r="I23" s="168"/>
      <c r="J23" s="213">
        <f>+'15'!J23</f>
        <v>0</v>
      </c>
      <c r="K23" s="238"/>
      <c r="L23" s="238"/>
      <c r="M23" s="116">
        <f>+K23+'15'!M23+L23</f>
        <v>0</v>
      </c>
    </row>
    <row r="24" spans="1:25" ht="13.5" customHeight="1" thickBot="1">
      <c r="A24" s="770" t="s">
        <v>390</v>
      </c>
      <c r="B24" s="169"/>
      <c r="C24" s="112">
        <f>C23/($C$23+$D$23+$E$23)</f>
        <v>1</v>
      </c>
      <c r="D24" s="113">
        <f>D23/($C$23+$D$23+$E$23)</f>
        <v>0</v>
      </c>
      <c r="E24" s="114">
        <f>E23/($C$23+$D$23+$E$23)</f>
        <v>0</v>
      </c>
      <c r="F24" s="227">
        <v>9</v>
      </c>
      <c r="G24" s="228" t="s">
        <v>12</v>
      </c>
      <c r="H24" s="229" t="s">
        <v>412</v>
      </c>
      <c r="I24" s="773" t="s">
        <v>667</v>
      </c>
      <c r="J24" s="213">
        <f>+'15'!J24</f>
        <v>0</v>
      </c>
      <c r="K24" s="238"/>
      <c r="L24" s="238"/>
      <c r="M24" s="116">
        <f>+K24+'15'!M24+L24</f>
        <v>0</v>
      </c>
    </row>
    <row r="25" spans="1:25" ht="13.5" thickBot="1">
      <c r="A25" s="776"/>
      <c r="B25" s="214" t="s">
        <v>606</v>
      </c>
      <c r="C25" s="225">
        <v>5407</v>
      </c>
      <c r="D25" s="216"/>
      <c r="E25" s="224"/>
      <c r="F25" s="230"/>
      <c r="G25" s="231" t="s">
        <v>12</v>
      </c>
      <c r="H25" s="229" t="s">
        <v>283</v>
      </c>
      <c r="I25" s="774"/>
      <c r="J25" s="213">
        <f>+'15'!J25</f>
        <v>0</v>
      </c>
      <c r="K25" s="238"/>
      <c r="L25" s="238"/>
      <c r="M25" s="116">
        <f>+K25+'15'!M25+L25</f>
        <v>0</v>
      </c>
      <c r="Q25" s="175">
        <f>SUM(Q18:Q24)</f>
        <v>480</v>
      </c>
      <c r="R25" s="175">
        <f>SUM(R18:R24)</f>
        <v>590400</v>
      </c>
      <c r="S25" s="175">
        <f>SUM(S18:S24)</f>
        <v>456452.99999999994</v>
      </c>
      <c r="W25" s="175">
        <f>SUM(W18:W24)</f>
        <v>1110</v>
      </c>
      <c r="X25" s="175">
        <f>SUM(X18:X24)</f>
        <v>1307700</v>
      </c>
      <c r="Y25" s="175">
        <f>SUM(Y18:Y24)</f>
        <v>1042470</v>
      </c>
    </row>
    <row r="26" spans="1:25" ht="13.5" thickBot="1">
      <c r="A26" s="776"/>
      <c r="B26" s="214" t="s">
        <v>623</v>
      </c>
      <c r="C26" s="225">
        <v>6001</v>
      </c>
      <c r="D26" s="216"/>
      <c r="E26" s="226"/>
      <c r="F26" s="227">
        <f>36-9</f>
        <v>27</v>
      </c>
      <c r="G26" s="231" t="s">
        <v>12</v>
      </c>
      <c r="H26" s="232" t="s">
        <v>411</v>
      </c>
      <c r="I26" s="774"/>
      <c r="J26" s="213">
        <f>+'15'!J26</f>
        <v>0</v>
      </c>
      <c r="K26" s="238"/>
      <c r="L26" s="238"/>
      <c r="M26" s="116">
        <f>+K26+'15'!M26+L26</f>
        <v>0</v>
      </c>
      <c r="Q26" s="148">
        <f>480-Q25</f>
        <v>0</v>
      </c>
      <c r="R26" s="175">
        <f>+R25/Q25</f>
        <v>1230</v>
      </c>
      <c r="S26" s="175">
        <f>+S25/Q25</f>
        <v>950.94374999999991</v>
      </c>
      <c r="W26" s="148">
        <f>480-W25</f>
        <v>-630</v>
      </c>
      <c r="X26" s="175">
        <f>+X25/W25</f>
        <v>1178.1081081081081</v>
      </c>
      <c r="Y26" s="175">
        <f>+Y25/W25</f>
        <v>939.16216216216219</v>
      </c>
    </row>
    <row r="27" spans="1:25" ht="26.25" thickBot="1">
      <c r="A27" s="776"/>
      <c r="B27" s="214"/>
      <c r="C27" s="215"/>
      <c r="D27" s="216"/>
      <c r="E27" s="224"/>
      <c r="F27" s="227"/>
      <c r="G27" s="236" t="s">
        <v>13</v>
      </c>
      <c r="H27" s="232" t="s">
        <v>638</v>
      </c>
      <c r="I27" s="774"/>
      <c r="J27" s="213">
        <f>+'15'!J27</f>
        <v>0</v>
      </c>
      <c r="K27" s="238"/>
      <c r="L27" s="238"/>
      <c r="M27" s="116">
        <f>+K27+'15'!M27+L27</f>
        <v>0</v>
      </c>
    </row>
    <row r="28" spans="1:25" ht="51.75" thickBot="1">
      <c r="A28" s="776"/>
      <c r="B28" s="214"/>
      <c r="C28" s="215"/>
      <c r="D28" s="216"/>
      <c r="E28" s="224"/>
      <c r="F28" s="230">
        <v>25</v>
      </c>
      <c r="G28" s="231" t="s">
        <v>68</v>
      </c>
      <c r="H28" s="232" t="s">
        <v>661</v>
      </c>
      <c r="I28" s="774"/>
      <c r="J28" s="213">
        <f>+'15'!J28</f>
        <v>0</v>
      </c>
      <c r="K28" s="238"/>
      <c r="L28" s="238"/>
      <c r="M28" s="116">
        <f>+K28+'15'!M28+L28</f>
        <v>0</v>
      </c>
    </row>
    <row r="29" spans="1:25" ht="13.5" thickBot="1">
      <c r="A29" s="776"/>
      <c r="B29" s="214"/>
      <c r="C29" s="215"/>
      <c r="D29" s="216"/>
      <c r="E29" s="224"/>
      <c r="F29" s="235"/>
      <c r="G29" s="231"/>
      <c r="H29" s="232"/>
      <c r="I29" s="774"/>
      <c r="J29" s="213">
        <f>+'15'!J29</f>
        <v>0</v>
      </c>
      <c r="K29" s="238"/>
      <c r="L29" s="238"/>
      <c r="M29" s="116">
        <f>+K29+'15'!M29+L29</f>
        <v>0</v>
      </c>
      <c r="N29" s="148" t="s">
        <v>614</v>
      </c>
      <c r="O29" s="148">
        <v>1230</v>
      </c>
      <c r="P29" s="148">
        <v>947.09999999999991</v>
      </c>
      <c r="Q29" s="148">
        <v>330</v>
      </c>
    </row>
    <row r="30" spans="1:25" ht="13.5" thickBot="1">
      <c r="A30" s="776"/>
      <c r="B30" s="214"/>
      <c r="C30" s="225"/>
      <c r="D30" s="216"/>
      <c r="E30" s="224"/>
      <c r="F30" s="235"/>
      <c r="G30" s="231"/>
      <c r="H30" s="232"/>
      <c r="I30" s="774"/>
      <c r="J30" s="213">
        <f>+'15'!J30</f>
        <v>0</v>
      </c>
      <c r="K30" s="238"/>
      <c r="L30" s="238"/>
      <c r="M30" s="116">
        <f>+K30+'15'!M30+L30</f>
        <v>0</v>
      </c>
      <c r="N30" s="148" t="s">
        <v>595</v>
      </c>
      <c r="O30" s="148">
        <v>1178.1081081081081</v>
      </c>
      <c r="P30" s="148">
        <v>939.16216216216219</v>
      </c>
      <c r="Q30" s="148">
        <v>1110</v>
      </c>
    </row>
    <row r="31" spans="1:25" ht="13.5" thickBot="1">
      <c r="A31" s="776"/>
      <c r="B31" s="214"/>
      <c r="C31" s="225"/>
      <c r="D31" s="216"/>
      <c r="E31" s="224"/>
      <c r="F31" s="235"/>
      <c r="G31" s="236"/>
      <c r="H31" s="443"/>
      <c r="I31" s="775"/>
      <c r="J31" s="213">
        <f>+'15'!J31</f>
        <v>0</v>
      </c>
      <c r="K31" s="238"/>
      <c r="L31" s="238"/>
      <c r="M31" s="116">
        <f>+K31+'15'!M31+L31</f>
        <v>0</v>
      </c>
      <c r="Q31" s="148">
        <f>+Q29+Q30</f>
        <v>1440</v>
      </c>
    </row>
    <row r="32" spans="1:25" ht="13.5" thickBot="1">
      <c r="A32" s="777"/>
      <c r="B32" s="164" t="s">
        <v>2</v>
      </c>
      <c r="C32" s="98">
        <f>SUM(C25:C31)</f>
        <v>11408</v>
      </c>
      <c r="D32" s="99">
        <f>SUM(D25:D31)</f>
        <v>0</v>
      </c>
      <c r="E32" s="100">
        <f>SUM(E25:E31)</f>
        <v>0</v>
      </c>
      <c r="F32" s="101">
        <f>SUM(F24:F31)</f>
        <v>61</v>
      </c>
      <c r="G32" s="170"/>
      <c r="H32" s="171"/>
      <c r="I32" s="168"/>
      <c r="J32" s="213">
        <f>+'15'!J32</f>
        <v>0</v>
      </c>
      <c r="K32" s="240"/>
      <c r="L32" s="242"/>
      <c r="M32" s="116">
        <f>+K32+'15'!M32+L32</f>
        <v>0</v>
      </c>
    </row>
    <row r="33" spans="1:13" ht="13.5" thickBot="1">
      <c r="A33" s="172"/>
      <c r="B33" s="173"/>
      <c r="C33" s="102">
        <f>C32/($C$32+$D$32+$E$32)</f>
        <v>1</v>
      </c>
      <c r="D33" s="103">
        <f>D32/($C$32+$D$32+$E$32)</f>
        <v>0</v>
      </c>
      <c r="E33" s="104">
        <f>E32/($C$32+$D$32+$E$32)</f>
        <v>0</v>
      </c>
      <c r="F33" s="105"/>
      <c r="G33" s="174"/>
      <c r="H33" s="175"/>
      <c r="I33" s="176"/>
      <c r="J33" s="120"/>
      <c r="K33" s="121"/>
      <c r="L33" s="212"/>
      <c r="M33" s="118"/>
    </row>
    <row r="34" spans="1:13" ht="13.5" thickBot="1">
      <c r="A34" s="766" t="s">
        <v>57</v>
      </c>
      <c r="B34" s="767"/>
      <c r="C34" s="106">
        <f>C14+C23+C32</f>
        <v>39503</v>
      </c>
      <c r="D34" s="106">
        <f>D14+D23+D32</f>
        <v>0</v>
      </c>
      <c r="E34" s="106">
        <f>E14+E23+E32</f>
        <v>0</v>
      </c>
      <c r="F34" s="107">
        <f>F14+F23+F32</f>
        <v>104</v>
      </c>
      <c r="H34" s="177"/>
      <c r="I34" s="177"/>
      <c r="J34" s="122" t="s">
        <v>28</v>
      </c>
      <c r="K34" s="123">
        <f>SUM(K7:K32)</f>
        <v>39503</v>
      </c>
      <c r="L34" s="211">
        <f>SUM(L7:L32)</f>
        <v>0</v>
      </c>
      <c r="M34" s="119">
        <f>SUM(M7:M32)</f>
        <v>607238</v>
      </c>
    </row>
    <row r="35" spans="1:13" ht="13.5" thickBot="1">
      <c r="A35" s="178"/>
      <c r="B35" s="179"/>
      <c r="C35" s="103">
        <f>C34/($C$34+$D$34+$E$34)</f>
        <v>1</v>
      </c>
      <c r="D35" s="103">
        <f>D34/($C$34+$D$34+$E$34)</f>
        <v>0</v>
      </c>
      <c r="E35" s="108">
        <f>E34/($C$34+$D$34+$E$34)</f>
        <v>0</v>
      </c>
      <c r="K35" s="154"/>
    </row>
    <row r="36" spans="1:13" ht="13.5" thickBot="1">
      <c r="A36" s="177"/>
      <c r="B36" s="177"/>
      <c r="C36" s="154"/>
      <c r="D36" s="154"/>
      <c r="E36" s="154"/>
      <c r="G36" s="154"/>
      <c r="H36" s="180"/>
      <c r="I36" s="161" t="s">
        <v>37</v>
      </c>
      <c r="J36" s="161" t="s">
        <v>38</v>
      </c>
      <c r="K36" s="181"/>
    </row>
    <row r="37" spans="1:13" ht="17.45" customHeight="1" thickBot="1">
      <c r="A37" s="768" t="s">
        <v>58</v>
      </c>
      <c r="B37" s="769"/>
      <c r="C37" s="161" t="s">
        <v>59</v>
      </c>
      <c r="D37" s="182" t="s">
        <v>60</v>
      </c>
      <c r="E37" s="183" t="s">
        <v>61</v>
      </c>
      <c r="F37" s="321"/>
      <c r="G37" s="323"/>
      <c r="H37" s="185" t="s">
        <v>62</v>
      </c>
      <c r="I37" s="243">
        <f>(12.5*330+13*1110)/1440*G42*2.74*1440/1000000</f>
        <v>47.840145436875005</v>
      </c>
      <c r="J37" s="124">
        <f>+I37+'15'!J37</f>
        <v>714.63874967322988</v>
      </c>
      <c r="K37" s="125" t="s">
        <v>63</v>
      </c>
    </row>
    <row r="38" spans="1:13" ht="17.45" customHeight="1">
      <c r="A38" s="760" t="s">
        <v>12</v>
      </c>
      <c r="B38" s="761"/>
      <c r="C38" s="163">
        <f>SUMIF($G$7:$G$31,"Process",$F$7:$F$31)</f>
        <v>79</v>
      </c>
      <c r="D38" s="117">
        <f>+C38+'15'!D38</f>
        <v>1246</v>
      </c>
      <c r="E38" s="142">
        <f t="shared" ref="E38:E51" si="8">D38/60</f>
        <v>20.766666666666666</v>
      </c>
      <c r="F38" s="321">
        <v>1170</v>
      </c>
      <c r="G38" s="321">
        <v>959.4</v>
      </c>
      <c r="H38" s="186" t="s">
        <v>64</v>
      </c>
      <c r="I38" s="244">
        <f>14.305+13.972+5.391+8.129</f>
        <v>41.796999999999997</v>
      </c>
      <c r="J38" s="126">
        <f>+I38+'15'!J38</f>
        <v>626.80499999999995</v>
      </c>
      <c r="K38" s="127" t="s">
        <v>63</v>
      </c>
    </row>
    <row r="39" spans="1:13" ht="17.45" customHeight="1">
      <c r="A39" s="764" t="s">
        <v>13</v>
      </c>
      <c r="B39" s="765"/>
      <c r="C39" s="163">
        <f>SUMIF($G$7:$G$31,"Cleaning",$F$7:$F$31)</f>
        <v>0</v>
      </c>
      <c r="D39" s="117">
        <f>+C39+'15'!D39</f>
        <v>0</v>
      </c>
      <c r="E39" s="142">
        <f t="shared" si="8"/>
        <v>0</v>
      </c>
      <c r="F39" s="321">
        <v>1170</v>
      </c>
      <c r="G39" s="321">
        <v>912.6</v>
      </c>
      <c r="H39" s="186" t="s">
        <v>65</v>
      </c>
      <c r="I39" s="141"/>
      <c r="J39" s="128">
        <f>J37/G4</f>
        <v>44.664921854576868</v>
      </c>
      <c r="K39" s="129" t="s">
        <v>63</v>
      </c>
    </row>
    <row r="40" spans="1:13" ht="17.45" customHeight="1">
      <c r="A40" s="764" t="s">
        <v>66</v>
      </c>
      <c r="B40" s="765"/>
      <c r="C40" s="163">
        <f>SUMIF($G$7:$G$31,"Mechanical",$F$7:$F$31)</f>
        <v>0</v>
      </c>
      <c r="D40" s="117">
        <f>+C40+'15'!D40</f>
        <v>0</v>
      </c>
      <c r="E40" s="142">
        <f t="shared" si="8"/>
        <v>0</v>
      </c>
      <c r="F40" s="321">
        <v>1230</v>
      </c>
      <c r="G40" s="321">
        <v>950.94374999999991</v>
      </c>
      <c r="H40" s="186" t="s">
        <v>67</v>
      </c>
      <c r="I40" s="117">
        <f>(K34+L34)/1000</f>
        <v>39.503</v>
      </c>
      <c r="J40" s="130">
        <f>+I40+'15'!J40</f>
        <v>607.23799999999994</v>
      </c>
      <c r="K40" s="129" t="s">
        <v>63</v>
      </c>
    </row>
    <row r="41" spans="1:13" ht="17.45" customHeight="1">
      <c r="A41" s="764" t="s">
        <v>68</v>
      </c>
      <c r="B41" s="765"/>
      <c r="C41" s="163">
        <f>SUMIF($G$7:$G$31,"Electrical",$F$7:$F$31)</f>
        <v>25</v>
      </c>
      <c r="D41" s="117">
        <f>+C41+'15'!D41</f>
        <v>311</v>
      </c>
      <c r="E41" s="142">
        <f t="shared" si="8"/>
        <v>5.1833333333333336</v>
      </c>
      <c r="F41" s="321"/>
      <c r="G41" s="321"/>
      <c r="H41" s="186" t="s">
        <v>69</v>
      </c>
      <c r="I41" s="141"/>
      <c r="J41" s="128">
        <f>J40/G4</f>
        <v>37.952374999999996</v>
      </c>
      <c r="K41" s="129" t="s">
        <v>63</v>
      </c>
    </row>
    <row r="42" spans="1:13" ht="17.45" customHeight="1">
      <c r="A42" s="764" t="s">
        <v>16</v>
      </c>
      <c r="B42" s="765"/>
      <c r="C42" s="163">
        <f>SUMIF($G$7:$G$31,"Instrument",$F$7:$F$31)</f>
        <v>0</v>
      </c>
      <c r="D42" s="117">
        <f>+C42+'15'!D42</f>
        <v>0</v>
      </c>
      <c r="E42" s="142">
        <f t="shared" si="8"/>
        <v>0</v>
      </c>
      <c r="F42" s="321">
        <f>+(F38*480+F40*480+F39*480)/1440</f>
        <v>1190</v>
      </c>
      <c r="G42" s="321">
        <f>+(G38*480+G40*480+G39*480)/1440</f>
        <v>940.98125000000005</v>
      </c>
      <c r="H42" s="186" t="s">
        <v>70</v>
      </c>
      <c r="I42" s="245" t="s">
        <v>668</v>
      </c>
      <c r="J42" s="131"/>
      <c r="K42" s="129" t="s">
        <v>71</v>
      </c>
    </row>
    <row r="43" spans="1:13" ht="17.45" customHeight="1">
      <c r="A43" s="764" t="s">
        <v>219</v>
      </c>
      <c r="B43" s="765"/>
      <c r="C43" s="163">
        <f>SUMIF($G$7:$G$31,"Change Grade",$F$7:$F$31)</f>
        <v>0</v>
      </c>
      <c r="D43" s="117">
        <f>+C43+'15'!D43</f>
        <v>0</v>
      </c>
      <c r="E43" s="142">
        <f t="shared" si="8"/>
        <v>0</v>
      </c>
      <c r="F43" s="321"/>
      <c r="G43" s="322"/>
      <c r="H43" s="187" t="s">
        <v>73</v>
      </c>
      <c r="I43" s="117">
        <f>+Report1!Z24</f>
        <v>56.4</v>
      </c>
      <c r="J43" s="132">
        <f>+I43+'15'!J43</f>
        <v>844.1</v>
      </c>
      <c r="K43" s="129" t="s">
        <v>63</v>
      </c>
      <c r="L43" s="188"/>
    </row>
    <row r="44" spans="1:13" ht="17.45" customHeight="1">
      <c r="A44" s="764" t="s">
        <v>17</v>
      </c>
      <c r="B44" s="765"/>
      <c r="C44" s="163">
        <f>SUMIF($G$7:$G$31,"PLN",$F$7:$F$31)</f>
        <v>0</v>
      </c>
      <c r="D44" s="117">
        <f>+C44+'15'!D44</f>
        <v>0</v>
      </c>
      <c r="E44" s="142">
        <f t="shared" si="8"/>
        <v>0</v>
      </c>
      <c r="F44" s="321"/>
      <c r="G44" s="322"/>
      <c r="H44" s="187" t="s">
        <v>74</v>
      </c>
      <c r="I44" s="117">
        <f>I43/I38</f>
        <v>1.3493791420436874</v>
      </c>
      <c r="J44" s="133">
        <f>J43/J38</f>
        <v>1.3466708146871835</v>
      </c>
      <c r="K44" s="129" t="s">
        <v>63</v>
      </c>
    </row>
    <row r="45" spans="1:13" ht="17.45" customHeight="1">
      <c r="A45" s="764" t="s">
        <v>18</v>
      </c>
      <c r="B45" s="765"/>
      <c r="C45" s="163">
        <f>SUMIF($G$7:$G$31,"Boiler",$F$7:$F$31)</f>
        <v>0</v>
      </c>
      <c r="D45" s="117">
        <f>+C45+'15'!D45</f>
        <v>0</v>
      </c>
      <c r="E45" s="142">
        <f t="shared" si="8"/>
        <v>0</v>
      </c>
      <c r="F45" s="321"/>
      <c r="G45" s="324"/>
      <c r="H45" s="187" t="s">
        <v>75</v>
      </c>
      <c r="I45" s="117">
        <f>I43/I40</f>
        <v>1.4277396653418728</v>
      </c>
      <c r="J45" s="133">
        <f>J43/J40</f>
        <v>1.3900645216537835</v>
      </c>
      <c r="K45" s="129" t="s">
        <v>63</v>
      </c>
    </row>
    <row r="46" spans="1:13" ht="17.45" customHeight="1">
      <c r="A46" s="764" t="s">
        <v>76</v>
      </c>
      <c r="B46" s="765"/>
      <c r="C46" s="163">
        <f>SUMIF($G$7:$G$31,"Gas",$F$7:$F$31)</f>
        <v>0</v>
      </c>
      <c r="D46" s="117">
        <f>+C46+'15'!D46</f>
        <v>0</v>
      </c>
      <c r="E46" s="142">
        <f t="shared" si="8"/>
        <v>0</v>
      </c>
      <c r="F46" s="321"/>
      <c r="G46" s="322"/>
      <c r="H46" s="187" t="s">
        <v>77</v>
      </c>
      <c r="I46" s="139">
        <f>+SUMIF(Listrik!P23,"&gt;0")</f>
        <v>38006.799999999639</v>
      </c>
      <c r="J46" s="134">
        <f>+I46+'15'!J46</f>
        <v>558576.67999999993</v>
      </c>
      <c r="K46" s="129" t="s">
        <v>78</v>
      </c>
    </row>
    <row r="47" spans="1:13" ht="17.45" customHeight="1">
      <c r="A47" s="764" t="s">
        <v>79</v>
      </c>
      <c r="B47" s="765"/>
      <c r="C47" s="163">
        <f>SUMIF($G$7:$G$31,"Gas",$F$7:$F$31)</f>
        <v>0</v>
      </c>
      <c r="D47" s="117">
        <f>+C47+'15'!D47</f>
        <v>0</v>
      </c>
      <c r="E47" s="142">
        <f t="shared" si="8"/>
        <v>0</v>
      </c>
      <c r="F47" s="321"/>
      <c r="G47" s="322"/>
      <c r="H47" s="187" t="s">
        <v>80</v>
      </c>
      <c r="I47" s="117">
        <f>I46/I38</f>
        <v>909.31885063520451</v>
      </c>
      <c r="J47" s="134">
        <f>J46/J38</f>
        <v>891.14904954491431</v>
      </c>
      <c r="K47" s="129" t="s">
        <v>24</v>
      </c>
    </row>
    <row r="48" spans="1:13" ht="17.45" customHeight="1">
      <c r="A48" s="764" t="s">
        <v>14</v>
      </c>
      <c r="B48" s="765"/>
      <c r="C48" s="163">
        <f>SUMIF($G$7:$G$31,"Start Up",$F$7:$F$31)</f>
        <v>0</v>
      </c>
      <c r="D48" s="117">
        <f>+C48+'15'!D48</f>
        <v>0</v>
      </c>
      <c r="E48" s="142">
        <f t="shared" si="8"/>
        <v>0</v>
      </c>
      <c r="F48" s="321"/>
      <c r="G48" s="322"/>
      <c r="H48" s="187" t="s">
        <v>81</v>
      </c>
      <c r="I48" s="117">
        <f>I46/I40</f>
        <v>962.12439561551378</v>
      </c>
      <c r="J48" s="134">
        <f>J46/J40</f>
        <v>919.86450123345378</v>
      </c>
      <c r="K48" s="129" t="s">
        <v>24</v>
      </c>
    </row>
    <row r="49" spans="1:11" ht="17.45" customHeight="1">
      <c r="A49" s="764" t="s">
        <v>20</v>
      </c>
      <c r="B49" s="765"/>
      <c r="C49" s="163">
        <f>SUMIF($G$7:$G$31,"Others",$F$7:$F$31)</f>
        <v>0</v>
      </c>
      <c r="D49" s="117">
        <f>+C49+'15'!D49</f>
        <v>948</v>
      </c>
      <c r="E49" s="142">
        <f t="shared" si="8"/>
        <v>15.8</v>
      </c>
      <c r="F49" s="184"/>
      <c r="H49" s="187" t="s">
        <v>268</v>
      </c>
      <c r="I49" s="117">
        <f>+Report1!T24</f>
        <v>4975.5711569339992</v>
      </c>
      <c r="J49" s="134">
        <f>+I49+'15'!J49</f>
        <v>76668.314505986797</v>
      </c>
      <c r="K49" s="129" t="s">
        <v>82</v>
      </c>
    </row>
    <row r="50" spans="1:11" ht="17.45" customHeight="1">
      <c r="A50" s="764" t="s">
        <v>19</v>
      </c>
      <c r="B50" s="765"/>
      <c r="C50" s="163">
        <f>SUMIF($G$7:$G$31,"Steam",$F$7:$F$31)</f>
        <v>0</v>
      </c>
      <c r="D50" s="117">
        <f>+C50+'15'!D50</f>
        <v>0</v>
      </c>
      <c r="E50" s="142">
        <f t="shared" si="8"/>
        <v>0</v>
      </c>
      <c r="F50" s="184"/>
      <c r="H50" s="187" t="s">
        <v>83</v>
      </c>
      <c r="I50" s="139">
        <f>I49/I38</f>
        <v>119.04134643476803</v>
      </c>
      <c r="J50" s="132">
        <f>J49/J38</f>
        <v>122.31605444434362</v>
      </c>
      <c r="K50" s="129" t="s">
        <v>82</v>
      </c>
    </row>
    <row r="51" spans="1:11" ht="17.45" customHeight="1" thickBot="1">
      <c r="A51" s="758" t="s">
        <v>84</v>
      </c>
      <c r="B51" s="759"/>
      <c r="C51" s="163">
        <f>SUMIF($G$7:$G$31,"Planned shut",$F$7:$F$31)</f>
        <v>0</v>
      </c>
      <c r="D51" s="117">
        <f>+C51+'15'!D51</f>
        <v>0</v>
      </c>
      <c r="E51" s="142">
        <f t="shared" si="8"/>
        <v>0</v>
      </c>
      <c r="F51" s="184"/>
      <c r="H51" s="189" t="s">
        <v>85</v>
      </c>
      <c r="I51" s="140">
        <f>I49/I40</f>
        <v>125.95426061144721</v>
      </c>
      <c r="J51" s="135">
        <f>J49/J40</f>
        <v>126.25743860889273</v>
      </c>
      <c r="K51" s="136" t="s">
        <v>82</v>
      </c>
    </row>
    <row r="52" spans="1:11" ht="13.5" thickBot="1">
      <c r="A52" s="760" t="s">
        <v>28</v>
      </c>
      <c r="B52" s="761"/>
      <c r="C52" s="143">
        <f>SUM(C38:C51)</f>
        <v>104</v>
      </c>
      <c r="D52" s="143">
        <f>SUM(D38:D51)</f>
        <v>2505</v>
      </c>
      <c r="E52" s="144">
        <f>SUM(E38:E51)</f>
        <v>41.75</v>
      </c>
      <c r="F52" s="184"/>
      <c r="H52" s="190"/>
      <c r="I52" s="191"/>
      <c r="J52" s="137"/>
      <c r="K52" s="138"/>
    </row>
    <row r="53" spans="1:11" ht="13.5" thickBot="1">
      <c r="A53" s="762"/>
      <c r="B53" s="763"/>
      <c r="C53" s="145">
        <f>C52/(24*60)</f>
        <v>7.2222222222222215E-2</v>
      </c>
      <c r="D53" s="145">
        <f>D52/(24*60*G4)</f>
        <v>0.10872395833333333</v>
      </c>
      <c r="E53" s="146">
        <f>E52/(G4*24)</f>
        <v>0.10872395833333333</v>
      </c>
      <c r="F53" s="184"/>
    </row>
    <row r="54" spans="1:11">
      <c r="E54" s="192"/>
      <c r="F54" s="184"/>
    </row>
    <row r="55" spans="1:11">
      <c r="E55" s="192"/>
    </row>
    <row r="56" spans="1:11">
      <c r="A56" s="193" t="s">
        <v>86</v>
      </c>
      <c r="B56" s="194"/>
      <c r="C56" s="195"/>
      <c r="D56" s="195"/>
      <c r="E56" s="195"/>
      <c r="F56" s="196"/>
      <c r="G56" s="195"/>
      <c r="H56" s="197"/>
      <c r="I56" s="198" t="s">
        <v>87</v>
      </c>
      <c r="J56" s="199">
        <f>+D34+'15'!J56</f>
        <v>1116</v>
      </c>
      <c r="K56" s="200">
        <f>J56/(J40+J56/1000)/1000</f>
        <v>1.8344582266246298E-3</v>
      </c>
    </row>
    <row r="57" spans="1:11">
      <c r="A57" s="175"/>
      <c r="I57" s="198" t="s">
        <v>88</v>
      </c>
      <c r="J57" s="199">
        <f>+E34+'15'!J57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I7:I13"/>
    <mergeCell ref="A15:A23"/>
    <mergeCell ref="I15:I22"/>
    <mergeCell ref="A46:B46"/>
    <mergeCell ref="A47:B47"/>
    <mergeCell ref="A44:B44"/>
    <mergeCell ref="A45:B45"/>
    <mergeCell ref="A7:A14"/>
    <mergeCell ref="A40:B40"/>
    <mergeCell ref="I24:I31"/>
    <mergeCell ref="A43:B43"/>
    <mergeCell ref="A24:A32"/>
    <mergeCell ref="A34:B34"/>
    <mergeCell ref="A37:B37"/>
    <mergeCell ref="A38:B38"/>
    <mergeCell ref="A41:B41"/>
    <mergeCell ref="A42:B42"/>
    <mergeCell ref="A39:B39"/>
    <mergeCell ref="A53:B53"/>
    <mergeCell ref="A48:B48"/>
    <mergeCell ref="A49:B49"/>
    <mergeCell ref="A50:B50"/>
    <mergeCell ref="A51:B51"/>
    <mergeCell ref="A52:B52"/>
  </mergeCells>
  <phoneticPr fontId="32" type="noConversion"/>
  <printOptions horizontalCentered="1"/>
  <pageMargins left="0.39027777777777778" right="0.39027777777777778" top="0.39027777777777778" bottom="0.39027777777777778" header="0" footer="0"/>
  <pageSetup paperSize="9" scale="62" firstPageNumber="4294963191" orientation="landscape"/>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75" zoomScaleSheetLayoutView="80" workbookViewId="0">
      <selection activeCell="A7" sqref="A7:A32"/>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2.140625" style="148"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15</v>
      </c>
      <c r="H4" s="153" t="str">
        <f>+'1'!H4</f>
        <v>.03.26</v>
      </c>
      <c r="J4" s="148">
        <f>517+420+427</f>
        <v>1364</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595</v>
      </c>
      <c r="O6" s="148">
        <v>1160</v>
      </c>
      <c r="P6" s="148">
        <f>+O6-(O6*0.18)</f>
        <v>951.2</v>
      </c>
      <c r="Q6" s="148">
        <v>480</v>
      </c>
      <c r="R6" s="148">
        <f t="shared" ref="R6:R8" si="0">+O6*Q6</f>
        <v>556800</v>
      </c>
      <c r="S6" s="148">
        <f t="shared" ref="S6:S8" si="1">+P6*Q6</f>
        <v>456576</v>
      </c>
    </row>
    <row r="7" spans="1:19" ht="13.5" customHeight="1" thickBot="1">
      <c r="A7" s="770" t="s">
        <v>391</v>
      </c>
      <c r="B7" s="214" t="s">
        <v>606</v>
      </c>
      <c r="C7" s="215">
        <v>12179</v>
      </c>
      <c r="D7" s="216"/>
      <c r="E7" s="217"/>
      <c r="F7" s="227">
        <v>9</v>
      </c>
      <c r="G7" s="228" t="s">
        <v>12</v>
      </c>
      <c r="H7" s="229" t="s">
        <v>412</v>
      </c>
      <c r="I7" s="773" t="s">
        <v>651</v>
      </c>
      <c r="J7" s="213" t="str">
        <f>+'14'!J7</f>
        <v>F 12 VP OW</v>
      </c>
      <c r="K7" s="237"/>
      <c r="L7" s="241"/>
      <c r="M7" s="116">
        <f>+K7+'14'!M7+L7</f>
        <v>136522</v>
      </c>
      <c r="O7" s="148">
        <v>1160</v>
      </c>
      <c r="P7" s="148">
        <f>+O7-(O7*0.18)</f>
        <v>951.2</v>
      </c>
      <c r="Q7" s="148">
        <v>480</v>
      </c>
      <c r="R7" s="148">
        <f t="shared" si="0"/>
        <v>556800</v>
      </c>
      <c r="S7" s="148">
        <f t="shared" si="1"/>
        <v>456576</v>
      </c>
    </row>
    <row r="8" spans="1:19" ht="13.5" thickBot="1">
      <c r="A8" s="771"/>
      <c r="B8" s="214"/>
      <c r="C8" s="215"/>
      <c r="D8" s="216"/>
      <c r="E8" s="218"/>
      <c r="F8" s="230"/>
      <c r="G8" s="231" t="s">
        <v>12</v>
      </c>
      <c r="H8" s="229" t="s">
        <v>283</v>
      </c>
      <c r="I8" s="774"/>
      <c r="J8" s="213" t="str">
        <f>+'14'!J8</f>
        <v>F 14 VP OW</v>
      </c>
      <c r="K8" s="238"/>
      <c r="L8" s="238"/>
      <c r="M8" s="116">
        <f>+K8+'14'!M8+L8</f>
        <v>89126</v>
      </c>
      <c r="O8" s="148">
        <v>1230</v>
      </c>
      <c r="P8" s="148">
        <f>+O8-(O8*0.22)</f>
        <v>959.4</v>
      </c>
      <c r="Q8" s="148">
        <v>480</v>
      </c>
      <c r="R8" s="148">
        <f t="shared" si="0"/>
        <v>590400</v>
      </c>
      <c r="S8" s="148">
        <f t="shared" si="1"/>
        <v>460512</v>
      </c>
    </row>
    <row r="9" spans="1:19" ht="13.5" thickBot="1">
      <c r="A9" s="771"/>
      <c r="B9" s="214"/>
      <c r="C9" s="215"/>
      <c r="D9" s="216"/>
      <c r="E9" s="219"/>
      <c r="F9" s="227">
        <f>25-9</f>
        <v>16</v>
      </c>
      <c r="G9" s="231" t="s">
        <v>12</v>
      </c>
      <c r="H9" s="232" t="s">
        <v>385</v>
      </c>
      <c r="I9" s="774"/>
      <c r="J9" s="213" t="str">
        <f>+'14'!J9</f>
        <v>F 16 VP OW</v>
      </c>
      <c r="K9" s="238"/>
      <c r="L9" s="238"/>
      <c r="M9" s="116">
        <f>+K9+'14'!M9+L9</f>
        <v>104726</v>
      </c>
    </row>
    <row r="10" spans="1:19" ht="39" thickBot="1">
      <c r="A10" s="771"/>
      <c r="B10" s="214"/>
      <c r="C10" s="215"/>
      <c r="D10" s="216"/>
      <c r="E10" s="218"/>
      <c r="F10" s="227"/>
      <c r="G10" s="236" t="s">
        <v>13</v>
      </c>
      <c r="H10" s="232" t="s">
        <v>650</v>
      </c>
      <c r="I10" s="774"/>
      <c r="J10" s="213" t="str">
        <f>+'14'!J10</f>
        <v>F 13,5 VP OW</v>
      </c>
      <c r="K10" s="238"/>
      <c r="L10" s="238"/>
      <c r="M10" s="116">
        <f>+K10+'14'!M10+L10</f>
        <v>10827</v>
      </c>
    </row>
    <row r="11" spans="1:19" ht="26.25" thickBot="1">
      <c r="A11" s="771"/>
      <c r="B11" s="214"/>
      <c r="C11" s="215"/>
      <c r="D11" s="216"/>
      <c r="E11" s="218"/>
      <c r="F11" s="227">
        <v>22</v>
      </c>
      <c r="G11" s="231" t="s">
        <v>68</v>
      </c>
      <c r="H11" s="232" t="s">
        <v>640</v>
      </c>
      <c r="I11" s="774"/>
      <c r="J11" s="213" t="str">
        <f>+'14'!J11</f>
        <v>F 13 VP OW</v>
      </c>
      <c r="K11" s="238"/>
      <c r="L11" s="238"/>
      <c r="M11" s="116">
        <f>+K11+'14'!M11+L11</f>
        <v>19832</v>
      </c>
    </row>
    <row r="12" spans="1:19" ht="13.5" thickBot="1">
      <c r="A12" s="771"/>
      <c r="B12" s="214"/>
      <c r="C12" s="215"/>
      <c r="D12" s="216"/>
      <c r="E12" s="218"/>
      <c r="F12" s="227"/>
      <c r="G12" s="231"/>
      <c r="H12" s="232"/>
      <c r="I12" s="774"/>
      <c r="J12" s="213" t="str">
        <f>+'14'!J12</f>
        <v>T 14 VP OW</v>
      </c>
      <c r="K12" s="238"/>
      <c r="L12" s="238"/>
      <c r="M12" s="116">
        <f>+K12+'14'!M12+L12</f>
        <v>10448</v>
      </c>
    </row>
    <row r="13" spans="1:19" ht="13.5" thickBot="1">
      <c r="A13" s="771"/>
      <c r="B13" s="214"/>
      <c r="C13" s="215"/>
      <c r="D13" s="215"/>
      <c r="E13" s="218"/>
      <c r="F13" s="227"/>
      <c r="G13" s="231"/>
      <c r="H13" s="232"/>
      <c r="I13" s="775"/>
      <c r="J13" s="213" t="str">
        <f>+'14'!J13</f>
        <v>F 11,5 VP OW</v>
      </c>
      <c r="K13" s="238"/>
      <c r="L13" s="238"/>
      <c r="M13" s="116">
        <f>+K13+'14'!M13+L13</f>
        <v>53931</v>
      </c>
      <c r="Q13" s="175">
        <f>SUM(Q6:Q12)</f>
        <v>1440</v>
      </c>
      <c r="R13" s="175">
        <f>SUM(R6:R12)</f>
        <v>1704000</v>
      </c>
      <c r="S13" s="175">
        <f>SUM(S6:S12)</f>
        <v>1373664</v>
      </c>
    </row>
    <row r="14" spans="1:19" ht="13.5" thickBot="1">
      <c r="A14" s="772"/>
      <c r="B14" s="164" t="s">
        <v>2</v>
      </c>
      <c r="C14" s="98">
        <f>SUM(C7:C13)</f>
        <v>12179</v>
      </c>
      <c r="D14" s="110">
        <f>SUM(D7:D13)</f>
        <v>0</v>
      </c>
      <c r="E14" s="111">
        <f>SUM(E5:E13)</f>
        <v>0</v>
      </c>
      <c r="F14" s="115">
        <f>SUM(F7:F13)</f>
        <v>47</v>
      </c>
      <c r="G14" s="158"/>
      <c r="H14" s="165"/>
      <c r="I14" s="166"/>
      <c r="J14" s="213" t="str">
        <f>+'14'!J14</f>
        <v>F 12,5 VP OW</v>
      </c>
      <c r="K14" s="238"/>
      <c r="L14" s="238"/>
      <c r="M14" s="116">
        <f>+K14+'14'!M14+L14</f>
        <v>10132</v>
      </c>
      <c r="Q14" s="148">
        <f>480-Q13</f>
        <v>-960</v>
      </c>
      <c r="R14" s="175">
        <f>+R13/Q13</f>
        <v>1183.3333333333333</v>
      </c>
      <c r="S14" s="175">
        <f>+S13/Q13</f>
        <v>953.93333333333328</v>
      </c>
    </row>
    <row r="15" spans="1:19" ht="13.5" customHeight="1" thickBot="1">
      <c r="A15" s="770" t="s">
        <v>457</v>
      </c>
      <c r="B15" s="164"/>
      <c r="C15" s="112">
        <f>C14/($C$23+$D$23+$E$23)</f>
        <v>0.8494803654878984</v>
      </c>
      <c r="D15" s="113">
        <f>D14/($C$23+$D$23+$E$23)</f>
        <v>0</v>
      </c>
      <c r="E15" s="114">
        <f>E14/($C$23+$D$23+$E$23)</f>
        <v>0</v>
      </c>
      <c r="F15" s="227">
        <v>12</v>
      </c>
      <c r="G15" s="228" t="s">
        <v>12</v>
      </c>
      <c r="H15" s="229" t="s">
        <v>412</v>
      </c>
      <c r="I15" s="773" t="s">
        <v>651</v>
      </c>
      <c r="J15" s="213" t="str">
        <f>+'14'!J15</f>
        <v>T 13 VP OW</v>
      </c>
      <c r="K15" s="238">
        <f>+C34</f>
        <v>40757</v>
      </c>
      <c r="L15" s="238"/>
      <c r="M15" s="116">
        <f>+K15+'14'!M15+L15</f>
        <v>91363</v>
      </c>
    </row>
    <row r="16" spans="1:19" ht="13.5" thickBot="1">
      <c r="A16" s="776"/>
      <c r="B16" s="214" t="s">
        <v>606</v>
      </c>
      <c r="C16" s="221">
        <v>14337</v>
      </c>
      <c r="D16" s="222"/>
      <c r="E16" s="223"/>
      <c r="F16" s="230"/>
      <c r="G16" s="231" t="s">
        <v>12</v>
      </c>
      <c r="H16" s="229" t="s">
        <v>283</v>
      </c>
      <c r="I16" s="774"/>
      <c r="J16" s="213" t="str">
        <f>+'14'!J16</f>
        <v>T 12,5 VP OW</v>
      </c>
      <c r="K16" s="228"/>
      <c r="L16" s="228"/>
      <c r="M16" s="116">
        <f>+K16+'14'!M16+L16</f>
        <v>40828</v>
      </c>
    </row>
    <row r="17" spans="1:13" ht="13.5" thickBot="1">
      <c r="A17" s="776"/>
      <c r="B17" s="214"/>
      <c r="C17" s="215"/>
      <c r="D17" s="216"/>
      <c r="E17" s="224"/>
      <c r="F17" s="227">
        <f>33-12</f>
        <v>21</v>
      </c>
      <c r="G17" s="231" t="s">
        <v>12</v>
      </c>
      <c r="H17" s="232" t="s">
        <v>385</v>
      </c>
      <c r="I17" s="774"/>
      <c r="J17" s="213">
        <f>+'14'!J17</f>
        <v>0</v>
      </c>
      <c r="K17" s="228"/>
      <c r="L17" s="228"/>
      <c r="M17" s="116">
        <f>+K17+'14'!M17+L17</f>
        <v>0</v>
      </c>
    </row>
    <row r="18" spans="1:13" ht="39" thickBot="1">
      <c r="A18" s="776"/>
      <c r="B18" s="214"/>
      <c r="C18" s="215"/>
      <c r="D18" s="216"/>
      <c r="E18" s="224"/>
      <c r="F18" s="227"/>
      <c r="G18" s="236" t="s">
        <v>13</v>
      </c>
      <c r="H18" s="232" t="s">
        <v>650</v>
      </c>
      <c r="I18" s="774"/>
      <c r="J18" s="213">
        <f>+'14'!J18</f>
        <v>0</v>
      </c>
      <c r="K18" s="238"/>
      <c r="L18" s="238"/>
      <c r="M18" s="116">
        <f>+K18+'14'!M18+L18</f>
        <v>0</v>
      </c>
    </row>
    <row r="19" spans="1:13" ht="30.75" customHeight="1" thickBot="1">
      <c r="A19" s="776"/>
      <c r="B19" s="214"/>
      <c r="C19" s="215"/>
      <c r="D19" s="216"/>
      <c r="E19" s="224"/>
      <c r="F19" s="234"/>
      <c r="G19" s="231"/>
      <c r="H19" s="232" t="s">
        <v>639</v>
      </c>
      <c r="I19" s="774"/>
      <c r="J19" s="213">
        <f>+'14'!J19</f>
        <v>0</v>
      </c>
      <c r="K19" s="238"/>
      <c r="L19" s="238"/>
      <c r="M19" s="116">
        <f>+K19+'14'!M19+L19</f>
        <v>0</v>
      </c>
    </row>
    <row r="20" spans="1:13" ht="13.5" thickBot="1">
      <c r="A20" s="776"/>
      <c r="B20" s="214"/>
      <c r="C20" s="215"/>
      <c r="D20" s="216"/>
      <c r="E20" s="224"/>
      <c r="F20" s="227"/>
      <c r="G20" s="231"/>
      <c r="H20" s="232"/>
      <c r="I20" s="774"/>
      <c r="J20" s="213">
        <f>+'14'!J20</f>
        <v>0</v>
      </c>
      <c r="K20" s="239"/>
      <c r="L20" s="239"/>
      <c r="M20" s="116">
        <f>+K20+'14'!M20+L20</f>
        <v>0</v>
      </c>
    </row>
    <row r="21" spans="1:13" ht="13.5" thickBot="1">
      <c r="A21" s="776"/>
      <c r="B21" s="214"/>
      <c r="C21" s="215"/>
      <c r="D21" s="216"/>
      <c r="E21" s="224"/>
      <c r="F21" s="230"/>
      <c r="G21" s="231"/>
      <c r="H21" s="232"/>
      <c r="I21" s="774"/>
      <c r="J21" s="213">
        <f>+'14'!J21</f>
        <v>0</v>
      </c>
      <c r="K21" s="238"/>
      <c r="L21" s="238"/>
      <c r="M21" s="116">
        <f>+K21+'14'!M21+L21</f>
        <v>0</v>
      </c>
    </row>
    <row r="22" spans="1:13" ht="13.5" thickBot="1">
      <c r="A22" s="776"/>
      <c r="B22" s="214"/>
      <c r="C22" s="215"/>
      <c r="D22" s="216"/>
      <c r="E22" s="224"/>
      <c r="F22" s="235"/>
      <c r="G22" s="231"/>
      <c r="H22" s="232"/>
      <c r="I22" s="775"/>
      <c r="J22" s="213">
        <f>+'14'!J22</f>
        <v>0</v>
      </c>
      <c r="K22" s="238"/>
      <c r="L22" s="238"/>
      <c r="M22" s="116">
        <f>+K22+'14'!M22+L22</f>
        <v>0</v>
      </c>
    </row>
    <row r="23" spans="1:13" ht="13.5" thickBot="1">
      <c r="A23" s="777"/>
      <c r="B23" s="167" t="s">
        <v>2</v>
      </c>
      <c r="C23" s="99">
        <f>SUM(C16:C22)</f>
        <v>14337</v>
      </c>
      <c r="D23" s="110">
        <f>SUM(D16:D22)</f>
        <v>0</v>
      </c>
      <c r="E23" s="111">
        <f>SUM(E18:E22)</f>
        <v>0</v>
      </c>
      <c r="F23" s="115">
        <f>SUM(F15:F22)</f>
        <v>33</v>
      </c>
      <c r="G23" s="158"/>
      <c r="H23" s="165"/>
      <c r="I23" s="168"/>
      <c r="J23" s="213">
        <f>+'14'!J23</f>
        <v>0</v>
      </c>
      <c r="K23" s="238"/>
      <c r="L23" s="238"/>
      <c r="M23" s="116">
        <f>+K23+'14'!M23+L23</f>
        <v>0</v>
      </c>
    </row>
    <row r="24" spans="1:13" ht="13.5" customHeight="1" thickBot="1">
      <c r="A24" s="770" t="s">
        <v>390</v>
      </c>
      <c r="B24" s="169"/>
      <c r="C24" s="112">
        <f>C23/($C$23+$D$23+$E$23)</f>
        <v>1</v>
      </c>
      <c r="D24" s="113">
        <f>D23/($C$23+$D$23+$E$23)</f>
        <v>0</v>
      </c>
      <c r="E24" s="114">
        <f>E23/($C$23+$D$23+$E$23)</f>
        <v>0</v>
      </c>
      <c r="F24" s="227">
        <v>9</v>
      </c>
      <c r="G24" s="228" t="s">
        <v>12</v>
      </c>
      <c r="H24" s="229" t="s">
        <v>412</v>
      </c>
      <c r="I24" s="773" t="s">
        <v>652</v>
      </c>
      <c r="J24" s="213">
        <f>+'14'!J24</f>
        <v>0</v>
      </c>
      <c r="K24" s="238"/>
      <c r="L24" s="238"/>
      <c r="M24" s="116">
        <f>+K24+'14'!M24+L24</f>
        <v>0</v>
      </c>
    </row>
    <row r="25" spans="1:13" ht="13.5" thickBot="1">
      <c r="A25" s="776"/>
      <c r="B25" s="214" t="s">
        <v>606</v>
      </c>
      <c r="C25" s="225">
        <v>14241</v>
      </c>
      <c r="D25" s="216"/>
      <c r="E25" s="224"/>
      <c r="F25" s="230"/>
      <c r="G25" s="231" t="s">
        <v>12</v>
      </c>
      <c r="H25" s="229" t="s">
        <v>283</v>
      </c>
      <c r="I25" s="774"/>
      <c r="J25" s="213">
        <f>+'14'!J25</f>
        <v>0</v>
      </c>
      <c r="K25" s="238"/>
      <c r="L25" s="238"/>
      <c r="M25" s="116">
        <f>+K25+'14'!M25+L25</f>
        <v>0</v>
      </c>
    </row>
    <row r="26" spans="1:13" ht="13.5" thickBot="1">
      <c r="A26" s="776"/>
      <c r="B26" s="214"/>
      <c r="C26" s="225"/>
      <c r="D26" s="216"/>
      <c r="E26" s="226"/>
      <c r="F26" s="227">
        <f>20-9</f>
        <v>11</v>
      </c>
      <c r="G26" s="231" t="s">
        <v>12</v>
      </c>
      <c r="H26" s="232" t="s">
        <v>385</v>
      </c>
      <c r="I26" s="774"/>
      <c r="J26" s="213">
        <f>+'14'!J26</f>
        <v>0</v>
      </c>
      <c r="K26" s="238"/>
      <c r="L26" s="238"/>
      <c r="M26" s="116">
        <f>+K26+'14'!M26+L26</f>
        <v>0</v>
      </c>
    </row>
    <row r="27" spans="1:13" ht="26.25" thickBot="1">
      <c r="A27" s="776"/>
      <c r="B27" s="214"/>
      <c r="C27" s="215"/>
      <c r="D27" s="216"/>
      <c r="E27" s="224"/>
      <c r="F27" s="227"/>
      <c r="G27" s="236" t="s">
        <v>13</v>
      </c>
      <c r="H27" s="232" t="s">
        <v>638</v>
      </c>
      <c r="I27" s="774"/>
      <c r="J27" s="213">
        <f>+'14'!J27</f>
        <v>0</v>
      </c>
      <c r="K27" s="238"/>
      <c r="L27" s="238"/>
      <c r="M27" s="116">
        <f>+K27+'14'!M27+L27</f>
        <v>0</v>
      </c>
    </row>
    <row r="28" spans="1:13" ht="13.5" thickBot="1">
      <c r="A28" s="776"/>
      <c r="B28" s="214"/>
      <c r="C28" s="215"/>
      <c r="D28" s="216"/>
      <c r="E28" s="224"/>
      <c r="F28" s="230"/>
      <c r="G28" s="231"/>
      <c r="H28" s="232"/>
      <c r="I28" s="774"/>
      <c r="J28" s="213">
        <f>+'14'!J28</f>
        <v>0</v>
      </c>
      <c r="K28" s="238"/>
      <c r="L28" s="238"/>
      <c r="M28" s="116">
        <f>+K28+'14'!M28+L28</f>
        <v>0</v>
      </c>
    </row>
    <row r="29" spans="1:13" ht="13.5" thickBot="1">
      <c r="A29" s="776"/>
      <c r="B29" s="214"/>
      <c r="C29" s="215"/>
      <c r="D29" s="216"/>
      <c r="E29" s="224"/>
      <c r="F29" s="235"/>
      <c r="G29" s="231"/>
      <c r="H29" s="232"/>
      <c r="I29" s="774"/>
      <c r="J29" s="213">
        <f>+'14'!J29</f>
        <v>0</v>
      </c>
      <c r="K29" s="238"/>
      <c r="L29" s="238"/>
      <c r="M29" s="116">
        <f>+K29+'14'!M29+L29</f>
        <v>0</v>
      </c>
    </row>
    <row r="30" spans="1:13" ht="13.5" thickBot="1">
      <c r="A30" s="776"/>
      <c r="B30" s="214"/>
      <c r="C30" s="225"/>
      <c r="D30" s="216"/>
      <c r="E30" s="224"/>
      <c r="F30" s="235"/>
      <c r="G30" s="231"/>
      <c r="H30" s="232"/>
      <c r="I30" s="774"/>
      <c r="J30" s="213">
        <f>+'14'!J30</f>
        <v>0</v>
      </c>
      <c r="K30" s="238"/>
      <c r="L30" s="238"/>
      <c r="M30" s="116">
        <f>+K30+'14'!M30+L30</f>
        <v>0</v>
      </c>
    </row>
    <row r="31" spans="1:13" ht="13.5" thickBot="1">
      <c r="A31" s="776"/>
      <c r="B31" s="214"/>
      <c r="C31" s="225"/>
      <c r="D31" s="216"/>
      <c r="E31" s="224"/>
      <c r="F31" s="235"/>
      <c r="G31" s="236"/>
      <c r="H31" s="443"/>
      <c r="I31" s="775"/>
      <c r="J31" s="213">
        <f>+'14'!J31</f>
        <v>0</v>
      </c>
      <c r="K31" s="238"/>
      <c r="L31" s="238"/>
      <c r="M31" s="116">
        <f>+K31+'14'!M31+L31</f>
        <v>0</v>
      </c>
    </row>
    <row r="32" spans="1:13" ht="13.5" thickBot="1">
      <c r="A32" s="777"/>
      <c r="B32" s="164" t="s">
        <v>2</v>
      </c>
      <c r="C32" s="98">
        <f>SUM(C25:C31)</f>
        <v>14241</v>
      </c>
      <c r="D32" s="99">
        <f>SUM(D25:D31)</f>
        <v>0</v>
      </c>
      <c r="E32" s="100">
        <f>SUM(E25:E31)</f>
        <v>0</v>
      </c>
      <c r="F32" s="101">
        <f>SUM(F24:F31)</f>
        <v>20</v>
      </c>
      <c r="G32" s="170"/>
      <c r="H32" s="171"/>
      <c r="I32" s="168"/>
      <c r="J32" s="213">
        <f>+'14'!J32</f>
        <v>0</v>
      </c>
      <c r="K32" s="240"/>
      <c r="L32" s="242"/>
      <c r="M32" s="116">
        <f>+K32+'14'!M32+L32</f>
        <v>0</v>
      </c>
    </row>
    <row r="33" spans="1:13" ht="13.5" thickBot="1">
      <c r="A33" s="172"/>
      <c r="B33" s="173"/>
      <c r="C33" s="102">
        <f>C32/($C$32+$D$32+$E$32)</f>
        <v>1</v>
      </c>
      <c r="D33" s="103">
        <f>D32/($C$32+$D$32+$E$32)</f>
        <v>0</v>
      </c>
      <c r="E33" s="104">
        <f>E32/($C$32+$D$32+$E$32)</f>
        <v>0</v>
      </c>
      <c r="F33" s="105"/>
      <c r="G33" s="174"/>
      <c r="H33" s="175"/>
      <c r="I33" s="176"/>
      <c r="J33" s="120"/>
      <c r="K33" s="121"/>
      <c r="L33" s="212"/>
      <c r="M33" s="118"/>
    </row>
    <row r="34" spans="1:13" ht="13.5" thickBot="1">
      <c r="A34" s="766" t="s">
        <v>57</v>
      </c>
      <c r="B34" s="767"/>
      <c r="C34" s="106">
        <f>C14+C23+C32</f>
        <v>40757</v>
      </c>
      <c r="D34" s="106">
        <f>D14+D23+D32</f>
        <v>0</v>
      </c>
      <c r="E34" s="106">
        <f>E14+E23+E32</f>
        <v>0</v>
      </c>
      <c r="F34" s="107">
        <f>F14+F23+F32</f>
        <v>100</v>
      </c>
      <c r="H34" s="177"/>
      <c r="I34" s="177"/>
      <c r="J34" s="122" t="s">
        <v>28</v>
      </c>
      <c r="K34" s="123">
        <f>SUM(K7:K32)</f>
        <v>40757</v>
      </c>
      <c r="L34" s="211">
        <f>SUM(L7:L32)</f>
        <v>0</v>
      </c>
      <c r="M34" s="119">
        <f>SUM(M7:M32)</f>
        <v>567735</v>
      </c>
    </row>
    <row r="35" spans="1:13" ht="13.5" thickBot="1">
      <c r="A35" s="178"/>
      <c r="B35" s="179"/>
      <c r="C35" s="103">
        <f>C34/($C$34+$D$34+$E$34)</f>
        <v>1</v>
      </c>
      <c r="D35" s="103">
        <f>D34/($C$34+$D$34+$E$34)</f>
        <v>0</v>
      </c>
      <c r="E35" s="108">
        <f>E34/($C$34+$D$34+$E$34)</f>
        <v>0</v>
      </c>
      <c r="K35" s="154"/>
    </row>
    <row r="36" spans="1:13" ht="13.5" thickBot="1">
      <c r="A36" s="177"/>
      <c r="B36" s="177"/>
      <c r="C36" s="154"/>
      <c r="D36" s="154"/>
      <c r="E36" s="154"/>
      <c r="G36" s="154"/>
      <c r="H36" s="180"/>
      <c r="I36" s="161" t="s">
        <v>37</v>
      </c>
      <c r="J36" s="161" t="s">
        <v>38</v>
      </c>
      <c r="K36" s="181"/>
    </row>
    <row r="37" spans="1:13" ht="17.45" customHeight="1" thickBot="1">
      <c r="A37" s="768" t="s">
        <v>58</v>
      </c>
      <c r="B37" s="769"/>
      <c r="C37" s="161" t="s">
        <v>59</v>
      </c>
      <c r="D37" s="182" t="s">
        <v>60</v>
      </c>
      <c r="E37" s="183" t="s">
        <v>61</v>
      </c>
      <c r="F37" s="321"/>
      <c r="G37" s="323"/>
      <c r="H37" s="185" t="s">
        <v>62</v>
      </c>
      <c r="I37" s="243">
        <f>(13*1440)/1440*G42*2.74*1440/1000000</f>
        <v>48.929911679999996</v>
      </c>
      <c r="J37" s="124">
        <f>+I37+'14'!J37</f>
        <v>666.79860423635489</v>
      </c>
      <c r="K37" s="125" t="s">
        <v>63</v>
      </c>
    </row>
    <row r="38" spans="1:13" ht="17.45" customHeight="1">
      <c r="A38" s="760" t="s">
        <v>12</v>
      </c>
      <c r="B38" s="761"/>
      <c r="C38" s="163">
        <f>SUMIF($G$7:$G$31,"Process",$F$7:$F$31)</f>
        <v>78</v>
      </c>
      <c r="D38" s="117">
        <f>+C38+'14'!D38</f>
        <v>1167</v>
      </c>
      <c r="E38" s="142">
        <f t="shared" ref="E38:E51" si="2">D38/60</f>
        <v>19.45</v>
      </c>
      <c r="F38" s="321">
        <v>1160</v>
      </c>
      <c r="G38" s="321">
        <v>951.2</v>
      </c>
      <c r="H38" s="186" t="s">
        <v>64</v>
      </c>
      <c r="I38" s="244">
        <f>14.222+12.838+14.272</f>
        <v>41.332000000000001</v>
      </c>
      <c r="J38" s="126">
        <f>+I38+'14'!J38</f>
        <v>585.00799999999992</v>
      </c>
      <c r="K38" s="127" t="s">
        <v>63</v>
      </c>
    </row>
    <row r="39" spans="1:13" ht="17.45" customHeight="1">
      <c r="A39" s="764" t="s">
        <v>13</v>
      </c>
      <c r="B39" s="765"/>
      <c r="C39" s="163">
        <f>SUMIF($G$7:$G$31,"Cleaning",$F$7:$F$31)</f>
        <v>0</v>
      </c>
      <c r="D39" s="117">
        <f>+C39+'14'!D39</f>
        <v>0</v>
      </c>
      <c r="E39" s="142">
        <f t="shared" si="2"/>
        <v>0</v>
      </c>
      <c r="F39" s="321">
        <v>1160</v>
      </c>
      <c r="G39" s="321">
        <v>951.2</v>
      </c>
      <c r="H39" s="186" t="s">
        <v>65</v>
      </c>
      <c r="I39" s="141"/>
      <c r="J39" s="128">
        <f>J37/G4</f>
        <v>44.453240282423657</v>
      </c>
      <c r="K39" s="129" t="s">
        <v>63</v>
      </c>
    </row>
    <row r="40" spans="1:13" ht="17.45" customHeight="1">
      <c r="A40" s="764" t="s">
        <v>66</v>
      </c>
      <c r="B40" s="765"/>
      <c r="C40" s="163">
        <f>SUMIF($G$7:$G$31,"Mechanical",$F$7:$F$31)</f>
        <v>0</v>
      </c>
      <c r="D40" s="117">
        <f>+C40+'14'!D40</f>
        <v>0</v>
      </c>
      <c r="E40" s="142">
        <f t="shared" si="2"/>
        <v>0</v>
      </c>
      <c r="F40" s="321">
        <v>1230</v>
      </c>
      <c r="G40" s="321">
        <v>959.4</v>
      </c>
      <c r="H40" s="186" t="s">
        <v>67</v>
      </c>
      <c r="I40" s="117">
        <f>(K34+L34)/1000</f>
        <v>40.756999999999998</v>
      </c>
      <c r="J40" s="130">
        <f>+I40+'14'!J40</f>
        <v>567.7349999999999</v>
      </c>
      <c r="K40" s="129" t="s">
        <v>63</v>
      </c>
    </row>
    <row r="41" spans="1:13" ht="17.45" customHeight="1">
      <c r="A41" s="764" t="s">
        <v>68</v>
      </c>
      <c r="B41" s="765"/>
      <c r="C41" s="163">
        <f>SUMIF($G$7:$G$31,"Electrical",$F$7:$F$31)</f>
        <v>22</v>
      </c>
      <c r="D41" s="117">
        <f>+C41+'14'!D41</f>
        <v>286</v>
      </c>
      <c r="E41" s="142">
        <f t="shared" si="2"/>
        <v>4.7666666666666666</v>
      </c>
      <c r="F41" s="321"/>
      <c r="G41" s="321"/>
      <c r="H41" s="186" t="s">
        <v>69</v>
      </c>
      <c r="I41" s="141"/>
      <c r="J41" s="128">
        <f>J40/G4</f>
        <v>37.848999999999997</v>
      </c>
      <c r="K41" s="129" t="s">
        <v>63</v>
      </c>
    </row>
    <row r="42" spans="1:13" ht="17.45" customHeight="1">
      <c r="A42" s="764" t="s">
        <v>16</v>
      </c>
      <c r="B42" s="765"/>
      <c r="C42" s="163">
        <f>SUMIF($G$7:$G$31,"Instrument",$F$7:$F$31)</f>
        <v>0</v>
      </c>
      <c r="D42" s="117">
        <f>+C42+'14'!D42</f>
        <v>0</v>
      </c>
      <c r="E42" s="142">
        <f t="shared" si="2"/>
        <v>0</v>
      </c>
      <c r="F42" s="321">
        <f>+(F38*480+F39*480+F40*480)/1440</f>
        <v>1183.3333333333333</v>
      </c>
      <c r="G42" s="321">
        <f>+(G38*480+G39*480+G40*480)/1440</f>
        <v>953.93333333333328</v>
      </c>
      <c r="H42" s="186" t="s">
        <v>70</v>
      </c>
      <c r="I42" s="245" t="s">
        <v>653</v>
      </c>
      <c r="J42" s="131"/>
      <c r="K42" s="129" t="s">
        <v>71</v>
      </c>
    </row>
    <row r="43" spans="1:13" ht="17.45" customHeight="1">
      <c r="A43" s="764" t="s">
        <v>219</v>
      </c>
      <c r="B43" s="765"/>
      <c r="C43" s="163">
        <f>SUMIF($G$7:$G$31,"Change Grade",$F$7:$F$31)</f>
        <v>0</v>
      </c>
      <c r="D43" s="117">
        <f>+C43+'14'!D43</f>
        <v>0</v>
      </c>
      <c r="E43" s="142">
        <f t="shared" si="2"/>
        <v>0</v>
      </c>
      <c r="F43" s="321"/>
      <c r="G43" s="322"/>
      <c r="H43" s="187" t="s">
        <v>73</v>
      </c>
      <c r="I43" s="117">
        <f>+Report1!Z23</f>
        <v>56.8</v>
      </c>
      <c r="J43" s="132">
        <f>+I43+'14'!J43</f>
        <v>787.7</v>
      </c>
      <c r="K43" s="129" t="s">
        <v>63</v>
      </c>
      <c r="L43" s="188"/>
    </row>
    <row r="44" spans="1:13" ht="17.45" customHeight="1">
      <c r="A44" s="764" t="s">
        <v>17</v>
      </c>
      <c r="B44" s="765"/>
      <c r="C44" s="163">
        <f>SUMIF($G$7:$G$31,"PLN",$F$7:$F$31)</f>
        <v>0</v>
      </c>
      <c r="D44" s="117">
        <f>+C44+'14'!D44</f>
        <v>0</v>
      </c>
      <c r="E44" s="142">
        <f t="shared" si="2"/>
        <v>0</v>
      </c>
      <c r="F44" s="321"/>
      <c r="G44" s="322"/>
      <c r="H44" s="187" t="s">
        <v>74</v>
      </c>
      <c r="I44" s="117">
        <f>I43/I38</f>
        <v>1.3742378786412464</v>
      </c>
      <c r="J44" s="133">
        <f>J43/J38</f>
        <v>1.3464773131307608</v>
      </c>
      <c r="K44" s="129" t="s">
        <v>63</v>
      </c>
    </row>
    <row r="45" spans="1:13" ht="17.45" customHeight="1">
      <c r="A45" s="764" t="s">
        <v>18</v>
      </c>
      <c r="B45" s="765"/>
      <c r="C45" s="163">
        <f>SUMIF($G$7:$G$31,"Boiler",$F$7:$F$31)</f>
        <v>0</v>
      </c>
      <c r="D45" s="117">
        <f>+C45+'14'!D45</f>
        <v>0</v>
      </c>
      <c r="E45" s="142">
        <f t="shared" si="2"/>
        <v>0</v>
      </c>
      <c r="F45" s="321"/>
      <c r="G45" s="324"/>
      <c r="H45" s="187" t="s">
        <v>75</v>
      </c>
      <c r="I45" s="117">
        <f>I43/I40</f>
        <v>1.3936256348602694</v>
      </c>
      <c r="J45" s="133">
        <f>J43/J40</f>
        <v>1.3874430852422348</v>
      </c>
      <c r="K45" s="129" t="s">
        <v>63</v>
      </c>
    </row>
    <row r="46" spans="1:13" ht="17.45" customHeight="1">
      <c r="A46" s="764" t="s">
        <v>76</v>
      </c>
      <c r="B46" s="765"/>
      <c r="C46" s="163">
        <f>SUMIF($G$7:$G$31,"Gas",$F$7:$F$31)</f>
        <v>0</v>
      </c>
      <c r="D46" s="117">
        <f>+C46+'14'!D46</f>
        <v>0</v>
      </c>
      <c r="E46" s="142">
        <f t="shared" si="2"/>
        <v>0</v>
      </c>
      <c r="F46" s="321"/>
      <c r="G46" s="322"/>
      <c r="H46" s="187" t="s">
        <v>77</v>
      </c>
      <c r="I46" s="139">
        <f>+SUMIF(Listrik!P22,"&gt;0")</f>
        <v>35543.700000000361</v>
      </c>
      <c r="J46" s="134">
        <f>+I46+'14'!J46</f>
        <v>520569.88000000035</v>
      </c>
      <c r="K46" s="129" t="s">
        <v>78</v>
      </c>
    </row>
    <row r="47" spans="1:13" ht="17.45" customHeight="1">
      <c r="A47" s="764" t="s">
        <v>79</v>
      </c>
      <c r="B47" s="765"/>
      <c r="C47" s="163">
        <f>SUMIF($G$7:$G$31,"Gas",$F$7:$F$31)</f>
        <v>0</v>
      </c>
      <c r="D47" s="117">
        <f>+C47+'14'!D47</f>
        <v>0</v>
      </c>
      <c r="E47" s="142">
        <f t="shared" si="2"/>
        <v>0</v>
      </c>
      <c r="F47" s="321"/>
      <c r="G47" s="322"/>
      <c r="H47" s="187" t="s">
        <v>80</v>
      </c>
      <c r="I47" s="117">
        <f>I46/I38</f>
        <v>859.95596632150296</v>
      </c>
      <c r="J47" s="134">
        <f>J46/J38</f>
        <v>889.85087383420466</v>
      </c>
      <c r="K47" s="129" t="s">
        <v>24</v>
      </c>
    </row>
    <row r="48" spans="1:13" ht="17.45" customHeight="1">
      <c r="A48" s="764" t="s">
        <v>14</v>
      </c>
      <c r="B48" s="765"/>
      <c r="C48" s="163">
        <f>SUMIF($G$7:$G$31,"Start Up",$F$7:$F$31)</f>
        <v>0</v>
      </c>
      <c r="D48" s="117">
        <f>+C48+'14'!D48</f>
        <v>0</v>
      </c>
      <c r="E48" s="142">
        <f t="shared" si="2"/>
        <v>0</v>
      </c>
      <c r="F48" s="321"/>
      <c r="G48" s="322"/>
      <c r="H48" s="187" t="s">
        <v>81</v>
      </c>
      <c r="I48" s="117">
        <f>I46/I40</f>
        <v>872.08823024266655</v>
      </c>
      <c r="J48" s="134">
        <f>J46/J40</f>
        <v>916.92405787911696</v>
      </c>
      <c r="K48" s="129" t="s">
        <v>24</v>
      </c>
    </row>
    <row r="49" spans="1:11" ht="17.45" customHeight="1">
      <c r="A49" s="764" t="s">
        <v>20</v>
      </c>
      <c r="B49" s="765"/>
      <c r="C49" s="163">
        <f>SUMIF($G$7:$G$31,"Others",$F$7:$F$31)</f>
        <v>0</v>
      </c>
      <c r="D49" s="117">
        <f>+C49+'14'!D49</f>
        <v>948</v>
      </c>
      <c r="E49" s="142">
        <f t="shared" si="2"/>
        <v>15.8</v>
      </c>
      <c r="F49" s="184"/>
      <c r="H49" s="187" t="s">
        <v>268</v>
      </c>
      <c r="I49" s="117">
        <f>+Report1!T23</f>
        <v>5476.8081640073278</v>
      </c>
      <c r="J49" s="134">
        <f>+I49+'14'!J49</f>
        <v>71692.743349052791</v>
      </c>
      <c r="K49" s="129" t="s">
        <v>82</v>
      </c>
    </row>
    <row r="50" spans="1:11" ht="17.45" customHeight="1">
      <c r="A50" s="764" t="s">
        <v>19</v>
      </c>
      <c r="B50" s="765"/>
      <c r="C50" s="163">
        <f>SUMIF($G$7:$G$31,"Steam",$F$7:$F$31)</f>
        <v>0</v>
      </c>
      <c r="D50" s="117">
        <f>+C50+'14'!D50</f>
        <v>0</v>
      </c>
      <c r="E50" s="142">
        <f t="shared" si="2"/>
        <v>0</v>
      </c>
      <c r="F50" s="184"/>
      <c r="H50" s="187" t="s">
        <v>83</v>
      </c>
      <c r="I50" s="139">
        <f>I49/I38</f>
        <v>132.5076977646213</v>
      </c>
      <c r="J50" s="132">
        <f>J49/J38</f>
        <v>122.5500221348303</v>
      </c>
      <c r="K50" s="129" t="s">
        <v>82</v>
      </c>
    </row>
    <row r="51" spans="1:11" ht="17.45" customHeight="1" thickBot="1">
      <c r="A51" s="758" t="s">
        <v>84</v>
      </c>
      <c r="B51" s="759"/>
      <c r="C51" s="163">
        <f>SUMIF($G$7:$G$31,"Planned shut",$F$7:$F$31)</f>
        <v>0</v>
      </c>
      <c r="D51" s="117">
        <f>+C51+'14'!D51</f>
        <v>0</v>
      </c>
      <c r="E51" s="142">
        <f t="shared" si="2"/>
        <v>0</v>
      </c>
      <c r="F51" s="184"/>
      <c r="H51" s="189" t="s">
        <v>85</v>
      </c>
      <c r="I51" s="140">
        <f>I49/I40</f>
        <v>134.37711715796866</v>
      </c>
      <c r="J51" s="135">
        <f>J49/J40</f>
        <v>126.27853373326077</v>
      </c>
      <c r="K51" s="136" t="s">
        <v>82</v>
      </c>
    </row>
    <row r="52" spans="1:11" ht="13.5" thickBot="1">
      <c r="A52" s="760" t="s">
        <v>28</v>
      </c>
      <c r="B52" s="761"/>
      <c r="C52" s="143">
        <f>SUM(C38:C51)</f>
        <v>100</v>
      </c>
      <c r="D52" s="143">
        <f>SUM(D38:D51)</f>
        <v>2401</v>
      </c>
      <c r="E52" s="144">
        <f>SUM(E38:E51)</f>
        <v>40.016666666666666</v>
      </c>
      <c r="F52" s="184"/>
      <c r="H52" s="190"/>
      <c r="I52" s="191"/>
      <c r="J52" s="137"/>
      <c r="K52" s="138"/>
    </row>
    <row r="53" spans="1:11" ht="13.5" thickBot="1">
      <c r="A53" s="762"/>
      <c r="B53" s="763"/>
      <c r="C53" s="145">
        <f>C52/(24*60)</f>
        <v>6.9444444444444448E-2</v>
      </c>
      <c r="D53" s="145">
        <f>D52/(24*60*G4)</f>
        <v>0.11115740740740741</v>
      </c>
      <c r="E53" s="146">
        <f>E52/(G4*24)</f>
        <v>0.1111574074074074</v>
      </c>
      <c r="F53" s="184"/>
    </row>
    <row r="54" spans="1:11">
      <c r="E54" s="192"/>
      <c r="F54" s="184"/>
    </row>
    <row r="55" spans="1:11">
      <c r="E55" s="192"/>
    </row>
    <row r="56" spans="1:11">
      <c r="A56" s="193" t="s">
        <v>86</v>
      </c>
      <c r="B56" s="194"/>
      <c r="C56" s="195"/>
      <c r="D56" s="195"/>
      <c r="E56" s="195"/>
      <c r="F56" s="196"/>
      <c r="G56" s="195"/>
      <c r="H56" s="197"/>
      <c r="I56" s="198" t="s">
        <v>87</v>
      </c>
      <c r="J56" s="199">
        <f>+D34+'14'!J56</f>
        <v>1116</v>
      </c>
      <c r="K56" s="200">
        <f>J56/(J40+J56/1000)/1000</f>
        <v>1.961849412236245E-3</v>
      </c>
    </row>
    <row r="57" spans="1:11">
      <c r="A57" s="175"/>
      <c r="I57" s="198" t="s">
        <v>88</v>
      </c>
      <c r="J57" s="199">
        <f>+E34+'14'!J57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I7:I13"/>
    <mergeCell ref="A15:A23"/>
    <mergeCell ref="I15:I22"/>
    <mergeCell ref="A44:B44"/>
    <mergeCell ref="A45:B45"/>
    <mergeCell ref="A42:B42"/>
    <mergeCell ref="I24:I31"/>
    <mergeCell ref="A24:A32"/>
    <mergeCell ref="A47:B47"/>
    <mergeCell ref="A7:A14"/>
    <mergeCell ref="A34:B34"/>
    <mergeCell ref="A37:B37"/>
    <mergeCell ref="A38:B38"/>
    <mergeCell ref="A39:B39"/>
    <mergeCell ref="A46:B46"/>
    <mergeCell ref="A40:B40"/>
    <mergeCell ref="A41:B41"/>
    <mergeCell ref="A43:B43"/>
    <mergeCell ref="A53:B53"/>
    <mergeCell ref="A48:B48"/>
    <mergeCell ref="A49:B49"/>
    <mergeCell ref="A50:B50"/>
    <mergeCell ref="A51:B51"/>
    <mergeCell ref="A52:B52"/>
  </mergeCells>
  <phoneticPr fontId="32" type="noConversion"/>
  <printOptions horizontalCentered="1"/>
  <pageMargins left="0.17" right="0.16" top="0.17" bottom="0.16" header="0" footer="0"/>
  <pageSetup paperSize="9" scale="62"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8"/>
  <sheetViews>
    <sheetView view="pageBreakPreview" zoomScale="80" zoomScaleNormal="75" zoomScaleSheetLayoutView="80" workbookViewId="0">
      <selection activeCell="J4" sqref="J4"/>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2.140625" style="148"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14</v>
      </c>
      <c r="H4" s="153" t="str">
        <f>+'1'!H4</f>
        <v>.03.26</v>
      </c>
      <c r="J4" s="148">
        <f>421+402+447</f>
        <v>1270</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614</v>
      </c>
      <c r="O6" s="148">
        <v>1180</v>
      </c>
      <c r="P6" s="148">
        <f>+O6-(O6*0.23)</f>
        <v>908.59999999999991</v>
      </c>
      <c r="Q6" s="148">
        <f>60+45</f>
        <v>105</v>
      </c>
      <c r="R6" s="148">
        <f t="shared" ref="R6:R7" si="0">+O6*Q6</f>
        <v>123900</v>
      </c>
      <c r="S6" s="148">
        <f t="shared" ref="S6:S7" si="1">+P6*Q6</f>
        <v>95402.999999999985</v>
      </c>
    </row>
    <row r="7" spans="1:19" ht="13.5" customHeight="1" thickBot="1">
      <c r="A7" s="770" t="s">
        <v>391</v>
      </c>
      <c r="B7" s="214" t="s">
        <v>623</v>
      </c>
      <c r="C7" s="215">
        <v>5878</v>
      </c>
      <c r="D7" s="216"/>
      <c r="E7" s="217"/>
      <c r="F7" s="227">
        <v>9</v>
      </c>
      <c r="G7" s="228" t="s">
        <v>12</v>
      </c>
      <c r="H7" s="229" t="s">
        <v>412</v>
      </c>
      <c r="I7" s="773" t="s">
        <v>647</v>
      </c>
      <c r="J7" s="213" t="str">
        <f>+'13'!J7</f>
        <v>F 12 VP OW</v>
      </c>
      <c r="K7" s="237"/>
      <c r="L7" s="241"/>
      <c r="M7" s="116">
        <f>+K7+'13'!M7+L7</f>
        <v>136522</v>
      </c>
      <c r="N7" s="148" t="s">
        <v>595</v>
      </c>
      <c r="O7" s="148">
        <v>1180</v>
      </c>
      <c r="P7" s="148">
        <f>+O7-(O7*0.18)</f>
        <v>967.6</v>
      </c>
      <c r="Q7" s="148">
        <f>480-Q6</f>
        <v>375</v>
      </c>
      <c r="R7" s="148">
        <f t="shared" si="0"/>
        <v>442500</v>
      </c>
      <c r="S7" s="148">
        <f t="shared" si="1"/>
        <v>362850</v>
      </c>
    </row>
    <row r="8" spans="1:19" ht="13.5" thickBot="1">
      <c r="A8" s="771"/>
      <c r="B8" s="214" t="s">
        <v>606</v>
      </c>
      <c r="C8" s="215">
        <v>6984</v>
      </c>
      <c r="D8" s="216"/>
      <c r="E8" s="218"/>
      <c r="F8" s="230">
        <v>2</v>
      </c>
      <c r="G8" s="231" t="s">
        <v>12</v>
      </c>
      <c r="H8" s="229" t="s">
        <v>414</v>
      </c>
      <c r="I8" s="774"/>
      <c r="J8" s="213" t="str">
        <f>+'13'!J8</f>
        <v>F 14 VP OW</v>
      </c>
      <c r="K8" s="238"/>
      <c r="L8" s="238"/>
      <c r="M8" s="116">
        <f>+K8+'13'!M8+L8</f>
        <v>89126</v>
      </c>
    </row>
    <row r="9" spans="1:19" ht="13.5" thickBot="1">
      <c r="A9" s="771"/>
      <c r="B9" s="214"/>
      <c r="C9" s="215"/>
      <c r="D9" s="216"/>
      <c r="E9" s="219"/>
      <c r="F9" s="227">
        <f>21-11</f>
        <v>10</v>
      </c>
      <c r="G9" s="231" t="s">
        <v>12</v>
      </c>
      <c r="H9" s="232" t="s">
        <v>385</v>
      </c>
      <c r="I9" s="774"/>
      <c r="J9" s="213" t="str">
        <f>+'13'!J9</f>
        <v>F 16 VP OW</v>
      </c>
      <c r="K9" s="238"/>
      <c r="L9" s="238"/>
      <c r="M9" s="116">
        <f>+K9+'13'!M9+L9</f>
        <v>104726</v>
      </c>
    </row>
    <row r="10" spans="1:19" ht="39" thickBot="1">
      <c r="A10" s="771"/>
      <c r="B10" s="214"/>
      <c r="C10" s="215"/>
      <c r="D10" s="216"/>
      <c r="E10" s="218"/>
      <c r="F10" s="227"/>
      <c r="G10" s="236" t="s">
        <v>13</v>
      </c>
      <c r="H10" s="232" t="s">
        <v>644</v>
      </c>
      <c r="I10" s="774"/>
      <c r="J10" s="213" t="str">
        <f>+'13'!J10</f>
        <v>F 13,5 VP OW</v>
      </c>
      <c r="K10" s="238"/>
      <c r="L10" s="238"/>
      <c r="M10" s="116">
        <f>+K10+'13'!M10+L10</f>
        <v>10827</v>
      </c>
    </row>
    <row r="11" spans="1:19" ht="39" thickBot="1">
      <c r="A11" s="771"/>
      <c r="B11" s="214"/>
      <c r="C11" s="215"/>
      <c r="D11" s="216"/>
      <c r="E11" s="218"/>
      <c r="F11" s="227">
        <v>25</v>
      </c>
      <c r="G11" s="231" t="s">
        <v>68</v>
      </c>
      <c r="H11" s="232" t="s">
        <v>645</v>
      </c>
      <c r="I11" s="774"/>
      <c r="J11" s="213" t="str">
        <f>+'13'!J11</f>
        <v>F 13 VP OW</v>
      </c>
      <c r="K11" s="238"/>
      <c r="L11" s="238"/>
      <c r="M11" s="116">
        <f>+K11+'13'!M11+L11</f>
        <v>19832</v>
      </c>
    </row>
    <row r="12" spans="1:19" ht="13.5" thickBot="1">
      <c r="A12" s="771"/>
      <c r="B12" s="214"/>
      <c r="C12" s="215"/>
      <c r="D12" s="216"/>
      <c r="E12" s="218"/>
      <c r="F12" s="227"/>
      <c r="G12" s="231"/>
      <c r="H12" s="232"/>
      <c r="I12" s="774"/>
      <c r="J12" s="213" t="str">
        <f>+'13'!J12</f>
        <v>T 14 VP OW</v>
      </c>
      <c r="K12" s="238"/>
      <c r="L12" s="238"/>
      <c r="M12" s="116">
        <f>+K12+'13'!M12+L12</f>
        <v>10448</v>
      </c>
    </row>
    <row r="13" spans="1:19" ht="13.5" thickBot="1">
      <c r="A13" s="771"/>
      <c r="B13" s="214"/>
      <c r="C13" s="215"/>
      <c r="D13" s="215"/>
      <c r="E13" s="218"/>
      <c r="F13" s="227"/>
      <c r="G13" s="231"/>
      <c r="H13" s="232"/>
      <c r="I13" s="775"/>
      <c r="J13" s="213" t="str">
        <f>+'13'!J13</f>
        <v>F 11,5 VP OW</v>
      </c>
      <c r="K13" s="238"/>
      <c r="L13" s="238"/>
      <c r="M13" s="116">
        <f>+K13+'13'!M13+L13</f>
        <v>53931</v>
      </c>
      <c r="Q13" s="175">
        <f>SUM(Q6:Q12)</f>
        <v>480</v>
      </c>
      <c r="R13" s="175">
        <f>SUM(R6:R12)</f>
        <v>566400</v>
      </c>
      <c r="S13" s="175">
        <f>SUM(S6:S12)</f>
        <v>458253</v>
      </c>
    </row>
    <row r="14" spans="1:19" ht="13.5" thickBot="1">
      <c r="A14" s="772"/>
      <c r="B14" s="164" t="s">
        <v>2</v>
      </c>
      <c r="C14" s="98">
        <f>SUM(C7:C13)</f>
        <v>12862</v>
      </c>
      <c r="D14" s="110">
        <f>SUM(D7:D13)</f>
        <v>0</v>
      </c>
      <c r="E14" s="111">
        <f>SUM(E5:E13)</f>
        <v>0</v>
      </c>
      <c r="F14" s="115">
        <f>SUM(F7:F13)</f>
        <v>46</v>
      </c>
      <c r="G14" s="158"/>
      <c r="H14" s="165"/>
      <c r="I14" s="166"/>
      <c r="J14" s="213" t="str">
        <f>+'13'!J14</f>
        <v>F 12,5 VP OW</v>
      </c>
      <c r="K14" s="238"/>
      <c r="L14" s="238"/>
      <c r="M14" s="116">
        <f>+K14+'13'!M14+L14</f>
        <v>10132</v>
      </c>
      <c r="Q14" s="148">
        <f>480-Q13</f>
        <v>0</v>
      </c>
      <c r="R14" s="175">
        <f>+R13/Q13</f>
        <v>1180</v>
      </c>
      <c r="S14" s="175">
        <f>+S13/Q13</f>
        <v>954.69375000000002</v>
      </c>
    </row>
    <row r="15" spans="1:19" ht="13.5" customHeight="1" thickBot="1">
      <c r="A15" s="770" t="s">
        <v>457</v>
      </c>
      <c r="B15" s="164"/>
      <c r="C15" s="112">
        <f>C14/($C$23+$D$23+$E$23)</f>
        <v>0.99806006052611163</v>
      </c>
      <c r="D15" s="113">
        <f>D14/($C$23+$D$23+$E$23)</f>
        <v>0</v>
      </c>
      <c r="E15" s="114">
        <f>E14/($C$23+$D$23+$E$23)</f>
        <v>0</v>
      </c>
      <c r="F15" s="227">
        <v>9</v>
      </c>
      <c r="G15" s="228" t="s">
        <v>12</v>
      </c>
      <c r="H15" s="229" t="s">
        <v>412</v>
      </c>
      <c r="I15" s="773" t="s">
        <v>648</v>
      </c>
      <c r="J15" s="213" t="str">
        <f>+'13'!J15</f>
        <v>T 13 VP OW</v>
      </c>
      <c r="K15" s="238">
        <f>+C8+C16+C25</f>
        <v>34351</v>
      </c>
      <c r="L15" s="238"/>
      <c r="M15" s="116">
        <f>+K15+'13'!M15+L15</f>
        <v>50606</v>
      </c>
      <c r="N15" s="148" t="s">
        <v>595</v>
      </c>
      <c r="O15" s="148">
        <v>1180</v>
      </c>
      <c r="P15" s="148">
        <f>+O15-(O15*0.18)</f>
        <v>967.6</v>
      </c>
      <c r="Q15" s="148">
        <f>60*3+27</f>
        <v>207</v>
      </c>
      <c r="R15" s="148">
        <f t="shared" ref="R15:R16" si="2">+O15*Q15</f>
        <v>244260</v>
      </c>
      <c r="S15" s="148">
        <f t="shared" ref="S15:S16" si="3">+P15*Q15</f>
        <v>200293.2</v>
      </c>
    </row>
    <row r="16" spans="1:19" ht="13.5" thickBot="1">
      <c r="A16" s="776"/>
      <c r="B16" s="214" t="s">
        <v>606</v>
      </c>
      <c r="C16" s="221">
        <v>12887</v>
      </c>
      <c r="D16" s="222"/>
      <c r="E16" s="223"/>
      <c r="F16" s="230"/>
      <c r="G16" s="231" t="s">
        <v>12</v>
      </c>
      <c r="H16" s="229" t="s">
        <v>283</v>
      </c>
      <c r="I16" s="774"/>
      <c r="J16" s="213" t="str">
        <f>+'13'!J16</f>
        <v>T 12,5 VP OW</v>
      </c>
      <c r="K16" s="228">
        <f>+C7</f>
        <v>5878</v>
      </c>
      <c r="L16" s="228"/>
      <c r="M16" s="116">
        <f>+K16+'13'!M16+L16</f>
        <v>40828</v>
      </c>
      <c r="O16" s="148">
        <v>1160</v>
      </c>
      <c r="P16" s="148">
        <f>+O16-(O16*0.18)</f>
        <v>951.2</v>
      </c>
      <c r="Q16" s="148">
        <f>480-Q15</f>
        <v>273</v>
      </c>
      <c r="R16" s="148">
        <f t="shared" si="2"/>
        <v>316680</v>
      </c>
      <c r="S16" s="148">
        <f t="shared" si="3"/>
        <v>259677.6</v>
      </c>
    </row>
    <row r="17" spans="1:26" ht="13.5" thickBot="1">
      <c r="A17" s="776"/>
      <c r="B17" s="214"/>
      <c r="C17" s="215"/>
      <c r="D17" s="216"/>
      <c r="E17" s="224"/>
      <c r="F17" s="227">
        <f>23-9</f>
        <v>14</v>
      </c>
      <c r="G17" s="231" t="s">
        <v>12</v>
      </c>
      <c r="H17" s="232" t="s">
        <v>411</v>
      </c>
      <c r="I17" s="774"/>
      <c r="J17" s="213">
        <f>+'13'!J17</f>
        <v>0</v>
      </c>
      <c r="K17" s="228"/>
      <c r="L17" s="228"/>
      <c r="M17" s="116">
        <f>+K17+'13'!M17+L17</f>
        <v>0</v>
      </c>
    </row>
    <row r="18" spans="1:26" ht="51.75" thickBot="1">
      <c r="A18" s="776"/>
      <c r="B18" s="214"/>
      <c r="C18" s="215"/>
      <c r="D18" s="216"/>
      <c r="E18" s="224"/>
      <c r="F18" s="227"/>
      <c r="G18" s="236" t="s">
        <v>13</v>
      </c>
      <c r="H18" s="232" t="s">
        <v>642</v>
      </c>
      <c r="I18" s="774"/>
      <c r="J18" s="213">
        <f>+'13'!J18</f>
        <v>0</v>
      </c>
      <c r="K18" s="238"/>
      <c r="L18" s="238"/>
      <c r="M18" s="116">
        <f>+K18+'13'!M18+L18</f>
        <v>0</v>
      </c>
    </row>
    <row r="19" spans="1:26" ht="64.5" thickBot="1">
      <c r="A19" s="776"/>
      <c r="B19" s="214"/>
      <c r="C19" s="215"/>
      <c r="D19" s="216"/>
      <c r="E19" s="224"/>
      <c r="F19" s="234"/>
      <c r="G19" s="231"/>
      <c r="H19" s="232" t="s">
        <v>643</v>
      </c>
      <c r="I19" s="774"/>
      <c r="J19" s="213">
        <f>+'13'!J19</f>
        <v>0</v>
      </c>
      <c r="K19" s="238"/>
      <c r="L19" s="238"/>
      <c r="M19" s="116">
        <f>+K19+'13'!M19+L19</f>
        <v>0</v>
      </c>
    </row>
    <row r="20" spans="1:26" ht="13.5" thickBot="1">
      <c r="A20" s="776"/>
      <c r="B20" s="214"/>
      <c r="C20" s="215"/>
      <c r="D20" s="216"/>
      <c r="E20" s="224"/>
      <c r="F20" s="227"/>
      <c r="G20" s="231"/>
      <c r="H20" s="232"/>
      <c r="I20" s="774"/>
      <c r="J20" s="213">
        <f>+'13'!J20</f>
        <v>0</v>
      </c>
      <c r="K20" s="239"/>
      <c r="L20" s="239"/>
      <c r="M20" s="116">
        <f>+K20+'13'!M20+L20</f>
        <v>0</v>
      </c>
    </row>
    <row r="21" spans="1:26" ht="13.5" thickBot="1">
      <c r="A21" s="776"/>
      <c r="B21" s="214"/>
      <c r="C21" s="215"/>
      <c r="D21" s="216"/>
      <c r="E21" s="224"/>
      <c r="F21" s="230"/>
      <c r="G21" s="231"/>
      <c r="H21" s="232"/>
      <c r="I21" s="774"/>
      <c r="J21" s="213">
        <f>+'13'!J21</f>
        <v>0</v>
      </c>
      <c r="K21" s="238"/>
      <c r="L21" s="238"/>
      <c r="M21" s="116">
        <f>+K21+'13'!M21+L21</f>
        <v>0</v>
      </c>
    </row>
    <row r="22" spans="1:26" ht="13.5" thickBot="1">
      <c r="A22" s="776"/>
      <c r="B22" s="214"/>
      <c r="C22" s="215"/>
      <c r="D22" s="216"/>
      <c r="E22" s="224"/>
      <c r="F22" s="235"/>
      <c r="G22" s="231"/>
      <c r="H22" s="232"/>
      <c r="I22" s="775"/>
      <c r="J22" s="213">
        <f>+'13'!J22</f>
        <v>0</v>
      </c>
      <c r="K22" s="238"/>
      <c r="L22" s="238"/>
      <c r="M22" s="116">
        <f>+K22+'13'!M22+L22</f>
        <v>0</v>
      </c>
      <c r="Q22" s="175">
        <f>SUM(Q15:Q21)</f>
        <v>480</v>
      </c>
      <c r="R22" s="175">
        <f>SUM(R15:R21)</f>
        <v>560940</v>
      </c>
      <c r="S22" s="175">
        <f>SUM(S15:S21)</f>
        <v>459970.80000000005</v>
      </c>
    </row>
    <row r="23" spans="1:26" ht="13.5" thickBot="1">
      <c r="A23" s="777"/>
      <c r="B23" s="167" t="s">
        <v>2</v>
      </c>
      <c r="C23" s="99">
        <f>SUM(C16:C22)</f>
        <v>12887</v>
      </c>
      <c r="D23" s="110">
        <f>SUM(D16:D22)</f>
        <v>0</v>
      </c>
      <c r="E23" s="111">
        <f>SUM(E18:E22)</f>
        <v>0</v>
      </c>
      <c r="F23" s="115">
        <f>SUM(F15:F22)</f>
        <v>23</v>
      </c>
      <c r="G23" s="158"/>
      <c r="H23" s="165"/>
      <c r="I23" s="168"/>
      <c r="J23" s="213">
        <f>+'13'!J23</f>
        <v>0</v>
      </c>
      <c r="K23" s="238"/>
      <c r="L23" s="238"/>
      <c r="M23" s="116">
        <f>+K23+'13'!M23+L23</f>
        <v>0</v>
      </c>
      <c r="Q23" s="148">
        <f>480-Q22</f>
        <v>0</v>
      </c>
      <c r="R23" s="175">
        <f>+R22/Q22</f>
        <v>1168.625</v>
      </c>
      <c r="S23" s="175">
        <f>+S22/Q22</f>
        <v>958.27250000000015</v>
      </c>
    </row>
    <row r="24" spans="1:26" ht="13.5" customHeight="1" thickBot="1">
      <c r="A24" s="770" t="s">
        <v>417</v>
      </c>
      <c r="B24" s="169"/>
      <c r="C24" s="112">
        <f>C23/($C$23+$D$23+$E$23)</f>
        <v>1</v>
      </c>
      <c r="D24" s="113">
        <f>D23/($C$23+$D$23+$E$23)</f>
        <v>0</v>
      </c>
      <c r="E24" s="114">
        <f>E23/($C$23+$D$23+$E$23)</f>
        <v>0</v>
      </c>
      <c r="F24" s="227">
        <v>12</v>
      </c>
      <c r="G24" s="228" t="s">
        <v>12</v>
      </c>
      <c r="H24" s="229" t="s">
        <v>412</v>
      </c>
      <c r="I24" s="773" t="s">
        <v>649</v>
      </c>
      <c r="J24" s="213">
        <f>+'13'!J24</f>
        <v>0</v>
      </c>
      <c r="K24" s="238"/>
      <c r="L24" s="238"/>
      <c r="M24" s="116">
        <f>+K24+'13'!M24+L24</f>
        <v>0</v>
      </c>
      <c r="N24" s="148" t="s">
        <v>595</v>
      </c>
      <c r="O24" s="148">
        <v>1160</v>
      </c>
      <c r="P24" s="148">
        <f>+O24-(O24*0.22)</f>
        <v>904.8</v>
      </c>
      <c r="Q24" s="148">
        <v>480</v>
      </c>
      <c r="R24" s="148">
        <f t="shared" ref="R24" si="4">+O24*Q24</f>
        <v>556800</v>
      </c>
      <c r="S24" s="148">
        <f t="shared" ref="S24" si="5">+P24*Q24</f>
        <v>434304</v>
      </c>
      <c r="U24" s="148" t="s">
        <v>595</v>
      </c>
      <c r="V24" s="148">
        <v>1180</v>
      </c>
      <c r="W24" s="148">
        <v>967.6</v>
      </c>
      <c r="X24" s="148">
        <v>375</v>
      </c>
      <c r="Y24" s="148">
        <f t="shared" ref="Y24" si="6">+V24*X24</f>
        <v>442500</v>
      </c>
      <c r="Z24" s="148">
        <f t="shared" ref="Z24" si="7">+W24*X24</f>
        <v>362850</v>
      </c>
    </row>
    <row r="25" spans="1:26" ht="13.5" thickBot="1">
      <c r="A25" s="776"/>
      <c r="B25" s="214" t="s">
        <v>606</v>
      </c>
      <c r="C25" s="225">
        <v>14480</v>
      </c>
      <c r="D25" s="216"/>
      <c r="E25" s="224"/>
      <c r="F25" s="230"/>
      <c r="G25" s="231" t="s">
        <v>12</v>
      </c>
      <c r="H25" s="229" t="s">
        <v>283</v>
      </c>
      <c r="I25" s="774"/>
      <c r="J25" s="213">
        <f>+'13'!J25</f>
        <v>0</v>
      </c>
      <c r="K25" s="238"/>
      <c r="L25" s="238"/>
      <c r="M25" s="116">
        <f>+K25+'13'!M25+L25</f>
        <v>0</v>
      </c>
      <c r="U25" s="148" t="s">
        <v>595</v>
      </c>
      <c r="V25" s="148">
        <v>1180</v>
      </c>
      <c r="W25" s="148">
        <v>967.6</v>
      </c>
      <c r="X25" s="148">
        <v>207</v>
      </c>
      <c r="Y25" s="148">
        <f t="shared" ref="Y25:Y27" si="8">+V25*X25</f>
        <v>244260</v>
      </c>
      <c r="Z25" s="148">
        <f t="shared" ref="Z25:Z27" si="9">+W25*X25</f>
        <v>200293.2</v>
      </c>
    </row>
    <row r="26" spans="1:26" ht="13.5" thickBot="1">
      <c r="A26" s="776"/>
      <c r="B26" s="214"/>
      <c r="C26" s="225"/>
      <c r="D26" s="216"/>
      <c r="E26" s="226"/>
      <c r="F26" s="227">
        <f>29-12</f>
        <v>17</v>
      </c>
      <c r="G26" s="231" t="s">
        <v>12</v>
      </c>
      <c r="H26" s="232" t="s">
        <v>385</v>
      </c>
      <c r="I26" s="774"/>
      <c r="J26" s="213">
        <f>+'13'!J26</f>
        <v>0</v>
      </c>
      <c r="K26" s="238"/>
      <c r="L26" s="238"/>
      <c r="M26" s="116">
        <f>+K26+'13'!M26+L26</f>
        <v>0</v>
      </c>
      <c r="V26" s="148">
        <v>1160</v>
      </c>
      <c r="W26" s="148">
        <v>951.2</v>
      </c>
      <c r="X26" s="148">
        <v>273</v>
      </c>
      <c r="Y26" s="148">
        <f t="shared" si="8"/>
        <v>316680</v>
      </c>
      <c r="Z26" s="148">
        <f t="shared" si="9"/>
        <v>259677.6</v>
      </c>
    </row>
    <row r="27" spans="1:26" ht="51.75" thickBot="1">
      <c r="A27" s="776"/>
      <c r="B27" s="214"/>
      <c r="C27" s="215"/>
      <c r="D27" s="216"/>
      <c r="E27" s="224"/>
      <c r="F27" s="227"/>
      <c r="G27" s="236" t="s">
        <v>13</v>
      </c>
      <c r="H27" s="232" t="s">
        <v>641</v>
      </c>
      <c r="I27" s="774"/>
      <c r="J27" s="213">
        <f>+'13'!J27</f>
        <v>0</v>
      </c>
      <c r="K27" s="238"/>
      <c r="L27" s="238"/>
      <c r="M27" s="116">
        <f>+K27+'13'!M27+L27</f>
        <v>0</v>
      </c>
      <c r="U27" s="148" t="s">
        <v>595</v>
      </c>
      <c r="V27" s="148">
        <v>1160</v>
      </c>
      <c r="W27" s="148">
        <v>904.8</v>
      </c>
      <c r="X27" s="148">
        <v>480</v>
      </c>
      <c r="Y27" s="148">
        <f t="shared" si="8"/>
        <v>556800</v>
      </c>
      <c r="Z27" s="148">
        <f t="shared" si="9"/>
        <v>434304</v>
      </c>
    </row>
    <row r="28" spans="1:26" ht="13.5" thickBot="1">
      <c r="A28" s="776"/>
      <c r="B28" s="214"/>
      <c r="C28" s="215"/>
      <c r="D28" s="216"/>
      <c r="E28" s="224"/>
      <c r="F28" s="230"/>
      <c r="G28" s="231"/>
      <c r="H28" s="232"/>
      <c r="I28" s="774"/>
      <c r="J28" s="213">
        <f>+'13'!J28</f>
        <v>0</v>
      </c>
      <c r="K28" s="238"/>
      <c r="L28" s="238"/>
      <c r="M28" s="116">
        <f>+K28+'13'!M28+L28</f>
        <v>0</v>
      </c>
    </row>
    <row r="29" spans="1:26" ht="13.5" thickBot="1">
      <c r="A29" s="776"/>
      <c r="B29" s="214"/>
      <c r="C29" s="215"/>
      <c r="D29" s="216"/>
      <c r="E29" s="224"/>
      <c r="F29" s="235"/>
      <c r="G29" s="231"/>
      <c r="H29" s="232"/>
      <c r="I29" s="774"/>
      <c r="J29" s="213">
        <f>+'13'!J29</f>
        <v>0</v>
      </c>
      <c r="K29" s="238"/>
      <c r="L29" s="238"/>
      <c r="M29" s="116">
        <f>+K29+'13'!M29+L29</f>
        <v>0</v>
      </c>
    </row>
    <row r="30" spans="1:26" ht="13.5" thickBot="1">
      <c r="A30" s="776"/>
      <c r="B30" s="214"/>
      <c r="C30" s="225"/>
      <c r="D30" s="216"/>
      <c r="E30" s="224"/>
      <c r="F30" s="235"/>
      <c r="G30" s="231"/>
      <c r="H30" s="232"/>
      <c r="I30" s="774"/>
      <c r="J30" s="213">
        <f>+'13'!J30</f>
        <v>0</v>
      </c>
      <c r="K30" s="238"/>
      <c r="L30" s="238"/>
      <c r="M30" s="116">
        <f>+K30+'13'!M30+L30</f>
        <v>0</v>
      </c>
    </row>
    <row r="31" spans="1:26" ht="13.5" thickBot="1">
      <c r="A31" s="776"/>
      <c r="B31" s="214"/>
      <c r="C31" s="225"/>
      <c r="D31" s="216"/>
      <c r="E31" s="224"/>
      <c r="F31" s="235"/>
      <c r="G31" s="236"/>
      <c r="H31" s="443"/>
      <c r="I31" s="775"/>
      <c r="J31" s="213">
        <f>+'13'!J31</f>
        <v>0</v>
      </c>
      <c r="K31" s="238"/>
      <c r="L31" s="238"/>
      <c r="M31" s="116">
        <f>+K31+'13'!M31+L31</f>
        <v>0</v>
      </c>
      <c r="Q31" s="175">
        <f>SUM(Q24:Q30)</f>
        <v>480</v>
      </c>
      <c r="R31" s="175">
        <f>SUM(R24:R30)</f>
        <v>556800</v>
      </c>
      <c r="S31" s="175">
        <f>SUM(S24:S30)</f>
        <v>434304</v>
      </c>
      <c r="X31" s="175">
        <f>SUM(X24:X30)</f>
        <v>1335</v>
      </c>
      <c r="Y31" s="175">
        <f>SUM(Y24:Y30)</f>
        <v>1560240</v>
      </c>
      <c r="Z31" s="175">
        <f>SUM(Z24:Z30)</f>
        <v>1257124.7999999998</v>
      </c>
    </row>
    <row r="32" spans="1:26" ht="13.5" thickBot="1">
      <c r="A32" s="777"/>
      <c r="B32" s="164" t="s">
        <v>2</v>
      </c>
      <c r="C32" s="98">
        <f>SUM(C25:C31)</f>
        <v>14480</v>
      </c>
      <c r="D32" s="99">
        <f>SUM(D25:D31)</f>
        <v>0</v>
      </c>
      <c r="E32" s="100">
        <f>SUM(E25:E31)</f>
        <v>0</v>
      </c>
      <c r="F32" s="101">
        <f>SUM(F24:F31)</f>
        <v>29</v>
      </c>
      <c r="G32" s="170"/>
      <c r="H32" s="171"/>
      <c r="I32" s="168"/>
      <c r="J32" s="213">
        <f>+'13'!J32</f>
        <v>0</v>
      </c>
      <c r="K32" s="240"/>
      <c r="L32" s="242"/>
      <c r="M32" s="116">
        <f>+K32+'13'!M32+L32</f>
        <v>0</v>
      </c>
      <c r="Q32" s="148">
        <f>480-Q31</f>
        <v>0</v>
      </c>
      <c r="R32" s="175">
        <f>+R31/Q31</f>
        <v>1160</v>
      </c>
      <c r="S32" s="175">
        <f>+S31/Q31</f>
        <v>904.8</v>
      </c>
      <c r="X32" s="148">
        <f>480-X31</f>
        <v>-855</v>
      </c>
      <c r="Y32" s="175">
        <f>+Y31/X31</f>
        <v>1168.7191011235955</v>
      </c>
      <c r="Z32" s="175">
        <f>+Z31/X31</f>
        <v>941.66651685393242</v>
      </c>
    </row>
    <row r="33" spans="1:17" ht="13.5" thickBot="1">
      <c r="A33" s="172"/>
      <c r="B33" s="173"/>
      <c r="C33" s="102">
        <f>C32/($C$32+$D$32+$E$32)</f>
        <v>1</v>
      </c>
      <c r="D33" s="103">
        <f>D32/($C$32+$D$32+$E$32)</f>
        <v>0</v>
      </c>
      <c r="E33" s="104">
        <f>E32/($C$32+$D$32+$E$32)</f>
        <v>0</v>
      </c>
      <c r="F33" s="105"/>
      <c r="G33" s="174"/>
      <c r="H33" s="175"/>
      <c r="I33" s="176"/>
      <c r="J33" s="120"/>
      <c r="K33" s="121"/>
      <c r="L33" s="212"/>
      <c r="M33" s="118"/>
    </row>
    <row r="34" spans="1:17" ht="13.5" thickBot="1">
      <c r="A34" s="766" t="s">
        <v>57</v>
      </c>
      <c r="B34" s="767"/>
      <c r="C34" s="106">
        <f>C14+C23+C32</f>
        <v>40229</v>
      </c>
      <c r="D34" s="106">
        <f>D14+D23+D32</f>
        <v>0</v>
      </c>
      <c r="E34" s="106">
        <f>E14+E23+E32</f>
        <v>0</v>
      </c>
      <c r="F34" s="107">
        <f>F14+F23+F32</f>
        <v>98</v>
      </c>
      <c r="H34" s="177"/>
      <c r="I34" s="177"/>
      <c r="J34" s="122" t="s">
        <v>28</v>
      </c>
      <c r="K34" s="123">
        <f>SUM(K7:K32)</f>
        <v>40229</v>
      </c>
      <c r="L34" s="211">
        <f>SUM(L7:L32)</f>
        <v>0</v>
      </c>
      <c r="M34" s="119">
        <f>SUM(M7:M32)</f>
        <v>526978</v>
      </c>
      <c r="N34" s="148" t="s">
        <v>614</v>
      </c>
      <c r="O34" s="148">
        <v>1180</v>
      </c>
      <c r="P34" s="148">
        <v>908.59999999999991</v>
      </c>
      <c r="Q34" s="148">
        <v>105</v>
      </c>
    </row>
    <row r="35" spans="1:17" ht="13.5" thickBot="1">
      <c r="A35" s="178"/>
      <c r="B35" s="179"/>
      <c r="C35" s="103">
        <f>C34/($C$34+$D$34+$E$34)</f>
        <v>1</v>
      </c>
      <c r="D35" s="103">
        <f>D34/($C$34+$D$34+$E$34)</f>
        <v>0</v>
      </c>
      <c r="E35" s="108">
        <f>E34/($C$34+$D$34+$E$34)</f>
        <v>0</v>
      </c>
      <c r="K35" s="154"/>
      <c r="N35" s="148" t="s">
        <v>595</v>
      </c>
      <c r="O35" s="148">
        <v>1168.7191011235955</v>
      </c>
      <c r="P35" s="148">
        <v>941.66651685393242</v>
      </c>
      <c r="Q35" s="148">
        <v>1335</v>
      </c>
    </row>
    <row r="36" spans="1:17" ht="13.5" thickBot="1">
      <c r="A36" s="177"/>
      <c r="B36" s="177"/>
      <c r="C36" s="154"/>
      <c r="D36" s="154"/>
      <c r="E36" s="154"/>
      <c r="G36" s="154"/>
      <c r="H36" s="180"/>
      <c r="I36" s="161" t="s">
        <v>37</v>
      </c>
      <c r="J36" s="161" t="s">
        <v>38</v>
      </c>
      <c r="K36" s="181"/>
      <c r="Q36" s="148">
        <f>+Q34+Q35</f>
        <v>1440</v>
      </c>
    </row>
    <row r="37" spans="1:17" ht="17.45" customHeight="1" thickBot="1">
      <c r="A37" s="768" t="s">
        <v>58</v>
      </c>
      <c r="B37" s="769"/>
      <c r="C37" s="161" t="s">
        <v>59</v>
      </c>
      <c r="D37" s="182" t="s">
        <v>60</v>
      </c>
      <c r="E37" s="183" t="s">
        <v>61</v>
      </c>
      <c r="F37" s="321"/>
      <c r="G37" s="323"/>
      <c r="H37" s="185" t="s">
        <v>62</v>
      </c>
      <c r="I37" s="243">
        <f>(12.5*105+13*1335)/1440*G42*2.74*1440/1000000</f>
        <v>48.041928344312502</v>
      </c>
      <c r="J37" s="124">
        <f>+I37+'13'!J37</f>
        <v>617.86869255635486</v>
      </c>
      <c r="K37" s="125" t="s">
        <v>63</v>
      </c>
    </row>
    <row r="38" spans="1:17" ht="17.45" customHeight="1">
      <c r="A38" s="760" t="s">
        <v>12</v>
      </c>
      <c r="B38" s="761"/>
      <c r="C38" s="163">
        <f>SUMIF($G$7:$G$31,"Process",$F$7:$F$31)</f>
        <v>73</v>
      </c>
      <c r="D38" s="117">
        <f>+C38+'13'!D38</f>
        <v>1089</v>
      </c>
      <c r="E38" s="142">
        <f t="shared" ref="E38:E51" si="10">D38/60</f>
        <v>18.149999999999999</v>
      </c>
      <c r="F38" s="321">
        <v>1180</v>
      </c>
      <c r="G38" s="321">
        <v>954.69375000000002</v>
      </c>
      <c r="H38" s="186" t="s">
        <v>64</v>
      </c>
      <c r="I38" s="244">
        <f>12.006+15.506+13.305</f>
        <v>40.817</v>
      </c>
      <c r="J38" s="126">
        <f>+I38+'13'!J38</f>
        <v>543.67599999999993</v>
      </c>
      <c r="K38" s="127" t="s">
        <v>63</v>
      </c>
    </row>
    <row r="39" spans="1:17" ht="17.45" customHeight="1">
      <c r="A39" s="764" t="s">
        <v>13</v>
      </c>
      <c r="B39" s="765"/>
      <c r="C39" s="163">
        <f>SUMIF($G$7:$G$31,"Cleaning",$F$7:$F$31)</f>
        <v>0</v>
      </c>
      <c r="D39" s="117">
        <f>+C39+'13'!D39</f>
        <v>0</v>
      </c>
      <c r="E39" s="142">
        <f t="shared" si="10"/>
        <v>0</v>
      </c>
      <c r="F39" s="321">
        <v>1168.625</v>
      </c>
      <c r="G39" s="321">
        <v>958.27250000000015</v>
      </c>
      <c r="H39" s="186" t="s">
        <v>65</v>
      </c>
      <c r="I39" s="141"/>
      <c r="J39" s="128">
        <f>J37/G4</f>
        <v>44.133478039739636</v>
      </c>
      <c r="K39" s="129" t="s">
        <v>63</v>
      </c>
    </row>
    <row r="40" spans="1:17" ht="17.45" customHeight="1">
      <c r="A40" s="764" t="s">
        <v>66</v>
      </c>
      <c r="B40" s="765"/>
      <c r="C40" s="163">
        <f>SUMIF($G$7:$G$31,"Mechanical",$F$7:$F$31)</f>
        <v>0</v>
      </c>
      <c r="D40" s="117">
        <f>+C40+'13'!D40</f>
        <v>0</v>
      </c>
      <c r="E40" s="142">
        <f t="shared" si="10"/>
        <v>0</v>
      </c>
      <c r="F40" s="321">
        <v>1160</v>
      </c>
      <c r="G40" s="321">
        <v>904.8</v>
      </c>
      <c r="H40" s="186" t="s">
        <v>67</v>
      </c>
      <c r="I40" s="117">
        <f>(K34+L34)/1000</f>
        <v>40.228999999999999</v>
      </c>
      <c r="J40" s="130">
        <f>+I40+'13'!J40</f>
        <v>526.97799999999995</v>
      </c>
      <c r="K40" s="129" t="s">
        <v>63</v>
      </c>
    </row>
    <row r="41" spans="1:17" ht="17.45" customHeight="1">
      <c r="A41" s="764" t="s">
        <v>68</v>
      </c>
      <c r="B41" s="765"/>
      <c r="C41" s="163">
        <f>SUMIF($G$7:$G$31,"Electrical",$F$7:$F$31)</f>
        <v>25</v>
      </c>
      <c r="D41" s="117">
        <f>+C41+'13'!D41</f>
        <v>264</v>
      </c>
      <c r="E41" s="142">
        <f t="shared" si="10"/>
        <v>4.4000000000000004</v>
      </c>
      <c r="F41" s="321"/>
      <c r="G41" s="321"/>
      <c r="H41" s="186" t="s">
        <v>69</v>
      </c>
      <c r="I41" s="141"/>
      <c r="J41" s="128">
        <f>J40/G4</f>
        <v>37.641285714285708</v>
      </c>
      <c r="K41" s="129" t="s">
        <v>63</v>
      </c>
    </row>
    <row r="42" spans="1:17" ht="17.45" customHeight="1">
      <c r="A42" s="764" t="s">
        <v>16</v>
      </c>
      <c r="B42" s="765"/>
      <c r="C42" s="163">
        <f>SUMIF($G$7:$G$31,"Instrument",$F$7:$F$31)</f>
        <v>0</v>
      </c>
      <c r="D42" s="117">
        <f>+C42+'13'!D42</f>
        <v>0</v>
      </c>
      <c r="E42" s="142">
        <f t="shared" si="10"/>
        <v>0</v>
      </c>
      <c r="F42" s="321">
        <f>+(480*F38+480*F39+480*F40)/1440</f>
        <v>1169.5416666666667</v>
      </c>
      <c r="G42" s="321">
        <f>+(480*G38+480*G39+480*G40)/1440</f>
        <v>939.25541666666675</v>
      </c>
      <c r="H42" s="186" t="s">
        <v>70</v>
      </c>
      <c r="I42" s="245" t="s">
        <v>646</v>
      </c>
      <c r="J42" s="131"/>
      <c r="K42" s="129" t="s">
        <v>71</v>
      </c>
    </row>
    <row r="43" spans="1:17" ht="17.45" customHeight="1">
      <c r="A43" s="764" t="s">
        <v>72</v>
      </c>
      <c r="B43" s="765"/>
      <c r="C43" s="163">
        <f>SUMIF($G$7:$G$31,"Water",$F$7:$F$31)</f>
        <v>0</v>
      </c>
      <c r="D43" s="117">
        <f>+C43+'13'!D43</f>
        <v>0</v>
      </c>
      <c r="E43" s="142">
        <f t="shared" si="10"/>
        <v>0</v>
      </c>
      <c r="F43" s="321"/>
      <c r="G43" s="322"/>
      <c r="H43" s="187" t="s">
        <v>73</v>
      </c>
      <c r="I43" s="117">
        <f>+Report1!Z22</f>
        <v>57.5</v>
      </c>
      <c r="J43" s="132">
        <f>+I43+'13'!J43</f>
        <v>730.90000000000009</v>
      </c>
      <c r="K43" s="129" t="s">
        <v>63</v>
      </c>
      <c r="L43" s="188"/>
    </row>
    <row r="44" spans="1:17" ht="17.45" customHeight="1">
      <c r="A44" s="764" t="s">
        <v>17</v>
      </c>
      <c r="B44" s="765"/>
      <c r="C44" s="163">
        <f>SUMIF($G$7:$G$31,"PLN",$F$7:$F$31)</f>
        <v>0</v>
      </c>
      <c r="D44" s="117">
        <f>+C44+'13'!D44</f>
        <v>0</v>
      </c>
      <c r="E44" s="142">
        <f t="shared" si="10"/>
        <v>0</v>
      </c>
      <c r="F44" s="321"/>
      <c r="G44" s="322"/>
      <c r="H44" s="187" t="s">
        <v>74</v>
      </c>
      <c r="I44" s="117">
        <f>I43/I38</f>
        <v>1.4087267560085259</v>
      </c>
      <c r="J44" s="133">
        <f>J43/J38</f>
        <v>1.344366865559635</v>
      </c>
      <c r="K44" s="129" t="s">
        <v>63</v>
      </c>
    </row>
    <row r="45" spans="1:17" ht="17.45" customHeight="1">
      <c r="A45" s="764" t="s">
        <v>18</v>
      </c>
      <c r="B45" s="765"/>
      <c r="C45" s="163">
        <f>SUMIF($G$7:$G$31,"Boiler",$F$7:$F$31)</f>
        <v>0</v>
      </c>
      <c r="D45" s="117">
        <f>+C45+'13'!D45</f>
        <v>0</v>
      </c>
      <c r="E45" s="142">
        <f t="shared" si="10"/>
        <v>0</v>
      </c>
      <c r="F45" s="321"/>
      <c r="G45" s="324"/>
      <c r="H45" s="187" t="s">
        <v>75</v>
      </c>
      <c r="I45" s="117">
        <f>I43/I40</f>
        <v>1.4293171592632181</v>
      </c>
      <c r="J45" s="133">
        <f>J43/J40</f>
        <v>1.3869649207367294</v>
      </c>
      <c r="K45" s="129" t="s">
        <v>63</v>
      </c>
    </row>
    <row r="46" spans="1:17" ht="17.45" customHeight="1">
      <c r="A46" s="764" t="s">
        <v>76</v>
      </c>
      <c r="B46" s="765"/>
      <c r="C46" s="163">
        <f>SUMIF($G$7:$G$31,"Gas",$F$7:$F$31)</f>
        <v>0</v>
      </c>
      <c r="D46" s="117">
        <f>+C46+'13'!D46</f>
        <v>0</v>
      </c>
      <c r="E46" s="142">
        <f t="shared" si="10"/>
        <v>0</v>
      </c>
      <c r="F46" s="321"/>
      <c r="G46" s="322"/>
      <c r="H46" s="187" t="s">
        <v>77</v>
      </c>
      <c r="I46" s="139">
        <f>+SUMIF(Listrik!P21,"&gt;0")</f>
        <v>36824.599999999635</v>
      </c>
      <c r="J46" s="134">
        <f>+I46+'13'!J46</f>
        <v>485026.18</v>
      </c>
      <c r="K46" s="129" t="s">
        <v>78</v>
      </c>
    </row>
    <row r="47" spans="1:17" ht="17.45" customHeight="1">
      <c r="A47" s="764" t="s">
        <v>79</v>
      </c>
      <c r="B47" s="765"/>
      <c r="C47" s="163">
        <f>SUMIF($G$7:$G$31,"Gas",$F$7:$F$31)</f>
        <v>0</v>
      </c>
      <c r="D47" s="117">
        <f>+C47+'13'!D47</f>
        <v>0</v>
      </c>
      <c r="E47" s="142">
        <f t="shared" si="10"/>
        <v>0</v>
      </c>
      <c r="F47" s="321"/>
      <c r="G47" s="322"/>
      <c r="H47" s="187" t="s">
        <v>80</v>
      </c>
      <c r="I47" s="117">
        <f>I46/I38</f>
        <v>902.18781390106165</v>
      </c>
      <c r="J47" s="134">
        <f>J46/J38</f>
        <v>892.12358095630498</v>
      </c>
      <c r="K47" s="129" t="s">
        <v>24</v>
      </c>
    </row>
    <row r="48" spans="1:17" ht="17.45" customHeight="1">
      <c r="A48" s="764" t="s">
        <v>14</v>
      </c>
      <c r="B48" s="765"/>
      <c r="C48" s="163">
        <f>SUMIF($G$7:$G$31,"Start Up",$F$7:$F$31)</f>
        <v>0</v>
      </c>
      <c r="D48" s="117">
        <f>+C48+'13'!D48</f>
        <v>0</v>
      </c>
      <c r="E48" s="142">
        <f t="shared" si="10"/>
        <v>0</v>
      </c>
      <c r="F48" s="321"/>
      <c r="G48" s="322"/>
      <c r="H48" s="187" t="s">
        <v>81</v>
      </c>
      <c r="I48" s="117">
        <f>I46/I40</f>
        <v>915.3744810957179</v>
      </c>
      <c r="J48" s="134">
        <f>J46/J40</f>
        <v>920.39170515657202</v>
      </c>
      <c r="K48" s="129" t="s">
        <v>24</v>
      </c>
    </row>
    <row r="49" spans="1:11" ht="17.45" customHeight="1">
      <c r="A49" s="764" t="s">
        <v>20</v>
      </c>
      <c r="B49" s="765"/>
      <c r="C49" s="163">
        <f>SUMIF($G$7:$G$31,"Others",$F$7:$F$31)</f>
        <v>0</v>
      </c>
      <c r="D49" s="117">
        <f>+C49+'13'!D49</f>
        <v>948</v>
      </c>
      <c r="E49" s="142">
        <f t="shared" si="10"/>
        <v>15.8</v>
      </c>
      <c r="F49" s="184"/>
      <c r="H49" s="187" t="s">
        <v>268</v>
      </c>
      <c r="I49" s="117">
        <f>+Report1!T22</f>
        <v>5754.612900264784</v>
      </c>
      <c r="J49" s="134">
        <f>+I49+'13'!J49</f>
        <v>66215.93518504547</v>
      </c>
      <c r="K49" s="129" t="s">
        <v>82</v>
      </c>
    </row>
    <row r="50" spans="1:11" ht="17.45" customHeight="1">
      <c r="A50" s="764" t="s">
        <v>19</v>
      </c>
      <c r="B50" s="765"/>
      <c r="C50" s="163">
        <f>SUMIF($G$7:$G$31,"Steam",$F$7:$F$31)</f>
        <v>0</v>
      </c>
      <c r="D50" s="117">
        <f>+C50+'13'!D50</f>
        <v>0</v>
      </c>
      <c r="E50" s="142">
        <f t="shared" si="10"/>
        <v>0</v>
      </c>
      <c r="F50" s="184"/>
      <c r="H50" s="187" t="s">
        <v>83</v>
      </c>
      <c r="I50" s="139">
        <f>I49/I38</f>
        <v>140.98568979260563</v>
      </c>
      <c r="J50" s="132">
        <f>J49/J38</f>
        <v>121.79300757260846</v>
      </c>
      <c r="K50" s="129" t="s">
        <v>82</v>
      </c>
    </row>
    <row r="51" spans="1:11" ht="17.45" customHeight="1" thickBot="1">
      <c r="A51" s="758" t="s">
        <v>84</v>
      </c>
      <c r="B51" s="759"/>
      <c r="C51" s="163">
        <f>SUMIF($G$7:$G$31,"Planned shut",$F$7:$F$31)</f>
        <v>0</v>
      </c>
      <c r="D51" s="117">
        <f>+C51+'13'!D51</f>
        <v>0</v>
      </c>
      <c r="E51" s="142">
        <f t="shared" si="10"/>
        <v>0</v>
      </c>
      <c r="F51" s="184"/>
      <c r="H51" s="189" t="s">
        <v>85</v>
      </c>
      <c r="I51" s="140">
        <f>I49/I40</f>
        <v>143.04638196984226</v>
      </c>
      <c r="J51" s="135">
        <f>J49/J40</f>
        <v>125.65218127710355</v>
      </c>
      <c r="K51" s="136" t="s">
        <v>82</v>
      </c>
    </row>
    <row r="52" spans="1:11" ht="13.5" thickBot="1">
      <c r="A52" s="760" t="s">
        <v>28</v>
      </c>
      <c r="B52" s="761"/>
      <c r="C52" s="143">
        <f>SUM(C38:C51)</f>
        <v>98</v>
      </c>
      <c r="D52" s="143">
        <f>SUM(D38:D51)</f>
        <v>2301</v>
      </c>
      <c r="E52" s="144">
        <f>SUM(E38:E51)</f>
        <v>38.349999999999994</v>
      </c>
      <c r="F52" s="184"/>
      <c r="H52" s="190"/>
      <c r="I52" s="191"/>
      <c r="J52" s="137"/>
      <c r="K52" s="138"/>
    </row>
    <row r="53" spans="1:11" ht="13.5" thickBot="1">
      <c r="A53" s="762"/>
      <c r="B53" s="763"/>
      <c r="C53" s="145">
        <f>C52/(24*60)</f>
        <v>6.805555555555555E-2</v>
      </c>
      <c r="D53" s="145">
        <f>D52/(24*60*G4)</f>
        <v>0.11413690476190476</v>
      </c>
      <c r="E53" s="146">
        <f>E52/(G4*24)</f>
        <v>0.11413690476190474</v>
      </c>
      <c r="F53" s="184"/>
    </row>
    <row r="54" spans="1:11">
      <c r="E54" s="192"/>
      <c r="F54" s="184"/>
    </row>
    <row r="55" spans="1:11">
      <c r="E55" s="192"/>
    </row>
    <row r="56" spans="1:11">
      <c r="A56" s="193" t="s">
        <v>86</v>
      </c>
      <c r="B56" s="194"/>
      <c r="C56" s="195"/>
      <c r="D56" s="195"/>
      <c r="E56" s="195"/>
      <c r="F56" s="196"/>
      <c r="G56" s="195"/>
      <c r="H56" s="197"/>
      <c r="I56" s="198" t="s">
        <v>87</v>
      </c>
      <c r="J56" s="199">
        <f>+D34+'13'!J56</f>
        <v>1116</v>
      </c>
      <c r="K56" s="200">
        <f>J56/(J40+J56/1000)/1000</f>
        <v>2.1132601392933833E-3</v>
      </c>
    </row>
    <row r="57" spans="1:11">
      <c r="A57" s="175"/>
      <c r="I57" s="198" t="s">
        <v>88</v>
      </c>
      <c r="J57" s="199">
        <f>+E34+'13'!J57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row r="78" spans="23:23">
      <c r="W78" s="148">
        <f>+'14'!K8/1000</f>
        <v>0</v>
      </c>
    </row>
  </sheetData>
  <mergeCells count="24">
    <mergeCell ref="A46:B46"/>
    <mergeCell ref="A47:B47"/>
    <mergeCell ref="A52:B52"/>
    <mergeCell ref="A53:B53"/>
    <mergeCell ref="A48:B48"/>
    <mergeCell ref="A49:B49"/>
    <mergeCell ref="A50:B50"/>
    <mergeCell ref="A51:B51"/>
    <mergeCell ref="A45:B45"/>
    <mergeCell ref="A42:B42"/>
    <mergeCell ref="A43:B43"/>
    <mergeCell ref="A7:A14"/>
    <mergeCell ref="I7:I13"/>
    <mergeCell ref="A15:A23"/>
    <mergeCell ref="I15:I22"/>
    <mergeCell ref="A34:B34"/>
    <mergeCell ref="A37:B37"/>
    <mergeCell ref="I24:I31"/>
    <mergeCell ref="A24:A32"/>
    <mergeCell ref="A38:B38"/>
    <mergeCell ref="A39:B39"/>
    <mergeCell ref="A40:B40"/>
    <mergeCell ref="A41:B41"/>
    <mergeCell ref="A44:B44"/>
  </mergeCells>
  <phoneticPr fontId="32"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
  <sheetViews>
    <sheetView view="pageBreakPreview" zoomScale="85" zoomScaleNormal="70" zoomScaleSheetLayoutView="85" workbookViewId="0">
      <selection activeCell="A7" sqref="A7:A32"/>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2.140625" style="148"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13</v>
      </c>
      <c r="H4" s="153" t="str">
        <f>+'1'!H4</f>
        <v>.03.26</v>
      </c>
      <c r="J4" s="148">
        <f>432+506+575</f>
        <v>1513</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595</v>
      </c>
      <c r="O6" s="148">
        <v>1200</v>
      </c>
      <c r="P6" s="148">
        <f>+O6-(O6*0.24)</f>
        <v>912</v>
      </c>
      <c r="Q6" s="148">
        <v>46</v>
      </c>
      <c r="R6" s="148">
        <f t="shared" ref="R6:R7" si="0">+O6*Q6</f>
        <v>55200</v>
      </c>
      <c r="S6" s="148">
        <f t="shared" ref="S6:S7" si="1">+P6*Q6</f>
        <v>41952</v>
      </c>
    </row>
    <row r="7" spans="1:19" ht="13.5" customHeight="1" thickBot="1">
      <c r="A7" s="770" t="s">
        <v>391</v>
      </c>
      <c r="B7" s="214" t="s">
        <v>606</v>
      </c>
      <c r="C7" s="215">
        <v>3903</v>
      </c>
      <c r="D7" s="216"/>
      <c r="E7" s="217"/>
      <c r="F7" s="227"/>
      <c r="G7" s="228" t="s">
        <v>12</v>
      </c>
      <c r="H7" s="229" t="s">
        <v>384</v>
      </c>
      <c r="I7" s="773" t="s">
        <v>617</v>
      </c>
      <c r="J7" s="213" t="str">
        <f>+'12'!J7</f>
        <v>F 12 VP OW</v>
      </c>
      <c r="K7" s="237"/>
      <c r="L7" s="241"/>
      <c r="M7" s="116">
        <f>+K7+'12'!M7+L7</f>
        <v>136522</v>
      </c>
      <c r="N7" s="148" t="s">
        <v>614</v>
      </c>
      <c r="O7" s="148">
        <v>1200</v>
      </c>
      <c r="P7" s="148">
        <f>+O7-(O7*0.24)</f>
        <v>912</v>
      </c>
      <c r="Q7" s="148">
        <f>480-Q6</f>
        <v>434</v>
      </c>
      <c r="R7" s="148">
        <f t="shared" si="0"/>
        <v>520800</v>
      </c>
      <c r="S7" s="148">
        <f t="shared" si="1"/>
        <v>395808</v>
      </c>
    </row>
    <row r="8" spans="1:19" ht="13.5" thickBot="1">
      <c r="A8" s="771"/>
      <c r="B8" s="214" t="s">
        <v>623</v>
      </c>
      <c r="C8" s="215">
        <v>7207</v>
      </c>
      <c r="D8" s="216"/>
      <c r="E8" s="218"/>
      <c r="F8" s="230">
        <v>9</v>
      </c>
      <c r="G8" s="231" t="s">
        <v>12</v>
      </c>
      <c r="H8" s="229" t="s">
        <v>541</v>
      </c>
      <c r="I8" s="774"/>
      <c r="J8" s="213" t="str">
        <f>+'12'!J8</f>
        <v>F 14 VP OW</v>
      </c>
      <c r="K8" s="238"/>
      <c r="L8" s="238"/>
      <c r="M8" s="116">
        <f>+K8+'12'!M8+L8</f>
        <v>89126</v>
      </c>
    </row>
    <row r="9" spans="1:19" ht="13.5" thickBot="1">
      <c r="A9" s="771"/>
      <c r="B9" s="214"/>
      <c r="C9" s="215"/>
      <c r="D9" s="216"/>
      <c r="E9" s="219"/>
      <c r="F9" s="227">
        <v>10</v>
      </c>
      <c r="G9" s="231" t="s">
        <v>12</v>
      </c>
      <c r="H9" s="232" t="s">
        <v>385</v>
      </c>
      <c r="I9" s="774"/>
      <c r="J9" s="213" t="str">
        <f>+'12'!J9</f>
        <v>F 16 VP OW</v>
      </c>
      <c r="K9" s="238"/>
      <c r="L9" s="238"/>
      <c r="M9" s="116">
        <f>+K9+'12'!M9+L9</f>
        <v>104726</v>
      </c>
    </row>
    <row r="10" spans="1:19" ht="39" thickBot="1">
      <c r="A10" s="771"/>
      <c r="B10" s="214"/>
      <c r="C10" s="215"/>
      <c r="D10" s="216"/>
      <c r="E10" s="218"/>
      <c r="F10" s="227"/>
      <c r="G10" s="236" t="s">
        <v>13</v>
      </c>
      <c r="H10" s="232" t="s">
        <v>612</v>
      </c>
      <c r="I10" s="774"/>
      <c r="J10" s="213" t="str">
        <f>+'12'!J10</f>
        <v>F 13,5 VP OW</v>
      </c>
      <c r="K10" s="238"/>
      <c r="L10" s="238"/>
      <c r="M10" s="116">
        <f>+K10+'12'!M10+L10</f>
        <v>10827</v>
      </c>
    </row>
    <row r="11" spans="1:19" ht="13.5" thickBot="1">
      <c r="A11" s="771"/>
      <c r="B11" s="214"/>
      <c r="C11" s="215"/>
      <c r="D11" s="216"/>
      <c r="E11" s="218"/>
      <c r="F11" s="227"/>
      <c r="G11" s="231"/>
      <c r="H11" s="232" t="s">
        <v>613</v>
      </c>
      <c r="I11" s="774"/>
      <c r="J11" s="213" t="str">
        <f>+'12'!J11</f>
        <v>F 13 VP OW</v>
      </c>
      <c r="K11" s="238"/>
      <c r="L11" s="238"/>
      <c r="M11" s="116">
        <f>+K11+'12'!M11+L11</f>
        <v>19832</v>
      </c>
    </row>
    <row r="12" spans="1:19" ht="13.5" thickBot="1">
      <c r="A12" s="771"/>
      <c r="B12" s="214"/>
      <c r="C12" s="215"/>
      <c r="D12" s="216"/>
      <c r="E12" s="218"/>
      <c r="F12" s="227"/>
      <c r="G12" s="231"/>
      <c r="H12" s="232"/>
      <c r="I12" s="774"/>
      <c r="J12" s="213" t="str">
        <f>+'12'!J12</f>
        <v>T 14 VP OW</v>
      </c>
      <c r="K12" s="238"/>
      <c r="L12" s="238"/>
      <c r="M12" s="116">
        <f>+K12+'12'!M12+L12</f>
        <v>10448</v>
      </c>
    </row>
    <row r="13" spans="1:19" ht="13.5" thickBot="1">
      <c r="A13" s="771"/>
      <c r="B13" s="214"/>
      <c r="C13" s="215"/>
      <c r="D13" s="215"/>
      <c r="E13" s="218"/>
      <c r="F13" s="227"/>
      <c r="G13" s="231"/>
      <c r="H13" s="232"/>
      <c r="I13" s="775"/>
      <c r="J13" s="213" t="str">
        <f>+'12'!J13</f>
        <v>F 11,5 VP OW</v>
      </c>
      <c r="K13" s="238"/>
      <c r="L13" s="238"/>
      <c r="M13" s="116">
        <f>+K13+'12'!M13+L13</f>
        <v>53931</v>
      </c>
      <c r="Q13" s="175">
        <f>SUM(Q6:Q12)</f>
        <v>480</v>
      </c>
      <c r="R13" s="175">
        <f>SUM(R6:R12)</f>
        <v>576000</v>
      </c>
      <c r="S13" s="175">
        <f>SUM(S6:S12)</f>
        <v>437760</v>
      </c>
    </row>
    <row r="14" spans="1:19" ht="13.5" thickBot="1">
      <c r="A14" s="772"/>
      <c r="B14" s="164" t="s">
        <v>2</v>
      </c>
      <c r="C14" s="98">
        <f>SUM(C7:C13)</f>
        <v>11110</v>
      </c>
      <c r="D14" s="110">
        <f>SUM(D7:D13)</f>
        <v>0</v>
      </c>
      <c r="E14" s="111">
        <f>SUM(E5:E13)</f>
        <v>0</v>
      </c>
      <c r="F14" s="115">
        <f>SUM(F7:F13)</f>
        <v>19</v>
      </c>
      <c r="G14" s="158"/>
      <c r="H14" s="165"/>
      <c r="I14" s="166"/>
      <c r="J14" s="213" t="str">
        <f>+'12'!J14</f>
        <v>F 12,5 VP OW</v>
      </c>
      <c r="K14" s="238"/>
      <c r="L14" s="238"/>
      <c r="M14" s="116">
        <f>+K14+'12'!M14+L14</f>
        <v>10132</v>
      </c>
      <c r="Q14" s="148">
        <f>480-Q13</f>
        <v>0</v>
      </c>
      <c r="R14" s="175">
        <f>+R13/Q13</f>
        <v>1200</v>
      </c>
      <c r="S14" s="175">
        <f>+S13/Q13</f>
        <v>912</v>
      </c>
    </row>
    <row r="15" spans="1:19" ht="13.5" customHeight="1" thickBot="1">
      <c r="A15" s="770" t="s">
        <v>457</v>
      </c>
      <c r="B15" s="164"/>
      <c r="C15" s="112">
        <f>C14/($C$23+$D$23+$E$23)</f>
        <v>0.78294573643410847</v>
      </c>
      <c r="D15" s="113">
        <f>D14/($C$23+$D$23+$E$23)</f>
        <v>0</v>
      </c>
      <c r="E15" s="114">
        <f>E14/($C$23+$D$23+$E$23)</f>
        <v>0</v>
      </c>
      <c r="F15" s="227"/>
      <c r="G15" s="228" t="s">
        <v>12</v>
      </c>
      <c r="H15" s="229" t="s">
        <v>384</v>
      </c>
      <c r="I15" s="773" t="s">
        <v>616</v>
      </c>
      <c r="J15" s="213" t="str">
        <f>+'12'!J15</f>
        <v>T 13 VP OW</v>
      </c>
      <c r="K15" s="238">
        <f>+C7</f>
        <v>3903</v>
      </c>
      <c r="L15" s="238"/>
      <c r="M15" s="116">
        <f>+K15+'12'!M15+L15</f>
        <v>16255</v>
      </c>
    </row>
    <row r="16" spans="1:19" ht="13.5" thickBot="1">
      <c r="A16" s="776"/>
      <c r="B16" s="214" t="s">
        <v>623</v>
      </c>
      <c r="C16" s="221">
        <v>14190</v>
      </c>
      <c r="D16" s="222"/>
      <c r="E16" s="223"/>
      <c r="F16" s="230">
        <v>12</v>
      </c>
      <c r="G16" s="231" t="s">
        <v>12</v>
      </c>
      <c r="H16" s="229" t="s">
        <v>541</v>
      </c>
      <c r="I16" s="774"/>
      <c r="J16" s="213" t="s">
        <v>623</v>
      </c>
      <c r="K16" s="228">
        <f>+C8+C16+C25</f>
        <v>34950</v>
      </c>
      <c r="L16" s="228"/>
      <c r="M16" s="116">
        <f>+K16+'12'!M16+L16</f>
        <v>34950</v>
      </c>
      <c r="N16" s="148" t="s">
        <v>614</v>
      </c>
      <c r="O16" s="148">
        <v>1200</v>
      </c>
      <c r="P16" s="148">
        <f>+O16-(O16*0.22)</f>
        <v>936</v>
      </c>
      <c r="Q16" s="148">
        <f>480-Q15</f>
        <v>480</v>
      </c>
      <c r="R16" s="148">
        <f t="shared" ref="R16:R17" si="2">+O16*Q16</f>
        <v>576000</v>
      </c>
      <c r="S16" s="148">
        <f t="shared" ref="S16:S17" si="3">+P16*Q16</f>
        <v>449280</v>
      </c>
    </row>
    <row r="17" spans="1:25" ht="13.5" thickBot="1">
      <c r="A17" s="776"/>
      <c r="B17" s="214"/>
      <c r="C17" s="215"/>
      <c r="D17" s="216"/>
      <c r="E17" s="224"/>
      <c r="F17" s="227">
        <v>16</v>
      </c>
      <c r="G17" s="231" t="s">
        <v>12</v>
      </c>
      <c r="H17" s="232" t="s">
        <v>411</v>
      </c>
      <c r="I17" s="774"/>
      <c r="J17" s="213">
        <f>+'12'!J17</f>
        <v>0</v>
      </c>
      <c r="K17" s="228"/>
      <c r="L17" s="228"/>
      <c r="M17" s="116">
        <f>+K17+'12'!M17+L17</f>
        <v>0</v>
      </c>
      <c r="Q17" s="148">
        <f>480-Q16</f>
        <v>0</v>
      </c>
      <c r="R17" s="148">
        <f t="shared" si="2"/>
        <v>0</v>
      </c>
      <c r="S17" s="148">
        <f t="shared" si="3"/>
        <v>0</v>
      </c>
    </row>
    <row r="18" spans="1:25" ht="39" thickBot="1">
      <c r="A18" s="776"/>
      <c r="B18" s="214"/>
      <c r="C18" s="215"/>
      <c r="D18" s="216"/>
      <c r="E18" s="224"/>
      <c r="F18" s="227"/>
      <c r="G18" s="236" t="s">
        <v>13</v>
      </c>
      <c r="H18" s="232" t="s">
        <v>610</v>
      </c>
      <c r="I18" s="774"/>
      <c r="J18" s="213">
        <f>+'12'!J18</f>
        <v>0</v>
      </c>
      <c r="K18" s="238"/>
      <c r="L18" s="238"/>
      <c r="M18" s="116">
        <f>+K18+'12'!M18+L18</f>
        <v>0</v>
      </c>
    </row>
    <row r="19" spans="1:25" ht="39" thickBot="1">
      <c r="A19" s="776"/>
      <c r="B19" s="214"/>
      <c r="C19" s="215"/>
      <c r="D19" s="216"/>
      <c r="E19" s="224"/>
      <c r="F19" s="234"/>
      <c r="G19" s="231"/>
      <c r="H19" s="232" t="s">
        <v>611</v>
      </c>
      <c r="I19" s="774"/>
      <c r="J19" s="213">
        <f>+'12'!J19</f>
        <v>0</v>
      </c>
      <c r="K19" s="238"/>
      <c r="L19" s="238"/>
      <c r="M19" s="116">
        <f>+K19+'12'!M19+L19</f>
        <v>0</v>
      </c>
    </row>
    <row r="20" spans="1:25" ht="13.5" thickBot="1">
      <c r="A20" s="776"/>
      <c r="B20" s="214"/>
      <c r="C20" s="215"/>
      <c r="D20" s="216"/>
      <c r="E20" s="224"/>
      <c r="F20" s="227"/>
      <c r="G20" s="231"/>
      <c r="H20" s="232"/>
      <c r="I20" s="774"/>
      <c r="J20" s="213">
        <f>+'12'!J20</f>
        <v>0</v>
      </c>
      <c r="K20" s="239"/>
      <c r="L20" s="239"/>
      <c r="M20" s="116">
        <f>+K20+'12'!M20+L20</f>
        <v>0</v>
      </c>
    </row>
    <row r="21" spans="1:25" ht="13.5" thickBot="1">
      <c r="A21" s="776"/>
      <c r="B21" s="214"/>
      <c r="C21" s="215"/>
      <c r="D21" s="216"/>
      <c r="E21" s="224"/>
      <c r="F21" s="230"/>
      <c r="G21" s="231"/>
      <c r="H21" s="232"/>
      <c r="I21" s="774"/>
      <c r="J21" s="213">
        <f>+'12'!J21</f>
        <v>0</v>
      </c>
      <c r="K21" s="238"/>
      <c r="L21" s="238"/>
      <c r="M21" s="116">
        <f>+K21+'12'!M21+L21</f>
        <v>0</v>
      </c>
    </row>
    <row r="22" spans="1:25" ht="13.5" thickBot="1">
      <c r="A22" s="776"/>
      <c r="B22" s="214"/>
      <c r="C22" s="215"/>
      <c r="D22" s="216"/>
      <c r="E22" s="224"/>
      <c r="F22" s="235"/>
      <c r="G22" s="231"/>
      <c r="H22" s="232"/>
      <c r="I22" s="775"/>
      <c r="J22" s="213">
        <f>+'12'!J22</f>
        <v>0</v>
      </c>
      <c r="K22" s="238"/>
      <c r="L22" s="238"/>
      <c r="M22" s="116">
        <f>+K22+'12'!M22+L22</f>
        <v>0</v>
      </c>
    </row>
    <row r="23" spans="1:25" ht="13.5" thickBot="1">
      <c r="A23" s="777"/>
      <c r="B23" s="167" t="s">
        <v>2</v>
      </c>
      <c r="C23" s="99">
        <f>SUM(C16:C22)</f>
        <v>14190</v>
      </c>
      <c r="D23" s="110">
        <f>SUM(D16:D22)</f>
        <v>0</v>
      </c>
      <c r="E23" s="111">
        <f>SUM(E18:E22)</f>
        <v>0</v>
      </c>
      <c r="F23" s="115">
        <f>SUM(F15:F22)</f>
        <v>28</v>
      </c>
      <c r="G23" s="158"/>
      <c r="H23" s="165"/>
      <c r="I23" s="168"/>
      <c r="J23" s="213">
        <f>+'12'!J23</f>
        <v>0</v>
      </c>
      <c r="K23" s="238"/>
      <c r="L23" s="238"/>
      <c r="M23" s="116">
        <f>+K23+'12'!M23+L23</f>
        <v>0</v>
      </c>
      <c r="Q23" s="175">
        <f>SUM(Q16:Q22)</f>
        <v>480</v>
      </c>
      <c r="R23" s="175">
        <f>SUM(R16:R22)</f>
        <v>576000</v>
      </c>
      <c r="S23" s="175">
        <f>SUM(S16:S22)</f>
        <v>449280</v>
      </c>
    </row>
    <row r="24" spans="1:25" ht="13.5" customHeight="1" thickBot="1">
      <c r="A24" s="770" t="s">
        <v>417</v>
      </c>
      <c r="B24" s="169"/>
      <c r="C24" s="112">
        <f>C23/($C$23+$D$23+$E$23)</f>
        <v>1</v>
      </c>
      <c r="D24" s="113">
        <f>D23/($C$23+$D$23+$E$23)</f>
        <v>0</v>
      </c>
      <c r="E24" s="114">
        <f>E23/($C$23+$D$23+$E$23)</f>
        <v>0</v>
      </c>
      <c r="F24" s="227">
        <v>6</v>
      </c>
      <c r="G24" s="228" t="s">
        <v>12</v>
      </c>
      <c r="H24" s="229" t="s">
        <v>412</v>
      </c>
      <c r="I24" s="773" t="s">
        <v>615</v>
      </c>
      <c r="J24" s="213">
        <f>+'12'!J24</f>
        <v>0</v>
      </c>
      <c r="K24" s="238"/>
      <c r="L24" s="238"/>
      <c r="M24" s="116">
        <f>+K24+'12'!M24+L24</f>
        <v>0</v>
      </c>
      <c r="Q24" s="148">
        <f>480-Q23</f>
        <v>0</v>
      </c>
      <c r="R24" s="175">
        <f>+R23/Q23</f>
        <v>1200</v>
      </c>
      <c r="S24" s="175">
        <f>+S23/Q23</f>
        <v>936</v>
      </c>
    </row>
    <row r="25" spans="1:25" ht="13.5" thickBot="1">
      <c r="A25" s="776"/>
      <c r="B25" s="214" t="s">
        <v>623</v>
      </c>
      <c r="C25" s="225">
        <v>13553</v>
      </c>
      <c r="D25" s="216"/>
      <c r="E25" s="224"/>
      <c r="F25" s="230"/>
      <c r="G25" s="231" t="s">
        <v>12</v>
      </c>
      <c r="H25" s="229" t="s">
        <v>283</v>
      </c>
      <c r="I25" s="774"/>
      <c r="J25" s="213">
        <f>+'12'!J25</f>
        <v>0</v>
      </c>
      <c r="K25" s="238"/>
      <c r="L25" s="238"/>
      <c r="M25" s="116">
        <f>+K25+'12'!M25+L25</f>
        <v>0</v>
      </c>
      <c r="N25" s="148" t="s">
        <v>614</v>
      </c>
      <c r="O25" s="148">
        <v>1180</v>
      </c>
      <c r="P25" s="148">
        <f>+O25-(O25*0.23)</f>
        <v>908.59999999999991</v>
      </c>
      <c r="Q25" s="148">
        <f>480-Q24</f>
        <v>480</v>
      </c>
      <c r="R25" s="148">
        <f t="shared" ref="R25:R26" si="4">+O25*Q25</f>
        <v>566400</v>
      </c>
      <c r="S25" s="148">
        <f t="shared" ref="S25:S26" si="5">+P25*Q25</f>
        <v>436127.99999999994</v>
      </c>
      <c r="T25" s="148" t="s">
        <v>614</v>
      </c>
      <c r="U25" s="148">
        <v>1200</v>
      </c>
      <c r="V25" s="148">
        <v>912</v>
      </c>
      <c r="W25" s="148">
        <v>434</v>
      </c>
      <c r="X25" s="148">
        <f t="shared" ref="X25" si="6">+U25*W25</f>
        <v>520800</v>
      </c>
      <c r="Y25" s="148">
        <f t="shared" ref="Y25" si="7">+V25*W25</f>
        <v>395808</v>
      </c>
    </row>
    <row r="26" spans="1:25" ht="13.5" thickBot="1">
      <c r="A26" s="776"/>
      <c r="B26" s="214"/>
      <c r="C26" s="225"/>
      <c r="D26" s="216"/>
      <c r="E26" s="226"/>
      <c r="F26" s="227">
        <v>18</v>
      </c>
      <c r="G26" s="231" t="s">
        <v>12</v>
      </c>
      <c r="H26" s="232" t="s">
        <v>433</v>
      </c>
      <c r="I26" s="774"/>
      <c r="J26" s="213">
        <f>+'12'!J26</f>
        <v>0</v>
      </c>
      <c r="K26" s="238"/>
      <c r="L26" s="238"/>
      <c r="M26" s="116">
        <f>+K26+'12'!M26+L26</f>
        <v>0</v>
      </c>
      <c r="Q26" s="148">
        <f>480-Q25</f>
        <v>0</v>
      </c>
      <c r="R26" s="148">
        <f t="shared" si="4"/>
        <v>0</v>
      </c>
      <c r="S26" s="148">
        <f t="shared" si="5"/>
        <v>0</v>
      </c>
      <c r="T26" s="148" t="s">
        <v>614</v>
      </c>
      <c r="U26" s="148">
        <v>1200</v>
      </c>
      <c r="V26" s="148">
        <v>936</v>
      </c>
      <c r="W26" s="148">
        <v>480</v>
      </c>
      <c r="X26" s="148">
        <f t="shared" ref="X26:X27" si="8">+U26*W26</f>
        <v>576000</v>
      </c>
      <c r="Y26" s="148">
        <f t="shared" ref="Y26:Y27" si="9">+V26*W26</f>
        <v>449280</v>
      </c>
    </row>
    <row r="27" spans="1:25" ht="51.75" thickBot="1">
      <c r="A27" s="776"/>
      <c r="B27" s="214"/>
      <c r="C27" s="215"/>
      <c r="D27" s="216"/>
      <c r="E27" s="224"/>
      <c r="F27" s="227"/>
      <c r="G27" s="236" t="s">
        <v>13</v>
      </c>
      <c r="H27" s="232" t="s">
        <v>609</v>
      </c>
      <c r="I27" s="774"/>
      <c r="J27" s="213">
        <f>+'12'!J27</f>
        <v>0</v>
      </c>
      <c r="K27" s="238"/>
      <c r="L27" s="238"/>
      <c r="M27" s="116">
        <f>+K27+'12'!M27+L27</f>
        <v>0</v>
      </c>
      <c r="T27" s="148" t="s">
        <v>614</v>
      </c>
      <c r="U27" s="148">
        <v>1180</v>
      </c>
      <c r="V27" s="148">
        <v>908.59999999999991</v>
      </c>
      <c r="W27" s="148">
        <v>480</v>
      </c>
      <c r="X27" s="148">
        <f t="shared" si="8"/>
        <v>566400</v>
      </c>
      <c r="Y27" s="148">
        <f t="shared" si="9"/>
        <v>436127.99999999994</v>
      </c>
    </row>
    <row r="28" spans="1:25" ht="13.5" thickBot="1">
      <c r="A28" s="776"/>
      <c r="B28" s="214"/>
      <c r="C28" s="215"/>
      <c r="D28" s="216"/>
      <c r="E28" s="224"/>
      <c r="F28" s="230"/>
      <c r="G28" s="231"/>
      <c r="H28" s="232"/>
      <c r="I28" s="774"/>
      <c r="J28" s="213">
        <f>+'12'!J28</f>
        <v>0</v>
      </c>
      <c r="K28" s="238"/>
      <c r="L28" s="238"/>
      <c r="M28" s="116">
        <f>+K28+'12'!M28+L28</f>
        <v>0</v>
      </c>
    </row>
    <row r="29" spans="1:25" ht="13.5" thickBot="1">
      <c r="A29" s="776"/>
      <c r="B29" s="214"/>
      <c r="C29" s="215"/>
      <c r="D29" s="216"/>
      <c r="E29" s="224"/>
      <c r="F29" s="235"/>
      <c r="G29" s="231"/>
      <c r="H29" s="232"/>
      <c r="I29" s="774"/>
      <c r="J29" s="213">
        <f>+'12'!J29</f>
        <v>0</v>
      </c>
      <c r="K29" s="238"/>
      <c r="L29" s="238"/>
      <c r="M29" s="116">
        <f>+K29+'12'!M29+L29</f>
        <v>0</v>
      </c>
    </row>
    <row r="30" spans="1:25" ht="13.5" thickBot="1">
      <c r="A30" s="776"/>
      <c r="B30" s="214"/>
      <c r="C30" s="225"/>
      <c r="D30" s="216"/>
      <c r="E30" s="224"/>
      <c r="F30" s="235"/>
      <c r="G30" s="231"/>
      <c r="H30" s="232"/>
      <c r="I30" s="774"/>
      <c r="J30" s="213">
        <f>+'12'!J30</f>
        <v>0</v>
      </c>
      <c r="K30" s="238"/>
      <c r="L30" s="238"/>
      <c r="M30" s="116">
        <f>+K30+'12'!M30+L30</f>
        <v>0</v>
      </c>
    </row>
    <row r="31" spans="1:25" ht="13.5" thickBot="1">
      <c r="A31" s="776"/>
      <c r="B31" s="214"/>
      <c r="C31" s="225"/>
      <c r="D31" s="216"/>
      <c r="E31" s="224"/>
      <c r="F31" s="235"/>
      <c r="G31" s="236"/>
      <c r="H31" s="443"/>
      <c r="I31" s="775"/>
      <c r="J31" s="213">
        <f>+'12'!J31</f>
        <v>0</v>
      </c>
      <c r="K31" s="238"/>
      <c r="L31" s="238"/>
      <c r="M31" s="116">
        <f>+K31+'12'!M31+L31</f>
        <v>0</v>
      </c>
    </row>
    <row r="32" spans="1:25" ht="13.5" thickBot="1">
      <c r="A32" s="777"/>
      <c r="B32" s="164" t="s">
        <v>2</v>
      </c>
      <c r="C32" s="98">
        <f>SUM(C25:C31)</f>
        <v>13553</v>
      </c>
      <c r="D32" s="99">
        <f>SUM(D25:D31)</f>
        <v>0</v>
      </c>
      <c r="E32" s="100">
        <f>SUM(E25:E31)</f>
        <v>0</v>
      </c>
      <c r="F32" s="101">
        <f>SUM(F24:F31)</f>
        <v>24</v>
      </c>
      <c r="G32" s="170"/>
      <c r="H32" s="171"/>
      <c r="I32" s="168"/>
      <c r="J32" s="213">
        <f>+'12'!J32</f>
        <v>0</v>
      </c>
      <c r="K32" s="240"/>
      <c r="L32" s="242"/>
      <c r="M32" s="116">
        <f>+K32+'12'!M32+L32</f>
        <v>0</v>
      </c>
      <c r="Q32" s="175">
        <f>SUM(Q25:Q31)</f>
        <v>480</v>
      </c>
      <c r="R32" s="175">
        <f>SUM(R25:R31)</f>
        <v>566400</v>
      </c>
      <c r="S32" s="175">
        <f>SUM(S25:S31)</f>
        <v>436127.99999999994</v>
      </c>
      <c r="W32" s="175">
        <f>SUM(W25:W31)</f>
        <v>1394</v>
      </c>
      <c r="X32" s="175">
        <f>SUM(X25:X31)</f>
        <v>1663200</v>
      </c>
      <c r="Y32" s="175">
        <f>SUM(Y25:Y31)</f>
        <v>1281216</v>
      </c>
    </row>
    <row r="33" spans="1:25" ht="13.5" thickBot="1">
      <c r="A33" s="172"/>
      <c r="B33" s="173"/>
      <c r="C33" s="102">
        <f>C32/($C$32+$D$32+$E$32)</f>
        <v>1</v>
      </c>
      <c r="D33" s="103">
        <f>D32/($C$32+$D$32+$E$32)</f>
        <v>0</v>
      </c>
      <c r="E33" s="104">
        <f>E32/($C$32+$D$32+$E$32)</f>
        <v>0</v>
      </c>
      <c r="F33" s="105"/>
      <c r="G33" s="174"/>
      <c r="H33" s="175"/>
      <c r="I33" s="176"/>
      <c r="J33" s="120"/>
      <c r="K33" s="121"/>
      <c r="L33" s="212"/>
      <c r="M33" s="118"/>
      <c r="Q33" s="148">
        <f>480-Q32</f>
        <v>0</v>
      </c>
      <c r="R33" s="175">
        <f>+R32/Q32</f>
        <v>1180</v>
      </c>
      <c r="S33" s="175">
        <f>+S32/Q32</f>
        <v>908.59999999999991</v>
      </c>
      <c r="W33" s="148">
        <f>480-W32</f>
        <v>-914</v>
      </c>
      <c r="X33" s="175">
        <f>+X32/W32</f>
        <v>1193.1133428981348</v>
      </c>
      <c r="Y33" s="175">
        <f>+Y32/W32</f>
        <v>919.09325681492112</v>
      </c>
    </row>
    <row r="34" spans="1:25" ht="13.5" thickBot="1">
      <c r="A34" s="766" t="s">
        <v>57</v>
      </c>
      <c r="B34" s="767"/>
      <c r="C34" s="106">
        <f>C14+C23+C32</f>
        <v>38853</v>
      </c>
      <c r="D34" s="106">
        <f>D14+D23+D32</f>
        <v>0</v>
      </c>
      <c r="E34" s="106">
        <f>E14+E23+E32</f>
        <v>0</v>
      </c>
      <c r="F34" s="107">
        <f>F14+F23+F32</f>
        <v>71</v>
      </c>
      <c r="H34" s="177"/>
      <c r="I34" s="177"/>
      <c r="J34" s="122" t="s">
        <v>28</v>
      </c>
      <c r="K34" s="123">
        <f>SUM(K7:K32)</f>
        <v>38853</v>
      </c>
      <c r="L34" s="211">
        <f>SUM(L7:L32)</f>
        <v>0</v>
      </c>
      <c r="M34" s="119">
        <f>SUM(M7:M32)</f>
        <v>486749</v>
      </c>
    </row>
    <row r="35" spans="1:25" ht="13.5" thickBot="1">
      <c r="A35" s="178"/>
      <c r="B35" s="179"/>
      <c r="C35" s="103">
        <f>C34/($C$34+$D$34+$E$34)</f>
        <v>1</v>
      </c>
      <c r="D35" s="103">
        <f>D34/($C$34+$D$34+$E$34)</f>
        <v>0</v>
      </c>
      <c r="E35" s="108">
        <f>E34/($C$34+$D$34+$E$34)</f>
        <v>0</v>
      </c>
      <c r="K35" s="154"/>
      <c r="N35" s="148" t="s">
        <v>595</v>
      </c>
      <c r="O35" s="148">
        <v>1200</v>
      </c>
      <c r="P35" s="148">
        <v>912</v>
      </c>
      <c r="Q35" s="148">
        <v>46</v>
      </c>
    </row>
    <row r="36" spans="1:25" ht="13.5" thickBot="1">
      <c r="A36" s="177"/>
      <c r="B36" s="177"/>
      <c r="C36" s="154"/>
      <c r="D36" s="154"/>
      <c r="E36" s="154"/>
      <c r="G36" s="154"/>
      <c r="H36" s="180"/>
      <c r="I36" s="161" t="s">
        <v>37</v>
      </c>
      <c r="J36" s="161" t="s">
        <v>38</v>
      </c>
      <c r="K36" s="181"/>
      <c r="N36" s="148" t="s">
        <v>614</v>
      </c>
      <c r="O36" s="148">
        <v>1193.1133428981348</v>
      </c>
      <c r="P36" s="148">
        <v>919.09325681492112</v>
      </c>
      <c r="Q36" s="148">
        <v>1394</v>
      </c>
    </row>
    <row r="37" spans="1:25" ht="17.45" customHeight="1" thickBot="1">
      <c r="A37" s="768" t="s">
        <v>58</v>
      </c>
      <c r="B37" s="769"/>
      <c r="C37" s="161" t="s">
        <v>59</v>
      </c>
      <c r="D37" s="182" t="s">
        <v>60</v>
      </c>
      <c r="E37" s="183" t="s">
        <v>61</v>
      </c>
      <c r="F37" s="321"/>
      <c r="G37" s="323"/>
      <c r="H37" s="185" t="s">
        <v>62</v>
      </c>
      <c r="I37" s="243">
        <f>(13*46+12.5*1394)/1440*G42*2.74*1440/1000000</f>
        <v>45.376410977333336</v>
      </c>
      <c r="J37" s="124">
        <f>+I37+'12'!J37</f>
        <v>569.82676421204235</v>
      </c>
      <c r="K37" s="125" t="s">
        <v>63</v>
      </c>
      <c r="Q37" s="148">
        <f>+Q35+Q36</f>
        <v>1440</v>
      </c>
    </row>
    <row r="38" spans="1:25" ht="17.45" customHeight="1">
      <c r="A38" s="760" t="s">
        <v>12</v>
      </c>
      <c r="B38" s="761"/>
      <c r="C38" s="163">
        <f>SUMIF($G$7:$G$31,"Process",$F$7:$F$31)</f>
        <v>71</v>
      </c>
      <c r="D38" s="117">
        <f>+C38+'12'!D38</f>
        <v>1016</v>
      </c>
      <c r="E38" s="142">
        <f t="shared" ref="E38:E51" si="10">D38/60</f>
        <v>16.933333333333334</v>
      </c>
      <c r="F38" s="321">
        <v>1200</v>
      </c>
      <c r="G38" s="321">
        <v>912</v>
      </c>
      <c r="H38" s="186" t="s">
        <v>64</v>
      </c>
      <c r="I38" s="244">
        <f>13.014+13.312+13.877</f>
        <v>40.203000000000003</v>
      </c>
      <c r="J38" s="126">
        <f>+I38+'12'!J38</f>
        <v>502.85899999999992</v>
      </c>
      <c r="K38" s="127" t="s">
        <v>63</v>
      </c>
    </row>
    <row r="39" spans="1:25" ht="17.45" customHeight="1">
      <c r="A39" s="764" t="s">
        <v>13</v>
      </c>
      <c r="B39" s="765"/>
      <c r="C39" s="163">
        <f>SUMIF($G$7:$G$31,"Cleaning",$F$7:$F$31)</f>
        <v>0</v>
      </c>
      <c r="D39" s="117">
        <f>+C39+'12'!D39</f>
        <v>0</v>
      </c>
      <c r="E39" s="142">
        <f t="shared" si="10"/>
        <v>0</v>
      </c>
      <c r="F39" s="321">
        <v>1200</v>
      </c>
      <c r="G39" s="321">
        <v>936</v>
      </c>
      <c r="H39" s="186" t="s">
        <v>65</v>
      </c>
      <c r="I39" s="141"/>
      <c r="J39" s="128">
        <f>J37/G4</f>
        <v>43.832828016310948</v>
      </c>
      <c r="K39" s="129" t="s">
        <v>63</v>
      </c>
    </row>
    <row r="40" spans="1:25" ht="17.45" customHeight="1">
      <c r="A40" s="764" t="s">
        <v>66</v>
      </c>
      <c r="B40" s="765"/>
      <c r="C40" s="163">
        <f>SUMIF($G$7:$G$31,"Mechanical",$F$7:$F$31)</f>
        <v>0</v>
      </c>
      <c r="D40" s="117">
        <f>+C40+'12'!D40</f>
        <v>0</v>
      </c>
      <c r="E40" s="142">
        <f t="shared" si="10"/>
        <v>0</v>
      </c>
      <c r="F40" s="321">
        <v>1180</v>
      </c>
      <c r="G40" s="321">
        <v>908.59999999999991</v>
      </c>
      <c r="H40" s="186" t="s">
        <v>67</v>
      </c>
      <c r="I40" s="117">
        <f>(K34+L34)/1000</f>
        <v>38.853000000000002</v>
      </c>
      <c r="J40" s="130">
        <f>+I40+'12'!J40</f>
        <v>486.74899999999997</v>
      </c>
      <c r="K40" s="129" t="s">
        <v>63</v>
      </c>
    </row>
    <row r="41" spans="1:25" ht="17.45" customHeight="1">
      <c r="A41" s="764" t="s">
        <v>68</v>
      </c>
      <c r="B41" s="765"/>
      <c r="C41" s="163">
        <f>SUMIF($G$7:$G$31,"Electrical",$F$7:$F$31)</f>
        <v>0</v>
      </c>
      <c r="D41" s="117">
        <f>+C41+'12'!D41</f>
        <v>239</v>
      </c>
      <c r="E41" s="142">
        <f t="shared" si="10"/>
        <v>3.9833333333333334</v>
      </c>
      <c r="F41" s="321"/>
      <c r="G41" s="321"/>
      <c r="H41" s="186" t="s">
        <v>69</v>
      </c>
      <c r="I41" s="141"/>
      <c r="J41" s="128">
        <f>J40/G4</f>
        <v>37.442230769230768</v>
      </c>
      <c r="K41" s="129" t="s">
        <v>63</v>
      </c>
    </row>
    <row r="42" spans="1:25" ht="17.45" customHeight="1">
      <c r="A42" s="764" t="s">
        <v>16</v>
      </c>
      <c r="B42" s="765"/>
      <c r="C42" s="163">
        <f>SUMIF($G$7:$G$31,"Instrument",$F$7:$F$31)</f>
        <v>0</v>
      </c>
      <c r="D42" s="117">
        <f>+C42+'12'!D42</f>
        <v>0</v>
      </c>
      <c r="E42" s="142">
        <f t="shared" si="10"/>
        <v>0</v>
      </c>
      <c r="F42" s="321">
        <f>+(480*F38+480*F39+480*F40)/1440</f>
        <v>1193.3333333333333</v>
      </c>
      <c r="G42" s="321">
        <f>+(480*G38+480*G39+480*G40)/1440</f>
        <v>918.86666666666667</v>
      </c>
      <c r="H42" s="186" t="s">
        <v>70</v>
      </c>
      <c r="I42" s="245" t="s">
        <v>618</v>
      </c>
      <c r="J42" s="131"/>
      <c r="K42" s="129" t="s">
        <v>71</v>
      </c>
    </row>
    <row r="43" spans="1:25" ht="17.45" customHeight="1">
      <c r="A43" s="764" t="s">
        <v>72</v>
      </c>
      <c r="B43" s="765"/>
      <c r="C43" s="163">
        <f>SUMIF($G$7:$G$31,"Water",$F$7:$F$31)</f>
        <v>0</v>
      </c>
      <c r="D43" s="117">
        <f>+C43+'12'!D43</f>
        <v>0</v>
      </c>
      <c r="E43" s="142">
        <f t="shared" si="10"/>
        <v>0</v>
      </c>
      <c r="F43" s="321"/>
      <c r="G43" s="322"/>
      <c r="H43" s="187" t="s">
        <v>73</v>
      </c>
      <c r="I43" s="117">
        <f>+Report1!Z21</f>
        <v>57.8</v>
      </c>
      <c r="J43" s="132">
        <f>+I43+'12'!J43</f>
        <v>673.40000000000009</v>
      </c>
      <c r="K43" s="129" t="s">
        <v>63</v>
      </c>
      <c r="L43" s="188"/>
    </row>
    <row r="44" spans="1:25" ht="17.45" customHeight="1">
      <c r="A44" s="764" t="s">
        <v>17</v>
      </c>
      <c r="B44" s="765"/>
      <c r="C44" s="163">
        <f>SUMIF($G$7:$G$31,"PLN",$F$7:$F$31)</f>
        <v>0</v>
      </c>
      <c r="D44" s="117">
        <f>+C44+'12'!D44</f>
        <v>0</v>
      </c>
      <c r="E44" s="142">
        <f t="shared" si="10"/>
        <v>0</v>
      </c>
      <c r="F44" s="321"/>
      <c r="G44" s="322"/>
      <c r="H44" s="187" t="s">
        <v>74</v>
      </c>
      <c r="I44" s="117">
        <f>I43/I38</f>
        <v>1.4377036539561723</v>
      </c>
      <c r="J44" s="133">
        <f>J43/J38</f>
        <v>1.3391427815749548</v>
      </c>
      <c r="K44" s="129" t="s">
        <v>63</v>
      </c>
    </row>
    <row r="45" spans="1:25" ht="17.45" customHeight="1">
      <c r="A45" s="764" t="s">
        <v>18</v>
      </c>
      <c r="B45" s="765"/>
      <c r="C45" s="163">
        <f>SUMIF($G$7:$G$31,"Boiler",$F$7:$F$31)</f>
        <v>0</v>
      </c>
      <c r="D45" s="117">
        <f>+C45+'12'!D45</f>
        <v>0</v>
      </c>
      <c r="E45" s="142">
        <f t="shared" si="10"/>
        <v>0</v>
      </c>
      <c r="F45" s="321"/>
      <c r="G45" s="324"/>
      <c r="H45" s="187" t="s">
        <v>75</v>
      </c>
      <c r="I45" s="117">
        <f>I43/I40</f>
        <v>1.4876586106606953</v>
      </c>
      <c r="J45" s="133">
        <f>J43/J40</f>
        <v>1.3834645782528574</v>
      </c>
      <c r="K45" s="129" t="s">
        <v>63</v>
      </c>
    </row>
    <row r="46" spans="1:25" ht="17.45" customHeight="1">
      <c r="A46" s="764" t="s">
        <v>76</v>
      </c>
      <c r="B46" s="765"/>
      <c r="C46" s="163">
        <f>SUMIF($G$7:$G$31,"Gas",$F$7:$F$31)</f>
        <v>0</v>
      </c>
      <c r="D46" s="117">
        <f>+C46+'12'!D46</f>
        <v>0</v>
      </c>
      <c r="E46" s="142">
        <f t="shared" si="10"/>
        <v>0</v>
      </c>
      <c r="F46" s="321"/>
      <c r="G46" s="322"/>
      <c r="H46" s="187" t="s">
        <v>77</v>
      </c>
      <c r="I46" s="139">
        <f>+SUMIF(Listrik!P20,"&gt;0")</f>
        <v>37785.779999999635</v>
      </c>
      <c r="J46" s="134">
        <f>+I46+'12'!J46</f>
        <v>448201.58000000037</v>
      </c>
      <c r="K46" s="129" t="s">
        <v>78</v>
      </c>
    </row>
    <row r="47" spans="1:25" ht="17.45" customHeight="1">
      <c r="A47" s="764" t="s">
        <v>79</v>
      </c>
      <c r="B47" s="765"/>
      <c r="C47" s="163">
        <f>SUMIF($G$7:$G$31,"Gas",$F$7:$F$31)</f>
        <v>0</v>
      </c>
      <c r="D47" s="117">
        <f>+C47+'12'!D47</f>
        <v>0</v>
      </c>
      <c r="E47" s="142">
        <f t="shared" si="10"/>
        <v>0</v>
      </c>
      <c r="F47" s="321"/>
      <c r="G47" s="322"/>
      <c r="H47" s="187" t="s">
        <v>80</v>
      </c>
      <c r="I47" s="117">
        <f>I46/I38</f>
        <v>939.87463622116843</v>
      </c>
      <c r="J47" s="134">
        <f>J46/J38</f>
        <v>891.3066684696912</v>
      </c>
      <c r="K47" s="129" t="s">
        <v>24</v>
      </c>
    </row>
    <row r="48" spans="1:25" ht="17.45" customHeight="1">
      <c r="A48" s="764" t="s">
        <v>14</v>
      </c>
      <c r="B48" s="765"/>
      <c r="C48" s="163">
        <f>SUMIF($G$7:$G$31,"Start Up",$F$7:$F$31)</f>
        <v>0</v>
      </c>
      <c r="D48" s="117">
        <f>+C48+'12'!D48</f>
        <v>0</v>
      </c>
      <c r="E48" s="142">
        <f t="shared" si="10"/>
        <v>0</v>
      </c>
      <c r="F48" s="321"/>
      <c r="G48" s="322"/>
      <c r="H48" s="187" t="s">
        <v>81</v>
      </c>
      <c r="I48" s="117">
        <f>I46/I40</f>
        <v>972.53185082232085</v>
      </c>
      <c r="J48" s="134">
        <f>J46/J40</f>
        <v>920.80637042911314</v>
      </c>
      <c r="K48" s="129" t="s">
        <v>24</v>
      </c>
    </row>
    <row r="49" spans="1:11" ht="17.45" customHeight="1">
      <c r="A49" s="764" t="s">
        <v>20</v>
      </c>
      <c r="B49" s="765"/>
      <c r="C49" s="163">
        <f>SUMIF($G$7:$G$31,"Others",$F$7:$F$31)</f>
        <v>0</v>
      </c>
      <c r="D49" s="117">
        <f>+C49+'12'!D49</f>
        <v>948</v>
      </c>
      <c r="E49" s="142">
        <f t="shared" si="10"/>
        <v>15.8</v>
      </c>
      <c r="F49" s="184"/>
      <c r="H49" s="187" t="s">
        <v>268</v>
      </c>
      <c r="I49" s="117">
        <f>+Report1!T21</f>
        <v>5376.9994899168778</v>
      </c>
      <c r="J49" s="134">
        <f>+I49+'12'!J49</f>
        <v>60461.32228478069</v>
      </c>
      <c r="K49" s="129" t="s">
        <v>82</v>
      </c>
    </row>
    <row r="50" spans="1:11" ht="17.45" customHeight="1">
      <c r="A50" s="764" t="s">
        <v>19</v>
      </c>
      <c r="B50" s="765"/>
      <c r="C50" s="163">
        <f>SUMIF($G$7:$G$31,"Steam",$F$7:$F$31)</f>
        <v>0</v>
      </c>
      <c r="D50" s="117">
        <f>+C50+'12'!D50</f>
        <v>0</v>
      </c>
      <c r="E50" s="142">
        <f t="shared" si="10"/>
        <v>0</v>
      </c>
      <c r="F50" s="184"/>
      <c r="H50" s="187" t="s">
        <v>83</v>
      </c>
      <c r="I50" s="139">
        <f>I49/I38</f>
        <v>133.746225155259</v>
      </c>
      <c r="J50" s="132">
        <f>J49/J38</f>
        <v>120.23514003881942</v>
      </c>
      <c r="K50" s="129" t="s">
        <v>82</v>
      </c>
    </row>
    <row r="51" spans="1:11" ht="17.45" customHeight="1" thickBot="1">
      <c r="A51" s="758" t="s">
        <v>84</v>
      </c>
      <c r="B51" s="759"/>
      <c r="C51" s="163">
        <f>SUMIF($G$7:$G$31,"Planned shut",$F$7:$F$31)</f>
        <v>0</v>
      </c>
      <c r="D51" s="117">
        <f>+C51+'12'!D51</f>
        <v>0</v>
      </c>
      <c r="E51" s="142">
        <f t="shared" si="10"/>
        <v>0</v>
      </c>
      <c r="F51" s="184"/>
      <c r="H51" s="189" t="s">
        <v>85</v>
      </c>
      <c r="I51" s="140">
        <f>I49/I40</f>
        <v>138.39341852410053</v>
      </c>
      <c r="J51" s="135">
        <f>J49/J40</f>
        <v>124.21457935153579</v>
      </c>
      <c r="K51" s="136" t="s">
        <v>82</v>
      </c>
    </row>
    <row r="52" spans="1:11" ht="13.5" thickBot="1">
      <c r="A52" s="760" t="s">
        <v>28</v>
      </c>
      <c r="B52" s="761"/>
      <c r="C52" s="143">
        <f>SUM(C38:C51)</f>
        <v>71</v>
      </c>
      <c r="D52" s="143">
        <f>SUM(D38:D51)</f>
        <v>2203</v>
      </c>
      <c r="E52" s="144">
        <f>SUM(E38:E51)</f>
        <v>36.716666666666669</v>
      </c>
      <c r="F52" s="184"/>
      <c r="H52" s="190"/>
      <c r="I52" s="191"/>
      <c r="J52" s="137"/>
      <c r="K52" s="138"/>
    </row>
    <row r="53" spans="1:11" ht="13.5" thickBot="1">
      <c r="A53" s="762"/>
      <c r="B53" s="763"/>
      <c r="C53" s="145">
        <f>C52/(24*60)</f>
        <v>4.9305555555555554E-2</v>
      </c>
      <c r="D53" s="145">
        <f>D52/(24*60*G4)</f>
        <v>0.11768162393162393</v>
      </c>
      <c r="E53" s="146">
        <f>E52/(G4*24)</f>
        <v>0.11768162393162394</v>
      </c>
      <c r="F53" s="184"/>
    </row>
    <row r="54" spans="1:11">
      <c r="E54" s="192"/>
      <c r="F54" s="184"/>
    </row>
    <row r="55" spans="1:11">
      <c r="E55" s="192"/>
    </row>
    <row r="56" spans="1:11">
      <c r="A56" s="193" t="s">
        <v>86</v>
      </c>
      <c r="B56" s="194"/>
      <c r="C56" s="195"/>
      <c r="D56" s="195"/>
      <c r="E56" s="195"/>
      <c r="F56" s="196"/>
      <c r="G56" s="195"/>
      <c r="H56" s="197"/>
      <c r="I56" s="198" t="s">
        <v>87</v>
      </c>
      <c r="J56" s="199">
        <f>+D34+'12'!J56</f>
        <v>1116</v>
      </c>
      <c r="K56" s="200">
        <f>J56/(J40+J56/1000)/1000</f>
        <v>2.2875180633986861E-3</v>
      </c>
    </row>
    <row r="57" spans="1:11">
      <c r="A57" s="175"/>
      <c r="I57" s="198" t="s">
        <v>88</v>
      </c>
      <c r="J57" s="199">
        <f>+E34+'12'!J57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I7:I13"/>
    <mergeCell ref="A15:A23"/>
    <mergeCell ref="I15:I22"/>
    <mergeCell ref="A46:B46"/>
    <mergeCell ref="A47:B47"/>
    <mergeCell ref="A44:B44"/>
    <mergeCell ref="A45:B45"/>
    <mergeCell ref="A7:A14"/>
    <mergeCell ref="A40:B40"/>
    <mergeCell ref="I24:I31"/>
    <mergeCell ref="A43:B43"/>
    <mergeCell ref="A24:A32"/>
    <mergeCell ref="A34:B34"/>
    <mergeCell ref="A37:B37"/>
    <mergeCell ref="A38:B38"/>
    <mergeCell ref="A41:B41"/>
    <mergeCell ref="A42:B42"/>
    <mergeCell ref="A39:B39"/>
    <mergeCell ref="A53:B53"/>
    <mergeCell ref="A48:B48"/>
    <mergeCell ref="A49:B49"/>
    <mergeCell ref="A50:B50"/>
    <mergeCell ref="A51:B51"/>
    <mergeCell ref="A52:B52"/>
  </mergeCells>
  <phoneticPr fontId="32"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61"/>
  <sheetViews>
    <sheetView topLeftCell="A10" zoomScale="80" zoomScaleNormal="80" workbookViewId="0">
      <selection activeCell="A7" sqref="A7:A32"/>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4" style="148" bestFit="1" customWidth="1"/>
    <col min="12" max="12" width="8.28515625" style="148" customWidth="1"/>
    <col min="13" max="13" width="15" style="148" bestFit="1" customWidth="1"/>
    <col min="14" max="16384" width="9.140625" style="148"/>
  </cols>
  <sheetData>
    <row r="1" spans="1:25" ht="15.75">
      <c r="A1" s="147"/>
    </row>
    <row r="2" spans="1:25" ht="15.75">
      <c r="A2" s="147" t="s">
        <v>182</v>
      </c>
    </row>
    <row r="3" spans="1:25" ht="15">
      <c r="A3" s="149"/>
    </row>
    <row r="4" spans="1:25" ht="20.25">
      <c r="A4" s="150" t="s">
        <v>3</v>
      </c>
      <c r="B4" s="151"/>
      <c r="F4" s="152" t="s">
        <v>29</v>
      </c>
      <c r="G4" s="153">
        <v>12</v>
      </c>
      <c r="H4" s="153" t="str">
        <f>+'1'!H4</f>
        <v>.03.26</v>
      </c>
      <c r="J4" s="148">
        <f>523+480+557</f>
        <v>1560</v>
      </c>
    </row>
    <row r="5" spans="1:25" ht="13.5" thickBot="1">
      <c r="C5" s="154"/>
      <c r="D5" s="154"/>
    </row>
    <row r="6" spans="1:25"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585</v>
      </c>
      <c r="O6" s="148">
        <v>1230</v>
      </c>
      <c r="P6" s="148">
        <f>+O6-(O6*0.24)</f>
        <v>934.8</v>
      </c>
      <c r="Q6" s="148">
        <f>60*5</f>
        <v>300</v>
      </c>
      <c r="R6" s="148">
        <f t="shared" ref="R6:R7" si="0">+O6*Q6</f>
        <v>369000</v>
      </c>
      <c r="S6" s="148">
        <f t="shared" ref="S6:S7" si="1">+P6*Q6</f>
        <v>280440</v>
      </c>
    </row>
    <row r="7" spans="1:25" ht="13.5" customHeight="1" thickBot="1">
      <c r="A7" s="770" t="s">
        <v>390</v>
      </c>
      <c r="B7" s="214" t="s">
        <v>591</v>
      </c>
      <c r="C7" s="215">
        <v>9004</v>
      </c>
      <c r="D7" s="216">
        <v>250</v>
      </c>
      <c r="E7" s="217"/>
      <c r="F7" s="227">
        <v>13</v>
      </c>
      <c r="G7" s="228" t="s">
        <v>12</v>
      </c>
      <c r="H7" s="229" t="s">
        <v>412</v>
      </c>
      <c r="I7" s="773" t="s">
        <v>601</v>
      </c>
      <c r="J7" s="213" t="str">
        <f>+'11'!J7</f>
        <v>F 12 VP OW</v>
      </c>
      <c r="K7" s="237"/>
      <c r="L7" s="241"/>
      <c r="M7" s="116">
        <f>+K7+'11'!M7+L7</f>
        <v>136522</v>
      </c>
      <c r="N7" s="148" t="s">
        <v>428</v>
      </c>
      <c r="O7" s="148">
        <v>1180</v>
      </c>
      <c r="P7" s="148">
        <f>+O7-(O7*0.28)</f>
        <v>849.59999999999991</v>
      </c>
      <c r="Q7" s="148">
        <f>480-Q6</f>
        <v>180</v>
      </c>
      <c r="R7" s="148">
        <f t="shared" si="0"/>
        <v>212400</v>
      </c>
      <c r="S7" s="148">
        <f t="shared" si="1"/>
        <v>152927.99999999997</v>
      </c>
    </row>
    <row r="8" spans="1:25" ht="13.5" thickBot="1">
      <c r="A8" s="771"/>
      <c r="B8" s="214" t="s">
        <v>440</v>
      </c>
      <c r="C8" s="215">
        <f>4680+665</f>
        <v>5345</v>
      </c>
      <c r="D8" s="216">
        <v>36</v>
      </c>
      <c r="E8" s="218"/>
      <c r="F8" s="230"/>
      <c r="G8" s="231" t="s">
        <v>12</v>
      </c>
      <c r="H8" s="229" t="s">
        <v>283</v>
      </c>
      <c r="I8" s="774"/>
      <c r="J8" s="213" t="str">
        <f>+'11'!J8</f>
        <v>F 14 VP OW</v>
      </c>
      <c r="K8" s="238">
        <f>+C8+C16</f>
        <v>19270</v>
      </c>
      <c r="L8" s="238"/>
      <c r="M8" s="116">
        <f>+K8+'11'!M8+L8</f>
        <v>89126</v>
      </c>
    </row>
    <row r="9" spans="1:25" ht="13.5" thickBot="1">
      <c r="A9" s="771"/>
      <c r="B9" s="214"/>
      <c r="C9" s="215"/>
      <c r="D9" s="216"/>
      <c r="E9" s="219"/>
      <c r="F9" s="227">
        <f>39-13</f>
        <v>26</v>
      </c>
      <c r="G9" s="231" t="s">
        <v>12</v>
      </c>
      <c r="H9" s="232" t="s">
        <v>411</v>
      </c>
      <c r="I9" s="774"/>
      <c r="J9" s="213" t="str">
        <f>+'11'!J9</f>
        <v>F 16 VP OW</v>
      </c>
      <c r="K9" s="238"/>
      <c r="L9" s="238"/>
      <c r="M9" s="116">
        <f>+K9+'11'!M9+L9</f>
        <v>104726</v>
      </c>
    </row>
    <row r="10" spans="1:25" ht="26.25" thickBot="1">
      <c r="A10" s="771"/>
      <c r="B10" s="214"/>
      <c r="C10" s="215"/>
      <c r="D10" s="216"/>
      <c r="E10" s="218"/>
      <c r="F10" s="227"/>
      <c r="G10" s="236" t="s">
        <v>13</v>
      </c>
      <c r="H10" s="232" t="s">
        <v>598</v>
      </c>
      <c r="I10" s="774"/>
      <c r="J10" s="213" t="str">
        <f>+'11'!J10</f>
        <v>F 13,5 VP OW</v>
      </c>
      <c r="K10" s="238"/>
      <c r="L10" s="238"/>
      <c r="M10" s="116">
        <f>+K10+'11'!M10+L10</f>
        <v>10827</v>
      </c>
    </row>
    <row r="11" spans="1:25" ht="58.5" customHeight="1" thickBot="1">
      <c r="A11" s="771"/>
      <c r="B11" s="214"/>
      <c r="C11" s="215"/>
      <c r="D11" s="216"/>
      <c r="E11" s="218"/>
      <c r="F11" s="227"/>
      <c r="G11" s="231"/>
      <c r="H11" s="232" t="s">
        <v>599</v>
      </c>
      <c r="I11" s="774"/>
      <c r="J11" s="213" t="str">
        <f>+'11'!J11</f>
        <v>F 13 VP OW</v>
      </c>
      <c r="K11" s="238"/>
      <c r="L11" s="238"/>
      <c r="M11" s="116">
        <f>+K11+'11'!M11+L11</f>
        <v>19832</v>
      </c>
    </row>
    <row r="12" spans="1:25" ht="13.5" thickBot="1">
      <c r="A12" s="771"/>
      <c r="B12" s="214"/>
      <c r="C12" s="215"/>
      <c r="D12" s="216"/>
      <c r="E12" s="218"/>
      <c r="F12" s="227"/>
      <c r="G12" s="231"/>
      <c r="H12" s="232"/>
      <c r="I12" s="774"/>
      <c r="J12" s="213" t="str">
        <f>+'11'!J12</f>
        <v>T 14 VP OW</v>
      </c>
      <c r="K12" s="238"/>
      <c r="L12" s="238"/>
      <c r="M12" s="116">
        <f>+K12+'11'!M12+L12</f>
        <v>10448</v>
      </c>
    </row>
    <row r="13" spans="1:25" ht="13.5" thickBot="1">
      <c r="A13" s="771"/>
      <c r="B13" s="214"/>
      <c r="C13" s="215"/>
      <c r="D13" s="215"/>
      <c r="E13" s="218"/>
      <c r="F13" s="227"/>
      <c r="G13" s="231"/>
      <c r="H13" s="232"/>
      <c r="I13" s="775"/>
      <c r="J13" s="213" t="str">
        <f>+'11'!J13</f>
        <v>F 11,5 VP OW</v>
      </c>
      <c r="K13" s="238"/>
      <c r="L13" s="238"/>
      <c r="M13" s="116">
        <f>+K13+'11'!M13+L13</f>
        <v>53931</v>
      </c>
      <c r="Q13" s="175">
        <f>SUM(Q6:Q12)</f>
        <v>480</v>
      </c>
      <c r="R13" s="175">
        <f>SUM(R6:R12)</f>
        <v>581400</v>
      </c>
      <c r="S13" s="175">
        <f>SUM(S6:S12)</f>
        <v>433368</v>
      </c>
    </row>
    <row r="14" spans="1:25" ht="13.5" thickBot="1">
      <c r="A14" s="772"/>
      <c r="B14" s="164" t="s">
        <v>2</v>
      </c>
      <c r="C14" s="98">
        <f>SUM(C7:C13)</f>
        <v>14349</v>
      </c>
      <c r="D14" s="110">
        <f>SUM(D7:D13)</f>
        <v>286</v>
      </c>
      <c r="E14" s="111">
        <f>SUM(E5:E13)</f>
        <v>0</v>
      </c>
      <c r="F14" s="115">
        <f>SUM(F7:F13)</f>
        <v>39</v>
      </c>
      <c r="G14" s="158"/>
      <c r="H14" s="165"/>
      <c r="I14" s="166"/>
      <c r="J14" s="213" t="str">
        <f>+'11'!J14</f>
        <v>F 12,5 VP OW</v>
      </c>
      <c r="K14" s="238">
        <f>+C7</f>
        <v>9004</v>
      </c>
      <c r="L14" s="238"/>
      <c r="M14" s="116">
        <f>+K14+'11'!M14+L14</f>
        <v>10132</v>
      </c>
      <c r="Q14" s="148">
        <f>480-Q13</f>
        <v>0</v>
      </c>
      <c r="R14" s="175">
        <f>+R13/Q13</f>
        <v>1211.25</v>
      </c>
      <c r="S14" s="175">
        <f>+S13/Q13</f>
        <v>902.85</v>
      </c>
    </row>
    <row r="15" spans="1:25" ht="13.5" customHeight="1" thickBot="1">
      <c r="A15" s="770" t="s">
        <v>457</v>
      </c>
      <c r="B15" s="164"/>
      <c r="C15" s="112">
        <f>C14/($C$23+$D$23+$E$23)</f>
        <v>1.0304488330341113</v>
      </c>
      <c r="D15" s="113">
        <f>D14/($C$23+$D$23+$E$23)</f>
        <v>2.0538599640933571E-2</v>
      </c>
      <c r="E15" s="114">
        <f>E14/($C$23+$D$23+$E$23)</f>
        <v>0</v>
      </c>
      <c r="F15" s="227">
        <v>6</v>
      </c>
      <c r="G15" s="228" t="s">
        <v>12</v>
      </c>
      <c r="H15" s="229" t="s">
        <v>412</v>
      </c>
      <c r="I15" s="773" t="s">
        <v>608</v>
      </c>
      <c r="J15" s="213" t="s">
        <v>606</v>
      </c>
      <c r="K15" s="238">
        <f>+C25</f>
        <v>12352</v>
      </c>
      <c r="L15" s="238"/>
      <c r="M15" s="116">
        <f>+K15+'11'!M15+L15</f>
        <v>12352</v>
      </c>
      <c r="N15" s="148" t="s">
        <v>428</v>
      </c>
      <c r="O15" s="148">
        <v>1180</v>
      </c>
      <c r="P15" s="148">
        <f>+O15-(O15*0.285)</f>
        <v>843.7</v>
      </c>
      <c r="Q15" s="148">
        <v>480</v>
      </c>
      <c r="R15" s="148">
        <f t="shared" ref="R15" si="2">+O15*Q15</f>
        <v>566400</v>
      </c>
      <c r="S15" s="148">
        <f t="shared" ref="S15" si="3">+P15*Q15</f>
        <v>404976</v>
      </c>
      <c r="T15" s="148" t="s">
        <v>428</v>
      </c>
      <c r="U15" s="148">
        <v>1180</v>
      </c>
      <c r="V15" s="148">
        <v>849.59999999999991</v>
      </c>
      <c r="W15" s="148">
        <v>180</v>
      </c>
      <c r="X15" s="148">
        <f t="shared" ref="X15" si="4">+U15*W15</f>
        <v>212400</v>
      </c>
      <c r="Y15" s="148">
        <f t="shared" ref="Y15" si="5">+V15*W15</f>
        <v>152927.99999999997</v>
      </c>
    </row>
    <row r="16" spans="1:25" ht="13.5" thickBot="1">
      <c r="A16" s="776"/>
      <c r="B16" s="214" t="s">
        <v>440</v>
      </c>
      <c r="C16" s="221">
        <v>13925</v>
      </c>
      <c r="D16" s="222"/>
      <c r="E16" s="223"/>
      <c r="F16" s="230"/>
      <c r="G16" s="231" t="s">
        <v>12</v>
      </c>
      <c r="H16" s="229" t="s">
        <v>283</v>
      </c>
      <c r="I16" s="774"/>
      <c r="J16" s="213">
        <f>+'11'!J16</f>
        <v>0</v>
      </c>
      <c r="K16" s="228"/>
      <c r="L16" s="228"/>
      <c r="M16" s="116">
        <f>+K16+'11'!M16+L16</f>
        <v>0</v>
      </c>
      <c r="T16" s="148" t="s">
        <v>428</v>
      </c>
      <c r="U16" s="148">
        <v>1180</v>
      </c>
      <c r="V16" s="148">
        <v>843.7</v>
      </c>
      <c r="W16" s="148">
        <v>480</v>
      </c>
      <c r="X16" s="148">
        <f t="shared" ref="X16:X17" si="6">+U16*W16</f>
        <v>566400</v>
      </c>
      <c r="Y16" s="148">
        <f t="shared" ref="Y16:Y17" si="7">+V16*W16</f>
        <v>404976</v>
      </c>
    </row>
    <row r="17" spans="1:25" ht="13.5" thickBot="1">
      <c r="A17" s="776"/>
      <c r="B17" s="214"/>
      <c r="C17" s="215"/>
      <c r="D17" s="216"/>
      <c r="E17" s="224"/>
      <c r="F17" s="227">
        <f>23-6</f>
        <v>17</v>
      </c>
      <c r="G17" s="231" t="s">
        <v>12</v>
      </c>
      <c r="H17" s="232" t="s">
        <v>433</v>
      </c>
      <c r="I17" s="774"/>
      <c r="J17" s="213">
        <f>+'11'!J17</f>
        <v>0</v>
      </c>
      <c r="K17" s="228"/>
      <c r="L17" s="228"/>
      <c r="M17" s="116">
        <f>+K17+'11'!M17+L17</f>
        <v>0</v>
      </c>
      <c r="T17" s="148" t="s">
        <v>428</v>
      </c>
      <c r="U17" s="148">
        <v>1180</v>
      </c>
      <c r="V17" s="148">
        <v>896.8</v>
      </c>
      <c r="W17" s="148">
        <v>107</v>
      </c>
      <c r="X17" s="148">
        <f t="shared" si="6"/>
        <v>126260</v>
      </c>
      <c r="Y17" s="148">
        <f t="shared" si="7"/>
        <v>95957.599999999991</v>
      </c>
    </row>
    <row r="18" spans="1:25" ht="26.25" thickBot="1">
      <c r="A18" s="776"/>
      <c r="B18" s="214"/>
      <c r="C18" s="215"/>
      <c r="D18" s="216"/>
      <c r="E18" s="224"/>
      <c r="F18" s="227"/>
      <c r="G18" s="236" t="s">
        <v>13</v>
      </c>
      <c r="H18" s="232" t="s">
        <v>607</v>
      </c>
      <c r="I18" s="774"/>
      <c r="J18" s="213">
        <f>+'11'!J18</f>
        <v>0</v>
      </c>
      <c r="K18" s="238"/>
      <c r="L18" s="238"/>
      <c r="M18" s="116">
        <f>+K18+'11'!M18+L18</f>
        <v>0</v>
      </c>
    </row>
    <row r="19" spans="1:25" ht="26.25" thickBot="1">
      <c r="A19" s="776"/>
      <c r="B19" s="214"/>
      <c r="C19" s="215"/>
      <c r="D19" s="216"/>
      <c r="E19" s="224"/>
      <c r="F19" s="234"/>
      <c r="G19" s="231"/>
      <c r="H19" s="232" t="s">
        <v>592</v>
      </c>
      <c r="I19" s="774"/>
      <c r="J19" s="213">
        <f>+'11'!J19</f>
        <v>0</v>
      </c>
      <c r="K19" s="238"/>
      <c r="L19" s="238"/>
      <c r="M19" s="116">
        <f>+K19+'11'!M19+L19</f>
        <v>0</v>
      </c>
    </row>
    <row r="20" spans="1:25" ht="13.5" thickBot="1">
      <c r="A20" s="776"/>
      <c r="B20" s="214"/>
      <c r="C20" s="215"/>
      <c r="D20" s="216"/>
      <c r="E20" s="224"/>
      <c r="F20" s="227"/>
      <c r="G20" s="231"/>
      <c r="H20" s="232"/>
      <c r="I20" s="774"/>
      <c r="J20" s="213">
        <f>+'11'!J20</f>
        <v>0</v>
      </c>
      <c r="K20" s="239"/>
      <c r="L20" s="239"/>
      <c r="M20" s="116">
        <f>+K20+'11'!M20+L20</f>
        <v>0</v>
      </c>
    </row>
    <row r="21" spans="1:25" ht="13.5" thickBot="1">
      <c r="A21" s="776"/>
      <c r="B21" s="214"/>
      <c r="C21" s="215"/>
      <c r="D21" s="216"/>
      <c r="E21" s="224"/>
      <c r="F21" s="230"/>
      <c r="G21" s="231"/>
      <c r="H21" s="232"/>
      <c r="I21" s="774"/>
      <c r="J21" s="213">
        <f>+'11'!J21</f>
        <v>0</v>
      </c>
      <c r="K21" s="238"/>
      <c r="L21" s="238"/>
      <c r="M21" s="116">
        <f>+K21+'11'!M21+L21</f>
        <v>0</v>
      </c>
    </row>
    <row r="22" spans="1:25" ht="13.5" thickBot="1">
      <c r="A22" s="776"/>
      <c r="B22" s="214"/>
      <c r="C22" s="215"/>
      <c r="D22" s="216"/>
      <c r="E22" s="224"/>
      <c r="F22" s="235"/>
      <c r="G22" s="231"/>
      <c r="H22" s="232"/>
      <c r="I22" s="775"/>
      <c r="J22" s="213">
        <f>+'11'!J22</f>
        <v>0</v>
      </c>
      <c r="K22" s="238"/>
      <c r="L22" s="238"/>
      <c r="M22" s="116">
        <f>+K22+'11'!M22+L22</f>
        <v>0</v>
      </c>
      <c r="Q22" s="175">
        <f>SUM(Q15:Q21)</f>
        <v>480</v>
      </c>
      <c r="R22" s="175">
        <f>SUM(R15:R21)</f>
        <v>566400</v>
      </c>
      <c r="S22" s="175">
        <f>SUM(S15:S21)</f>
        <v>404976</v>
      </c>
      <c r="W22" s="175">
        <f>SUM(W15:W21)</f>
        <v>767</v>
      </c>
      <c r="X22" s="175">
        <f>SUM(X15:X21)</f>
        <v>905060</v>
      </c>
      <c r="Y22" s="175">
        <f>SUM(Y15:Y21)</f>
        <v>653861.6</v>
      </c>
    </row>
    <row r="23" spans="1:25" ht="13.5" thickBot="1">
      <c r="A23" s="777"/>
      <c r="B23" s="167" t="s">
        <v>2</v>
      </c>
      <c r="C23" s="99">
        <f>SUM(C16:C22)</f>
        <v>13925</v>
      </c>
      <c r="D23" s="110">
        <f>SUM(D16:D22)</f>
        <v>0</v>
      </c>
      <c r="E23" s="111">
        <f>SUM(E18:E22)</f>
        <v>0</v>
      </c>
      <c r="F23" s="115">
        <f>SUM(F15:F22)</f>
        <v>23</v>
      </c>
      <c r="G23" s="158"/>
      <c r="H23" s="165"/>
      <c r="I23" s="168"/>
      <c r="J23" s="213">
        <f>+'11'!J23</f>
        <v>0</v>
      </c>
      <c r="K23" s="238"/>
      <c r="L23" s="238"/>
      <c r="M23" s="116">
        <f>+K23+'11'!M23+L23</f>
        <v>0</v>
      </c>
      <c r="Q23" s="148">
        <f>480-Q22</f>
        <v>0</v>
      </c>
      <c r="R23" s="175">
        <f>+R22/Q22</f>
        <v>1180</v>
      </c>
      <c r="S23" s="175">
        <f>+S22/Q22</f>
        <v>843.7</v>
      </c>
      <c r="W23" s="148">
        <f>480-W22</f>
        <v>-287</v>
      </c>
      <c r="X23" s="175">
        <f>+X22/W22</f>
        <v>1180</v>
      </c>
      <c r="Y23" s="175">
        <f>+Y22/W22</f>
        <v>852.49230769230769</v>
      </c>
    </row>
    <row r="24" spans="1:25" ht="13.5" customHeight="1" thickBot="1">
      <c r="A24" s="770" t="s">
        <v>417</v>
      </c>
      <c r="B24" s="169"/>
      <c r="C24" s="112">
        <f>C23/($C$23+$D$23+$E$23)</f>
        <v>1</v>
      </c>
      <c r="D24" s="113">
        <f>D23/($C$23+$D$23+$E$23)</f>
        <v>0</v>
      </c>
      <c r="E24" s="114">
        <f>E23/($C$23+$D$23+$E$23)</f>
        <v>0</v>
      </c>
      <c r="F24" s="227">
        <v>9</v>
      </c>
      <c r="G24" s="228" t="s">
        <v>12</v>
      </c>
      <c r="H24" s="229" t="s">
        <v>412</v>
      </c>
      <c r="I24" s="773" t="s">
        <v>600</v>
      </c>
      <c r="J24" s="213">
        <f>+'11'!J24</f>
        <v>0</v>
      </c>
      <c r="K24" s="238"/>
      <c r="L24" s="238"/>
      <c r="M24" s="116">
        <f>+K24+'11'!M24+L24</f>
        <v>0</v>
      </c>
    </row>
    <row r="25" spans="1:25" ht="13.5" customHeight="1" thickBot="1">
      <c r="A25" s="776"/>
      <c r="B25" s="214" t="s">
        <v>606</v>
      </c>
      <c r="C25" s="225">
        <v>12352</v>
      </c>
      <c r="D25" s="216"/>
      <c r="E25" s="224"/>
      <c r="F25" s="230"/>
      <c r="G25" s="231" t="s">
        <v>12</v>
      </c>
      <c r="H25" s="229" t="s">
        <v>283</v>
      </c>
      <c r="I25" s="774"/>
      <c r="J25" s="213">
        <f>+'11'!J25</f>
        <v>0</v>
      </c>
      <c r="K25" s="238"/>
      <c r="L25" s="238"/>
      <c r="M25" s="116">
        <f>+K25+'11'!M25+L25</f>
        <v>0</v>
      </c>
      <c r="N25" s="148" t="s">
        <v>428</v>
      </c>
      <c r="O25" s="148">
        <v>1180</v>
      </c>
      <c r="P25" s="148">
        <f>+O25-(O25*0.24)</f>
        <v>896.8</v>
      </c>
      <c r="Q25" s="148">
        <f>60+47</f>
        <v>107</v>
      </c>
      <c r="R25" s="148">
        <f t="shared" ref="R25:R27" si="8">+O25*Q25</f>
        <v>126260</v>
      </c>
      <c r="S25" s="148">
        <f t="shared" ref="S25:S27" si="9">+P25*Q25</f>
        <v>95957.599999999991</v>
      </c>
      <c r="T25" s="148" t="s">
        <v>595</v>
      </c>
      <c r="U25" s="148">
        <v>1200</v>
      </c>
      <c r="V25" s="148">
        <v>924</v>
      </c>
      <c r="W25" s="148">
        <v>150</v>
      </c>
      <c r="X25" s="148">
        <f t="shared" ref="X25:X26" si="10">+U25*W25</f>
        <v>180000</v>
      </c>
      <c r="Y25" s="148">
        <f t="shared" ref="Y25:Y26" si="11">+V25*W25</f>
        <v>138600</v>
      </c>
    </row>
    <row r="26" spans="1:25" ht="13.5" customHeight="1" thickBot="1">
      <c r="A26" s="776"/>
      <c r="B26" s="214"/>
      <c r="C26" s="225"/>
      <c r="D26" s="216"/>
      <c r="E26" s="226"/>
      <c r="F26" s="227">
        <f>28-9</f>
        <v>19</v>
      </c>
      <c r="G26" s="231" t="s">
        <v>12</v>
      </c>
      <c r="H26" s="232" t="s">
        <v>603</v>
      </c>
      <c r="I26" s="774"/>
      <c r="J26" s="213">
        <f>+'11'!J26</f>
        <v>0</v>
      </c>
      <c r="K26" s="238"/>
      <c r="L26" s="238"/>
      <c r="M26" s="116">
        <f>+K26+'11'!M26+L26</f>
        <v>0</v>
      </c>
      <c r="N26" s="148" t="s">
        <v>595</v>
      </c>
      <c r="O26" s="148">
        <v>1200</v>
      </c>
      <c r="P26" s="148">
        <f>+O26-(O26*0.23)</f>
        <v>924</v>
      </c>
      <c r="Q26" s="148">
        <f>60-47+120+17</f>
        <v>150</v>
      </c>
      <c r="R26" s="148">
        <f t="shared" si="8"/>
        <v>180000</v>
      </c>
      <c r="S26" s="148">
        <f t="shared" si="9"/>
        <v>138600</v>
      </c>
      <c r="U26" s="148">
        <v>1150</v>
      </c>
      <c r="V26" s="148">
        <v>885.5</v>
      </c>
      <c r="W26" s="148">
        <v>223</v>
      </c>
      <c r="X26" s="148">
        <f t="shared" si="10"/>
        <v>256450</v>
      </c>
      <c r="Y26" s="148">
        <f t="shared" si="11"/>
        <v>197466.5</v>
      </c>
    </row>
    <row r="27" spans="1:25" ht="26.25" thickBot="1">
      <c r="A27" s="776"/>
      <c r="B27" s="214"/>
      <c r="C27" s="215"/>
      <c r="D27" s="216"/>
      <c r="E27" s="224"/>
      <c r="F27" s="227"/>
      <c r="G27" s="236" t="s">
        <v>13</v>
      </c>
      <c r="H27" s="232" t="s">
        <v>593</v>
      </c>
      <c r="I27" s="774"/>
      <c r="J27" s="213">
        <f>+'11'!J27</f>
        <v>0</v>
      </c>
      <c r="K27" s="238"/>
      <c r="L27" s="238"/>
      <c r="M27" s="116">
        <f>+K27+'11'!M27+L27</f>
        <v>0</v>
      </c>
      <c r="O27" s="148">
        <v>1150</v>
      </c>
      <c r="P27" s="148">
        <f>+O27-(O27*0.23)</f>
        <v>885.5</v>
      </c>
      <c r="Q27" s="148">
        <f>60-17+180</f>
        <v>223</v>
      </c>
      <c r="R27" s="148">
        <f t="shared" si="8"/>
        <v>256450</v>
      </c>
      <c r="S27" s="148">
        <f t="shared" si="9"/>
        <v>197466.5</v>
      </c>
    </row>
    <row r="28" spans="1:25" ht="127.5" customHeight="1" thickBot="1">
      <c r="A28" s="776"/>
      <c r="B28" s="214"/>
      <c r="C28" s="215"/>
      <c r="D28" s="216"/>
      <c r="E28" s="224"/>
      <c r="F28" s="230"/>
      <c r="G28" s="231"/>
      <c r="H28" s="232" t="s">
        <v>594</v>
      </c>
      <c r="I28" s="774"/>
      <c r="J28" s="213">
        <f>+'11'!J28</f>
        <v>0</v>
      </c>
      <c r="K28" s="238"/>
      <c r="L28" s="238"/>
      <c r="M28" s="116">
        <f>+K28+'11'!M28+L28</f>
        <v>0</v>
      </c>
    </row>
    <row r="29" spans="1:25" ht="13.5" customHeight="1" thickBot="1">
      <c r="A29" s="776"/>
      <c r="B29" s="214"/>
      <c r="C29" s="215"/>
      <c r="D29" s="216"/>
      <c r="E29" s="224"/>
      <c r="F29" s="235"/>
      <c r="G29" s="231"/>
      <c r="H29" s="232"/>
      <c r="I29" s="774"/>
      <c r="J29" s="213">
        <f>+'11'!J29</f>
        <v>0</v>
      </c>
      <c r="K29" s="238"/>
      <c r="L29" s="238"/>
      <c r="M29" s="116">
        <f>+K29+'11'!M29+L29</f>
        <v>0</v>
      </c>
    </row>
    <row r="30" spans="1:25" ht="13.5" customHeight="1" thickBot="1">
      <c r="A30" s="776"/>
      <c r="B30" s="214"/>
      <c r="C30" s="225"/>
      <c r="D30" s="216"/>
      <c r="E30" s="224"/>
      <c r="F30" s="235"/>
      <c r="G30" s="231"/>
      <c r="H30" s="232"/>
      <c r="I30" s="774"/>
      <c r="J30" s="213">
        <f>+'11'!J30</f>
        <v>0</v>
      </c>
      <c r="K30" s="238"/>
      <c r="L30" s="238"/>
      <c r="M30" s="116">
        <f>+K30+'11'!M30+L30</f>
        <v>0</v>
      </c>
    </row>
    <row r="31" spans="1:25" ht="13.5" customHeight="1" thickBot="1">
      <c r="A31" s="776"/>
      <c r="B31" s="214"/>
      <c r="C31" s="225"/>
      <c r="D31" s="216"/>
      <c r="E31" s="224"/>
      <c r="F31" s="235"/>
      <c r="G31" s="236"/>
      <c r="H31" s="443"/>
      <c r="I31" s="775"/>
      <c r="J31" s="213">
        <f>+'11'!J31</f>
        <v>0</v>
      </c>
      <c r="K31" s="238"/>
      <c r="L31" s="238"/>
      <c r="M31" s="116">
        <f>+K31+'11'!M31+L31</f>
        <v>0</v>
      </c>
    </row>
    <row r="32" spans="1:25" ht="13.5" customHeight="1" thickBot="1">
      <c r="A32" s="777"/>
      <c r="B32" s="164" t="s">
        <v>2</v>
      </c>
      <c r="C32" s="98">
        <f>SUM(C25:C31)</f>
        <v>12352</v>
      </c>
      <c r="D32" s="99">
        <f>SUM(D25:D31)</f>
        <v>0</v>
      </c>
      <c r="E32" s="100">
        <f>SUM(E25:E31)</f>
        <v>0</v>
      </c>
      <c r="F32" s="101">
        <f>SUM(F24:F31)</f>
        <v>28</v>
      </c>
      <c r="G32" s="170"/>
      <c r="H32" s="171"/>
      <c r="I32" s="168"/>
      <c r="J32" s="213">
        <f>+'1'!J32</f>
        <v>0</v>
      </c>
      <c r="K32" s="240"/>
      <c r="L32" s="242"/>
      <c r="M32" s="116">
        <f>+K32+'11'!M32+L32</f>
        <v>0</v>
      </c>
      <c r="Q32" s="175">
        <f>SUM(Q25:Q31)</f>
        <v>480</v>
      </c>
      <c r="R32" s="175">
        <f>SUM(R25:R31)</f>
        <v>562710</v>
      </c>
      <c r="S32" s="175">
        <f>SUM(S25:S31)</f>
        <v>432024.1</v>
      </c>
      <c r="W32" s="175">
        <f>SUM(W25:W31)</f>
        <v>373</v>
      </c>
      <c r="X32" s="175">
        <f>SUM(X25:X31)</f>
        <v>436450</v>
      </c>
      <c r="Y32" s="175">
        <f>SUM(Y25:Y31)</f>
        <v>336066.5</v>
      </c>
    </row>
    <row r="33" spans="1:25" ht="13.5" thickBot="1">
      <c r="A33" s="172"/>
      <c r="B33" s="173"/>
      <c r="C33" s="102">
        <f>C32/($C$32+$D$32+$E$32)</f>
        <v>1</v>
      </c>
      <c r="D33" s="103">
        <f>D32/($C$32+$D$32+$E$32)</f>
        <v>0</v>
      </c>
      <c r="E33" s="104">
        <f>E32/($C$32+$D$32+$E$32)</f>
        <v>0</v>
      </c>
      <c r="F33" s="105"/>
      <c r="G33" s="174"/>
      <c r="H33" s="175"/>
      <c r="I33" s="176"/>
      <c r="J33" s="120"/>
      <c r="K33" s="121"/>
      <c r="L33" s="212"/>
      <c r="M33" s="118"/>
      <c r="Q33" s="148">
        <f>480-Q32</f>
        <v>0</v>
      </c>
      <c r="R33" s="175">
        <f>+R32/Q32</f>
        <v>1172.3125</v>
      </c>
      <c r="S33" s="175">
        <f>+S32/Q32</f>
        <v>900.05020833333333</v>
      </c>
      <c r="W33" s="148">
        <f>480-W32</f>
        <v>107</v>
      </c>
      <c r="X33" s="175">
        <f>+X32/W32</f>
        <v>1170.1072386058981</v>
      </c>
      <c r="Y33" s="175">
        <f>+Y32/W32</f>
        <v>900.98257372654155</v>
      </c>
    </row>
    <row r="34" spans="1:25" ht="13.5" thickBot="1">
      <c r="A34" s="766" t="s">
        <v>57</v>
      </c>
      <c r="B34" s="767"/>
      <c r="C34" s="106">
        <f>C14+C23+C32</f>
        <v>40626</v>
      </c>
      <c r="D34" s="106">
        <f>D14+D23+D32</f>
        <v>286</v>
      </c>
      <c r="E34" s="106">
        <f>E14+E23+E32</f>
        <v>0</v>
      </c>
      <c r="F34" s="107">
        <f>F14+F23+F32</f>
        <v>90</v>
      </c>
      <c r="H34" s="177"/>
      <c r="I34" s="177"/>
      <c r="J34" s="122" t="s">
        <v>28</v>
      </c>
      <c r="K34" s="123">
        <f>SUM(K7:K32)</f>
        <v>40626</v>
      </c>
      <c r="L34" s="211">
        <f>SUM(L7:L32)</f>
        <v>0</v>
      </c>
      <c r="M34" s="119">
        <f>SUM(M7:M32)</f>
        <v>447896</v>
      </c>
    </row>
    <row r="35" spans="1:25" ht="13.5" thickBot="1">
      <c r="A35" s="178"/>
      <c r="B35" s="179"/>
      <c r="C35" s="103">
        <f>C34/($C$34+$D$34+$E$34)</f>
        <v>0.99300938599921784</v>
      </c>
      <c r="D35" s="103">
        <f>D34/($C$34+$D$34+$E$34)</f>
        <v>6.9906140007821669E-3</v>
      </c>
      <c r="E35" s="108">
        <f>E34/($C$34+$D$34+$E$34)</f>
        <v>0</v>
      </c>
      <c r="K35" s="154"/>
      <c r="N35" s="148" t="s">
        <v>585</v>
      </c>
      <c r="O35" s="148">
        <v>1230</v>
      </c>
      <c r="P35" s="148">
        <v>934.8</v>
      </c>
      <c r="Q35" s="148">
        <v>300</v>
      </c>
    </row>
    <row r="36" spans="1:25" ht="13.5" thickBot="1">
      <c r="A36" s="177"/>
      <c r="B36" s="177"/>
      <c r="C36" s="154"/>
      <c r="D36" s="154"/>
      <c r="E36" s="154"/>
      <c r="G36" s="154"/>
      <c r="H36" s="180"/>
      <c r="I36" s="161" t="s">
        <v>37</v>
      </c>
      <c r="J36" s="161" t="s">
        <v>38</v>
      </c>
      <c r="K36" s="181"/>
      <c r="N36" s="148" t="s">
        <v>428</v>
      </c>
      <c r="O36" s="148">
        <v>1180</v>
      </c>
      <c r="P36" s="148">
        <v>852.49230769230769</v>
      </c>
      <c r="Q36" s="148">
        <v>767</v>
      </c>
    </row>
    <row r="37" spans="1:25" ht="17.45" customHeight="1" thickBot="1">
      <c r="A37" s="768" t="s">
        <v>58</v>
      </c>
      <c r="B37" s="769"/>
      <c r="C37" s="161" t="s">
        <v>59</v>
      </c>
      <c r="D37" s="182" t="s">
        <v>60</v>
      </c>
      <c r="E37" s="183" t="s">
        <v>61</v>
      </c>
      <c r="F37" s="321"/>
      <c r="G37" s="323"/>
      <c r="H37" s="185" t="s">
        <v>62</v>
      </c>
      <c r="I37" s="243">
        <f>(12.5*300+14*767+13*373)/1440*G42*2.74*1440/1000000</f>
        <v>46.741941515401393</v>
      </c>
      <c r="J37" s="124">
        <f>+I37+'11'!J37</f>
        <v>524.45035323470904</v>
      </c>
      <c r="K37" s="125" t="s">
        <v>63</v>
      </c>
      <c r="N37" s="148" t="s">
        <v>595</v>
      </c>
      <c r="O37" s="148">
        <v>1170.1072386058981</v>
      </c>
      <c r="P37" s="148">
        <v>900.98257372654155</v>
      </c>
      <c r="Q37" s="148">
        <v>373</v>
      </c>
    </row>
    <row r="38" spans="1:25" ht="17.45" customHeight="1">
      <c r="A38" s="760" t="s">
        <v>12</v>
      </c>
      <c r="B38" s="761"/>
      <c r="C38" s="163">
        <f>SUMIF($G$7:$G$31,"Process",$F$7:$F$31)</f>
        <v>90</v>
      </c>
      <c r="D38" s="117">
        <f>+C38+'11'!D38</f>
        <v>945</v>
      </c>
      <c r="E38" s="142">
        <f t="shared" ref="E38:E51" si="12">D38/60</f>
        <v>15.75</v>
      </c>
      <c r="F38" s="321">
        <v>1211.25</v>
      </c>
      <c r="G38" s="321">
        <v>902.85</v>
      </c>
      <c r="H38" s="186" t="s">
        <v>64</v>
      </c>
      <c r="I38" s="244">
        <f>9.048+4.625+14.775+14.913</f>
        <v>43.361000000000004</v>
      </c>
      <c r="J38" s="126">
        <f>+I38+'11'!J38</f>
        <v>462.65599999999995</v>
      </c>
      <c r="K38" s="127" t="s">
        <v>63</v>
      </c>
      <c r="Q38" s="148">
        <f>+Q35+Q36+Q37</f>
        <v>1440</v>
      </c>
    </row>
    <row r="39" spans="1:25" ht="17.45" customHeight="1">
      <c r="A39" s="764" t="s">
        <v>13</v>
      </c>
      <c r="B39" s="765"/>
      <c r="C39" s="163">
        <f>SUMIF($G$7:$G$31,"Cleaning",$F$7:$F$31)</f>
        <v>0</v>
      </c>
      <c r="D39" s="117">
        <f>+C39+'11'!D39</f>
        <v>0</v>
      </c>
      <c r="E39" s="142">
        <f t="shared" si="12"/>
        <v>0</v>
      </c>
      <c r="F39" s="321">
        <v>1180</v>
      </c>
      <c r="G39" s="321">
        <v>843.7</v>
      </c>
      <c r="H39" s="186" t="s">
        <v>65</v>
      </c>
      <c r="I39" s="141"/>
      <c r="J39" s="128">
        <f>J37/G4</f>
        <v>43.704196102892418</v>
      </c>
      <c r="K39" s="129" t="s">
        <v>63</v>
      </c>
    </row>
    <row r="40" spans="1:25" ht="17.45" customHeight="1">
      <c r="A40" s="764" t="s">
        <v>66</v>
      </c>
      <c r="B40" s="765"/>
      <c r="C40" s="163">
        <f>SUMIF($G$7:$G$31,"Mechanical",$F$7:$F$31)</f>
        <v>0</v>
      </c>
      <c r="D40" s="117">
        <f>+C40+'11'!D40</f>
        <v>0</v>
      </c>
      <c r="E40" s="142">
        <f t="shared" si="12"/>
        <v>0</v>
      </c>
      <c r="F40" s="321">
        <v>1172.3125</v>
      </c>
      <c r="G40" s="321">
        <v>900.05020833333333</v>
      </c>
      <c r="H40" s="186" t="s">
        <v>67</v>
      </c>
      <c r="I40" s="117">
        <f>(K34+L34)/1000</f>
        <v>40.625999999999998</v>
      </c>
      <c r="J40" s="130">
        <f>+I40+'11'!J40</f>
        <v>447.89599999999996</v>
      </c>
      <c r="K40" s="129" t="s">
        <v>63</v>
      </c>
    </row>
    <row r="41" spans="1:25" ht="17.45" customHeight="1">
      <c r="A41" s="764" t="s">
        <v>68</v>
      </c>
      <c r="B41" s="765"/>
      <c r="C41" s="163">
        <f>SUMIF($G$7:$G$31,"Electrical",$F$7:$F$31)</f>
        <v>0</v>
      </c>
      <c r="D41" s="117">
        <f>+C41+'11'!D41</f>
        <v>239</v>
      </c>
      <c r="E41" s="142">
        <f t="shared" si="12"/>
        <v>3.9833333333333334</v>
      </c>
      <c r="F41" s="321"/>
      <c r="G41" s="321"/>
      <c r="H41" s="186" t="s">
        <v>69</v>
      </c>
      <c r="I41" s="141"/>
      <c r="J41" s="128">
        <f>J40/G4</f>
        <v>37.324666666666666</v>
      </c>
      <c r="K41" s="129" t="s">
        <v>63</v>
      </c>
    </row>
    <row r="42" spans="1:25" ht="17.45" customHeight="1">
      <c r="A42" s="764" t="s">
        <v>16</v>
      </c>
      <c r="B42" s="765"/>
      <c r="C42" s="163">
        <f>SUMIF($G$7:$G$31,"Instrument",$F$7:$F$31)</f>
        <v>0</v>
      </c>
      <c r="D42" s="117">
        <f>+C42+'11'!D42</f>
        <v>0</v>
      </c>
      <c r="E42" s="142">
        <f t="shared" si="12"/>
        <v>0</v>
      </c>
      <c r="F42" s="321">
        <f>+(480*F38+480*F39+480*F40)/1440</f>
        <v>1187.8541666666667</v>
      </c>
      <c r="G42" s="321">
        <f>+(480*G38+480*G39+480*G40)/1440</f>
        <v>882.20006944444447</v>
      </c>
      <c r="H42" s="186" t="s">
        <v>70</v>
      </c>
      <c r="I42" s="245" t="s">
        <v>602</v>
      </c>
      <c r="J42" s="131"/>
      <c r="K42" s="129" t="s">
        <v>71</v>
      </c>
    </row>
    <row r="43" spans="1:25" ht="17.45" customHeight="1">
      <c r="A43" s="764" t="s">
        <v>72</v>
      </c>
      <c r="B43" s="765"/>
      <c r="C43" s="163">
        <f>SUMIF($G$7:$G$31,"Water",$F$7:$F$31)</f>
        <v>0</v>
      </c>
      <c r="D43" s="117">
        <f>+C43+'11'!D43</f>
        <v>0</v>
      </c>
      <c r="E43" s="142">
        <f t="shared" si="12"/>
        <v>0</v>
      </c>
      <c r="F43" s="321"/>
      <c r="G43" s="322"/>
      <c r="H43" s="187" t="s">
        <v>73</v>
      </c>
      <c r="I43" s="117">
        <f>+Report1!Z20</f>
        <v>56.2</v>
      </c>
      <c r="J43" s="132">
        <f>+I43+'11'!J43</f>
        <v>615.60000000000014</v>
      </c>
      <c r="K43" s="129" t="s">
        <v>63</v>
      </c>
      <c r="L43" s="188"/>
    </row>
    <row r="44" spans="1:25" ht="17.45" customHeight="1">
      <c r="A44" s="764" t="s">
        <v>17</v>
      </c>
      <c r="B44" s="765"/>
      <c r="C44" s="163">
        <f>SUMIF($G$7:$G$31,"PLN",$F$7:$F$31)</f>
        <v>0</v>
      </c>
      <c r="D44" s="117">
        <f>+C44+'11'!D44</f>
        <v>0</v>
      </c>
      <c r="E44" s="142">
        <f t="shared" si="12"/>
        <v>0</v>
      </c>
      <c r="F44" s="321"/>
      <c r="G44" s="322"/>
      <c r="H44" s="187" t="s">
        <v>74</v>
      </c>
      <c r="I44" s="117">
        <f>I43/I38</f>
        <v>1.2960955697516201</v>
      </c>
      <c r="J44" s="133">
        <f>J43/J38</f>
        <v>1.3305782265873569</v>
      </c>
      <c r="K44" s="129" t="s">
        <v>63</v>
      </c>
    </row>
    <row r="45" spans="1:25" ht="17.45" customHeight="1">
      <c r="A45" s="764" t="s">
        <v>18</v>
      </c>
      <c r="B45" s="765"/>
      <c r="C45" s="163">
        <f>SUMIF($G$7:$G$31,"Boiler",$F$7:$F$31)</f>
        <v>0</v>
      </c>
      <c r="D45" s="117">
        <f>+C45+'11'!D45</f>
        <v>0</v>
      </c>
      <c r="E45" s="142">
        <f t="shared" si="12"/>
        <v>0</v>
      </c>
      <c r="F45" s="321"/>
      <c r="G45" s="324"/>
      <c r="H45" s="187" t="s">
        <v>75</v>
      </c>
      <c r="I45" s="117">
        <f>I43/I40</f>
        <v>1.3833505636784327</v>
      </c>
      <c r="J45" s="133">
        <f>J43/J40</f>
        <v>1.3744262060835555</v>
      </c>
      <c r="K45" s="129" t="s">
        <v>63</v>
      </c>
    </row>
    <row r="46" spans="1:25" ht="17.45" customHeight="1">
      <c r="A46" s="764" t="s">
        <v>76</v>
      </c>
      <c r="B46" s="765"/>
      <c r="C46" s="163">
        <f>SUMIF($G$7:$G$31,"Gas",$F$7:$F$31)</f>
        <v>0</v>
      </c>
      <c r="D46" s="117">
        <f>+C46+'11'!D46</f>
        <v>0</v>
      </c>
      <c r="E46" s="142">
        <f t="shared" si="12"/>
        <v>0</v>
      </c>
      <c r="F46" s="321"/>
      <c r="G46" s="322"/>
      <c r="H46" s="187" t="s">
        <v>77</v>
      </c>
      <c r="I46" s="139">
        <f>+SUMIF(Listrik!P19,"&gt;0")</f>
        <v>34967.78</v>
      </c>
      <c r="J46" s="134">
        <f>+I46+'11'!J46</f>
        <v>410415.80000000075</v>
      </c>
      <c r="K46" s="129" t="s">
        <v>78</v>
      </c>
    </row>
    <row r="47" spans="1:25" ht="17.45" customHeight="1">
      <c r="A47" s="764" t="s">
        <v>79</v>
      </c>
      <c r="B47" s="765"/>
      <c r="C47" s="163">
        <f>SUMIF($G$7:$G$31,"Gas",$F$7:$F$31)</f>
        <v>0</v>
      </c>
      <c r="D47" s="117">
        <f>+C47+'11'!D47</f>
        <v>0</v>
      </c>
      <c r="E47" s="142">
        <f t="shared" si="12"/>
        <v>0</v>
      </c>
      <c r="F47" s="321"/>
      <c r="G47" s="322"/>
      <c r="H47" s="187" t="s">
        <v>80</v>
      </c>
      <c r="I47" s="117">
        <f>I46/I38</f>
        <v>806.43389220728295</v>
      </c>
      <c r="J47" s="134">
        <f>J46/J38</f>
        <v>887.08630170148183</v>
      </c>
      <c r="K47" s="129" t="s">
        <v>24</v>
      </c>
    </row>
    <row r="48" spans="1:25" ht="17.45" customHeight="1">
      <c r="A48" s="764" t="s">
        <v>14</v>
      </c>
      <c r="B48" s="765"/>
      <c r="C48" s="163">
        <f>SUMIF($G$7:$G$31,"Start Up",$F$7:$F$31)</f>
        <v>0</v>
      </c>
      <c r="D48" s="117">
        <f>+C48+'11'!D48</f>
        <v>0</v>
      </c>
      <c r="E48" s="142">
        <f t="shared" si="12"/>
        <v>0</v>
      </c>
      <c r="F48" s="321"/>
      <c r="G48" s="322"/>
      <c r="H48" s="187" t="s">
        <v>81</v>
      </c>
      <c r="I48" s="117">
        <f>I46/I40</f>
        <v>860.72416678974059</v>
      </c>
      <c r="J48" s="134">
        <f>J46/J40</f>
        <v>916.31941343526353</v>
      </c>
      <c r="K48" s="129" t="s">
        <v>24</v>
      </c>
    </row>
    <row r="49" spans="1:11" ht="17.45" customHeight="1">
      <c r="A49" s="764" t="s">
        <v>20</v>
      </c>
      <c r="B49" s="765"/>
      <c r="C49" s="163">
        <f>SUMIF($G$7:$G$31,"Others",$F$7:$F$31)</f>
        <v>0</v>
      </c>
      <c r="D49" s="117">
        <f>+C49+'11'!D49</f>
        <v>948</v>
      </c>
      <c r="E49" s="142">
        <f t="shared" si="12"/>
        <v>15.8</v>
      </c>
      <c r="F49" s="184"/>
      <c r="H49" s="187" t="s">
        <v>268</v>
      </c>
      <c r="I49" s="117">
        <f>+Report1!T20</f>
        <v>5126.5100929065538</v>
      </c>
      <c r="J49" s="134">
        <f>+I49+'11'!J49</f>
        <v>55084.322794863809</v>
      </c>
      <c r="K49" s="129" t="s">
        <v>82</v>
      </c>
    </row>
    <row r="50" spans="1:11" ht="17.45" customHeight="1">
      <c r="A50" s="764" t="s">
        <v>19</v>
      </c>
      <c r="B50" s="765"/>
      <c r="C50" s="163">
        <f>SUMIF($G$7:$G$31,"Steam",$F$7:$F$31)</f>
        <v>0</v>
      </c>
      <c r="D50" s="117">
        <f>+C50+'11'!D50</f>
        <v>0</v>
      </c>
      <c r="E50" s="142">
        <f t="shared" si="12"/>
        <v>0</v>
      </c>
      <c r="F50" s="184"/>
      <c r="H50" s="187" t="s">
        <v>83</v>
      </c>
      <c r="I50" s="139">
        <f>I49/I38</f>
        <v>118.22859465663969</v>
      </c>
      <c r="J50" s="132">
        <f>J49/J38</f>
        <v>119.06107949505424</v>
      </c>
      <c r="K50" s="129" t="s">
        <v>82</v>
      </c>
    </row>
    <row r="51" spans="1:11" ht="17.45" customHeight="1" thickBot="1">
      <c r="A51" s="758" t="s">
        <v>84</v>
      </c>
      <c r="B51" s="759"/>
      <c r="C51" s="163">
        <f>SUMIF($G$7:$G$31,"Planned shut",$F$7:$F$31)</f>
        <v>0</v>
      </c>
      <c r="D51" s="117">
        <f>+C51+'11'!D51</f>
        <v>0</v>
      </c>
      <c r="E51" s="142">
        <f t="shared" si="12"/>
        <v>0</v>
      </c>
      <c r="F51" s="184"/>
      <c r="H51" s="189" t="s">
        <v>85</v>
      </c>
      <c r="I51" s="140">
        <f>I49/I40</f>
        <v>126.18791150757038</v>
      </c>
      <c r="J51" s="135">
        <f>J49/J40</f>
        <v>122.98462766995868</v>
      </c>
      <c r="K51" s="136" t="s">
        <v>82</v>
      </c>
    </row>
    <row r="52" spans="1:11" ht="13.5" thickBot="1">
      <c r="A52" s="760" t="s">
        <v>28</v>
      </c>
      <c r="B52" s="761"/>
      <c r="C52" s="143">
        <f>SUM(C38:C51)</f>
        <v>90</v>
      </c>
      <c r="D52" s="143">
        <f>SUM(D38:D51)</f>
        <v>2132</v>
      </c>
      <c r="E52" s="144">
        <f>SUM(E38:E51)</f>
        <v>35.533333333333331</v>
      </c>
      <c r="F52" s="184"/>
      <c r="H52" s="190"/>
      <c r="I52" s="191"/>
      <c r="J52" s="137"/>
      <c r="K52" s="138"/>
    </row>
    <row r="53" spans="1:11" ht="13.5" thickBot="1">
      <c r="A53" s="762"/>
      <c r="B53" s="763"/>
      <c r="C53" s="145">
        <f>C52/(24*60)</f>
        <v>6.25E-2</v>
      </c>
      <c r="D53" s="145">
        <f>D52/(24*60*G4)</f>
        <v>0.12337962962962963</v>
      </c>
      <c r="E53" s="146">
        <f>E52/(G4*24)</f>
        <v>0.12337962962962962</v>
      </c>
      <c r="F53" s="184"/>
    </row>
    <row r="54" spans="1:11">
      <c r="E54" s="192"/>
      <c r="F54" s="184"/>
    </row>
    <row r="55" spans="1:11">
      <c r="E55" s="192"/>
    </row>
    <row r="56" spans="1:11">
      <c r="A56" s="193" t="s">
        <v>86</v>
      </c>
      <c r="B56" s="194"/>
      <c r="C56" s="195"/>
      <c r="D56" s="195"/>
      <c r="E56" s="195"/>
      <c r="F56" s="196"/>
      <c r="G56" s="195"/>
      <c r="H56" s="197"/>
      <c r="I56" s="198" t="s">
        <v>87</v>
      </c>
      <c r="J56" s="199">
        <f>+D34+'11'!J56</f>
        <v>1116</v>
      </c>
      <c r="K56" s="200">
        <f>J56/(J40+J56/1000)/1000</f>
        <v>2.4854569588340625E-3</v>
      </c>
    </row>
    <row r="57" spans="1:11">
      <c r="A57" s="175"/>
      <c r="I57" s="198" t="s">
        <v>88</v>
      </c>
      <c r="J57" s="199">
        <f>+E34+'11'!J57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7:A14"/>
    <mergeCell ref="I7:I13"/>
    <mergeCell ref="A15:A23"/>
    <mergeCell ref="I15:I22"/>
    <mergeCell ref="A24:A32"/>
    <mergeCell ref="A46:B46"/>
    <mergeCell ref="A47:B47"/>
    <mergeCell ref="A39:B39"/>
    <mergeCell ref="I24:I31"/>
    <mergeCell ref="A37:B37"/>
    <mergeCell ref="A38:B38"/>
    <mergeCell ref="A45:B45"/>
    <mergeCell ref="A40:B40"/>
    <mergeCell ref="A41:B41"/>
    <mergeCell ref="A34:B34"/>
    <mergeCell ref="A42:B42"/>
    <mergeCell ref="A43:B43"/>
    <mergeCell ref="A44:B44"/>
    <mergeCell ref="A52:B52"/>
    <mergeCell ref="A53:B53"/>
    <mergeCell ref="A48:B48"/>
    <mergeCell ref="A49:B49"/>
    <mergeCell ref="A50:B50"/>
    <mergeCell ref="A51:B51"/>
  </mergeCells>
  <phoneticPr fontId="32" type="noConversion"/>
  <printOptions horizontalCentered="1"/>
  <pageMargins left="0.15625" right="0.15625" top="0.39027777777777778" bottom="0.39027777777777778" header="0" footer="0"/>
  <pageSetup paperSize="9" scale="64"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F1" zoomScale="80" zoomScaleNormal="70" zoomScaleSheetLayoutView="80" workbookViewId="0">
      <selection activeCell="N16" sqref="N16:S24"/>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4" style="148" bestFit="1" customWidth="1"/>
    <col min="12" max="12" width="8.28515625" style="148" customWidth="1"/>
    <col min="13" max="13" width="15.5703125" style="148" bestFit="1"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11</v>
      </c>
      <c r="H4" s="153" t="str">
        <f>+'1'!H4</f>
        <v>.03.26</v>
      </c>
      <c r="J4" s="148">
        <f>478+562+448</f>
        <v>1488</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388</v>
      </c>
      <c r="O6" s="148">
        <v>1230</v>
      </c>
      <c r="P6" s="148">
        <f>+O6-(O6*0.24)</f>
        <v>934.8</v>
      </c>
      <c r="Q6" s="148">
        <v>480</v>
      </c>
      <c r="R6" s="148">
        <f t="shared" ref="R6" si="0">+O6*Q6</f>
        <v>590400</v>
      </c>
      <c r="S6" s="148">
        <f t="shared" ref="S6" si="1">+P6*Q6</f>
        <v>448704</v>
      </c>
    </row>
    <row r="7" spans="1:19" ht="13.5" customHeight="1" thickBot="1">
      <c r="A7" s="770" t="s">
        <v>390</v>
      </c>
      <c r="B7" s="214" t="s">
        <v>389</v>
      </c>
      <c r="C7" s="215">
        <v>11817</v>
      </c>
      <c r="D7" s="216"/>
      <c r="E7" s="217"/>
      <c r="F7" s="227">
        <v>6</v>
      </c>
      <c r="G7" s="228" t="s">
        <v>12</v>
      </c>
      <c r="H7" s="229" t="s">
        <v>412</v>
      </c>
      <c r="I7" s="773" t="s">
        <v>544</v>
      </c>
      <c r="J7" s="213" t="str">
        <f>+'10'!J7</f>
        <v>F 12 VP OW</v>
      </c>
      <c r="K7" s="237">
        <f>+C7+C16+C25</f>
        <v>37627</v>
      </c>
      <c r="L7" s="241"/>
      <c r="M7" s="116">
        <f>+K7+'10'!M7+L7</f>
        <v>136522</v>
      </c>
    </row>
    <row r="8" spans="1:19" ht="13.5" thickBot="1">
      <c r="A8" s="771"/>
      <c r="B8" s="214"/>
      <c r="C8" s="215"/>
      <c r="D8" s="216"/>
      <c r="E8" s="218"/>
      <c r="F8" s="230"/>
      <c r="G8" s="231" t="s">
        <v>12</v>
      </c>
      <c r="H8" s="229" t="s">
        <v>283</v>
      </c>
      <c r="I8" s="774"/>
      <c r="J8" s="213" t="str">
        <f>+'10'!J8</f>
        <v>F 14 VP OW</v>
      </c>
      <c r="K8" s="238"/>
      <c r="L8" s="238"/>
      <c r="M8" s="116">
        <f>+K8+'10'!M8+L8</f>
        <v>69856</v>
      </c>
    </row>
    <row r="9" spans="1:19" ht="13.5" thickBot="1">
      <c r="A9" s="771"/>
      <c r="B9" s="214"/>
      <c r="C9" s="215"/>
      <c r="D9" s="216"/>
      <c r="E9" s="219"/>
      <c r="F9" s="227">
        <f>22-6</f>
        <v>16</v>
      </c>
      <c r="G9" s="231" t="s">
        <v>12</v>
      </c>
      <c r="H9" s="232" t="s">
        <v>385</v>
      </c>
      <c r="I9" s="774"/>
      <c r="J9" s="213" t="str">
        <f>+'10'!J9</f>
        <v>F 16 VP OW</v>
      </c>
      <c r="K9" s="238"/>
      <c r="L9" s="238"/>
      <c r="M9" s="116">
        <f>+K9+'10'!M9+L9</f>
        <v>104726</v>
      </c>
    </row>
    <row r="10" spans="1:19" ht="26.25" thickBot="1">
      <c r="A10" s="771"/>
      <c r="B10" s="214"/>
      <c r="C10" s="215"/>
      <c r="D10" s="216"/>
      <c r="E10" s="218"/>
      <c r="F10" s="227"/>
      <c r="G10" s="236" t="s">
        <v>13</v>
      </c>
      <c r="H10" s="232" t="s">
        <v>580</v>
      </c>
      <c r="I10" s="774"/>
      <c r="J10" s="213" t="str">
        <f>+'10'!J10</f>
        <v>F 13,5 VP OW</v>
      </c>
      <c r="K10" s="238"/>
      <c r="L10" s="238"/>
      <c r="M10" s="116">
        <f>+K10+'10'!M10+L10</f>
        <v>10827</v>
      </c>
    </row>
    <row r="11" spans="1:19" ht="51.75" thickBot="1">
      <c r="A11" s="771"/>
      <c r="B11" s="214"/>
      <c r="C11" s="215"/>
      <c r="D11" s="216"/>
      <c r="E11" s="218"/>
      <c r="F11" s="227"/>
      <c r="G11" s="231"/>
      <c r="H11" s="232" t="s">
        <v>581</v>
      </c>
      <c r="I11" s="774"/>
      <c r="J11" s="213" t="str">
        <f>+'10'!J11</f>
        <v>F 13 VP OW</v>
      </c>
      <c r="K11" s="238"/>
      <c r="L11" s="238"/>
      <c r="M11" s="116">
        <f>+K11+'10'!M11+L11</f>
        <v>19832</v>
      </c>
    </row>
    <row r="12" spans="1:19" ht="13.5" thickBot="1">
      <c r="A12" s="771"/>
      <c r="B12" s="214"/>
      <c r="C12" s="215"/>
      <c r="D12" s="216"/>
      <c r="E12" s="218"/>
      <c r="F12" s="227"/>
      <c r="G12" s="231"/>
      <c r="H12" s="232"/>
      <c r="I12" s="774"/>
      <c r="J12" s="213" t="str">
        <f>+'10'!J12</f>
        <v>T 14 VP OW</v>
      </c>
      <c r="K12" s="238"/>
      <c r="L12" s="238"/>
      <c r="M12" s="116">
        <f>+K12+'10'!M12+L12</f>
        <v>10448</v>
      </c>
    </row>
    <row r="13" spans="1:19" ht="13.5" thickBot="1">
      <c r="A13" s="771"/>
      <c r="B13" s="214"/>
      <c r="C13" s="215"/>
      <c r="D13" s="215"/>
      <c r="E13" s="218"/>
      <c r="F13" s="227"/>
      <c r="G13" s="231"/>
      <c r="H13" s="232"/>
      <c r="I13" s="775"/>
      <c r="J13" s="213" t="str">
        <f>+'10'!J13</f>
        <v>F 11,5 VP OW</v>
      </c>
      <c r="K13" s="238"/>
      <c r="L13" s="238"/>
      <c r="M13" s="116">
        <f>+K13+'10'!M13+L13</f>
        <v>53931</v>
      </c>
      <c r="Q13" s="175">
        <f>SUM(Q6:Q12)</f>
        <v>480</v>
      </c>
      <c r="R13" s="175">
        <f>SUM(R6:R12)</f>
        <v>590400</v>
      </c>
      <c r="S13" s="175">
        <f>SUM(S6:S12)</f>
        <v>448704</v>
      </c>
    </row>
    <row r="14" spans="1:19" ht="13.5" thickBot="1">
      <c r="A14" s="772"/>
      <c r="B14" s="164" t="s">
        <v>2</v>
      </c>
      <c r="C14" s="98">
        <f>SUM(C7:C13)</f>
        <v>11817</v>
      </c>
      <c r="D14" s="110">
        <f>SUM(D7:D13)</f>
        <v>0</v>
      </c>
      <c r="E14" s="111">
        <f>SUM(E5:E13)</f>
        <v>0</v>
      </c>
      <c r="F14" s="115">
        <f>SUM(F7:F13)</f>
        <v>22</v>
      </c>
      <c r="G14" s="158"/>
      <c r="H14" s="165"/>
      <c r="I14" s="166"/>
      <c r="J14" s="213" t="s">
        <v>591</v>
      </c>
      <c r="K14" s="238">
        <f>+C26</f>
        <v>1128</v>
      </c>
      <c r="L14" s="238"/>
      <c r="M14" s="116">
        <f>+K14+'10'!M14+L14</f>
        <v>1128</v>
      </c>
      <c r="Q14" s="148">
        <f>480-Q13</f>
        <v>0</v>
      </c>
      <c r="R14" s="175">
        <f>+R13/Q13</f>
        <v>1230</v>
      </c>
      <c r="S14" s="175">
        <f>+S13/Q13</f>
        <v>934.8</v>
      </c>
    </row>
    <row r="15" spans="1:19" ht="13.5" customHeight="1" thickBot="1">
      <c r="A15" s="770" t="s">
        <v>457</v>
      </c>
      <c r="B15" s="164"/>
      <c r="C15" s="112">
        <f>C14/($C$23+$D$23+$E$23)</f>
        <v>0.78885180240320429</v>
      </c>
      <c r="D15" s="113">
        <f>D14/($C$23+$D$23+$E$23)</f>
        <v>0</v>
      </c>
      <c r="E15" s="114">
        <f>E14/($C$23+$D$23+$E$23)</f>
        <v>0</v>
      </c>
      <c r="F15" s="227">
        <v>6</v>
      </c>
      <c r="G15" s="228" t="s">
        <v>12</v>
      </c>
      <c r="H15" s="229" t="s">
        <v>412</v>
      </c>
      <c r="I15" s="773" t="s">
        <v>544</v>
      </c>
      <c r="J15" s="213">
        <f>+'10'!J15</f>
        <v>0</v>
      </c>
      <c r="K15" s="238"/>
      <c r="L15" s="238"/>
      <c r="M15" s="116">
        <f>+K15+'10'!M15+L15</f>
        <v>0</v>
      </c>
    </row>
    <row r="16" spans="1:19" ht="13.5" thickBot="1">
      <c r="A16" s="776"/>
      <c r="B16" s="214" t="s">
        <v>389</v>
      </c>
      <c r="C16" s="221">
        <v>14980</v>
      </c>
      <c r="D16" s="222"/>
      <c r="E16" s="223"/>
      <c r="F16" s="230"/>
      <c r="G16" s="231" t="s">
        <v>12</v>
      </c>
      <c r="H16" s="229" t="s">
        <v>283</v>
      </c>
      <c r="I16" s="774"/>
      <c r="J16" s="213">
        <f>+'10'!J16</f>
        <v>0</v>
      </c>
      <c r="K16" s="228"/>
      <c r="L16" s="228"/>
      <c r="M16" s="116">
        <f>+K16+'10'!M16+L16</f>
        <v>0</v>
      </c>
      <c r="N16" s="148" t="s">
        <v>388</v>
      </c>
      <c r="O16" s="148">
        <v>1230</v>
      </c>
      <c r="P16" s="148">
        <f>+O16-(O16*0.24)</f>
        <v>934.8</v>
      </c>
      <c r="Q16" s="148">
        <v>480</v>
      </c>
      <c r="R16" s="148">
        <f t="shared" ref="R16" si="2">+O16*Q16</f>
        <v>590400</v>
      </c>
      <c r="S16" s="148">
        <f t="shared" ref="S16" si="3">+P16*Q16</f>
        <v>448704</v>
      </c>
    </row>
    <row r="17" spans="1:26" ht="13.5" thickBot="1">
      <c r="A17" s="776"/>
      <c r="B17" s="214"/>
      <c r="C17" s="215"/>
      <c r="D17" s="216"/>
      <c r="E17" s="224"/>
      <c r="F17" s="227">
        <f>23-6</f>
        <v>17</v>
      </c>
      <c r="G17" s="231" t="s">
        <v>12</v>
      </c>
      <c r="H17" s="232" t="s">
        <v>385</v>
      </c>
      <c r="I17" s="774"/>
      <c r="J17" s="213">
        <f>+'10'!J17</f>
        <v>0</v>
      </c>
      <c r="K17" s="228"/>
      <c r="L17" s="228"/>
      <c r="M17" s="116">
        <f>+K17+'10'!M17+L17</f>
        <v>0</v>
      </c>
    </row>
    <row r="18" spans="1:26" ht="26.25" thickBot="1">
      <c r="A18" s="776"/>
      <c r="B18" s="214"/>
      <c r="C18" s="215"/>
      <c r="D18" s="216"/>
      <c r="E18" s="224"/>
      <c r="F18" s="227"/>
      <c r="G18" s="236" t="s">
        <v>13</v>
      </c>
      <c r="H18" s="232" t="s">
        <v>582</v>
      </c>
      <c r="I18" s="774"/>
      <c r="J18" s="213">
        <f>+'10'!J18</f>
        <v>0</v>
      </c>
      <c r="K18" s="238"/>
      <c r="L18" s="238"/>
      <c r="M18" s="116">
        <f>+K18+'10'!M18+L18</f>
        <v>0</v>
      </c>
    </row>
    <row r="19" spans="1:26" ht="13.5" thickBot="1">
      <c r="A19" s="776"/>
      <c r="B19" s="214"/>
      <c r="C19" s="215"/>
      <c r="D19" s="216"/>
      <c r="E19" s="224"/>
      <c r="F19" s="234"/>
      <c r="G19" s="231"/>
      <c r="H19" s="232" t="s">
        <v>583</v>
      </c>
      <c r="I19" s="774"/>
      <c r="J19" s="213">
        <f>+'10'!J19</f>
        <v>0</v>
      </c>
      <c r="K19" s="238"/>
      <c r="L19" s="238"/>
      <c r="M19" s="116">
        <f>+K19+'10'!M19+L19</f>
        <v>0</v>
      </c>
    </row>
    <row r="20" spans="1:26" ht="13.5" thickBot="1">
      <c r="A20" s="776"/>
      <c r="B20" s="214"/>
      <c r="C20" s="215"/>
      <c r="D20" s="216"/>
      <c r="E20" s="224"/>
      <c r="F20" s="227"/>
      <c r="G20" s="231"/>
      <c r="H20" s="232"/>
      <c r="I20" s="774"/>
      <c r="J20" s="213">
        <f>+'10'!J20</f>
        <v>0</v>
      </c>
      <c r="K20" s="239"/>
      <c r="L20" s="239"/>
      <c r="M20" s="116">
        <f>+K20+'10'!M20+L20</f>
        <v>0</v>
      </c>
    </row>
    <row r="21" spans="1:26" ht="13.5" thickBot="1">
      <c r="A21" s="776"/>
      <c r="B21" s="214"/>
      <c r="C21" s="215"/>
      <c r="D21" s="216"/>
      <c r="E21" s="224"/>
      <c r="F21" s="230"/>
      <c r="G21" s="231"/>
      <c r="H21" s="232"/>
      <c r="I21" s="774"/>
      <c r="J21" s="213">
        <f>+'10'!J21</f>
        <v>0</v>
      </c>
      <c r="K21" s="238"/>
      <c r="L21" s="238"/>
      <c r="M21" s="116">
        <f>+K21+'10'!M21+L21</f>
        <v>0</v>
      </c>
    </row>
    <row r="22" spans="1:26" ht="13.5" thickBot="1">
      <c r="A22" s="776"/>
      <c r="B22" s="214"/>
      <c r="C22" s="215"/>
      <c r="D22" s="216"/>
      <c r="E22" s="224"/>
      <c r="F22" s="235"/>
      <c r="G22" s="231"/>
      <c r="H22" s="232"/>
      <c r="I22" s="775"/>
      <c r="J22" s="213">
        <f>+'10'!J22</f>
        <v>0</v>
      </c>
      <c r="K22" s="238"/>
      <c r="L22" s="238"/>
      <c r="M22" s="116">
        <f>+K22+'10'!M22+L22</f>
        <v>0</v>
      </c>
    </row>
    <row r="23" spans="1:26" ht="13.5" thickBot="1">
      <c r="A23" s="777"/>
      <c r="B23" s="167" t="s">
        <v>2</v>
      </c>
      <c r="C23" s="99">
        <f>SUM(C16:C22)</f>
        <v>14980</v>
      </c>
      <c r="D23" s="110">
        <f>SUM(D16:D22)</f>
        <v>0</v>
      </c>
      <c r="E23" s="111">
        <f>SUM(E18:E22)</f>
        <v>0</v>
      </c>
      <c r="F23" s="115">
        <f>SUM(F15:F22)</f>
        <v>23</v>
      </c>
      <c r="G23" s="158"/>
      <c r="H23" s="165"/>
      <c r="I23" s="168"/>
      <c r="J23" s="213">
        <f>+'10'!J23</f>
        <v>0</v>
      </c>
      <c r="K23" s="238"/>
      <c r="L23" s="238"/>
      <c r="M23" s="116">
        <f>+K23+'10'!M23+L23</f>
        <v>0</v>
      </c>
      <c r="Q23" s="175">
        <f>SUM(Q16:Q22)</f>
        <v>480</v>
      </c>
      <c r="R23" s="175">
        <f>SUM(R16:R22)</f>
        <v>590400</v>
      </c>
      <c r="S23" s="175">
        <f>SUM(S16:S22)</f>
        <v>448704</v>
      </c>
    </row>
    <row r="24" spans="1:26" ht="13.5" customHeight="1" thickBot="1">
      <c r="A24" s="770" t="s">
        <v>417</v>
      </c>
      <c r="B24" s="169"/>
      <c r="C24" s="112">
        <f>C23/($C$23+$D$23+$E$23)</f>
        <v>1</v>
      </c>
      <c r="D24" s="113">
        <f>D23/($C$23+$D$23+$E$23)</f>
        <v>0</v>
      </c>
      <c r="E24" s="114">
        <f>E23/($C$23+$D$23+$E$23)</f>
        <v>0</v>
      </c>
      <c r="F24" s="227">
        <v>6</v>
      </c>
      <c r="G24" s="228" t="s">
        <v>12</v>
      </c>
      <c r="H24" s="229" t="s">
        <v>412</v>
      </c>
      <c r="I24" s="773" t="s">
        <v>586</v>
      </c>
      <c r="J24" s="213">
        <f>+'10'!J24</f>
        <v>0</v>
      </c>
      <c r="K24" s="238"/>
      <c r="L24" s="238"/>
      <c r="M24" s="116">
        <f>+K24+'10'!M24+L24</f>
        <v>0</v>
      </c>
      <c r="Q24" s="148">
        <f>480-Q23</f>
        <v>0</v>
      </c>
      <c r="R24" s="175">
        <f>+R23/Q23</f>
        <v>1230</v>
      </c>
      <c r="S24" s="175">
        <f>+S23/Q23</f>
        <v>934.8</v>
      </c>
    </row>
    <row r="25" spans="1:26" ht="13.5" thickBot="1">
      <c r="A25" s="776"/>
      <c r="B25" s="214" t="s">
        <v>389</v>
      </c>
      <c r="C25" s="225">
        <v>10830</v>
      </c>
      <c r="D25" s="216"/>
      <c r="E25" s="224"/>
      <c r="F25" s="230"/>
      <c r="G25" s="231" t="s">
        <v>12</v>
      </c>
      <c r="H25" s="229" t="s">
        <v>283</v>
      </c>
      <c r="I25" s="774"/>
      <c r="J25" s="213">
        <f>+'10'!J25</f>
        <v>0</v>
      </c>
      <c r="K25" s="238"/>
      <c r="L25" s="238"/>
      <c r="M25" s="116">
        <f>+K25+'10'!M25+L25</f>
        <v>0</v>
      </c>
    </row>
    <row r="26" spans="1:26" ht="13.5" thickBot="1">
      <c r="A26" s="776"/>
      <c r="B26" s="214" t="s">
        <v>591</v>
      </c>
      <c r="C26" s="225">
        <f>1048+80</f>
        <v>1128</v>
      </c>
      <c r="D26" s="216"/>
      <c r="E26" s="226"/>
      <c r="F26" s="227">
        <v>20</v>
      </c>
      <c r="G26" s="231" t="s">
        <v>12</v>
      </c>
      <c r="H26" s="232" t="s">
        <v>433</v>
      </c>
      <c r="I26" s="774"/>
      <c r="J26" s="213">
        <f>+'10'!J26</f>
        <v>0</v>
      </c>
      <c r="K26" s="228"/>
      <c r="L26" s="228"/>
      <c r="M26" s="116">
        <f>+K26+'10'!M26+L26</f>
        <v>0</v>
      </c>
    </row>
    <row r="27" spans="1:26" ht="26.25" thickBot="1">
      <c r="A27" s="776"/>
      <c r="B27" s="214"/>
      <c r="C27" s="215"/>
      <c r="D27" s="216"/>
      <c r="E27" s="224"/>
      <c r="F27" s="227"/>
      <c r="G27" s="236" t="s">
        <v>13</v>
      </c>
      <c r="H27" s="232" t="s">
        <v>577</v>
      </c>
      <c r="I27" s="774"/>
      <c r="J27" s="213">
        <f>+'10'!J27</f>
        <v>0</v>
      </c>
      <c r="K27" s="228"/>
      <c r="L27" s="228"/>
      <c r="M27" s="116">
        <f>+K27+'10'!M27+L27</f>
        <v>0</v>
      </c>
      <c r="N27" s="148" t="s">
        <v>388</v>
      </c>
      <c r="O27" s="148">
        <v>1230</v>
      </c>
      <c r="P27" s="148">
        <f>+O27-(O27*0.24)</f>
        <v>934.8</v>
      </c>
      <c r="Q27" s="148">
        <f>60*5+27</f>
        <v>327</v>
      </c>
      <c r="R27" s="148">
        <f t="shared" ref="R27:R30" si="4">+O27*Q27</f>
        <v>402210</v>
      </c>
      <c r="S27" s="148">
        <f t="shared" ref="S27:S30" si="5">+P27*Q27</f>
        <v>305679.59999999998</v>
      </c>
      <c r="U27" s="148" t="s">
        <v>585</v>
      </c>
      <c r="V27" s="148">
        <v>1220</v>
      </c>
      <c r="W27" s="148">
        <v>927.2</v>
      </c>
      <c r="X27" s="148">
        <v>2</v>
      </c>
      <c r="Y27" s="148">
        <f t="shared" ref="Y27:Y29" si="6">+V27*X27</f>
        <v>2440</v>
      </c>
      <c r="Z27" s="148">
        <f t="shared" ref="Z27:Z29" si="7">+W27*X27</f>
        <v>1854.4</v>
      </c>
    </row>
    <row r="28" spans="1:26" ht="102.75" thickBot="1">
      <c r="A28" s="776"/>
      <c r="B28" s="214"/>
      <c r="C28" s="215"/>
      <c r="D28" s="216"/>
      <c r="E28" s="224"/>
      <c r="F28" s="230"/>
      <c r="G28" s="231"/>
      <c r="H28" s="232" t="s">
        <v>584</v>
      </c>
      <c r="I28" s="774"/>
      <c r="J28" s="213">
        <f>+'10'!J28</f>
        <v>0</v>
      </c>
      <c r="K28" s="238"/>
      <c r="L28" s="238"/>
      <c r="M28" s="116">
        <f>+K28+'10'!M28+L28</f>
        <v>0</v>
      </c>
      <c r="N28" s="148" t="s">
        <v>585</v>
      </c>
      <c r="O28" s="148">
        <v>1220</v>
      </c>
      <c r="P28" s="148">
        <f>+O28-(O28*0.24)</f>
        <v>927.2</v>
      </c>
      <c r="Q28" s="148">
        <f>29-27</f>
        <v>2</v>
      </c>
      <c r="R28" s="148">
        <f t="shared" si="4"/>
        <v>2440</v>
      </c>
      <c r="S28" s="148">
        <f t="shared" si="5"/>
        <v>1854.4</v>
      </c>
      <c r="V28" s="148">
        <v>1200</v>
      </c>
      <c r="W28" s="148">
        <v>912</v>
      </c>
      <c r="X28" s="148">
        <v>64</v>
      </c>
      <c r="Y28" s="148">
        <f t="shared" si="6"/>
        <v>76800</v>
      </c>
      <c r="Z28" s="148">
        <f t="shared" si="7"/>
        <v>58368</v>
      </c>
    </row>
    <row r="29" spans="1:26" ht="13.5" thickBot="1">
      <c r="A29" s="776"/>
      <c r="B29" s="214"/>
      <c r="C29" s="215"/>
      <c r="D29" s="216"/>
      <c r="E29" s="224"/>
      <c r="F29" s="235"/>
      <c r="G29" s="231"/>
      <c r="H29" s="232"/>
      <c r="I29" s="774"/>
      <c r="J29" s="213">
        <f>+'10'!J29</f>
        <v>0</v>
      </c>
      <c r="K29" s="238"/>
      <c r="L29" s="238"/>
      <c r="M29" s="116">
        <f>+K29+'10'!M29+L29</f>
        <v>0</v>
      </c>
      <c r="O29" s="148">
        <v>1200</v>
      </c>
      <c r="P29" s="148">
        <f>+O29-(O29*0.24)</f>
        <v>912</v>
      </c>
      <c r="Q29" s="148">
        <f>60-29+33</f>
        <v>64</v>
      </c>
      <c r="R29" s="148">
        <f t="shared" si="4"/>
        <v>76800</v>
      </c>
      <c r="S29" s="148">
        <f t="shared" si="5"/>
        <v>58368</v>
      </c>
      <c r="V29" s="148">
        <v>1220</v>
      </c>
      <c r="W29" s="148">
        <v>927.2</v>
      </c>
      <c r="X29" s="148">
        <v>87</v>
      </c>
      <c r="Y29" s="148">
        <f t="shared" si="6"/>
        <v>106140</v>
      </c>
      <c r="Z29" s="148">
        <f t="shared" si="7"/>
        <v>80666.400000000009</v>
      </c>
    </row>
    <row r="30" spans="1:26" ht="13.5" thickBot="1">
      <c r="A30" s="776"/>
      <c r="B30" s="214"/>
      <c r="C30" s="225"/>
      <c r="D30" s="216"/>
      <c r="E30" s="224"/>
      <c r="F30" s="235"/>
      <c r="G30" s="231"/>
      <c r="H30" s="232"/>
      <c r="I30" s="774"/>
      <c r="J30" s="213">
        <f>+'10'!J30</f>
        <v>0</v>
      </c>
      <c r="K30" s="239"/>
      <c r="L30" s="239"/>
      <c r="M30" s="116">
        <f>+K30+'10'!M30+L30</f>
        <v>0</v>
      </c>
      <c r="O30" s="148">
        <v>1220</v>
      </c>
      <c r="P30" s="148">
        <f>+O30-(O30*0.24)</f>
        <v>927.2</v>
      </c>
      <c r="Q30" s="148">
        <f>60-33+60</f>
        <v>87</v>
      </c>
      <c r="R30" s="148">
        <f t="shared" si="4"/>
        <v>106140</v>
      </c>
      <c r="S30" s="148">
        <f t="shared" si="5"/>
        <v>80666.400000000009</v>
      </c>
    </row>
    <row r="31" spans="1:26" ht="13.5" thickBot="1">
      <c r="A31" s="776"/>
      <c r="B31" s="214"/>
      <c r="C31" s="225"/>
      <c r="D31" s="216"/>
      <c r="E31" s="224"/>
      <c r="F31" s="235"/>
      <c r="G31" s="236"/>
      <c r="H31" s="443"/>
      <c r="I31" s="775"/>
      <c r="J31" s="213">
        <f>+'10'!J31</f>
        <v>0</v>
      </c>
      <c r="K31" s="238"/>
      <c r="L31" s="238"/>
      <c r="M31" s="116">
        <f>+K31+'10'!M31+L31</f>
        <v>0</v>
      </c>
    </row>
    <row r="32" spans="1:26" ht="13.5" thickBot="1">
      <c r="A32" s="777"/>
      <c r="B32" s="164" t="s">
        <v>2</v>
      </c>
      <c r="C32" s="98">
        <f>SUM(C25:C31)</f>
        <v>11958</v>
      </c>
      <c r="D32" s="99">
        <f>SUM(D25:D31)</f>
        <v>0</v>
      </c>
      <c r="E32" s="100">
        <f>SUM(E25:E31)</f>
        <v>0</v>
      </c>
      <c r="F32" s="101">
        <f>SUM(F24:F31)</f>
        <v>26</v>
      </c>
      <c r="G32" s="170"/>
      <c r="H32" s="171"/>
      <c r="I32" s="168"/>
      <c r="J32" s="213">
        <f>+'10'!J32</f>
        <v>0</v>
      </c>
      <c r="K32" s="238"/>
      <c r="L32" s="238"/>
      <c r="M32" s="116">
        <f>+K32+'10'!M32+L32</f>
        <v>0</v>
      </c>
    </row>
    <row r="33" spans="1:26" ht="13.5" thickBot="1">
      <c r="A33" s="172"/>
      <c r="B33" s="173"/>
      <c r="C33" s="102">
        <f>C32/($C$32+$D$32+$E$32)</f>
        <v>1</v>
      </c>
      <c r="D33" s="103">
        <f>D32/($C$32+$D$32+$E$32)</f>
        <v>0</v>
      </c>
      <c r="E33" s="104">
        <f>E32/($C$32+$D$32+$E$32)</f>
        <v>0</v>
      </c>
      <c r="F33" s="105"/>
      <c r="G33" s="174"/>
      <c r="H33" s="175"/>
      <c r="I33" s="176"/>
      <c r="J33" s="120"/>
      <c r="K33" s="121"/>
      <c r="L33" s="212"/>
      <c r="M33" s="118"/>
    </row>
    <row r="34" spans="1:26" ht="13.5" thickBot="1">
      <c r="A34" s="766" t="s">
        <v>57</v>
      </c>
      <c r="B34" s="767"/>
      <c r="C34" s="106">
        <f>C14+C23+C32</f>
        <v>38755</v>
      </c>
      <c r="D34" s="106">
        <f>D14+D23+D32</f>
        <v>0</v>
      </c>
      <c r="E34" s="106">
        <f>E14+E23+E32</f>
        <v>0</v>
      </c>
      <c r="F34" s="107">
        <f>F14+F23+F32</f>
        <v>71</v>
      </c>
      <c r="H34" s="177"/>
      <c r="I34" s="177"/>
      <c r="J34" s="122" t="s">
        <v>28</v>
      </c>
      <c r="K34" s="123">
        <f>SUM(K7:K32)</f>
        <v>38755</v>
      </c>
      <c r="L34" s="211">
        <f>SUM(L7:L32)</f>
        <v>0</v>
      </c>
      <c r="M34" s="119">
        <f>SUM(M7:M32)</f>
        <v>407270</v>
      </c>
      <c r="Q34" s="175">
        <f>SUM(Q27:Q33)</f>
        <v>480</v>
      </c>
      <c r="R34" s="175">
        <f>SUM(R27:R33)</f>
        <v>587590</v>
      </c>
      <c r="S34" s="175">
        <f>SUM(S27:S33)</f>
        <v>446568.4</v>
      </c>
      <c r="X34" s="175">
        <f>SUM(X27:X33)</f>
        <v>153</v>
      </c>
      <c r="Y34" s="175">
        <f>SUM(Y27:Y33)</f>
        <v>185380</v>
      </c>
      <c r="Z34" s="175">
        <f>SUM(Z27:Z33)</f>
        <v>140888.80000000002</v>
      </c>
    </row>
    <row r="35" spans="1:26" ht="13.5" thickBot="1">
      <c r="A35" s="178"/>
      <c r="B35" s="179"/>
      <c r="C35" s="103">
        <f>C34/($C$34+$D$34+$E$34)</f>
        <v>1</v>
      </c>
      <c r="D35" s="103">
        <f>D34/($C$34+$D$34+$E$34)</f>
        <v>0</v>
      </c>
      <c r="E35" s="108">
        <f>E34/($C$34+$D$34+$E$34)</f>
        <v>0</v>
      </c>
      <c r="K35" s="154"/>
      <c r="Q35" s="148">
        <f>480-Q34</f>
        <v>0</v>
      </c>
      <c r="R35" s="175">
        <f>+R34/Q34</f>
        <v>1224.1458333333333</v>
      </c>
      <c r="S35" s="175">
        <f>+S34/Q34</f>
        <v>930.35083333333341</v>
      </c>
      <c r="X35" s="148">
        <f>480-X34</f>
        <v>327</v>
      </c>
      <c r="Y35" s="175">
        <f>+Y34/X34</f>
        <v>1211.6339869281046</v>
      </c>
      <c r="Z35" s="175">
        <f>+Z34/X34</f>
        <v>920.84183006535955</v>
      </c>
    </row>
    <row r="36" spans="1:26" ht="13.5" thickBot="1">
      <c r="A36" s="177"/>
      <c r="B36" s="177"/>
      <c r="C36" s="154"/>
      <c r="D36" s="154"/>
      <c r="E36" s="154"/>
      <c r="G36" s="154"/>
      <c r="H36" s="180"/>
      <c r="I36" s="161" t="s">
        <v>37</v>
      </c>
      <c r="J36" s="161" t="s">
        <v>38</v>
      </c>
      <c r="K36" s="181"/>
      <c r="N36" s="148" t="s">
        <v>388</v>
      </c>
      <c r="O36" s="148">
        <v>1230</v>
      </c>
      <c r="P36" s="148">
        <v>934.8</v>
      </c>
      <c r="Q36" s="148">
        <f>480+480+327</f>
        <v>1287</v>
      </c>
    </row>
    <row r="37" spans="1:26" ht="17.45" customHeight="1" thickBot="1">
      <c r="A37" s="768" t="s">
        <v>58</v>
      </c>
      <c r="B37" s="769"/>
      <c r="C37" s="161" t="s">
        <v>59</v>
      </c>
      <c r="D37" s="182" t="s">
        <v>60</v>
      </c>
      <c r="E37" s="183" t="s">
        <v>61</v>
      </c>
      <c r="F37" s="321"/>
      <c r="G37" s="323"/>
      <c r="H37" s="185" t="s">
        <v>62</v>
      </c>
      <c r="I37" s="243">
        <f>(12*1287+153*12.5)/1440*G42*2.74*1440/1000000</f>
        <v>44.385576596725002</v>
      </c>
      <c r="J37" s="124">
        <f>+I37+'10'!J37</f>
        <v>477.70841171930766</v>
      </c>
      <c r="K37" s="125" t="s">
        <v>63</v>
      </c>
      <c r="N37" s="148" t="s">
        <v>585</v>
      </c>
      <c r="O37" s="148">
        <v>1211.6339869281046</v>
      </c>
      <c r="P37" s="148">
        <v>920.84183006535955</v>
      </c>
      <c r="Q37" s="148">
        <f>2+64+87</f>
        <v>153</v>
      </c>
    </row>
    <row r="38" spans="1:26" ht="17.45" customHeight="1">
      <c r="A38" s="760" t="s">
        <v>12</v>
      </c>
      <c r="B38" s="761"/>
      <c r="C38" s="163">
        <f>SUMIF($G$7:$G$31,"Process",$F$7:$F$31)</f>
        <v>71</v>
      </c>
      <c r="D38" s="117">
        <f>+C38+'10'!D38</f>
        <v>855</v>
      </c>
      <c r="E38" s="142">
        <f t="shared" ref="E38:E51" si="8">D38/60</f>
        <v>14.25</v>
      </c>
      <c r="F38" s="321">
        <v>1230</v>
      </c>
      <c r="G38" s="321">
        <v>934.8</v>
      </c>
      <c r="H38" s="186" t="s">
        <v>64</v>
      </c>
      <c r="I38" s="244">
        <f>13.559+13.365+13.504</f>
        <v>40.427999999999997</v>
      </c>
      <c r="J38" s="126">
        <f>+I38+'10'!J38</f>
        <v>419.29499999999996</v>
      </c>
      <c r="K38" s="127" t="s">
        <v>63</v>
      </c>
      <c r="Q38" s="148">
        <f>+Q36+Q37</f>
        <v>1440</v>
      </c>
    </row>
    <row r="39" spans="1:26" ht="17.45" customHeight="1">
      <c r="A39" s="764" t="s">
        <v>13</v>
      </c>
      <c r="B39" s="765"/>
      <c r="C39" s="163">
        <f>SUMIF($G$7:$G$31,"Cleaning",$F$7:$F$31)</f>
        <v>0</v>
      </c>
      <c r="D39" s="117">
        <f>+C39+'10'!D39</f>
        <v>0</v>
      </c>
      <c r="E39" s="142">
        <f t="shared" si="8"/>
        <v>0</v>
      </c>
      <c r="F39" s="321">
        <v>1230</v>
      </c>
      <c r="G39" s="321">
        <v>934.8</v>
      </c>
      <c r="H39" s="186" t="s">
        <v>65</v>
      </c>
      <c r="I39" s="141"/>
      <c r="J39" s="128">
        <f>J37/G4</f>
        <v>43.428037429027967</v>
      </c>
      <c r="K39" s="129" t="s">
        <v>63</v>
      </c>
    </row>
    <row r="40" spans="1:26" ht="17.45" customHeight="1">
      <c r="A40" s="764" t="s">
        <v>66</v>
      </c>
      <c r="B40" s="765"/>
      <c r="C40" s="163">
        <f>SUMIF($G$7:$G$31,"Mechanical",$F$7:$F$31)</f>
        <v>0</v>
      </c>
      <c r="D40" s="117">
        <f>+C40+'10'!D40</f>
        <v>0</v>
      </c>
      <c r="E40" s="142">
        <f t="shared" si="8"/>
        <v>0</v>
      </c>
      <c r="F40" s="321">
        <v>1224.1458333333333</v>
      </c>
      <c r="G40" s="321">
        <v>930.35083333333341</v>
      </c>
      <c r="H40" s="186" t="s">
        <v>67</v>
      </c>
      <c r="I40" s="117">
        <f>(K34+L34)/1000</f>
        <v>38.755000000000003</v>
      </c>
      <c r="J40" s="130">
        <f>+I40+'10'!J40</f>
        <v>407.27</v>
      </c>
      <c r="K40" s="129" t="s">
        <v>63</v>
      </c>
    </row>
    <row r="41" spans="1:26" ht="17.45" customHeight="1">
      <c r="A41" s="764" t="s">
        <v>68</v>
      </c>
      <c r="B41" s="765"/>
      <c r="C41" s="163">
        <f>SUMIF($G$7:$G$31,"Electrical",$F$7:$F$31)</f>
        <v>0</v>
      </c>
      <c r="D41" s="117">
        <f>+C41+'10'!D41</f>
        <v>239</v>
      </c>
      <c r="E41" s="142">
        <f t="shared" si="8"/>
        <v>3.9833333333333334</v>
      </c>
      <c r="F41" s="321"/>
      <c r="G41" s="321"/>
      <c r="H41" s="186" t="s">
        <v>69</v>
      </c>
      <c r="I41" s="141"/>
      <c r="J41" s="128">
        <f>J40/G4</f>
        <v>37.024545454545454</v>
      </c>
      <c r="K41" s="129" t="s">
        <v>63</v>
      </c>
    </row>
    <row r="42" spans="1:26" ht="17.45" customHeight="1">
      <c r="A42" s="764" t="s">
        <v>16</v>
      </c>
      <c r="B42" s="765"/>
      <c r="C42" s="163">
        <f>SUMIF($G$7:$G$31,"Instrument",$F$7:$F$31)</f>
        <v>0</v>
      </c>
      <c r="D42" s="117">
        <f>+C42+'10'!D42</f>
        <v>0</v>
      </c>
      <c r="E42" s="142">
        <f t="shared" si="8"/>
        <v>0</v>
      </c>
      <c r="F42" s="321">
        <f>+(480*F38+480*F39+480*F40)/1440</f>
        <v>1228.0486111111111</v>
      </c>
      <c r="G42" s="321">
        <f>+(480*G38+480*G39+480*G40)/1440</f>
        <v>933.3169444444444</v>
      </c>
      <c r="H42" s="186" t="s">
        <v>70</v>
      </c>
      <c r="I42" s="245" t="s">
        <v>587</v>
      </c>
      <c r="J42" s="131"/>
      <c r="K42" s="129" t="s">
        <v>71</v>
      </c>
    </row>
    <row r="43" spans="1:26" ht="17.45" customHeight="1">
      <c r="A43" s="764" t="s">
        <v>72</v>
      </c>
      <c r="B43" s="765"/>
      <c r="C43" s="163">
        <f>SUMIF($G$7:$G$31,"Water",$F$7:$F$31)</f>
        <v>0</v>
      </c>
      <c r="D43" s="117">
        <f>+C43+'10'!D43</f>
        <v>0</v>
      </c>
      <c r="E43" s="142">
        <f t="shared" si="8"/>
        <v>0</v>
      </c>
      <c r="F43" s="321"/>
      <c r="G43" s="322"/>
      <c r="H43" s="187" t="s">
        <v>73</v>
      </c>
      <c r="I43" s="117">
        <f>+Report1!Z19</f>
        <v>56.5</v>
      </c>
      <c r="J43" s="132">
        <f>+I43+'10'!J43</f>
        <v>559.40000000000009</v>
      </c>
      <c r="K43" s="129" t="s">
        <v>63</v>
      </c>
      <c r="L43" s="188"/>
    </row>
    <row r="44" spans="1:26" ht="17.45" customHeight="1">
      <c r="A44" s="764" t="s">
        <v>17</v>
      </c>
      <c r="B44" s="765"/>
      <c r="C44" s="163">
        <f>SUMIF($G$7:$G$31,"PLN",$F$7:$F$31)</f>
        <v>0</v>
      </c>
      <c r="D44" s="117">
        <f>+C44+'10'!D44</f>
        <v>0</v>
      </c>
      <c r="E44" s="142">
        <f t="shared" si="8"/>
        <v>0</v>
      </c>
      <c r="F44" s="321"/>
      <c r="G44" s="322"/>
      <c r="H44" s="187" t="s">
        <v>74</v>
      </c>
      <c r="I44" s="117">
        <f>I43/I38</f>
        <v>1.3975462550707431</v>
      </c>
      <c r="J44" s="133">
        <f>J43/J38</f>
        <v>1.334144218271146</v>
      </c>
      <c r="K44" s="129" t="s">
        <v>63</v>
      </c>
    </row>
    <row r="45" spans="1:26" ht="17.45" customHeight="1">
      <c r="A45" s="764" t="s">
        <v>18</v>
      </c>
      <c r="B45" s="765"/>
      <c r="C45" s="163">
        <f>SUMIF($G$7:$G$31,"Boiler",$F$7:$F$31)</f>
        <v>0</v>
      </c>
      <c r="D45" s="117">
        <f>+C45+'10'!D45</f>
        <v>0</v>
      </c>
      <c r="E45" s="142">
        <f t="shared" si="8"/>
        <v>0</v>
      </c>
      <c r="F45" s="321"/>
      <c r="G45" s="324"/>
      <c r="H45" s="187" t="s">
        <v>75</v>
      </c>
      <c r="I45" s="117">
        <f>I43/I40</f>
        <v>1.4578764030447684</v>
      </c>
      <c r="J45" s="133">
        <f>J43/J40</f>
        <v>1.3735359834998897</v>
      </c>
      <c r="K45" s="129" t="s">
        <v>63</v>
      </c>
    </row>
    <row r="46" spans="1:26" ht="17.45" customHeight="1">
      <c r="A46" s="764" t="s">
        <v>76</v>
      </c>
      <c r="B46" s="765"/>
      <c r="C46" s="163">
        <f>SUMIF($G$7:$G$31,"Gas",$F$7:$F$31)</f>
        <v>0</v>
      </c>
      <c r="D46" s="117">
        <f>+C46+'10'!D46</f>
        <v>0</v>
      </c>
      <c r="E46" s="142">
        <f t="shared" si="8"/>
        <v>0</v>
      </c>
      <c r="F46" s="321"/>
      <c r="G46" s="322"/>
      <c r="H46" s="187" t="s">
        <v>77</v>
      </c>
      <c r="I46" s="139">
        <f>+SUMIF(Listrik!P18,"&gt;0")</f>
        <v>37873.739999999634</v>
      </c>
      <c r="J46" s="134">
        <f>+I46+'10'!J46</f>
        <v>375448.02000000072</v>
      </c>
      <c r="K46" s="129" t="s">
        <v>78</v>
      </c>
    </row>
    <row r="47" spans="1:26" ht="17.45" customHeight="1">
      <c r="A47" s="764" t="s">
        <v>79</v>
      </c>
      <c r="B47" s="765"/>
      <c r="C47" s="163">
        <f>SUMIF($G$7:$G$31,"Gas",$F$7:$F$31)</f>
        <v>0</v>
      </c>
      <c r="D47" s="117">
        <f>+C47+'10'!D47</f>
        <v>0</v>
      </c>
      <c r="E47" s="142">
        <f t="shared" si="8"/>
        <v>0</v>
      </c>
      <c r="F47" s="321"/>
      <c r="G47" s="322"/>
      <c r="H47" s="187" t="s">
        <v>80</v>
      </c>
      <c r="I47" s="117">
        <f>I46/I38</f>
        <v>936.81953101809722</v>
      </c>
      <c r="J47" s="134">
        <f>J46/J38</f>
        <v>895.42689514542451</v>
      </c>
      <c r="K47" s="129" t="s">
        <v>24</v>
      </c>
    </row>
    <row r="48" spans="1:26" ht="17.45" customHeight="1">
      <c r="A48" s="764" t="s">
        <v>14</v>
      </c>
      <c r="B48" s="765"/>
      <c r="C48" s="163">
        <f>SUMIF($G$7:$G$31,"Start Up",$F$7:$F$31)</f>
        <v>0</v>
      </c>
      <c r="D48" s="117">
        <f>+C48+'10'!D48</f>
        <v>0</v>
      </c>
      <c r="E48" s="142">
        <f t="shared" si="8"/>
        <v>0</v>
      </c>
      <c r="F48" s="321"/>
      <c r="G48" s="322"/>
      <c r="H48" s="187" t="s">
        <v>81</v>
      </c>
      <c r="I48" s="117">
        <f>I46/I40</f>
        <v>977.26074054959702</v>
      </c>
      <c r="J48" s="134">
        <f>J46/J40</f>
        <v>921.86515088270858</v>
      </c>
      <c r="K48" s="129" t="s">
        <v>24</v>
      </c>
    </row>
    <row r="49" spans="1:11" ht="17.45" customHeight="1">
      <c r="A49" s="764" t="s">
        <v>20</v>
      </c>
      <c r="B49" s="765"/>
      <c r="C49" s="163">
        <f>SUMIF($G$7:$G$31,"Others",$F$7:$F$31)</f>
        <v>0</v>
      </c>
      <c r="D49" s="117">
        <f>+C49+'10'!D49</f>
        <v>948</v>
      </c>
      <c r="E49" s="142">
        <f t="shared" si="8"/>
        <v>15.8</v>
      </c>
      <c r="F49" s="184"/>
      <c r="H49" s="187" t="s">
        <v>267</v>
      </c>
      <c r="I49" s="117">
        <f>+Report1!T19</f>
        <v>4807.0687045467985</v>
      </c>
      <c r="J49" s="134">
        <f>+I49+'10'!J49</f>
        <v>49957.812701957257</v>
      </c>
      <c r="K49" s="129" t="s">
        <v>82</v>
      </c>
    </row>
    <row r="50" spans="1:11" ht="17.45" customHeight="1">
      <c r="A50" s="764" t="s">
        <v>19</v>
      </c>
      <c r="B50" s="765"/>
      <c r="C50" s="163">
        <f>SUMIF($G$7:$G$31,"Steam",$F$7:$F$31)</f>
        <v>0</v>
      </c>
      <c r="D50" s="117">
        <f>+C50+'10'!D50</f>
        <v>0</v>
      </c>
      <c r="E50" s="142">
        <f t="shared" si="8"/>
        <v>0</v>
      </c>
      <c r="F50" s="184"/>
      <c r="H50" s="187" t="s">
        <v>83</v>
      </c>
      <c r="I50" s="139">
        <f>I49/I38</f>
        <v>118.90444010455127</v>
      </c>
      <c r="J50" s="132">
        <f>J49/J38</f>
        <v>119.1471701354828</v>
      </c>
      <c r="K50" s="129" t="s">
        <v>82</v>
      </c>
    </row>
    <row r="51" spans="1:11" ht="17.45" customHeight="1" thickBot="1">
      <c r="A51" s="758" t="s">
        <v>84</v>
      </c>
      <c r="B51" s="759"/>
      <c r="C51" s="163">
        <f>SUMIF($G$7:$G$31,"Planned shut",$F$7:$F$31)</f>
        <v>0</v>
      </c>
      <c r="D51" s="117">
        <f>+C51+'10'!D51</f>
        <v>0</v>
      </c>
      <c r="E51" s="142">
        <f t="shared" si="8"/>
        <v>0</v>
      </c>
      <c r="F51" s="184"/>
      <c r="H51" s="189" t="s">
        <v>85</v>
      </c>
      <c r="I51" s="140">
        <f>I49/I40</f>
        <v>124.03738110042055</v>
      </c>
      <c r="J51" s="135">
        <f>J49/J40</f>
        <v>122.66509367730808</v>
      </c>
      <c r="K51" s="136" t="s">
        <v>82</v>
      </c>
    </row>
    <row r="52" spans="1:11" ht="13.5" thickBot="1">
      <c r="A52" s="760" t="s">
        <v>28</v>
      </c>
      <c r="B52" s="761"/>
      <c r="C52" s="143">
        <f>SUM(C38:C51)</f>
        <v>71</v>
      </c>
      <c r="D52" s="143">
        <f>SUM(D38:D51)</f>
        <v>2042</v>
      </c>
      <c r="E52" s="144">
        <f>SUM(E38:E51)</f>
        <v>34.033333333333331</v>
      </c>
      <c r="F52" s="184"/>
      <c r="H52" s="190"/>
      <c r="I52" s="191"/>
      <c r="J52" s="137"/>
      <c r="K52" s="138"/>
    </row>
    <row r="53" spans="1:11" ht="13.5" thickBot="1">
      <c r="A53" s="762"/>
      <c r="B53" s="763"/>
      <c r="C53" s="145">
        <f>C52/(24*60)</f>
        <v>4.9305555555555554E-2</v>
      </c>
      <c r="D53" s="145">
        <f>D52/(24*60*G4)</f>
        <v>0.12891414141414143</v>
      </c>
      <c r="E53" s="146">
        <f>E52/(G4*24)</f>
        <v>0.1289141414141414</v>
      </c>
      <c r="F53" s="184"/>
    </row>
    <row r="54" spans="1:11">
      <c r="E54" s="192"/>
      <c r="F54" s="184"/>
    </row>
    <row r="55" spans="1:11">
      <c r="E55" s="192"/>
    </row>
    <row r="56" spans="1:11">
      <c r="A56" s="193" t="s">
        <v>86</v>
      </c>
      <c r="B56" s="194"/>
      <c r="C56" s="195"/>
      <c r="D56" s="195"/>
      <c r="E56" s="195"/>
      <c r="F56" s="196"/>
      <c r="G56" s="195"/>
      <c r="H56" s="197"/>
      <c r="I56" s="198" t="s">
        <v>87</v>
      </c>
      <c r="J56" s="199">
        <f>+D34+'10'!J56</f>
        <v>830</v>
      </c>
      <c r="K56" s="200">
        <f>J56/(J40+J56/1000)/1000</f>
        <v>2.0338152413624114E-3</v>
      </c>
    </row>
    <row r="57" spans="1:11">
      <c r="A57" s="175"/>
      <c r="I57" s="198" t="s">
        <v>88</v>
      </c>
      <c r="J57" s="199">
        <f>+E34+'10'!J57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52:B52"/>
    <mergeCell ref="A46:B46"/>
    <mergeCell ref="A51:B51"/>
    <mergeCell ref="A50:B50"/>
    <mergeCell ref="A49:B49"/>
    <mergeCell ref="A47:B47"/>
    <mergeCell ref="A48:B48"/>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 ref="A39:B39"/>
  </mergeCells>
  <phoneticPr fontId="32" type="noConversion"/>
  <pageMargins left="0.17" right="0.16" top="0.17" bottom="0.16" header="0" footer="0"/>
  <pageSetup paperSize="9" scale="53"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75" zoomScaleSheetLayoutView="80" workbookViewId="0">
      <selection activeCell="A7" sqref="A7:A32"/>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8.28515625" style="148" customWidth="1"/>
    <col min="13" max="13" width="12.140625" style="148"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10</v>
      </c>
      <c r="H4" s="153" t="str">
        <f>+'1'!H4</f>
        <v>.03.26</v>
      </c>
      <c r="J4" s="148">
        <f>454+469+449</f>
        <v>1372</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388</v>
      </c>
      <c r="O6" s="148">
        <v>1230</v>
      </c>
      <c r="P6" s="148">
        <f>+O6-(O6*0.24)</f>
        <v>934.8</v>
      </c>
      <c r="Q6" s="148">
        <v>480</v>
      </c>
      <c r="R6" s="148">
        <f t="shared" ref="R6" si="0">+O6*Q6</f>
        <v>590400</v>
      </c>
      <c r="S6" s="148">
        <f t="shared" ref="S6" si="1">+P6*Q6</f>
        <v>448704</v>
      </c>
    </row>
    <row r="7" spans="1:19" ht="13.5" customHeight="1" thickBot="1">
      <c r="A7" s="770" t="s">
        <v>390</v>
      </c>
      <c r="B7" s="214" t="s">
        <v>389</v>
      </c>
      <c r="C7" s="215">
        <v>13327</v>
      </c>
      <c r="D7" s="216"/>
      <c r="E7" s="217"/>
      <c r="F7" s="227">
        <v>9</v>
      </c>
      <c r="G7" s="228" t="s">
        <v>12</v>
      </c>
      <c r="H7" s="229" t="s">
        <v>412</v>
      </c>
      <c r="I7" s="773" t="s">
        <v>544</v>
      </c>
      <c r="J7" s="213" t="str">
        <f>+'9'!J7</f>
        <v>F 12 VP OW</v>
      </c>
      <c r="K7" s="237">
        <f>+C34</f>
        <v>41020</v>
      </c>
      <c r="L7" s="241"/>
      <c r="M7" s="116">
        <f>+K7+'9'!M7+L7</f>
        <v>98895</v>
      </c>
      <c r="O7" s="148">
        <v>1230</v>
      </c>
      <c r="P7" s="148">
        <f t="shared" ref="P7:P8" si="2">+O7-(O7*0.24)</f>
        <v>934.8</v>
      </c>
      <c r="Q7" s="148">
        <v>480</v>
      </c>
      <c r="R7" s="148">
        <f t="shared" ref="R7:R8" si="3">+O7*Q7</f>
        <v>590400</v>
      </c>
      <c r="S7" s="148">
        <f t="shared" ref="S7:S8" si="4">+P7*Q7</f>
        <v>448704</v>
      </c>
    </row>
    <row r="8" spans="1:19" ht="13.5" thickBot="1">
      <c r="A8" s="771"/>
      <c r="B8" s="214"/>
      <c r="C8" s="215"/>
      <c r="D8" s="216"/>
      <c r="E8" s="218"/>
      <c r="F8" s="230"/>
      <c r="G8" s="231" t="s">
        <v>12</v>
      </c>
      <c r="H8" s="229" t="s">
        <v>283</v>
      </c>
      <c r="I8" s="774"/>
      <c r="J8" s="213" t="str">
        <f>+'9'!J8</f>
        <v>F 14 VP OW</v>
      </c>
      <c r="K8" s="238"/>
      <c r="L8" s="238"/>
      <c r="M8" s="116">
        <f>+K8+'9'!M8+L8</f>
        <v>69856</v>
      </c>
      <c r="O8" s="148">
        <v>1230</v>
      </c>
      <c r="P8" s="148">
        <f t="shared" si="2"/>
        <v>934.8</v>
      </c>
      <c r="Q8" s="148">
        <v>480</v>
      </c>
      <c r="R8" s="148">
        <f t="shared" si="3"/>
        <v>590400</v>
      </c>
      <c r="S8" s="148">
        <f t="shared" si="4"/>
        <v>448704</v>
      </c>
    </row>
    <row r="9" spans="1:19" ht="13.5" thickBot="1">
      <c r="A9" s="771"/>
      <c r="B9" s="214"/>
      <c r="C9" s="215"/>
      <c r="D9" s="216"/>
      <c r="E9" s="219"/>
      <c r="F9" s="227">
        <f>24-9</f>
        <v>15</v>
      </c>
      <c r="G9" s="231" t="s">
        <v>12</v>
      </c>
      <c r="H9" s="232" t="s">
        <v>385</v>
      </c>
      <c r="I9" s="774"/>
      <c r="J9" s="213" t="str">
        <f>+'9'!J9</f>
        <v>F 16 VP OW</v>
      </c>
      <c r="K9" s="238"/>
      <c r="L9" s="238"/>
      <c r="M9" s="116">
        <f>+K9+'9'!M9+L9</f>
        <v>104726</v>
      </c>
    </row>
    <row r="10" spans="1:19" ht="26.25" thickBot="1">
      <c r="A10" s="771"/>
      <c r="B10" s="214"/>
      <c r="C10" s="215"/>
      <c r="D10" s="216"/>
      <c r="E10" s="218"/>
      <c r="F10" s="227"/>
      <c r="G10" s="236" t="s">
        <v>13</v>
      </c>
      <c r="H10" s="232" t="s">
        <v>576</v>
      </c>
      <c r="I10" s="774"/>
      <c r="J10" s="213" t="str">
        <f>+'9'!J10</f>
        <v>F 13,5 VP OW</v>
      </c>
      <c r="K10" s="238"/>
      <c r="L10" s="238"/>
      <c r="M10" s="116">
        <f>+K10+'9'!M10+L10</f>
        <v>10827</v>
      </c>
    </row>
    <row r="11" spans="1:19" ht="13.5" thickBot="1">
      <c r="A11" s="771"/>
      <c r="B11" s="214"/>
      <c r="C11" s="215"/>
      <c r="D11" s="216"/>
      <c r="E11" s="218"/>
      <c r="F11" s="227"/>
      <c r="G11" s="231"/>
      <c r="H11" s="232"/>
      <c r="I11" s="774"/>
      <c r="J11" s="213" t="str">
        <f>+'9'!J11</f>
        <v>F 13 VP OW</v>
      </c>
      <c r="K11" s="238"/>
      <c r="L11" s="238"/>
      <c r="M11" s="116">
        <f>+K11+'9'!M11+L11</f>
        <v>19832</v>
      </c>
    </row>
    <row r="12" spans="1:19" ht="13.5" thickBot="1">
      <c r="A12" s="771"/>
      <c r="B12" s="214"/>
      <c r="C12" s="215"/>
      <c r="D12" s="216"/>
      <c r="E12" s="218"/>
      <c r="F12" s="227"/>
      <c r="G12" s="231"/>
      <c r="H12" s="232"/>
      <c r="I12" s="774"/>
      <c r="J12" s="213" t="str">
        <f>+'9'!J12</f>
        <v>T 14 VP OW</v>
      </c>
      <c r="K12" s="238"/>
      <c r="L12" s="238"/>
      <c r="M12" s="116">
        <f>+K12+'9'!M12+L12</f>
        <v>10448</v>
      </c>
    </row>
    <row r="13" spans="1:19" ht="13.5" thickBot="1">
      <c r="A13" s="771"/>
      <c r="B13" s="214"/>
      <c r="C13" s="215"/>
      <c r="D13" s="215"/>
      <c r="E13" s="218"/>
      <c r="F13" s="227"/>
      <c r="G13" s="231"/>
      <c r="H13" s="232"/>
      <c r="I13" s="775"/>
      <c r="J13" s="213" t="str">
        <f>+'9'!J13</f>
        <v>F 11,5 VP OW</v>
      </c>
      <c r="K13" s="238"/>
      <c r="L13" s="238"/>
      <c r="M13" s="116">
        <f>+K13+'9'!M13+L13</f>
        <v>53931</v>
      </c>
      <c r="Q13" s="175">
        <f>SUM(Q6:Q12)</f>
        <v>1440</v>
      </c>
      <c r="R13" s="175">
        <f>SUM(R6:R12)</f>
        <v>1771200</v>
      </c>
      <c r="S13" s="175">
        <f>SUM(S6:S12)</f>
        <v>1346112</v>
      </c>
    </row>
    <row r="14" spans="1:19" ht="13.5" thickBot="1">
      <c r="A14" s="772"/>
      <c r="B14" s="164" t="s">
        <v>2</v>
      </c>
      <c r="C14" s="98">
        <f>SUM(C7:C13)</f>
        <v>13327</v>
      </c>
      <c r="D14" s="110">
        <f>SUM(D7:D13)</f>
        <v>0</v>
      </c>
      <c r="E14" s="111">
        <f>SUM(E5:E13)</f>
        <v>0</v>
      </c>
      <c r="F14" s="115">
        <f>SUM(F7:F13)</f>
        <v>24</v>
      </c>
      <c r="G14" s="158"/>
      <c r="H14" s="165"/>
      <c r="I14" s="166"/>
      <c r="J14" s="213">
        <f>+'9'!J14</f>
        <v>0</v>
      </c>
      <c r="K14" s="238"/>
      <c r="L14" s="238"/>
      <c r="M14" s="116">
        <f>+K14+'9'!M14+L14</f>
        <v>0</v>
      </c>
      <c r="Q14" s="148">
        <f>480-Q13</f>
        <v>-960</v>
      </c>
      <c r="R14" s="175">
        <f>+R13/Q13</f>
        <v>1230</v>
      </c>
      <c r="S14" s="175">
        <f>+S13/Q13</f>
        <v>934.8</v>
      </c>
    </row>
    <row r="15" spans="1:19" ht="13.5" customHeight="1" thickBot="1">
      <c r="A15" s="770" t="s">
        <v>391</v>
      </c>
      <c r="B15" s="164"/>
      <c r="C15" s="112">
        <f>C14/($C$23+$D$23+$E$23)</f>
        <v>0.8861626437928054</v>
      </c>
      <c r="D15" s="113">
        <f>D14/($C$23+$D$23+$E$23)</f>
        <v>0</v>
      </c>
      <c r="E15" s="114">
        <f>E14/($C$23+$D$23+$E$23)</f>
        <v>0</v>
      </c>
      <c r="F15" s="227"/>
      <c r="G15" s="228" t="s">
        <v>12</v>
      </c>
      <c r="H15" s="229" t="s">
        <v>384</v>
      </c>
      <c r="I15" s="773" t="s">
        <v>544</v>
      </c>
      <c r="J15" s="213">
        <f>+'9'!J15</f>
        <v>0</v>
      </c>
      <c r="K15" s="238"/>
      <c r="L15" s="238"/>
      <c r="M15" s="116">
        <f>+K15+'9'!M15+L15</f>
        <v>0</v>
      </c>
    </row>
    <row r="16" spans="1:19" ht="13.5" thickBot="1">
      <c r="A16" s="776"/>
      <c r="B16" s="214" t="s">
        <v>389</v>
      </c>
      <c r="C16" s="221">
        <v>15039</v>
      </c>
      <c r="D16" s="222"/>
      <c r="E16" s="223"/>
      <c r="F16" s="230">
        <v>9</v>
      </c>
      <c r="G16" s="231" t="s">
        <v>12</v>
      </c>
      <c r="H16" s="229" t="s">
        <v>541</v>
      </c>
      <c r="I16" s="774"/>
      <c r="J16" s="213">
        <f>+'9'!J16</f>
        <v>0</v>
      </c>
      <c r="K16" s="228"/>
      <c r="L16" s="228"/>
      <c r="M16" s="116">
        <f>+K16+'9'!M16+L16</f>
        <v>0</v>
      </c>
    </row>
    <row r="17" spans="1:13" ht="13.5" thickBot="1">
      <c r="A17" s="776"/>
      <c r="B17" s="214"/>
      <c r="C17" s="215"/>
      <c r="D17" s="216"/>
      <c r="E17" s="224"/>
      <c r="F17" s="227">
        <v>10</v>
      </c>
      <c r="G17" s="231" t="s">
        <v>12</v>
      </c>
      <c r="H17" s="232" t="s">
        <v>385</v>
      </c>
      <c r="I17" s="774"/>
      <c r="J17" s="213">
        <f>+'9'!J17</f>
        <v>0</v>
      </c>
      <c r="K17" s="228"/>
      <c r="L17" s="228"/>
      <c r="M17" s="116">
        <f>+K17+'9'!M17+L17</f>
        <v>0</v>
      </c>
    </row>
    <row r="18" spans="1:13" ht="26.25" thickBot="1">
      <c r="A18" s="776"/>
      <c r="B18" s="214"/>
      <c r="C18" s="215"/>
      <c r="D18" s="216"/>
      <c r="E18" s="224"/>
      <c r="F18" s="227"/>
      <c r="G18" s="236" t="s">
        <v>13</v>
      </c>
      <c r="H18" s="232" t="s">
        <v>574</v>
      </c>
      <c r="I18" s="774"/>
      <c r="J18" s="213">
        <f>+'9'!J18</f>
        <v>0</v>
      </c>
      <c r="K18" s="238"/>
      <c r="L18" s="238"/>
      <c r="M18" s="116">
        <f>+K18+'9'!M18+L18</f>
        <v>0</v>
      </c>
    </row>
    <row r="19" spans="1:13" ht="26.25" thickBot="1">
      <c r="A19" s="776"/>
      <c r="B19" s="214"/>
      <c r="C19" s="215"/>
      <c r="D19" s="216"/>
      <c r="E19" s="224"/>
      <c r="F19" s="234"/>
      <c r="G19" s="231"/>
      <c r="H19" s="232" t="s">
        <v>575</v>
      </c>
      <c r="I19" s="774"/>
      <c r="J19" s="213">
        <f>+'9'!J19</f>
        <v>0</v>
      </c>
      <c r="K19" s="238"/>
      <c r="L19" s="238"/>
      <c r="M19" s="116">
        <f>+K19+'9'!M19+L19</f>
        <v>0</v>
      </c>
    </row>
    <row r="20" spans="1:13" ht="13.5" thickBot="1">
      <c r="A20" s="776"/>
      <c r="B20" s="214"/>
      <c r="C20" s="215"/>
      <c r="D20" s="216"/>
      <c r="E20" s="224"/>
      <c r="F20" s="227"/>
      <c r="G20" s="231"/>
      <c r="H20" s="232"/>
      <c r="I20" s="774"/>
      <c r="J20" s="213">
        <f>+'9'!J20</f>
        <v>0</v>
      </c>
      <c r="K20" s="239"/>
      <c r="L20" s="239"/>
      <c r="M20" s="116">
        <f>+K20+'9'!M20+L20</f>
        <v>0</v>
      </c>
    </row>
    <row r="21" spans="1:13" ht="13.5" thickBot="1">
      <c r="A21" s="776"/>
      <c r="B21" s="214"/>
      <c r="C21" s="215"/>
      <c r="D21" s="216"/>
      <c r="E21" s="224"/>
      <c r="F21" s="230"/>
      <c r="G21" s="231"/>
      <c r="H21" s="232"/>
      <c r="I21" s="774"/>
      <c r="J21" s="213">
        <f>+'9'!J21</f>
        <v>0</v>
      </c>
      <c r="K21" s="238"/>
      <c r="L21" s="238"/>
      <c r="M21" s="116">
        <f>+K21+'9'!M21+L21</f>
        <v>0</v>
      </c>
    </row>
    <row r="22" spans="1:13" ht="13.5" thickBot="1">
      <c r="A22" s="776"/>
      <c r="B22" s="214"/>
      <c r="C22" s="215"/>
      <c r="D22" s="216"/>
      <c r="E22" s="224"/>
      <c r="F22" s="235"/>
      <c r="G22" s="231"/>
      <c r="H22" s="232"/>
      <c r="I22" s="775"/>
      <c r="J22" s="213">
        <f>+'9'!J22</f>
        <v>0</v>
      </c>
      <c r="K22" s="238"/>
      <c r="L22" s="238"/>
      <c r="M22" s="116">
        <f>+K22+'9'!M22+L22</f>
        <v>0</v>
      </c>
    </row>
    <row r="23" spans="1:13" ht="13.5" thickBot="1">
      <c r="A23" s="777"/>
      <c r="B23" s="167" t="s">
        <v>2</v>
      </c>
      <c r="C23" s="99">
        <f>SUM(C16:C22)</f>
        <v>15039</v>
      </c>
      <c r="D23" s="110">
        <f>SUM(D16:D22)</f>
        <v>0</v>
      </c>
      <c r="E23" s="111">
        <f>SUM(E18:E22)</f>
        <v>0</v>
      </c>
      <c r="F23" s="115">
        <f>SUM(F15:F22)</f>
        <v>19</v>
      </c>
      <c r="G23" s="158"/>
      <c r="H23" s="165"/>
      <c r="I23" s="168"/>
      <c r="J23" s="213">
        <f>+'9'!J23</f>
        <v>0</v>
      </c>
      <c r="K23" s="238"/>
      <c r="L23" s="238"/>
      <c r="M23" s="116">
        <f>+K23+'9'!M23+L23</f>
        <v>0</v>
      </c>
    </row>
    <row r="24" spans="1:13" ht="13.5" customHeight="1" thickBot="1">
      <c r="A24" s="770" t="s">
        <v>417</v>
      </c>
      <c r="B24" s="169"/>
      <c r="C24" s="112">
        <f>C23/($C$23+$D$23+$E$23)</f>
        <v>1</v>
      </c>
      <c r="D24" s="113">
        <f>D23/($C$23+$D$23+$E$23)</f>
        <v>0</v>
      </c>
      <c r="E24" s="114">
        <f>E23/($C$23+$D$23+$E$23)</f>
        <v>0</v>
      </c>
      <c r="F24" s="227">
        <v>9</v>
      </c>
      <c r="G24" s="228" t="s">
        <v>12</v>
      </c>
      <c r="H24" s="229" t="s">
        <v>412</v>
      </c>
      <c r="I24" s="773" t="s">
        <v>544</v>
      </c>
      <c r="J24" s="213">
        <f>+'8'!J24</f>
        <v>0</v>
      </c>
      <c r="K24" s="238"/>
      <c r="L24" s="238"/>
      <c r="M24" s="116">
        <f>+K24+'9'!M24+L24</f>
        <v>0</v>
      </c>
    </row>
    <row r="25" spans="1:13" ht="13.5" customHeight="1" thickBot="1">
      <c r="A25" s="776"/>
      <c r="B25" s="214" t="s">
        <v>389</v>
      </c>
      <c r="C25" s="225">
        <v>12654</v>
      </c>
      <c r="D25" s="216"/>
      <c r="E25" s="224"/>
      <c r="F25" s="230"/>
      <c r="G25" s="231" t="s">
        <v>12</v>
      </c>
      <c r="H25" s="229" t="s">
        <v>283</v>
      </c>
      <c r="I25" s="774"/>
      <c r="J25" s="213">
        <f>+'8'!J25</f>
        <v>0</v>
      </c>
      <c r="K25" s="238"/>
      <c r="L25" s="238"/>
      <c r="M25" s="116">
        <f>+K25+'9'!M25+L25</f>
        <v>0</v>
      </c>
    </row>
    <row r="26" spans="1:13" ht="13.5" customHeight="1" thickBot="1">
      <c r="A26" s="776"/>
      <c r="B26" s="214"/>
      <c r="C26" s="225"/>
      <c r="D26" s="216"/>
      <c r="E26" s="226"/>
      <c r="F26" s="227">
        <f>28-9</f>
        <v>19</v>
      </c>
      <c r="G26" s="231" t="s">
        <v>12</v>
      </c>
      <c r="H26" s="232" t="s">
        <v>411</v>
      </c>
      <c r="I26" s="774"/>
      <c r="J26" s="213">
        <f>+'8'!J26</f>
        <v>0</v>
      </c>
      <c r="K26" s="238"/>
      <c r="L26" s="238"/>
      <c r="M26" s="116">
        <f>+K26+'9'!M26+L26</f>
        <v>0</v>
      </c>
    </row>
    <row r="27" spans="1:13" ht="29.25" customHeight="1" thickBot="1">
      <c r="A27" s="776"/>
      <c r="B27" s="214"/>
      <c r="C27" s="215"/>
      <c r="D27" s="216"/>
      <c r="E27" s="224"/>
      <c r="F27" s="227"/>
      <c r="G27" s="236" t="s">
        <v>13</v>
      </c>
      <c r="H27" s="232" t="s">
        <v>577</v>
      </c>
      <c r="I27" s="774"/>
      <c r="J27" s="213">
        <f>+'8'!J27</f>
        <v>0</v>
      </c>
      <c r="K27" s="238"/>
      <c r="L27" s="238"/>
      <c r="M27" s="116">
        <f>+K27+'9'!M27+L27</f>
        <v>0</v>
      </c>
    </row>
    <row r="28" spans="1:13" ht="56.25" customHeight="1" thickBot="1">
      <c r="A28" s="776"/>
      <c r="B28" s="214"/>
      <c r="C28" s="215"/>
      <c r="D28" s="216"/>
      <c r="E28" s="224"/>
      <c r="F28" s="230"/>
      <c r="G28" s="231"/>
      <c r="H28" s="232" t="s">
        <v>578</v>
      </c>
      <c r="I28" s="774"/>
      <c r="J28" s="213">
        <f>+'8'!J28</f>
        <v>0</v>
      </c>
      <c r="K28" s="238"/>
      <c r="L28" s="238"/>
      <c r="M28" s="116">
        <f>+K28+'9'!M28+L28</f>
        <v>0</v>
      </c>
    </row>
    <row r="29" spans="1:13" ht="13.5" customHeight="1" thickBot="1">
      <c r="A29" s="776"/>
      <c r="B29" s="214"/>
      <c r="C29" s="215"/>
      <c r="D29" s="216"/>
      <c r="E29" s="224"/>
      <c r="F29" s="235"/>
      <c r="G29" s="231"/>
      <c r="H29" s="232"/>
      <c r="I29" s="774"/>
      <c r="J29" s="213">
        <f>+'8'!J29</f>
        <v>0</v>
      </c>
      <c r="K29" s="238"/>
      <c r="L29" s="238"/>
      <c r="M29" s="116">
        <f>+K29+'9'!M29+L29</f>
        <v>0</v>
      </c>
    </row>
    <row r="30" spans="1:13" ht="13.5" customHeight="1" thickBot="1">
      <c r="A30" s="776"/>
      <c r="B30" s="214"/>
      <c r="C30" s="225"/>
      <c r="D30" s="216"/>
      <c r="E30" s="224"/>
      <c r="F30" s="235"/>
      <c r="G30" s="231"/>
      <c r="H30" s="232"/>
      <c r="I30" s="774"/>
      <c r="J30" s="213">
        <f>+'8'!J30</f>
        <v>0</v>
      </c>
      <c r="K30" s="238"/>
      <c r="L30" s="238"/>
      <c r="M30" s="116">
        <f>+K30+'9'!M30+L30</f>
        <v>0</v>
      </c>
    </row>
    <row r="31" spans="1:13" ht="13.5" customHeight="1" thickBot="1">
      <c r="A31" s="776"/>
      <c r="B31" s="214"/>
      <c r="C31" s="225"/>
      <c r="D31" s="216"/>
      <c r="E31" s="224"/>
      <c r="F31" s="235"/>
      <c r="G31" s="236"/>
      <c r="H31" s="443"/>
      <c r="I31" s="775"/>
      <c r="J31" s="213">
        <f>+'8'!J31</f>
        <v>0</v>
      </c>
      <c r="K31" s="238"/>
      <c r="L31" s="238"/>
      <c r="M31" s="116">
        <f>+K31+'9'!M31+L31</f>
        <v>0</v>
      </c>
    </row>
    <row r="32" spans="1:13" ht="13.5" customHeight="1" thickBot="1">
      <c r="A32" s="777"/>
      <c r="B32" s="164" t="s">
        <v>2</v>
      </c>
      <c r="C32" s="98">
        <f>SUM(C25:C31)</f>
        <v>12654</v>
      </c>
      <c r="D32" s="99">
        <f>SUM(D25:D31)</f>
        <v>0</v>
      </c>
      <c r="E32" s="100">
        <f>SUM(E25:E31)</f>
        <v>0</v>
      </c>
      <c r="F32" s="101">
        <f>SUM(F24:F31)</f>
        <v>28</v>
      </c>
      <c r="G32" s="170"/>
      <c r="H32" s="171"/>
      <c r="I32" s="168"/>
      <c r="J32" s="213">
        <f>+'8'!J32</f>
        <v>0</v>
      </c>
      <c r="K32" s="240"/>
      <c r="L32" s="242"/>
      <c r="M32" s="116">
        <f>+K32+'9'!M32+L32</f>
        <v>0</v>
      </c>
    </row>
    <row r="33" spans="1:13" ht="13.5" thickBot="1">
      <c r="A33" s="172"/>
      <c r="B33" s="173"/>
      <c r="C33" s="102">
        <f>C32/($C$32+$D$32+$E$32)</f>
        <v>1</v>
      </c>
      <c r="D33" s="103">
        <f>D32/($C$32+$D$32+$E$32)</f>
        <v>0</v>
      </c>
      <c r="E33" s="104">
        <f>E32/($C$32+$D$32+$E$32)</f>
        <v>0</v>
      </c>
      <c r="F33" s="105"/>
      <c r="G33" s="174"/>
      <c r="H33" s="175"/>
      <c r="I33" s="176"/>
      <c r="J33" s="120"/>
      <c r="K33" s="121"/>
      <c r="L33" s="212"/>
      <c r="M33" s="118"/>
    </row>
    <row r="34" spans="1:13" ht="13.5" thickBot="1">
      <c r="A34" s="766" t="s">
        <v>57</v>
      </c>
      <c r="B34" s="767"/>
      <c r="C34" s="106">
        <f>C14+C23+C32</f>
        <v>41020</v>
      </c>
      <c r="D34" s="106">
        <f>D14+D23+D32</f>
        <v>0</v>
      </c>
      <c r="E34" s="106">
        <f>E14+E23+E32</f>
        <v>0</v>
      </c>
      <c r="F34" s="107">
        <f>F14+F23+F32</f>
        <v>71</v>
      </c>
      <c r="H34" s="177"/>
      <c r="I34" s="177"/>
      <c r="J34" s="122" t="s">
        <v>28</v>
      </c>
      <c r="K34" s="123">
        <f>SUM(K7:K32)</f>
        <v>41020</v>
      </c>
      <c r="L34" s="211">
        <f>SUM(L7:L32)</f>
        <v>0</v>
      </c>
      <c r="M34" s="119">
        <f>SUM(M7:M32)</f>
        <v>368515</v>
      </c>
    </row>
    <row r="35" spans="1:13" ht="13.5" thickBot="1">
      <c r="A35" s="178"/>
      <c r="B35" s="179"/>
      <c r="C35" s="103">
        <f>C34/($C$34+$D$34+$E$34)</f>
        <v>1</v>
      </c>
      <c r="D35" s="103">
        <f>D34/($C$34+$D$34+$E$34)</f>
        <v>0</v>
      </c>
      <c r="E35" s="108">
        <f>E34/($C$34+$D$34+$E$34)</f>
        <v>0</v>
      </c>
      <c r="K35" s="154"/>
    </row>
    <row r="36" spans="1:13" ht="13.5" thickBot="1">
      <c r="A36" s="177"/>
      <c r="B36" s="177"/>
      <c r="C36" s="154"/>
      <c r="D36" s="154"/>
      <c r="E36" s="154"/>
      <c r="G36" s="154"/>
      <c r="H36" s="180"/>
      <c r="I36" s="161" t="s">
        <v>37</v>
      </c>
      <c r="J36" s="161" t="s">
        <v>38</v>
      </c>
      <c r="K36" s="181"/>
    </row>
    <row r="37" spans="1:13" ht="17.45" customHeight="1" thickBot="1">
      <c r="A37" s="768" t="s">
        <v>58</v>
      </c>
      <c r="B37" s="769"/>
      <c r="C37" s="161" t="s">
        <v>59</v>
      </c>
      <c r="D37" s="182" t="s">
        <v>60</v>
      </c>
      <c r="E37" s="183" t="s">
        <v>61</v>
      </c>
      <c r="F37" s="321"/>
      <c r="G37" s="323"/>
      <c r="H37" s="185" t="s">
        <v>62</v>
      </c>
      <c r="I37" s="243">
        <f>(12*1440)/1440*G42*2.74*1440/1000000</f>
        <v>44.260162559999998</v>
      </c>
      <c r="J37" s="334">
        <f>+I37+'9'!J37</f>
        <v>433.32283512258266</v>
      </c>
      <c r="K37" s="125" t="s">
        <v>63</v>
      </c>
    </row>
    <row r="38" spans="1:13" ht="17.45" customHeight="1">
      <c r="A38" s="760" t="s">
        <v>12</v>
      </c>
      <c r="B38" s="761"/>
      <c r="C38" s="163">
        <f>SUMIF($G$7:$G$31,"Process",$F$7:$F$31)</f>
        <v>71</v>
      </c>
      <c r="D38" s="117">
        <f>+C38+'9'!D38</f>
        <v>784</v>
      </c>
      <c r="E38" s="142">
        <f t="shared" ref="E38:E51" si="5">D38/60</f>
        <v>13.066666666666666</v>
      </c>
      <c r="F38" s="321">
        <v>1230</v>
      </c>
      <c r="G38" s="321">
        <v>934.8</v>
      </c>
      <c r="H38" s="186" t="s">
        <v>64</v>
      </c>
      <c r="I38" s="244">
        <f>13.163+13.356+13.323</f>
        <v>39.841999999999999</v>
      </c>
      <c r="J38" s="335">
        <f>+I38+'9'!J38</f>
        <v>378.86699999999996</v>
      </c>
      <c r="K38" s="127" t="s">
        <v>63</v>
      </c>
    </row>
    <row r="39" spans="1:13" ht="17.45" customHeight="1">
      <c r="A39" s="764" t="s">
        <v>13</v>
      </c>
      <c r="B39" s="765"/>
      <c r="C39" s="163">
        <f>SUMIF($G$7:$G$31,"Cleaning",$F$7:$F$31)</f>
        <v>0</v>
      </c>
      <c r="D39" s="117">
        <f>+C39+'9'!D39</f>
        <v>0</v>
      </c>
      <c r="E39" s="142">
        <f t="shared" si="5"/>
        <v>0</v>
      </c>
      <c r="F39" s="321">
        <v>1230</v>
      </c>
      <c r="G39" s="321">
        <v>934.8</v>
      </c>
      <c r="H39" s="186" t="s">
        <v>65</v>
      </c>
      <c r="I39" s="141"/>
      <c r="J39" s="336">
        <f>J37/G4</f>
        <v>43.332283512258265</v>
      </c>
      <c r="K39" s="129" t="s">
        <v>63</v>
      </c>
    </row>
    <row r="40" spans="1:13" ht="17.45" customHeight="1">
      <c r="A40" s="764" t="s">
        <v>66</v>
      </c>
      <c r="B40" s="765"/>
      <c r="C40" s="163">
        <f>SUMIF($G$7:$G$31,"Mechanical",$F$7:$F$31)</f>
        <v>0</v>
      </c>
      <c r="D40" s="117">
        <f>+C40+'9'!D40</f>
        <v>0</v>
      </c>
      <c r="E40" s="142">
        <f t="shared" si="5"/>
        <v>0</v>
      </c>
      <c r="F40" s="321">
        <v>1230</v>
      </c>
      <c r="G40" s="321">
        <v>934.8</v>
      </c>
      <c r="H40" s="186" t="s">
        <v>67</v>
      </c>
      <c r="I40" s="117">
        <f>+(K34+L34)/1000</f>
        <v>41.02</v>
      </c>
      <c r="J40" s="337">
        <f>+I40+'9'!J40</f>
        <v>368.51499999999999</v>
      </c>
      <c r="K40" s="129" t="s">
        <v>63</v>
      </c>
    </row>
    <row r="41" spans="1:13" ht="17.45" customHeight="1">
      <c r="A41" s="764" t="s">
        <v>68</v>
      </c>
      <c r="B41" s="765"/>
      <c r="C41" s="163">
        <f>SUMIF($G$7:$G$23,"Electrical",$F$7:$F$23)</f>
        <v>0</v>
      </c>
      <c r="D41" s="117">
        <f>+C41+'9'!D41</f>
        <v>239</v>
      </c>
      <c r="E41" s="142">
        <f t="shared" si="5"/>
        <v>3.9833333333333334</v>
      </c>
      <c r="F41" s="321"/>
      <c r="G41" s="321"/>
      <c r="H41" s="186" t="s">
        <v>69</v>
      </c>
      <c r="I41" s="141"/>
      <c r="J41" s="336">
        <f>J40/G4</f>
        <v>36.851500000000001</v>
      </c>
      <c r="K41" s="129" t="s">
        <v>63</v>
      </c>
    </row>
    <row r="42" spans="1:13" ht="17.45" customHeight="1">
      <c r="A42" s="764" t="s">
        <v>16</v>
      </c>
      <c r="B42" s="765"/>
      <c r="C42" s="163">
        <f>SUMIF($G$7:$G$23,"Instrument",$F$7:$F$23)</f>
        <v>0</v>
      </c>
      <c r="D42" s="117">
        <f>+C42+'9'!D42</f>
        <v>0</v>
      </c>
      <c r="E42" s="142">
        <f t="shared" si="5"/>
        <v>0</v>
      </c>
      <c r="F42" s="321">
        <f>+(480*F38+480*F39+480*F40)/1440</f>
        <v>1230</v>
      </c>
      <c r="G42" s="321">
        <f>+(480*G38+480*G39+480*G40)/1440</f>
        <v>934.8</v>
      </c>
      <c r="H42" s="186" t="s">
        <v>70</v>
      </c>
      <c r="I42" s="245" t="s">
        <v>544</v>
      </c>
      <c r="J42" s="338"/>
      <c r="K42" s="129" t="s">
        <v>71</v>
      </c>
    </row>
    <row r="43" spans="1:13" ht="17.45" customHeight="1">
      <c r="A43" s="764" t="s">
        <v>72</v>
      </c>
      <c r="B43" s="765"/>
      <c r="C43" s="163">
        <f>SUMIF($G$7:$G$23,"Water",$F$7:$F$23)</f>
        <v>0</v>
      </c>
      <c r="D43" s="117">
        <f>+C43+'9'!D43</f>
        <v>0</v>
      </c>
      <c r="E43" s="142">
        <f t="shared" si="5"/>
        <v>0</v>
      </c>
      <c r="F43" s="321"/>
      <c r="G43" s="322"/>
      <c r="H43" s="187" t="s">
        <v>73</v>
      </c>
      <c r="I43" s="117">
        <f>+Report1!Z18</f>
        <v>55.8</v>
      </c>
      <c r="J43" s="339">
        <f>+I43+'9'!J43</f>
        <v>502.90000000000003</v>
      </c>
      <c r="K43" s="129" t="s">
        <v>63</v>
      </c>
      <c r="L43" s="188"/>
    </row>
    <row r="44" spans="1:13" ht="17.45" customHeight="1">
      <c r="A44" s="764" t="s">
        <v>17</v>
      </c>
      <c r="B44" s="765"/>
      <c r="C44" s="163">
        <f>SUMIF($G$7:$G$23,"PLN",$F$7:$F$23)</f>
        <v>0</v>
      </c>
      <c r="D44" s="117">
        <f>+C44+'9'!D44</f>
        <v>0</v>
      </c>
      <c r="E44" s="142">
        <f t="shared" si="5"/>
        <v>0</v>
      </c>
      <c r="F44" s="321"/>
      <c r="G44" s="322"/>
      <c r="H44" s="187" t="s">
        <v>74</v>
      </c>
      <c r="I44" s="117">
        <f>I43/I38</f>
        <v>1.4005321018021184</v>
      </c>
      <c r="J44" s="339">
        <f>J43/J38</f>
        <v>1.3273787371293886</v>
      </c>
      <c r="K44" s="129" t="s">
        <v>63</v>
      </c>
    </row>
    <row r="45" spans="1:13" ht="17.45" customHeight="1">
      <c r="A45" s="764" t="s">
        <v>18</v>
      </c>
      <c r="B45" s="765"/>
      <c r="C45" s="163">
        <f>SUMIF($G$7:$G$23,"Boiler",$F$7:$F$23)</f>
        <v>0</v>
      </c>
      <c r="D45" s="117">
        <f>+C45+'9'!D45</f>
        <v>0</v>
      </c>
      <c r="E45" s="142">
        <f t="shared" si="5"/>
        <v>0</v>
      </c>
      <c r="F45" s="321"/>
      <c r="G45" s="324"/>
      <c r="H45" s="187" t="s">
        <v>75</v>
      </c>
      <c r="I45" s="117">
        <f>I43/I40</f>
        <v>1.3603120429058995</v>
      </c>
      <c r="J45" s="339">
        <f>J43/J40</f>
        <v>1.3646662958088547</v>
      </c>
      <c r="K45" s="129" t="s">
        <v>63</v>
      </c>
    </row>
    <row r="46" spans="1:13" ht="17.45" customHeight="1">
      <c r="A46" s="764" t="s">
        <v>76</v>
      </c>
      <c r="B46" s="765"/>
      <c r="C46" s="163">
        <f>SUMIF($G$7:$G$23,"Gas",$F$7:$F$23)</f>
        <v>0</v>
      </c>
      <c r="D46" s="117">
        <f>+C46+'9'!D46</f>
        <v>0</v>
      </c>
      <c r="E46" s="142">
        <f t="shared" si="5"/>
        <v>0</v>
      </c>
      <c r="F46" s="321"/>
      <c r="G46" s="322"/>
      <c r="H46" s="187" t="s">
        <v>77</v>
      </c>
      <c r="I46" s="139">
        <f>+SUMIF(Listrik!P17,"&gt;0")</f>
        <v>37094.320000001091</v>
      </c>
      <c r="J46" s="339">
        <f>+I46+'9'!J46</f>
        <v>337574.28000000108</v>
      </c>
      <c r="K46" s="129" t="s">
        <v>78</v>
      </c>
    </row>
    <row r="47" spans="1:13" ht="17.45" customHeight="1">
      <c r="A47" s="764" t="s">
        <v>79</v>
      </c>
      <c r="B47" s="765"/>
      <c r="C47" s="163">
        <f>SUMIF($G$7:$G$23,"Gas",$F$7:$F$23)</f>
        <v>0</v>
      </c>
      <c r="D47" s="117">
        <f>+C47+'9'!D47</f>
        <v>0</v>
      </c>
      <c r="E47" s="142">
        <f t="shared" si="5"/>
        <v>0</v>
      </c>
      <c r="F47" s="321"/>
      <c r="G47" s="322"/>
      <c r="H47" s="187" t="s">
        <v>80</v>
      </c>
      <c r="I47" s="117">
        <f>I46/I38</f>
        <v>931.03559058282951</v>
      </c>
      <c r="J47" s="339">
        <f>J46/J38</f>
        <v>891.00998503432891</v>
      </c>
      <c r="K47" s="129" t="s">
        <v>24</v>
      </c>
    </row>
    <row r="48" spans="1:13" ht="17.45" customHeight="1">
      <c r="A48" s="764" t="s">
        <v>14</v>
      </c>
      <c r="B48" s="765"/>
      <c r="C48" s="163">
        <f>SUMIF($G$7:$G$23,"Start Up",$F$7:$F$23)</f>
        <v>0</v>
      </c>
      <c r="D48" s="117">
        <f>+C48+'9'!D48</f>
        <v>0</v>
      </c>
      <c r="E48" s="142">
        <f t="shared" si="5"/>
        <v>0</v>
      </c>
      <c r="F48" s="321"/>
      <c r="G48" s="322"/>
      <c r="H48" s="187" t="s">
        <v>81</v>
      </c>
      <c r="I48" s="117">
        <f>I46/I40</f>
        <v>904.29839102879293</v>
      </c>
      <c r="J48" s="339">
        <f>J46/J40</f>
        <v>916.03945565309709</v>
      </c>
      <c r="K48" s="129" t="s">
        <v>24</v>
      </c>
    </row>
    <row r="49" spans="1:11" ht="17.45" customHeight="1">
      <c r="A49" s="764" t="s">
        <v>20</v>
      </c>
      <c r="B49" s="765"/>
      <c r="C49" s="163">
        <f>SUMIF($G$7:$G$23,"Others",$F$7:$F$23)</f>
        <v>0</v>
      </c>
      <c r="D49" s="117">
        <f>+C49+'9'!D49</f>
        <v>948</v>
      </c>
      <c r="E49" s="142">
        <f t="shared" si="5"/>
        <v>15.8</v>
      </c>
      <c r="F49" s="184"/>
      <c r="H49" s="187" t="s">
        <v>267</v>
      </c>
      <c r="I49" s="117">
        <f>+Report1!T18</f>
        <v>4821.601937645687</v>
      </c>
      <c r="J49" s="339">
        <f>+I49+'9'!J49</f>
        <v>45150.743997410456</v>
      </c>
      <c r="K49" s="129" t="s">
        <v>82</v>
      </c>
    </row>
    <row r="50" spans="1:11" ht="17.45" customHeight="1">
      <c r="A50" s="764" t="s">
        <v>19</v>
      </c>
      <c r="B50" s="765"/>
      <c r="C50" s="163">
        <f>SUMIF($G$7:$G$23,"Steam",$F$7:$F$23)</f>
        <v>0</v>
      </c>
      <c r="D50" s="117">
        <f>+C50+'9'!D50</f>
        <v>0</v>
      </c>
      <c r="E50" s="142">
        <f t="shared" si="5"/>
        <v>0</v>
      </c>
      <c r="F50" s="184"/>
      <c r="H50" s="187" t="s">
        <v>83</v>
      </c>
      <c r="I50" s="139">
        <f>I49/I38</f>
        <v>121.01806981691901</v>
      </c>
      <c r="J50" s="339">
        <f>J49/J38</f>
        <v>119.17307128203423</v>
      </c>
      <c r="K50" s="129" t="s">
        <v>82</v>
      </c>
    </row>
    <row r="51" spans="1:11" ht="17.45" customHeight="1" thickBot="1">
      <c r="A51" s="758" t="s">
        <v>84</v>
      </c>
      <c r="B51" s="759"/>
      <c r="C51" s="163">
        <f>SUMIF($G$7:$G$23,"Planned shut",$F$7:$F$23)</f>
        <v>0</v>
      </c>
      <c r="D51" s="117">
        <f>+C51+'9'!D51</f>
        <v>0</v>
      </c>
      <c r="E51" s="142">
        <f t="shared" si="5"/>
        <v>0</v>
      </c>
      <c r="F51" s="184"/>
      <c r="H51" s="189" t="s">
        <v>85</v>
      </c>
      <c r="I51" s="140">
        <f>I49/I40</f>
        <v>117.5427093526496</v>
      </c>
      <c r="J51" s="340">
        <f>J49/J40</f>
        <v>122.52077662350368</v>
      </c>
      <c r="K51" s="136" t="s">
        <v>82</v>
      </c>
    </row>
    <row r="52" spans="1:11" ht="13.5" thickBot="1">
      <c r="A52" s="760" t="s">
        <v>28</v>
      </c>
      <c r="B52" s="761"/>
      <c r="C52" s="143">
        <f>SUM(C38:C51)</f>
        <v>71</v>
      </c>
      <c r="D52" s="143">
        <f>SUM(D38:D51)</f>
        <v>1971</v>
      </c>
      <c r="E52" s="144">
        <f>SUM(E38:E51)</f>
        <v>32.85</v>
      </c>
      <c r="F52" s="184"/>
      <c r="H52" s="190"/>
      <c r="I52" s="191"/>
      <c r="J52" s="341"/>
      <c r="K52" s="138"/>
    </row>
    <row r="53" spans="1:11" ht="13.5" thickBot="1">
      <c r="A53" s="762"/>
      <c r="B53" s="763"/>
      <c r="C53" s="145">
        <f>C52/(24*60)</f>
        <v>4.9305555555555554E-2</v>
      </c>
      <c r="D53" s="145">
        <f>D52/(24*60*G4)</f>
        <v>0.136875</v>
      </c>
      <c r="E53" s="146">
        <f>E52/(G4*24)</f>
        <v>0.136875</v>
      </c>
      <c r="F53" s="184"/>
    </row>
    <row r="54" spans="1:11">
      <c r="E54" s="192"/>
      <c r="F54" s="184"/>
    </row>
    <row r="55" spans="1:11">
      <c r="E55" s="192"/>
    </row>
    <row r="56" spans="1:11">
      <c r="A56" s="193" t="s">
        <v>86</v>
      </c>
      <c r="B56" s="194"/>
      <c r="C56" s="195"/>
      <c r="D56" s="195"/>
      <c r="E56" s="195"/>
      <c r="F56" s="196"/>
      <c r="G56" s="195"/>
      <c r="H56" s="197"/>
      <c r="I56" s="198" t="s">
        <v>87</v>
      </c>
      <c r="J56" s="199">
        <f>+D34+'9'!J56</f>
        <v>830</v>
      </c>
      <c r="K56" s="200">
        <f>J56/(J40+J56/1000)/1000</f>
        <v>2.247221432535976E-3</v>
      </c>
    </row>
    <row r="57" spans="1:11">
      <c r="A57" s="175"/>
      <c r="I57" s="198" t="s">
        <v>88</v>
      </c>
      <c r="J57" s="199"/>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46:B46"/>
    <mergeCell ref="A42:B42"/>
    <mergeCell ref="A43:B43"/>
    <mergeCell ref="A44:B44"/>
    <mergeCell ref="A45:B45"/>
    <mergeCell ref="A53:B53"/>
    <mergeCell ref="A49:B49"/>
    <mergeCell ref="A47:B47"/>
    <mergeCell ref="A48:B48"/>
    <mergeCell ref="A50:B50"/>
    <mergeCell ref="A52:B52"/>
    <mergeCell ref="A51:B51"/>
    <mergeCell ref="A41:B41"/>
    <mergeCell ref="A40:B40"/>
    <mergeCell ref="A7:A14"/>
    <mergeCell ref="I7:I13"/>
    <mergeCell ref="A15:A23"/>
    <mergeCell ref="I15:I22"/>
    <mergeCell ref="A24:A32"/>
    <mergeCell ref="I24:I31"/>
    <mergeCell ref="A37:B37"/>
    <mergeCell ref="A34:B34"/>
    <mergeCell ref="A38:B38"/>
    <mergeCell ref="A39:B39"/>
  </mergeCells>
  <phoneticPr fontId="32"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75" zoomScaleSheetLayoutView="80" workbookViewId="0">
      <selection activeCell="A7" sqref="A7:A32"/>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5703125" style="148" bestFit="1" customWidth="1"/>
    <col min="12" max="12" width="10.5703125" style="148" bestFit="1" customWidth="1"/>
    <col min="13" max="13" width="12.140625" style="148"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9</v>
      </c>
      <c r="H4" s="153" t="str">
        <f>+'1'!H4</f>
        <v>.03.26</v>
      </c>
      <c r="J4" s="148">
        <f>443+451+523</f>
        <v>1417</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536</v>
      </c>
      <c r="O6" s="148">
        <v>1230</v>
      </c>
      <c r="P6" s="148">
        <f>+O6-(O6*0.24)</f>
        <v>934.8</v>
      </c>
      <c r="Q6" s="148">
        <v>480</v>
      </c>
      <c r="R6" s="148">
        <f t="shared" ref="R6" si="0">+O6*Q6</f>
        <v>590400</v>
      </c>
      <c r="S6" s="148">
        <f t="shared" ref="S6" si="1">+P6*Q6</f>
        <v>448704</v>
      </c>
    </row>
    <row r="7" spans="1:19" ht="13.5" customHeight="1" thickBot="1">
      <c r="A7" s="770" t="s">
        <v>390</v>
      </c>
      <c r="B7" s="214" t="s">
        <v>561</v>
      </c>
      <c r="C7" s="215">
        <v>12580</v>
      </c>
      <c r="D7" s="216"/>
      <c r="E7" s="217"/>
      <c r="F7" s="227">
        <v>6</v>
      </c>
      <c r="G7" s="228" t="s">
        <v>12</v>
      </c>
      <c r="H7" s="229" t="s">
        <v>412</v>
      </c>
      <c r="I7" s="773" t="s">
        <v>544</v>
      </c>
      <c r="J7" s="213" t="str">
        <f>+'8'!J7</f>
        <v>F 12 VP OW</v>
      </c>
      <c r="K7" s="237">
        <f>+C26</f>
        <v>12800</v>
      </c>
      <c r="L7" s="241"/>
      <c r="M7" s="116">
        <f>+K7+'8'!M7+L7</f>
        <v>57875</v>
      </c>
    </row>
    <row r="8" spans="1:19" ht="13.5" thickBot="1">
      <c r="A8" s="771"/>
      <c r="B8" s="214"/>
      <c r="C8" s="215"/>
      <c r="D8" s="216"/>
      <c r="E8" s="218"/>
      <c r="F8" s="230"/>
      <c r="G8" s="231" t="s">
        <v>12</v>
      </c>
      <c r="H8" s="229" t="s">
        <v>283</v>
      </c>
      <c r="I8" s="774"/>
      <c r="J8" s="213" t="str">
        <f>+'8'!J8</f>
        <v>F 14 VP OW</v>
      </c>
      <c r="K8" s="238"/>
      <c r="L8" s="238"/>
      <c r="M8" s="116">
        <f>+K8+'8'!M8+L8</f>
        <v>69856</v>
      </c>
    </row>
    <row r="9" spans="1:19" ht="13.5" thickBot="1">
      <c r="A9" s="771"/>
      <c r="B9" s="214"/>
      <c r="C9" s="215"/>
      <c r="D9" s="216"/>
      <c r="E9" s="219"/>
      <c r="F9" s="227">
        <f>24-6</f>
        <v>18</v>
      </c>
      <c r="G9" s="231" t="s">
        <v>12</v>
      </c>
      <c r="H9" s="232" t="s">
        <v>385</v>
      </c>
      <c r="I9" s="774"/>
      <c r="J9" s="213" t="str">
        <f>+'8'!J9</f>
        <v>F 16 VP OW</v>
      </c>
      <c r="K9" s="238"/>
      <c r="L9" s="238"/>
      <c r="M9" s="116">
        <f>+K9+'8'!M9+L9</f>
        <v>104726</v>
      </c>
    </row>
    <row r="10" spans="1:19" ht="26.25" thickBot="1">
      <c r="A10" s="771"/>
      <c r="B10" s="214"/>
      <c r="C10" s="215"/>
      <c r="D10" s="216"/>
      <c r="E10" s="218"/>
      <c r="F10" s="227"/>
      <c r="G10" s="236" t="s">
        <v>13</v>
      </c>
      <c r="H10" s="232" t="s">
        <v>570</v>
      </c>
      <c r="I10" s="774"/>
      <c r="J10" s="213" t="str">
        <f>+'8'!J10</f>
        <v>F 13,5 VP OW</v>
      </c>
      <c r="K10" s="238"/>
      <c r="L10" s="238"/>
      <c r="M10" s="116">
        <f>+K10+'8'!M10+L10</f>
        <v>10827</v>
      </c>
    </row>
    <row r="11" spans="1:19" ht="13.5" thickBot="1">
      <c r="A11" s="771"/>
      <c r="B11" s="214"/>
      <c r="C11" s="215"/>
      <c r="D11" s="216"/>
      <c r="E11" s="218"/>
      <c r="F11" s="227"/>
      <c r="G11" s="231"/>
      <c r="H11" s="232"/>
      <c r="I11" s="774"/>
      <c r="J11" s="213" t="str">
        <f>+'8'!J11</f>
        <v>F 13 VP OW</v>
      </c>
      <c r="K11" s="238"/>
      <c r="L11" s="238"/>
      <c r="M11" s="116">
        <f>+K11+'8'!M11+L11</f>
        <v>19832</v>
      </c>
    </row>
    <row r="12" spans="1:19" ht="13.5" thickBot="1">
      <c r="A12" s="771"/>
      <c r="B12" s="214"/>
      <c r="C12" s="215"/>
      <c r="D12" s="216"/>
      <c r="E12" s="218"/>
      <c r="F12" s="227"/>
      <c r="G12" s="231"/>
      <c r="H12" s="232"/>
      <c r="I12" s="774"/>
      <c r="J12" s="213" t="str">
        <f>+'8'!J12</f>
        <v>T 14 VP OW</v>
      </c>
      <c r="K12" s="238"/>
      <c r="L12" s="238"/>
      <c r="M12" s="116">
        <f>+K12+'8'!M12+L12</f>
        <v>10448</v>
      </c>
    </row>
    <row r="13" spans="1:19" ht="13.5" thickBot="1">
      <c r="A13" s="771"/>
      <c r="B13" s="214"/>
      <c r="C13" s="215"/>
      <c r="D13" s="215"/>
      <c r="E13" s="218"/>
      <c r="F13" s="227"/>
      <c r="G13" s="231"/>
      <c r="H13" s="232"/>
      <c r="I13" s="775"/>
      <c r="J13" s="213" t="str">
        <f>+'8'!J13</f>
        <v>F 11,5 VP OW</v>
      </c>
      <c r="K13" s="238">
        <f>+C7+C16+C25</f>
        <v>28863</v>
      </c>
      <c r="L13" s="238"/>
      <c r="M13" s="116">
        <f>+K13+'8'!M13+L13</f>
        <v>53931</v>
      </c>
      <c r="Q13" s="175">
        <f>SUM(Q6:Q12)</f>
        <v>480</v>
      </c>
      <c r="R13" s="175">
        <f>SUM(R6:R12)</f>
        <v>590400</v>
      </c>
      <c r="S13" s="175">
        <f>SUM(S6:S12)</f>
        <v>448704</v>
      </c>
    </row>
    <row r="14" spans="1:19" ht="13.5" thickBot="1">
      <c r="A14" s="772"/>
      <c r="B14" s="164" t="s">
        <v>2</v>
      </c>
      <c r="C14" s="98">
        <f>SUM(C7:C13)</f>
        <v>12580</v>
      </c>
      <c r="D14" s="110">
        <f>SUM(D7:D13)</f>
        <v>0</v>
      </c>
      <c r="E14" s="111">
        <f>SUM(E5:E13)</f>
        <v>0</v>
      </c>
      <c r="F14" s="115">
        <f>SUM(F7:F13)</f>
        <v>24</v>
      </c>
      <c r="G14" s="158"/>
      <c r="H14" s="165"/>
      <c r="I14" s="166"/>
      <c r="J14" s="213">
        <f>+'8'!J14</f>
        <v>0</v>
      </c>
      <c r="K14" s="238"/>
      <c r="L14" s="238"/>
      <c r="M14" s="116">
        <f>+K14+'8'!M14+L14</f>
        <v>0</v>
      </c>
      <c r="Q14" s="148">
        <f>480-Q13</f>
        <v>0</v>
      </c>
      <c r="R14" s="175">
        <f>+R13/Q13</f>
        <v>1230</v>
      </c>
      <c r="S14" s="175">
        <f>+S13/Q13</f>
        <v>934.8</v>
      </c>
    </row>
    <row r="15" spans="1:19" ht="13.5" customHeight="1" thickBot="1">
      <c r="A15" s="770" t="s">
        <v>391</v>
      </c>
      <c r="B15" s="164"/>
      <c r="C15" s="112">
        <f>C14/($C$23+$D$23+$E$23)</f>
        <v>0.9366391184573003</v>
      </c>
      <c r="D15" s="113">
        <f>D14/($C$23+$D$23+$E$23)</f>
        <v>0</v>
      </c>
      <c r="E15" s="114">
        <f>E14/($C$23+$D$23+$E$23)</f>
        <v>0</v>
      </c>
      <c r="F15" s="227">
        <v>7</v>
      </c>
      <c r="G15" s="228" t="s">
        <v>12</v>
      </c>
      <c r="H15" s="229" t="s">
        <v>413</v>
      </c>
      <c r="I15" s="773" t="s">
        <v>544</v>
      </c>
      <c r="J15" s="213">
        <f>+'8'!J15</f>
        <v>0</v>
      </c>
      <c r="K15" s="238"/>
      <c r="L15" s="238"/>
      <c r="M15" s="116">
        <f>+K15+'8'!M15+L15</f>
        <v>0</v>
      </c>
      <c r="N15" s="148" t="s">
        <v>536</v>
      </c>
      <c r="O15" s="148">
        <v>1230</v>
      </c>
      <c r="P15" s="148">
        <f>+O15-(O15*0.24)</f>
        <v>934.8</v>
      </c>
      <c r="Q15" s="148">
        <f>60*7+18</f>
        <v>438</v>
      </c>
      <c r="R15" s="148">
        <f t="shared" ref="R15:R16" si="2">+O15*Q15</f>
        <v>538740</v>
      </c>
      <c r="S15" s="148">
        <f t="shared" ref="S15:S16" si="3">+P15*Q15</f>
        <v>409442.39999999997</v>
      </c>
    </row>
    <row r="16" spans="1:19" ht="13.5" thickBot="1">
      <c r="A16" s="776"/>
      <c r="B16" s="214" t="s">
        <v>561</v>
      </c>
      <c r="C16" s="221">
        <v>13431</v>
      </c>
      <c r="D16" s="222"/>
      <c r="E16" s="223"/>
      <c r="F16" s="230"/>
      <c r="G16" s="231" t="s">
        <v>12</v>
      </c>
      <c r="H16" s="229" t="s">
        <v>283</v>
      </c>
      <c r="I16" s="774"/>
      <c r="J16" s="213">
        <f>+'8'!J16</f>
        <v>0</v>
      </c>
      <c r="K16" s="238"/>
      <c r="L16" s="228"/>
      <c r="M16" s="116">
        <f>+K16+'8'!M16+L16</f>
        <v>0</v>
      </c>
      <c r="N16" s="148" t="s">
        <v>388</v>
      </c>
      <c r="O16" s="148">
        <v>1230</v>
      </c>
      <c r="P16" s="148">
        <f>+O16-(O16*0.24)</f>
        <v>934.8</v>
      </c>
      <c r="Q16" s="148">
        <f>480-Q15</f>
        <v>42</v>
      </c>
      <c r="R16" s="148">
        <f t="shared" si="2"/>
        <v>51660</v>
      </c>
      <c r="S16" s="148">
        <f t="shared" si="3"/>
        <v>39261.599999999999</v>
      </c>
    </row>
    <row r="17" spans="1:19" ht="13.5" thickBot="1">
      <c r="A17" s="776"/>
      <c r="B17" s="214"/>
      <c r="C17" s="215"/>
      <c r="D17" s="216"/>
      <c r="E17" s="224"/>
      <c r="F17" s="227">
        <v>10</v>
      </c>
      <c r="G17" s="231" t="s">
        <v>12</v>
      </c>
      <c r="H17" s="232" t="s">
        <v>411</v>
      </c>
      <c r="I17" s="774"/>
      <c r="J17" s="213">
        <f>+'8'!J17</f>
        <v>0</v>
      </c>
      <c r="K17" s="228"/>
      <c r="L17" s="228"/>
      <c r="M17" s="116">
        <f>+K17+'8'!M17+L17</f>
        <v>0</v>
      </c>
    </row>
    <row r="18" spans="1:19" ht="26.25" thickBot="1">
      <c r="A18" s="776"/>
      <c r="B18" s="214"/>
      <c r="C18" s="215"/>
      <c r="D18" s="216"/>
      <c r="E18" s="224"/>
      <c r="F18" s="227"/>
      <c r="G18" s="236" t="s">
        <v>13</v>
      </c>
      <c r="H18" s="232" t="s">
        <v>568</v>
      </c>
      <c r="I18" s="774"/>
      <c r="J18" s="213">
        <f>+'8'!J18</f>
        <v>0</v>
      </c>
      <c r="K18" s="238"/>
      <c r="L18" s="238"/>
      <c r="M18" s="116">
        <f>+K18+'8'!M18+L18</f>
        <v>0</v>
      </c>
    </row>
    <row r="19" spans="1:19" ht="13.5" thickBot="1">
      <c r="A19" s="776"/>
      <c r="B19" s="214"/>
      <c r="C19" s="215"/>
      <c r="D19" s="216"/>
      <c r="E19" s="224"/>
      <c r="F19" s="234"/>
      <c r="G19" s="231"/>
      <c r="H19" s="232" t="s">
        <v>569</v>
      </c>
      <c r="I19" s="774"/>
      <c r="J19" s="213">
        <f>+'8'!J19</f>
        <v>0</v>
      </c>
      <c r="K19" s="238"/>
      <c r="L19" s="238"/>
      <c r="M19" s="116">
        <f>+K19+'8'!M19+L19</f>
        <v>0</v>
      </c>
    </row>
    <row r="20" spans="1:19" ht="13.5" thickBot="1">
      <c r="A20" s="776"/>
      <c r="B20" s="214"/>
      <c r="C20" s="215"/>
      <c r="D20" s="216"/>
      <c r="E20" s="224"/>
      <c r="F20" s="227"/>
      <c r="G20" s="231"/>
      <c r="H20" s="232"/>
      <c r="I20" s="774"/>
      <c r="J20" s="213">
        <f>+'8'!J20</f>
        <v>0</v>
      </c>
      <c r="K20" s="239"/>
      <c r="L20" s="239"/>
      <c r="M20" s="116">
        <f>+K20+'8'!M20+L20</f>
        <v>0</v>
      </c>
    </row>
    <row r="21" spans="1:19" ht="13.5" thickBot="1">
      <c r="A21" s="776"/>
      <c r="B21" s="214"/>
      <c r="C21" s="215"/>
      <c r="D21" s="216"/>
      <c r="E21" s="224"/>
      <c r="F21" s="230"/>
      <c r="G21" s="231"/>
      <c r="H21" s="232"/>
      <c r="I21" s="774"/>
      <c r="J21" s="213">
        <f>+'8'!J21</f>
        <v>0</v>
      </c>
      <c r="K21" s="238"/>
      <c r="L21" s="238"/>
      <c r="M21" s="116">
        <f>+K21+'8'!M21+L21</f>
        <v>0</v>
      </c>
    </row>
    <row r="22" spans="1:19" ht="13.5" thickBot="1">
      <c r="A22" s="776"/>
      <c r="B22" s="214"/>
      <c r="C22" s="215"/>
      <c r="D22" s="216"/>
      <c r="E22" s="224"/>
      <c r="F22" s="235"/>
      <c r="G22" s="231"/>
      <c r="H22" s="232"/>
      <c r="I22" s="775"/>
      <c r="J22" s="213">
        <f>+'8'!J22</f>
        <v>0</v>
      </c>
      <c r="K22" s="238"/>
      <c r="L22" s="238"/>
      <c r="M22" s="116">
        <f>+K22+'8'!M22+L22</f>
        <v>0</v>
      </c>
      <c r="Q22" s="175">
        <f>SUM(Q15:Q21)</f>
        <v>480</v>
      </c>
      <c r="R22" s="175">
        <f>SUM(R15:R21)</f>
        <v>590400</v>
      </c>
      <c r="S22" s="175">
        <f>SUM(S15:S21)</f>
        <v>448703.99999999994</v>
      </c>
    </row>
    <row r="23" spans="1:19" ht="13.5" thickBot="1">
      <c r="A23" s="777"/>
      <c r="B23" s="167" t="s">
        <v>2</v>
      </c>
      <c r="C23" s="99">
        <f>SUM(C16:C22)</f>
        <v>13431</v>
      </c>
      <c r="D23" s="110">
        <f>SUM(D16:D22)</f>
        <v>0</v>
      </c>
      <c r="E23" s="111">
        <f>SUM(E18:E22)</f>
        <v>0</v>
      </c>
      <c r="F23" s="115">
        <f>SUM(F15:F22)</f>
        <v>17</v>
      </c>
      <c r="G23" s="158"/>
      <c r="H23" s="165"/>
      <c r="I23" s="168"/>
      <c r="J23" s="213">
        <f>+'8'!J23</f>
        <v>0</v>
      </c>
      <c r="K23" s="238"/>
      <c r="L23" s="238"/>
      <c r="M23" s="116">
        <f>+K23+'8'!M23+L23</f>
        <v>0</v>
      </c>
      <c r="Q23" s="148">
        <f>480-Q22</f>
        <v>0</v>
      </c>
      <c r="R23" s="175">
        <f>+R22/Q22</f>
        <v>1230</v>
      </c>
      <c r="S23" s="175">
        <f>+S22/Q22</f>
        <v>934.79999999999984</v>
      </c>
    </row>
    <row r="24" spans="1:19" ht="13.5" customHeight="1" thickBot="1">
      <c r="A24" s="770" t="s">
        <v>417</v>
      </c>
      <c r="B24" s="169"/>
      <c r="C24" s="112">
        <f>C23/($C$23+$D$23+$E$23)</f>
        <v>1</v>
      </c>
      <c r="D24" s="113">
        <f>D23/($C$23+$D$23+$E$23)</f>
        <v>0</v>
      </c>
      <c r="E24" s="114">
        <f>E23/($C$23+$D$23+$E$23)</f>
        <v>0</v>
      </c>
      <c r="F24" s="227">
        <v>9</v>
      </c>
      <c r="G24" s="228" t="s">
        <v>12</v>
      </c>
      <c r="H24" s="229" t="s">
        <v>412</v>
      </c>
      <c r="I24" s="773" t="s">
        <v>544</v>
      </c>
      <c r="J24" s="213">
        <f>+'8'!J24</f>
        <v>0</v>
      </c>
      <c r="K24" s="238"/>
      <c r="L24" s="238"/>
      <c r="M24" s="116">
        <f>+K24+'8'!M24+L24</f>
        <v>0</v>
      </c>
    </row>
    <row r="25" spans="1:19" ht="13.5" thickBot="1">
      <c r="A25" s="776"/>
      <c r="B25" s="214" t="s">
        <v>561</v>
      </c>
      <c r="C25" s="225">
        <v>2852</v>
      </c>
      <c r="D25" s="216"/>
      <c r="E25" s="224"/>
      <c r="F25" s="227"/>
      <c r="G25" s="231" t="s">
        <v>12</v>
      </c>
      <c r="H25" s="229" t="s">
        <v>283</v>
      </c>
      <c r="I25" s="774"/>
      <c r="J25" s="213">
        <f>+'8'!J25</f>
        <v>0</v>
      </c>
      <c r="K25" s="238"/>
      <c r="L25" s="238"/>
      <c r="M25" s="116">
        <f>+K25+'8'!M25+L25</f>
        <v>0</v>
      </c>
      <c r="N25" s="148" t="s">
        <v>388</v>
      </c>
      <c r="O25" s="148">
        <v>1230</v>
      </c>
      <c r="P25" s="148">
        <f>+O25-(O25*0.24)</f>
        <v>934.8</v>
      </c>
      <c r="Q25" s="148">
        <v>480</v>
      </c>
      <c r="R25" s="148">
        <f t="shared" ref="R25" si="4">+O25*Q25</f>
        <v>590400</v>
      </c>
      <c r="S25" s="148">
        <f t="shared" ref="S25" si="5">+P25*Q25</f>
        <v>448704</v>
      </c>
    </row>
    <row r="26" spans="1:19" ht="13.5" thickBot="1">
      <c r="A26" s="776"/>
      <c r="B26" s="214" t="s">
        <v>389</v>
      </c>
      <c r="C26" s="225">
        <v>12800</v>
      </c>
      <c r="D26" s="216"/>
      <c r="E26" s="226"/>
      <c r="F26" s="227">
        <v>20</v>
      </c>
      <c r="G26" s="231" t="s">
        <v>12</v>
      </c>
      <c r="H26" s="232" t="s">
        <v>433</v>
      </c>
      <c r="I26" s="774"/>
      <c r="J26" s="213">
        <f>+'8'!J26</f>
        <v>0</v>
      </c>
      <c r="K26" s="238"/>
      <c r="L26" s="238"/>
      <c r="M26" s="116">
        <f>+K26+'8'!M26+L26</f>
        <v>0</v>
      </c>
    </row>
    <row r="27" spans="1:19" ht="26.25" thickBot="1">
      <c r="A27" s="776"/>
      <c r="B27" s="214"/>
      <c r="C27" s="215"/>
      <c r="D27" s="216"/>
      <c r="E27" s="224"/>
      <c r="F27" s="227"/>
      <c r="G27" s="236" t="s">
        <v>13</v>
      </c>
      <c r="H27" s="232" t="s">
        <v>567</v>
      </c>
      <c r="I27" s="774"/>
      <c r="J27" s="213">
        <f>+'8'!J27</f>
        <v>0</v>
      </c>
      <c r="K27" s="238"/>
      <c r="L27" s="238"/>
      <c r="M27" s="116">
        <f>+K27+'8'!M27+L27</f>
        <v>0</v>
      </c>
    </row>
    <row r="28" spans="1:19" ht="13.5" thickBot="1">
      <c r="A28" s="776"/>
      <c r="B28" s="214"/>
      <c r="C28" s="215"/>
      <c r="D28" s="216"/>
      <c r="E28" s="224"/>
      <c r="F28" s="230"/>
      <c r="G28" s="231"/>
      <c r="H28" s="232"/>
      <c r="I28" s="774"/>
      <c r="J28" s="213">
        <f>+'8'!J28</f>
        <v>0</v>
      </c>
      <c r="K28" s="238"/>
      <c r="L28" s="238"/>
      <c r="M28" s="116">
        <f>+K28+'8'!M28+L28</f>
        <v>0</v>
      </c>
    </row>
    <row r="29" spans="1:19" ht="13.5" thickBot="1">
      <c r="A29" s="776"/>
      <c r="B29" s="214"/>
      <c r="C29" s="215"/>
      <c r="D29" s="216"/>
      <c r="E29" s="224"/>
      <c r="F29" s="235"/>
      <c r="G29" s="231"/>
      <c r="H29" s="232"/>
      <c r="I29" s="774"/>
      <c r="J29" s="213">
        <f>+'8'!J29</f>
        <v>0</v>
      </c>
      <c r="K29" s="238"/>
      <c r="L29" s="238"/>
      <c r="M29" s="116">
        <f>+K29+'8'!M29+L29</f>
        <v>0</v>
      </c>
    </row>
    <row r="30" spans="1:19" ht="13.5" thickBot="1">
      <c r="A30" s="776"/>
      <c r="B30" s="214"/>
      <c r="C30" s="225"/>
      <c r="D30" s="216"/>
      <c r="E30" s="224"/>
      <c r="F30" s="235"/>
      <c r="G30" s="231"/>
      <c r="H30" s="232"/>
      <c r="I30" s="774"/>
      <c r="J30" s="213">
        <f>+'8'!J30</f>
        <v>0</v>
      </c>
      <c r="K30" s="238"/>
      <c r="L30" s="238"/>
      <c r="M30" s="116">
        <f>+K30+'8'!M30+L30</f>
        <v>0</v>
      </c>
    </row>
    <row r="31" spans="1:19" ht="13.5" thickBot="1">
      <c r="A31" s="776"/>
      <c r="B31" s="214"/>
      <c r="C31" s="225"/>
      <c r="D31" s="216"/>
      <c r="E31" s="224"/>
      <c r="F31" s="235"/>
      <c r="G31" s="236"/>
      <c r="H31" s="443"/>
      <c r="I31" s="775"/>
      <c r="J31" s="213">
        <f>+'8'!J31</f>
        <v>0</v>
      </c>
      <c r="K31" s="238"/>
      <c r="L31" s="238"/>
      <c r="M31" s="116">
        <f>+K31+'8'!M31+L31</f>
        <v>0</v>
      </c>
    </row>
    <row r="32" spans="1:19" ht="13.5" thickBot="1">
      <c r="A32" s="777"/>
      <c r="B32" s="164" t="s">
        <v>2</v>
      </c>
      <c r="C32" s="98">
        <f>SUM(C25:C31)</f>
        <v>15652</v>
      </c>
      <c r="D32" s="99">
        <f>SUM(D25:D31)</f>
        <v>0</v>
      </c>
      <c r="E32" s="100">
        <f>SUM(E25:E31)</f>
        <v>0</v>
      </c>
      <c r="F32" s="101">
        <f>SUM(F24:F31)</f>
        <v>29</v>
      </c>
      <c r="G32" s="170"/>
      <c r="H32" s="171"/>
      <c r="I32" s="168"/>
      <c r="J32" s="213">
        <f>+'8'!J32</f>
        <v>0</v>
      </c>
      <c r="K32" s="240"/>
      <c r="L32" s="242"/>
      <c r="M32" s="116">
        <f>+K32+'8'!M32+L32</f>
        <v>0</v>
      </c>
      <c r="Q32" s="175">
        <f>SUM(Q25:Q31)</f>
        <v>480</v>
      </c>
      <c r="R32" s="175">
        <f>SUM(R25:R31)</f>
        <v>590400</v>
      </c>
      <c r="S32" s="175">
        <f>SUM(S25:S31)</f>
        <v>448704</v>
      </c>
    </row>
    <row r="33" spans="1:19" ht="13.5" thickBot="1">
      <c r="A33" s="172"/>
      <c r="B33" s="173"/>
      <c r="C33" s="102">
        <f>C32/($C$32+$D$32+$E$32)</f>
        <v>1</v>
      </c>
      <c r="D33" s="103">
        <f>D32/($C$32+$D$32+$E$32)</f>
        <v>0</v>
      </c>
      <c r="E33" s="104">
        <f>E32/($C$32+$D$32+$E$32)</f>
        <v>0</v>
      </c>
      <c r="F33" s="105"/>
      <c r="G33" s="174"/>
      <c r="H33" s="175"/>
      <c r="I33" s="176"/>
      <c r="J33" s="120"/>
      <c r="K33" s="121"/>
      <c r="L33" s="212"/>
      <c r="M33" s="118"/>
      <c r="Q33" s="148">
        <f>480-Q32</f>
        <v>0</v>
      </c>
      <c r="R33" s="175">
        <f>+R32/Q32</f>
        <v>1230</v>
      </c>
      <c r="S33" s="175">
        <f>+S32/Q32</f>
        <v>934.8</v>
      </c>
    </row>
    <row r="34" spans="1:19" ht="13.5" thickBot="1">
      <c r="A34" s="766" t="s">
        <v>57</v>
      </c>
      <c r="B34" s="767"/>
      <c r="C34" s="106">
        <f>C14+C23+C32</f>
        <v>41663</v>
      </c>
      <c r="D34" s="106">
        <f>D14+D23+D32</f>
        <v>0</v>
      </c>
      <c r="E34" s="106">
        <f>E14+E23+E32</f>
        <v>0</v>
      </c>
      <c r="F34" s="107">
        <f>F14+F23+F32</f>
        <v>70</v>
      </c>
      <c r="H34" s="177"/>
      <c r="I34" s="177"/>
      <c r="J34" s="122" t="s">
        <v>28</v>
      </c>
      <c r="K34" s="123">
        <f>SUM(K7:K32)</f>
        <v>41663</v>
      </c>
      <c r="L34" s="211">
        <f>SUM(L7:L32)</f>
        <v>0</v>
      </c>
      <c r="M34" s="119">
        <f>SUM(M7:M32)</f>
        <v>327495</v>
      </c>
    </row>
    <row r="35" spans="1:19" ht="13.5" thickBot="1">
      <c r="A35" s="178"/>
      <c r="B35" s="179"/>
      <c r="C35" s="103">
        <f>C34/($C$34+$D$34+$E$34)</f>
        <v>1</v>
      </c>
      <c r="D35" s="103">
        <f>D34/($C$34+$D$34+$E$34)</f>
        <v>0</v>
      </c>
      <c r="E35" s="108">
        <f>E34/($C$34+$D$34+$E$34)</f>
        <v>0</v>
      </c>
      <c r="K35" s="154"/>
    </row>
    <row r="36" spans="1:19" ht="13.5" thickBot="1">
      <c r="A36" s="177"/>
      <c r="B36" s="177"/>
      <c r="C36" s="154"/>
      <c r="D36" s="154"/>
      <c r="E36" s="154"/>
      <c r="G36" s="154"/>
      <c r="H36" s="180"/>
      <c r="I36" s="161" t="s">
        <v>37</v>
      </c>
      <c r="J36" s="161" t="s">
        <v>38</v>
      </c>
      <c r="K36" s="181"/>
      <c r="N36" s="148" t="s">
        <v>536</v>
      </c>
      <c r="O36" s="148">
        <v>1230</v>
      </c>
      <c r="P36" s="148">
        <v>934.8</v>
      </c>
      <c r="Q36" s="148">
        <f>480+438</f>
        <v>918</v>
      </c>
    </row>
    <row r="37" spans="1:19" ht="17.45" customHeight="1" thickBot="1">
      <c r="A37" s="768" t="s">
        <v>58</v>
      </c>
      <c r="B37" s="769"/>
      <c r="C37" s="161" t="s">
        <v>59</v>
      </c>
      <c r="D37" s="182" t="s">
        <v>60</v>
      </c>
      <c r="E37" s="183" t="s">
        <v>61</v>
      </c>
      <c r="F37" s="321"/>
      <c r="G37" s="323"/>
      <c r="H37" s="185" t="s">
        <v>62</v>
      </c>
      <c r="I37" s="243">
        <f>(11.5*918+12*522)/1440*G42*2.74*1440/1000000</f>
        <v>43.084501992</v>
      </c>
      <c r="J37" s="124">
        <f>+I37+'8'!J37</f>
        <v>389.06267256258269</v>
      </c>
      <c r="K37" s="125" t="s">
        <v>63</v>
      </c>
      <c r="N37" s="148" t="s">
        <v>388</v>
      </c>
      <c r="O37" s="148">
        <v>1230</v>
      </c>
      <c r="P37" s="148">
        <v>934.8</v>
      </c>
      <c r="Q37" s="148">
        <f>42+480</f>
        <v>522</v>
      </c>
    </row>
    <row r="38" spans="1:19" ht="17.45" customHeight="1">
      <c r="A38" s="760" t="s">
        <v>12</v>
      </c>
      <c r="B38" s="761"/>
      <c r="C38" s="163">
        <f>SUMIF($G$7:$G$31,"Process",$F$7:$F$31)</f>
        <v>70</v>
      </c>
      <c r="D38" s="117">
        <f>+C38+'8'!D38</f>
        <v>713</v>
      </c>
      <c r="E38" s="142">
        <f t="shared" ref="E38:E51" si="6">D38/60</f>
        <v>11.883333333333333</v>
      </c>
      <c r="F38" s="321">
        <v>1230</v>
      </c>
      <c r="G38" s="321">
        <v>934.8</v>
      </c>
      <c r="H38" s="186" t="s">
        <v>64</v>
      </c>
      <c r="I38" s="244">
        <f>11.975+13.351+12.019</f>
        <v>37.344999999999999</v>
      </c>
      <c r="J38" s="126">
        <f>+I38+'8'!J38</f>
        <v>339.02499999999998</v>
      </c>
      <c r="K38" s="127" t="s">
        <v>63</v>
      </c>
      <c r="Q38" s="148">
        <f>+Q36+Q37</f>
        <v>1440</v>
      </c>
    </row>
    <row r="39" spans="1:19" ht="17.45" customHeight="1">
      <c r="A39" s="764" t="s">
        <v>13</v>
      </c>
      <c r="B39" s="765"/>
      <c r="C39" s="163">
        <f>SUMIF($G$7:$G$31,"Cleaning",$F$7:$F$31)</f>
        <v>0</v>
      </c>
      <c r="D39" s="117">
        <f>+C39+'8'!D39</f>
        <v>0</v>
      </c>
      <c r="E39" s="142">
        <f t="shared" si="6"/>
        <v>0</v>
      </c>
      <c r="F39" s="321">
        <v>1230</v>
      </c>
      <c r="G39" s="321">
        <v>934.79999999999984</v>
      </c>
      <c r="H39" s="186" t="s">
        <v>65</v>
      </c>
      <c r="I39" s="141"/>
      <c r="J39" s="128">
        <f>J37/G4</f>
        <v>43.229185840286966</v>
      </c>
      <c r="K39" s="129" t="s">
        <v>63</v>
      </c>
    </row>
    <row r="40" spans="1:19" ht="17.45" customHeight="1">
      <c r="A40" s="764" t="s">
        <v>66</v>
      </c>
      <c r="B40" s="765"/>
      <c r="C40" s="163">
        <f>SUMIF($G$7:$G$31,"Mechanical",$F$7:$F$31)</f>
        <v>0</v>
      </c>
      <c r="D40" s="117">
        <f>+C40+'8'!D40</f>
        <v>0</v>
      </c>
      <c r="E40" s="142">
        <f t="shared" si="6"/>
        <v>0</v>
      </c>
      <c r="F40" s="321">
        <v>1230</v>
      </c>
      <c r="G40" s="321">
        <v>934.8</v>
      </c>
      <c r="H40" s="186" t="s">
        <v>67</v>
      </c>
      <c r="I40" s="117">
        <f>(K34+L34)/1000</f>
        <v>41.662999999999997</v>
      </c>
      <c r="J40" s="130">
        <f>+I40+'8'!J40</f>
        <v>327.495</v>
      </c>
      <c r="K40" s="129" t="s">
        <v>63</v>
      </c>
    </row>
    <row r="41" spans="1:19" ht="17.45" customHeight="1">
      <c r="A41" s="764" t="s">
        <v>68</v>
      </c>
      <c r="B41" s="765"/>
      <c r="C41" s="163">
        <f>SUMIF($G$7:$G$31,"Electrical",$F$7:$F$31)</f>
        <v>0</v>
      </c>
      <c r="D41" s="117">
        <f>+C41+'8'!D41</f>
        <v>239</v>
      </c>
      <c r="E41" s="142">
        <f t="shared" si="6"/>
        <v>3.9833333333333334</v>
      </c>
      <c r="F41" s="321"/>
      <c r="G41" s="321"/>
      <c r="H41" s="186" t="s">
        <v>69</v>
      </c>
      <c r="I41" s="141"/>
      <c r="J41" s="128">
        <f>J40/G4</f>
        <v>36.388333333333335</v>
      </c>
      <c r="K41" s="129" t="s">
        <v>63</v>
      </c>
    </row>
    <row r="42" spans="1:19" ht="17.45" customHeight="1">
      <c r="A42" s="764" t="s">
        <v>16</v>
      </c>
      <c r="B42" s="765"/>
      <c r="C42" s="163">
        <f>SUMIF($G$7:$G$31,"Instrument",$F$7:$F$31)</f>
        <v>0</v>
      </c>
      <c r="D42" s="117">
        <f>+C42+'8'!D42</f>
        <v>0</v>
      </c>
      <c r="E42" s="142">
        <f t="shared" si="6"/>
        <v>0</v>
      </c>
      <c r="F42" s="321">
        <f>+(480*F38+480*F39+480*F40)/1440</f>
        <v>1230</v>
      </c>
      <c r="G42" s="321">
        <f>+(480*G38+480*G39+480*G40)/1440</f>
        <v>934.8</v>
      </c>
      <c r="H42" s="186" t="s">
        <v>70</v>
      </c>
      <c r="I42" s="245" t="s">
        <v>544</v>
      </c>
      <c r="J42" s="131"/>
      <c r="K42" s="129" t="s">
        <v>71</v>
      </c>
    </row>
    <row r="43" spans="1:19" ht="17.45" customHeight="1">
      <c r="A43" s="764" t="s">
        <v>72</v>
      </c>
      <c r="B43" s="765"/>
      <c r="C43" s="163">
        <f>SUMIF($G$7:$G$31,"Water",$F$7:$F$31)</f>
        <v>0</v>
      </c>
      <c r="D43" s="117">
        <f>+C43+'8'!D43</f>
        <v>0</v>
      </c>
      <c r="E43" s="142">
        <f t="shared" si="6"/>
        <v>0</v>
      </c>
      <c r="F43" s="321"/>
      <c r="G43" s="322"/>
      <c r="H43" s="187" t="s">
        <v>73</v>
      </c>
      <c r="I43" s="117">
        <f>+Report1!Z17</f>
        <v>55.8</v>
      </c>
      <c r="J43" s="132">
        <f>+I43+'8'!J43</f>
        <v>447.1</v>
      </c>
      <c r="K43" s="129" t="s">
        <v>63</v>
      </c>
      <c r="L43" s="188"/>
    </row>
    <row r="44" spans="1:19" ht="17.45" customHeight="1">
      <c r="A44" s="764" t="s">
        <v>17</v>
      </c>
      <c r="B44" s="765"/>
      <c r="C44" s="163">
        <f>SUMIF($G$7:$G$31,"PLN",$F$7:$F$31)</f>
        <v>0</v>
      </c>
      <c r="D44" s="117">
        <f>+C44+'8'!D44</f>
        <v>0</v>
      </c>
      <c r="E44" s="142">
        <f t="shared" si="6"/>
        <v>0</v>
      </c>
      <c r="F44" s="321"/>
      <c r="G44" s="322"/>
      <c r="H44" s="187" t="s">
        <v>74</v>
      </c>
      <c r="I44" s="117">
        <f>I43/I38</f>
        <v>1.4941759271656179</v>
      </c>
      <c r="J44" s="133">
        <f>J43/J38</f>
        <v>1.318781800752157</v>
      </c>
      <c r="K44" s="129" t="s">
        <v>63</v>
      </c>
    </row>
    <row r="45" spans="1:19" ht="17.45" customHeight="1">
      <c r="A45" s="764" t="s">
        <v>18</v>
      </c>
      <c r="B45" s="765"/>
      <c r="C45" s="163">
        <f>SUMIF($G$7:$G$31,"Boiler",$F$7:$F$31)</f>
        <v>0</v>
      </c>
      <c r="D45" s="117">
        <f>+C45+'8'!D45</f>
        <v>0</v>
      </c>
      <c r="E45" s="142">
        <f t="shared" si="6"/>
        <v>0</v>
      </c>
      <c r="F45" s="321"/>
      <c r="G45" s="324"/>
      <c r="H45" s="187" t="s">
        <v>75</v>
      </c>
      <c r="I45" s="117">
        <f>I43/I40</f>
        <v>1.3393178599716775</v>
      </c>
      <c r="J45" s="133">
        <f>J43/J40</f>
        <v>1.3652116826211087</v>
      </c>
      <c r="K45" s="129" t="s">
        <v>63</v>
      </c>
    </row>
    <row r="46" spans="1:19" ht="17.45" customHeight="1">
      <c r="A46" s="764" t="s">
        <v>76</v>
      </c>
      <c r="B46" s="765"/>
      <c r="C46" s="163">
        <f>SUMIF($G$7:$G$31,"Gas",$F$7:$F$31)</f>
        <v>0</v>
      </c>
      <c r="D46" s="117">
        <f>+C46+'8'!D46</f>
        <v>0</v>
      </c>
      <c r="E46" s="142">
        <f t="shared" si="6"/>
        <v>0</v>
      </c>
      <c r="F46" s="321"/>
      <c r="G46" s="322"/>
      <c r="H46" s="187" t="s">
        <v>77</v>
      </c>
      <c r="I46" s="139">
        <f>+SUMIF(Listrik!P16,"&gt;0")</f>
        <v>38745.1</v>
      </c>
      <c r="J46" s="134">
        <f>+I46+'8'!J46</f>
        <v>300479.95999999996</v>
      </c>
      <c r="K46" s="129" t="s">
        <v>78</v>
      </c>
    </row>
    <row r="47" spans="1:19" ht="17.45" customHeight="1">
      <c r="A47" s="764" t="s">
        <v>79</v>
      </c>
      <c r="B47" s="765"/>
      <c r="C47" s="163">
        <f>SUMIF($G$7:$G$31,"Gas",$F$7:$F$31)</f>
        <v>0</v>
      </c>
      <c r="D47" s="117">
        <f>+C47+'8'!D47</f>
        <v>0</v>
      </c>
      <c r="E47" s="142">
        <f t="shared" si="6"/>
        <v>0</v>
      </c>
      <c r="F47" s="321"/>
      <c r="G47" s="322"/>
      <c r="H47" s="187" t="s">
        <v>80</v>
      </c>
      <c r="I47" s="117">
        <f>I46/I38</f>
        <v>1037.4909626456017</v>
      </c>
      <c r="J47" s="134">
        <f>J46/J38</f>
        <v>886.30620160755097</v>
      </c>
      <c r="K47" s="129" t="s">
        <v>24</v>
      </c>
    </row>
    <row r="48" spans="1:19" ht="17.45" customHeight="1">
      <c r="A48" s="764" t="s">
        <v>14</v>
      </c>
      <c r="B48" s="765"/>
      <c r="C48" s="163">
        <f>SUMIF($G$7:$G$31,"Start Up",$F$7:$F$31)</f>
        <v>0</v>
      </c>
      <c r="D48" s="117">
        <f>+C48+'8'!D48</f>
        <v>0</v>
      </c>
      <c r="E48" s="142">
        <f t="shared" si="6"/>
        <v>0</v>
      </c>
      <c r="F48" s="321"/>
      <c r="G48" s="322"/>
      <c r="H48" s="187" t="s">
        <v>81</v>
      </c>
      <c r="I48" s="117">
        <f>I46/I40</f>
        <v>929.9642368528431</v>
      </c>
      <c r="J48" s="134">
        <f>J46/J40</f>
        <v>917.51006885601294</v>
      </c>
      <c r="K48" s="129" t="s">
        <v>24</v>
      </c>
    </row>
    <row r="49" spans="1:11" ht="17.45" customHeight="1">
      <c r="A49" s="764" t="s">
        <v>20</v>
      </c>
      <c r="B49" s="765"/>
      <c r="C49" s="163">
        <f>SUMIF($G$7:$G$31,"Others",$F$7:$F$31)</f>
        <v>0</v>
      </c>
      <c r="D49" s="117">
        <f>+C49+'8'!D49</f>
        <v>948</v>
      </c>
      <c r="E49" s="142">
        <f t="shared" si="6"/>
        <v>15.8</v>
      </c>
      <c r="F49" s="184"/>
      <c r="H49" s="187" t="s">
        <v>267</v>
      </c>
      <c r="I49" s="117">
        <f>+Report1!T17</f>
        <v>4861.1350938787973</v>
      </c>
      <c r="J49" s="134">
        <f>+I49+'8'!J49</f>
        <v>40329.142059764767</v>
      </c>
      <c r="K49" s="129" t="s">
        <v>82</v>
      </c>
    </row>
    <row r="50" spans="1:11" ht="17.45" customHeight="1">
      <c r="A50" s="764" t="s">
        <v>19</v>
      </c>
      <c r="B50" s="765"/>
      <c r="C50" s="163">
        <f>SUMIF($G$7:$G$31,"Steam",$F$7:$F$31)</f>
        <v>0</v>
      </c>
      <c r="D50" s="117">
        <f>+C50+'8'!D50</f>
        <v>0</v>
      </c>
      <c r="E50" s="142">
        <f t="shared" si="6"/>
        <v>0</v>
      </c>
      <c r="F50" s="184"/>
      <c r="H50" s="187" t="s">
        <v>83</v>
      </c>
      <c r="I50" s="139">
        <f>I49/I38</f>
        <v>130.16829813572895</v>
      </c>
      <c r="J50" s="132">
        <f>J49/J38</f>
        <v>118.95624824058629</v>
      </c>
      <c r="K50" s="129" t="s">
        <v>82</v>
      </c>
    </row>
    <row r="51" spans="1:11" ht="17.45" customHeight="1" thickBot="1">
      <c r="A51" s="758" t="s">
        <v>84</v>
      </c>
      <c r="B51" s="759"/>
      <c r="C51" s="163">
        <f>SUMIF($G$7:$G$31,"Planned shut",$F$7:$F$31)</f>
        <v>0</v>
      </c>
      <c r="D51" s="117">
        <f>+C51+'8'!D51</f>
        <v>0</v>
      </c>
      <c r="E51" s="142">
        <f t="shared" si="6"/>
        <v>0</v>
      </c>
      <c r="F51" s="184"/>
      <c r="H51" s="189" t="s">
        <v>85</v>
      </c>
      <c r="I51" s="140">
        <f>I49/I40</f>
        <v>116.67750987396005</v>
      </c>
      <c r="J51" s="135">
        <f>J49/J40</f>
        <v>123.14429856872553</v>
      </c>
      <c r="K51" s="136" t="s">
        <v>82</v>
      </c>
    </row>
    <row r="52" spans="1:11" ht="13.5" thickBot="1">
      <c r="A52" s="760" t="s">
        <v>28</v>
      </c>
      <c r="B52" s="761"/>
      <c r="C52" s="143">
        <f>SUM(C38:C51)</f>
        <v>70</v>
      </c>
      <c r="D52" s="143">
        <f>SUM(D38:D51)</f>
        <v>1900</v>
      </c>
      <c r="E52" s="144">
        <f>SUM(E38:E51)</f>
        <v>31.666666666666668</v>
      </c>
      <c r="F52" s="184"/>
      <c r="H52" s="190"/>
      <c r="I52" s="191"/>
      <c r="J52" s="137"/>
      <c r="K52" s="138"/>
    </row>
    <row r="53" spans="1:11" ht="13.5" thickBot="1">
      <c r="A53" s="762"/>
      <c r="B53" s="763"/>
      <c r="C53" s="145">
        <f>C52/(24*60)</f>
        <v>4.8611111111111112E-2</v>
      </c>
      <c r="D53" s="145">
        <f>D52/(24*60*G4)</f>
        <v>0.14660493827160495</v>
      </c>
      <c r="E53" s="146">
        <f>E52/(G4*24)</f>
        <v>0.14660493827160495</v>
      </c>
      <c r="F53" s="184"/>
    </row>
    <row r="54" spans="1:11">
      <c r="E54" s="192"/>
      <c r="F54" s="184"/>
    </row>
    <row r="55" spans="1:11">
      <c r="E55" s="192"/>
    </row>
    <row r="56" spans="1:11">
      <c r="A56" s="193" t="s">
        <v>86</v>
      </c>
      <c r="B56" s="194"/>
      <c r="C56" s="195"/>
      <c r="D56" s="195"/>
      <c r="E56" s="195"/>
      <c r="F56" s="196"/>
      <c r="G56" s="195"/>
      <c r="H56" s="197"/>
      <c r="I56" s="198" t="s">
        <v>87</v>
      </c>
      <c r="J56" s="199">
        <f>+D34+'8'!J56</f>
        <v>830</v>
      </c>
      <c r="K56" s="200">
        <f>J56/(J40+J56/1000)/1000</f>
        <v>2.5279829437295366E-3</v>
      </c>
    </row>
    <row r="57" spans="1:11">
      <c r="A57" s="175"/>
      <c r="I57" s="198" t="s">
        <v>88</v>
      </c>
      <c r="J57" s="199">
        <f>+E34+'8'!J57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48:B48"/>
    <mergeCell ref="A53:B53"/>
    <mergeCell ref="A52:B52"/>
    <mergeCell ref="A49:B49"/>
    <mergeCell ref="A51:B51"/>
    <mergeCell ref="A50:B50"/>
    <mergeCell ref="A47:B47"/>
    <mergeCell ref="A40:B40"/>
    <mergeCell ref="A41:B41"/>
    <mergeCell ref="A39:B39"/>
    <mergeCell ref="A46:B46"/>
    <mergeCell ref="A42:B42"/>
    <mergeCell ref="A43:B43"/>
    <mergeCell ref="A44:B44"/>
    <mergeCell ref="A45:B45"/>
    <mergeCell ref="A38:B38"/>
    <mergeCell ref="A24:A32"/>
    <mergeCell ref="A7:A14"/>
    <mergeCell ref="I7:I13"/>
    <mergeCell ref="A15:A23"/>
    <mergeCell ref="I15:I22"/>
    <mergeCell ref="I24:I31"/>
    <mergeCell ref="A37:B37"/>
    <mergeCell ref="A34:B34"/>
  </mergeCells>
  <phoneticPr fontId="32"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1"/>
  <sheetViews>
    <sheetView view="pageBreakPreview" topLeftCell="E1" zoomScale="80" zoomScaleNormal="75" zoomScaleSheetLayoutView="80" workbookViewId="0">
      <selection activeCell="P22" sqref="F15:P22"/>
    </sheetView>
  </sheetViews>
  <sheetFormatPr defaultColWidth="9.140625" defaultRowHeight="12.75"/>
  <cols>
    <col min="1" max="1" width="8" style="148" customWidth="1"/>
    <col min="2" max="2" width="7" style="148" bestFit="1" customWidth="1"/>
    <col min="3" max="3" width="14.85546875" style="148" bestFit="1" customWidth="1"/>
    <col min="4" max="4" width="1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4" style="148" bestFit="1" customWidth="1"/>
    <col min="12" max="12" width="13.7109375" style="148" bestFit="1" customWidth="1"/>
    <col min="13" max="13" width="15" style="148" bestFit="1"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8</v>
      </c>
      <c r="H4" s="153" t="str">
        <f>+'1'!H4</f>
        <v>.03.26</v>
      </c>
      <c r="J4" s="148">
        <f>500+435+450</f>
        <v>1385</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489</v>
      </c>
      <c r="O6" s="148">
        <v>1230</v>
      </c>
      <c r="P6" s="148">
        <f>+O6-(O6*0.25)</f>
        <v>922.5</v>
      </c>
      <c r="Q6" s="148">
        <f>60*3+20</f>
        <v>200</v>
      </c>
      <c r="R6" s="148">
        <f t="shared" ref="R6:R7" si="0">+O6*Q6</f>
        <v>246000</v>
      </c>
      <c r="S6" s="148">
        <f t="shared" ref="S6:S7" si="1">+P6*Q6</f>
        <v>184500</v>
      </c>
    </row>
    <row r="7" spans="1:19" ht="13.5" customHeight="1" thickBot="1">
      <c r="A7" s="770" t="s">
        <v>390</v>
      </c>
      <c r="B7" s="214" t="s">
        <v>504</v>
      </c>
      <c r="C7" s="215">
        <f>9619+1045</f>
        <v>10664</v>
      </c>
      <c r="D7" s="216"/>
      <c r="E7" s="217"/>
      <c r="F7" s="227">
        <v>6</v>
      </c>
      <c r="G7" s="228" t="s">
        <v>12</v>
      </c>
      <c r="H7" s="229" t="s">
        <v>412</v>
      </c>
      <c r="I7" s="773" t="s">
        <v>546</v>
      </c>
      <c r="J7" s="213" t="str">
        <f>+'7'!J7</f>
        <v>F 12 VP OW</v>
      </c>
      <c r="K7" s="237"/>
      <c r="L7" s="241"/>
      <c r="M7" s="116">
        <f>+K7+'7'!M7+L7</f>
        <v>45075</v>
      </c>
      <c r="N7" s="148" t="s">
        <v>536</v>
      </c>
      <c r="O7" s="148">
        <v>1230</v>
      </c>
      <c r="P7" s="148">
        <f>+O7-(O7*0.24)</f>
        <v>934.8</v>
      </c>
      <c r="Q7" s="148">
        <f>480-Q6</f>
        <v>280</v>
      </c>
      <c r="R7" s="148">
        <f t="shared" si="0"/>
        <v>344400</v>
      </c>
      <c r="S7" s="148">
        <f t="shared" si="1"/>
        <v>261744</v>
      </c>
    </row>
    <row r="8" spans="1:19" ht="13.5" thickBot="1">
      <c r="A8" s="771"/>
      <c r="B8" s="214" t="s">
        <v>561</v>
      </c>
      <c r="C8" s="215">
        <v>2972</v>
      </c>
      <c r="D8" s="216"/>
      <c r="E8" s="218"/>
      <c r="F8" s="230"/>
      <c r="G8" s="231" t="s">
        <v>12</v>
      </c>
      <c r="H8" s="229" t="s">
        <v>283</v>
      </c>
      <c r="I8" s="774"/>
      <c r="J8" s="213" t="str">
        <f>+'7'!J8</f>
        <v>F 14 VP OW</v>
      </c>
      <c r="K8" s="238"/>
      <c r="L8" s="238"/>
      <c r="M8" s="116">
        <f>+K8+'7'!M8+L8</f>
        <v>69856</v>
      </c>
    </row>
    <row r="9" spans="1:19" ht="13.5" thickBot="1">
      <c r="A9" s="771"/>
      <c r="B9" s="214"/>
      <c r="C9" s="215"/>
      <c r="D9" s="216"/>
      <c r="E9" s="219"/>
      <c r="F9" s="227">
        <v>20</v>
      </c>
      <c r="G9" s="231" t="s">
        <v>12</v>
      </c>
      <c r="H9" s="232" t="s">
        <v>433</v>
      </c>
      <c r="I9" s="774"/>
      <c r="J9" s="213" t="str">
        <f>+'7'!J9</f>
        <v>F 16 VP OW</v>
      </c>
      <c r="K9" s="238"/>
      <c r="L9" s="238"/>
      <c r="M9" s="116">
        <f>+K9+'7'!M9+L9</f>
        <v>104726</v>
      </c>
    </row>
    <row r="10" spans="1:19" ht="26.25" thickBot="1">
      <c r="A10" s="771"/>
      <c r="B10" s="214"/>
      <c r="C10" s="215"/>
      <c r="D10" s="216"/>
      <c r="E10" s="218"/>
      <c r="F10" s="227"/>
      <c r="G10" s="236" t="s">
        <v>13</v>
      </c>
      <c r="H10" s="232" t="s">
        <v>527</v>
      </c>
      <c r="I10" s="774"/>
      <c r="J10" s="213" t="str">
        <f>+'7'!J10</f>
        <v>F 13,5 VP OW</v>
      </c>
      <c r="K10" s="238"/>
      <c r="L10" s="238"/>
      <c r="M10" s="116">
        <f>+K10+'7'!M10+L10</f>
        <v>10827</v>
      </c>
    </row>
    <row r="11" spans="1:19" ht="13.5" thickBot="1">
      <c r="A11" s="771"/>
      <c r="B11" s="214"/>
      <c r="C11" s="215"/>
      <c r="D11" s="216"/>
      <c r="E11" s="218"/>
      <c r="F11" s="227"/>
      <c r="G11" s="231"/>
      <c r="H11" s="232" t="s">
        <v>528</v>
      </c>
      <c r="I11" s="774"/>
      <c r="J11" s="213" t="str">
        <f>+'7'!J11</f>
        <v>F 13 VP OW</v>
      </c>
      <c r="K11" s="238">
        <f>+C7</f>
        <v>10664</v>
      </c>
      <c r="L11" s="238"/>
      <c r="M11" s="116">
        <f>+K11+'7'!M11+L11</f>
        <v>19832</v>
      </c>
    </row>
    <row r="12" spans="1:19" ht="13.5" thickBot="1">
      <c r="A12" s="771"/>
      <c r="B12" s="214"/>
      <c r="C12" s="215"/>
      <c r="D12" s="216"/>
      <c r="E12" s="218"/>
      <c r="F12" s="227"/>
      <c r="G12" s="231"/>
      <c r="H12" s="232"/>
      <c r="I12" s="774"/>
      <c r="J12" s="213" t="str">
        <f>+'7'!J12</f>
        <v>T 14 VP OW</v>
      </c>
      <c r="K12" s="238"/>
      <c r="L12" s="238"/>
      <c r="M12" s="116">
        <f>+K12+'7'!M12+L12</f>
        <v>10448</v>
      </c>
    </row>
    <row r="13" spans="1:19" ht="13.5" thickBot="1">
      <c r="A13" s="771"/>
      <c r="B13" s="214"/>
      <c r="C13" s="215"/>
      <c r="D13" s="215"/>
      <c r="E13" s="218"/>
      <c r="F13" s="227"/>
      <c r="G13" s="231"/>
      <c r="H13" s="232"/>
      <c r="I13" s="775"/>
      <c r="J13" s="213" t="s">
        <v>561</v>
      </c>
      <c r="K13" s="238">
        <f>+C8+C16+C25</f>
        <v>25068</v>
      </c>
      <c r="L13" s="238"/>
      <c r="M13" s="116">
        <f>+K13+'7'!M13+L13</f>
        <v>25068</v>
      </c>
      <c r="Q13" s="175">
        <f>SUM(Q6:Q12)</f>
        <v>480</v>
      </c>
      <c r="R13" s="175">
        <f>SUM(R6:R12)</f>
        <v>590400</v>
      </c>
      <c r="S13" s="175">
        <f>SUM(S6:S12)</f>
        <v>446244</v>
      </c>
    </row>
    <row r="14" spans="1:19" ht="13.5" thickBot="1">
      <c r="A14" s="772"/>
      <c r="B14" s="164" t="s">
        <v>2</v>
      </c>
      <c r="C14" s="98">
        <f>SUM(C7:C13)</f>
        <v>13636</v>
      </c>
      <c r="D14" s="110">
        <f>SUM(D7:D13)</f>
        <v>0</v>
      </c>
      <c r="E14" s="111">
        <f>SUM(E5:E13)</f>
        <v>0</v>
      </c>
      <c r="F14" s="115">
        <f>SUM(F7:F13)</f>
        <v>26</v>
      </c>
      <c r="G14" s="158"/>
      <c r="H14" s="165"/>
      <c r="I14" s="166"/>
      <c r="J14" s="213">
        <f>+'7'!J14</f>
        <v>0</v>
      </c>
      <c r="K14" s="238"/>
      <c r="L14" s="238"/>
      <c r="M14" s="116">
        <f>+K14+'7'!M14+L14</f>
        <v>0</v>
      </c>
      <c r="Q14" s="148">
        <f>480-Q13</f>
        <v>0</v>
      </c>
      <c r="R14" s="175">
        <f>+R13/Q13</f>
        <v>1230</v>
      </c>
      <c r="S14" s="175">
        <f>+S13/Q13</f>
        <v>929.67499999999995</v>
      </c>
    </row>
    <row r="15" spans="1:19" ht="13.5" customHeight="1" thickBot="1">
      <c r="A15" s="770" t="s">
        <v>391</v>
      </c>
      <c r="B15" s="164"/>
      <c r="C15" s="112">
        <f>C14/($C$23+$D$23+$E$23)</f>
        <v>1.2870221802737141</v>
      </c>
      <c r="D15" s="113">
        <f>D14/($C$23+$D$23+$E$23)</f>
        <v>0</v>
      </c>
      <c r="E15" s="114">
        <f>E14/($C$23+$D$23+$E$23)</f>
        <v>0</v>
      </c>
      <c r="F15" s="227"/>
      <c r="G15" s="228" t="s">
        <v>12</v>
      </c>
      <c r="H15" s="229" t="s">
        <v>384</v>
      </c>
      <c r="I15" s="773" t="s">
        <v>545</v>
      </c>
      <c r="J15" s="213">
        <f>+'7'!J15</f>
        <v>0</v>
      </c>
      <c r="K15" s="238"/>
      <c r="L15" s="238"/>
      <c r="M15" s="116">
        <f>+K15+'7'!M15+L15</f>
        <v>0</v>
      </c>
    </row>
    <row r="16" spans="1:19" ht="13.5" thickBot="1">
      <c r="A16" s="776"/>
      <c r="B16" s="214" t="s">
        <v>561</v>
      </c>
      <c r="C16" s="215">
        <v>10595</v>
      </c>
      <c r="D16" s="222"/>
      <c r="E16" s="223"/>
      <c r="F16" s="230">
        <v>8</v>
      </c>
      <c r="G16" s="231" t="s">
        <v>12</v>
      </c>
      <c r="H16" s="229" t="s">
        <v>541</v>
      </c>
      <c r="I16" s="774"/>
      <c r="J16" s="213">
        <f>+'7'!J16</f>
        <v>0</v>
      </c>
      <c r="K16" s="228"/>
      <c r="L16" s="228"/>
      <c r="M16" s="116">
        <f>+K16+'7'!M16+L16</f>
        <v>0</v>
      </c>
    </row>
    <row r="17" spans="1:30" ht="13.5" thickBot="1">
      <c r="A17" s="776"/>
      <c r="B17" s="214"/>
      <c r="C17" s="215"/>
      <c r="D17" s="216"/>
      <c r="E17" s="224"/>
      <c r="F17" s="227">
        <v>10</v>
      </c>
      <c r="G17" s="231" t="s">
        <v>12</v>
      </c>
      <c r="H17" s="232" t="s">
        <v>385</v>
      </c>
      <c r="I17" s="774"/>
      <c r="J17" s="213">
        <f>+'7'!J17</f>
        <v>0</v>
      </c>
      <c r="K17" s="228"/>
      <c r="L17" s="228"/>
      <c r="M17" s="116">
        <f>+K17+'7'!M17+L17</f>
        <v>0</v>
      </c>
      <c r="N17" s="148" t="s">
        <v>536</v>
      </c>
      <c r="O17" s="148">
        <v>800</v>
      </c>
      <c r="P17" s="148">
        <f>+O17-(O17*0.24)</f>
        <v>608</v>
      </c>
      <c r="Q17" s="148">
        <f>8+54</f>
        <v>62</v>
      </c>
      <c r="R17" s="148">
        <f t="shared" ref="R17" si="2">+O17*Q17</f>
        <v>49600</v>
      </c>
      <c r="S17" s="148">
        <f t="shared" ref="S17" si="3">+P17*Q17</f>
        <v>37696</v>
      </c>
      <c r="T17" s="148" t="s">
        <v>536</v>
      </c>
      <c r="U17" s="148">
        <v>1230</v>
      </c>
      <c r="V17" s="148">
        <v>934.8</v>
      </c>
      <c r="W17" s="148">
        <v>280</v>
      </c>
      <c r="X17" s="148">
        <f t="shared" ref="X17" si="4">+U17*W17</f>
        <v>344400</v>
      </c>
      <c r="Y17" s="148">
        <f t="shared" ref="Y17" si="5">+V17*W17</f>
        <v>261744</v>
      </c>
    </row>
    <row r="18" spans="1:30" ht="26.25" thickBot="1">
      <c r="A18" s="776"/>
      <c r="B18" s="214"/>
      <c r="C18" s="215"/>
      <c r="D18" s="216"/>
      <c r="E18" s="224"/>
      <c r="F18" s="227"/>
      <c r="G18" s="236" t="s">
        <v>13</v>
      </c>
      <c r="H18" s="232" t="s">
        <v>524</v>
      </c>
      <c r="I18" s="774"/>
      <c r="J18" s="213">
        <f>+'7'!J18</f>
        <v>0</v>
      </c>
      <c r="K18" s="238"/>
      <c r="L18" s="238"/>
      <c r="M18" s="116">
        <f>+K18+'7'!M18+L18</f>
        <v>0</v>
      </c>
      <c r="N18" s="148" t="s">
        <v>536</v>
      </c>
      <c r="O18" s="148">
        <v>1020</v>
      </c>
      <c r="P18" s="148">
        <f t="shared" ref="P18:P23" si="6">+O18-(O18*0.24)</f>
        <v>775.2</v>
      </c>
      <c r="Q18" s="148">
        <f>480-Q17-Q19-Q20-Q21-Q22-Q23-32</f>
        <v>58</v>
      </c>
      <c r="R18" s="148">
        <f t="shared" ref="R18:R23" si="7">+O18*Q18</f>
        <v>59160</v>
      </c>
      <c r="S18" s="148">
        <f t="shared" ref="S18:S23" si="8">+P18*Q18</f>
        <v>44961.600000000006</v>
      </c>
      <c r="T18" s="148" t="s">
        <v>536</v>
      </c>
      <c r="U18" s="148">
        <v>800</v>
      </c>
      <c r="V18" s="148">
        <v>608</v>
      </c>
      <c r="W18" s="148">
        <v>62</v>
      </c>
      <c r="X18" s="148">
        <f t="shared" ref="X18:X24" si="9">+U18*W18</f>
        <v>49600</v>
      </c>
      <c r="Y18" s="148">
        <f t="shared" ref="Y18:Y24" si="10">+V18*W18</f>
        <v>37696</v>
      </c>
    </row>
    <row r="19" spans="1:30" ht="241.5" customHeight="1" thickBot="1">
      <c r="A19" s="776"/>
      <c r="B19" s="214"/>
      <c r="C19" s="215"/>
      <c r="D19" s="216"/>
      <c r="E19" s="224" t="s">
        <v>526</v>
      </c>
      <c r="F19" s="234">
        <v>32</v>
      </c>
      <c r="G19" s="231" t="s">
        <v>68</v>
      </c>
      <c r="H19" s="232" t="s">
        <v>543</v>
      </c>
      <c r="I19" s="774"/>
      <c r="J19" s="213">
        <f>+'7'!J19</f>
        <v>0</v>
      </c>
      <c r="K19" s="238"/>
      <c r="L19" s="238"/>
      <c r="M19" s="116">
        <f>+K19+'7'!M19+L19</f>
        <v>0</v>
      </c>
      <c r="O19" s="148">
        <v>1070</v>
      </c>
      <c r="P19" s="148">
        <f t="shared" si="6"/>
        <v>813.2</v>
      </c>
      <c r="Q19" s="148">
        <f>46-32</f>
        <v>14</v>
      </c>
      <c r="R19" s="148">
        <f t="shared" si="7"/>
        <v>14980</v>
      </c>
      <c r="S19" s="148">
        <f t="shared" si="8"/>
        <v>11384.800000000001</v>
      </c>
      <c r="T19" s="148" t="s">
        <v>536</v>
      </c>
      <c r="U19" s="148">
        <v>1020</v>
      </c>
      <c r="V19" s="148">
        <v>775.2</v>
      </c>
      <c r="W19" s="148">
        <v>58</v>
      </c>
      <c r="X19" s="148">
        <f t="shared" si="9"/>
        <v>59160</v>
      </c>
      <c r="Y19" s="148">
        <f t="shared" si="10"/>
        <v>44961.600000000006</v>
      </c>
    </row>
    <row r="20" spans="1:30" ht="13.5" thickBot="1">
      <c r="A20" s="776"/>
      <c r="B20" s="214"/>
      <c r="C20" s="215"/>
      <c r="D20" s="216"/>
      <c r="E20" s="224" t="s">
        <v>525</v>
      </c>
      <c r="F20" s="227">
        <f>53+23</f>
        <v>76</v>
      </c>
      <c r="G20" s="231" t="s">
        <v>68</v>
      </c>
      <c r="H20" s="232" t="s">
        <v>555</v>
      </c>
      <c r="I20" s="774"/>
      <c r="J20" s="213">
        <f>+'7'!J20</f>
        <v>0</v>
      </c>
      <c r="K20" s="239"/>
      <c r="L20" s="239"/>
      <c r="M20" s="116">
        <f>+K20+'7'!M20+L20</f>
        <v>0</v>
      </c>
      <c r="O20" s="148">
        <v>1150</v>
      </c>
      <c r="P20" s="148">
        <f t="shared" si="6"/>
        <v>874</v>
      </c>
      <c r="Q20" s="148">
        <f>60-46+29</f>
        <v>43</v>
      </c>
      <c r="R20" s="148">
        <f t="shared" si="7"/>
        <v>49450</v>
      </c>
      <c r="S20" s="148">
        <f t="shared" si="8"/>
        <v>37582</v>
      </c>
      <c r="U20" s="148">
        <v>1070</v>
      </c>
      <c r="V20" s="148">
        <v>813.2</v>
      </c>
      <c r="W20" s="148">
        <v>14</v>
      </c>
      <c r="X20" s="148">
        <f t="shared" si="9"/>
        <v>14980</v>
      </c>
      <c r="Y20" s="148">
        <f t="shared" si="10"/>
        <v>11384.800000000001</v>
      </c>
    </row>
    <row r="21" spans="1:30" ht="13.5" thickBot="1">
      <c r="A21" s="776"/>
      <c r="B21" s="214"/>
      <c r="C21" s="215"/>
      <c r="D21" s="216"/>
      <c r="E21" s="224"/>
      <c r="F21" s="230"/>
      <c r="G21" s="231"/>
      <c r="H21" s="232"/>
      <c r="I21" s="774"/>
      <c r="J21" s="213">
        <f>+'7'!J21</f>
        <v>0</v>
      </c>
      <c r="K21" s="238"/>
      <c r="L21" s="238"/>
      <c r="M21" s="116">
        <f>+K21+'7'!M21+L21</f>
        <v>0</v>
      </c>
      <c r="O21" s="148">
        <v>1190</v>
      </c>
      <c r="P21" s="148">
        <f t="shared" si="6"/>
        <v>904.40000000000009</v>
      </c>
      <c r="Q21" s="148">
        <f>54-29</f>
        <v>25</v>
      </c>
      <c r="R21" s="148">
        <f t="shared" si="7"/>
        <v>29750</v>
      </c>
      <c r="S21" s="148">
        <f t="shared" si="8"/>
        <v>22610.000000000004</v>
      </c>
      <c r="U21" s="148">
        <v>1150</v>
      </c>
      <c r="V21" s="148">
        <v>874</v>
      </c>
      <c r="W21" s="148">
        <v>43</v>
      </c>
      <c r="X21" s="148">
        <f t="shared" si="9"/>
        <v>49450</v>
      </c>
      <c r="Y21" s="148">
        <f t="shared" si="10"/>
        <v>37582</v>
      </c>
    </row>
    <row r="22" spans="1:30" ht="13.5" thickBot="1">
      <c r="A22" s="776"/>
      <c r="B22" s="214"/>
      <c r="C22" s="215"/>
      <c r="D22" s="216"/>
      <c r="E22" s="224"/>
      <c r="F22" s="235"/>
      <c r="G22" s="231"/>
      <c r="H22" s="232"/>
      <c r="I22" s="775"/>
      <c r="J22" s="213">
        <f>+'7'!J22</f>
        <v>0</v>
      </c>
      <c r="K22" s="238"/>
      <c r="L22" s="238"/>
      <c r="M22" s="116">
        <f>+K22+'7'!M22+L22</f>
        <v>0</v>
      </c>
      <c r="O22" s="148">
        <v>1220</v>
      </c>
      <c r="P22" s="148">
        <f t="shared" si="6"/>
        <v>927.2</v>
      </c>
      <c r="Q22" s="148">
        <f>60-54+27</f>
        <v>33</v>
      </c>
      <c r="R22" s="148">
        <f t="shared" si="7"/>
        <v>40260</v>
      </c>
      <c r="S22" s="148">
        <f t="shared" si="8"/>
        <v>30597.600000000002</v>
      </c>
      <c r="U22" s="148">
        <v>1190</v>
      </c>
      <c r="V22" s="148">
        <v>904.40000000000009</v>
      </c>
      <c r="W22" s="148">
        <v>25</v>
      </c>
      <c r="X22" s="148">
        <f t="shared" si="9"/>
        <v>29750</v>
      </c>
      <c r="Y22" s="148">
        <f t="shared" si="10"/>
        <v>22610.000000000004</v>
      </c>
    </row>
    <row r="23" spans="1:30" ht="13.5" thickBot="1">
      <c r="A23" s="777"/>
      <c r="B23" s="167" t="s">
        <v>2</v>
      </c>
      <c r="C23" s="99">
        <f>SUM(C16:C22)</f>
        <v>10595</v>
      </c>
      <c r="D23" s="110">
        <f>SUM(D16:D22)</f>
        <v>0</v>
      </c>
      <c r="E23" s="111">
        <f>SUM(E18:E22)</f>
        <v>0</v>
      </c>
      <c r="F23" s="115">
        <f>SUM(F15:F22)</f>
        <v>126</v>
      </c>
      <c r="G23" s="158"/>
      <c r="H23" s="165"/>
      <c r="I23" s="168"/>
      <c r="J23" s="213">
        <f>+'7'!J23</f>
        <v>0</v>
      </c>
      <c r="K23" s="238"/>
      <c r="L23" s="238"/>
      <c r="M23" s="116">
        <f>+K23+'7'!M23+L23</f>
        <v>0</v>
      </c>
      <c r="O23" s="148">
        <v>1230</v>
      </c>
      <c r="P23" s="148">
        <f t="shared" si="6"/>
        <v>934.8</v>
      </c>
      <c r="Q23" s="148">
        <f>60-27+180</f>
        <v>213</v>
      </c>
      <c r="R23" s="148">
        <f t="shared" si="7"/>
        <v>261990</v>
      </c>
      <c r="S23" s="148">
        <f t="shared" si="8"/>
        <v>199112.4</v>
      </c>
      <c r="U23" s="148">
        <v>1220</v>
      </c>
      <c r="V23" s="148">
        <v>927.2</v>
      </c>
      <c r="W23" s="148">
        <v>33</v>
      </c>
      <c r="X23" s="148">
        <f t="shared" si="9"/>
        <v>40260</v>
      </c>
      <c r="Y23" s="148">
        <f t="shared" si="10"/>
        <v>30597.600000000002</v>
      </c>
    </row>
    <row r="24" spans="1:30" ht="13.5" customHeight="1" thickBot="1">
      <c r="A24" s="770" t="s">
        <v>457</v>
      </c>
      <c r="B24" s="169"/>
      <c r="C24" s="112">
        <f>C23/($C$23+$D$23+$E$23)</f>
        <v>1</v>
      </c>
      <c r="D24" s="113">
        <f>D23/($C$23+$D$23+$E$23)</f>
        <v>0</v>
      </c>
      <c r="E24" s="114">
        <f>E23/($C$23+$D$23+$E$23)</f>
        <v>0</v>
      </c>
      <c r="F24" s="227">
        <v>6</v>
      </c>
      <c r="G24" s="228" t="s">
        <v>12</v>
      </c>
      <c r="H24" s="229" t="s">
        <v>412</v>
      </c>
      <c r="I24" s="773" t="s">
        <v>544</v>
      </c>
      <c r="J24" s="213">
        <f>+'7'!J24</f>
        <v>0</v>
      </c>
      <c r="K24" s="238"/>
      <c r="L24" s="238"/>
      <c r="M24" s="116">
        <f>+K24+'7'!M24+L24</f>
        <v>0</v>
      </c>
      <c r="Q24" s="175">
        <f>SUM(Q17:Q23)</f>
        <v>448</v>
      </c>
      <c r="R24" s="175">
        <f>SUM(R17:R23)</f>
        <v>505190</v>
      </c>
      <c r="S24" s="175">
        <f>SUM(S17:S23)</f>
        <v>383944.4</v>
      </c>
      <c r="U24" s="148">
        <v>1230</v>
      </c>
      <c r="V24" s="148">
        <v>934.8</v>
      </c>
      <c r="W24" s="175">
        <v>213</v>
      </c>
      <c r="X24" s="148">
        <f t="shared" si="9"/>
        <v>261990</v>
      </c>
      <c r="Y24" s="148">
        <f t="shared" si="10"/>
        <v>199112.4</v>
      </c>
    </row>
    <row r="25" spans="1:30" ht="13.5" thickBot="1">
      <c r="A25" s="776"/>
      <c r="B25" s="214" t="s">
        <v>561</v>
      </c>
      <c r="C25" s="225">
        <v>11501</v>
      </c>
      <c r="D25" s="216"/>
      <c r="E25" s="224"/>
      <c r="F25" s="230"/>
      <c r="G25" s="231" t="s">
        <v>12</v>
      </c>
      <c r="H25" s="229" t="s">
        <v>283</v>
      </c>
      <c r="I25" s="774"/>
      <c r="J25" s="213">
        <f>+'7'!J25</f>
        <v>0</v>
      </c>
      <c r="K25" s="238"/>
      <c r="L25" s="238"/>
      <c r="M25" s="116">
        <f>+K25+'7'!M25+L25</f>
        <v>0</v>
      </c>
      <c r="Q25" s="148">
        <f>480-Q24</f>
        <v>32</v>
      </c>
      <c r="R25" s="175">
        <f>+R24/Q24</f>
        <v>1127.65625</v>
      </c>
      <c r="S25" s="175">
        <f>+S24/Q24</f>
        <v>857.01875000000007</v>
      </c>
      <c r="T25" s="148" t="s">
        <v>536</v>
      </c>
      <c r="U25" s="148">
        <v>1230</v>
      </c>
      <c r="V25" s="148">
        <v>934.8</v>
      </c>
      <c r="W25" s="148">
        <v>480</v>
      </c>
      <c r="X25" s="148">
        <f t="shared" ref="X25" si="11">+U25*W25</f>
        <v>590400</v>
      </c>
      <c r="Y25" s="148">
        <f t="shared" ref="Y25" si="12">+V25*W25</f>
        <v>448704</v>
      </c>
    </row>
    <row r="26" spans="1:30" ht="13.5" thickBot="1">
      <c r="A26" s="776"/>
      <c r="B26" s="214"/>
      <c r="C26" s="225"/>
      <c r="D26" s="216"/>
      <c r="E26" s="226"/>
      <c r="F26" s="227">
        <f>23-6</f>
        <v>17</v>
      </c>
      <c r="G26" s="231" t="s">
        <v>12</v>
      </c>
      <c r="H26" s="232" t="s">
        <v>385</v>
      </c>
      <c r="I26" s="774"/>
      <c r="J26" s="213">
        <f>+'7'!J26</f>
        <v>0</v>
      </c>
      <c r="K26" s="238"/>
      <c r="L26" s="238"/>
      <c r="M26" s="116">
        <f>+K26+'7'!M26+L26</f>
        <v>0</v>
      </c>
      <c r="W26" s="148">
        <f>SUM(W17:W25)</f>
        <v>1208</v>
      </c>
      <c r="X26" s="148">
        <f>SUM(X17:X25)</f>
        <v>1439990</v>
      </c>
      <c r="Y26" s="148">
        <f>SUM(Y17:Y25)</f>
        <v>1094392.3999999999</v>
      </c>
    </row>
    <row r="27" spans="1:30" ht="26.25" thickBot="1">
      <c r="A27" s="776"/>
      <c r="B27" s="214"/>
      <c r="C27" s="215"/>
      <c r="D27" s="216"/>
      <c r="E27" s="224"/>
      <c r="F27" s="227"/>
      <c r="G27" s="236" t="s">
        <v>13</v>
      </c>
      <c r="H27" s="232" t="s">
        <v>523</v>
      </c>
      <c r="I27" s="774"/>
      <c r="J27" s="213">
        <f>+'7'!J27</f>
        <v>0</v>
      </c>
      <c r="K27" s="238"/>
      <c r="L27" s="238"/>
      <c r="M27" s="116">
        <f>+K27+'7'!M27+L27</f>
        <v>0</v>
      </c>
      <c r="N27" s="148" t="s">
        <v>536</v>
      </c>
      <c r="O27" s="148">
        <v>1230</v>
      </c>
      <c r="P27" s="148">
        <f>+O27-(O27*0.24)</f>
        <v>934.8</v>
      </c>
      <c r="Q27" s="148">
        <v>480</v>
      </c>
      <c r="R27" s="148">
        <f t="shared" ref="R27" si="13">+O27*Q27</f>
        <v>590400</v>
      </c>
      <c r="S27" s="148">
        <f t="shared" ref="S27" si="14">+P27*Q27</f>
        <v>448704</v>
      </c>
      <c r="X27" s="175">
        <f>+X26/W26</f>
        <v>1192.0447019867549</v>
      </c>
      <c r="Y27" s="175">
        <f>+Y26/W26</f>
        <v>905.95397350993369</v>
      </c>
    </row>
    <row r="28" spans="1:30" ht="13.5" thickBot="1">
      <c r="A28" s="776"/>
      <c r="B28" s="214"/>
      <c r="C28" s="215"/>
      <c r="D28" s="216"/>
      <c r="E28" s="224"/>
      <c r="F28" s="230"/>
      <c r="G28" s="231"/>
      <c r="H28" s="232"/>
      <c r="I28" s="774"/>
      <c r="J28" s="213">
        <f>+'7'!J28</f>
        <v>0</v>
      </c>
      <c r="K28" s="238"/>
      <c r="L28" s="238"/>
      <c r="M28" s="116">
        <f>+K28+'7'!M28+L28</f>
        <v>0</v>
      </c>
    </row>
    <row r="29" spans="1:30" ht="13.5" thickBot="1">
      <c r="A29" s="776"/>
      <c r="B29" s="214"/>
      <c r="C29" s="215"/>
      <c r="D29" s="216"/>
      <c r="E29" s="224"/>
      <c r="F29" s="235"/>
      <c r="G29" s="231"/>
      <c r="H29" s="232"/>
      <c r="I29" s="774"/>
      <c r="J29" s="213">
        <f>+'7'!J29</f>
        <v>0</v>
      </c>
      <c r="K29" s="238"/>
      <c r="L29" s="238"/>
      <c r="M29" s="116">
        <f>+K29+'7'!M29+L29</f>
        <v>0</v>
      </c>
    </row>
    <row r="30" spans="1:30" ht="13.5" thickBot="1">
      <c r="A30" s="776"/>
      <c r="B30" s="214"/>
      <c r="C30" s="225"/>
      <c r="D30" s="216"/>
      <c r="E30" s="224"/>
      <c r="F30" s="235"/>
      <c r="G30" s="231"/>
      <c r="H30" s="232"/>
      <c r="I30" s="774"/>
      <c r="J30" s="213">
        <f>+'7'!J30</f>
        <v>0</v>
      </c>
      <c r="K30" s="238"/>
      <c r="L30" s="238"/>
      <c r="M30" s="116">
        <f>+K30+'7'!M30+L30</f>
        <v>0</v>
      </c>
    </row>
    <row r="31" spans="1:30" ht="13.5" thickBot="1">
      <c r="A31" s="776"/>
      <c r="B31" s="214"/>
      <c r="C31" s="225"/>
      <c r="D31" s="216"/>
      <c r="E31" s="224"/>
      <c r="F31" s="235"/>
      <c r="G31" s="236"/>
      <c r="H31" s="443"/>
      <c r="I31" s="775"/>
      <c r="J31" s="213">
        <f>+'7'!J31</f>
        <v>0</v>
      </c>
      <c r="K31" s="238"/>
      <c r="L31" s="238"/>
      <c r="M31" s="116">
        <f>+K31+'7'!M31+L31</f>
        <v>0</v>
      </c>
      <c r="U31" s="180" t="s">
        <v>92</v>
      </c>
      <c r="V31" s="421" t="s">
        <v>562</v>
      </c>
      <c r="W31" s="421" t="s">
        <v>563</v>
      </c>
      <c r="X31" s="421" t="s">
        <v>190</v>
      </c>
      <c r="Y31" s="421" t="s">
        <v>191</v>
      </c>
      <c r="Z31" s="577" t="s">
        <v>192</v>
      </c>
      <c r="AA31" s="421" t="s">
        <v>187</v>
      </c>
      <c r="AB31" s="422" t="s">
        <v>193</v>
      </c>
      <c r="AC31" s="421" t="s">
        <v>194</v>
      </c>
      <c r="AD31" s="421" t="s">
        <v>188</v>
      </c>
    </row>
    <row r="32" spans="1:30" ht="13.5" thickBot="1">
      <c r="A32" s="777"/>
      <c r="B32" s="164" t="s">
        <v>2</v>
      </c>
      <c r="C32" s="98">
        <f>SUM(C25:C31)</f>
        <v>11501</v>
      </c>
      <c r="D32" s="99">
        <f>SUM(D25:D31)</f>
        <v>0</v>
      </c>
      <c r="E32" s="100">
        <f>SUM(E25:E31)</f>
        <v>0</v>
      </c>
      <c r="F32" s="101">
        <f>SUM(F24:F31)</f>
        <v>23</v>
      </c>
      <c r="G32" s="170"/>
      <c r="H32" s="171"/>
      <c r="I32" s="168"/>
      <c r="J32" s="213">
        <f>+'7'!J32</f>
        <v>0</v>
      </c>
      <c r="K32" s="240"/>
      <c r="L32" s="242"/>
      <c r="M32" s="116">
        <f>+K32+'7'!M32+L32</f>
        <v>0</v>
      </c>
      <c r="U32" s="423">
        <v>11.5</v>
      </c>
      <c r="V32" s="198">
        <v>1127.65625</v>
      </c>
      <c r="W32" s="198">
        <v>1230</v>
      </c>
      <c r="X32" s="148">
        <v>857.01875000000007</v>
      </c>
      <c r="Y32" s="424">
        <f>1-(X32/V32)</f>
        <v>0.24</v>
      </c>
      <c r="Z32" s="578">
        <v>23</v>
      </c>
      <c r="AA32" s="426">
        <v>266</v>
      </c>
      <c r="AB32" s="427">
        <f>(V32*(1-Y32)*U32*AA32*Z32)/100000000</f>
        <v>0.60297268193749998</v>
      </c>
      <c r="AC32" s="428">
        <f>+J39/1000</f>
        <v>4.3247271321322833E-2</v>
      </c>
      <c r="AD32" s="429">
        <f>SUM(AC32:AC34)/SUM(AB32:AB34)</f>
        <v>3.5950335340673788E-2</v>
      </c>
    </row>
    <row r="33" spans="1:30" ht="13.5" thickBot="1">
      <c r="A33" s="172"/>
      <c r="B33" s="173"/>
      <c r="C33" s="102">
        <f>C32/($C$32+$D$32+$E$32)</f>
        <v>1</v>
      </c>
      <c r="D33" s="103">
        <f>D32/($C$32+$D$32+$E$32)</f>
        <v>0</v>
      </c>
      <c r="E33" s="104">
        <f>E32/($C$32+$D$32+$E$32)</f>
        <v>0</v>
      </c>
      <c r="F33" s="105"/>
      <c r="G33" s="174"/>
      <c r="H33" s="175"/>
      <c r="I33" s="176"/>
      <c r="J33" s="120"/>
      <c r="K33" s="121"/>
      <c r="L33" s="212"/>
      <c r="M33" s="118"/>
      <c r="U33" s="423"/>
      <c r="V33" s="198"/>
      <c r="W33" s="198"/>
      <c r="X33" s="198"/>
      <c r="Y33" s="424"/>
      <c r="Z33" s="425"/>
      <c r="AA33" s="426"/>
      <c r="AB33" s="427"/>
      <c r="AC33" s="428"/>
      <c r="AD33" s="430"/>
    </row>
    <row r="34" spans="1:30" ht="13.5" thickBot="1">
      <c r="A34" s="766" t="s">
        <v>57</v>
      </c>
      <c r="B34" s="767"/>
      <c r="C34" s="106">
        <f>C14+C23+C32</f>
        <v>35732</v>
      </c>
      <c r="D34" s="106">
        <f>D14+D23+D32</f>
        <v>0</v>
      </c>
      <c r="E34" s="106">
        <f>E14+E23+E32</f>
        <v>0</v>
      </c>
      <c r="F34" s="107">
        <f>F14+F23+F32</f>
        <v>175</v>
      </c>
      <c r="G34" s="148">
        <f>67+32+53</f>
        <v>152</v>
      </c>
      <c r="H34" s="177"/>
      <c r="I34" s="177"/>
      <c r="J34" s="122" t="s">
        <v>28</v>
      </c>
      <c r="K34" s="123">
        <f>SUM(K7:K32)</f>
        <v>35732</v>
      </c>
      <c r="L34" s="211">
        <f>SUM(L7:L32)</f>
        <v>0</v>
      </c>
      <c r="M34" s="119">
        <f>SUM(M7:M32)</f>
        <v>285832</v>
      </c>
      <c r="Q34" s="175">
        <f>SUM(Q27:Q33)</f>
        <v>480</v>
      </c>
      <c r="R34" s="175">
        <f>SUM(R27:R33)</f>
        <v>590400</v>
      </c>
      <c r="S34" s="175">
        <f>SUM(S27:S33)</f>
        <v>448704</v>
      </c>
      <c r="AB34" s="148">
        <f>600/1000</f>
        <v>0.6</v>
      </c>
    </row>
    <row r="35" spans="1:30" ht="13.5" thickBot="1">
      <c r="A35" s="178"/>
      <c r="B35" s="179"/>
      <c r="C35" s="103">
        <f>C34/($C$34+$D$34+$E$34)</f>
        <v>1</v>
      </c>
      <c r="D35" s="103">
        <f>D34/($C$34+$D$34+$E$34)</f>
        <v>0</v>
      </c>
      <c r="E35" s="108">
        <f>E34/($C$34+$D$34+$E$34)</f>
        <v>0</v>
      </c>
      <c r="K35" s="154"/>
      <c r="Q35" s="148">
        <f>480-Q34</f>
        <v>0</v>
      </c>
      <c r="R35" s="175">
        <f>+R34/Q34</f>
        <v>1230</v>
      </c>
      <c r="S35" s="175">
        <f>+S34/Q34</f>
        <v>934.8</v>
      </c>
    </row>
    <row r="36" spans="1:30" ht="13.5" thickBot="1">
      <c r="A36" s="177"/>
      <c r="B36" s="177"/>
      <c r="C36" s="154"/>
      <c r="D36" s="154"/>
      <c r="E36" s="154"/>
      <c r="G36" s="154"/>
      <c r="H36" s="180"/>
      <c r="I36" s="161" t="s">
        <v>37</v>
      </c>
      <c r="J36" s="161" t="s">
        <v>38</v>
      </c>
      <c r="K36" s="181"/>
    </row>
    <row r="37" spans="1:30" ht="17.45" customHeight="1" thickBot="1">
      <c r="A37" s="768" t="s">
        <v>58</v>
      </c>
      <c r="B37" s="769"/>
      <c r="C37" s="161" t="s">
        <v>59</v>
      </c>
      <c r="D37" s="182" t="s">
        <v>60</v>
      </c>
      <c r="E37" s="183" t="s">
        <v>61</v>
      </c>
      <c r="F37" s="321"/>
      <c r="G37" s="323"/>
      <c r="H37" s="185" t="s">
        <v>62</v>
      </c>
      <c r="I37" s="243">
        <f>(13*200+11.5*1208)/1408*G42*2.74*1408/1000000</f>
        <v>41.044525626840901</v>
      </c>
      <c r="J37" s="124">
        <f>+I37+'7'!J37</f>
        <v>345.97817057058268</v>
      </c>
      <c r="K37" s="125" t="s">
        <v>63</v>
      </c>
      <c r="O37" s="175">
        <v>480</v>
      </c>
      <c r="P37" s="148" t="s">
        <v>489</v>
      </c>
      <c r="Q37" s="148">
        <v>1230</v>
      </c>
      <c r="R37" s="148">
        <v>922.5</v>
      </c>
      <c r="S37" s="148">
        <v>200</v>
      </c>
    </row>
    <row r="38" spans="1:30" ht="17.45" customHeight="1">
      <c r="A38" s="760" t="s">
        <v>12</v>
      </c>
      <c r="B38" s="761"/>
      <c r="C38" s="163">
        <f>SUMIF($G$7:$G$31,"Process",$F$7:$F$31)</f>
        <v>67</v>
      </c>
      <c r="D38" s="117">
        <f>+C38+'7'!D38</f>
        <v>643</v>
      </c>
      <c r="E38" s="142">
        <f t="shared" ref="E38:E51" si="15">D38/60</f>
        <v>10.716666666666667</v>
      </c>
      <c r="F38" s="321">
        <v>1230</v>
      </c>
      <c r="G38" s="321">
        <v>929.67499999999995</v>
      </c>
      <c r="H38" s="186" t="s">
        <v>64</v>
      </c>
      <c r="I38" s="244">
        <f>6.515+7.082+10.529+12.941</f>
        <v>37.067</v>
      </c>
      <c r="J38" s="126">
        <f>+I38+'7'!J38</f>
        <v>301.68</v>
      </c>
      <c r="K38" s="127" t="s">
        <v>63</v>
      </c>
      <c r="O38" s="175">
        <v>448</v>
      </c>
      <c r="P38" s="148" t="s">
        <v>536</v>
      </c>
      <c r="Q38" s="148">
        <v>1192.0447019867549</v>
      </c>
      <c r="R38" s="148">
        <v>905.95397350993369</v>
      </c>
      <c r="S38" s="148">
        <v>1208</v>
      </c>
    </row>
    <row r="39" spans="1:30" ht="17.45" customHeight="1">
      <c r="A39" s="764" t="s">
        <v>13</v>
      </c>
      <c r="B39" s="765"/>
      <c r="C39" s="163">
        <f>SUMIF($G$7:$G$31,"Cleaning",$F$7:$F$31)</f>
        <v>0</v>
      </c>
      <c r="D39" s="117">
        <f>+C39+'7'!D39</f>
        <v>0</v>
      </c>
      <c r="E39" s="142">
        <f t="shared" si="15"/>
        <v>0</v>
      </c>
      <c r="F39" s="321">
        <v>1127.65625</v>
      </c>
      <c r="G39" s="321">
        <v>857.01875000000007</v>
      </c>
      <c r="H39" s="186" t="s">
        <v>65</v>
      </c>
      <c r="I39" s="141"/>
      <c r="J39" s="128">
        <f>J37/G4</f>
        <v>43.247271321322835</v>
      </c>
      <c r="K39" s="129" t="s">
        <v>63</v>
      </c>
      <c r="O39" s="175">
        <v>480</v>
      </c>
      <c r="S39" s="148">
        <f>+S37+S38</f>
        <v>1408</v>
      </c>
    </row>
    <row r="40" spans="1:30" ht="17.45" customHeight="1">
      <c r="A40" s="764" t="s">
        <v>66</v>
      </c>
      <c r="B40" s="765"/>
      <c r="C40" s="163">
        <f>SUMIF($G$7:$G$31,"Mechanical",$F$7:$F$31)</f>
        <v>0</v>
      </c>
      <c r="D40" s="117">
        <f>+C40+'7'!D40</f>
        <v>0</v>
      </c>
      <c r="E40" s="142">
        <f t="shared" si="15"/>
        <v>0</v>
      </c>
      <c r="F40" s="321">
        <v>1230</v>
      </c>
      <c r="G40" s="321">
        <v>934.8</v>
      </c>
      <c r="H40" s="186" t="s">
        <v>67</v>
      </c>
      <c r="I40" s="117">
        <f>(K34+L34)/1000</f>
        <v>35.731999999999999</v>
      </c>
      <c r="J40" s="130">
        <f>+I40+'7'!J40</f>
        <v>285.83199999999999</v>
      </c>
      <c r="K40" s="129" t="s">
        <v>63</v>
      </c>
      <c r="O40" s="148">
        <f>SUM(O37:O39)</f>
        <v>1408</v>
      </c>
    </row>
    <row r="41" spans="1:30" ht="17.45" customHeight="1">
      <c r="A41" s="764" t="s">
        <v>68</v>
      </c>
      <c r="B41" s="765"/>
      <c r="C41" s="163">
        <f>SUMIF($G$7:$G$31,"Electrical",$F$7:$F$31)</f>
        <v>108</v>
      </c>
      <c r="D41" s="117">
        <f>+C41+'7'!D41</f>
        <v>239</v>
      </c>
      <c r="E41" s="142">
        <f t="shared" si="15"/>
        <v>3.9833333333333334</v>
      </c>
      <c r="F41" s="321"/>
      <c r="G41" s="321"/>
      <c r="H41" s="186" t="s">
        <v>69</v>
      </c>
      <c r="I41" s="141"/>
      <c r="J41" s="128">
        <f>J40/G4</f>
        <v>35.728999999999999</v>
      </c>
      <c r="K41" s="129" t="s">
        <v>63</v>
      </c>
    </row>
    <row r="42" spans="1:30" ht="17.45" customHeight="1">
      <c r="A42" s="764" t="s">
        <v>16</v>
      </c>
      <c r="B42" s="765"/>
      <c r="C42" s="163">
        <f>SUMIF($G$7:$G$31,"Instrument",$F$7:$F$31)</f>
        <v>0</v>
      </c>
      <c r="D42" s="117">
        <f>+C42+'7'!D42</f>
        <v>0</v>
      </c>
      <c r="E42" s="142">
        <f t="shared" si="15"/>
        <v>0</v>
      </c>
      <c r="F42" s="321">
        <f>+(480*F38+448*F39+480*F40)/1408</f>
        <v>1197.4360795454545</v>
      </c>
      <c r="G42" s="321">
        <f>+(480*G38+448*G39+480*G40)/1408</f>
        <v>908.30426136363633</v>
      </c>
      <c r="H42" s="186" t="s">
        <v>70</v>
      </c>
      <c r="I42" s="245" t="s">
        <v>547</v>
      </c>
      <c r="J42" s="131"/>
      <c r="K42" s="129" t="s">
        <v>71</v>
      </c>
    </row>
    <row r="43" spans="1:30" ht="17.45" customHeight="1">
      <c r="A43" s="764" t="s">
        <v>219</v>
      </c>
      <c r="B43" s="765"/>
      <c r="C43" s="163">
        <f>SUMIF($G$7:$G$31,"Change Grade",$F$7:$F$31)</f>
        <v>0</v>
      </c>
      <c r="D43" s="117">
        <f>+C43+'7'!D43</f>
        <v>0</v>
      </c>
      <c r="E43" s="142">
        <f t="shared" si="15"/>
        <v>0</v>
      </c>
      <c r="F43" s="321"/>
      <c r="G43" s="322"/>
      <c r="H43" s="187" t="s">
        <v>73</v>
      </c>
      <c r="I43" s="117">
        <f>+Report1!Z16</f>
        <v>53.3</v>
      </c>
      <c r="J43" s="132">
        <f>+I43+'7'!J43</f>
        <v>391.3</v>
      </c>
      <c r="K43" s="129" t="s">
        <v>63</v>
      </c>
      <c r="L43" s="188"/>
    </row>
    <row r="44" spans="1:30" ht="17.45" customHeight="1">
      <c r="A44" s="764" t="s">
        <v>17</v>
      </c>
      <c r="B44" s="765"/>
      <c r="C44" s="163">
        <f>SUMIF($G$7:$G$31,"PLN",$F$7:$F$31)</f>
        <v>0</v>
      </c>
      <c r="D44" s="117">
        <f>+C44+'7'!D44</f>
        <v>0</v>
      </c>
      <c r="E44" s="142">
        <f t="shared" si="15"/>
        <v>0</v>
      </c>
      <c r="F44" s="321"/>
      <c r="G44" s="322"/>
      <c r="H44" s="187" t="s">
        <v>74</v>
      </c>
      <c r="I44" s="117">
        <f>I43/I38</f>
        <v>1.4379367092022552</v>
      </c>
      <c r="J44" s="133">
        <f>J43/J38</f>
        <v>1.2970697427738</v>
      </c>
      <c r="K44" s="129" t="s">
        <v>63</v>
      </c>
    </row>
    <row r="45" spans="1:30" ht="17.45" customHeight="1">
      <c r="A45" s="764" t="s">
        <v>18</v>
      </c>
      <c r="B45" s="765"/>
      <c r="C45" s="163">
        <f>SUMIF($G$7:$G$31,"Boiler",$F$7:$F$31)</f>
        <v>0</v>
      </c>
      <c r="D45" s="117">
        <f>+C45+'7'!D45</f>
        <v>0</v>
      </c>
      <c r="E45" s="142">
        <f t="shared" si="15"/>
        <v>0</v>
      </c>
      <c r="F45" s="321"/>
      <c r="G45" s="324"/>
      <c r="H45" s="187" t="s">
        <v>75</v>
      </c>
      <c r="I45" s="117">
        <f>I43/I40</f>
        <v>1.4916601365722602</v>
      </c>
      <c r="J45" s="133">
        <f>J43/J40</f>
        <v>1.3689859777771558</v>
      </c>
      <c r="K45" s="129" t="s">
        <v>63</v>
      </c>
    </row>
    <row r="46" spans="1:30" ht="17.45" customHeight="1">
      <c r="A46" s="764" t="s">
        <v>76</v>
      </c>
      <c r="B46" s="765"/>
      <c r="C46" s="163">
        <f>SUMIF($G$7:$G$31,"Gas",$F$7:$F$31)</f>
        <v>0</v>
      </c>
      <c r="D46" s="117">
        <f>+C46+'7'!D46</f>
        <v>0</v>
      </c>
      <c r="E46" s="142">
        <f t="shared" si="15"/>
        <v>0</v>
      </c>
      <c r="F46" s="321"/>
      <c r="G46" s="322"/>
      <c r="H46" s="187" t="s">
        <v>77</v>
      </c>
      <c r="I46" s="139">
        <f>+SUMIF(Listrik!P15,"&gt;0")</f>
        <v>36406.460000000363</v>
      </c>
      <c r="J46" s="134">
        <f>+I46+'7'!J46</f>
        <v>261734.86</v>
      </c>
      <c r="K46" s="129" t="s">
        <v>78</v>
      </c>
    </row>
    <row r="47" spans="1:30" ht="17.45" customHeight="1">
      <c r="A47" s="764" t="s">
        <v>79</v>
      </c>
      <c r="B47" s="765"/>
      <c r="C47" s="163">
        <f>SUMIF($G$7:$G$31,"Gas",$F$7:$F$31)</f>
        <v>0</v>
      </c>
      <c r="D47" s="117">
        <f>+C47+'7'!D47</f>
        <v>0</v>
      </c>
      <c r="E47" s="142">
        <f t="shared" si="15"/>
        <v>0</v>
      </c>
      <c r="F47" s="321"/>
      <c r="G47" s="322"/>
      <c r="H47" s="187" t="s">
        <v>80</v>
      </c>
      <c r="I47" s="117">
        <f>I46/I38</f>
        <v>982.17983651227132</v>
      </c>
      <c r="J47" s="134">
        <f>J46/J38</f>
        <v>867.59102360116674</v>
      </c>
      <c r="K47" s="129" t="s">
        <v>24</v>
      </c>
    </row>
    <row r="48" spans="1:30" ht="17.45" customHeight="1">
      <c r="A48" s="764" t="s">
        <v>14</v>
      </c>
      <c r="B48" s="765"/>
      <c r="C48" s="163">
        <f>SUMIF($G$7:$G$31,"Start Up",$F$7:$F$31)</f>
        <v>0</v>
      </c>
      <c r="D48" s="117">
        <f>+C48+'7'!D48</f>
        <v>0</v>
      </c>
      <c r="E48" s="142">
        <f t="shared" si="15"/>
        <v>0</v>
      </c>
      <c r="F48" s="321"/>
      <c r="G48" s="322"/>
      <c r="H48" s="187" t="s">
        <v>81</v>
      </c>
      <c r="I48" s="117">
        <f>I46/I40</f>
        <v>1018.8755177432096</v>
      </c>
      <c r="J48" s="134">
        <f>J46/J40</f>
        <v>915.69474376556855</v>
      </c>
      <c r="K48" s="129" t="s">
        <v>24</v>
      </c>
    </row>
    <row r="49" spans="1:11" ht="17.45" customHeight="1">
      <c r="A49" s="764" t="s">
        <v>20</v>
      </c>
      <c r="B49" s="765"/>
      <c r="C49" s="163">
        <f>SUMIF($G$7:$G$31,"Others",$F$7:$F$31)</f>
        <v>0</v>
      </c>
      <c r="D49" s="117">
        <f>+C49+'7'!D49</f>
        <v>948</v>
      </c>
      <c r="E49" s="142">
        <f t="shared" si="15"/>
        <v>15.8</v>
      </c>
      <c r="F49" s="184"/>
      <c r="H49" s="187" t="s">
        <v>267</v>
      </c>
      <c r="I49" s="117">
        <f>+Report1!T16</f>
        <v>4586.0855906264587</v>
      </c>
      <c r="J49" s="134">
        <f>+I49+'7'!J49</f>
        <v>35468.006965885972</v>
      </c>
      <c r="K49" s="129" t="s">
        <v>82</v>
      </c>
    </row>
    <row r="50" spans="1:11" ht="17.45" customHeight="1">
      <c r="A50" s="764" t="s">
        <v>19</v>
      </c>
      <c r="B50" s="765"/>
      <c r="C50" s="163">
        <f>SUMIF($G$7:$G$31,"Steam",$F$7:$F$31)</f>
        <v>0</v>
      </c>
      <c r="D50" s="117">
        <f>+C50+'7'!D50</f>
        <v>0</v>
      </c>
      <c r="E50" s="142">
        <f t="shared" si="15"/>
        <v>0</v>
      </c>
      <c r="F50" s="184"/>
      <c r="H50" s="187" t="s">
        <v>83</v>
      </c>
      <c r="I50" s="139">
        <f>I49/I38</f>
        <v>123.72421805450828</v>
      </c>
      <c r="J50" s="132">
        <f>J49/J38</f>
        <v>117.56830736504233</v>
      </c>
      <c r="K50" s="129" t="s">
        <v>82</v>
      </c>
    </row>
    <row r="51" spans="1:11" ht="17.45" customHeight="1" thickBot="1">
      <c r="A51" s="758" t="s">
        <v>84</v>
      </c>
      <c r="B51" s="759"/>
      <c r="C51" s="163">
        <f>SUMIF($G$7:$G$31,"Planned shut",$F$7:$F$31)</f>
        <v>0</v>
      </c>
      <c r="D51" s="117">
        <f>+C51+'7'!D51</f>
        <v>0</v>
      </c>
      <c r="E51" s="142">
        <f t="shared" si="15"/>
        <v>0</v>
      </c>
      <c r="F51" s="184"/>
      <c r="H51" s="189" t="s">
        <v>85</v>
      </c>
      <c r="I51" s="140">
        <f>I49/I40</f>
        <v>128.34673655620898</v>
      </c>
      <c r="J51" s="135">
        <f>J49/J40</f>
        <v>124.08690057756294</v>
      </c>
      <c r="K51" s="136" t="s">
        <v>82</v>
      </c>
    </row>
    <row r="52" spans="1:11" ht="13.5" thickBot="1">
      <c r="A52" s="760" t="s">
        <v>28</v>
      </c>
      <c r="B52" s="761"/>
      <c r="C52" s="143">
        <f>SUM(C38:C51)</f>
        <v>175</v>
      </c>
      <c r="D52" s="143">
        <f>SUM(D38:D51)</f>
        <v>1830</v>
      </c>
      <c r="E52" s="144">
        <f>SUM(E38:E51)</f>
        <v>30.5</v>
      </c>
      <c r="F52" s="184"/>
      <c r="H52" s="190"/>
      <c r="I52" s="191"/>
      <c r="J52" s="137"/>
      <c r="K52" s="138"/>
    </row>
    <row r="53" spans="1:11" ht="13.5" thickBot="1">
      <c r="A53" s="762"/>
      <c r="B53" s="763"/>
      <c r="C53" s="145">
        <f>C52/(24*60)</f>
        <v>0.12152777777777778</v>
      </c>
      <c r="D53" s="145">
        <f>D52/(24*60*G4)</f>
        <v>0.15885416666666666</v>
      </c>
      <c r="E53" s="146">
        <f>E52/(G4*24)</f>
        <v>0.15885416666666666</v>
      </c>
      <c r="F53" s="184"/>
    </row>
    <row r="54" spans="1:11">
      <c r="E54" s="192"/>
      <c r="F54" s="184"/>
    </row>
    <row r="55" spans="1:11">
      <c r="E55" s="192"/>
    </row>
    <row r="56" spans="1:11">
      <c r="A56" s="193" t="s">
        <v>86</v>
      </c>
      <c r="B56" s="194"/>
      <c r="C56" s="195"/>
      <c r="D56" s="195"/>
      <c r="E56" s="195"/>
      <c r="F56" s="196"/>
      <c r="G56" s="195"/>
      <c r="H56" s="197"/>
      <c r="I56" s="198" t="s">
        <v>87</v>
      </c>
      <c r="J56" s="199">
        <f>+D34+'7'!J56</f>
        <v>830</v>
      </c>
      <c r="K56" s="200">
        <f>J56/(J40+J56/1000)/1000</f>
        <v>2.8953959715623282E-3</v>
      </c>
    </row>
    <row r="57" spans="1:11">
      <c r="A57" s="175"/>
      <c r="I57" s="198" t="s">
        <v>88</v>
      </c>
      <c r="J57" s="199">
        <f>+E34+'7'!J57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37:B37"/>
    <mergeCell ref="A48:B48"/>
    <mergeCell ref="A50:B50"/>
    <mergeCell ref="A49:B49"/>
    <mergeCell ref="A52:B52"/>
    <mergeCell ref="A51:B51"/>
    <mergeCell ref="A46:B46"/>
    <mergeCell ref="A47:B47"/>
    <mergeCell ref="A42:B42"/>
    <mergeCell ref="A43:B43"/>
    <mergeCell ref="A45:B45"/>
    <mergeCell ref="A40:B40"/>
    <mergeCell ref="A41:B41"/>
    <mergeCell ref="A44:B44"/>
    <mergeCell ref="A34:B34"/>
    <mergeCell ref="A38:B38"/>
    <mergeCell ref="A39:B39"/>
    <mergeCell ref="A7:A14"/>
    <mergeCell ref="I7:I13"/>
    <mergeCell ref="A15:A23"/>
    <mergeCell ref="I15:I22"/>
    <mergeCell ref="A24:A32"/>
    <mergeCell ref="I24:I31"/>
  </mergeCells>
  <phoneticPr fontId="32"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1"/>
  <sheetViews>
    <sheetView view="pageBreakPreview" topLeftCell="G1" zoomScale="80" zoomScaleNormal="75" zoomScaleSheetLayoutView="80" workbookViewId="0">
      <selection activeCell="I7" sqref="I7:I13"/>
    </sheetView>
  </sheetViews>
  <sheetFormatPr defaultColWidth="9.140625" defaultRowHeight="12.75"/>
  <cols>
    <col min="1" max="1" width="8" style="148" customWidth="1"/>
    <col min="2" max="2" width="7" style="148" bestFit="1" customWidth="1"/>
    <col min="3" max="3" width="14.85546875" style="148" bestFit="1" customWidth="1"/>
    <col min="4" max="4" width="12.710937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3.28515625" style="148" bestFit="1" customWidth="1"/>
    <col min="12" max="12" width="12" style="148" bestFit="1" customWidth="1"/>
    <col min="13" max="13" width="15.5703125" style="148" bestFit="1" customWidth="1"/>
    <col min="14" max="16384" width="9.140625" style="148"/>
  </cols>
  <sheetData>
    <row r="1" spans="1:26" ht="15.75">
      <c r="A1" s="147"/>
    </row>
    <row r="2" spans="1:26" ht="15.75">
      <c r="A2" s="147" t="s">
        <v>182</v>
      </c>
    </row>
    <row r="3" spans="1:26" ht="15">
      <c r="A3" s="149"/>
    </row>
    <row r="4" spans="1:26" ht="20.25">
      <c r="A4" s="150" t="s">
        <v>3</v>
      </c>
      <c r="B4" s="151"/>
      <c r="F4" s="152" t="s">
        <v>29</v>
      </c>
      <c r="G4" s="153">
        <v>7</v>
      </c>
      <c r="H4" s="153" t="str">
        <f>+'1'!H4</f>
        <v>.03.26</v>
      </c>
      <c r="J4" s="148">
        <f>456+512+159</f>
        <v>1127</v>
      </c>
    </row>
    <row r="5" spans="1:26" ht="13.5" thickBot="1">
      <c r="C5" s="154"/>
      <c r="D5" s="154"/>
    </row>
    <row r="6" spans="1:26"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532</v>
      </c>
      <c r="O6" s="148">
        <v>1100</v>
      </c>
      <c r="P6" s="148">
        <f>+O6-(O6*0.24)</f>
        <v>836</v>
      </c>
      <c r="Q6" s="148">
        <f>60-48+60</f>
        <v>72</v>
      </c>
      <c r="R6" s="148">
        <f t="shared" ref="R6:R7" si="0">+O6*Q6</f>
        <v>79200</v>
      </c>
      <c r="S6" s="148">
        <f t="shared" ref="S6:S7" si="1">+P6*Q6</f>
        <v>60192</v>
      </c>
      <c r="U6" s="148" t="s">
        <v>532</v>
      </c>
      <c r="V6" s="148">
        <v>1100</v>
      </c>
      <c r="W6" s="148">
        <f>+V6-(V6*0.24)</f>
        <v>836</v>
      </c>
      <c r="X6" s="148">
        <f>60-48+60</f>
        <v>72</v>
      </c>
      <c r="Y6" s="148">
        <f t="shared" ref="Y6:Y7" si="2">+V6*X6</f>
        <v>79200</v>
      </c>
      <c r="Z6" s="148">
        <f t="shared" ref="Z6:Z7" si="3">+W6*X6</f>
        <v>60192</v>
      </c>
    </row>
    <row r="7" spans="1:26" ht="13.5" customHeight="1" thickBot="1">
      <c r="A7" s="770" t="s">
        <v>390</v>
      </c>
      <c r="B7" s="214"/>
      <c r="C7" s="215"/>
      <c r="D7" s="216"/>
      <c r="E7" s="217"/>
      <c r="F7" s="227"/>
      <c r="G7" s="228" t="s">
        <v>12</v>
      </c>
      <c r="H7" s="229" t="s">
        <v>384</v>
      </c>
      <c r="I7" s="773" t="s">
        <v>537</v>
      </c>
      <c r="J7" s="213" t="str">
        <f>+'6'!J7</f>
        <v>F 12 VP OW</v>
      </c>
      <c r="K7" s="237"/>
      <c r="L7" s="241"/>
      <c r="M7" s="116">
        <f>+K7+'6'!M7+L7</f>
        <v>45075</v>
      </c>
      <c r="P7" s="148">
        <f>+O7-(O7*0.24)</f>
        <v>0</v>
      </c>
      <c r="R7" s="148">
        <f t="shared" si="0"/>
        <v>0</v>
      </c>
      <c r="S7" s="148">
        <f t="shared" si="1"/>
        <v>0</v>
      </c>
      <c r="U7" s="148" t="s">
        <v>532</v>
      </c>
      <c r="V7" s="148">
        <v>1120</v>
      </c>
      <c r="W7" s="148">
        <v>851.2</v>
      </c>
      <c r="X7" s="148">
        <v>322</v>
      </c>
      <c r="Y7" s="148">
        <f t="shared" si="2"/>
        <v>360640</v>
      </c>
      <c r="Z7" s="148">
        <f t="shared" si="3"/>
        <v>274086.40000000002</v>
      </c>
    </row>
    <row r="8" spans="1:26" ht="13.5" thickBot="1">
      <c r="A8" s="771"/>
      <c r="B8" s="214"/>
      <c r="C8" s="215"/>
      <c r="D8" s="216"/>
      <c r="E8" s="218"/>
      <c r="F8" s="230"/>
      <c r="G8" s="231" t="s">
        <v>12</v>
      </c>
      <c r="H8" s="229" t="s">
        <v>283</v>
      </c>
      <c r="I8" s="774"/>
      <c r="J8" s="213" t="str">
        <f>+'6'!J8</f>
        <v>F 14 VP OW</v>
      </c>
      <c r="K8" s="238"/>
      <c r="L8" s="238"/>
      <c r="M8" s="116">
        <f>+K8+'6'!M8+L8</f>
        <v>69856</v>
      </c>
    </row>
    <row r="9" spans="1:26" ht="13.5" thickBot="1">
      <c r="A9" s="771"/>
      <c r="B9" s="214"/>
      <c r="C9" s="215"/>
      <c r="D9" s="216"/>
      <c r="E9" s="219"/>
      <c r="F9" s="227"/>
      <c r="G9" s="231" t="s">
        <v>12</v>
      </c>
      <c r="H9" s="232" t="s">
        <v>496</v>
      </c>
      <c r="I9" s="774"/>
      <c r="J9" s="213" t="str">
        <f>+'6'!J9</f>
        <v>F 16 VP OW</v>
      </c>
      <c r="K9" s="238"/>
      <c r="L9" s="238"/>
      <c r="M9" s="116">
        <f>+K9+'6'!M9+L9</f>
        <v>104726</v>
      </c>
    </row>
    <row r="10" spans="1:26" ht="159.75" customHeight="1" thickBot="1">
      <c r="A10" s="771"/>
      <c r="B10" s="214"/>
      <c r="C10" s="215"/>
      <c r="D10" s="216"/>
      <c r="E10" s="218"/>
      <c r="F10" s="227">
        <v>408</v>
      </c>
      <c r="G10" s="231" t="s">
        <v>20</v>
      </c>
      <c r="H10" s="232" t="s">
        <v>531</v>
      </c>
      <c r="I10" s="774"/>
      <c r="J10" s="213" t="str">
        <f>+'6'!J10</f>
        <v>F 13,5 VP OW</v>
      </c>
      <c r="K10" s="238"/>
      <c r="L10" s="238"/>
      <c r="M10" s="116">
        <f>+K10+'6'!M10+L10</f>
        <v>10827</v>
      </c>
    </row>
    <row r="11" spans="1:26" ht="13.5" thickBot="1">
      <c r="A11" s="771"/>
      <c r="B11" s="214"/>
      <c r="C11" s="215"/>
      <c r="D11" s="216"/>
      <c r="E11" s="218"/>
      <c r="F11" s="227"/>
      <c r="G11" s="231"/>
      <c r="H11" s="232"/>
      <c r="I11" s="774"/>
      <c r="J11" s="213" t="str">
        <f>+'6'!J11</f>
        <v>F 13 VP OW</v>
      </c>
      <c r="K11" s="238">
        <f>+C17+C25</f>
        <v>6891</v>
      </c>
      <c r="L11" s="238"/>
      <c r="M11" s="116">
        <f>+K11+'6'!M11+L11</f>
        <v>9168</v>
      </c>
    </row>
    <row r="12" spans="1:26" ht="13.5" thickBot="1">
      <c r="A12" s="771"/>
      <c r="B12" s="214"/>
      <c r="C12" s="215"/>
      <c r="D12" s="216"/>
      <c r="E12" s="218"/>
      <c r="F12" s="227"/>
      <c r="G12" s="231"/>
      <c r="H12" s="232"/>
      <c r="I12" s="774"/>
      <c r="J12" s="213" t="s">
        <v>556</v>
      </c>
      <c r="K12" s="238">
        <f>+C26+C16</f>
        <v>10448</v>
      </c>
      <c r="L12" s="238"/>
      <c r="M12" s="116">
        <f>+K12+'6'!M12+L12</f>
        <v>10448</v>
      </c>
    </row>
    <row r="13" spans="1:26" ht="13.5" thickBot="1">
      <c r="A13" s="771"/>
      <c r="B13" s="214"/>
      <c r="C13" s="215"/>
      <c r="D13" s="215"/>
      <c r="E13" s="218"/>
      <c r="F13" s="227"/>
      <c r="G13" s="231"/>
      <c r="H13" s="232"/>
      <c r="I13" s="775"/>
      <c r="J13" s="213">
        <f>+'6'!J13</f>
        <v>0</v>
      </c>
      <c r="K13" s="238"/>
      <c r="L13" s="238"/>
      <c r="M13" s="116">
        <f>+K13+'6'!M13+L13</f>
        <v>0</v>
      </c>
      <c r="Q13" s="175">
        <f>SUM(Q5:Q12)</f>
        <v>72</v>
      </c>
      <c r="R13" s="175">
        <f>SUM(R5:R12)</f>
        <v>79200</v>
      </c>
      <c r="S13" s="175">
        <f>SUM(S5:S12)</f>
        <v>60192</v>
      </c>
      <c r="X13" s="175">
        <f>SUM(X5:X12)</f>
        <v>394</v>
      </c>
      <c r="Y13" s="175">
        <f>SUM(Y5:Y12)</f>
        <v>439840</v>
      </c>
      <c r="Z13" s="175">
        <f>SUM(Z5:Z12)</f>
        <v>334278.40000000002</v>
      </c>
    </row>
    <row r="14" spans="1:26" ht="13.5" thickBot="1">
      <c r="A14" s="772"/>
      <c r="B14" s="164" t="s">
        <v>2</v>
      </c>
      <c r="C14" s="98">
        <f>SUM(C7:C13)</f>
        <v>0</v>
      </c>
      <c r="D14" s="110">
        <f>SUM(D7:D13)</f>
        <v>0</v>
      </c>
      <c r="E14" s="111">
        <f>SUM(E5:E13)</f>
        <v>0</v>
      </c>
      <c r="F14" s="115">
        <f>SUM(F7:F13)</f>
        <v>408</v>
      </c>
      <c r="G14" s="158"/>
      <c r="H14" s="165"/>
      <c r="I14" s="166"/>
      <c r="J14" s="213">
        <f>+'6'!J14</f>
        <v>0</v>
      </c>
      <c r="K14" s="238"/>
      <c r="L14" s="238"/>
      <c r="M14" s="116">
        <f>+K14+'6'!M14+L14</f>
        <v>0</v>
      </c>
      <c r="Q14" s="148">
        <f>480-Q13</f>
        <v>408</v>
      </c>
      <c r="R14" s="175">
        <f>+R13/Q13</f>
        <v>1100</v>
      </c>
      <c r="S14" s="175">
        <f>+S13/Q13</f>
        <v>836</v>
      </c>
      <c r="X14" s="148">
        <f>480-X13</f>
        <v>86</v>
      </c>
      <c r="Y14" s="175">
        <f>+Y13/X13</f>
        <v>1116.3451776649747</v>
      </c>
      <c r="Z14" s="175">
        <f>+Z13/X13</f>
        <v>848.42233502538079</v>
      </c>
    </row>
    <row r="15" spans="1:26" ht="13.5" customHeight="1" thickBot="1">
      <c r="A15" s="770" t="s">
        <v>391</v>
      </c>
      <c r="B15" s="164"/>
      <c r="C15" s="112">
        <f>C14/($C$23+$D$23+$E$23)</f>
        <v>0</v>
      </c>
      <c r="D15" s="113">
        <f>D14/($C$23+$D$23+$E$23)</f>
        <v>0</v>
      </c>
      <c r="E15" s="114">
        <f>E14/($C$23+$D$23+$E$23)</f>
        <v>0</v>
      </c>
      <c r="F15" s="227"/>
      <c r="G15" s="228" t="s">
        <v>12</v>
      </c>
      <c r="H15" s="229" t="s">
        <v>384</v>
      </c>
      <c r="I15" s="773" t="s">
        <v>538</v>
      </c>
      <c r="J15" s="213">
        <f>+'6'!J15</f>
        <v>0</v>
      </c>
      <c r="K15" s="238"/>
      <c r="L15" s="238"/>
      <c r="M15" s="116">
        <f>+K15+'6'!M15+L15</f>
        <v>0</v>
      </c>
      <c r="N15" s="148" t="s">
        <v>532</v>
      </c>
      <c r="O15" s="148">
        <v>1120</v>
      </c>
      <c r="P15" s="148">
        <f>+O15-(O15*0.24)</f>
        <v>851.2</v>
      </c>
      <c r="Q15" s="148">
        <f>60*5+22</f>
        <v>322</v>
      </c>
      <c r="R15" s="148">
        <f t="shared" ref="R15:R16" si="4">+O15*Q15</f>
        <v>360640</v>
      </c>
      <c r="S15" s="148">
        <f t="shared" ref="S15:S16" si="5">+P15*Q15</f>
        <v>274086.40000000002</v>
      </c>
    </row>
    <row r="16" spans="1:26" ht="13.5" thickBot="1">
      <c r="A16" s="776"/>
      <c r="B16" s="214" t="s">
        <v>556</v>
      </c>
      <c r="C16" s="221">
        <v>9691</v>
      </c>
      <c r="D16" s="222"/>
      <c r="E16" s="223"/>
      <c r="F16" s="230">
        <v>10</v>
      </c>
      <c r="G16" s="231" t="s">
        <v>12</v>
      </c>
      <c r="H16" s="229" t="s">
        <v>541</v>
      </c>
      <c r="I16" s="774"/>
      <c r="J16" s="213">
        <f>+'6'!J16</f>
        <v>0</v>
      </c>
      <c r="K16" s="228"/>
      <c r="L16" s="228"/>
      <c r="M16" s="116">
        <f>+K16+'6'!M16+L16</f>
        <v>0</v>
      </c>
      <c r="N16" s="148" t="s">
        <v>489</v>
      </c>
      <c r="O16" s="148">
        <v>1200</v>
      </c>
      <c r="P16" s="148">
        <f>+O16-(O16*0.24)</f>
        <v>912</v>
      </c>
      <c r="Q16" s="148">
        <f>480-Q15</f>
        <v>158</v>
      </c>
      <c r="R16" s="148">
        <f t="shared" si="4"/>
        <v>189600</v>
      </c>
      <c r="S16" s="148">
        <f t="shared" si="5"/>
        <v>144096</v>
      </c>
      <c r="U16" s="148" t="s">
        <v>489</v>
      </c>
      <c r="V16" s="148">
        <v>1200</v>
      </c>
      <c r="W16" s="148">
        <v>912</v>
      </c>
      <c r="X16" s="148">
        <v>158</v>
      </c>
      <c r="Y16" s="148">
        <f t="shared" ref="Y16" si="6">+V16*X16</f>
        <v>189600</v>
      </c>
      <c r="Z16" s="148">
        <f t="shared" ref="Z16" si="7">+W16*X16</f>
        <v>144096</v>
      </c>
    </row>
    <row r="17" spans="1:30" ht="13.5" thickBot="1">
      <c r="A17" s="776"/>
      <c r="B17" s="214" t="s">
        <v>504</v>
      </c>
      <c r="C17" s="215">
        <f>2163+233</f>
        <v>2396</v>
      </c>
      <c r="D17" s="216"/>
      <c r="E17" s="224"/>
      <c r="F17" s="227">
        <v>10</v>
      </c>
      <c r="G17" s="231" t="s">
        <v>12</v>
      </c>
      <c r="H17" s="232" t="s">
        <v>411</v>
      </c>
      <c r="I17" s="774"/>
      <c r="J17" s="213">
        <f>+'6'!J17</f>
        <v>0</v>
      </c>
      <c r="K17" s="228"/>
      <c r="L17" s="228"/>
      <c r="M17" s="116">
        <f>+K17+'6'!M17+L17</f>
        <v>0</v>
      </c>
      <c r="U17" s="148" t="s">
        <v>489</v>
      </c>
      <c r="V17" s="148">
        <v>1150</v>
      </c>
      <c r="W17" s="148">
        <v>862.5</v>
      </c>
      <c r="X17" s="148">
        <v>65</v>
      </c>
      <c r="Y17" s="148">
        <f t="shared" ref="Y17:Y20" si="8">+V17*X17</f>
        <v>74750</v>
      </c>
      <c r="Z17" s="148">
        <f t="shared" ref="Z17:Z20" si="9">+W17*X17</f>
        <v>56062.5</v>
      </c>
    </row>
    <row r="18" spans="1:30" ht="26.25" thickBot="1">
      <c r="A18" s="776"/>
      <c r="B18" s="214"/>
      <c r="C18" s="215"/>
      <c r="D18" s="216"/>
      <c r="E18" s="224"/>
      <c r="F18" s="227"/>
      <c r="G18" s="236" t="s">
        <v>13</v>
      </c>
      <c r="H18" s="232" t="s">
        <v>529</v>
      </c>
      <c r="I18" s="774"/>
      <c r="J18" s="213">
        <f>+'6'!J18</f>
        <v>0</v>
      </c>
      <c r="K18" s="238"/>
      <c r="L18" s="238"/>
      <c r="M18" s="116">
        <f>+K18+'6'!M18+L18</f>
        <v>0</v>
      </c>
      <c r="V18" s="148">
        <v>1100</v>
      </c>
      <c r="W18" s="148">
        <v>825</v>
      </c>
      <c r="X18" s="148">
        <v>11</v>
      </c>
      <c r="Y18" s="148">
        <f t="shared" si="8"/>
        <v>12100</v>
      </c>
      <c r="Z18" s="148">
        <f t="shared" si="9"/>
        <v>9075</v>
      </c>
    </row>
    <row r="19" spans="1:30" ht="51.75" thickBot="1">
      <c r="A19" s="776"/>
      <c r="B19" s="214"/>
      <c r="C19" s="215"/>
      <c r="D19" s="216"/>
      <c r="E19" s="224"/>
      <c r="F19" s="234"/>
      <c r="G19" s="231"/>
      <c r="H19" s="232" t="s">
        <v>534</v>
      </c>
      <c r="I19" s="774"/>
      <c r="J19" s="213">
        <f>+'6'!J19</f>
        <v>0</v>
      </c>
      <c r="K19" s="238"/>
      <c r="L19" s="238"/>
      <c r="M19" s="116">
        <f>+K19+'6'!M19+L19</f>
        <v>0</v>
      </c>
      <c r="V19" s="148">
        <v>1050</v>
      </c>
      <c r="W19" s="148">
        <v>787.5</v>
      </c>
      <c r="X19" s="148">
        <v>18</v>
      </c>
      <c r="Y19" s="148">
        <f t="shared" si="8"/>
        <v>18900</v>
      </c>
      <c r="Z19" s="148">
        <f t="shared" si="9"/>
        <v>14175</v>
      </c>
    </row>
    <row r="20" spans="1:30" ht="13.5" thickBot="1">
      <c r="A20" s="776"/>
      <c r="B20" s="214"/>
      <c r="C20" s="215"/>
      <c r="D20" s="216"/>
      <c r="E20" s="224"/>
      <c r="F20" s="227">
        <v>18</v>
      </c>
      <c r="G20" s="231" t="s">
        <v>68</v>
      </c>
      <c r="H20" s="232" t="s">
        <v>530</v>
      </c>
      <c r="I20" s="774"/>
      <c r="J20" s="213">
        <f>+'6'!J20</f>
        <v>0</v>
      </c>
      <c r="K20" s="239"/>
      <c r="L20" s="239"/>
      <c r="M20" s="116">
        <f>+K20+'6'!M20+L20</f>
        <v>0</v>
      </c>
      <c r="V20" s="148">
        <v>1200</v>
      </c>
      <c r="W20" s="148">
        <v>900</v>
      </c>
      <c r="X20" s="148">
        <v>168</v>
      </c>
      <c r="Y20" s="148">
        <f t="shared" si="8"/>
        <v>201600</v>
      </c>
      <c r="Z20" s="148">
        <f t="shared" si="9"/>
        <v>151200</v>
      </c>
    </row>
    <row r="21" spans="1:30" ht="13.5" thickBot="1">
      <c r="A21" s="776"/>
      <c r="B21" s="214"/>
      <c r="C21" s="215"/>
      <c r="D21" s="216"/>
      <c r="E21" s="224"/>
      <c r="F21" s="230"/>
      <c r="G21" s="231"/>
      <c r="H21" s="232"/>
      <c r="I21" s="774"/>
      <c r="J21" s="213">
        <f>+'6'!J21</f>
        <v>0</v>
      </c>
      <c r="K21" s="238"/>
      <c r="L21" s="238"/>
      <c r="M21" s="116">
        <f>+K21+'6'!M21+L21</f>
        <v>0</v>
      </c>
    </row>
    <row r="22" spans="1:30" ht="13.5" thickBot="1">
      <c r="A22" s="776"/>
      <c r="B22" s="214"/>
      <c r="C22" s="215"/>
      <c r="D22" s="216"/>
      <c r="E22" s="224"/>
      <c r="F22" s="235"/>
      <c r="G22" s="231"/>
      <c r="H22" s="232"/>
      <c r="I22" s="775"/>
      <c r="J22" s="213">
        <f>+'6'!J22</f>
        <v>0</v>
      </c>
      <c r="K22" s="238"/>
      <c r="L22" s="238"/>
      <c r="M22" s="116">
        <f>+K22+'6'!M22+L22</f>
        <v>0</v>
      </c>
      <c r="Q22" s="175">
        <f>SUM(Q15:Q21)</f>
        <v>480</v>
      </c>
      <c r="R22" s="175">
        <f>SUM(R15:R21)</f>
        <v>550240</v>
      </c>
      <c r="S22" s="175">
        <f>SUM(S15:S21)</f>
        <v>418182.40000000002</v>
      </c>
    </row>
    <row r="23" spans="1:30" ht="13.5" thickBot="1">
      <c r="A23" s="777"/>
      <c r="B23" s="167" t="s">
        <v>2</v>
      </c>
      <c r="C23" s="99">
        <f>SUM(C16:C22)</f>
        <v>12087</v>
      </c>
      <c r="D23" s="110">
        <f>SUM(D16:D22)</f>
        <v>0</v>
      </c>
      <c r="E23" s="111">
        <f>SUM(E18:E22)</f>
        <v>0</v>
      </c>
      <c r="F23" s="115">
        <f>SUM(F15:F22)</f>
        <v>38</v>
      </c>
      <c r="G23" s="158"/>
      <c r="H23" s="165"/>
      <c r="I23" s="168"/>
      <c r="J23" s="213">
        <f>+'6'!J23</f>
        <v>0</v>
      </c>
      <c r="K23" s="238"/>
      <c r="L23" s="238"/>
      <c r="M23" s="116">
        <f>+K23+'6'!M23+L23</f>
        <v>0</v>
      </c>
      <c r="Q23" s="148">
        <f>480-Q22</f>
        <v>0</v>
      </c>
      <c r="R23" s="175">
        <f>+R22/Q22</f>
        <v>1146.3333333333333</v>
      </c>
      <c r="S23" s="175">
        <f>+S22/Q22</f>
        <v>871.21333333333337</v>
      </c>
      <c r="X23" s="175">
        <f>SUM(X15:X22)</f>
        <v>420</v>
      </c>
      <c r="Y23" s="175">
        <f>SUM(Y15:Y22)</f>
        <v>496950</v>
      </c>
      <c r="Z23" s="175">
        <f>SUM(Z15:Z22)</f>
        <v>374608.5</v>
      </c>
    </row>
    <row r="24" spans="1:30" ht="13.5" customHeight="1" thickBot="1">
      <c r="A24" s="770" t="s">
        <v>457</v>
      </c>
      <c r="B24" s="169"/>
      <c r="C24" s="112">
        <f>C23/($C$23+$D$23+$E$23)</f>
        <v>1</v>
      </c>
      <c r="D24" s="113">
        <f>D23/($C$23+$D$23+$E$23)</f>
        <v>0</v>
      </c>
      <c r="E24" s="114">
        <f>E23/($C$23+$D$23+$E$23)</f>
        <v>0</v>
      </c>
      <c r="F24" s="227"/>
      <c r="G24" s="228" t="s">
        <v>12</v>
      </c>
      <c r="H24" s="229" t="s">
        <v>384</v>
      </c>
      <c r="I24" s="773" t="s">
        <v>539</v>
      </c>
      <c r="J24" s="213">
        <f>+'6'!J24</f>
        <v>0</v>
      </c>
      <c r="K24" s="238"/>
      <c r="L24" s="238"/>
      <c r="M24" s="116">
        <f>+K24+'6'!M24+L24</f>
        <v>0</v>
      </c>
      <c r="X24" s="148">
        <f>480-X23</f>
        <v>60</v>
      </c>
      <c r="Y24" s="175">
        <f>+Y23/X23</f>
        <v>1183.2142857142858</v>
      </c>
      <c r="Z24" s="175">
        <f>+Z23/X23</f>
        <v>891.92499999999995</v>
      </c>
    </row>
    <row r="25" spans="1:30" ht="13.5" thickBot="1">
      <c r="A25" s="776"/>
      <c r="B25" s="214" t="s">
        <v>504</v>
      </c>
      <c r="C25" s="225">
        <f>4056+439</f>
        <v>4495</v>
      </c>
      <c r="D25" s="216"/>
      <c r="E25" s="224"/>
      <c r="F25" s="230">
        <v>5</v>
      </c>
      <c r="G25" s="231" t="s">
        <v>12</v>
      </c>
      <c r="H25" s="229" t="s">
        <v>542</v>
      </c>
      <c r="I25" s="774"/>
      <c r="J25" s="213">
        <f>+'6'!J25</f>
        <v>0</v>
      </c>
      <c r="K25" s="238"/>
      <c r="L25" s="238"/>
      <c r="M25" s="116">
        <f>+K25+'6'!M25+L25</f>
        <v>0</v>
      </c>
      <c r="N25" s="148" t="s">
        <v>489</v>
      </c>
      <c r="O25" s="148">
        <v>1150</v>
      </c>
      <c r="P25" s="148">
        <f>+O25-(O25*0.25)</f>
        <v>862.5</v>
      </c>
      <c r="Q25" s="148">
        <f>60+5</f>
        <v>65</v>
      </c>
      <c r="R25" s="148">
        <f t="shared" ref="R25" si="10">+O25*Q25</f>
        <v>74750</v>
      </c>
      <c r="S25" s="148">
        <f t="shared" ref="S25" si="11">+P25*Q25</f>
        <v>56062.5</v>
      </c>
    </row>
    <row r="26" spans="1:30" ht="13.5" thickBot="1">
      <c r="A26" s="776"/>
      <c r="B26" s="214" t="s">
        <v>556</v>
      </c>
      <c r="C26" s="225">
        <v>757</v>
      </c>
      <c r="D26" s="216"/>
      <c r="E26" s="226"/>
      <c r="F26" s="227">
        <v>10</v>
      </c>
      <c r="G26" s="231" t="s">
        <v>12</v>
      </c>
      <c r="H26" s="232" t="s">
        <v>411</v>
      </c>
      <c r="I26" s="774"/>
      <c r="J26" s="213">
        <f>+'6'!J26</f>
        <v>0</v>
      </c>
      <c r="K26" s="238"/>
      <c r="L26" s="238"/>
      <c r="M26" s="116">
        <f>+K26+'6'!M26+L26</f>
        <v>0</v>
      </c>
      <c r="O26" s="148">
        <v>1100</v>
      </c>
      <c r="P26" s="148">
        <f t="shared" ref="P26:P28" si="12">+O26-(O26*0.25)</f>
        <v>825</v>
      </c>
      <c r="Q26" s="148">
        <f>16-5</f>
        <v>11</v>
      </c>
      <c r="R26" s="148">
        <f t="shared" ref="R26:R28" si="13">+O26*Q26</f>
        <v>12100</v>
      </c>
      <c r="S26" s="148">
        <f t="shared" ref="S26:S28" si="14">+P26*Q26</f>
        <v>9075</v>
      </c>
    </row>
    <row r="27" spans="1:30" ht="26.25" thickBot="1">
      <c r="A27" s="776"/>
      <c r="B27" s="214"/>
      <c r="C27" s="215"/>
      <c r="D27" s="216"/>
      <c r="E27" s="224"/>
      <c r="F27" s="227"/>
      <c r="G27" s="236" t="s">
        <v>13</v>
      </c>
      <c r="H27" s="232" t="s">
        <v>533</v>
      </c>
      <c r="I27" s="774"/>
      <c r="J27" s="213">
        <f>+'6'!J27</f>
        <v>0</v>
      </c>
      <c r="K27" s="238"/>
      <c r="L27" s="238"/>
      <c r="M27" s="116">
        <f>+K27+'6'!M27+L27</f>
        <v>0</v>
      </c>
      <c r="O27" s="148">
        <v>1050</v>
      </c>
      <c r="P27" s="148">
        <f t="shared" si="12"/>
        <v>787.5</v>
      </c>
      <c r="Q27" s="148">
        <f>60-53+11</f>
        <v>18</v>
      </c>
      <c r="R27" s="148">
        <f t="shared" si="13"/>
        <v>18900</v>
      </c>
      <c r="S27" s="148">
        <f t="shared" si="14"/>
        <v>14175</v>
      </c>
      <c r="U27" s="180" t="s">
        <v>92</v>
      </c>
      <c r="V27" s="421" t="s">
        <v>562</v>
      </c>
      <c r="W27" s="421" t="s">
        <v>563</v>
      </c>
      <c r="X27" s="421" t="s">
        <v>190</v>
      </c>
      <c r="Y27" s="421" t="s">
        <v>191</v>
      </c>
      <c r="Z27" s="577" t="s">
        <v>192</v>
      </c>
      <c r="AA27" s="421" t="s">
        <v>187</v>
      </c>
      <c r="AB27" s="422" t="s">
        <v>193</v>
      </c>
      <c r="AC27" s="421" t="s">
        <v>194</v>
      </c>
      <c r="AD27" s="421" t="s">
        <v>188</v>
      </c>
    </row>
    <row r="28" spans="1:30" ht="185.25" customHeight="1" thickBot="1">
      <c r="A28" s="776"/>
      <c r="B28" s="214"/>
      <c r="C28" s="215"/>
      <c r="D28" s="216"/>
      <c r="E28" s="224"/>
      <c r="F28" s="230">
        <v>113</v>
      </c>
      <c r="G28" s="231" t="s">
        <v>68</v>
      </c>
      <c r="H28" s="232" t="s">
        <v>535</v>
      </c>
      <c r="I28" s="774"/>
      <c r="J28" s="213">
        <f>+'6'!J28</f>
        <v>0</v>
      </c>
      <c r="K28" s="238"/>
      <c r="L28" s="238"/>
      <c r="M28" s="116">
        <f>+K28+'6'!M28+L28</f>
        <v>0</v>
      </c>
      <c r="O28" s="148">
        <v>1200</v>
      </c>
      <c r="P28" s="148">
        <f t="shared" si="12"/>
        <v>900</v>
      </c>
      <c r="Q28" s="148">
        <f>480-65-11-18-113-105</f>
        <v>168</v>
      </c>
      <c r="R28" s="148">
        <f t="shared" si="13"/>
        <v>201600</v>
      </c>
      <c r="S28" s="148">
        <f t="shared" si="14"/>
        <v>151200</v>
      </c>
      <c r="U28" s="423">
        <v>14</v>
      </c>
      <c r="V28" s="198">
        <v>1120</v>
      </c>
      <c r="W28" s="198">
        <v>1150</v>
      </c>
      <c r="X28" s="148">
        <v>851.2</v>
      </c>
      <c r="Y28" s="424">
        <f>1-(X28/V28)</f>
        <v>0.24</v>
      </c>
      <c r="Z28" s="578">
        <v>18</v>
      </c>
      <c r="AA28" s="426">
        <v>266</v>
      </c>
      <c r="AB28" s="427">
        <f>(V28*(1-Y28)*U28*AA28*Z28)/100000000</f>
        <v>0.5705763840000001</v>
      </c>
      <c r="AC28" s="428">
        <f>+J35/1000</f>
        <v>0</v>
      </c>
      <c r="AD28" s="429">
        <f>SUM(AC28:AC30)/SUM(AB28:AB30)</f>
        <v>0</v>
      </c>
    </row>
    <row r="29" spans="1:30" ht="13.5" thickBot="1">
      <c r="A29" s="776"/>
      <c r="B29" s="214"/>
      <c r="C29" s="215"/>
      <c r="D29" s="216"/>
      <c r="E29" s="224"/>
      <c r="F29" s="235">
        <v>105</v>
      </c>
      <c r="G29" s="231" t="s">
        <v>12</v>
      </c>
      <c r="H29" s="232"/>
      <c r="I29" s="774"/>
      <c r="J29" s="213">
        <f>+'6'!J29</f>
        <v>0</v>
      </c>
      <c r="K29" s="238"/>
      <c r="L29" s="238"/>
      <c r="M29" s="116">
        <f>+K29+'6'!M29+L29</f>
        <v>0</v>
      </c>
      <c r="U29" s="423"/>
      <c r="V29" s="198"/>
      <c r="W29" s="198"/>
      <c r="X29" s="198"/>
      <c r="Y29" s="424"/>
      <c r="Z29" s="425"/>
      <c r="AA29" s="426"/>
      <c r="AB29" s="427"/>
      <c r="AC29" s="428"/>
      <c r="AD29" s="430"/>
    </row>
    <row r="30" spans="1:30" ht="13.5" thickBot="1">
      <c r="A30" s="776"/>
      <c r="B30" s="214"/>
      <c r="C30" s="225"/>
      <c r="D30" s="216"/>
      <c r="E30" s="224"/>
      <c r="F30" s="235"/>
      <c r="G30" s="231"/>
      <c r="H30" s="232"/>
      <c r="I30" s="774"/>
      <c r="J30" s="213">
        <f>+'6'!J30</f>
        <v>0</v>
      </c>
      <c r="K30" s="238"/>
      <c r="L30" s="238"/>
      <c r="M30" s="116">
        <f>+K30+'6'!M30+L30</f>
        <v>0</v>
      </c>
      <c r="AB30" s="148">
        <f>560/1000</f>
        <v>0.56000000000000005</v>
      </c>
    </row>
    <row r="31" spans="1:30" ht="13.5" thickBot="1">
      <c r="A31" s="776"/>
      <c r="B31" s="214"/>
      <c r="C31" s="225"/>
      <c r="D31" s="216"/>
      <c r="E31" s="224"/>
      <c r="F31" s="235"/>
      <c r="G31" s="236"/>
      <c r="H31" s="443"/>
      <c r="I31" s="775"/>
      <c r="J31" s="213">
        <f>+'6'!J31</f>
        <v>0</v>
      </c>
      <c r="K31" s="238"/>
      <c r="L31" s="238"/>
      <c r="M31" s="116">
        <f>+K31+'6'!M31+L31</f>
        <v>0</v>
      </c>
    </row>
    <row r="32" spans="1:30" ht="13.5" thickBot="1">
      <c r="A32" s="777"/>
      <c r="B32" s="164" t="s">
        <v>2</v>
      </c>
      <c r="C32" s="98">
        <f>SUM(C25:C31)</f>
        <v>5252</v>
      </c>
      <c r="D32" s="99">
        <f>SUM(D25:D31)</f>
        <v>0</v>
      </c>
      <c r="E32" s="100">
        <f>SUM(E25:E31)</f>
        <v>0</v>
      </c>
      <c r="F32" s="101">
        <f>SUM(F24:F31)</f>
        <v>233</v>
      </c>
      <c r="G32" s="170"/>
      <c r="H32" s="171"/>
      <c r="I32" s="168"/>
      <c r="J32" s="213">
        <f>+'6'!J32</f>
        <v>0</v>
      </c>
      <c r="K32" s="240"/>
      <c r="L32" s="242"/>
      <c r="M32" s="116">
        <f>+K32+'6'!M32+L32</f>
        <v>0</v>
      </c>
      <c r="Q32" s="175">
        <f>SUM(Q25:Q31)</f>
        <v>262</v>
      </c>
      <c r="R32" s="175">
        <f>SUM(R25:R31)</f>
        <v>307350</v>
      </c>
      <c r="S32" s="175">
        <f>SUM(S25:S31)</f>
        <v>230512.5</v>
      </c>
    </row>
    <row r="33" spans="1:20" ht="13.5" thickBot="1">
      <c r="A33" s="172"/>
      <c r="B33" s="173"/>
      <c r="C33" s="102">
        <f>C32/($C$32+$D$32+$E$32)</f>
        <v>1</v>
      </c>
      <c r="D33" s="103">
        <f>D32/($C$32+$D$32+$E$32)</f>
        <v>0</v>
      </c>
      <c r="E33" s="104">
        <f>E32/($C$32+$D$32+$E$32)</f>
        <v>0</v>
      </c>
      <c r="F33" s="105"/>
      <c r="G33" s="174"/>
      <c r="H33" s="175"/>
      <c r="I33" s="176"/>
      <c r="J33" s="120"/>
      <c r="K33" s="121"/>
      <c r="L33" s="212"/>
      <c r="M33" s="118"/>
      <c r="Q33" s="148">
        <f>480-Q32</f>
        <v>218</v>
      </c>
      <c r="R33" s="175">
        <f>+R32/Q32</f>
        <v>1173.0916030534352</v>
      </c>
      <c r="S33" s="175">
        <f>+S32/Q32</f>
        <v>879.81870229007632</v>
      </c>
    </row>
    <row r="34" spans="1:20" ht="13.5" thickBot="1">
      <c r="A34" s="766" t="s">
        <v>57</v>
      </c>
      <c r="B34" s="767"/>
      <c r="C34" s="106">
        <f>C14+C23+C32</f>
        <v>17339</v>
      </c>
      <c r="D34" s="106">
        <f>D14+D23+D32</f>
        <v>0</v>
      </c>
      <c r="E34" s="106">
        <f>E14+E23+E32</f>
        <v>0</v>
      </c>
      <c r="F34" s="107">
        <f>F14+F23+F32</f>
        <v>679</v>
      </c>
      <c r="H34" s="177">
        <f>35+513+113</f>
        <v>661</v>
      </c>
      <c r="I34" s="177"/>
      <c r="J34" s="122" t="s">
        <v>28</v>
      </c>
      <c r="K34" s="123">
        <f>SUM(K7:K32)</f>
        <v>17339</v>
      </c>
      <c r="L34" s="211">
        <f>SUM(L7:L32)</f>
        <v>0</v>
      </c>
      <c r="M34" s="119">
        <f>SUM(M7:M32)</f>
        <v>250100</v>
      </c>
    </row>
    <row r="35" spans="1:20" ht="13.5" thickBot="1">
      <c r="A35" s="178"/>
      <c r="B35" s="179"/>
      <c r="C35" s="103">
        <f>C34/($C$34+$D$34+$E$34)</f>
        <v>1</v>
      </c>
      <c r="D35" s="103">
        <f>D34/($C$34+$D$34+$E$34)</f>
        <v>0</v>
      </c>
      <c r="E35" s="108">
        <f>E34/($C$34+$D$34+$E$34)</f>
        <v>0</v>
      </c>
      <c r="K35" s="154"/>
    </row>
    <row r="36" spans="1:20" ht="13.5" thickBot="1">
      <c r="A36" s="177"/>
      <c r="B36" s="177"/>
      <c r="C36" s="154"/>
      <c r="D36" s="154"/>
      <c r="E36" s="154"/>
      <c r="G36" s="154"/>
      <c r="H36" s="180"/>
      <c r="I36" s="161" t="s">
        <v>37</v>
      </c>
      <c r="J36" s="161" t="s">
        <v>38</v>
      </c>
      <c r="K36" s="181"/>
      <c r="O36" s="148">
        <v>72</v>
      </c>
      <c r="Q36" s="148" t="s">
        <v>532</v>
      </c>
      <c r="R36" s="148">
        <v>1116.3451776649747</v>
      </c>
      <c r="S36" s="148">
        <v>848.42233502538079</v>
      </c>
      <c r="T36" s="148">
        <v>394</v>
      </c>
    </row>
    <row r="37" spans="1:20" ht="17.45" customHeight="1" thickBot="1">
      <c r="A37" s="768" t="s">
        <v>58</v>
      </c>
      <c r="B37" s="769"/>
      <c r="C37" s="161" t="s">
        <v>59</v>
      </c>
      <c r="D37" s="182" t="s">
        <v>60</v>
      </c>
      <c r="E37" s="183" t="s">
        <v>61</v>
      </c>
      <c r="F37" s="321"/>
      <c r="G37" s="323"/>
      <c r="H37" s="185" t="s">
        <v>62</v>
      </c>
      <c r="I37" s="243">
        <f>(14*394+420*13)/814*G42*2.74*814/1000000</f>
        <v>26.190706097611795</v>
      </c>
      <c r="J37" s="124">
        <f>+I37+'6'!J37</f>
        <v>304.9336449437418</v>
      </c>
      <c r="K37" s="125" t="s">
        <v>63</v>
      </c>
      <c r="O37" s="148">
        <v>480</v>
      </c>
      <c r="Q37" s="148" t="s">
        <v>489</v>
      </c>
      <c r="R37" s="148">
        <v>1183.2142857142858</v>
      </c>
      <c r="S37" s="148">
        <v>891.92499999999995</v>
      </c>
      <c r="T37" s="148">
        <v>420</v>
      </c>
    </row>
    <row r="38" spans="1:20" ht="17.45" customHeight="1">
      <c r="A38" s="760" t="s">
        <v>12</v>
      </c>
      <c r="B38" s="761"/>
      <c r="C38" s="163">
        <f>SUMIF($G$7:$G$31,"Process",$F$7:$F$31)</f>
        <v>140</v>
      </c>
      <c r="D38" s="117">
        <f>+C38+'6'!D38</f>
        <v>576</v>
      </c>
      <c r="E38" s="142">
        <f t="shared" ref="E38:E51" si="15">D38/60</f>
        <v>9.6</v>
      </c>
      <c r="F38" s="321">
        <v>1100</v>
      </c>
      <c r="G38" s="321">
        <v>836</v>
      </c>
      <c r="H38" s="186" t="s">
        <v>64</v>
      </c>
      <c r="I38" s="244">
        <f>0.819+13.017+8.112</f>
        <v>21.948</v>
      </c>
      <c r="J38" s="126">
        <f>+I38+'6'!J38</f>
        <v>264.613</v>
      </c>
      <c r="K38" s="127" t="s">
        <v>63</v>
      </c>
      <c r="O38" s="148">
        <v>262</v>
      </c>
      <c r="T38" s="148">
        <f>SUM(T36:T37)</f>
        <v>814</v>
      </c>
    </row>
    <row r="39" spans="1:20" ht="17.45" customHeight="1">
      <c r="A39" s="764" t="s">
        <v>13</v>
      </c>
      <c r="B39" s="765"/>
      <c r="C39" s="163">
        <f>SUMIF($G$7:$G$31,"Cleaning",$F$7:$F$31)</f>
        <v>0</v>
      </c>
      <c r="D39" s="117">
        <f>+C39+'6'!D39</f>
        <v>0</v>
      </c>
      <c r="E39" s="142">
        <f t="shared" si="15"/>
        <v>0</v>
      </c>
      <c r="F39" s="321">
        <v>1146.3333333333333</v>
      </c>
      <c r="G39" s="321">
        <v>871.21333333333337</v>
      </c>
      <c r="H39" s="186" t="s">
        <v>65</v>
      </c>
      <c r="I39" s="141"/>
      <c r="J39" s="128">
        <f>J37/G4</f>
        <v>43.5619492776774</v>
      </c>
      <c r="K39" s="129" t="s">
        <v>63</v>
      </c>
      <c r="O39" s="148">
        <f>SUM(O36:O38)</f>
        <v>814</v>
      </c>
    </row>
    <row r="40" spans="1:20" ht="17.45" customHeight="1">
      <c r="A40" s="764" t="s">
        <v>66</v>
      </c>
      <c r="B40" s="765"/>
      <c r="C40" s="163">
        <f>SUMIF($G$7:$G$31,"Mechanical",$F$7:$F$31)</f>
        <v>0</v>
      </c>
      <c r="D40" s="117">
        <f>+C40+'6'!D40</f>
        <v>0</v>
      </c>
      <c r="E40" s="142">
        <f t="shared" si="15"/>
        <v>0</v>
      </c>
      <c r="F40" s="321">
        <v>1173.0916030534352</v>
      </c>
      <c r="G40" s="321">
        <v>879.81870229007632</v>
      </c>
      <c r="H40" s="186" t="s">
        <v>67</v>
      </c>
      <c r="I40" s="117">
        <f>(K34+L34)/1000</f>
        <v>17.338999999999999</v>
      </c>
      <c r="J40" s="130">
        <f>+I40+'6'!J40</f>
        <v>250.1</v>
      </c>
      <c r="K40" s="129" t="s">
        <v>63</v>
      </c>
    </row>
    <row r="41" spans="1:20" ht="17.45" customHeight="1">
      <c r="A41" s="764" t="s">
        <v>68</v>
      </c>
      <c r="B41" s="765"/>
      <c r="C41" s="163">
        <f>SUMIF($G$7:$G$31,"Electrical",$F$7:$F$31)</f>
        <v>131</v>
      </c>
      <c r="D41" s="117">
        <f>+C41+'6'!D41</f>
        <v>131</v>
      </c>
      <c r="E41" s="142">
        <f t="shared" si="15"/>
        <v>2.1833333333333331</v>
      </c>
      <c r="F41" s="321"/>
      <c r="G41" s="321"/>
      <c r="H41" s="186" t="s">
        <v>69</v>
      </c>
      <c r="I41" s="141"/>
      <c r="J41" s="128">
        <f>J40/G4</f>
        <v>35.728571428571428</v>
      </c>
      <c r="K41" s="129" t="s">
        <v>63</v>
      </c>
    </row>
    <row r="42" spans="1:20" ht="17.45" customHeight="1">
      <c r="A42" s="764" t="s">
        <v>16</v>
      </c>
      <c r="B42" s="765"/>
      <c r="C42" s="163">
        <f>SUMIF($G$7:$G$31,"Instrument",$F$7:$F$31)</f>
        <v>0</v>
      </c>
      <c r="D42" s="117">
        <f>+C42+'6'!D42</f>
        <v>0</v>
      </c>
      <c r="E42" s="142">
        <f t="shared" si="15"/>
        <v>0</v>
      </c>
      <c r="F42" s="321">
        <f>+(72*F38+480*F39+262*F40)/814</f>
        <v>1150.8476658476659</v>
      </c>
      <c r="G42" s="321">
        <f>+(72*G38+480*G39+262*G40)/814</f>
        <v>870.86842751842755</v>
      </c>
      <c r="H42" s="186" t="s">
        <v>70</v>
      </c>
      <c r="I42" s="245" t="s">
        <v>540</v>
      </c>
      <c r="J42" s="131"/>
      <c r="K42" s="129" t="s">
        <v>71</v>
      </c>
    </row>
    <row r="43" spans="1:20" ht="17.45" customHeight="1">
      <c r="A43" s="764" t="s">
        <v>72</v>
      </c>
      <c r="B43" s="765"/>
      <c r="C43" s="163">
        <f>SUMIF($G$7:$G$31,"Water",$F$7:$F$31)</f>
        <v>0</v>
      </c>
      <c r="D43" s="117">
        <f>+C43+'6'!D43</f>
        <v>0</v>
      </c>
      <c r="E43" s="142">
        <f t="shared" si="15"/>
        <v>0</v>
      </c>
      <c r="F43" s="321"/>
      <c r="G43" s="322"/>
      <c r="H43" s="187" t="s">
        <v>73</v>
      </c>
      <c r="I43" s="117">
        <f>+Report1!Z15</f>
        <v>44.3</v>
      </c>
      <c r="J43" s="132">
        <f>+I43+'6'!J43</f>
        <v>338</v>
      </c>
      <c r="K43" s="129" t="s">
        <v>63</v>
      </c>
      <c r="L43" s="188"/>
    </row>
    <row r="44" spans="1:20" ht="17.45" customHeight="1">
      <c r="A44" s="764" t="s">
        <v>17</v>
      </c>
      <c r="B44" s="765"/>
      <c r="C44" s="163">
        <f>SUMIF($G$7:$G$31,"PLN",$F$7:$F$31)</f>
        <v>0</v>
      </c>
      <c r="D44" s="117">
        <f>+C44+'6'!D44</f>
        <v>0</v>
      </c>
      <c r="E44" s="142">
        <f t="shared" si="15"/>
        <v>0</v>
      </c>
      <c r="F44" s="321"/>
      <c r="G44" s="322"/>
      <c r="H44" s="187" t="s">
        <v>74</v>
      </c>
      <c r="I44" s="117">
        <f>I43/I38</f>
        <v>2.0184071441589211</v>
      </c>
      <c r="J44" s="133">
        <f>J43/J38</f>
        <v>1.2773370922819363</v>
      </c>
      <c r="K44" s="129" t="s">
        <v>63</v>
      </c>
    </row>
    <row r="45" spans="1:20" ht="17.45" customHeight="1">
      <c r="A45" s="764" t="s">
        <v>18</v>
      </c>
      <c r="B45" s="765"/>
      <c r="C45" s="163">
        <f>SUMIF($G$7:$G$31,"Boiler",$F$7:$F$31)</f>
        <v>0</v>
      </c>
      <c r="D45" s="117">
        <f>+C45+'6'!D45</f>
        <v>0</v>
      </c>
      <c r="E45" s="142">
        <f t="shared" si="15"/>
        <v>0</v>
      </c>
      <c r="F45" s="321"/>
      <c r="G45" s="324"/>
      <c r="H45" s="187" t="s">
        <v>75</v>
      </c>
      <c r="I45" s="117">
        <f>I43/I40</f>
        <v>2.5549339638964184</v>
      </c>
      <c r="J45" s="133">
        <f>J43/J40</f>
        <v>1.3514594162335067</v>
      </c>
      <c r="K45" s="129" t="s">
        <v>63</v>
      </c>
    </row>
    <row r="46" spans="1:20" ht="17.45" customHeight="1">
      <c r="A46" s="764" t="s">
        <v>76</v>
      </c>
      <c r="B46" s="765"/>
      <c r="C46" s="163">
        <f>SUMIF($G$7:$G$31,"Gas",$F$7:$F$31)</f>
        <v>0</v>
      </c>
      <c r="D46" s="117">
        <f>+C46+'6'!D46</f>
        <v>0</v>
      </c>
      <c r="E46" s="142">
        <f t="shared" si="15"/>
        <v>0</v>
      </c>
      <c r="F46" s="321"/>
      <c r="G46" s="322"/>
      <c r="H46" s="187" t="s">
        <v>77</v>
      </c>
      <c r="I46" s="139">
        <f>+SUMIF(Listrik!P14,"&gt;0")</f>
        <v>24519.019999998913</v>
      </c>
      <c r="J46" s="134">
        <f>+I46+'6'!J46</f>
        <v>225328.39999999962</v>
      </c>
      <c r="K46" s="129" t="s">
        <v>78</v>
      </c>
    </row>
    <row r="47" spans="1:20" ht="17.45" customHeight="1">
      <c r="A47" s="764" t="s">
        <v>79</v>
      </c>
      <c r="B47" s="765"/>
      <c r="C47" s="163">
        <f>SUMIF($G$7:$G$31,"Gas",$F$7:$F$31)</f>
        <v>0</v>
      </c>
      <c r="D47" s="117">
        <f>+C47+'6'!D47</f>
        <v>0</v>
      </c>
      <c r="E47" s="142">
        <f t="shared" si="15"/>
        <v>0</v>
      </c>
      <c r="F47" s="321"/>
      <c r="G47" s="322"/>
      <c r="H47" s="187" t="s">
        <v>80</v>
      </c>
      <c r="I47" s="117">
        <f>I46/I38</f>
        <v>1117.1414251867557</v>
      </c>
      <c r="J47" s="134">
        <f>J46/J38</f>
        <v>851.53941794242769</v>
      </c>
      <c r="K47" s="129" t="s">
        <v>24</v>
      </c>
    </row>
    <row r="48" spans="1:20" ht="17.45" customHeight="1">
      <c r="A48" s="764" t="s">
        <v>14</v>
      </c>
      <c r="B48" s="765"/>
      <c r="C48" s="163">
        <f>SUMIF($G$7:$G$31,"Start Up",$F$7:$F$31)</f>
        <v>0</v>
      </c>
      <c r="D48" s="117">
        <f>+C48+'6'!D48</f>
        <v>0</v>
      </c>
      <c r="E48" s="142">
        <f t="shared" si="15"/>
        <v>0</v>
      </c>
      <c r="F48" s="321"/>
      <c r="G48" s="322"/>
      <c r="H48" s="187" t="s">
        <v>81</v>
      </c>
      <c r="I48" s="117">
        <f>I46/I40</f>
        <v>1414.0965453601082</v>
      </c>
      <c r="J48" s="134">
        <f>J46/J40</f>
        <v>900.95321871251349</v>
      </c>
      <c r="K48" s="129" t="s">
        <v>24</v>
      </c>
    </row>
    <row r="49" spans="1:11" ht="17.45" customHeight="1">
      <c r="A49" s="764" t="s">
        <v>20</v>
      </c>
      <c r="B49" s="765"/>
      <c r="C49" s="163">
        <f>SUMIF($G$7:$G$31,"Others",$F$7:$F$31)</f>
        <v>408</v>
      </c>
      <c r="D49" s="117">
        <f>+C49+'6'!D49</f>
        <v>948</v>
      </c>
      <c r="E49" s="142">
        <f t="shared" si="15"/>
        <v>15.8</v>
      </c>
      <c r="F49" s="184"/>
      <c r="H49" s="187" t="s">
        <v>267</v>
      </c>
      <c r="I49" s="117">
        <f>+Report1!T15</f>
        <v>3661.6640395910567</v>
      </c>
      <c r="J49" s="134">
        <f>+I49+'6'!J49</f>
        <v>30881.921375259517</v>
      </c>
      <c r="K49" s="129" t="s">
        <v>82</v>
      </c>
    </row>
    <row r="50" spans="1:11" ht="17.45" customHeight="1">
      <c r="A50" s="764" t="s">
        <v>19</v>
      </c>
      <c r="B50" s="765"/>
      <c r="C50" s="163">
        <f>SUMIF($G$7:$G$31,"Steam",$F$7:$F$31)</f>
        <v>0</v>
      </c>
      <c r="D50" s="117">
        <f>+C50+'6'!D50</f>
        <v>0</v>
      </c>
      <c r="E50" s="142">
        <f t="shared" si="15"/>
        <v>0</v>
      </c>
      <c r="F50" s="184"/>
      <c r="H50" s="187" t="s">
        <v>83</v>
      </c>
      <c r="I50" s="139">
        <f>I49/I38</f>
        <v>166.83360851061857</v>
      </c>
      <c r="J50" s="132">
        <f>J49/J38</f>
        <v>116.70598714069043</v>
      </c>
      <c r="K50" s="129" t="s">
        <v>82</v>
      </c>
    </row>
    <row r="51" spans="1:11" ht="17.45" customHeight="1" thickBot="1">
      <c r="A51" s="758" t="s">
        <v>84</v>
      </c>
      <c r="B51" s="759"/>
      <c r="C51" s="163">
        <f>SUMIF($G$7:$G$31,"Planned shut",$F$7:$F$31)</f>
        <v>0</v>
      </c>
      <c r="D51" s="117">
        <f>+C51+'6'!D51</f>
        <v>0</v>
      </c>
      <c r="E51" s="142">
        <f t="shared" si="15"/>
        <v>0</v>
      </c>
      <c r="F51" s="184"/>
      <c r="H51" s="189" t="s">
        <v>85</v>
      </c>
      <c r="I51" s="140">
        <f>I49/I40</f>
        <v>211.18080855822464</v>
      </c>
      <c r="J51" s="135">
        <f>J49/J40</f>
        <v>123.47829418336472</v>
      </c>
      <c r="K51" s="136" t="s">
        <v>82</v>
      </c>
    </row>
    <row r="52" spans="1:11" ht="13.5" thickBot="1">
      <c r="A52" s="760" t="s">
        <v>28</v>
      </c>
      <c r="B52" s="761"/>
      <c r="C52" s="143">
        <f>SUM(C38:C51)</f>
        <v>679</v>
      </c>
      <c r="D52" s="143">
        <f>SUM(D38:D51)</f>
        <v>1655</v>
      </c>
      <c r="E52" s="144">
        <f>SUM(E38:E51)</f>
        <v>27.583333333333336</v>
      </c>
      <c r="F52" s="184"/>
      <c r="H52" s="190"/>
      <c r="I52" s="191"/>
      <c r="J52" s="137"/>
      <c r="K52" s="138"/>
    </row>
    <row r="53" spans="1:11" ht="13.5" thickBot="1">
      <c r="A53" s="762"/>
      <c r="B53" s="763"/>
      <c r="C53" s="145">
        <f>C52/(24*60)</f>
        <v>0.47152777777777777</v>
      </c>
      <c r="D53" s="145">
        <f>D52/(24*60*G4)</f>
        <v>0.16418650793650794</v>
      </c>
      <c r="E53" s="146">
        <f>E52/(G4*24)</f>
        <v>0.16418650793650796</v>
      </c>
      <c r="F53" s="184"/>
    </row>
    <row r="54" spans="1:11">
      <c r="E54" s="192"/>
      <c r="F54" s="184"/>
    </row>
    <row r="55" spans="1:11">
      <c r="E55" s="192"/>
    </row>
    <row r="56" spans="1:11">
      <c r="A56" s="193" t="s">
        <v>86</v>
      </c>
      <c r="B56" s="194"/>
      <c r="C56" s="195"/>
      <c r="D56" s="195"/>
      <c r="E56" s="195"/>
      <c r="F56" s="196"/>
      <c r="G56" s="195"/>
      <c r="H56" s="197"/>
      <c r="I56" s="198" t="s">
        <v>87</v>
      </c>
      <c r="J56" s="199">
        <f>+D34+'6'!J56</f>
        <v>830</v>
      </c>
      <c r="K56" s="200">
        <f>J56/(J40+J56/1000)/1000</f>
        <v>3.3076953732116524E-3</v>
      </c>
    </row>
    <row r="57" spans="1:11">
      <c r="A57" s="175"/>
      <c r="I57" s="198" t="s">
        <v>88</v>
      </c>
      <c r="J57" s="199">
        <f>+E34+'6'!J57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D13" zoomScale="80" zoomScaleNormal="75" zoomScaleSheetLayoutView="80" workbookViewId="0">
      <selection activeCell="J6" sqref="J6"/>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2.85546875" style="148" bestFit="1" customWidth="1"/>
    <col min="12" max="12" width="8.28515625" style="148" customWidth="1"/>
    <col min="13" max="13" width="14.5703125" style="148" bestFit="1"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6</v>
      </c>
      <c r="H4" s="153" t="str">
        <f>+'1'!H4</f>
        <v>.03.26</v>
      </c>
      <c r="J4" s="148">
        <f>1+2</f>
        <v>3</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429</v>
      </c>
      <c r="O6" s="148">
        <v>1100</v>
      </c>
      <c r="P6" s="148">
        <f>+O6-(O6*0.23)</f>
        <v>847</v>
      </c>
      <c r="Q6" s="148">
        <v>480</v>
      </c>
      <c r="R6" s="148">
        <f t="shared" ref="R6:R7" si="0">+O6*Q6</f>
        <v>528000</v>
      </c>
      <c r="S6" s="148">
        <f t="shared" ref="S6:S7" si="1">+P6*Q6</f>
        <v>406560</v>
      </c>
    </row>
    <row r="7" spans="1:19" ht="13.5" customHeight="1" thickBot="1">
      <c r="A7" s="770" t="s">
        <v>417</v>
      </c>
      <c r="B7" s="214" t="s">
        <v>441</v>
      </c>
      <c r="C7" s="215">
        <v>14108</v>
      </c>
      <c r="D7" s="216"/>
      <c r="E7" s="217"/>
      <c r="F7" s="227">
        <v>9</v>
      </c>
      <c r="G7" s="228" t="s">
        <v>12</v>
      </c>
      <c r="H7" s="229" t="s">
        <v>412</v>
      </c>
      <c r="I7" s="773" t="s">
        <v>493</v>
      </c>
      <c r="J7" s="213" t="str">
        <f>+'5'!J7</f>
        <v>F 12 VP OW</v>
      </c>
      <c r="K7" s="237"/>
      <c r="L7" s="241"/>
      <c r="M7" s="116">
        <f>+K7+'5'!M7+L7</f>
        <v>45075</v>
      </c>
      <c r="P7" s="148">
        <f>+O7-(O7*0.24)</f>
        <v>0</v>
      </c>
      <c r="Q7" s="148">
        <f>480-Q6</f>
        <v>0</v>
      </c>
      <c r="R7" s="148">
        <f t="shared" si="0"/>
        <v>0</v>
      </c>
      <c r="S7" s="148">
        <f t="shared" si="1"/>
        <v>0</v>
      </c>
    </row>
    <row r="8" spans="1:19" ht="13.5" thickBot="1">
      <c r="A8" s="771"/>
      <c r="B8" s="214"/>
      <c r="C8" s="215"/>
      <c r="D8" s="216"/>
      <c r="E8" s="218"/>
      <c r="F8" s="230"/>
      <c r="G8" s="231" t="s">
        <v>12</v>
      </c>
      <c r="H8" s="229" t="s">
        <v>283</v>
      </c>
      <c r="I8" s="774"/>
      <c r="J8" s="213" t="str">
        <f>+'5'!J8</f>
        <v>F 14 VP OW</v>
      </c>
      <c r="K8" s="238"/>
      <c r="L8" s="238"/>
      <c r="M8" s="116">
        <f>+K8+'5'!M8+L8</f>
        <v>69856</v>
      </c>
    </row>
    <row r="9" spans="1:19" ht="13.5" thickBot="1">
      <c r="A9" s="771"/>
      <c r="B9" s="214"/>
      <c r="C9" s="215"/>
      <c r="D9" s="216"/>
      <c r="E9" s="219"/>
      <c r="F9" s="227">
        <f>24-9</f>
        <v>15</v>
      </c>
      <c r="G9" s="231" t="s">
        <v>12</v>
      </c>
      <c r="H9" s="232" t="s">
        <v>411</v>
      </c>
      <c r="I9" s="774"/>
      <c r="J9" s="213" t="str">
        <f>+'5'!J9</f>
        <v>F 16 VP OW</v>
      </c>
      <c r="K9" s="238">
        <f>+C7+C16</f>
        <v>25923</v>
      </c>
      <c r="L9" s="238"/>
      <c r="M9" s="116">
        <f>+K9+'5'!M9+L9</f>
        <v>104726</v>
      </c>
    </row>
    <row r="10" spans="1:19" ht="26.25" thickBot="1">
      <c r="A10" s="771"/>
      <c r="B10" s="214"/>
      <c r="C10" s="215"/>
      <c r="D10" s="216"/>
      <c r="E10" s="218"/>
      <c r="F10" s="227"/>
      <c r="G10" s="236" t="s">
        <v>13</v>
      </c>
      <c r="H10" s="232" t="s">
        <v>486</v>
      </c>
      <c r="I10" s="774"/>
      <c r="J10" s="213" t="str">
        <f>+'5'!J10</f>
        <v>F 13,5 VP OW</v>
      </c>
      <c r="K10" s="238"/>
      <c r="L10" s="238"/>
      <c r="M10" s="116">
        <f>+K10+'5'!M10+L10</f>
        <v>10827</v>
      </c>
    </row>
    <row r="11" spans="1:19" ht="13.5" thickBot="1">
      <c r="A11" s="771"/>
      <c r="B11" s="214"/>
      <c r="C11" s="215"/>
      <c r="D11" s="216"/>
      <c r="E11" s="218"/>
      <c r="F11" s="227"/>
      <c r="G11" s="231"/>
      <c r="H11" s="232"/>
      <c r="I11" s="774"/>
      <c r="J11" s="213" t="s">
        <v>504</v>
      </c>
      <c r="K11" s="238">
        <f>+C17+C25</f>
        <v>2277</v>
      </c>
      <c r="L11" s="238"/>
      <c r="M11" s="116">
        <f>+K11+'5'!M11+L11</f>
        <v>2277</v>
      </c>
    </row>
    <row r="12" spans="1:19" ht="13.5" thickBot="1">
      <c r="A12" s="771"/>
      <c r="B12" s="214"/>
      <c r="C12" s="215"/>
      <c r="D12" s="216"/>
      <c r="E12" s="218"/>
      <c r="F12" s="227"/>
      <c r="G12" s="231"/>
      <c r="H12" s="232"/>
      <c r="I12" s="774"/>
      <c r="J12" s="213">
        <f>+'5'!J12</f>
        <v>0</v>
      </c>
      <c r="K12" s="238"/>
      <c r="L12" s="238"/>
      <c r="M12" s="116">
        <f>+K12+'5'!M12+L12</f>
        <v>0</v>
      </c>
    </row>
    <row r="13" spans="1:19" ht="13.5" thickBot="1">
      <c r="A13" s="771"/>
      <c r="B13" s="214"/>
      <c r="C13" s="215"/>
      <c r="D13" s="215"/>
      <c r="E13" s="218"/>
      <c r="F13" s="227"/>
      <c r="G13" s="231"/>
      <c r="H13" s="232"/>
      <c r="I13" s="775"/>
      <c r="J13" s="213">
        <f>+'5'!J13</f>
        <v>0</v>
      </c>
      <c r="K13" s="238"/>
      <c r="L13" s="238"/>
      <c r="M13" s="116">
        <f>+K13+'5'!M13+L13</f>
        <v>0</v>
      </c>
      <c r="Q13" s="175">
        <f>SUM(Q5:Q12)</f>
        <v>480</v>
      </c>
      <c r="R13" s="175">
        <f>SUM(R5:R12)</f>
        <v>528000</v>
      </c>
      <c r="S13" s="175">
        <f>SUM(S5:S12)</f>
        <v>406560</v>
      </c>
    </row>
    <row r="14" spans="1:19" ht="13.5" thickBot="1">
      <c r="A14" s="772"/>
      <c r="B14" s="164" t="s">
        <v>2</v>
      </c>
      <c r="C14" s="98">
        <f>SUM(C7:C13)</f>
        <v>14108</v>
      </c>
      <c r="D14" s="110">
        <f>SUM(D7:D13)</f>
        <v>0</v>
      </c>
      <c r="E14" s="111">
        <f>SUM(E5:E13)</f>
        <v>0</v>
      </c>
      <c r="F14" s="115">
        <f>SUM(F7:F13)</f>
        <v>24</v>
      </c>
      <c r="G14" s="158"/>
      <c r="H14" s="165"/>
      <c r="I14" s="166"/>
      <c r="J14" s="213">
        <f>+'5'!J14</f>
        <v>0</v>
      </c>
      <c r="K14" s="238"/>
      <c r="L14" s="238"/>
      <c r="M14" s="116">
        <f>+K14+'5'!M14+L14</f>
        <v>0</v>
      </c>
      <c r="Q14" s="148">
        <f>480-Q13</f>
        <v>0</v>
      </c>
      <c r="R14" s="175">
        <f>+R13/Q13</f>
        <v>1100</v>
      </c>
      <c r="S14" s="175">
        <f>+S13/Q13</f>
        <v>847</v>
      </c>
    </row>
    <row r="15" spans="1:19" ht="13.5" customHeight="1" thickBot="1">
      <c r="A15" s="770" t="s">
        <v>391</v>
      </c>
      <c r="B15" s="164"/>
      <c r="C15" s="112">
        <f>C14/($C$23+$D$23+$E$23)</f>
        <v>1.0403362583880245</v>
      </c>
      <c r="D15" s="113">
        <f>D14/($C$23+$D$23+$E$23)</f>
        <v>0</v>
      </c>
      <c r="E15" s="114">
        <f>E14/($C$23+$D$23+$E$23)</f>
        <v>0</v>
      </c>
      <c r="F15" s="227">
        <v>6</v>
      </c>
      <c r="G15" s="228" t="s">
        <v>12</v>
      </c>
      <c r="H15" s="229" t="s">
        <v>467</v>
      </c>
      <c r="I15" s="773" t="s">
        <v>492</v>
      </c>
      <c r="J15" s="213">
        <f>+'5'!J15</f>
        <v>0</v>
      </c>
      <c r="K15" s="238"/>
      <c r="L15" s="238"/>
      <c r="M15" s="116">
        <f>+K15+'5'!M15+L15</f>
        <v>0</v>
      </c>
    </row>
    <row r="16" spans="1:19" ht="13.5" thickBot="1">
      <c r="A16" s="776"/>
      <c r="B16" s="214" t="s">
        <v>441</v>
      </c>
      <c r="C16" s="221">
        <f>5000+6035+780</f>
        <v>11815</v>
      </c>
      <c r="D16" s="222"/>
      <c r="E16" s="223"/>
      <c r="F16" s="230"/>
      <c r="G16" s="231" t="s">
        <v>12</v>
      </c>
      <c r="H16" s="229" t="s">
        <v>283</v>
      </c>
      <c r="I16" s="774"/>
      <c r="J16" s="213">
        <f>+'5'!J16</f>
        <v>0</v>
      </c>
      <c r="K16" s="228"/>
      <c r="L16" s="228"/>
      <c r="M16" s="116">
        <f>+K16+'5'!M16+L16</f>
        <v>0</v>
      </c>
      <c r="N16" s="148" t="s">
        <v>429</v>
      </c>
      <c r="O16" s="148">
        <v>1100</v>
      </c>
      <c r="P16" s="148">
        <f>+O16-(O16*0.23)</f>
        <v>847</v>
      </c>
      <c r="Q16" s="148">
        <f>60*3+50</f>
        <v>230</v>
      </c>
      <c r="R16" s="148">
        <f t="shared" ref="R16:R17" si="2">+O16*Q16</f>
        <v>253000</v>
      </c>
      <c r="S16" s="148">
        <f t="shared" ref="S16:S17" si="3">+P16*Q16</f>
        <v>194810</v>
      </c>
    </row>
    <row r="17" spans="1:19" ht="13.5" thickBot="1">
      <c r="A17" s="776"/>
      <c r="B17" s="214" t="s">
        <v>504</v>
      </c>
      <c r="C17" s="215">
        <f>13561-C16</f>
        <v>1746</v>
      </c>
      <c r="D17" s="216"/>
      <c r="E17" s="224"/>
      <c r="F17" s="227">
        <f>21-6</f>
        <v>15</v>
      </c>
      <c r="G17" s="231" t="s">
        <v>12</v>
      </c>
      <c r="H17" s="232" t="s">
        <v>411</v>
      </c>
      <c r="I17" s="774"/>
      <c r="J17" s="213">
        <f>+'5'!J17</f>
        <v>0</v>
      </c>
      <c r="K17" s="228"/>
      <c r="L17" s="228"/>
      <c r="M17" s="116">
        <f>+K17+'5'!M17+L17</f>
        <v>0</v>
      </c>
      <c r="N17" s="148" t="s">
        <v>489</v>
      </c>
      <c r="O17" s="148">
        <v>1200</v>
      </c>
      <c r="P17" s="148">
        <f>+O17-(O17*0.24)</f>
        <v>912</v>
      </c>
      <c r="Q17" s="148">
        <f>480-Q16-60</f>
        <v>190</v>
      </c>
      <c r="R17" s="148">
        <f t="shared" si="2"/>
        <v>228000</v>
      </c>
      <c r="S17" s="148">
        <f t="shared" si="3"/>
        <v>173280</v>
      </c>
    </row>
    <row r="18" spans="1:19" ht="26.25" thickBot="1">
      <c r="A18" s="776"/>
      <c r="B18" s="214"/>
      <c r="C18" s="215"/>
      <c r="D18" s="216"/>
      <c r="E18" s="224"/>
      <c r="F18" s="227"/>
      <c r="G18" s="236" t="s">
        <v>13</v>
      </c>
      <c r="H18" s="232" t="s">
        <v>487</v>
      </c>
      <c r="I18" s="774"/>
      <c r="J18" s="213">
        <f>+'5'!J18</f>
        <v>0</v>
      </c>
      <c r="K18" s="238"/>
      <c r="L18" s="238"/>
      <c r="M18" s="116">
        <f>+K18+'5'!M18+L18</f>
        <v>0</v>
      </c>
    </row>
    <row r="19" spans="1:19" ht="102.75" thickBot="1">
      <c r="A19" s="776"/>
      <c r="B19" s="214"/>
      <c r="C19" s="215"/>
      <c r="D19" s="216"/>
      <c r="E19" s="224"/>
      <c r="F19" s="234">
        <v>60</v>
      </c>
      <c r="G19" s="231" t="s">
        <v>20</v>
      </c>
      <c r="H19" s="232" t="s">
        <v>488</v>
      </c>
      <c r="I19" s="774"/>
      <c r="J19" s="213">
        <f>+'5'!J19</f>
        <v>0</v>
      </c>
      <c r="K19" s="238"/>
      <c r="L19" s="238"/>
      <c r="M19" s="116">
        <f>+K19+'5'!M19+L19</f>
        <v>0</v>
      </c>
    </row>
    <row r="20" spans="1:19" ht="13.5" thickBot="1">
      <c r="A20" s="776"/>
      <c r="B20" s="214"/>
      <c r="C20" s="215"/>
      <c r="D20" s="216"/>
      <c r="E20" s="224"/>
      <c r="F20" s="227"/>
      <c r="G20" s="231"/>
      <c r="H20" s="232"/>
      <c r="I20" s="774"/>
      <c r="J20" s="213">
        <f>+'5'!J20</f>
        <v>0</v>
      </c>
      <c r="K20" s="239"/>
      <c r="L20" s="239"/>
      <c r="M20" s="116">
        <f>+K20+'5'!M20+L20</f>
        <v>0</v>
      </c>
    </row>
    <row r="21" spans="1:19" ht="13.5" thickBot="1">
      <c r="A21" s="776"/>
      <c r="B21" s="214"/>
      <c r="C21" s="215"/>
      <c r="D21" s="216"/>
      <c r="E21" s="224"/>
      <c r="F21" s="230"/>
      <c r="G21" s="231"/>
      <c r="H21" s="232"/>
      <c r="I21" s="774"/>
      <c r="J21" s="213">
        <f>+'5'!J21</f>
        <v>0</v>
      </c>
      <c r="K21" s="238"/>
      <c r="L21" s="238"/>
      <c r="M21" s="116">
        <f>+K21+'5'!M21+L21</f>
        <v>0</v>
      </c>
    </row>
    <row r="22" spans="1:19" ht="13.5" thickBot="1">
      <c r="A22" s="776"/>
      <c r="B22" s="214"/>
      <c r="C22" s="215"/>
      <c r="D22" s="216"/>
      <c r="E22" s="224"/>
      <c r="F22" s="235"/>
      <c r="G22" s="231"/>
      <c r="H22" s="232"/>
      <c r="I22" s="775"/>
      <c r="J22" s="213">
        <f>+'5'!J22</f>
        <v>0</v>
      </c>
      <c r="K22" s="238"/>
      <c r="L22" s="238"/>
      <c r="M22" s="116">
        <f>+K22+'5'!M22+L22</f>
        <v>0</v>
      </c>
    </row>
    <row r="23" spans="1:19" ht="13.5" thickBot="1">
      <c r="A23" s="777"/>
      <c r="B23" s="167" t="s">
        <v>2</v>
      </c>
      <c r="C23" s="99">
        <f>SUM(C16:C22)</f>
        <v>13561</v>
      </c>
      <c r="D23" s="110">
        <f>SUM(D16:D22)</f>
        <v>0</v>
      </c>
      <c r="E23" s="111">
        <f>SUM(E18:E22)</f>
        <v>0</v>
      </c>
      <c r="F23" s="115">
        <f>SUM(F15:F22)</f>
        <v>81</v>
      </c>
      <c r="G23" s="158"/>
      <c r="H23" s="165"/>
      <c r="I23" s="168"/>
      <c r="J23" s="213">
        <f>+'5'!J23</f>
        <v>0</v>
      </c>
      <c r="K23" s="238"/>
      <c r="L23" s="238"/>
      <c r="M23" s="116">
        <f>+K23+'5'!M23+L23</f>
        <v>0</v>
      </c>
      <c r="Q23" s="175">
        <f>SUM(Q15:Q22)</f>
        <v>420</v>
      </c>
      <c r="R23" s="175">
        <f>SUM(R15:R22)</f>
        <v>481000</v>
      </c>
      <c r="S23" s="175">
        <f>SUM(S15:S22)</f>
        <v>368090</v>
      </c>
    </row>
    <row r="24" spans="1:19" ht="13.5" customHeight="1" thickBot="1">
      <c r="A24" s="770" t="s">
        <v>457</v>
      </c>
      <c r="B24" s="169"/>
      <c r="C24" s="112">
        <f>C23/($C$23+$D$23+$E$23)</f>
        <v>1</v>
      </c>
      <c r="D24" s="113">
        <f>D23/($C$23+$D$23+$E$23)</f>
        <v>0</v>
      </c>
      <c r="E24" s="114">
        <f>E23/($C$23+$D$23+$E$23)</f>
        <v>0</v>
      </c>
      <c r="F24" s="227"/>
      <c r="G24" s="228" t="s">
        <v>12</v>
      </c>
      <c r="H24" s="229" t="s">
        <v>384</v>
      </c>
      <c r="I24" s="773" t="s">
        <v>491</v>
      </c>
      <c r="J24" s="213">
        <f>+'5'!J24</f>
        <v>0</v>
      </c>
      <c r="K24" s="238"/>
      <c r="L24" s="238"/>
      <c r="M24" s="116">
        <f>+K24+'5'!M24+L24</f>
        <v>0</v>
      </c>
      <c r="Q24" s="148">
        <f>480-Q23</f>
        <v>60</v>
      </c>
      <c r="R24" s="175">
        <f>+R23/Q23</f>
        <v>1145.2380952380952</v>
      </c>
      <c r="S24" s="175">
        <f>+S23/Q23</f>
        <v>876.40476190476193</v>
      </c>
    </row>
    <row r="25" spans="1:19" ht="13.5" thickBot="1">
      <c r="A25" s="776"/>
      <c r="B25" s="214" t="s">
        <v>504</v>
      </c>
      <c r="C25" s="225">
        <v>531</v>
      </c>
      <c r="D25" s="216"/>
      <c r="E25" s="224"/>
      <c r="F25" s="230"/>
      <c r="G25" s="231" t="s">
        <v>12</v>
      </c>
      <c r="H25" s="229" t="s">
        <v>283</v>
      </c>
      <c r="I25" s="774"/>
      <c r="J25" s="213">
        <f>+'5'!J25</f>
        <v>0</v>
      </c>
      <c r="K25" s="238"/>
      <c r="L25" s="238"/>
      <c r="M25" s="116">
        <f>+K25+'5'!M25+L25</f>
        <v>0</v>
      </c>
    </row>
    <row r="26" spans="1:19" ht="13.5" thickBot="1">
      <c r="A26" s="776"/>
      <c r="B26" s="214"/>
      <c r="C26" s="225"/>
      <c r="D26" s="216"/>
      <c r="E26" s="226"/>
      <c r="F26" s="227"/>
      <c r="G26" s="231" t="s">
        <v>12</v>
      </c>
      <c r="H26" s="232" t="s">
        <v>496</v>
      </c>
      <c r="I26" s="774"/>
      <c r="J26" s="213">
        <f>+'5'!J26</f>
        <v>0</v>
      </c>
      <c r="K26" s="238"/>
      <c r="L26" s="238"/>
      <c r="M26" s="116">
        <f>+K26+'5'!M26+L26</f>
        <v>0</v>
      </c>
    </row>
    <row r="27" spans="1:19" ht="26.25" thickBot="1">
      <c r="A27" s="776"/>
      <c r="B27" s="214"/>
      <c r="C27" s="215"/>
      <c r="D27" s="216"/>
      <c r="E27" s="224"/>
      <c r="F27" s="227"/>
      <c r="G27" s="236" t="s">
        <v>13</v>
      </c>
      <c r="H27" s="232" t="s">
        <v>471</v>
      </c>
      <c r="I27" s="774"/>
      <c r="J27" s="213">
        <f>+'5'!J27</f>
        <v>0</v>
      </c>
      <c r="K27" s="238"/>
      <c r="L27" s="238"/>
      <c r="M27" s="116">
        <f>+K27+'5'!M27+L27</f>
        <v>0</v>
      </c>
    </row>
    <row r="28" spans="1:19" ht="102.75" thickBot="1">
      <c r="A28" s="776"/>
      <c r="B28" s="214"/>
      <c r="C28" s="215"/>
      <c r="D28" s="216"/>
      <c r="E28" s="224"/>
      <c r="F28" s="230">
        <v>480</v>
      </c>
      <c r="G28" s="231" t="s">
        <v>20</v>
      </c>
      <c r="H28" s="232" t="s">
        <v>490</v>
      </c>
      <c r="I28" s="774"/>
      <c r="J28" s="213">
        <f>+'5'!J28</f>
        <v>0</v>
      </c>
      <c r="K28" s="238"/>
      <c r="L28" s="238"/>
      <c r="M28" s="116">
        <f>+K28+'5'!M28+L28</f>
        <v>0</v>
      </c>
      <c r="N28" s="148" t="s">
        <v>429</v>
      </c>
      <c r="O28" s="148">
        <v>1100</v>
      </c>
      <c r="P28" s="148">
        <v>847</v>
      </c>
      <c r="Q28" s="148">
        <f>480+230</f>
        <v>710</v>
      </c>
    </row>
    <row r="29" spans="1:19" ht="13.5" thickBot="1">
      <c r="A29" s="776"/>
      <c r="B29" s="214"/>
      <c r="C29" s="215"/>
      <c r="D29" s="216"/>
      <c r="E29" s="224"/>
      <c r="F29" s="235"/>
      <c r="G29" s="231"/>
      <c r="H29" s="232"/>
      <c r="I29" s="774"/>
      <c r="J29" s="213">
        <f>+'5'!J29</f>
        <v>0</v>
      </c>
      <c r="K29" s="238"/>
      <c r="L29" s="238"/>
      <c r="M29" s="116">
        <f>+K29+'5'!M29+L29</f>
        <v>0</v>
      </c>
      <c r="N29" s="148" t="s">
        <v>489</v>
      </c>
      <c r="O29" s="148">
        <v>1200</v>
      </c>
      <c r="P29" s="148">
        <v>912</v>
      </c>
      <c r="Q29" s="148">
        <v>190</v>
      </c>
    </row>
    <row r="30" spans="1:19" ht="13.5" thickBot="1">
      <c r="A30" s="776"/>
      <c r="B30" s="214"/>
      <c r="C30" s="225"/>
      <c r="D30" s="216"/>
      <c r="E30" s="224"/>
      <c r="F30" s="235"/>
      <c r="G30" s="231"/>
      <c r="H30" s="232"/>
      <c r="I30" s="774"/>
      <c r="J30" s="213">
        <f>+'5'!J30</f>
        <v>0</v>
      </c>
      <c r="K30" s="238"/>
      <c r="L30" s="238"/>
      <c r="M30" s="116">
        <f>+K30+'5'!M30+L30</f>
        <v>0</v>
      </c>
      <c r="Q30" s="148">
        <f>+Q28+Q29</f>
        <v>900</v>
      </c>
    </row>
    <row r="31" spans="1:19" ht="13.5" thickBot="1">
      <c r="A31" s="776"/>
      <c r="B31" s="214"/>
      <c r="C31" s="225"/>
      <c r="D31" s="216"/>
      <c r="E31" s="224"/>
      <c r="F31" s="235"/>
      <c r="G31" s="236"/>
      <c r="H31" s="443"/>
      <c r="I31" s="775"/>
      <c r="J31" s="213">
        <f>+'5'!J31</f>
        <v>0</v>
      </c>
      <c r="K31" s="238"/>
      <c r="L31" s="238"/>
      <c r="M31" s="116">
        <f>+K31+'5'!M31+L31</f>
        <v>0</v>
      </c>
    </row>
    <row r="32" spans="1:19" ht="13.5" thickBot="1">
      <c r="A32" s="777"/>
      <c r="B32" s="164" t="s">
        <v>2</v>
      </c>
      <c r="C32" s="98">
        <f>SUM(C25:C31)</f>
        <v>531</v>
      </c>
      <c r="D32" s="99">
        <f>SUM(D25:D31)</f>
        <v>0</v>
      </c>
      <c r="E32" s="100">
        <f>SUM(E25:E31)</f>
        <v>0</v>
      </c>
      <c r="F32" s="101">
        <f>SUM(F24:F31)</f>
        <v>480</v>
      </c>
      <c r="G32" s="170"/>
      <c r="H32" s="171"/>
      <c r="I32" s="168"/>
      <c r="J32" s="213">
        <f>+'5'!J32</f>
        <v>0</v>
      </c>
      <c r="K32" s="240"/>
      <c r="L32" s="242"/>
      <c r="M32" s="116">
        <f>+K32+'5'!M32+L32</f>
        <v>0</v>
      </c>
    </row>
    <row r="33" spans="1:14" ht="13.5" thickBot="1">
      <c r="A33" s="172"/>
      <c r="B33" s="173"/>
      <c r="C33" s="102">
        <f>C32/($C$32+$D$32+$E$32)</f>
        <v>1</v>
      </c>
      <c r="D33" s="103">
        <f>D32/($C$32+$D$32+$E$32)</f>
        <v>0</v>
      </c>
      <c r="E33" s="104">
        <f>E32/($C$32+$D$32+$E$32)</f>
        <v>0</v>
      </c>
      <c r="F33" s="105"/>
      <c r="G33" s="174"/>
      <c r="H33" s="175"/>
      <c r="I33" s="176"/>
      <c r="J33" s="120"/>
      <c r="K33" s="121"/>
      <c r="L33" s="212"/>
      <c r="M33" s="118"/>
    </row>
    <row r="34" spans="1:14" ht="13.5" thickBot="1">
      <c r="A34" s="766" t="s">
        <v>57</v>
      </c>
      <c r="B34" s="767"/>
      <c r="C34" s="106">
        <f>C14+C23+C32</f>
        <v>28200</v>
      </c>
      <c r="D34" s="106">
        <f>D14+D23+D32</f>
        <v>0</v>
      </c>
      <c r="E34" s="106">
        <f>E14+E23+E32</f>
        <v>0</v>
      </c>
      <c r="F34" s="107">
        <f>F14+F23+F32</f>
        <v>585</v>
      </c>
      <c r="H34" s="177"/>
      <c r="I34" s="177"/>
      <c r="J34" s="122" t="s">
        <v>28</v>
      </c>
      <c r="K34" s="123">
        <f>SUM(K7:K32)</f>
        <v>28200</v>
      </c>
      <c r="L34" s="211">
        <f>SUM(L7:L32)</f>
        <v>0</v>
      </c>
      <c r="M34" s="119">
        <f>SUM(M7:M32)</f>
        <v>232761</v>
      </c>
    </row>
    <row r="35" spans="1:14" ht="13.5" thickBot="1">
      <c r="A35" s="178"/>
      <c r="B35" s="179"/>
      <c r="C35" s="103">
        <f>C34/($C$34+$D$34+$E$34)</f>
        <v>1</v>
      </c>
      <c r="D35" s="103">
        <f>D34/($C$34+$D$34+$E$34)</f>
        <v>0</v>
      </c>
      <c r="E35" s="108">
        <f>E34/($C$34+$D$34+$E$34)</f>
        <v>0</v>
      </c>
      <c r="K35" s="154"/>
      <c r="N35" s="148">
        <v>480</v>
      </c>
    </row>
    <row r="36" spans="1:14" ht="13.5" thickBot="1">
      <c r="A36" s="177"/>
      <c r="B36" s="177"/>
      <c r="C36" s="154"/>
      <c r="D36" s="154"/>
      <c r="E36" s="154"/>
      <c r="G36" s="154"/>
      <c r="H36" s="180"/>
      <c r="I36" s="161" t="s">
        <v>37</v>
      </c>
      <c r="J36" s="161" t="s">
        <v>38</v>
      </c>
      <c r="K36" s="181"/>
      <c r="N36" s="148">
        <v>420</v>
      </c>
    </row>
    <row r="37" spans="1:14" ht="17.45" customHeight="1" thickBot="1">
      <c r="A37" s="768" t="s">
        <v>58</v>
      </c>
      <c r="B37" s="769"/>
      <c r="C37" s="161" t="s">
        <v>59</v>
      </c>
      <c r="D37" s="182" t="s">
        <v>60</v>
      </c>
      <c r="E37" s="183" t="s">
        <v>61</v>
      </c>
      <c r="F37" s="321"/>
      <c r="G37" s="323"/>
      <c r="H37" s="185" t="s">
        <v>62</v>
      </c>
      <c r="I37" s="243">
        <f>(16*710+13*190)/900*G42*2.74*900/1000000</f>
        <v>32.616380033333336</v>
      </c>
      <c r="J37" s="124">
        <f>+I37+'5'!J37</f>
        <v>278.74293884613002</v>
      </c>
      <c r="K37" s="125" t="s">
        <v>63</v>
      </c>
      <c r="N37" s="148">
        <f>+N35+N36</f>
        <v>900</v>
      </c>
    </row>
    <row r="38" spans="1:14" ht="17.45" customHeight="1">
      <c r="A38" s="760" t="s">
        <v>12</v>
      </c>
      <c r="B38" s="761"/>
      <c r="C38" s="163">
        <f>SUMIF($G$7:$G$31,"Process",$F$7:$F$31)</f>
        <v>45</v>
      </c>
      <c r="D38" s="117">
        <f>+C38+'5'!D38</f>
        <v>436</v>
      </c>
      <c r="E38" s="142">
        <f t="shared" ref="E38:E51" si="4">D38/60</f>
        <v>7.2666666666666666</v>
      </c>
      <c r="F38" s="321">
        <v>1100</v>
      </c>
      <c r="G38" s="321">
        <v>847</v>
      </c>
      <c r="H38" s="186" t="s">
        <v>64</v>
      </c>
      <c r="I38" s="244">
        <f>14.767+13.74</f>
        <v>28.506999999999998</v>
      </c>
      <c r="J38" s="126">
        <f>+I38+'5'!J38</f>
        <v>242.66499999999999</v>
      </c>
      <c r="K38" s="127" t="s">
        <v>63</v>
      </c>
    </row>
    <row r="39" spans="1:14" ht="17.45" customHeight="1">
      <c r="A39" s="764" t="s">
        <v>13</v>
      </c>
      <c r="B39" s="765"/>
      <c r="C39" s="163">
        <f>SUMIF($G$7:$G$31,"Cleaning",$F$7:$F$31)</f>
        <v>0</v>
      </c>
      <c r="D39" s="117">
        <f>+C39+'5'!D39</f>
        <v>0</v>
      </c>
      <c r="E39" s="142">
        <f t="shared" si="4"/>
        <v>0</v>
      </c>
      <c r="F39" s="321">
        <v>1145.2380952380952</v>
      </c>
      <c r="G39" s="321">
        <v>876.40476190476193</v>
      </c>
      <c r="H39" s="186" t="s">
        <v>65</v>
      </c>
      <c r="I39" s="141"/>
      <c r="J39" s="128">
        <f>J37/G4</f>
        <v>46.457156474355003</v>
      </c>
      <c r="K39" s="129" t="s">
        <v>63</v>
      </c>
    </row>
    <row r="40" spans="1:14" ht="17.45" customHeight="1">
      <c r="A40" s="764" t="s">
        <v>66</v>
      </c>
      <c r="B40" s="765"/>
      <c r="C40" s="163">
        <f>SUMIF($G$7:$G$31,"Mechanical",$F$7:$F$31)</f>
        <v>0</v>
      </c>
      <c r="D40" s="117">
        <f>+C40+'5'!D40</f>
        <v>0</v>
      </c>
      <c r="E40" s="142">
        <f t="shared" si="4"/>
        <v>0</v>
      </c>
      <c r="F40" s="321"/>
      <c r="G40" s="321"/>
      <c r="H40" s="186" t="s">
        <v>67</v>
      </c>
      <c r="I40" s="117">
        <f>(K34+L34)/1000</f>
        <v>28.2</v>
      </c>
      <c r="J40" s="130">
        <f>+I40+'5'!J40</f>
        <v>232.761</v>
      </c>
      <c r="K40" s="129" t="s">
        <v>63</v>
      </c>
    </row>
    <row r="41" spans="1:14" ht="17.45" customHeight="1">
      <c r="A41" s="764" t="s">
        <v>68</v>
      </c>
      <c r="B41" s="765"/>
      <c r="C41" s="163">
        <f>SUMIF($G$7:$G$31,"Electrical",$F$7:$F$31)</f>
        <v>0</v>
      </c>
      <c r="D41" s="117">
        <f>+C41+'5'!D41</f>
        <v>0</v>
      </c>
      <c r="E41" s="142">
        <f t="shared" si="4"/>
        <v>0</v>
      </c>
      <c r="F41" s="321"/>
      <c r="G41" s="321"/>
      <c r="H41" s="186" t="s">
        <v>69</v>
      </c>
      <c r="I41" s="141"/>
      <c r="J41" s="128">
        <f>J40/G4</f>
        <v>38.793500000000002</v>
      </c>
      <c r="K41" s="129" t="s">
        <v>63</v>
      </c>
    </row>
    <row r="42" spans="1:14" ht="17.45" customHeight="1">
      <c r="A42" s="764" t="s">
        <v>16</v>
      </c>
      <c r="B42" s="765"/>
      <c r="C42" s="163">
        <f>SUMIF($G$7:$G$31,"Instrument",$F$7:$F$31)</f>
        <v>0</v>
      </c>
      <c r="D42" s="117">
        <f>+C42+'5'!D42</f>
        <v>0</v>
      </c>
      <c r="E42" s="142">
        <f t="shared" si="4"/>
        <v>0</v>
      </c>
      <c r="F42" s="321">
        <f>+(480*F38+420*F39)/900</f>
        <v>1121.1111111111111</v>
      </c>
      <c r="G42" s="321">
        <f>+(480*G38+420*G39)/900</f>
        <v>860.72222222222217</v>
      </c>
      <c r="H42" s="186" t="s">
        <v>70</v>
      </c>
      <c r="I42" s="245" t="s">
        <v>495</v>
      </c>
      <c r="J42" s="131"/>
      <c r="K42" s="129" t="s">
        <v>71</v>
      </c>
    </row>
    <row r="43" spans="1:14" ht="17.45" customHeight="1">
      <c r="A43" s="764" t="s">
        <v>219</v>
      </c>
      <c r="B43" s="765"/>
      <c r="C43" s="163">
        <f>SUMIF($G$7:$G$31,"Change Grade",$F$7:$F$31)</f>
        <v>0</v>
      </c>
      <c r="D43" s="117">
        <f>+C43+'5'!D43</f>
        <v>0</v>
      </c>
      <c r="E43" s="142">
        <f t="shared" si="4"/>
        <v>0</v>
      </c>
      <c r="F43" s="321"/>
      <c r="G43" s="322"/>
      <c r="H43" s="187" t="s">
        <v>73</v>
      </c>
      <c r="I43" s="117">
        <f>+Report1!Z14</f>
        <v>38.5</v>
      </c>
      <c r="J43" s="132">
        <f>+I43+'5'!J43</f>
        <v>293.7</v>
      </c>
      <c r="K43" s="129" t="s">
        <v>63</v>
      </c>
      <c r="L43" s="188"/>
    </row>
    <row r="44" spans="1:14" ht="17.45" customHeight="1">
      <c r="A44" s="764" t="s">
        <v>17</v>
      </c>
      <c r="B44" s="765"/>
      <c r="C44" s="163">
        <f>SUMIF($G$7:$G$31,"PLN",$F$7:$F$31)</f>
        <v>0</v>
      </c>
      <c r="D44" s="117">
        <f>+C44+'5'!D44</f>
        <v>0</v>
      </c>
      <c r="E44" s="142">
        <f t="shared" si="4"/>
        <v>0</v>
      </c>
      <c r="F44" s="321"/>
      <c r="G44" s="322"/>
      <c r="H44" s="187" t="s">
        <v>74</v>
      </c>
      <c r="I44" s="117">
        <f>I43/I38</f>
        <v>1.3505454800575298</v>
      </c>
      <c r="J44" s="133">
        <f>J43/J38</f>
        <v>1.2103105103743845</v>
      </c>
      <c r="K44" s="129" t="s">
        <v>63</v>
      </c>
    </row>
    <row r="45" spans="1:14" ht="17.45" customHeight="1">
      <c r="A45" s="764" t="s">
        <v>18</v>
      </c>
      <c r="B45" s="765"/>
      <c r="C45" s="163">
        <f>SUMIF($G$7:$G$31,"Boiler",$F$7:$F$31)</f>
        <v>0</v>
      </c>
      <c r="D45" s="117">
        <f>+C45+'5'!D45</f>
        <v>0</v>
      </c>
      <c r="E45" s="142">
        <f t="shared" si="4"/>
        <v>0</v>
      </c>
      <c r="F45" s="321"/>
      <c r="G45" s="324"/>
      <c r="H45" s="187" t="s">
        <v>75</v>
      </c>
      <c r="I45" s="117">
        <f>I43/I40</f>
        <v>1.3652482269503547</v>
      </c>
      <c r="J45" s="133">
        <f>J43/J40</f>
        <v>1.261809323726913</v>
      </c>
      <c r="K45" s="129" t="s">
        <v>63</v>
      </c>
    </row>
    <row r="46" spans="1:14" ht="17.45" customHeight="1">
      <c r="A46" s="764" t="s">
        <v>76</v>
      </c>
      <c r="B46" s="765"/>
      <c r="C46" s="163">
        <f>SUMIF($G$7:$G$31,"Gas",$F$7:$F$31)</f>
        <v>0</v>
      </c>
      <c r="D46" s="117">
        <f>+C46+'5'!D46</f>
        <v>0</v>
      </c>
      <c r="E46" s="142">
        <f t="shared" si="4"/>
        <v>0</v>
      </c>
      <c r="F46" s="321"/>
      <c r="G46" s="322"/>
      <c r="H46" s="187" t="s">
        <v>77</v>
      </c>
      <c r="I46" s="139">
        <f>+SUMIF(Listrik!P13,"&gt;0")</f>
        <v>24649.020000000732</v>
      </c>
      <c r="J46" s="134">
        <f>+I46+'5'!J46</f>
        <v>200809.3800000007</v>
      </c>
      <c r="K46" s="129" t="s">
        <v>78</v>
      </c>
    </row>
    <row r="47" spans="1:14" ht="17.45" customHeight="1">
      <c r="A47" s="764" t="s">
        <v>79</v>
      </c>
      <c r="B47" s="765"/>
      <c r="C47" s="163">
        <f>SUMIF($G$7:$G$31,"Gas",$F$7:$F$31)</f>
        <v>0</v>
      </c>
      <c r="D47" s="117">
        <f>+C47+'5'!D47</f>
        <v>0</v>
      </c>
      <c r="E47" s="142">
        <f t="shared" si="4"/>
        <v>0</v>
      </c>
      <c r="F47" s="321"/>
      <c r="G47" s="322"/>
      <c r="H47" s="187" t="s">
        <v>80</v>
      </c>
      <c r="I47" s="117">
        <f>I46/I38</f>
        <v>864.66552074931542</v>
      </c>
      <c r="J47" s="134">
        <f>J46/J38</f>
        <v>827.51686481363492</v>
      </c>
      <c r="K47" s="129" t="s">
        <v>24</v>
      </c>
    </row>
    <row r="48" spans="1:14" ht="17.45" customHeight="1">
      <c r="A48" s="764" t="s">
        <v>14</v>
      </c>
      <c r="B48" s="765"/>
      <c r="C48" s="163">
        <f>SUMIF($G$7:$G$31,"Start Up",$F$7:$F$31)</f>
        <v>0</v>
      </c>
      <c r="D48" s="117">
        <f>+C48+'5'!D48</f>
        <v>0</v>
      </c>
      <c r="E48" s="142">
        <f t="shared" si="4"/>
        <v>0</v>
      </c>
      <c r="F48" s="321"/>
      <c r="G48" s="322"/>
      <c r="H48" s="187" t="s">
        <v>81</v>
      </c>
      <c r="I48" s="117">
        <f>I46/I40</f>
        <v>874.07872340428128</v>
      </c>
      <c r="J48" s="134">
        <f>J46/J40</f>
        <v>862.72777656050926</v>
      </c>
      <c r="K48" s="129" t="s">
        <v>24</v>
      </c>
    </row>
    <row r="49" spans="1:11" ht="17.45" customHeight="1">
      <c r="A49" s="764" t="s">
        <v>20</v>
      </c>
      <c r="B49" s="765"/>
      <c r="C49" s="163">
        <f>SUMIF($G$7:$G$31,"Others",$F$7:$F$31)</f>
        <v>540</v>
      </c>
      <c r="D49" s="117">
        <f>+C49+'5'!D49</f>
        <v>540</v>
      </c>
      <c r="E49" s="142">
        <f t="shared" si="4"/>
        <v>9</v>
      </c>
      <c r="F49" s="184"/>
      <c r="H49" s="187" t="s">
        <v>267</v>
      </c>
      <c r="I49" s="117">
        <f>+Report1!T14</f>
        <v>3033.4509003836101</v>
      </c>
      <c r="J49" s="134">
        <f>+I49+'5'!J49</f>
        <v>27220.257335668459</v>
      </c>
      <c r="K49" s="129" t="s">
        <v>82</v>
      </c>
    </row>
    <row r="50" spans="1:11" ht="17.45" customHeight="1">
      <c r="A50" s="764" t="s">
        <v>19</v>
      </c>
      <c r="B50" s="765"/>
      <c r="C50" s="163">
        <f>SUMIF($G$7:$G$31,"Steam",$F$7:$F$31)</f>
        <v>0</v>
      </c>
      <c r="D50" s="117">
        <f>+C50+'5'!D50</f>
        <v>0</v>
      </c>
      <c r="E50" s="142">
        <f t="shared" si="4"/>
        <v>0</v>
      </c>
      <c r="F50" s="184"/>
      <c r="H50" s="187" t="s">
        <v>83</v>
      </c>
      <c r="I50" s="139">
        <f>I49/I38</f>
        <v>106.41073772700075</v>
      </c>
      <c r="J50" s="132">
        <f>J49/J38</f>
        <v>112.17216053270336</v>
      </c>
      <c r="K50" s="129" t="s">
        <v>82</v>
      </c>
    </row>
    <row r="51" spans="1:11" ht="17.45" customHeight="1" thickBot="1">
      <c r="A51" s="758" t="s">
        <v>84</v>
      </c>
      <c r="B51" s="759"/>
      <c r="C51" s="163">
        <f>SUMIF($G$7:$G$31,"Planned shut",$F$7:$F$31)</f>
        <v>0</v>
      </c>
      <c r="D51" s="117">
        <f>+C51+'5'!D51</f>
        <v>0</v>
      </c>
      <c r="E51" s="142">
        <f t="shared" si="4"/>
        <v>0</v>
      </c>
      <c r="F51" s="184"/>
      <c r="H51" s="189" t="s">
        <v>85</v>
      </c>
      <c r="I51" s="140">
        <f>I49/I40</f>
        <v>107.56918086466703</v>
      </c>
      <c r="J51" s="135">
        <f>J49/J40</f>
        <v>116.94509533671216</v>
      </c>
      <c r="K51" s="136" t="s">
        <v>82</v>
      </c>
    </row>
    <row r="52" spans="1:11" ht="13.5" thickBot="1">
      <c r="A52" s="760" t="s">
        <v>28</v>
      </c>
      <c r="B52" s="761"/>
      <c r="C52" s="143">
        <f>SUM(C38:C51)</f>
        <v>585</v>
      </c>
      <c r="D52" s="143">
        <f>SUM(D38:D51)</f>
        <v>976</v>
      </c>
      <c r="E52" s="144">
        <f>SUM(E38:E51)</f>
        <v>16.266666666666666</v>
      </c>
      <c r="F52" s="184"/>
      <c r="H52" s="190"/>
      <c r="I52" s="191"/>
      <c r="J52" s="137"/>
      <c r="K52" s="138"/>
    </row>
    <row r="53" spans="1:11" ht="13.5" thickBot="1">
      <c r="A53" s="762"/>
      <c r="B53" s="763"/>
      <c r="C53" s="145">
        <f>C52/(24*60)</f>
        <v>0.40625</v>
      </c>
      <c r="D53" s="145">
        <f>D52/(24*60*G4)</f>
        <v>0.11296296296296296</v>
      </c>
      <c r="E53" s="146">
        <f>E52/(G4*24)</f>
        <v>0.11296296296296296</v>
      </c>
      <c r="F53" s="184"/>
    </row>
    <row r="54" spans="1:11">
      <c r="E54" s="192"/>
      <c r="F54" s="184"/>
    </row>
    <row r="55" spans="1:11">
      <c r="E55" s="192"/>
    </row>
    <row r="56" spans="1:11">
      <c r="A56" s="193" t="s">
        <v>86</v>
      </c>
      <c r="B56" s="194"/>
      <c r="C56" s="195"/>
      <c r="D56" s="195"/>
      <c r="E56" s="195"/>
      <c r="F56" s="196"/>
      <c r="G56" s="195"/>
      <c r="H56" s="197"/>
      <c r="I56" s="198" t="s">
        <v>87</v>
      </c>
      <c r="J56" s="199">
        <f>+D34+'5'!J56</f>
        <v>830</v>
      </c>
      <c r="K56" s="200">
        <f>J56/(J40+J56/1000)/1000</f>
        <v>3.5532190880641803E-3</v>
      </c>
    </row>
    <row r="57" spans="1:11">
      <c r="A57" s="175"/>
      <c r="I57" s="198" t="s">
        <v>88</v>
      </c>
      <c r="J57" s="199">
        <f>+E34+'5'!J57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9513888888888889" right="0.19513888888888889" top="0.17" bottom="0.16" header="0" footer="0"/>
  <pageSetup paperSize="9" scale="60"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1"/>
  <sheetViews>
    <sheetView view="pageBreakPreview" zoomScale="80" zoomScaleNormal="75" zoomScaleSheetLayoutView="80" workbookViewId="0">
      <selection activeCell="D17" sqref="D17"/>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4" style="148" customWidth="1"/>
    <col min="12" max="12" width="8.28515625" style="148" customWidth="1"/>
    <col min="13" max="13" width="15.5703125" style="148" bestFit="1" customWidth="1"/>
    <col min="14" max="16384" width="9.140625" style="148"/>
  </cols>
  <sheetData>
    <row r="1" spans="1:26" ht="15.75">
      <c r="A1" s="147"/>
    </row>
    <row r="2" spans="1:26" ht="15.75">
      <c r="A2" s="147" t="s">
        <v>182</v>
      </c>
    </row>
    <row r="3" spans="1:26" ht="15">
      <c r="A3" s="149"/>
    </row>
    <row r="4" spans="1:26" ht="20.25">
      <c r="A4" s="150" t="s">
        <v>3</v>
      </c>
      <c r="B4" s="151"/>
      <c r="F4" s="152" t="s">
        <v>29</v>
      </c>
      <c r="G4" s="153">
        <v>5</v>
      </c>
      <c r="H4" s="153" t="str">
        <f>+'1'!H4</f>
        <v>.03.26</v>
      </c>
      <c r="J4" s="148">
        <f>2+1+16</f>
        <v>19</v>
      </c>
    </row>
    <row r="5" spans="1:26" ht="13.5" thickBot="1">
      <c r="C5" s="154"/>
      <c r="D5" s="154"/>
    </row>
    <row r="6" spans="1:26"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428</v>
      </c>
      <c r="O6" s="148">
        <v>1200</v>
      </c>
      <c r="P6" s="148">
        <f>+O6-(O6*0.25)</f>
        <v>900</v>
      </c>
      <c r="Q6" s="148">
        <f>60+34</f>
        <v>94</v>
      </c>
      <c r="R6" s="148">
        <f t="shared" ref="R6:R7" si="0">+O6*Q6</f>
        <v>112800</v>
      </c>
      <c r="S6" s="148">
        <f t="shared" ref="S6:S7" si="1">+P6*Q6</f>
        <v>84600</v>
      </c>
      <c r="U6" s="148" t="s">
        <v>428</v>
      </c>
      <c r="V6" s="148">
        <v>1200</v>
      </c>
      <c r="W6" s="148">
        <f>+V6-(V6*0.25)</f>
        <v>900</v>
      </c>
      <c r="X6" s="148">
        <f>60+34</f>
        <v>94</v>
      </c>
      <c r="Y6" s="148">
        <f t="shared" ref="Y6:Y7" si="2">+V6*X6</f>
        <v>112800</v>
      </c>
      <c r="Z6" s="148">
        <f t="shared" ref="Z6:Z7" si="3">+W6*X6</f>
        <v>84600</v>
      </c>
    </row>
    <row r="7" spans="1:26" ht="13.5" customHeight="1" thickBot="1">
      <c r="A7" s="770" t="s">
        <v>417</v>
      </c>
      <c r="B7" s="214" t="s">
        <v>440</v>
      </c>
      <c r="C7" s="215">
        <v>13840</v>
      </c>
      <c r="D7" s="216"/>
      <c r="E7" s="217"/>
      <c r="F7" s="227">
        <v>6</v>
      </c>
      <c r="G7" s="228" t="s">
        <v>12</v>
      </c>
      <c r="H7" s="229" t="s">
        <v>467</v>
      </c>
      <c r="I7" s="773" t="s">
        <v>476</v>
      </c>
      <c r="J7" s="213" t="str">
        <f>+'4'!J7</f>
        <v>F 12 VP OW</v>
      </c>
      <c r="K7" s="237"/>
      <c r="L7" s="241"/>
      <c r="M7" s="116">
        <f>+K7+'4'!M7+L7</f>
        <v>45075</v>
      </c>
      <c r="O7" s="148">
        <v>1150</v>
      </c>
      <c r="P7" s="148">
        <f>+O7-(O7*0.25)</f>
        <v>862.5</v>
      </c>
      <c r="Q7" s="148">
        <f>480-Q6</f>
        <v>386</v>
      </c>
      <c r="R7" s="148">
        <f t="shared" si="0"/>
        <v>443900</v>
      </c>
      <c r="S7" s="148">
        <f t="shared" si="1"/>
        <v>332925</v>
      </c>
      <c r="V7" s="148">
        <v>1150</v>
      </c>
      <c r="W7" s="148">
        <f>+V7-(V7*0.25)</f>
        <v>862.5</v>
      </c>
      <c r="X7" s="148">
        <f>480-X6</f>
        <v>386</v>
      </c>
      <c r="Y7" s="148">
        <f t="shared" si="2"/>
        <v>443900</v>
      </c>
      <c r="Z7" s="148">
        <f t="shared" si="3"/>
        <v>332925</v>
      </c>
    </row>
    <row r="8" spans="1:26" ht="13.5" thickBot="1">
      <c r="A8" s="771"/>
      <c r="B8" s="214"/>
      <c r="C8" s="215"/>
      <c r="D8" s="216"/>
      <c r="E8" s="218"/>
      <c r="F8" s="230"/>
      <c r="G8" s="231" t="s">
        <v>12</v>
      </c>
      <c r="H8" s="229" t="s">
        <v>283</v>
      </c>
      <c r="I8" s="774"/>
      <c r="J8" s="213" t="str">
        <f>+'4'!J8</f>
        <v>F 14 VP OW</v>
      </c>
      <c r="K8" s="238">
        <f>+C7+C16+C25</f>
        <v>25388</v>
      </c>
      <c r="L8" s="238"/>
      <c r="M8" s="116">
        <f>+K8+'4'!M8+L8</f>
        <v>69856</v>
      </c>
      <c r="U8" s="148" t="s">
        <v>428</v>
      </c>
      <c r="V8" s="148">
        <v>1150</v>
      </c>
      <c r="W8" s="148">
        <v>862.5</v>
      </c>
      <c r="X8" s="148">
        <v>330</v>
      </c>
      <c r="Y8" s="148">
        <f t="shared" ref="Y8" si="4">+V8*X8</f>
        <v>379500</v>
      </c>
      <c r="Z8" s="148">
        <f t="shared" ref="Z8" si="5">+W8*X8</f>
        <v>284625</v>
      </c>
    </row>
    <row r="9" spans="1:26" ht="13.5" thickBot="1">
      <c r="A9" s="771"/>
      <c r="B9" s="214"/>
      <c r="C9" s="215"/>
      <c r="D9" s="216"/>
      <c r="E9" s="219"/>
      <c r="F9" s="227">
        <v>20</v>
      </c>
      <c r="G9" s="231" t="s">
        <v>12</v>
      </c>
      <c r="H9" s="232" t="s">
        <v>433</v>
      </c>
      <c r="I9" s="774"/>
      <c r="J9" s="213" t="str">
        <f>+'4'!J9</f>
        <v>F 16 VP OW</v>
      </c>
      <c r="K9" s="238">
        <f>+C27</f>
        <v>2678</v>
      </c>
      <c r="L9" s="238"/>
      <c r="M9" s="116">
        <f>+K9+'4'!M9+L9</f>
        <v>78803</v>
      </c>
    </row>
    <row r="10" spans="1:26" ht="26.25" thickBot="1">
      <c r="A10" s="771"/>
      <c r="B10" s="214"/>
      <c r="C10" s="215"/>
      <c r="D10" s="216"/>
      <c r="E10" s="218"/>
      <c r="F10" s="227"/>
      <c r="G10" s="236" t="s">
        <v>13</v>
      </c>
      <c r="H10" s="232" t="s">
        <v>469</v>
      </c>
      <c r="I10" s="774"/>
      <c r="J10" s="213" t="s">
        <v>485</v>
      </c>
      <c r="K10" s="238">
        <f>+C26</f>
        <v>10827</v>
      </c>
      <c r="L10" s="238"/>
      <c r="M10" s="116">
        <f>+K10+'4'!M10+L10</f>
        <v>10827</v>
      </c>
    </row>
    <row r="11" spans="1:26" ht="39" thickBot="1">
      <c r="A11" s="771"/>
      <c r="B11" s="214"/>
      <c r="C11" s="215"/>
      <c r="D11" s="216"/>
      <c r="E11" s="218"/>
      <c r="F11" s="227"/>
      <c r="G11" s="231"/>
      <c r="H11" s="232" t="s">
        <v>470</v>
      </c>
      <c r="I11" s="774"/>
      <c r="J11" s="213">
        <f>+'4'!J11</f>
        <v>0</v>
      </c>
      <c r="K11" s="238"/>
      <c r="L11" s="238"/>
      <c r="M11" s="116">
        <f>+K11+'4'!M11+L11</f>
        <v>0</v>
      </c>
    </row>
    <row r="12" spans="1:26" ht="13.5" thickBot="1">
      <c r="A12" s="771"/>
      <c r="B12" s="214"/>
      <c r="C12" s="215"/>
      <c r="D12" s="216"/>
      <c r="E12" s="218"/>
      <c r="F12" s="227"/>
      <c r="G12" s="231"/>
      <c r="H12" s="232"/>
      <c r="I12" s="774"/>
      <c r="J12" s="213">
        <f>+'4'!J12</f>
        <v>0</v>
      </c>
      <c r="K12" s="238"/>
      <c r="L12" s="238"/>
      <c r="M12" s="116">
        <f>+K12+'4'!M12+L12</f>
        <v>0</v>
      </c>
    </row>
    <row r="13" spans="1:26" ht="13.5" thickBot="1">
      <c r="A13" s="771"/>
      <c r="B13" s="214"/>
      <c r="C13" s="215"/>
      <c r="D13" s="215"/>
      <c r="E13" s="218"/>
      <c r="F13" s="227"/>
      <c r="G13" s="231"/>
      <c r="H13" s="232"/>
      <c r="I13" s="775"/>
      <c r="J13" s="213">
        <f>+'4'!J13</f>
        <v>0</v>
      </c>
      <c r="K13" s="238"/>
      <c r="L13" s="238"/>
      <c r="M13" s="116">
        <f>+K13+'4'!M13+L13</f>
        <v>0</v>
      </c>
      <c r="Q13" s="175">
        <f>SUM(Q5:Q12)</f>
        <v>480</v>
      </c>
      <c r="R13" s="175">
        <f>SUM(R5:R12)</f>
        <v>556700</v>
      </c>
      <c r="S13" s="175">
        <f>SUM(S5:S12)</f>
        <v>417525</v>
      </c>
      <c r="X13" s="175">
        <f>SUM(X5:X12)</f>
        <v>810</v>
      </c>
      <c r="Y13" s="175">
        <f>SUM(Y5:Y12)</f>
        <v>936200</v>
      </c>
      <c r="Z13" s="175">
        <f>SUM(Z5:Z12)</f>
        <v>702150</v>
      </c>
    </row>
    <row r="14" spans="1:26" ht="13.5" thickBot="1">
      <c r="A14" s="772"/>
      <c r="B14" s="164" t="s">
        <v>2</v>
      </c>
      <c r="C14" s="98">
        <f>SUM(C7:C13)</f>
        <v>13840</v>
      </c>
      <c r="D14" s="110">
        <f>SUM(D7:D13)</f>
        <v>0</v>
      </c>
      <c r="E14" s="111">
        <f>SUM(E5:E13)</f>
        <v>0</v>
      </c>
      <c r="F14" s="115">
        <f>SUM(F7:F13)</f>
        <v>26</v>
      </c>
      <c r="G14" s="158"/>
      <c r="H14" s="165"/>
      <c r="I14" s="166"/>
      <c r="J14" s="213">
        <f>+'4'!J14</f>
        <v>0</v>
      </c>
      <c r="K14" s="238"/>
      <c r="L14" s="238"/>
      <c r="M14" s="116">
        <f>+K14+'4'!M14+L14</f>
        <v>0</v>
      </c>
      <c r="Q14" s="148">
        <f>480-Q13</f>
        <v>0</v>
      </c>
      <c r="R14" s="175">
        <f>+R13/Q13</f>
        <v>1159.7916666666667</v>
      </c>
      <c r="S14" s="175">
        <f>+S13/Q13</f>
        <v>869.84375</v>
      </c>
      <c r="X14" s="148">
        <f>480-X13</f>
        <v>-330</v>
      </c>
      <c r="Y14" s="175">
        <f>+Y13/X13</f>
        <v>1155.8024691358025</v>
      </c>
      <c r="Z14" s="175">
        <f>+Z13/X13</f>
        <v>866.85185185185185</v>
      </c>
    </row>
    <row r="15" spans="1:26" ht="13.5" customHeight="1" thickBot="1">
      <c r="A15" s="770" t="s">
        <v>391</v>
      </c>
      <c r="B15" s="164"/>
      <c r="C15" s="112">
        <f>C14/($C$23+$D$23+$E$23)</f>
        <v>1.3174678724416944</v>
      </c>
      <c r="D15" s="113">
        <f>D14/($C$23+$D$23+$E$23)</f>
        <v>0</v>
      </c>
      <c r="E15" s="114">
        <f>E14/($C$23+$D$23+$E$23)</f>
        <v>0</v>
      </c>
      <c r="F15" s="227">
        <v>5</v>
      </c>
      <c r="G15" s="228" t="s">
        <v>12</v>
      </c>
      <c r="H15" s="229" t="s">
        <v>467</v>
      </c>
      <c r="I15" s="773" t="s">
        <v>477</v>
      </c>
      <c r="J15" s="213">
        <f>+'4'!J15</f>
        <v>0</v>
      </c>
      <c r="K15" s="238"/>
      <c r="L15" s="238"/>
      <c r="M15" s="116">
        <f>+K15+'4'!M15+L15</f>
        <v>0</v>
      </c>
      <c r="N15" s="148" t="s">
        <v>428</v>
      </c>
      <c r="O15" s="148">
        <v>1150</v>
      </c>
      <c r="P15" s="148">
        <f>+O15-(O15*0.25)</f>
        <v>862.5</v>
      </c>
      <c r="Q15" s="148">
        <f>60*5+30</f>
        <v>330</v>
      </c>
      <c r="R15" s="148">
        <f t="shared" ref="R15:R16" si="6">+O15*Q15</f>
        <v>379500</v>
      </c>
      <c r="S15" s="148">
        <f t="shared" ref="S15:S16" si="7">+P15*Q15</f>
        <v>284625</v>
      </c>
    </row>
    <row r="16" spans="1:26" ht="13.5" thickBot="1">
      <c r="A16" s="776"/>
      <c r="B16" s="214" t="s">
        <v>440</v>
      </c>
      <c r="C16" s="221">
        <v>10215</v>
      </c>
      <c r="D16" s="222">
        <v>290</v>
      </c>
      <c r="E16" s="223"/>
      <c r="F16" s="230"/>
      <c r="G16" s="231" t="s">
        <v>12</v>
      </c>
      <c r="H16" s="229" t="s">
        <v>283</v>
      </c>
      <c r="I16" s="774"/>
      <c r="J16" s="213">
        <f>+'4'!J16</f>
        <v>0</v>
      </c>
      <c r="K16" s="228"/>
      <c r="L16" s="228"/>
      <c r="M16" s="116">
        <f>+K16+'4'!M16+L16</f>
        <v>0</v>
      </c>
      <c r="N16" s="148" t="s">
        <v>475</v>
      </c>
      <c r="O16" s="148">
        <v>1200</v>
      </c>
      <c r="P16" s="148">
        <f>+O16-(O16*0.23)</f>
        <v>924</v>
      </c>
      <c r="Q16" s="148">
        <f>480-Q15</f>
        <v>150</v>
      </c>
      <c r="R16" s="148">
        <f t="shared" si="6"/>
        <v>180000</v>
      </c>
      <c r="S16" s="148">
        <f t="shared" si="7"/>
        <v>138600</v>
      </c>
      <c r="U16" s="148" t="s">
        <v>475</v>
      </c>
      <c r="V16" s="148">
        <v>1200</v>
      </c>
      <c r="W16" s="148">
        <v>924</v>
      </c>
      <c r="X16" s="148">
        <v>150</v>
      </c>
      <c r="Y16" s="148">
        <f t="shared" ref="Y16:Y17" si="8">+V16*X16</f>
        <v>180000</v>
      </c>
      <c r="Z16" s="148">
        <f t="shared" ref="Z16:Z17" si="9">+W16*X16</f>
        <v>138600</v>
      </c>
    </row>
    <row r="17" spans="1:26" ht="13.5" thickBot="1">
      <c r="A17" s="776"/>
      <c r="B17" s="214"/>
      <c r="C17" s="215"/>
      <c r="D17" s="216"/>
      <c r="E17" s="224"/>
      <c r="F17" s="227">
        <v>20</v>
      </c>
      <c r="G17" s="231" t="s">
        <v>12</v>
      </c>
      <c r="H17" s="232" t="s">
        <v>481</v>
      </c>
      <c r="I17" s="774"/>
      <c r="J17" s="213">
        <f>+'4'!J17</f>
        <v>0</v>
      </c>
      <c r="K17" s="228"/>
      <c r="L17" s="228"/>
      <c r="M17" s="116">
        <f>+K17+'4'!M17+L17</f>
        <v>0</v>
      </c>
      <c r="U17" s="148" t="s">
        <v>475</v>
      </c>
      <c r="V17" s="148">
        <v>1200</v>
      </c>
      <c r="W17" s="148">
        <v>924</v>
      </c>
      <c r="X17" s="148">
        <v>230</v>
      </c>
      <c r="Y17" s="148">
        <f t="shared" si="8"/>
        <v>276000</v>
      </c>
      <c r="Z17" s="148">
        <f t="shared" si="9"/>
        <v>212520</v>
      </c>
    </row>
    <row r="18" spans="1:26" ht="26.25" thickBot="1">
      <c r="A18" s="776"/>
      <c r="B18" s="214"/>
      <c r="C18" s="215"/>
      <c r="D18" s="216"/>
      <c r="E18" s="224"/>
      <c r="F18" s="227"/>
      <c r="G18" s="236" t="s">
        <v>13</v>
      </c>
      <c r="H18" s="232" t="s">
        <v>473</v>
      </c>
      <c r="I18" s="774"/>
      <c r="J18" s="213">
        <f>+'4'!J18</f>
        <v>0</v>
      </c>
      <c r="K18" s="238"/>
      <c r="L18" s="238"/>
      <c r="M18" s="116">
        <f>+K18+'4'!M18+L18</f>
        <v>0</v>
      </c>
    </row>
    <row r="19" spans="1:26" ht="13.5" thickBot="1">
      <c r="A19" s="776"/>
      <c r="B19" s="214"/>
      <c r="C19" s="215"/>
      <c r="D19" s="216"/>
      <c r="E19" s="224"/>
      <c r="F19" s="234"/>
      <c r="G19" s="231"/>
      <c r="H19" s="232" t="s">
        <v>474</v>
      </c>
      <c r="I19" s="774"/>
      <c r="J19" s="213">
        <f>+'4'!J19</f>
        <v>0</v>
      </c>
      <c r="K19" s="238"/>
      <c r="L19" s="238"/>
      <c r="M19" s="116">
        <f>+K19+'4'!M19+L19</f>
        <v>0</v>
      </c>
    </row>
    <row r="20" spans="1:26" ht="13.5" thickBot="1">
      <c r="A20" s="776"/>
      <c r="B20" s="214"/>
      <c r="C20" s="215"/>
      <c r="D20" s="216"/>
      <c r="E20" s="224"/>
      <c r="F20" s="227"/>
      <c r="G20" s="231"/>
      <c r="H20" s="232"/>
      <c r="I20" s="774"/>
      <c r="J20" s="213">
        <f>+'4'!J20</f>
        <v>0</v>
      </c>
      <c r="K20" s="239"/>
      <c r="L20" s="239"/>
      <c r="M20" s="116">
        <f>+K20+'4'!M20+L20</f>
        <v>0</v>
      </c>
    </row>
    <row r="21" spans="1:26" ht="13.5" thickBot="1">
      <c r="A21" s="776"/>
      <c r="B21" s="214"/>
      <c r="C21" s="215"/>
      <c r="D21" s="216"/>
      <c r="E21" s="224"/>
      <c r="F21" s="230"/>
      <c r="G21" s="231"/>
      <c r="H21" s="232"/>
      <c r="I21" s="774"/>
      <c r="J21" s="213">
        <f>+'4'!J21</f>
        <v>0</v>
      </c>
      <c r="K21" s="238"/>
      <c r="L21" s="238"/>
      <c r="M21" s="116">
        <f>+K21+'4'!M21+L21</f>
        <v>0</v>
      </c>
    </row>
    <row r="22" spans="1:26" ht="13.5" thickBot="1">
      <c r="A22" s="776"/>
      <c r="B22" s="214"/>
      <c r="C22" s="215"/>
      <c r="D22" s="216"/>
      <c r="E22" s="224"/>
      <c r="F22" s="235"/>
      <c r="G22" s="231"/>
      <c r="H22" s="232"/>
      <c r="I22" s="775"/>
      <c r="J22" s="213">
        <f>+'4'!J22</f>
        <v>0</v>
      </c>
      <c r="K22" s="238"/>
      <c r="L22" s="238"/>
      <c r="M22" s="116">
        <f>+K22+'4'!M22+L22</f>
        <v>0</v>
      </c>
      <c r="Q22" s="175">
        <f>SUM(Q14:Q21)</f>
        <v>480</v>
      </c>
      <c r="R22" s="175">
        <f>SUM(R14:R21)</f>
        <v>560659.79166666674</v>
      </c>
      <c r="S22" s="175">
        <f>SUM(S14:S21)</f>
        <v>424094.84375</v>
      </c>
    </row>
    <row r="23" spans="1:26" ht="13.5" thickBot="1">
      <c r="A23" s="777"/>
      <c r="B23" s="167" t="s">
        <v>2</v>
      </c>
      <c r="C23" s="99">
        <f>SUM(C16:C22)</f>
        <v>10215</v>
      </c>
      <c r="D23" s="110">
        <f>SUM(D16:D22)</f>
        <v>290</v>
      </c>
      <c r="E23" s="111">
        <f>SUM(E18:E22)</f>
        <v>0</v>
      </c>
      <c r="F23" s="115">
        <f>SUM(F15:F22)</f>
        <v>25</v>
      </c>
      <c r="G23" s="158"/>
      <c r="H23" s="165"/>
      <c r="I23" s="168"/>
      <c r="J23" s="213">
        <f>+'4'!J23</f>
        <v>0</v>
      </c>
      <c r="K23" s="238"/>
      <c r="L23" s="238"/>
      <c r="M23" s="116">
        <f>+K23+'4'!M23+L23</f>
        <v>0</v>
      </c>
      <c r="Q23" s="148">
        <f>480-Q22</f>
        <v>0</v>
      </c>
      <c r="R23" s="175">
        <f>+R22/Q22</f>
        <v>1168.0412326388891</v>
      </c>
      <c r="S23" s="175">
        <f>+S22/Q22</f>
        <v>883.53092447916663</v>
      </c>
      <c r="X23" s="175">
        <f>SUM(X15:X22)</f>
        <v>380</v>
      </c>
      <c r="Y23" s="175">
        <f>SUM(Y15:Y22)</f>
        <v>456000</v>
      </c>
      <c r="Z23" s="175">
        <f>SUM(Z15:Z22)</f>
        <v>351120</v>
      </c>
    </row>
    <row r="24" spans="1:26" ht="13.5" customHeight="1" thickBot="1">
      <c r="A24" s="770" t="s">
        <v>457</v>
      </c>
      <c r="B24" s="169"/>
      <c r="C24" s="112">
        <f>C23/($C$23+$D$23+$E$23)</f>
        <v>0.97239409804854826</v>
      </c>
      <c r="D24" s="113">
        <f>D23/($C$23+$D$23+$E$23)</f>
        <v>2.760590195145169E-2</v>
      </c>
      <c r="E24" s="114">
        <f>E23/($C$23+$D$23+$E$23)</f>
        <v>0</v>
      </c>
      <c r="F24" s="227">
        <v>6</v>
      </c>
      <c r="G24" s="228" t="s">
        <v>12</v>
      </c>
      <c r="H24" s="229" t="s">
        <v>467</v>
      </c>
      <c r="I24" s="773" t="s">
        <v>478</v>
      </c>
      <c r="J24" s="213">
        <f>+'4'!J24</f>
        <v>0</v>
      </c>
      <c r="K24" s="238"/>
      <c r="L24" s="238"/>
      <c r="M24" s="116">
        <f>+K24+'4'!M24+L24</f>
        <v>0</v>
      </c>
      <c r="N24" s="148" t="s">
        <v>475</v>
      </c>
      <c r="O24" s="148">
        <v>1200</v>
      </c>
      <c r="P24" s="148">
        <f>+O24-(O24*0.23)</f>
        <v>924</v>
      </c>
      <c r="Q24" s="148">
        <f>60*3+50</f>
        <v>230</v>
      </c>
      <c r="R24" s="148">
        <f t="shared" ref="R24:R25" si="10">+O24*Q24</f>
        <v>276000</v>
      </c>
      <c r="S24" s="148">
        <f t="shared" ref="S24:S25" si="11">+P24*Q24</f>
        <v>212520</v>
      </c>
      <c r="X24" s="148">
        <f>480-X23</f>
        <v>100</v>
      </c>
      <c r="Y24" s="175">
        <f>+Y23/X23</f>
        <v>1200</v>
      </c>
      <c r="Z24" s="175">
        <f>+Z23/X23</f>
        <v>924</v>
      </c>
    </row>
    <row r="25" spans="1:26" ht="13.5" thickBot="1">
      <c r="A25" s="776"/>
      <c r="B25" s="214" t="s">
        <v>440</v>
      </c>
      <c r="C25" s="225">
        <f>617+716</f>
        <v>1333</v>
      </c>
      <c r="D25" s="216"/>
      <c r="E25" s="224"/>
      <c r="F25" s="230"/>
      <c r="G25" s="231" t="s">
        <v>12</v>
      </c>
      <c r="H25" s="229" t="s">
        <v>283</v>
      </c>
      <c r="I25" s="774"/>
      <c r="J25" s="213">
        <f>+'4'!J25</f>
        <v>0</v>
      </c>
      <c r="K25" s="238"/>
      <c r="L25" s="238"/>
      <c r="M25" s="116">
        <f>+K25+'4'!M25+L25</f>
        <v>0</v>
      </c>
      <c r="N25" s="148" t="s">
        <v>429</v>
      </c>
      <c r="O25" s="148">
        <v>1100</v>
      </c>
      <c r="P25" s="148">
        <f>+O25-(O25*0.24)</f>
        <v>836</v>
      </c>
      <c r="Q25" s="148">
        <f>480-Q24</f>
        <v>250</v>
      </c>
      <c r="R25" s="148">
        <f t="shared" si="10"/>
        <v>275000</v>
      </c>
      <c r="S25" s="148">
        <f t="shared" si="11"/>
        <v>209000</v>
      </c>
    </row>
    <row r="26" spans="1:26" ht="13.5" thickBot="1">
      <c r="A26" s="776"/>
      <c r="B26" s="214" t="s">
        <v>485</v>
      </c>
      <c r="C26" s="225">
        <f>4996+5831</f>
        <v>10827</v>
      </c>
      <c r="D26" s="216"/>
      <c r="E26" s="226"/>
      <c r="F26" s="227">
        <f>23-6</f>
        <v>17</v>
      </c>
      <c r="G26" s="231" t="s">
        <v>12</v>
      </c>
      <c r="H26" s="232" t="s">
        <v>482</v>
      </c>
      <c r="I26" s="774"/>
      <c r="J26" s="213">
        <f>+'4'!J26</f>
        <v>0</v>
      </c>
      <c r="K26" s="238"/>
      <c r="L26" s="238"/>
      <c r="M26" s="116">
        <f>+K26+'4'!M26+L26</f>
        <v>0</v>
      </c>
    </row>
    <row r="27" spans="1:26" ht="26.25" thickBot="1">
      <c r="A27" s="776"/>
      <c r="B27" s="214" t="s">
        <v>441</v>
      </c>
      <c r="C27" s="215">
        <f>826+1852</f>
        <v>2678</v>
      </c>
      <c r="D27" s="216"/>
      <c r="E27" s="224"/>
      <c r="F27" s="227"/>
      <c r="G27" s="236" t="s">
        <v>13</v>
      </c>
      <c r="H27" s="232" t="s">
        <v>471</v>
      </c>
      <c r="I27" s="774"/>
      <c r="J27" s="213">
        <f>+'4'!J27</f>
        <v>0</v>
      </c>
      <c r="K27" s="238"/>
      <c r="L27" s="238"/>
      <c r="M27" s="116">
        <f>+K27+'4'!M27+L27</f>
        <v>0</v>
      </c>
    </row>
    <row r="28" spans="1:26" ht="13.5" thickBot="1">
      <c r="A28" s="776"/>
      <c r="B28" s="214"/>
      <c r="C28" s="215"/>
      <c r="D28" s="216"/>
      <c r="E28" s="224"/>
      <c r="F28" s="230"/>
      <c r="G28" s="231"/>
      <c r="H28" s="232" t="s">
        <v>472</v>
      </c>
      <c r="I28" s="774"/>
      <c r="J28" s="213">
        <f>+'4'!J28</f>
        <v>0</v>
      </c>
      <c r="K28" s="238"/>
      <c r="L28" s="238"/>
      <c r="M28" s="116">
        <f>+K28+'4'!M28+L28</f>
        <v>0</v>
      </c>
    </row>
    <row r="29" spans="1:26" ht="13.5" thickBot="1">
      <c r="A29" s="776"/>
      <c r="B29" s="214"/>
      <c r="C29" s="215"/>
      <c r="D29" s="216"/>
      <c r="E29" s="224"/>
      <c r="F29" s="235"/>
      <c r="G29" s="231"/>
      <c r="H29" s="232"/>
      <c r="I29" s="774"/>
      <c r="J29" s="213">
        <f>+'4'!J29</f>
        <v>0</v>
      </c>
      <c r="K29" s="238"/>
      <c r="L29" s="238"/>
      <c r="M29" s="116">
        <f>+K29+'4'!M29+L29</f>
        <v>0</v>
      </c>
    </row>
    <row r="30" spans="1:26" ht="13.5" thickBot="1">
      <c r="A30" s="776"/>
      <c r="B30" s="214"/>
      <c r="C30" s="225"/>
      <c r="D30" s="216"/>
      <c r="E30" s="224"/>
      <c r="F30" s="235"/>
      <c r="G30" s="231"/>
      <c r="H30" s="232"/>
      <c r="I30" s="774"/>
      <c r="J30" s="213">
        <f>+'4'!J30</f>
        <v>0</v>
      </c>
      <c r="K30" s="238"/>
      <c r="L30" s="238"/>
      <c r="M30" s="116">
        <f>+K30+'4'!M30+L30</f>
        <v>0</v>
      </c>
    </row>
    <row r="31" spans="1:26" ht="13.5" thickBot="1">
      <c r="A31" s="776"/>
      <c r="B31" s="214"/>
      <c r="C31" s="225"/>
      <c r="D31" s="216"/>
      <c r="E31" s="224"/>
      <c r="F31" s="235"/>
      <c r="G31" s="236"/>
      <c r="H31" s="443"/>
      <c r="I31" s="775"/>
      <c r="J31" s="213">
        <f>+'4'!J31</f>
        <v>0</v>
      </c>
      <c r="K31" s="238"/>
      <c r="L31" s="238"/>
      <c r="M31" s="116">
        <f>+K31+'4'!M31+L31</f>
        <v>0</v>
      </c>
      <c r="Q31" s="175">
        <f>SUM(Q23:Q30)</f>
        <v>480</v>
      </c>
      <c r="R31" s="175">
        <f>SUM(R23:R30)</f>
        <v>552168.04123263888</v>
      </c>
      <c r="S31" s="175">
        <f>SUM(S23:S30)</f>
        <v>422403.53092447913</v>
      </c>
    </row>
    <row r="32" spans="1:26" ht="13.5" thickBot="1">
      <c r="A32" s="777"/>
      <c r="B32" s="164" t="s">
        <v>2</v>
      </c>
      <c r="C32" s="98">
        <f>SUM(C25:C31)</f>
        <v>14838</v>
      </c>
      <c r="D32" s="99">
        <f>SUM(D25:D31)</f>
        <v>0</v>
      </c>
      <c r="E32" s="100">
        <f>SUM(E25:E31)</f>
        <v>0</v>
      </c>
      <c r="F32" s="101">
        <f>SUM(F24:F31)</f>
        <v>23</v>
      </c>
      <c r="G32" s="170"/>
      <c r="H32" s="171"/>
      <c r="I32" s="168"/>
      <c r="J32" s="213">
        <f>+'4'!J32</f>
        <v>0</v>
      </c>
      <c r="K32" s="240"/>
      <c r="L32" s="242"/>
      <c r="M32" s="116">
        <f>+K32+'4'!M32+L32</f>
        <v>0</v>
      </c>
      <c r="Q32" s="148">
        <f>480-Q31</f>
        <v>0</v>
      </c>
      <c r="R32" s="175">
        <f>+R31/Q31</f>
        <v>1150.3500859013309</v>
      </c>
      <c r="S32" s="175">
        <f>+S31/Q31</f>
        <v>880.00735609266485</v>
      </c>
    </row>
    <row r="33" spans="1:18" ht="13.5" thickBot="1">
      <c r="A33" s="172"/>
      <c r="B33" s="173"/>
      <c r="C33" s="102">
        <f>C32/($C$32+$D$32+$E$32)</f>
        <v>1</v>
      </c>
      <c r="D33" s="103">
        <f>D32/($C$32+$D$32+$E$32)</f>
        <v>0</v>
      </c>
      <c r="E33" s="104">
        <f>E32/($C$32+$D$32+$E$32)</f>
        <v>0</v>
      </c>
      <c r="F33" s="105"/>
      <c r="G33" s="174"/>
      <c r="H33" s="175"/>
      <c r="I33" s="176"/>
      <c r="J33" s="120"/>
      <c r="K33" s="121"/>
      <c r="L33" s="212"/>
      <c r="M33" s="118"/>
    </row>
    <row r="34" spans="1:18" ht="13.5" thickBot="1">
      <c r="A34" s="766" t="s">
        <v>57</v>
      </c>
      <c r="B34" s="767"/>
      <c r="C34" s="106">
        <f>C14+C23+C32</f>
        <v>38893</v>
      </c>
      <c r="D34" s="106">
        <f>D14+D23+D32</f>
        <v>290</v>
      </c>
      <c r="E34" s="106">
        <f>E14+E23+E32</f>
        <v>0</v>
      </c>
      <c r="F34" s="107">
        <f>F14+F23+F32</f>
        <v>74</v>
      </c>
      <c r="H34" s="177"/>
      <c r="I34" s="177"/>
      <c r="J34" s="122" t="s">
        <v>28</v>
      </c>
      <c r="K34" s="123">
        <f>SUM(K7:K32)</f>
        <v>38893</v>
      </c>
      <c r="L34" s="211">
        <f>SUM(L7:L32)</f>
        <v>0</v>
      </c>
      <c r="M34" s="119">
        <f>SUM(M7:M32)</f>
        <v>204561</v>
      </c>
    </row>
    <row r="35" spans="1:18" ht="13.5" thickBot="1">
      <c r="A35" s="178"/>
      <c r="B35" s="179"/>
      <c r="C35" s="103">
        <f>C34/($C$34+$D$34+$E$34)</f>
        <v>0.99259883112574332</v>
      </c>
      <c r="D35" s="103">
        <f>D34/($C$34+$D$34+$E$34)</f>
        <v>7.4011688742566927E-3</v>
      </c>
      <c r="E35" s="108">
        <f>E34/($C$34+$D$34+$E$34)</f>
        <v>0</v>
      </c>
      <c r="K35" s="154"/>
      <c r="O35" s="148" t="s">
        <v>428</v>
      </c>
      <c r="P35" s="148">
        <v>1155.8024691358025</v>
      </c>
      <c r="Q35" s="148">
        <v>866.85185185185185</v>
      </c>
      <c r="R35" s="148">
        <v>810</v>
      </c>
    </row>
    <row r="36" spans="1:18" ht="13.5" thickBot="1">
      <c r="A36" s="177"/>
      <c r="B36" s="177"/>
      <c r="C36" s="154"/>
      <c r="D36" s="154"/>
      <c r="E36" s="154"/>
      <c r="G36" s="154"/>
      <c r="H36" s="180"/>
      <c r="I36" s="161" t="s">
        <v>37</v>
      </c>
      <c r="J36" s="161" t="s">
        <v>38</v>
      </c>
      <c r="K36" s="181"/>
      <c r="O36" s="148" t="s">
        <v>475</v>
      </c>
      <c r="P36" s="148">
        <v>1200</v>
      </c>
      <c r="Q36" s="148">
        <v>924</v>
      </c>
      <c r="R36" s="148">
        <v>380</v>
      </c>
    </row>
    <row r="37" spans="1:18" ht="17.45" customHeight="1" thickBot="1">
      <c r="A37" s="768" t="s">
        <v>58</v>
      </c>
      <c r="B37" s="769"/>
      <c r="C37" s="161" t="s">
        <v>59</v>
      </c>
      <c r="D37" s="182" t="s">
        <v>60</v>
      </c>
      <c r="E37" s="183" t="s">
        <v>61</v>
      </c>
      <c r="F37" s="321"/>
      <c r="G37" s="323"/>
      <c r="H37" s="185" t="s">
        <v>62</v>
      </c>
      <c r="I37" s="243">
        <f>(14*810+13.5*380+16*250)/1440*G42*2.74*1440/1000000</f>
        <v>49.233534884768929</v>
      </c>
      <c r="J37" s="124">
        <f>+I37+'4'!J37</f>
        <v>246.1265588127967</v>
      </c>
      <c r="K37" s="125" t="s">
        <v>63</v>
      </c>
      <c r="O37" s="148" t="s">
        <v>429</v>
      </c>
      <c r="P37" s="148">
        <v>1100</v>
      </c>
      <c r="Q37" s="148">
        <v>836</v>
      </c>
      <c r="R37" s="148">
        <v>250</v>
      </c>
    </row>
    <row r="38" spans="1:18" ht="17.45" customHeight="1">
      <c r="A38" s="760" t="s">
        <v>12</v>
      </c>
      <c r="B38" s="761"/>
      <c r="C38" s="163">
        <f>SUMIF($G$7:$G$31,"Process",$F$7:$F$31)</f>
        <v>74</v>
      </c>
      <c r="D38" s="117">
        <f>+C38+'4'!D38</f>
        <v>391</v>
      </c>
      <c r="E38" s="142">
        <f t="shared" ref="E38:E51" si="12">D38/60</f>
        <v>6.5166666666666666</v>
      </c>
      <c r="F38" s="321">
        <v>1159.7916666666667</v>
      </c>
      <c r="G38" s="321">
        <v>869.84375</v>
      </c>
      <c r="H38" s="186" t="s">
        <v>64</v>
      </c>
      <c r="I38" s="244">
        <f>13.101+15.08+14.782</f>
        <v>42.963000000000001</v>
      </c>
      <c r="J38" s="126">
        <f>+I38+'4'!J38</f>
        <v>214.15799999999999</v>
      </c>
      <c r="K38" s="127" t="s">
        <v>63</v>
      </c>
      <c r="R38" s="148">
        <f>+R35+R36+R37</f>
        <v>1440</v>
      </c>
    </row>
    <row r="39" spans="1:18" ht="17.45" customHeight="1">
      <c r="A39" s="764" t="s">
        <v>13</v>
      </c>
      <c r="B39" s="765"/>
      <c r="C39" s="163">
        <f>SUMIF($G$7:$G$31,"Cleaning",$F$7:$F$31)</f>
        <v>0</v>
      </c>
      <c r="D39" s="117">
        <f>+C39+'4'!D39</f>
        <v>0</v>
      </c>
      <c r="E39" s="142">
        <f t="shared" si="12"/>
        <v>0</v>
      </c>
      <c r="F39" s="321">
        <v>1168.0412326388891</v>
      </c>
      <c r="G39" s="321">
        <v>883.53092447916663</v>
      </c>
      <c r="H39" s="186" t="s">
        <v>65</v>
      </c>
      <c r="I39" s="141"/>
      <c r="J39" s="128">
        <f>J37/G4</f>
        <v>49.225311762559343</v>
      </c>
      <c r="K39" s="129" t="s">
        <v>63</v>
      </c>
    </row>
    <row r="40" spans="1:18" ht="17.45" customHeight="1">
      <c r="A40" s="764" t="s">
        <v>66</v>
      </c>
      <c r="B40" s="765"/>
      <c r="C40" s="163">
        <f>SUMIF($G$7:$G$31,"Mechanical",$F$7:$F$31)</f>
        <v>0</v>
      </c>
      <c r="D40" s="117">
        <f>+C40+'4'!D40</f>
        <v>0</v>
      </c>
      <c r="E40" s="142">
        <f t="shared" si="12"/>
        <v>0</v>
      </c>
      <c r="F40" s="321">
        <v>1150.3500859013309</v>
      </c>
      <c r="G40" s="321">
        <v>880.00735609266485</v>
      </c>
      <c r="H40" s="186" t="s">
        <v>67</v>
      </c>
      <c r="I40" s="117">
        <f>(K34+L34)/1000</f>
        <v>38.893000000000001</v>
      </c>
      <c r="J40" s="130">
        <f>+I40+'4'!J40</f>
        <v>204.56100000000001</v>
      </c>
      <c r="K40" s="129" t="s">
        <v>63</v>
      </c>
    </row>
    <row r="41" spans="1:18" ht="17.45" customHeight="1">
      <c r="A41" s="764" t="s">
        <v>68</v>
      </c>
      <c r="B41" s="765"/>
      <c r="C41" s="163">
        <f>SUMIF($G$7:$G$31,"Electrical",$F$7:$F$31)</f>
        <v>0</v>
      </c>
      <c r="D41" s="117">
        <f>+C41+'4'!D41</f>
        <v>0</v>
      </c>
      <c r="E41" s="142">
        <f t="shared" si="12"/>
        <v>0</v>
      </c>
      <c r="F41" s="321"/>
      <c r="G41" s="321"/>
      <c r="H41" s="186" t="s">
        <v>69</v>
      </c>
      <c r="I41" s="141"/>
      <c r="J41" s="128">
        <f>J40/G4</f>
        <v>40.912199999999999</v>
      </c>
      <c r="K41" s="129" t="s">
        <v>63</v>
      </c>
    </row>
    <row r="42" spans="1:18" ht="17.45" customHeight="1">
      <c r="A42" s="764" t="s">
        <v>16</v>
      </c>
      <c r="B42" s="765"/>
      <c r="C42" s="163">
        <f>SUMIF($G$7:$G$31,"Instrument",$F$7:$F$31)</f>
        <v>0</v>
      </c>
      <c r="D42" s="117">
        <f>+C42+'4'!D42</f>
        <v>0</v>
      </c>
      <c r="E42" s="142">
        <f t="shared" si="12"/>
        <v>0</v>
      </c>
      <c r="F42" s="321">
        <f>+(480*F38+480*F39+480*F40)/1440</f>
        <v>1159.3943284022955</v>
      </c>
      <c r="G42" s="321">
        <f>+(480*G38+480*G39+480*G40)/1440</f>
        <v>877.79401019061038</v>
      </c>
      <c r="H42" s="186" t="s">
        <v>70</v>
      </c>
      <c r="I42" s="245" t="s">
        <v>480</v>
      </c>
      <c r="J42" s="131"/>
      <c r="K42" s="129" t="s">
        <v>71</v>
      </c>
    </row>
    <row r="43" spans="1:18" ht="17.45" customHeight="1">
      <c r="A43" s="764" t="s">
        <v>219</v>
      </c>
      <c r="B43" s="765"/>
      <c r="C43" s="163">
        <f>SUMIF($G$7:$G$31,"Change Grade",$F$7:$F$31)</f>
        <v>0</v>
      </c>
      <c r="D43" s="117">
        <f>+C43+'4'!D43</f>
        <v>0</v>
      </c>
      <c r="E43" s="142">
        <f t="shared" si="12"/>
        <v>0</v>
      </c>
      <c r="F43" s="321"/>
      <c r="G43" s="322"/>
      <c r="H43" s="187" t="s">
        <v>73</v>
      </c>
      <c r="I43" s="117">
        <f>+Report1!Z13</f>
        <v>50.5</v>
      </c>
      <c r="J43" s="132">
        <f>+I43+'4'!J43</f>
        <v>255.2</v>
      </c>
      <c r="K43" s="129" t="s">
        <v>63</v>
      </c>
      <c r="L43" s="188"/>
    </row>
    <row r="44" spans="1:18" ht="17.45" customHeight="1">
      <c r="A44" s="764" t="s">
        <v>17</v>
      </c>
      <c r="B44" s="765"/>
      <c r="C44" s="163">
        <f>SUMIF($G$7:$G$31,"PLN",$F$7:$F$31)</f>
        <v>0</v>
      </c>
      <c r="D44" s="117">
        <f>+C44+'4'!D44</f>
        <v>0</v>
      </c>
      <c r="E44" s="142">
        <f t="shared" si="12"/>
        <v>0</v>
      </c>
      <c r="F44" s="321"/>
      <c r="G44" s="322"/>
      <c r="H44" s="187" t="s">
        <v>74</v>
      </c>
      <c r="I44" s="117">
        <f>I43/I38</f>
        <v>1.1754300211810162</v>
      </c>
      <c r="J44" s="133">
        <f>J43/J38</f>
        <v>1.1916435528908562</v>
      </c>
      <c r="K44" s="129" t="s">
        <v>63</v>
      </c>
    </row>
    <row r="45" spans="1:18" ht="17.45" customHeight="1">
      <c r="A45" s="764" t="s">
        <v>18</v>
      </c>
      <c r="B45" s="765"/>
      <c r="C45" s="163">
        <f>SUMIF($G$7:$G$31,"Boiler",$F$7:$F$31)</f>
        <v>0</v>
      </c>
      <c r="D45" s="117">
        <f>+C45+'4'!D45</f>
        <v>0</v>
      </c>
      <c r="E45" s="142">
        <f t="shared" si="12"/>
        <v>0</v>
      </c>
      <c r="F45" s="321"/>
      <c r="G45" s="324"/>
      <c r="H45" s="187" t="s">
        <v>75</v>
      </c>
      <c r="I45" s="117">
        <f>I43/I40</f>
        <v>1.2984341655310725</v>
      </c>
      <c r="J45" s="133">
        <f>J43/J40</f>
        <v>1.2475496306725133</v>
      </c>
      <c r="K45" s="129" t="s">
        <v>63</v>
      </c>
    </row>
    <row r="46" spans="1:18" ht="17.45" customHeight="1">
      <c r="A46" s="764" t="s">
        <v>76</v>
      </c>
      <c r="B46" s="765"/>
      <c r="C46" s="163">
        <f>SUMIF($G$7:$G$31,"Gas",$F$7:$F$31)</f>
        <v>0</v>
      </c>
      <c r="D46" s="117">
        <f>+C46+'4'!D46</f>
        <v>0</v>
      </c>
      <c r="E46" s="142">
        <f t="shared" si="12"/>
        <v>0</v>
      </c>
      <c r="F46" s="321"/>
      <c r="G46" s="322"/>
      <c r="H46" s="187" t="s">
        <v>77</v>
      </c>
      <c r="I46" s="139">
        <f>+SUMIF(Listrik!P12,"&gt;0")</f>
        <v>34597.419999999271</v>
      </c>
      <c r="J46" s="134">
        <f>+I46+'4'!J46</f>
        <v>176160.36</v>
      </c>
      <c r="K46" s="129" t="s">
        <v>78</v>
      </c>
    </row>
    <row r="47" spans="1:18" ht="17.45" customHeight="1">
      <c r="A47" s="764" t="s">
        <v>79</v>
      </c>
      <c r="B47" s="765"/>
      <c r="C47" s="163">
        <f>SUMIF($G$7:$G$31,"Gas",$F$7:$F$31)</f>
        <v>0</v>
      </c>
      <c r="D47" s="117">
        <f>+C47+'4'!D47</f>
        <v>0</v>
      </c>
      <c r="E47" s="142">
        <f t="shared" si="12"/>
        <v>0</v>
      </c>
      <c r="F47" s="321"/>
      <c r="G47" s="322"/>
      <c r="H47" s="187" t="s">
        <v>80</v>
      </c>
      <c r="I47" s="117">
        <f>I46/I38</f>
        <v>805.28408165163671</v>
      </c>
      <c r="J47" s="134">
        <f>J46/J38</f>
        <v>822.57193287199163</v>
      </c>
      <c r="K47" s="129" t="s">
        <v>24</v>
      </c>
    </row>
    <row r="48" spans="1:18" ht="17.45" customHeight="1">
      <c r="A48" s="764" t="s">
        <v>14</v>
      </c>
      <c r="B48" s="765"/>
      <c r="C48" s="163">
        <f>SUMIF($G$7:$G$31,"Start Up",$F$7:$F$31)</f>
        <v>0</v>
      </c>
      <c r="D48" s="117">
        <f>+C48+'4'!D48</f>
        <v>0</v>
      </c>
      <c r="E48" s="142">
        <f t="shared" si="12"/>
        <v>0</v>
      </c>
      <c r="F48" s="321"/>
      <c r="G48" s="322"/>
      <c r="H48" s="187" t="s">
        <v>81</v>
      </c>
      <c r="I48" s="117">
        <f>I46/I40</f>
        <v>889.55390430152647</v>
      </c>
      <c r="J48" s="134">
        <f>J46/J40</f>
        <v>861.16297828031725</v>
      </c>
      <c r="K48" s="129" t="s">
        <v>24</v>
      </c>
    </row>
    <row r="49" spans="1:11" ht="17.45" customHeight="1">
      <c r="A49" s="764" t="s">
        <v>20</v>
      </c>
      <c r="B49" s="765"/>
      <c r="C49" s="163">
        <f>SUMIF($G$7:$G$31,"Others",$F$7:$F$31)</f>
        <v>0</v>
      </c>
      <c r="D49" s="117">
        <f>+C49+'4'!D49</f>
        <v>0</v>
      </c>
      <c r="E49" s="142">
        <f t="shared" si="12"/>
        <v>0</v>
      </c>
      <c r="F49" s="184"/>
      <c r="H49" s="187" t="s">
        <v>267</v>
      </c>
      <c r="I49" s="117">
        <f>+Report1!T13</f>
        <v>4994.4935647965949</v>
      </c>
      <c r="J49" s="134">
        <f>+I49+'4'!J49</f>
        <v>24186.806435284849</v>
      </c>
      <c r="K49" s="129" t="s">
        <v>82</v>
      </c>
    </row>
    <row r="50" spans="1:11" ht="17.45" customHeight="1">
      <c r="A50" s="764" t="s">
        <v>19</v>
      </c>
      <c r="B50" s="765"/>
      <c r="C50" s="163">
        <f>SUMIF($G$7:$G$31,"Steam",$F$7:$F$31)</f>
        <v>0</v>
      </c>
      <c r="D50" s="117">
        <f>+C50+'4'!D50</f>
        <v>0</v>
      </c>
      <c r="E50" s="142">
        <f t="shared" si="12"/>
        <v>0</v>
      </c>
      <c r="F50" s="184"/>
      <c r="H50" s="187" t="s">
        <v>83</v>
      </c>
      <c r="I50" s="139">
        <f>I49/I38</f>
        <v>116.25104310212497</v>
      </c>
      <c r="J50" s="132">
        <f>J49/J38</f>
        <v>112.93907505339446</v>
      </c>
      <c r="K50" s="129" t="s">
        <v>82</v>
      </c>
    </row>
    <row r="51" spans="1:11" ht="17.45" customHeight="1" thickBot="1">
      <c r="A51" s="758" t="s">
        <v>84</v>
      </c>
      <c r="B51" s="759"/>
      <c r="C51" s="163">
        <f>SUMIF($G$7:$G$31,"Planned shut",$F$7:$F$31)</f>
        <v>0</v>
      </c>
      <c r="D51" s="117">
        <f>+C51+'4'!D51</f>
        <v>0</v>
      </c>
      <c r="E51" s="142">
        <f t="shared" si="12"/>
        <v>0</v>
      </c>
      <c r="F51" s="184"/>
      <c r="H51" s="189" t="s">
        <v>85</v>
      </c>
      <c r="I51" s="140">
        <f>I49/I40</f>
        <v>128.41625909023719</v>
      </c>
      <c r="J51" s="135">
        <f>J49/J40</f>
        <v>118.23762317980871</v>
      </c>
      <c r="K51" s="136" t="s">
        <v>82</v>
      </c>
    </row>
    <row r="52" spans="1:11" ht="13.5" thickBot="1">
      <c r="A52" s="760" t="s">
        <v>28</v>
      </c>
      <c r="B52" s="761"/>
      <c r="C52" s="143">
        <f>SUM(C38:C51)</f>
        <v>74</v>
      </c>
      <c r="D52" s="143">
        <f>SUM(D38:D51)</f>
        <v>391</v>
      </c>
      <c r="E52" s="144">
        <f>SUM(E38:E51)</f>
        <v>6.5166666666666666</v>
      </c>
      <c r="F52" s="184"/>
      <c r="H52" s="190"/>
      <c r="I52" s="191"/>
      <c r="J52" s="137"/>
      <c r="K52" s="138"/>
    </row>
    <row r="53" spans="1:11" ht="13.5" thickBot="1">
      <c r="A53" s="762"/>
      <c r="B53" s="763"/>
      <c r="C53" s="145">
        <f>C52/(24*60)</f>
        <v>5.1388888888888887E-2</v>
      </c>
      <c r="D53" s="145">
        <f>D52/(24*60*G4)</f>
        <v>5.4305555555555558E-2</v>
      </c>
      <c r="E53" s="146">
        <f>E52/(G4*24)</f>
        <v>5.4305555555555558E-2</v>
      </c>
      <c r="F53" s="184"/>
    </row>
    <row r="54" spans="1:11">
      <c r="E54" s="192"/>
      <c r="F54" s="184"/>
    </row>
    <row r="55" spans="1:11">
      <c r="E55" s="192"/>
    </row>
    <row r="56" spans="1:11">
      <c r="A56" s="193" t="s">
        <v>86</v>
      </c>
      <c r="B56" s="194"/>
      <c r="C56" s="195"/>
      <c r="D56" s="195"/>
      <c r="E56" s="195"/>
      <c r="F56" s="196"/>
      <c r="G56" s="195"/>
      <c r="H56" s="197"/>
      <c r="I56" s="198" t="s">
        <v>87</v>
      </c>
      <c r="J56" s="199">
        <f>+D34+'4'!J56</f>
        <v>830</v>
      </c>
      <c r="K56" s="200">
        <f>J56/(J40+J56/1000)/1000</f>
        <v>4.0410728805059613E-3</v>
      </c>
    </row>
    <row r="57" spans="1:11">
      <c r="A57" s="175"/>
      <c r="I57" s="198" t="s">
        <v>88</v>
      </c>
      <c r="J57" s="199">
        <f>+E34+'4'!J57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7" right="0.16" top="0.17" bottom="0.14027777777777778" header="0" footer="0"/>
  <pageSetup paperSize="9" scale="59"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75" zoomScaleSheetLayoutView="80" workbookViewId="0">
      <selection activeCell="A7" sqref="A7:A32"/>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4" style="148" bestFit="1" customWidth="1"/>
    <col min="12" max="12" width="8.28515625" style="148" customWidth="1"/>
    <col min="13" max="13" width="14.5703125" style="148" bestFit="1"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4</v>
      </c>
      <c r="H4" s="153" t="str">
        <f>+'1'!H4</f>
        <v>.03.26</v>
      </c>
      <c r="J4" s="148">
        <f>1+2+3</f>
        <v>6</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428</v>
      </c>
      <c r="O6" s="148">
        <v>1160</v>
      </c>
      <c r="P6" s="148">
        <f>+O6-(O6*0.25)</f>
        <v>870</v>
      </c>
      <c r="Q6" s="148">
        <f>60*2+26</f>
        <v>146</v>
      </c>
      <c r="R6" s="148">
        <f t="shared" ref="R6:R7" si="0">+O6*Q6</f>
        <v>169360</v>
      </c>
      <c r="S6" s="148">
        <f t="shared" ref="S6:S7" si="1">+P6*Q6</f>
        <v>127020</v>
      </c>
    </row>
    <row r="7" spans="1:19" ht="13.5" customHeight="1" thickBot="1">
      <c r="A7" s="770" t="s">
        <v>417</v>
      </c>
      <c r="B7" s="214" t="s">
        <v>440</v>
      </c>
      <c r="C7" s="215">
        <v>12400</v>
      </c>
      <c r="D7" s="216"/>
      <c r="E7" s="217"/>
      <c r="F7" s="227">
        <v>9</v>
      </c>
      <c r="G7" s="228" t="s">
        <v>12</v>
      </c>
      <c r="H7" s="229" t="s">
        <v>412</v>
      </c>
      <c r="I7" s="773" t="s">
        <v>464</v>
      </c>
      <c r="J7" s="213" t="str">
        <f>+'3'!J7</f>
        <v>F 12 VP OW</v>
      </c>
      <c r="K7" s="237"/>
      <c r="L7" s="241"/>
      <c r="M7" s="116">
        <f>+K7+'3'!M7+L7</f>
        <v>45075</v>
      </c>
      <c r="O7" s="148">
        <v>1200</v>
      </c>
      <c r="P7" s="148">
        <f>+O7-(O7*0.25)</f>
        <v>900</v>
      </c>
      <c r="Q7" s="148">
        <f>480-Q6</f>
        <v>334</v>
      </c>
      <c r="R7" s="148">
        <f t="shared" si="0"/>
        <v>400800</v>
      </c>
      <c r="S7" s="148">
        <f t="shared" si="1"/>
        <v>300600</v>
      </c>
    </row>
    <row r="8" spans="1:19" ht="13.5" thickBot="1">
      <c r="A8" s="771"/>
      <c r="B8" s="214"/>
      <c r="C8" s="215"/>
      <c r="D8" s="216"/>
      <c r="E8" s="218"/>
      <c r="F8" s="230"/>
      <c r="G8" s="231" t="s">
        <v>12</v>
      </c>
      <c r="H8" s="229" t="s">
        <v>283</v>
      </c>
      <c r="I8" s="774"/>
      <c r="J8" s="213" t="str">
        <f>+'3'!J8</f>
        <v>F 14 VP OW</v>
      </c>
      <c r="K8" s="238">
        <f>+C34</f>
        <v>39755</v>
      </c>
      <c r="L8" s="238"/>
      <c r="M8" s="116">
        <f>+K8+'3'!M8+L8</f>
        <v>44468</v>
      </c>
    </row>
    <row r="9" spans="1:19" ht="13.5" thickBot="1">
      <c r="A9" s="771"/>
      <c r="B9" s="214"/>
      <c r="C9" s="215"/>
      <c r="D9" s="216"/>
      <c r="E9" s="219"/>
      <c r="F9" s="227">
        <f>33-9</f>
        <v>24</v>
      </c>
      <c r="G9" s="231" t="s">
        <v>12</v>
      </c>
      <c r="H9" s="232" t="s">
        <v>411</v>
      </c>
      <c r="I9" s="774"/>
      <c r="J9" s="213" t="str">
        <f>+'3'!J9</f>
        <v>F 16 VP OW</v>
      </c>
      <c r="K9" s="238"/>
      <c r="L9" s="238"/>
      <c r="M9" s="116">
        <f>+K9+'3'!M9+L9</f>
        <v>76125</v>
      </c>
    </row>
    <row r="10" spans="1:19" ht="26.25" thickBot="1">
      <c r="A10" s="771"/>
      <c r="B10" s="214"/>
      <c r="C10" s="215"/>
      <c r="D10" s="216"/>
      <c r="E10" s="218"/>
      <c r="F10" s="227"/>
      <c r="G10" s="236" t="s">
        <v>13</v>
      </c>
      <c r="H10" s="232" t="s">
        <v>461</v>
      </c>
      <c r="I10" s="774"/>
      <c r="J10" s="213">
        <f>+'3'!J10</f>
        <v>0</v>
      </c>
      <c r="K10" s="238"/>
      <c r="L10" s="238"/>
      <c r="M10" s="116">
        <f>+K10+'3'!M10+L10</f>
        <v>0</v>
      </c>
    </row>
    <row r="11" spans="1:19" ht="13.5" thickBot="1">
      <c r="A11" s="771"/>
      <c r="B11" s="214"/>
      <c r="C11" s="215"/>
      <c r="D11" s="216"/>
      <c r="E11" s="218"/>
      <c r="F11" s="227"/>
      <c r="G11" s="231"/>
      <c r="H11" s="232" t="s">
        <v>462</v>
      </c>
      <c r="I11" s="774"/>
      <c r="J11" s="213">
        <f>+'3'!J11</f>
        <v>0</v>
      </c>
      <c r="K11" s="238"/>
      <c r="L11" s="238"/>
      <c r="M11" s="116">
        <f>+K11+'3'!M11+L11</f>
        <v>0</v>
      </c>
    </row>
    <row r="12" spans="1:19" ht="13.5" thickBot="1">
      <c r="A12" s="771"/>
      <c r="B12" s="214"/>
      <c r="C12" s="215"/>
      <c r="D12" s="216"/>
      <c r="E12" s="218"/>
      <c r="F12" s="227"/>
      <c r="G12" s="231"/>
      <c r="H12" s="232"/>
      <c r="I12" s="774"/>
      <c r="J12" s="213">
        <f>+'3'!J12</f>
        <v>0</v>
      </c>
      <c r="K12" s="238"/>
      <c r="L12" s="238"/>
      <c r="M12" s="116">
        <f>+K12+'3'!M12+L12</f>
        <v>0</v>
      </c>
    </row>
    <row r="13" spans="1:19" ht="13.5" thickBot="1">
      <c r="A13" s="771"/>
      <c r="B13" s="214"/>
      <c r="C13" s="215"/>
      <c r="D13" s="215"/>
      <c r="E13" s="218"/>
      <c r="F13" s="227"/>
      <c r="G13" s="231"/>
      <c r="H13" s="232"/>
      <c r="I13" s="775"/>
      <c r="J13" s="213">
        <f>+'3'!J13</f>
        <v>0</v>
      </c>
      <c r="K13" s="238"/>
      <c r="L13" s="238"/>
      <c r="M13" s="116">
        <f>+K13+'3'!M13+L13</f>
        <v>0</v>
      </c>
      <c r="Q13" s="175">
        <f>SUM(Q5:Q12)</f>
        <v>480</v>
      </c>
      <c r="R13" s="175">
        <f>SUM(R5:R12)</f>
        <v>570160</v>
      </c>
      <c r="S13" s="175">
        <f>SUM(S5:S12)</f>
        <v>427620</v>
      </c>
    </row>
    <row r="14" spans="1:19" ht="13.5" thickBot="1">
      <c r="A14" s="772"/>
      <c r="B14" s="164" t="s">
        <v>2</v>
      </c>
      <c r="C14" s="98">
        <f>SUM(C7:C13)</f>
        <v>12400</v>
      </c>
      <c r="D14" s="110">
        <f>SUM(D7:D13)</f>
        <v>0</v>
      </c>
      <c r="E14" s="111">
        <f>SUM(E5:E13)</f>
        <v>0</v>
      </c>
      <c r="F14" s="115">
        <f>SUM(F7:F13)</f>
        <v>33</v>
      </c>
      <c r="G14" s="158"/>
      <c r="H14" s="165"/>
      <c r="I14" s="166"/>
      <c r="J14" s="213">
        <f>+'3'!J14</f>
        <v>0</v>
      </c>
      <c r="K14" s="238"/>
      <c r="L14" s="238"/>
      <c r="M14" s="116">
        <f>+K14+'3'!M14+L14</f>
        <v>0</v>
      </c>
      <c r="Q14" s="148">
        <f>480-Q13</f>
        <v>0</v>
      </c>
      <c r="R14" s="175">
        <f>+R13/Q13</f>
        <v>1187.8333333333333</v>
      </c>
      <c r="S14" s="175">
        <f>+S13/Q13</f>
        <v>890.875</v>
      </c>
    </row>
    <row r="15" spans="1:19" ht="13.5" customHeight="1" thickBot="1">
      <c r="A15" s="770" t="s">
        <v>390</v>
      </c>
      <c r="B15" s="164"/>
      <c r="C15" s="112">
        <f>C14/($C$23+$D$23+$E$23)</f>
        <v>0.83783783783783783</v>
      </c>
      <c r="D15" s="113">
        <f>D14/($C$23+$D$23+$E$23)</f>
        <v>0</v>
      </c>
      <c r="E15" s="114">
        <f>E14/($C$23+$D$23+$E$23)</f>
        <v>0</v>
      </c>
      <c r="F15" s="227">
        <v>9</v>
      </c>
      <c r="G15" s="228" t="s">
        <v>12</v>
      </c>
      <c r="H15" s="229" t="s">
        <v>412</v>
      </c>
      <c r="I15" s="773" t="s">
        <v>430</v>
      </c>
      <c r="J15" s="213">
        <f>+'3'!J15</f>
        <v>0</v>
      </c>
      <c r="K15" s="238"/>
      <c r="L15" s="238"/>
      <c r="M15" s="116">
        <f>+K15+'3'!M15+L15</f>
        <v>0</v>
      </c>
      <c r="P15" s="175"/>
      <c r="Q15" s="175"/>
      <c r="R15" s="175"/>
    </row>
    <row r="16" spans="1:19" ht="13.5" thickBot="1">
      <c r="A16" s="776"/>
      <c r="B16" s="214" t="s">
        <v>440</v>
      </c>
      <c r="C16" s="221">
        <v>14800</v>
      </c>
      <c r="D16" s="222"/>
      <c r="E16" s="223"/>
      <c r="F16" s="230"/>
      <c r="G16" s="231" t="s">
        <v>12</v>
      </c>
      <c r="H16" s="229" t="s">
        <v>283</v>
      </c>
      <c r="I16" s="774"/>
      <c r="J16" s="213">
        <f>+'3'!J16</f>
        <v>0</v>
      </c>
      <c r="K16" s="228"/>
      <c r="L16" s="228"/>
      <c r="M16" s="116">
        <f>+K16+'3'!M16+L16</f>
        <v>0</v>
      </c>
      <c r="N16" s="148" t="s">
        <v>428</v>
      </c>
      <c r="O16" s="148">
        <v>1200</v>
      </c>
      <c r="P16" s="148">
        <f>+O16-(O16*0.25)</f>
        <v>900</v>
      </c>
      <c r="Q16" s="148">
        <v>480</v>
      </c>
      <c r="R16" s="148">
        <f t="shared" ref="R16" si="2">+O16*Q16</f>
        <v>576000</v>
      </c>
      <c r="S16" s="148">
        <f t="shared" ref="S16" si="3">+P16*Q16</f>
        <v>432000</v>
      </c>
    </row>
    <row r="17" spans="1:19" ht="13.5" thickBot="1">
      <c r="A17" s="776"/>
      <c r="B17" s="214"/>
      <c r="C17" s="215"/>
      <c r="D17" s="216"/>
      <c r="E17" s="224"/>
      <c r="F17" s="227">
        <f>28-9</f>
        <v>19</v>
      </c>
      <c r="G17" s="231" t="s">
        <v>12</v>
      </c>
      <c r="H17" s="232" t="s">
        <v>411</v>
      </c>
      <c r="I17" s="774"/>
      <c r="J17" s="213">
        <f>+'3'!J17</f>
        <v>0</v>
      </c>
      <c r="K17" s="228"/>
      <c r="L17" s="228"/>
      <c r="M17" s="116">
        <f>+K17+'3'!M17+L17</f>
        <v>0</v>
      </c>
    </row>
    <row r="18" spans="1:19" ht="26.25" thickBot="1">
      <c r="A18" s="776"/>
      <c r="B18" s="214"/>
      <c r="C18" s="215"/>
      <c r="D18" s="216"/>
      <c r="E18" s="224"/>
      <c r="F18" s="227"/>
      <c r="G18" s="236" t="s">
        <v>13</v>
      </c>
      <c r="H18" s="232" t="s">
        <v>460</v>
      </c>
      <c r="I18" s="774"/>
      <c r="J18" s="213">
        <f>+'3'!J18</f>
        <v>0</v>
      </c>
      <c r="K18" s="238"/>
      <c r="L18" s="238"/>
      <c r="M18" s="116">
        <f>+K18+'3'!M18+L18</f>
        <v>0</v>
      </c>
    </row>
    <row r="19" spans="1:19" ht="13.5" thickBot="1">
      <c r="A19" s="776"/>
      <c r="B19" s="214"/>
      <c r="C19" s="215"/>
      <c r="D19" s="216"/>
      <c r="E19" s="224"/>
      <c r="F19" s="234"/>
      <c r="G19" s="231"/>
      <c r="H19" s="232"/>
      <c r="I19" s="774"/>
      <c r="J19" s="213">
        <f>+'3'!J19</f>
        <v>0</v>
      </c>
      <c r="K19" s="238"/>
      <c r="L19" s="238"/>
      <c r="M19" s="116">
        <f>+K19+'3'!M19+L19</f>
        <v>0</v>
      </c>
    </row>
    <row r="20" spans="1:19" ht="13.5" thickBot="1">
      <c r="A20" s="776"/>
      <c r="B20" s="214"/>
      <c r="C20" s="215"/>
      <c r="D20" s="216"/>
      <c r="E20" s="224"/>
      <c r="F20" s="227"/>
      <c r="G20" s="231"/>
      <c r="H20" s="232"/>
      <c r="I20" s="774"/>
      <c r="J20" s="213">
        <f>+'3'!J20</f>
        <v>0</v>
      </c>
      <c r="K20" s="239"/>
      <c r="L20" s="239"/>
      <c r="M20" s="116">
        <f>+K20+'3'!M20+L20</f>
        <v>0</v>
      </c>
    </row>
    <row r="21" spans="1:19" ht="13.5" thickBot="1">
      <c r="A21" s="776"/>
      <c r="B21" s="214"/>
      <c r="C21" s="215"/>
      <c r="D21" s="216"/>
      <c r="E21" s="224"/>
      <c r="F21" s="230"/>
      <c r="G21" s="231"/>
      <c r="H21" s="232"/>
      <c r="I21" s="774"/>
      <c r="J21" s="213">
        <f>+'3'!J21</f>
        <v>0</v>
      </c>
      <c r="K21" s="238"/>
      <c r="L21" s="238"/>
      <c r="M21" s="116">
        <f>+K21+'3'!M21+L21</f>
        <v>0</v>
      </c>
    </row>
    <row r="22" spans="1:19" ht="13.5" thickBot="1">
      <c r="A22" s="776"/>
      <c r="B22" s="214"/>
      <c r="C22" s="215"/>
      <c r="D22" s="216"/>
      <c r="E22" s="224"/>
      <c r="F22" s="235"/>
      <c r="G22" s="231"/>
      <c r="H22" s="232"/>
      <c r="I22" s="775"/>
      <c r="J22" s="213">
        <f>+'3'!J22</f>
        <v>0</v>
      </c>
      <c r="K22" s="238"/>
      <c r="L22" s="238"/>
      <c r="M22" s="116">
        <f>+K22+'3'!M22+L22</f>
        <v>0</v>
      </c>
    </row>
    <row r="23" spans="1:19" ht="13.5" thickBot="1">
      <c r="A23" s="777"/>
      <c r="B23" s="167" t="s">
        <v>2</v>
      </c>
      <c r="C23" s="99">
        <f>SUM(C16:C22)</f>
        <v>14800</v>
      </c>
      <c r="D23" s="110">
        <f>SUM(D16:D22)</f>
        <v>0</v>
      </c>
      <c r="E23" s="111">
        <f>SUM(E18:E22)</f>
        <v>0</v>
      </c>
      <c r="F23" s="115">
        <f>SUM(F15:F22)</f>
        <v>28</v>
      </c>
      <c r="G23" s="158"/>
      <c r="H23" s="165"/>
      <c r="I23" s="168"/>
      <c r="J23" s="213">
        <f>+'3'!J23</f>
        <v>0</v>
      </c>
      <c r="K23" s="238"/>
      <c r="L23" s="238"/>
      <c r="M23" s="116">
        <f>+K23+'3'!M23+L23</f>
        <v>0</v>
      </c>
      <c r="Q23" s="175">
        <f>SUM(Q15:Q22)</f>
        <v>480</v>
      </c>
      <c r="R23" s="175">
        <f>SUM(R15:R22)</f>
        <v>576000</v>
      </c>
      <c r="S23" s="175">
        <f>SUM(S15:S22)</f>
        <v>432000</v>
      </c>
    </row>
    <row r="24" spans="1:19" ht="13.5" customHeight="1" thickBot="1">
      <c r="A24" s="770" t="s">
        <v>457</v>
      </c>
      <c r="B24" s="169"/>
      <c r="C24" s="112">
        <f>C23/($C$23+$D$23+$E$23)</f>
        <v>1</v>
      </c>
      <c r="D24" s="113">
        <f>D23/($C$23+$D$23+$E$23)</f>
        <v>0</v>
      </c>
      <c r="E24" s="114">
        <f>E23/($C$23+$D$23+$E$23)</f>
        <v>0</v>
      </c>
      <c r="F24" s="227">
        <v>5</v>
      </c>
      <c r="G24" s="228" t="s">
        <v>12</v>
      </c>
      <c r="H24" s="229" t="s">
        <v>467</v>
      </c>
      <c r="I24" s="773" t="s">
        <v>463</v>
      </c>
      <c r="J24" s="213">
        <f>+'3'!J24</f>
        <v>0</v>
      </c>
      <c r="K24" s="238"/>
      <c r="L24" s="238"/>
      <c r="M24" s="116">
        <f>+K24+'3'!M24+L24</f>
        <v>0</v>
      </c>
      <c r="Q24" s="148">
        <f>480-Q23</f>
        <v>0</v>
      </c>
      <c r="R24" s="175">
        <f>+R23/Q23</f>
        <v>1200</v>
      </c>
      <c r="S24" s="175">
        <f>+S23/Q23</f>
        <v>900</v>
      </c>
    </row>
    <row r="25" spans="1:19" ht="13.5" thickBot="1">
      <c r="A25" s="776"/>
      <c r="B25" s="214" t="s">
        <v>440</v>
      </c>
      <c r="C25" s="225">
        <v>12555</v>
      </c>
      <c r="D25" s="216"/>
      <c r="E25" s="224"/>
      <c r="F25" s="230"/>
      <c r="G25" s="231" t="s">
        <v>12</v>
      </c>
      <c r="H25" s="229" t="s">
        <v>283</v>
      </c>
      <c r="I25" s="774"/>
      <c r="J25" s="213">
        <f>+'3'!J25</f>
        <v>0</v>
      </c>
      <c r="K25" s="238"/>
      <c r="L25" s="238"/>
      <c r="M25" s="116">
        <f>+K25+'3'!M25+L25</f>
        <v>0</v>
      </c>
      <c r="N25" s="148" t="s">
        <v>428</v>
      </c>
      <c r="O25" s="148">
        <v>1200</v>
      </c>
      <c r="P25" s="148">
        <f>+O25-(O25*0.25)</f>
        <v>900</v>
      </c>
      <c r="Q25" s="148">
        <v>480</v>
      </c>
      <c r="R25" s="148">
        <f t="shared" ref="R25" si="4">+O25*Q25</f>
        <v>576000</v>
      </c>
      <c r="S25" s="148">
        <f t="shared" ref="S25" si="5">+P25*Q25</f>
        <v>432000</v>
      </c>
    </row>
    <row r="26" spans="1:19" ht="13.5" thickBot="1">
      <c r="A26" s="776"/>
      <c r="B26" s="214"/>
      <c r="C26" s="225"/>
      <c r="D26" s="216"/>
      <c r="E26" s="226"/>
      <c r="F26" s="227">
        <v>20</v>
      </c>
      <c r="G26" s="231" t="s">
        <v>12</v>
      </c>
      <c r="H26" s="232" t="s">
        <v>433</v>
      </c>
      <c r="I26" s="774"/>
      <c r="J26" s="213">
        <f>+'3'!J26</f>
        <v>0</v>
      </c>
      <c r="K26" s="238"/>
      <c r="L26" s="238"/>
      <c r="M26" s="116">
        <f>+K26+'3'!M26+L26</f>
        <v>0</v>
      </c>
    </row>
    <row r="27" spans="1:19" ht="26.25" thickBot="1">
      <c r="A27" s="776"/>
      <c r="B27" s="214"/>
      <c r="C27" s="215"/>
      <c r="D27" s="216"/>
      <c r="E27" s="224"/>
      <c r="F27" s="227"/>
      <c r="G27" s="236" t="s">
        <v>13</v>
      </c>
      <c r="H27" s="232" t="s">
        <v>458</v>
      </c>
      <c r="I27" s="774"/>
      <c r="J27" s="213">
        <f>+'3'!J27</f>
        <v>0</v>
      </c>
      <c r="K27" s="238"/>
      <c r="L27" s="238"/>
      <c r="M27" s="116">
        <f>+K27+'3'!M27+L27</f>
        <v>0</v>
      </c>
    </row>
    <row r="28" spans="1:19" ht="13.5" thickBot="1">
      <c r="A28" s="776"/>
      <c r="B28" s="214"/>
      <c r="C28" s="215"/>
      <c r="D28" s="216"/>
      <c r="E28" s="224"/>
      <c r="F28" s="230"/>
      <c r="G28" s="231"/>
      <c r="H28" s="232" t="s">
        <v>459</v>
      </c>
      <c r="I28" s="774"/>
      <c r="J28" s="213">
        <f>+'3'!J28</f>
        <v>0</v>
      </c>
      <c r="K28" s="238"/>
      <c r="L28" s="238"/>
      <c r="M28" s="116">
        <f>+K28+'3'!M28+L28</f>
        <v>0</v>
      </c>
    </row>
    <row r="29" spans="1:19" ht="13.5" thickBot="1">
      <c r="A29" s="776"/>
      <c r="B29" s="214"/>
      <c r="C29" s="215"/>
      <c r="D29" s="216"/>
      <c r="E29" s="224"/>
      <c r="F29" s="235"/>
      <c r="G29" s="231"/>
      <c r="H29" s="232"/>
      <c r="I29" s="774"/>
      <c r="J29" s="213">
        <f>+'3'!J29</f>
        <v>0</v>
      </c>
      <c r="K29" s="238"/>
      <c r="L29" s="238"/>
      <c r="M29" s="116">
        <f>+K29+'3'!M29+L29</f>
        <v>0</v>
      </c>
    </row>
    <row r="30" spans="1:19" ht="13.5" thickBot="1">
      <c r="A30" s="776"/>
      <c r="B30" s="214"/>
      <c r="C30" s="225"/>
      <c r="D30" s="216"/>
      <c r="E30" s="224"/>
      <c r="F30" s="235"/>
      <c r="G30" s="231"/>
      <c r="H30" s="232"/>
      <c r="I30" s="774"/>
      <c r="J30" s="213">
        <f>+'3'!J30</f>
        <v>0</v>
      </c>
      <c r="K30" s="238"/>
      <c r="L30" s="238"/>
      <c r="M30" s="116">
        <f>+K30+'3'!M30+L30</f>
        <v>0</v>
      </c>
    </row>
    <row r="31" spans="1:19" ht="13.5" thickBot="1">
      <c r="A31" s="776"/>
      <c r="B31" s="214"/>
      <c r="C31" s="225"/>
      <c r="D31" s="216"/>
      <c r="E31" s="224"/>
      <c r="F31" s="235"/>
      <c r="G31" s="236"/>
      <c r="H31" s="443"/>
      <c r="I31" s="775"/>
      <c r="J31" s="213">
        <f>+'3'!J31</f>
        <v>0</v>
      </c>
      <c r="K31" s="238"/>
      <c r="L31" s="238"/>
      <c r="M31" s="116">
        <f>+K31+'3'!M31+L31</f>
        <v>0</v>
      </c>
    </row>
    <row r="32" spans="1:19" ht="13.5" thickBot="1">
      <c r="A32" s="777"/>
      <c r="B32" s="164" t="s">
        <v>2</v>
      </c>
      <c r="C32" s="98">
        <f>SUM(C25:C31)</f>
        <v>12555</v>
      </c>
      <c r="D32" s="99">
        <f>SUM(D25:D31)</f>
        <v>0</v>
      </c>
      <c r="E32" s="100">
        <f>SUM(E25:E31)</f>
        <v>0</v>
      </c>
      <c r="F32" s="101">
        <f>SUM(F24:F31)</f>
        <v>25</v>
      </c>
      <c r="G32" s="170"/>
      <c r="H32" s="171"/>
      <c r="I32" s="168"/>
      <c r="J32" s="213">
        <f>+'3'!J32</f>
        <v>0</v>
      </c>
      <c r="K32" s="240"/>
      <c r="L32" s="242"/>
      <c r="M32" s="116">
        <f>+K32+'3'!M32+L32</f>
        <v>0</v>
      </c>
      <c r="Q32" s="175">
        <f>SUM(Q24:Q31)</f>
        <v>480</v>
      </c>
      <c r="R32" s="175">
        <f>SUM(R24:R31)</f>
        <v>577200</v>
      </c>
      <c r="S32" s="175">
        <f>SUM(S24:S31)</f>
        <v>432900</v>
      </c>
    </row>
    <row r="33" spans="1:19" ht="13.5" thickBot="1">
      <c r="A33" s="172"/>
      <c r="B33" s="173"/>
      <c r="C33" s="102">
        <f>C32/($C$32+$D$32+$E$32)</f>
        <v>1</v>
      </c>
      <c r="D33" s="103">
        <f>D32/($C$32+$D$32+$E$32)</f>
        <v>0</v>
      </c>
      <c r="E33" s="104">
        <f>E32/($C$32+$D$32+$E$32)</f>
        <v>0</v>
      </c>
      <c r="F33" s="105"/>
      <c r="G33" s="174"/>
      <c r="H33" s="175"/>
      <c r="I33" s="176"/>
      <c r="J33" s="120"/>
      <c r="K33" s="121"/>
      <c r="L33" s="212"/>
      <c r="M33" s="118"/>
      <c r="Q33" s="148">
        <f>480-Q32</f>
        <v>0</v>
      </c>
      <c r="R33" s="175">
        <f>+R32/Q32</f>
        <v>1202.5</v>
      </c>
      <c r="S33" s="175">
        <f>+S32/Q32</f>
        <v>901.875</v>
      </c>
    </row>
    <row r="34" spans="1:19" ht="13.5" thickBot="1">
      <c r="A34" s="766" t="s">
        <v>57</v>
      </c>
      <c r="B34" s="767"/>
      <c r="C34" s="106">
        <f>C14+C23+C32</f>
        <v>39755</v>
      </c>
      <c r="D34" s="106">
        <f>D14+D23+D32</f>
        <v>0</v>
      </c>
      <c r="E34" s="106">
        <f>E14+E23+E32</f>
        <v>0</v>
      </c>
      <c r="F34" s="107">
        <f>F14+F23+F32</f>
        <v>86</v>
      </c>
      <c r="H34" s="177"/>
      <c r="I34" s="177"/>
      <c r="J34" s="122" t="s">
        <v>28</v>
      </c>
      <c r="K34" s="123">
        <f>SUM(K7:K32)</f>
        <v>39755</v>
      </c>
      <c r="L34" s="211">
        <f>SUM(L7:L32)</f>
        <v>0</v>
      </c>
      <c r="M34" s="119">
        <f>SUM(M7:M32)</f>
        <v>165668</v>
      </c>
    </row>
    <row r="35" spans="1:19" ht="13.5" thickBot="1">
      <c r="A35" s="178"/>
      <c r="B35" s="179"/>
      <c r="C35" s="103">
        <f>C34/($C$34+$D$34+$E$34)</f>
        <v>1</v>
      </c>
      <c r="D35" s="103">
        <f>D34/($C$34+$D$34+$E$34)</f>
        <v>0</v>
      </c>
      <c r="E35" s="108">
        <f>E34/($C$34+$D$34+$E$34)</f>
        <v>0</v>
      </c>
      <c r="K35" s="154"/>
    </row>
    <row r="36" spans="1:19" ht="13.5" thickBot="1">
      <c r="A36" s="177"/>
      <c r="B36" s="177"/>
      <c r="C36" s="154"/>
      <c r="D36" s="154"/>
      <c r="E36" s="154"/>
      <c r="G36" s="154"/>
      <c r="H36" s="180"/>
      <c r="I36" s="161" t="s">
        <v>37</v>
      </c>
      <c r="J36" s="161" t="s">
        <v>38</v>
      </c>
      <c r="K36" s="181"/>
    </row>
    <row r="37" spans="1:19" ht="17.45" customHeight="1" thickBot="1">
      <c r="A37" s="768" t="s">
        <v>58</v>
      </c>
      <c r="B37" s="769"/>
      <c r="C37" s="161" t="s">
        <v>59</v>
      </c>
      <c r="D37" s="182" t="s">
        <v>60</v>
      </c>
      <c r="E37" s="183" t="s">
        <v>61</v>
      </c>
      <c r="F37" s="321"/>
      <c r="G37" s="323"/>
      <c r="H37" s="185" t="s">
        <v>62</v>
      </c>
      <c r="I37" s="243">
        <f>(14*1440)/1440*G42*2.74*1440/1000000</f>
        <v>49.581067200000014</v>
      </c>
      <c r="J37" s="124">
        <f>+I37+'3'!J37</f>
        <v>196.89302392802779</v>
      </c>
      <c r="K37" s="125" t="s">
        <v>63</v>
      </c>
    </row>
    <row r="38" spans="1:19" ht="17.45" customHeight="1">
      <c r="A38" s="760" t="s">
        <v>12</v>
      </c>
      <c r="B38" s="761"/>
      <c r="C38" s="163">
        <f>SUMIF($G$7:$G$31,"Process",$F$7:$F$31)</f>
        <v>86</v>
      </c>
      <c r="D38" s="117">
        <f>+C38+'3'!D38</f>
        <v>317</v>
      </c>
      <c r="E38" s="142">
        <f t="shared" ref="E38:E51" si="6">D38/60</f>
        <v>5.2833333333333332</v>
      </c>
      <c r="F38" s="321">
        <v>1187.8333333333333</v>
      </c>
      <c r="G38" s="321">
        <v>890.875</v>
      </c>
      <c r="H38" s="186" t="s">
        <v>64</v>
      </c>
      <c r="I38" s="244">
        <f>14.542+13.432+14.469</f>
        <v>42.442999999999998</v>
      </c>
      <c r="J38" s="126">
        <f>+I38+'3'!J38</f>
        <v>171.19499999999999</v>
      </c>
      <c r="K38" s="127" t="s">
        <v>63</v>
      </c>
    </row>
    <row r="39" spans="1:19" ht="17.45" customHeight="1">
      <c r="A39" s="764" t="s">
        <v>13</v>
      </c>
      <c r="B39" s="765"/>
      <c r="C39" s="163">
        <f>SUMIF($G$7:$G$31,"Cleaning",$F$7:$F$31)</f>
        <v>0</v>
      </c>
      <c r="D39" s="117">
        <f>+C39+'3'!D39</f>
        <v>0</v>
      </c>
      <c r="E39" s="142">
        <f t="shared" si="6"/>
        <v>0</v>
      </c>
      <c r="F39" s="321">
        <v>1200</v>
      </c>
      <c r="G39" s="321">
        <v>900</v>
      </c>
      <c r="H39" s="186" t="s">
        <v>65</v>
      </c>
      <c r="I39" s="141"/>
      <c r="J39" s="128">
        <f>J37/G4</f>
        <v>49.223255982006947</v>
      </c>
      <c r="K39" s="129" t="s">
        <v>63</v>
      </c>
    </row>
    <row r="40" spans="1:19" ht="17.45" customHeight="1">
      <c r="A40" s="764" t="s">
        <v>66</v>
      </c>
      <c r="B40" s="765"/>
      <c r="C40" s="163">
        <f>SUMIF($G$7:$G$31,"Mechanical",$F$7:$F$31)</f>
        <v>0</v>
      </c>
      <c r="D40" s="117">
        <f>+C40+'3'!D40</f>
        <v>0</v>
      </c>
      <c r="E40" s="142">
        <f t="shared" si="6"/>
        <v>0</v>
      </c>
      <c r="F40" s="321">
        <v>1202.5</v>
      </c>
      <c r="G40" s="321">
        <v>901.875</v>
      </c>
      <c r="H40" s="186" t="s">
        <v>67</v>
      </c>
      <c r="I40" s="117">
        <f>(K34+L34)/1000</f>
        <v>39.755000000000003</v>
      </c>
      <c r="J40" s="130">
        <f>+I40+'3'!J40</f>
        <v>165.66800000000001</v>
      </c>
      <c r="K40" s="129" t="s">
        <v>63</v>
      </c>
    </row>
    <row r="41" spans="1:19" ht="17.45" customHeight="1">
      <c r="A41" s="764" t="s">
        <v>68</v>
      </c>
      <c r="B41" s="765"/>
      <c r="C41" s="163">
        <f>SUMIF($G$7:$G$31,"Electrical",$F$7:$F$31)</f>
        <v>0</v>
      </c>
      <c r="D41" s="117">
        <f>+C41+'3'!D41</f>
        <v>0</v>
      </c>
      <c r="E41" s="142">
        <f t="shared" si="6"/>
        <v>0</v>
      </c>
      <c r="F41" s="321"/>
      <c r="G41" s="321"/>
      <c r="H41" s="186" t="s">
        <v>69</v>
      </c>
      <c r="I41" s="141"/>
      <c r="J41" s="128">
        <f>J40/G4</f>
        <v>41.417000000000002</v>
      </c>
      <c r="K41" s="129" t="s">
        <v>63</v>
      </c>
    </row>
    <row r="42" spans="1:19" ht="17.45" customHeight="1">
      <c r="A42" s="764" t="s">
        <v>16</v>
      </c>
      <c r="B42" s="765"/>
      <c r="C42" s="163">
        <f>SUMIF($G$7:$G$31,"Instrument",$F$7:$F$31)</f>
        <v>0</v>
      </c>
      <c r="D42" s="117">
        <f>+C42+'3'!D42</f>
        <v>0</v>
      </c>
      <c r="E42" s="142">
        <f t="shared" si="6"/>
        <v>0</v>
      </c>
      <c r="F42" s="321">
        <f>+(480*F38+480*F39+480*F40)/1440</f>
        <v>1196.7777777777778</v>
      </c>
      <c r="G42" s="321">
        <f>+(480*G38+480*G39+480*G40)/1440</f>
        <v>897.58333333333337</v>
      </c>
      <c r="H42" s="186" t="s">
        <v>70</v>
      </c>
      <c r="I42" s="245" t="s">
        <v>466</v>
      </c>
      <c r="J42" s="131"/>
      <c r="K42" s="129" t="s">
        <v>71</v>
      </c>
    </row>
    <row r="43" spans="1:19" ht="17.45" customHeight="1">
      <c r="A43" s="764" t="s">
        <v>219</v>
      </c>
      <c r="B43" s="765"/>
      <c r="C43" s="163">
        <f>SUMIF($G$7:$G$31,"Change Grade",$F$7:$F$31)</f>
        <v>0</v>
      </c>
      <c r="D43" s="117">
        <f>+C43+'3'!D43</f>
        <v>0</v>
      </c>
      <c r="E43" s="142">
        <f t="shared" si="6"/>
        <v>0</v>
      </c>
      <c r="F43" s="321"/>
      <c r="G43" s="322"/>
      <c r="H43" s="187" t="s">
        <v>73</v>
      </c>
      <c r="I43" s="117">
        <f>+Report1!Z12</f>
        <v>52</v>
      </c>
      <c r="J43" s="132">
        <f>+I43+'3'!J43</f>
        <v>204.7</v>
      </c>
      <c r="K43" s="129" t="s">
        <v>63</v>
      </c>
      <c r="L43" s="188"/>
    </row>
    <row r="44" spans="1:19" ht="17.45" customHeight="1">
      <c r="A44" s="764" t="s">
        <v>17</v>
      </c>
      <c r="B44" s="765"/>
      <c r="C44" s="163">
        <f>SUMIF($G$7:$G$31,"PLN",$F$7:$F$31)</f>
        <v>0</v>
      </c>
      <c r="D44" s="117">
        <f>+C44+'3'!D44</f>
        <v>0</v>
      </c>
      <c r="E44" s="142">
        <f t="shared" si="6"/>
        <v>0</v>
      </c>
      <c r="F44" s="321"/>
      <c r="G44" s="322"/>
      <c r="H44" s="187" t="s">
        <v>74</v>
      </c>
      <c r="I44" s="117">
        <f>+Report1!Z12</f>
        <v>52</v>
      </c>
      <c r="J44" s="133">
        <f>J43/J38</f>
        <v>1.1957124916031425</v>
      </c>
      <c r="K44" s="129" t="s">
        <v>63</v>
      </c>
    </row>
    <row r="45" spans="1:19" ht="17.45" customHeight="1">
      <c r="A45" s="764" t="s">
        <v>18</v>
      </c>
      <c r="B45" s="765"/>
      <c r="C45" s="163">
        <f>SUMIF($G$7:$G$31,"Boiler",$F$7:$F$31)</f>
        <v>0</v>
      </c>
      <c r="D45" s="117">
        <f>+C45+'3'!D45</f>
        <v>0</v>
      </c>
      <c r="E45" s="142">
        <f t="shared" si="6"/>
        <v>0</v>
      </c>
      <c r="F45" s="321"/>
      <c r="G45" s="324"/>
      <c r="H45" s="187" t="s">
        <v>75</v>
      </c>
      <c r="I45" s="117">
        <f>I43/I40</f>
        <v>1.3080115708715885</v>
      </c>
      <c r="J45" s="133">
        <f>J43/J40</f>
        <v>1.2356037375956732</v>
      </c>
      <c r="K45" s="129" t="s">
        <v>63</v>
      </c>
    </row>
    <row r="46" spans="1:19" ht="17.45" customHeight="1">
      <c r="A46" s="764" t="s">
        <v>284</v>
      </c>
      <c r="B46" s="765"/>
      <c r="C46" s="163">
        <f>SUMIF($G$7:$G$31,"Sinergy",$F$7:$F$31)</f>
        <v>0</v>
      </c>
      <c r="D46" s="117">
        <f>+C46+'3'!D46</f>
        <v>0</v>
      </c>
      <c r="E46" s="142">
        <f t="shared" si="6"/>
        <v>0</v>
      </c>
      <c r="F46" s="321"/>
      <c r="G46" s="322"/>
      <c r="H46" s="187" t="s">
        <v>77</v>
      </c>
      <c r="I46" s="139">
        <f>+SUMIF(Listrik!P11,"&gt;0")</f>
        <v>36603.360000000364</v>
      </c>
      <c r="J46" s="134">
        <f>+I46+'3'!J46</f>
        <v>141562.94000000073</v>
      </c>
      <c r="K46" s="129" t="s">
        <v>78</v>
      </c>
    </row>
    <row r="47" spans="1:19" ht="17.45" customHeight="1">
      <c r="A47" s="764" t="s">
        <v>79</v>
      </c>
      <c r="B47" s="765"/>
      <c r="C47" s="163">
        <f>SUMIF($G$7:$G$31,"Gas",$F$7:$F$31)</f>
        <v>0</v>
      </c>
      <c r="D47" s="117">
        <f>+C47+'3'!D47</f>
        <v>0</v>
      </c>
      <c r="E47" s="142">
        <f t="shared" si="6"/>
        <v>0</v>
      </c>
      <c r="F47" s="321"/>
      <c r="G47" s="322"/>
      <c r="H47" s="187" t="s">
        <v>80</v>
      </c>
      <c r="I47" s="117">
        <f>I46/I38</f>
        <v>862.41217633061672</v>
      </c>
      <c r="J47" s="134">
        <f>J46/J38</f>
        <v>826.91048219866661</v>
      </c>
      <c r="K47" s="129" t="s">
        <v>24</v>
      </c>
    </row>
    <row r="48" spans="1:19" ht="17.45" customHeight="1">
      <c r="A48" s="764" t="s">
        <v>14</v>
      </c>
      <c r="B48" s="765"/>
      <c r="C48" s="163">
        <f>SUMIF($G$7:$G$31,"Start Up",$F$7:$F$31)</f>
        <v>0</v>
      </c>
      <c r="D48" s="117">
        <f>+C48+'3'!D48</f>
        <v>0</v>
      </c>
      <c r="E48" s="142">
        <f t="shared" si="6"/>
        <v>0</v>
      </c>
      <c r="F48" s="321"/>
      <c r="G48" s="322"/>
      <c r="H48" s="187" t="s">
        <v>81</v>
      </c>
      <c r="I48" s="117">
        <f>I46/I40</f>
        <v>920.72343101497574</v>
      </c>
      <c r="J48" s="134">
        <f>J46/J40</f>
        <v>854.49779076225173</v>
      </c>
      <c r="K48" s="129" t="s">
        <v>24</v>
      </c>
    </row>
    <row r="49" spans="1:11" ht="17.45" customHeight="1">
      <c r="A49" s="764" t="s">
        <v>20</v>
      </c>
      <c r="B49" s="765"/>
      <c r="C49" s="163">
        <f>SUMIF($G$7:$G$31,"Others",$F$7:$F$31)</f>
        <v>0</v>
      </c>
      <c r="D49" s="117">
        <f>+C49+'3'!D49</f>
        <v>0</v>
      </c>
      <c r="E49" s="142">
        <f t="shared" si="6"/>
        <v>0</v>
      </c>
      <c r="F49" s="184"/>
      <c r="H49" s="187" t="s">
        <v>267</v>
      </c>
      <c r="I49" s="117">
        <f>+Report1!T12</f>
        <v>5068.7436907437386</v>
      </c>
      <c r="J49" s="134">
        <f>+I49+'3'!J49</f>
        <v>19192.312870488255</v>
      </c>
      <c r="K49" s="129" t="s">
        <v>82</v>
      </c>
    </row>
    <row r="50" spans="1:11" ht="17.45" customHeight="1">
      <c r="A50" s="764" t="s">
        <v>19</v>
      </c>
      <c r="B50" s="765"/>
      <c r="C50" s="163">
        <f>SUMIF($G$7:$G$31,"Steam",$F$7:$F$31)</f>
        <v>0</v>
      </c>
      <c r="D50" s="117">
        <f>+C50+'3'!D50</f>
        <v>0</v>
      </c>
      <c r="E50" s="142">
        <f t="shared" si="6"/>
        <v>0</v>
      </c>
      <c r="F50" s="184"/>
      <c r="H50" s="187" t="s">
        <v>83</v>
      </c>
      <c r="I50" s="139">
        <f>I49/I38</f>
        <v>119.42472706320804</v>
      </c>
      <c r="J50" s="132">
        <f>J49/J38</f>
        <v>112.10790543233304</v>
      </c>
      <c r="K50" s="129" t="s">
        <v>82</v>
      </c>
    </row>
    <row r="51" spans="1:11" ht="17.45" customHeight="1" thickBot="1">
      <c r="A51" s="758" t="s">
        <v>84</v>
      </c>
      <c r="B51" s="759"/>
      <c r="C51" s="163">
        <f>SUMIF($G$7:$G$31,"Planned shut",$F$7:$F$31)</f>
        <v>0</v>
      </c>
      <c r="D51" s="117">
        <f>+C51+'3'!D51</f>
        <v>0</v>
      </c>
      <c r="E51" s="142">
        <f t="shared" si="6"/>
        <v>0</v>
      </c>
      <c r="F51" s="184"/>
      <c r="H51" s="189" t="s">
        <v>85</v>
      </c>
      <c r="I51" s="140">
        <f>I49/I40</f>
        <v>127.49952687067635</v>
      </c>
      <c r="J51" s="135">
        <f>J49/J40</f>
        <v>115.84803867064402</v>
      </c>
      <c r="K51" s="136" t="s">
        <v>82</v>
      </c>
    </row>
    <row r="52" spans="1:11" ht="13.5" thickBot="1">
      <c r="A52" s="760" t="s">
        <v>28</v>
      </c>
      <c r="B52" s="761"/>
      <c r="C52" s="143">
        <f>SUM(C38:C51)</f>
        <v>86</v>
      </c>
      <c r="D52" s="143">
        <f>SUM(D38:D51)</f>
        <v>317</v>
      </c>
      <c r="E52" s="144">
        <f>SUM(E38:E51)</f>
        <v>5.2833333333333332</v>
      </c>
      <c r="F52" s="184"/>
      <c r="H52" s="190"/>
      <c r="I52" s="191"/>
      <c r="J52" s="137"/>
      <c r="K52" s="138"/>
    </row>
    <row r="53" spans="1:11" ht="13.5" thickBot="1">
      <c r="A53" s="762"/>
      <c r="B53" s="763"/>
      <c r="C53" s="145">
        <f>C52/(24*60)</f>
        <v>5.9722222222222225E-2</v>
      </c>
      <c r="D53" s="145">
        <f>D52/(24*60*G4)</f>
        <v>5.5034722222222221E-2</v>
      </c>
      <c r="E53" s="146">
        <f>E52/(G4*24)</f>
        <v>5.5034722222222221E-2</v>
      </c>
      <c r="F53" s="184"/>
    </row>
    <row r="54" spans="1:11">
      <c r="E54" s="192"/>
      <c r="F54" s="184"/>
    </row>
    <row r="55" spans="1:11">
      <c r="E55" s="192"/>
    </row>
    <row r="56" spans="1:11">
      <c r="A56" s="193" t="s">
        <v>86</v>
      </c>
      <c r="B56" s="194"/>
      <c r="C56" s="195"/>
      <c r="D56" s="195"/>
      <c r="E56" s="195"/>
      <c r="F56" s="196"/>
      <c r="G56" s="195"/>
      <c r="H56" s="197"/>
      <c r="I56" s="198" t="s">
        <v>87</v>
      </c>
      <c r="J56" s="199">
        <f>+D34+'3'!J56</f>
        <v>540</v>
      </c>
      <c r="K56" s="200">
        <f>J56/(J40+J56/1000)/1000</f>
        <v>3.2489410858683098E-3</v>
      </c>
    </row>
    <row r="57" spans="1:11">
      <c r="A57" s="175"/>
      <c r="I57" s="198" t="s">
        <v>88</v>
      </c>
      <c r="J57" s="199">
        <f>+E34+'3'!J57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7" right="0.16" top="0.17" bottom="0.16" header="0" footer="0"/>
  <pageSetup paperSize="9" scale="60"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1"/>
  <sheetViews>
    <sheetView view="pageBreakPreview" zoomScale="80" zoomScaleNormal="75" zoomScaleSheetLayoutView="80" workbookViewId="0">
      <selection activeCell="G24" sqref="G24:H27"/>
    </sheetView>
  </sheetViews>
  <sheetFormatPr defaultColWidth="9.140625" defaultRowHeight="12.75"/>
  <cols>
    <col min="1" max="1" width="8" style="148" customWidth="1"/>
    <col min="2" max="2" width="7" style="148" bestFit="1" customWidth="1"/>
    <col min="3" max="3" width="14.85546875" style="148" bestFit="1" customWidth="1"/>
    <col min="4" max="4" width="12.7109375" style="148" bestFit="1" customWidth="1"/>
    <col min="5" max="5" width="13.85546875" style="148" bestFit="1" customWidth="1"/>
    <col min="6" max="6" width="12.140625" style="109" bestFit="1" customWidth="1"/>
    <col min="7" max="7" width="11.42578125" style="148" bestFit="1" customWidth="1"/>
    <col min="8" max="8" width="64.85546875" style="148" customWidth="1"/>
    <col min="9" max="9" width="14.7109375" style="148" bestFit="1" customWidth="1"/>
    <col min="10" max="10" width="14.7109375" style="148" customWidth="1"/>
    <col min="11" max="11" width="13.7109375" style="148" bestFit="1" customWidth="1"/>
    <col min="12" max="12" width="8.28515625" style="148" customWidth="1"/>
    <col min="13" max="13" width="14.5703125" style="148" bestFit="1" customWidth="1"/>
    <col min="14" max="16384" width="9.140625" style="148"/>
  </cols>
  <sheetData>
    <row r="1" spans="1:26" ht="15.75">
      <c r="A1" s="147"/>
    </row>
    <row r="2" spans="1:26" ht="15.75">
      <c r="A2" s="147" t="s">
        <v>182</v>
      </c>
    </row>
    <row r="3" spans="1:26" ht="15">
      <c r="A3" s="149"/>
    </row>
    <row r="4" spans="1:26" ht="20.25">
      <c r="A4" s="150" t="s">
        <v>3</v>
      </c>
      <c r="B4" s="151"/>
      <c r="F4" s="152" t="s">
        <v>29</v>
      </c>
      <c r="G4" s="153">
        <v>3</v>
      </c>
      <c r="H4" s="153" t="str">
        <f>+'1'!H4</f>
        <v>.03.26</v>
      </c>
      <c r="J4" s="148">
        <f>11+2+2</f>
        <v>15</v>
      </c>
    </row>
    <row r="5" spans="1:26" ht="13.5" thickBot="1">
      <c r="C5" s="154"/>
      <c r="D5" s="154"/>
    </row>
    <row r="6" spans="1:26"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429</v>
      </c>
      <c r="O6" s="148">
        <v>1120</v>
      </c>
      <c r="P6" s="148">
        <f>+O6-(O6*0.25)</f>
        <v>840</v>
      </c>
      <c r="Q6" s="148">
        <f>60*2+23</f>
        <v>143</v>
      </c>
      <c r="R6" s="148">
        <f t="shared" ref="R6:R7" si="0">+O6*Q6</f>
        <v>160160</v>
      </c>
      <c r="S6" s="148">
        <f t="shared" ref="S6:S7" si="1">+P6*Q6</f>
        <v>120120</v>
      </c>
      <c r="U6" s="148" t="s">
        <v>429</v>
      </c>
      <c r="V6" s="148">
        <v>1120</v>
      </c>
      <c r="W6" s="148">
        <v>840</v>
      </c>
      <c r="X6" s="148">
        <v>143</v>
      </c>
      <c r="Y6" s="148">
        <f t="shared" ref="Y6" si="2">+V6*X6</f>
        <v>160160</v>
      </c>
      <c r="Z6" s="148">
        <f t="shared" ref="Z6" si="3">+W6*X6</f>
        <v>120120</v>
      </c>
    </row>
    <row r="7" spans="1:26" ht="13.5" customHeight="1" thickBot="1">
      <c r="A7" s="770" t="s">
        <v>417</v>
      </c>
      <c r="B7" s="214" t="s">
        <v>441</v>
      </c>
      <c r="C7" s="215">
        <v>14902</v>
      </c>
      <c r="D7" s="216"/>
      <c r="E7" s="217"/>
      <c r="F7" s="227">
        <v>9</v>
      </c>
      <c r="G7" s="228" t="s">
        <v>12</v>
      </c>
      <c r="H7" s="229" t="s">
        <v>412</v>
      </c>
      <c r="I7" s="773" t="s">
        <v>453</v>
      </c>
      <c r="J7" s="213" t="str">
        <f>+'2'!J7</f>
        <v>F 12 VP OW</v>
      </c>
      <c r="K7" s="237"/>
      <c r="L7" s="241"/>
      <c r="M7" s="116">
        <f>+K7+'2'!M7+L7</f>
        <v>45075</v>
      </c>
      <c r="N7" s="148" t="s">
        <v>429</v>
      </c>
      <c r="O7" s="148">
        <v>1100</v>
      </c>
      <c r="P7" s="148">
        <f>+O7-(O7*0.25)</f>
        <v>825</v>
      </c>
      <c r="Q7" s="148">
        <f>480-Q6</f>
        <v>337</v>
      </c>
      <c r="R7" s="148">
        <f t="shared" si="0"/>
        <v>370700</v>
      </c>
      <c r="S7" s="148">
        <f t="shared" si="1"/>
        <v>278025</v>
      </c>
      <c r="U7" s="148" t="s">
        <v>429</v>
      </c>
      <c r="V7" s="148">
        <v>1100</v>
      </c>
      <c r="W7" s="148">
        <v>825</v>
      </c>
      <c r="X7" s="148">
        <v>337</v>
      </c>
      <c r="Y7" s="148">
        <f t="shared" ref="Y7:Y9" si="4">+V7*X7</f>
        <v>370700</v>
      </c>
      <c r="Z7" s="148">
        <f t="shared" ref="Z7:Z9" si="5">+W7*X7</f>
        <v>278025</v>
      </c>
    </row>
    <row r="8" spans="1:26" ht="13.5" thickBot="1">
      <c r="A8" s="771"/>
      <c r="B8" s="214"/>
      <c r="C8" s="215"/>
      <c r="D8" s="216"/>
      <c r="E8" s="218"/>
      <c r="F8" s="230"/>
      <c r="G8" s="231" t="s">
        <v>12</v>
      </c>
      <c r="H8" s="229" t="s">
        <v>283</v>
      </c>
      <c r="I8" s="774"/>
      <c r="J8" s="213" t="str">
        <f>+'2'!J8</f>
        <v>F 14 VP OW</v>
      </c>
      <c r="K8" s="238"/>
      <c r="L8" s="238"/>
      <c r="M8" s="116">
        <f>+K8+'2'!M8+L8</f>
        <v>4713</v>
      </c>
      <c r="U8" s="148" t="s">
        <v>429</v>
      </c>
      <c r="V8" s="148">
        <v>1100</v>
      </c>
      <c r="W8" s="148">
        <v>825</v>
      </c>
      <c r="X8" s="148">
        <v>480</v>
      </c>
      <c r="Y8" s="148">
        <f t="shared" si="4"/>
        <v>528000</v>
      </c>
      <c r="Z8" s="148">
        <f t="shared" si="5"/>
        <v>396000</v>
      </c>
    </row>
    <row r="9" spans="1:26" ht="13.5" thickBot="1">
      <c r="A9" s="771"/>
      <c r="B9" s="214"/>
      <c r="C9" s="215"/>
      <c r="D9" s="216"/>
      <c r="E9" s="219"/>
      <c r="F9" s="227">
        <f>28-9</f>
        <v>19</v>
      </c>
      <c r="G9" s="231" t="s">
        <v>12</v>
      </c>
      <c r="H9" s="232" t="s">
        <v>411</v>
      </c>
      <c r="I9" s="774"/>
      <c r="J9" s="213" t="str">
        <f>+'2'!J9</f>
        <v>F 16 VP OW</v>
      </c>
      <c r="K9" s="238">
        <f>+C34</f>
        <v>40543</v>
      </c>
      <c r="L9" s="238"/>
      <c r="M9" s="116">
        <f>+K9+'2'!M9+L9</f>
        <v>76125</v>
      </c>
      <c r="U9" s="148" t="s">
        <v>429</v>
      </c>
      <c r="V9" s="148">
        <v>1100</v>
      </c>
      <c r="W9" s="148">
        <v>825</v>
      </c>
      <c r="X9" s="148">
        <v>394</v>
      </c>
      <c r="Y9" s="148">
        <f t="shared" si="4"/>
        <v>433400</v>
      </c>
      <c r="Z9" s="148">
        <f t="shared" si="5"/>
        <v>325050</v>
      </c>
    </row>
    <row r="10" spans="1:26" ht="26.25" thickBot="1">
      <c r="A10" s="771"/>
      <c r="B10" s="214"/>
      <c r="C10" s="215"/>
      <c r="D10" s="216"/>
      <c r="E10" s="218"/>
      <c r="F10" s="227"/>
      <c r="G10" s="236" t="s">
        <v>13</v>
      </c>
      <c r="H10" s="232" t="s">
        <v>449</v>
      </c>
      <c r="I10" s="774"/>
      <c r="J10" s="213">
        <f>+'2'!J10</f>
        <v>0</v>
      </c>
      <c r="K10" s="238"/>
      <c r="L10" s="238"/>
      <c r="M10" s="116">
        <f>+K10+'2'!M10+L10</f>
        <v>0</v>
      </c>
    </row>
    <row r="11" spans="1:26" ht="13.5" thickBot="1">
      <c r="A11" s="771"/>
      <c r="B11" s="214"/>
      <c r="C11" s="215"/>
      <c r="D11" s="216"/>
      <c r="E11" s="218"/>
      <c r="F11" s="227"/>
      <c r="G11" s="231"/>
      <c r="H11" s="232" t="s">
        <v>450</v>
      </c>
      <c r="I11" s="774"/>
      <c r="J11" s="213">
        <f>+'2'!J11</f>
        <v>0</v>
      </c>
      <c r="K11" s="238"/>
      <c r="L11" s="238"/>
      <c r="M11" s="116">
        <f>+K11+'2'!M11+L11</f>
        <v>0</v>
      </c>
    </row>
    <row r="12" spans="1:26" ht="13.5" thickBot="1">
      <c r="A12" s="771"/>
      <c r="B12" s="214"/>
      <c r="C12" s="215"/>
      <c r="D12" s="216"/>
      <c r="E12" s="218"/>
      <c r="F12" s="227"/>
      <c r="G12" s="231"/>
      <c r="H12" s="232"/>
      <c r="I12" s="774"/>
      <c r="J12" s="213">
        <f>+'2'!J12</f>
        <v>0</v>
      </c>
      <c r="K12" s="238"/>
      <c r="L12" s="238"/>
      <c r="M12" s="116">
        <f>+K12+'2'!M12+L12</f>
        <v>0</v>
      </c>
    </row>
    <row r="13" spans="1:26" ht="13.5" thickBot="1">
      <c r="A13" s="771"/>
      <c r="B13" s="214"/>
      <c r="C13" s="215"/>
      <c r="D13" s="215"/>
      <c r="E13" s="218"/>
      <c r="F13" s="227"/>
      <c r="G13" s="231"/>
      <c r="H13" s="232"/>
      <c r="I13" s="775"/>
      <c r="J13" s="213">
        <f>+'2'!J13</f>
        <v>0</v>
      </c>
      <c r="K13" s="238"/>
      <c r="L13" s="238"/>
      <c r="M13" s="116">
        <f>+K13+'2'!M13+L13</f>
        <v>0</v>
      </c>
      <c r="Q13" s="175">
        <f>SUM(Q5:Q12)</f>
        <v>480</v>
      </c>
      <c r="R13" s="175">
        <f>SUM(R5:R12)</f>
        <v>530860</v>
      </c>
      <c r="S13" s="175">
        <f>SUM(S5:S12)</f>
        <v>398145</v>
      </c>
      <c r="X13" s="175">
        <f>SUM(X5:X12)</f>
        <v>1354</v>
      </c>
      <c r="Y13" s="175">
        <f>SUM(Y5:Y12)</f>
        <v>1492260</v>
      </c>
      <c r="Z13" s="175">
        <f>SUM(Z5:Z12)</f>
        <v>1119195</v>
      </c>
    </row>
    <row r="14" spans="1:26" ht="13.5" thickBot="1">
      <c r="A14" s="772"/>
      <c r="B14" s="164" t="s">
        <v>2</v>
      </c>
      <c r="C14" s="98">
        <f>SUM(C7:C13)</f>
        <v>14902</v>
      </c>
      <c r="D14" s="110">
        <f>SUM(D7:D13)</f>
        <v>0</v>
      </c>
      <c r="E14" s="111">
        <f>SUM(E5:E13)</f>
        <v>0</v>
      </c>
      <c r="F14" s="115">
        <f>SUM(F7:F13)</f>
        <v>28</v>
      </c>
      <c r="G14" s="158"/>
      <c r="H14" s="165"/>
      <c r="I14" s="166"/>
      <c r="J14" s="213">
        <f>+'2'!J14</f>
        <v>0</v>
      </c>
      <c r="K14" s="238"/>
      <c r="L14" s="238"/>
      <c r="M14" s="116">
        <f>+K14+'2'!M14+L14</f>
        <v>0</v>
      </c>
      <c r="Q14" s="148">
        <f>480-Q13</f>
        <v>0</v>
      </c>
      <c r="R14" s="175">
        <f>+R13/Q13</f>
        <v>1105.9583333333333</v>
      </c>
      <c r="S14" s="175">
        <f>+S13/Q13</f>
        <v>829.46875</v>
      </c>
      <c r="X14" s="148">
        <f>480-X13</f>
        <v>-874</v>
      </c>
      <c r="Y14" s="175">
        <f>+Y13/X13</f>
        <v>1102.1122599704579</v>
      </c>
      <c r="Z14" s="175">
        <f>+Z13/X13</f>
        <v>826.58419497784348</v>
      </c>
    </row>
    <row r="15" spans="1:26" ht="13.5" customHeight="1" thickBot="1">
      <c r="A15" s="770" t="s">
        <v>390</v>
      </c>
      <c r="B15" s="164"/>
      <c r="C15" s="112">
        <f>C14/($C$23+$D$23+$E$23)</f>
        <v>0.88470672049394439</v>
      </c>
      <c r="D15" s="113">
        <f>D14/($C$23+$D$23+$E$23)</f>
        <v>0</v>
      </c>
      <c r="E15" s="114">
        <f>E14/($C$23+$D$23+$E$23)</f>
        <v>0</v>
      </c>
      <c r="F15" s="227"/>
      <c r="G15" s="228" t="s">
        <v>12</v>
      </c>
      <c r="H15" s="229" t="s">
        <v>384</v>
      </c>
      <c r="I15" s="773" t="s">
        <v>452</v>
      </c>
      <c r="J15" s="213">
        <f>+'2'!J15</f>
        <v>0</v>
      </c>
      <c r="K15" s="238"/>
      <c r="L15" s="238"/>
      <c r="M15" s="116">
        <f>+K15+'2'!M15+L15</f>
        <v>0</v>
      </c>
      <c r="P15" s="175"/>
      <c r="Q15" s="175"/>
      <c r="R15" s="175"/>
    </row>
    <row r="16" spans="1:26" ht="13.5" thickBot="1">
      <c r="A16" s="776"/>
      <c r="B16" s="214" t="s">
        <v>441</v>
      </c>
      <c r="C16" s="221">
        <v>16844</v>
      </c>
      <c r="D16" s="222"/>
      <c r="E16" s="223"/>
      <c r="F16" s="230">
        <v>6</v>
      </c>
      <c r="G16" s="231" t="s">
        <v>12</v>
      </c>
      <c r="H16" s="229" t="s">
        <v>414</v>
      </c>
      <c r="I16" s="774"/>
      <c r="J16" s="213">
        <f>+'2'!J16</f>
        <v>0</v>
      </c>
      <c r="K16" s="228"/>
      <c r="L16" s="228"/>
      <c r="M16" s="116">
        <f>+K16+'2'!M16+L16</f>
        <v>0</v>
      </c>
      <c r="Q16" s="175"/>
      <c r="R16" s="175"/>
    </row>
    <row r="17" spans="1:19" ht="13.5" thickBot="1">
      <c r="A17" s="776"/>
      <c r="B17" s="214"/>
      <c r="C17" s="215"/>
      <c r="D17" s="216"/>
      <c r="E17" s="224"/>
      <c r="F17" s="227">
        <v>12</v>
      </c>
      <c r="G17" s="231" t="s">
        <v>12</v>
      </c>
      <c r="H17" s="232" t="s">
        <v>433</v>
      </c>
      <c r="I17" s="774"/>
      <c r="J17" s="213">
        <f>+'2'!J17</f>
        <v>0</v>
      </c>
      <c r="K17" s="228"/>
      <c r="L17" s="228"/>
      <c r="M17" s="116">
        <f>+K17+'2'!M17+L17</f>
        <v>0</v>
      </c>
      <c r="N17" s="148" t="s">
        <v>429</v>
      </c>
      <c r="O17" s="148">
        <v>1100</v>
      </c>
      <c r="P17" s="148">
        <f>+O17-(O17*0.25)</f>
        <v>825</v>
      </c>
      <c r="Q17" s="148">
        <v>480</v>
      </c>
      <c r="R17" s="148">
        <f t="shared" ref="R17" si="6">+O17*Q17</f>
        <v>528000</v>
      </c>
      <c r="S17" s="148">
        <f t="shared" ref="S17" si="7">+P17*Q17</f>
        <v>396000</v>
      </c>
    </row>
    <row r="18" spans="1:19" ht="26.25" thickBot="1">
      <c r="A18" s="776"/>
      <c r="B18" s="214"/>
      <c r="C18" s="215"/>
      <c r="D18" s="216"/>
      <c r="E18" s="224"/>
      <c r="F18" s="227"/>
      <c r="G18" s="236" t="s">
        <v>13</v>
      </c>
      <c r="H18" s="232" t="s">
        <v>445</v>
      </c>
      <c r="I18" s="774"/>
      <c r="J18" s="213">
        <f>+'2'!J18</f>
        <v>0</v>
      </c>
      <c r="K18" s="238"/>
      <c r="L18" s="238"/>
      <c r="M18" s="116">
        <f>+K18+'2'!M18+L18</f>
        <v>0</v>
      </c>
    </row>
    <row r="19" spans="1:19" ht="13.5" thickBot="1">
      <c r="A19" s="776"/>
      <c r="B19" s="214"/>
      <c r="C19" s="215"/>
      <c r="D19" s="216"/>
      <c r="E19" s="224"/>
      <c r="F19" s="234"/>
      <c r="G19" s="231"/>
      <c r="H19" s="232" t="s">
        <v>446</v>
      </c>
      <c r="I19" s="774"/>
      <c r="J19" s="213">
        <f>+'2'!J19</f>
        <v>0</v>
      </c>
      <c r="K19" s="238"/>
      <c r="L19" s="238"/>
      <c r="M19" s="116">
        <f>+K19+'2'!M19+L19</f>
        <v>0</v>
      </c>
    </row>
    <row r="20" spans="1:19" ht="13.5" thickBot="1">
      <c r="A20" s="776"/>
      <c r="B20" s="214"/>
      <c r="C20" s="215"/>
      <c r="D20" s="216"/>
      <c r="E20" s="224"/>
      <c r="F20" s="227"/>
      <c r="G20" s="231"/>
      <c r="H20" s="232"/>
      <c r="I20" s="774"/>
      <c r="J20" s="213">
        <f>+'2'!J20</f>
        <v>0</v>
      </c>
      <c r="K20" s="239"/>
      <c r="L20" s="239"/>
      <c r="M20" s="116">
        <f>+K20+'2'!M20+L20</f>
        <v>0</v>
      </c>
    </row>
    <row r="21" spans="1:19" ht="13.5" thickBot="1">
      <c r="A21" s="776"/>
      <c r="B21" s="214"/>
      <c r="C21" s="215"/>
      <c r="D21" s="216"/>
      <c r="E21" s="224"/>
      <c r="F21" s="230"/>
      <c r="G21" s="231"/>
      <c r="H21" s="232"/>
      <c r="I21" s="774"/>
      <c r="J21" s="213">
        <f>+'2'!J21</f>
        <v>0</v>
      </c>
      <c r="K21" s="238"/>
      <c r="L21" s="238"/>
      <c r="M21" s="116">
        <f>+K21+'2'!M21+L21</f>
        <v>0</v>
      </c>
    </row>
    <row r="22" spans="1:19" ht="13.5" thickBot="1">
      <c r="A22" s="776"/>
      <c r="B22" s="214"/>
      <c r="C22" s="215"/>
      <c r="D22" s="216"/>
      <c r="E22" s="224"/>
      <c r="F22" s="235"/>
      <c r="G22" s="231"/>
      <c r="H22" s="232"/>
      <c r="I22" s="775"/>
      <c r="J22" s="213">
        <f>+'2'!J22</f>
        <v>0</v>
      </c>
      <c r="K22" s="238"/>
      <c r="L22" s="238"/>
      <c r="M22" s="116">
        <f>+K22+'2'!M22+L22</f>
        <v>0</v>
      </c>
    </row>
    <row r="23" spans="1:19" ht="13.5" thickBot="1">
      <c r="A23" s="777"/>
      <c r="B23" s="167" t="s">
        <v>2</v>
      </c>
      <c r="C23" s="99">
        <f>SUM(C16:C22)</f>
        <v>16844</v>
      </c>
      <c r="D23" s="110">
        <f>SUM(D16:D22)</f>
        <v>0</v>
      </c>
      <c r="E23" s="111">
        <f>SUM(E18:E22)</f>
        <v>0</v>
      </c>
      <c r="F23" s="115">
        <f>SUM(F15:F22)</f>
        <v>18</v>
      </c>
      <c r="G23" s="158"/>
      <c r="H23" s="165"/>
      <c r="I23" s="168"/>
      <c r="J23" s="213">
        <f>+'2'!J23</f>
        <v>0</v>
      </c>
      <c r="K23" s="238"/>
      <c r="L23" s="238"/>
      <c r="M23" s="116">
        <f>+K23+'2'!M23+L23</f>
        <v>0</v>
      </c>
    </row>
    <row r="24" spans="1:19" ht="13.5" customHeight="1" thickBot="1">
      <c r="A24" s="770" t="s">
        <v>457</v>
      </c>
      <c r="B24" s="169"/>
      <c r="C24" s="112">
        <f>C23/($C$23+$D$23+$E$23)</f>
        <v>1</v>
      </c>
      <c r="D24" s="113">
        <f>D23/($C$23+$D$23+$E$23)</f>
        <v>0</v>
      </c>
      <c r="E24" s="114">
        <f>E23/($C$23+$D$23+$E$23)</f>
        <v>0</v>
      </c>
      <c r="F24" s="227">
        <v>12</v>
      </c>
      <c r="G24" s="228" t="s">
        <v>12</v>
      </c>
      <c r="H24" s="229" t="s">
        <v>412</v>
      </c>
      <c r="I24" s="773" t="s">
        <v>451</v>
      </c>
      <c r="J24" s="213">
        <f>+'2'!J24</f>
        <v>0</v>
      </c>
      <c r="K24" s="238"/>
      <c r="L24" s="238"/>
      <c r="M24" s="116">
        <f>+K24+'2'!M24+L24</f>
        <v>0</v>
      </c>
      <c r="Q24" s="175">
        <f>SUM(Q16:Q23)</f>
        <v>480</v>
      </c>
      <c r="R24" s="175">
        <f>SUM(R16:R23)</f>
        <v>528000</v>
      </c>
      <c r="S24" s="175">
        <f>SUM(S16:S23)</f>
        <v>396000</v>
      </c>
    </row>
    <row r="25" spans="1:19" ht="13.5" thickBot="1">
      <c r="A25" s="776"/>
      <c r="B25" s="214" t="s">
        <v>441</v>
      </c>
      <c r="C25" s="225">
        <v>8797</v>
      </c>
      <c r="D25" s="216"/>
      <c r="E25" s="224"/>
      <c r="F25" s="230"/>
      <c r="G25" s="231" t="s">
        <v>12</v>
      </c>
      <c r="H25" s="229" t="s">
        <v>283</v>
      </c>
      <c r="I25" s="774"/>
      <c r="J25" s="213">
        <f>+'2'!J25</f>
        <v>0</v>
      </c>
      <c r="K25" s="238"/>
      <c r="L25" s="238"/>
      <c r="M25" s="116">
        <f>+K25+'2'!M25+L25</f>
        <v>0</v>
      </c>
      <c r="Q25" s="148">
        <f>480-Q24</f>
        <v>0</v>
      </c>
      <c r="R25" s="175">
        <f>+R24/Q24</f>
        <v>1100</v>
      </c>
      <c r="S25" s="175">
        <f>+S24/Q24</f>
        <v>825</v>
      </c>
    </row>
    <row r="26" spans="1:19" ht="13.5" thickBot="1">
      <c r="A26" s="776"/>
      <c r="B26" s="214"/>
      <c r="C26" s="225"/>
      <c r="D26" s="216"/>
      <c r="E26" s="226"/>
      <c r="F26" s="227">
        <f>30-12</f>
        <v>18</v>
      </c>
      <c r="G26" s="231" t="s">
        <v>12</v>
      </c>
      <c r="H26" s="232" t="s">
        <v>433</v>
      </c>
      <c r="I26" s="774"/>
      <c r="J26" s="213">
        <f>+'2'!J26</f>
        <v>0</v>
      </c>
      <c r="K26" s="238"/>
      <c r="L26" s="238"/>
      <c r="M26" s="116">
        <f>+K26+'2'!M26+L26</f>
        <v>0</v>
      </c>
    </row>
    <row r="27" spans="1:19" ht="26.25" thickBot="1">
      <c r="A27" s="776"/>
      <c r="B27" s="214"/>
      <c r="C27" s="215"/>
      <c r="D27" s="216"/>
      <c r="E27" s="224"/>
      <c r="F27" s="227"/>
      <c r="G27" s="236" t="s">
        <v>13</v>
      </c>
      <c r="H27" s="232" t="s">
        <v>447</v>
      </c>
      <c r="I27" s="774"/>
      <c r="J27" s="213">
        <f>+'2'!J27</f>
        <v>0</v>
      </c>
      <c r="K27" s="238"/>
      <c r="L27" s="238"/>
      <c r="M27" s="116">
        <f>+K27+'2'!M27+L27</f>
        <v>0</v>
      </c>
      <c r="N27" s="148" t="s">
        <v>429</v>
      </c>
      <c r="O27" s="148">
        <v>1100</v>
      </c>
      <c r="P27" s="148">
        <f>+O27-(O27*0.25)</f>
        <v>825</v>
      </c>
      <c r="Q27" s="148">
        <f>480-Q28</f>
        <v>394</v>
      </c>
      <c r="R27" s="148">
        <f t="shared" ref="R27:R28" si="8">+O27*Q27</f>
        <v>433400</v>
      </c>
      <c r="S27" s="148">
        <f t="shared" ref="S27:S28" si="9">+P27*Q27</f>
        <v>325050</v>
      </c>
    </row>
    <row r="28" spans="1:19" ht="90" thickBot="1">
      <c r="A28" s="776"/>
      <c r="B28" s="214"/>
      <c r="C28" s="215"/>
      <c r="D28" s="216"/>
      <c r="E28" s="224"/>
      <c r="F28" s="230"/>
      <c r="G28" s="231"/>
      <c r="H28" s="232" t="s">
        <v>448</v>
      </c>
      <c r="I28" s="774"/>
      <c r="J28" s="213">
        <f>+'2'!J28</f>
        <v>0</v>
      </c>
      <c r="K28" s="238"/>
      <c r="L28" s="238"/>
      <c r="M28" s="116">
        <f>+K28+'2'!M28+L28</f>
        <v>0</v>
      </c>
      <c r="N28" s="148" t="s">
        <v>428</v>
      </c>
      <c r="O28" s="148">
        <v>1160</v>
      </c>
      <c r="P28" s="148">
        <f>+O28-(O28*0.25)</f>
        <v>870</v>
      </c>
      <c r="Q28" s="148">
        <f>60-34+60</f>
        <v>86</v>
      </c>
      <c r="R28" s="148">
        <f t="shared" si="8"/>
        <v>99760</v>
      </c>
      <c r="S28" s="148">
        <f t="shared" si="9"/>
        <v>74820</v>
      </c>
    </row>
    <row r="29" spans="1:19" ht="13.5" thickBot="1">
      <c r="A29" s="776"/>
      <c r="B29" s="214"/>
      <c r="C29" s="215"/>
      <c r="D29" s="216"/>
      <c r="E29" s="224"/>
      <c r="F29" s="235"/>
      <c r="G29" s="231"/>
      <c r="H29" s="232"/>
      <c r="I29" s="774"/>
      <c r="J29" s="213">
        <f>+'2'!J29</f>
        <v>0</v>
      </c>
      <c r="K29" s="238"/>
      <c r="L29" s="238"/>
      <c r="M29" s="116">
        <f>+K29+'2'!M29+L29</f>
        <v>0</v>
      </c>
    </row>
    <row r="30" spans="1:19" ht="13.5" thickBot="1">
      <c r="A30" s="776"/>
      <c r="B30" s="214"/>
      <c r="C30" s="225"/>
      <c r="D30" s="216"/>
      <c r="E30" s="224"/>
      <c r="F30" s="235"/>
      <c r="G30" s="231"/>
      <c r="H30" s="232"/>
      <c r="I30" s="774"/>
      <c r="J30" s="213">
        <f>+'2'!J30</f>
        <v>0</v>
      </c>
      <c r="K30" s="238"/>
      <c r="L30" s="238"/>
      <c r="M30" s="116">
        <f>+K30+'2'!M30+L30</f>
        <v>0</v>
      </c>
    </row>
    <row r="31" spans="1:19" ht="13.5" thickBot="1">
      <c r="A31" s="776"/>
      <c r="B31" s="214"/>
      <c r="C31" s="225"/>
      <c r="D31" s="216"/>
      <c r="E31" s="224"/>
      <c r="F31" s="235"/>
      <c r="G31" s="236"/>
      <c r="H31" s="443"/>
      <c r="I31" s="775"/>
      <c r="J31" s="213">
        <f>+'2'!J31</f>
        <v>0</v>
      </c>
      <c r="K31" s="238"/>
      <c r="L31" s="238"/>
      <c r="M31" s="116">
        <f>+K31+'2'!M31+L31</f>
        <v>0</v>
      </c>
    </row>
    <row r="32" spans="1:19" ht="13.5" thickBot="1">
      <c r="A32" s="777"/>
      <c r="B32" s="164" t="s">
        <v>2</v>
      </c>
      <c r="C32" s="98">
        <f>SUM(C25:C31)</f>
        <v>8797</v>
      </c>
      <c r="D32" s="99">
        <f>SUM(D25:D31)</f>
        <v>0</v>
      </c>
      <c r="E32" s="100">
        <f>SUM(E25:E31)</f>
        <v>0</v>
      </c>
      <c r="F32" s="101">
        <f>SUM(F24:F31)</f>
        <v>30</v>
      </c>
      <c r="G32" s="170"/>
      <c r="H32" s="171"/>
      <c r="I32" s="168"/>
      <c r="J32" s="213">
        <f>+'2'!J32</f>
        <v>0</v>
      </c>
      <c r="K32" s="240"/>
      <c r="L32" s="242"/>
      <c r="M32" s="116">
        <f>+K32+'2'!M32+L32</f>
        <v>0</v>
      </c>
    </row>
    <row r="33" spans="1:19" ht="13.5" thickBot="1">
      <c r="A33" s="172"/>
      <c r="B33" s="173"/>
      <c r="C33" s="102">
        <f>C32/($C$32+$D$32+$E$32)</f>
        <v>1</v>
      </c>
      <c r="D33" s="103">
        <f>D32/($C$32+$D$32+$E$32)</f>
        <v>0</v>
      </c>
      <c r="E33" s="104">
        <f>E32/($C$32+$D$32+$E$32)</f>
        <v>0</v>
      </c>
      <c r="F33" s="105"/>
      <c r="G33" s="174"/>
      <c r="H33" s="175"/>
      <c r="I33" s="176"/>
      <c r="J33" s="120"/>
      <c r="K33" s="121"/>
      <c r="L33" s="212"/>
      <c r="M33" s="118"/>
    </row>
    <row r="34" spans="1:19" ht="13.5" thickBot="1">
      <c r="A34" s="766" t="s">
        <v>57</v>
      </c>
      <c r="B34" s="767"/>
      <c r="C34" s="106">
        <f>C14+C23+C32</f>
        <v>40543</v>
      </c>
      <c r="D34" s="106">
        <f>D14+D23+D32</f>
        <v>0</v>
      </c>
      <c r="E34" s="106">
        <f>E14+E23+E32</f>
        <v>0</v>
      </c>
      <c r="F34" s="107">
        <f>F14+F23+F32</f>
        <v>76</v>
      </c>
      <c r="H34" s="177"/>
      <c r="I34" s="177"/>
      <c r="J34" s="122" t="s">
        <v>28</v>
      </c>
      <c r="K34" s="123">
        <f>SUM(K7:K32)</f>
        <v>40543</v>
      </c>
      <c r="L34" s="211">
        <f>SUM(L7:L32)</f>
        <v>0</v>
      </c>
      <c r="M34" s="119">
        <f>SUM(M7:M32)</f>
        <v>125913</v>
      </c>
      <c r="Q34" s="175">
        <f>SUM(Q26:Q33)</f>
        <v>480</v>
      </c>
      <c r="R34" s="175">
        <f>SUM(R26:R33)</f>
        <v>533160</v>
      </c>
      <c r="S34" s="175">
        <f>SUM(S26:S33)</f>
        <v>399870</v>
      </c>
    </row>
    <row r="35" spans="1:19" ht="13.5" thickBot="1">
      <c r="A35" s="178"/>
      <c r="B35" s="179"/>
      <c r="C35" s="103">
        <f>C34/($C$34+$D$34+$E$34)</f>
        <v>1</v>
      </c>
      <c r="D35" s="103">
        <f>D34/($C$34+$D$34+$E$34)</f>
        <v>0</v>
      </c>
      <c r="E35" s="108">
        <f>E34/($C$34+$D$34+$E$34)</f>
        <v>0</v>
      </c>
      <c r="K35" s="154"/>
      <c r="Q35" s="148">
        <f>480-Q34</f>
        <v>0</v>
      </c>
      <c r="R35" s="175">
        <f>+R34/Q34</f>
        <v>1110.75</v>
      </c>
      <c r="S35" s="175">
        <f>+S34/Q34</f>
        <v>833.0625</v>
      </c>
    </row>
    <row r="36" spans="1:19" ht="13.5" thickBot="1">
      <c r="A36" s="177"/>
      <c r="B36" s="177"/>
      <c r="C36" s="154"/>
      <c r="D36" s="154"/>
      <c r="E36" s="154"/>
      <c r="G36" s="154"/>
      <c r="H36" s="180"/>
      <c r="I36" s="161" t="s">
        <v>37</v>
      </c>
      <c r="J36" s="161" t="s">
        <v>38</v>
      </c>
      <c r="K36" s="181"/>
    </row>
    <row r="37" spans="1:19" ht="17.45" customHeight="1" thickBot="1">
      <c r="A37" s="768" t="s">
        <v>58</v>
      </c>
      <c r="B37" s="769"/>
      <c r="C37" s="161" t="s">
        <v>59</v>
      </c>
      <c r="D37" s="182" t="s">
        <v>60</v>
      </c>
      <c r="E37" s="183" t="s">
        <v>61</v>
      </c>
      <c r="F37" s="321"/>
      <c r="G37" s="323"/>
      <c r="H37" s="185" t="s">
        <v>62</v>
      </c>
      <c r="I37" s="243">
        <f>(16*1354+14*86)/1440*G42*2.74*1440/1000000</f>
        <v>51.954843024166671</v>
      </c>
      <c r="J37" s="124">
        <f>+I37+'2'!J37</f>
        <v>147.31195672802778</v>
      </c>
      <c r="K37" s="125" t="s">
        <v>63</v>
      </c>
      <c r="N37" s="148" t="s">
        <v>429</v>
      </c>
      <c r="O37" s="148">
        <v>1102.1122599704579</v>
      </c>
      <c r="P37" s="148">
        <v>826.58419497784348</v>
      </c>
      <c r="Q37" s="148">
        <v>1354</v>
      </c>
    </row>
    <row r="38" spans="1:19" ht="17.45" customHeight="1">
      <c r="A38" s="760" t="s">
        <v>12</v>
      </c>
      <c r="B38" s="761"/>
      <c r="C38" s="163">
        <f>SUMIF($G$7:$G$31,"Process",$F$7:$F$31)</f>
        <v>76</v>
      </c>
      <c r="D38" s="117">
        <f>+C38+'2'!D38</f>
        <v>231</v>
      </c>
      <c r="E38" s="142">
        <f t="shared" ref="E38:E51" si="10">D38/60</f>
        <v>3.85</v>
      </c>
      <c r="F38" s="321">
        <v>1105.9583333333333</v>
      </c>
      <c r="G38" s="321">
        <v>829.46875</v>
      </c>
      <c r="H38" s="186" t="s">
        <v>64</v>
      </c>
      <c r="I38" s="244">
        <f>16.624+15.229+11.483+2.694</f>
        <v>46.03</v>
      </c>
      <c r="J38" s="126">
        <f>+I38+'2'!J38</f>
        <v>128.75200000000001</v>
      </c>
      <c r="K38" s="127" t="s">
        <v>63</v>
      </c>
      <c r="N38" s="148" t="s">
        <v>428</v>
      </c>
      <c r="O38" s="148">
        <v>1160</v>
      </c>
      <c r="P38" s="148">
        <v>870</v>
      </c>
      <c r="Q38" s="148">
        <v>86</v>
      </c>
    </row>
    <row r="39" spans="1:19" ht="17.45" customHeight="1">
      <c r="A39" s="764" t="s">
        <v>13</v>
      </c>
      <c r="B39" s="765"/>
      <c r="C39" s="163">
        <f>SUMIF($G$7:$G$31,"Cleaning",$F$7:$F$31)</f>
        <v>0</v>
      </c>
      <c r="D39" s="117">
        <f>+C39+'2'!D39</f>
        <v>0</v>
      </c>
      <c r="E39" s="142">
        <f t="shared" si="10"/>
        <v>0</v>
      </c>
      <c r="F39" s="321">
        <v>1100</v>
      </c>
      <c r="G39" s="321">
        <v>825</v>
      </c>
      <c r="H39" s="186" t="s">
        <v>65</v>
      </c>
      <c r="I39" s="141"/>
      <c r="J39" s="128">
        <f>J37/G4</f>
        <v>49.103985576009258</v>
      </c>
      <c r="K39" s="129" t="s">
        <v>63</v>
      </c>
      <c r="Q39" s="148">
        <f>+Q37+Q38</f>
        <v>1440</v>
      </c>
    </row>
    <row r="40" spans="1:19" ht="17.45" customHeight="1">
      <c r="A40" s="764" t="s">
        <v>66</v>
      </c>
      <c r="B40" s="765"/>
      <c r="C40" s="163">
        <f>SUMIF($G$7:$G$31,"Mechanical",$F$7:$F$31)</f>
        <v>0</v>
      </c>
      <c r="D40" s="117">
        <f>+C40+'2'!D40</f>
        <v>0</v>
      </c>
      <c r="E40" s="142">
        <f t="shared" si="10"/>
        <v>0</v>
      </c>
      <c r="F40" s="321">
        <v>1110.75</v>
      </c>
      <c r="G40" s="321">
        <v>833.0625</v>
      </c>
      <c r="H40" s="186" t="s">
        <v>67</v>
      </c>
      <c r="I40" s="117">
        <f>(K34+L34)/1000</f>
        <v>40.542999999999999</v>
      </c>
      <c r="J40" s="130">
        <f>+I40+'2'!J40</f>
        <v>125.91300000000001</v>
      </c>
      <c r="K40" s="129" t="s">
        <v>63</v>
      </c>
    </row>
    <row r="41" spans="1:19" ht="17.45" customHeight="1">
      <c r="A41" s="764" t="s">
        <v>68</v>
      </c>
      <c r="B41" s="765"/>
      <c r="C41" s="163">
        <f>SUMIF($G$7:$G$31,"Electrical",$F$7:$F$31)</f>
        <v>0</v>
      </c>
      <c r="D41" s="117">
        <f>+C41+'2'!D41</f>
        <v>0</v>
      </c>
      <c r="E41" s="142">
        <f t="shared" si="10"/>
        <v>0</v>
      </c>
      <c r="F41" s="321"/>
      <c r="G41" s="321"/>
      <c r="H41" s="186" t="s">
        <v>69</v>
      </c>
      <c r="I41" s="141"/>
      <c r="J41" s="128">
        <f>J40/G4</f>
        <v>41.971000000000004</v>
      </c>
      <c r="K41" s="129" t="s">
        <v>63</v>
      </c>
    </row>
    <row r="42" spans="1:19" ht="17.45" customHeight="1">
      <c r="A42" s="764" t="s">
        <v>16</v>
      </c>
      <c r="B42" s="765"/>
      <c r="C42" s="163">
        <f>SUMIF($G$7:$G$31,"Instrument",$F$7:$F$31)</f>
        <v>0</v>
      </c>
      <c r="D42" s="117">
        <f>+C42+'2'!D42</f>
        <v>0</v>
      </c>
      <c r="E42" s="142">
        <f t="shared" si="10"/>
        <v>0</v>
      </c>
      <c r="F42" s="321">
        <f>+(F38*480+F39*480+F40*480)/1440</f>
        <v>1105.5694444444443</v>
      </c>
      <c r="G42" s="321">
        <f>+(G38*480+G39*480+G40*480)/1440</f>
        <v>829.17708333333337</v>
      </c>
      <c r="H42" s="186" t="s">
        <v>70</v>
      </c>
      <c r="I42" s="245" t="s">
        <v>455</v>
      </c>
      <c r="J42" s="131"/>
      <c r="K42" s="129" t="s">
        <v>71</v>
      </c>
    </row>
    <row r="43" spans="1:19" ht="17.45" customHeight="1">
      <c r="A43" s="764" t="s">
        <v>72</v>
      </c>
      <c r="B43" s="765"/>
      <c r="C43" s="163">
        <f>SUMIF($G$7:$G$31,"Water",$F$7:$F$31)</f>
        <v>0</v>
      </c>
      <c r="D43" s="117">
        <f>+C43+'2'!D43</f>
        <v>0</v>
      </c>
      <c r="E43" s="142">
        <f t="shared" si="10"/>
        <v>0</v>
      </c>
      <c r="F43" s="321"/>
      <c r="G43" s="322"/>
      <c r="H43" s="187" t="s">
        <v>73</v>
      </c>
      <c r="I43" s="117">
        <f>+Report1!Z11</f>
        <v>51.2</v>
      </c>
      <c r="J43" s="132">
        <f>+I43+'2'!J43</f>
        <v>152.69999999999999</v>
      </c>
      <c r="K43" s="129" t="s">
        <v>63</v>
      </c>
      <c r="L43" s="188"/>
    </row>
    <row r="44" spans="1:19" ht="17.45" customHeight="1">
      <c r="A44" s="764" t="s">
        <v>17</v>
      </c>
      <c r="B44" s="765"/>
      <c r="C44" s="163">
        <f>SUMIF($G$7:$G$31,"PLN",$F$7:$F$31)</f>
        <v>0</v>
      </c>
      <c r="D44" s="117">
        <f>+C44+'2'!D44</f>
        <v>0</v>
      </c>
      <c r="E44" s="142">
        <f t="shared" si="10"/>
        <v>0</v>
      </c>
      <c r="F44" s="321"/>
      <c r="G44" s="322"/>
      <c r="H44" s="187" t="s">
        <v>74</v>
      </c>
      <c r="I44" s="117">
        <f>I43/I38</f>
        <v>1.1123180534434065</v>
      </c>
      <c r="J44" s="133">
        <f>J43/J38</f>
        <v>1.1860009941593139</v>
      </c>
      <c r="K44" s="129" t="s">
        <v>63</v>
      </c>
    </row>
    <row r="45" spans="1:19" ht="17.45" customHeight="1">
      <c r="A45" s="764" t="s">
        <v>18</v>
      </c>
      <c r="B45" s="765"/>
      <c r="C45" s="163">
        <f>SUMIF($G$7:$G$31,"Boiler",$F$7:$F$31)</f>
        <v>0</v>
      </c>
      <c r="D45" s="117">
        <f>+C45+'2'!D45</f>
        <v>0</v>
      </c>
      <c r="E45" s="142">
        <f t="shared" si="10"/>
        <v>0</v>
      </c>
      <c r="F45" s="321"/>
      <c r="G45" s="324"/>
      <c r="H45" s="187" t="s">
        <v>75</v>
      </c>
      <c r="I45" s="117">
        <f>I43/I40</f>
        <v>1.262856720025652</v>
      </c>
      <c r="J45" s="133">
        <f>J43/J40</f>
        <v>1.2127421314717304</v>
      </c>
      <c r="K45" s="129" t="s">
        <v>63</v>
      </c>
    </row>
    <row r="46" spans="1:19" ht="17.45" customHeight="1">
      <c r="A46" s="764" t="s">
        <v>76</v>
      </c>
      <c r="B46" s="765"/>
      <c r="C46" s="163">
        <f>SUMIF($G$7:$G$31,"Gas",$F$7:$F$31)</f>
        <v>0</v>
      </c>
      <c r="D46" s="117">
        <f>+C46+'2'!D46</f>
        <v>0</v>
      </c>
      <c r="E46" s="142">
        <f t="shared" si="10"/>
        <v>0</v>
      </c>
      <c r="F46" s="321"/>
      <c r="G46" s="322"/>
      <c r="H46" s="187" t="s">
        <v>77</v>
      </c>
      <c r="I46" s="139">
        <f>+SUMIF(Listrik!P10,"&gt;0")</f>
        <v>33956.979999999276</v>
      </c>
      <c r="J46" s="134">
        <f>+I46+'2'!J46</f>
        <v>104959.58000000037</v>
      </c>
      <c r="K46" s="129" t="s">
        <v>78</v>
      </c>
    </row>
    <row r="47" spans="1:19" ht="17.45" customHeight="1">
      <c r="A47" s="764" t="s">
        <v>79</v>
      </c>
      <c r="B47" s="765"/>
      <c r="C47" s="163">
        <f>SUMIF($G$7:$G$31,"Gas",$F$7:$F$31)</f>
        <v>0</v>
      </c>
      <c r="D47" s="117">
        <f>+C47+'2'!D47</f>
        <v>0</v>
      </c>
      <c r="E47" s="142">
        <f t="shared" si="10"/>
        <v>0</v>
      </c>
      <c r="F47" s="321"/>
      <c r="G47" s="322"/>
      <c r="H47" s="187" t="s">
        <v>80</v>
      </c>
      <c r="I47" s="117">
        <f>I46/I38</f>
        <v>737.71409950031011</v>
      </c>
      <c r="J47" s="134">
        <f>J46/J38</f>
        <v>815.20737541941378</v>
      </c>
      <c r="K47" s="129" t="s">
        <v>24</v>
      </c>
    </row>
    <row r="48" spans="1:19" ht="17.45" customHeight="1">
      <c r="A48" s="764" t="s">
        <v>14</v>
      </c>
      <c r="B48" s="765"/>
      <c r="C48" s="163">
        <f>SUMIF($G$7:$G$31,"Start Up",$F$7:$F$31)</f>
        <v>0</v>
      </c>
      <c r="D48" s="117">
        <f>+C48+'2'!D48</f>
        <v>0</v>
      </c>
      <c r="E48" s="142">
        <f t="shared" si="10"/>
        <v>0</v>
      </c>
      <c r="F48" s="321"/>
      <c r="G48" s="322"/>
      <c r="H48" s="187" t="s">
        <v>81</v>
      </c>
      <c r="I48" s="117">
        <f>I46/I40</f>
        <v>837.5546950151512</v>
      </c>
      <c r="J48" s="134">
        <f>J46/J40</f>
        <v>833.58811242683726</v>
      </c>
      <c r="K48" s="129" t="s">
        <v>24</v>
      </c>
    </row>
    <row r="49" spans="1:11" ht="17.45" customHeight="1">
      <c r="A49" s="764" t="s">
        <v>20</v>
      </c>
      <c r="B49" s="765"/>
      <c r="C49" s="163">
        <f>SUMIF($G$7:$G$31,"Others",$F$7:$F$31)</f>
        <v>0</v>
      </c>
      <c r="D49" s="117">
        <f>+C49+'2'!D49</f>
        <v>0</v>
      </c>
      <c r="E49" s="142">
        <f t="shared" si="10"/>
        <v>0</v>
      </c>
      <c r="F49" s="184"/>
      <c r="H49" s="187" t="s">
        <v>267</v>
      </c>
      <c r="I49" s="117">
        <f>+Report1!T11</f>
        <v>4610.1847343891432</v>
      </c>
      <c r="J49" s="134">
        <f>+I49+'2'!J49</f>
        <v>14123.569179744514</v>
      </c>
      <c r="K49" s="129" t="s">
        <v>82</v>
      </c>
    </row>
    <row r="50" spans="1:11" ht="17.45" customHeight="1">
      <c r="A50" s="764" t="s">
        <v>19</v>
      </c>
      <c r="B50" s="765"/>
      <c r="C50" s="163">
        <f>SUMIF($G$7:$G$31,"Steam",$F$7:$F$31)</f>
        <v>0</v>
      </c>
      <c r="D50" s="117">
        <f>+C50+'2'!D50</f>
        <v>0</v>
      </c>
      <c r="E50" s="142">
        <f t="shared" si="10"/>
        <v>0</v>
      </c>
      <c r="F50" s="184"/>
      <c r="H50" s="187" t="s">
        <v>83</v>
      </c>
      <c r="I50" s="139">
        <f>I49/I38</f>
        <v>100.15608808144999</v>
      </c>
      <c r="J50" s="132">
        <f>J49/J38</f>
        <v>109.69592068274289</v>
      </c>
      <c r="K50" s="129" t="s">
        <v>82</v>
      </c>
    </row>
    <row r="51" spans="1:11" ht="17.45" customHeight="1" thickBot="1">
      <c r="A51" s="758" t="s">
        <v>84</v>
      </c>
      <c r="B51" s="759"/>
      <c r="C51" s="163">
        <f>SUMIF($G$7:$G$31,"Planned shut",$F$7:$F$31)</f>
        <v>0</v>
      </c>
      <c r="D51" s="117">
        <f>+C51+'2'!D51</f>
        <v>0</v>
      </c>
      <c r="E51" s="142">
        <f t="shared" si="10"/>
        <v>0</v>
      </c>
      <c r="F51" s="184"/>
      <c r="H51" s="189" t="s">
        <v>85</v>
      </c>
      <c r="I51" s="140">
        <f>I49/I40</f>
        <v>113.71099164810555</v>
      </c>
      <c r="J51" s="135">
        <f>J49/J40</f>
        <v>112.16926909647545</v>
      </c>
      <c r="K51" s="136" t="s">
        <v>82</v>
      </c>
    </row>
    <row r="52" spans="1:11" ht="13.5" thickBot="1">
      <c r="A52" s="760" t="s">
        <v>28</v>
      </c>
      <c r="B52" s="761"/>
      <c r="C52" s="143">
        <f>SUM(C38:C51)</f>
        <v>76</v>
      </c>
      <c r="D52" s="143">
        <f>SUM(D38:D51)</f>
        <v>231</v>
      </c>
      <c r="E52" s="144">
        <f>SUM(E38:E51)</f>
        <v>3.85</v>
      </c>
      <c r="F52" s="184"/>
      <c r="H52" s="190"/>
      <c r="I52" s="191"/>
      <c r="J52" s="137"/>
      <c r="K52" s="138"/>
    </row>
    <row r="53" spans="1:11" ht="13.5" thickBot="1">
      <c r="A53" s="762"/>
      <c r="B53" s="763"/>
      <c r="C53" s="145">
        <f>C52/(24*60)</f>
        <v>5.2777777777777778E-2</v>
      </c>
      <c r="D53" s="145">
        <f>D52/(24*60*G4)</f>
        <v>5.347222222222222E-2</v>
      </c>
      <c r="E53" s="146">
        <f>E52/(G4*24)</f>
        <v>5.3472222222222227E-2</v>
      </c>
      <c r="F53" s="184"/>
    </row>
    <row r="54" spans="1:11">
      <c r="E54" s="192"/>
      <c r="F54" s="184"/>
    </row>
    <row r="55" spans="1:11">
      <c r="E55" s="192"/>
    </row>
    <row r="56" spans="1:11">
      <c r="A56" s="193" t="s">
        <v>86</v>
      </c>
      <c r="B56" s="194"/>
      <c r="C56" s="195"/>
      <c r="D56" s="195"/>
      <c r="E56" s="195"/>
      <c r="F56" s="196"/>
      <c r="G56" s="195"/>
      <c r="H56" s="197"/>
      <c r="I56" s="198" t="s">
        <v>87</v>
      </c>
      <c r="J56" s="199">
        <f>+D34+'2'!J56</f>
        <v>540</v>
      </c>
      <c r="K56" s="200">
        <f>J56/(J40+J56/1000)/1000</f>
        <v>4.2703613200161319E-3</v>
      </c>
    </row>
    <row r="57" spans="1:11">
      <c r="A57" s="175"/>
      <c r="I57" s="198" t="s">
        <v>88</v>
      </c>
      <c r="J57" s="199">
        <f>+E34+'2'!J57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7" right="0.16" top="0.17" bottom="0.16" header="0" footer="0"/>
  <pageSetup paperSize="9" scale="55"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4" zoomScale="80" zoomScaleNormal="75" zoomScaleSheetLayoutView="80" workbookViewId="0">
      <selection activeCell="A7" sqref="A7:A32"/>
    </sheetView>
  </sheetViews>
  <sheetFormatPr defaultColWidth="9.140625" defaultRowHeight="12.75"/>
  <cols>
    <col min="1" max="1" width="8" style="148" customWidth="1"/>
    <col min="2" max="2" width="7" style="148" bestFit="1" customWidth="1"/>
    <col min="3" max="3" width="14.85546875" style="148" bestFit="1" customWidth="1"/>
    <col min="4" max="4" width="12.5703125" style="148" bestFit="1" customWidth="1"/>
    <col min="5" max="5" width="13.85546875" style="148" bestFit="1" customWidth="1"/>
    <col min="6" max="6" width="11.7109375" style="109" customWidth="1"/>
    <col min="7" max="7" width="12.7109375" style="148" customWidth="1"/>
    <col min="8" max="8" width="64.85546875" style="148" customWidth="1"/>
    <col min="9" max="9" width="14.7109375" style="148" bestFit="1" customWidth="1"/>
    <col min="10" max="10" width="14.7109375" style="148" customWidth="1"/>
    <col min="11" max="11" width="14" style="148" bestFit="1" customWidth="1"/>
    <col min="12" max="12" width="8.28515625" style="148" customWidth="1"/>
    <col min="13" max="13" width="14.42578125" style="148" bestFit="1" customWidth="1"/>
    <col min="14" max="16384" width="9.140625" style="148"/>
  </cols>
  <sheetData>
    <row r="1" spans="1:26" ht="15.75">
      <c r="A1" s="147"/>
    </row>
    <row r="2" spans="1:26" ht="15.75">
      <c r="A2" s="147" t="s">
        <v>182</v>
      </c>
    </row>
    <row r="3" spans="1:26" ht="15">
      <c r="A3" s="149"/>
    </row>
    <row r="4" spans="1:26" ht="20.25">
      <c r="A4" s="150" t="s">
        <v>3</v>
      </c>
      <c r="B4" s="151"/>
      <c r="F4" s="152" t="s">
        <v>29</v>
      </c>
      <c r="G4" s="153">
        <v>2</v>
      </c>
      <c r="H4" s="153" t="str">
        <f>+'1'!H4</f>
        <v>.03.26</v>
      </c>
      <c r="J4" s="148">
        <f>1+3+20</f>
        <v>24</v>
      </c>
    </row>
    <row r="5" spans="1:26" ht="13.5" thickBot="1">
      <c r="C5" s="154"/>
      <c r="D5" s="154"/>
    </row>
    <row r="6" spans="1:26"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388</v>
      </c>
      <c r="O6" s="148">
        <v>1200</v>
      </c>
      <c r="P6" s="148">
        <f>+O6-(O6*0.25)</f>
        <v>900</v>
      </c>
      <c r="Q6" s="148">
        <f>60*3+29</f>
        <v>209</v>
      </c>
      <c r="R6" s="148">
        <f t="shared" ref="R6:R8" si="0">+O6*Q6</f>
        <v>250800</v>
      </c>
      <c r="S6" s="148">
        <f t="shared" ref="S6:S8" si="1">+P6*Q6</f>
        <v>188100</v>
      </c>
    </row>
    <row r="7" spans="1:26" ht="13.5" customHeight="1" thickBot="1">
      <c r="A7" s="770" t="s">
        <v>417</v>
      </c>
      <c r="B7" s="214" t="s">
        <v>389</v>
      </c>
      <c r="C7" s="215">
        <f>1226+5487+1456</f>
        <v>8169</v>
      </c>
      <c r="D7" s="216"/>
      <c r="E7" s="217"/>
      <c r="F7" s="227">
        <v>9</v>
      </c>
      <c r="G7" s="228" t="s">
        <v>12</v>
      </c>
      <c r="H7" s="229" t="s">
        <v>412</v>
      </c>
      <c r="I7" s="773" t="s">
        <v>431</v>
      </c>
      <c r="J7" s="213" t="str">
        <f>+'1'!J7</f>
        <v>F 12 VP OW</v>
      </c>
      <c r="K7" s="237">
        <f>+C7</f>
        <v>8169</v>
      </c>
      <c r="L7" s="241"/>
      <c r="M7" s="116">
        <f>+K7+'1'!M7+L7</f>
        <v>45075</v>
      </c>
      <c r="N7" s="148" t="s">
        <v>428</v>
      </c>
      <c r="O7" s="148">
        <v>1150</v>
      </c>
      <c r="P7" s="148">
        <f>+O7-(O7*0.26)</f>
        <v>851</v>
      </c>
      <c r="Q7" s="148">
        <f>60-29+12</f>
        <v>43</v>
      </c>
      <c r="R7" s="148">
        <f t="shared" si="0"/>
        <v>49450</v>
      </c>
      <c r="S7" s="148">
        <f t="shared" si="1"/>
        <v>36593</v>
      </c>
    </row>
    <row r="8" spans="1:26" ht="13.5" thickBot="1">
      <c r="A8" s="771"/>
      <c r="B8" s="214" t="s">
        <v>440</v>
      </c>
      <c r="C8" s="215">
        <f>645+758</f>
        <v>1403</v>
      </c>
      <c r="D8" s="216"/>
      <c r="E8" s="218"/>
      <c r="F8" s="230"/>
      <c r="G8" s="231" t="s">
        <v>12</v>
      </c>
      <c r="H8" s="229" t="s">
        <v>283</v>
      </c>
      <c r="I8" s="774"/>
      <c r="J8" s="213" t="s">
        <v>440</v>
      </c>
      <c r="K8" s="238">
        <f>+C8+C16</f>
        <v>4713</v>
      </c>
      <c r="L8" s="238"/>
      <c r="M8" s="116">
        <f>+K8+'1'!M8+L8</f>
        <v>4713</v>
      </c>
      <c r="N8" s="148" t="s">
        <v>429</v>
      </c>
      <c r="O8" s="148">
        <v>1140</v>
      </c>
      <c r="P8" s="148">
        <f t="shared" ref="P8" si="2">+O8-(O8*0.25)</f>
        <v>855</v>
      </c>
      <c r="Q8" s="148">
        <f>60-12+180</f>
        <v>228</v>
      </c>
      <c r="R8" s="148">
        <f t="shared" si="0"/>
        <v>259920</v>
      </c>
      <c r="S8" s="148">
        <f t="shared" si="1"/>
        <v>194940</v>
      </c>
    </row>
    <row r="9" spans="1:26" ht="13.5" thickBot="1">
      <c r="A9" s="771"/>
      <c r="B9" s="214" t="s">
        <v>441</v>
      </c>
      <c r="C9" s="215">
        <v>5264</v>
      </c>
      <c r="D9" s="216"/>
      <c r="E9" s="219"/>
      <c r="F9" s="227">
        <f>33-9</f>
        <v>24</v>
      </c>
      <c r="G9" s="231" t="s">
        <v>12</v>
      </c>
      <c r="H9" s="232" t="s">
        <v>433</v>
      </c>
      <c r="I9" s="774"/>
      <c r="J9" s="213" t="s">
        <v>441</v>
      </c>
      <c r="K9" s="238">
        <f>+C9+C17+C25</f>
        <v>35582</v>
      </c>
      <c r="L9" s="238"/>
      <c r="M9" s="116">
        <f>+K9+'1'!M9+L9</f>
        <v>35582</v>
      </c>
    </row>
    <row r="10" spans="1:26" ht="39" thickBot="1">
      <c r="A10" s="771"/>
      <c r="B10" s="214"/>
      <c r="C10" s="215"/>
      <c r="D10" s="216"/>
      <c r="E10" s="218"/>
      <c r="F10" s="227"/>
      <c r="G10" s="236" t="s">
        <v>13</v>
      </c>
      <c r="H10" s="232" t="s">
        <v>426</v>
      </c>
      <c r="I10" s="774"/>
      <c r="J10" s="213">
        <f>+'1'!J10</f>
        <v>0</v>
      </c>
      <c r="K10" s="238"/>
      <c r="L10" s="238"/>
      <c r="M10" s="116">
        <f>+K10+'1'!M10+L10</f>
        <v>0</v>
      </c>
    </row>
    <row r="11" spans="1:26" ht="64.5" thickBot="1">
      <c r="A11" s="771"/>
      <c r="B11" s="214"/>
      <c r="C11" s="215"/>
      <c r="D11" s="216"/>
      <c r="E11" s="218"/>
      <c r="F11" s="227"/>
      <c r="G11" s="231"/>
      <c r="H11" s="232" t="s">
        <v>427</v>
      </c>
      <c r="I11" s="774"/>
      <c r="J11" s="213">
        <f>+'1'!J11</f>
        <v>0</v>
      </c>
      <c r="K11" s="238"/>
      <c r="L11" s="238"/>
      <c r="M11" s="116">
        <f>+K11+'1'!M11+L11</f>
        <v>0</v>
      </c>
    </row>
    <row r="12" spans="1:26" ht="13.5" thickBot="1">
      <c r="A12" s="771"/>
      <c r="B12" s="214"/>
      <c r="C12" s="215"/>
      <c r="D12" s="216"/>
      <c r="E12" s="218"/>
      <c r="F12" s="227"/>
      <c r="G12" s="231"/>
      <c r="H12" s="232"/>
      <c r="I12" s="774"/>
      <c r="J12" s="213">
        <f>+'1'!J12</f>
        <v>0</v>
      </c>
      <c r="K12" s="238"/>
      <c r="L12" s="238"/>
      <c r="M12" s="116">
        <f>+K12+'1'!M12+L12</f>
        <v>0</v>
      </c>
    </row>
    <row r="13" spans="1:26" ht="13.5" thickBot="1">
      <c r="A13" s="771"/>
      <c r="B13" s="214"/>
      <c r="C13" s="215"/>
      <c r="D13" s="215"/>
      <c r="E13" s="218"/>
      <c r="F13" s="227"/>
      <c r="G13" s="231"/>
      <c r="H13" s="232"/>
      <c r="I13" s="775"/>
      <c r="J13" s="213">
        <f>+'1'!J13</f>
        <v>0</v>
      </c>
      <c r="K13" s="238"/>
      <c r="L13" s="238"/>
      <c r="M13" s="116">
        <f>+K13+'1'!M13+L13</f>
        <v>0</v>
      </c>
      <c r="Q13" s="175">
        <f>SUM(Q5:Q12)</f>
        <v>480</v>
      </c>
      <c r="R13" s="175">
        <f>SUM(R5:R12)</f>
        <v>560170</v>
      </c>
      <c r="S13" s="175">
        <f>SUM(S5:S12)</f>
        <v>419633</v>
      </c>
    </row>
    <row r="14" spans="1:26" ht="13.5" thickBot="1">
      <c r="A14" s="772"/>
      <c r="B14" s="164" t="s">
        <v>2</v>
      </c>
      <c r="C14" s="98">
        <f>SUM(C7:C13)</f>
        <v>14836</v>
      </c>
      <c r="D14" s="110">
        <f>SUM(D7:D13)</f>
        <v>0</v>
      </c>
      <c r="E14" s="111">
        <f>SUM(E5:E13)</f>
        <v>0</v>
      </c>
      <c r="F14" s="115">
        <f>SUM(F7:F13)</f>
        <v>33</v>
      </c>
      <c r="G14" s="158"/>
      <c r="H14" s="165"/>
      <c r="I14" s="166"/>
      <c r="J14" s="213">
        <f>+'1'!J14</f>
        <v>0</v>
      </c>
      <c r="K14" s="238"/>
      <c r="L14" s="238"/>
      <c r="M14" s="116">
        <f>+K14+'1'!M14+L14</f>
        <v>0</v>
      </c>
      <c r="Q14" s="148">
        <f>480-Q13</f>
        <v>0</v>
      </c>
      <c r="R14" s="175">
        <f>+R13/Q13</f>
        <v>1167.0208333333333</v>
      </c>
      <c r="S14" s="175">
        <f>+S13/Q13</f>
        <v>874.23541666666665</v>
      </c>
    </row>
    <row r="15" spans="1:26" ht="13.5" customHeight="1" thickBot="1">
      <c r="A15" s="770" t="s">
        <v>390</v>
      </c>
      <c r="B15" s="164"/>
      <c r="C15" s="112">
        <f>C14/($C$23+$D$23+$E$23)</f>
        <v>0.89448932834921013</v>
      </c>
      <c r="D15" s="113">
        <f>D14/($C$23+$D$23+$E$23)</f>
        <v>0</v>
      </c>
      <c r="E15" s="114">
        <f>E14/($C$23+$D$23+$E$23)</f>
        <v>0</v>
      </c>
      <c r="F15" s="227">
        <v>9</v>
      </c>
      <c r="G15" s="228" t="s">
        <v>12</v>
      </c>
      <c r="H15" s="229" t="s">
        <v>412</v>
      </c>
      <c r="I15" s="773" t="s">
        <v>430</v>
      </c>
      <c r="J15" s="213">
        <f>+'1'!J15</f>
        <v>0</v>
      </c>
      <c r="K15" s="238"/>
      <c r="L15" s="238"/>
      <c r="M15" s="116">
        <f>+K15+'1'!M15+L15</f>
        <v>0</v>
      </c>
      <c r="N15" s="148" t="s">
        <v>429</v>
      </c>
      <c r="O15" s="148">
        <v>1200</v>
      </c>
      <c r="P15" s="148">
        <f>+O15-(O15*0.25)</f>
        <v>900</v>
      </c>
      <c r="Q15" s="148">
        <v>480</v>
      </c>
      <c r="R15" s="148">
        <f t="shared" ref="R15:R16" si="3">+O15*Q15</f>
        <v>576000</v>
      </c>
      <c r="S15" s="148">
        <f t="shared" ref="S15:S16" si="4">+P15*Q15</f>
        <v>432000</v>
      </c>
      <c r="U15" s="148" t="s">
        <v>429</v>
      </c>
      <c r="V15" s="148">
        <v>1200</v>
      </c>
      <c r="W15" s="148">
        <f>+V15-(V15*0.25)</f>
        <v>900</v>
      </c>
      <c r="X15" s="148">
        <v>480</v>
      </c>
      <c r="Y15" s="148">
        <f t="shared" ref="Y15:Y17" si="5">+V15*X15</f>
        <v>576000</v>
      </c>
      <c r="Z15" s="148">
        <f t="shared" ref="Z15:Z17" si="6">+W15*X15</f>
        <v>432000</v>
      </c>
    </row>
    <row r="16" spans="1:26" ht="13.5" thickBot="1">
      <c r="A16" s="776"/>
      <c r="B16" s="214" t="s">
        <v>440</v>
      </c>
      <c r="C16" s="221">
        <f>1526+1784</f>
        <v>3310</v>
      </c>
      <c r="D16" s="222"/>
      <c r="E16" s="223"/>
      <c r="F16" s="230"/>
      <c r="G16" s="231" t="s">
        <v>12</v>
      </c>
      <c r="H16" s="229" t="s">
        <v>283</v>
      </c>
      <c r="I16" s="774"/>
      <c r="J16" s="213">
        <f>+'1'!J16</f>
        <v>0</v>
      </c>
      <c r="K16" s="228"/>
      <c r="L16" s="228"/>
      <c r="M16" s="116">
        <f>+K16+'1'!M16+L16</f>
        <v>0</v>
      </c>
      <c r="N16" s="148" t="s">
        <v>429</v>
      </c>
      <c r="O16" s="148">
        <v>1200</v>
      </c>
      <c r="P16" s="148">
        <f>+O16-(O16*0.25)</f>
        <v>900</v>
      </c>
      <c r="Q16" s="148">
        <v>480</v>
      </c>
      <c r="R16" s="148">
        <f t="shared" si="3"/>
        <v>576000</v>
      </c>
      <c r="S16" s="148">
        <f t="shared" si="4"/>
        <v>432000</v>
      </c>
      <c r="U16" s="148" t="s">
        <v>429</v>
      </c>
      <c r="V16" s="148">
        <v>1200</v>
      </c>
      <c r="W16" s="148">
        <f>+V16-(V16*0.25)</f>
        <v>900</v>
      </c>
      <c r="X16" s="148">
        <v>480</v>
      </c>
      <c r="Y16" s="148">
        <f t="shared" si="5"/>
        <v>576000</v>
      </c>
      <c r="Z16" s="148">
        <f t="shared" si="6"/>
        <v>432000</v>
      </c>
    </row>
    <row r="17" spans="1:26" ht="13.5" thickBot="1">
      <c r="A17" s="776"/>
      <c r="B17" s="214" t="s">
        <v>441</v>
      </c>
      <c r="C17" s="215">
        <v>13276</v>
      </c>
      <c r="D17" s="216"/>
      <c r="E17" s="224"/>
      <c r="F17" s="227">
        <f>23-9</f>
        <v>14</v>
      </c>
      <c r="G17" s="231" t="s">
        <v>12</v>
      </c>
      <c r="H17" s="232" t="s">
        <v>411</v>
      </c>
      <c r="I17" s="774"/>
      <c r="J17" s="213">
        <f>+'1'!J17</f>
        <v>0</v>
      </c>
      <c r="K17" s="228"/>
      <c r="L17" s="228"/>
      <c r="M17" s="116">
        <f>+K17+'1'!M17+L17</f>
        <v>0</v>
      </c>
      <c r="U17" s="148" t="s">
        <v>429</v>
      </c>
      <c r="V17" s="148">
        <v>1140</v>
      </c>
      <c r="W17" s="148">
        <v>855</v>
      </c>
      <c r="X17" s="148">
        <v>228</v>
      </c>
      <c r="Y17" s="148">
        <f t="shared" si="5"/>
        <v>259920</v>
      </c>
      <c r="Z17" s="148">
        <f t="shared" si="6"/>
        <v>194940</v>
      </c>
    </row>
    <row r="18" spans="1:26" ht="26.25" thickBot="1">
      <c r="A18" s="776"/>
      <c r="B18" s="214"/>
      <c r="C18" s="215"/>
      <c r="D18" s="216"/>
      <c r="E18" s="224"/>
      <c r="F18" s="227"/>
      <c r="G18" s="236" t="s">
        <v>13</v>
      </c>
      <c r="H18" s="232" t="s">
        <v>425</v>
      </c>
      <c r="I18" s="774"/>
      <c r="J18" s="213">
        <f>+'1'!J18</f>
        <v>0</v>
      </c>
      <c r="K18" s="238"/>
      <c r="L18" s="238"/>
      <c r="M18" s="116">
        <f>+K18+'1'!M18+L18</f>
        <v>0</v>
      </c>
    </row>
    <row r="19" spans="1:26" ht="13.5" thickBot="1">
      <c r="A19" s="776"/>
      <c r="B19" s="214"/>
      <c r="C19" s="215"/>
      <c r="D19" s="216"/>
      <c r="E19" s="224"/>
      <c r="F19" s="234"/>
      <c r="G19" s="231"/>
      <c r="H19" s="232"/>
      <c r="I19" s="774"/>
      <c r="J19" s="213">
        <f>+'1'!J19</f>
        <v>0</v>
      </c>
      <c r="K19" s="238"/>
      <c r="L19" s="238"/>
      <c r="M19" s="116">
        <f>+K19+'1'!M19+L19</f>
        <v>0</v>
      </c>
    </row>
    <row r="20" spans="1:26" ht="13.5" thickBot="1">
      <c r="A20" s="776"/>
      <c r="B20" s="214"/>
      <c r="C20" s="215"/>
      <c r="D20" s="216"/>
      <c r="E20" s="224"/>
      <c r="F20" s="227"/>
      <c r="G20" s="231"/>
      <c r="H20" s="232"/>
      <c r="I20" s="774"/>
      <c r="J20" s="213">
        <f>+'1'!J20</f>
        <v>0</v>
      </c>
      <c r="K20" s="239"/>
      <c r="L20" s="239"/>
      <c r="M20" s="116">
        <f>+K20+'1'!M20+L20</f>
        <v>0</v>
      </c>
    </row>
    <row r="21" spans="1:26" ht="13.5" thickBot="1">
      <c r="A21" s="776"/>
      <c r="B21" s="214"/>
      <c r="C21" s="215"/>
      <c r="D21" s="216"/>
      <c r="E21" s="224"/>
      <c r="F21" s="230"/>
      <c r="G21" s="231"/>
      <c r="H21" s="232"/>
      <c r="I21" s="774"/>
      <c r="J21" s="213">
        <f>+'1'!J21</f>
        <v>0</v>
      </c>
      <c r="K21" s="238"/>
      <c r="L21" s="238"/>
      <c r="M21" s="116">
        <f>+K21+'1'!M21+L21</f>
        <v>0</v>
      </c>
    </row>
    <row r="22" spans="1:26" ht="13.5" thickBot="1">
      <c r="A22" s="776"/>
      <c r="B22" s="214"/>
      <c r="C22" s="215"/>
      <c r="D22" s="216"/>
      <c r="E22" s="224"/>
      <c r="F22" s="235"/>
      <c r="G22" s="231"/>
      <c r="H22" s="232"/>
      <c r="I22" s="775"/>
      <c r="J22" s="213">
        <f>+'1'!J22</f>
        <v>0</v>
      </c>
      <c r="K22" s="238"/>
      <c r="L22" s="238"/>
      <c r="M22" s="116">
        <f>+K22+'1'!M22+L22</f>
        <v>0</v>
      </c>
      <c r="Q22" s="175">
        <f>SUM(Q14:Q21)</f>
        <v>960</v>
      </c>
      <c r="R22" s="175">
        <f>SUM(R14:R21)</f>
        <v>1153167.0208333335</v>
      </c>
      <c r="S22" s="175">
        <f>SUM(S14:S21)</f>
        <v>864874.2354166666</v>
      </c>
      <c r="X22" s="175">
        <f>SUM(X14:X21)</f>
        <v>1188</v>
      </c>
      <c r="Y22" s="175">
        <f>SUM(Y14:Y21)</f>
        <v>1411920</v>
      </c>
      <c r="Z22" s="175">
        <f>SUM(Z14:Z21)</f>
        <v>1058940</v>
      </c>
    </row>
    <row r="23" spans="1:26" ht="13.5" thickBot="1">
      <c r="A23" s="777"/>
      <c r="B23" s="167" t="s">
        <v>2</v>
      </c>
      <c r="C23" s="99">
        <f>SUM(C16:C22)</f>
        <v>16586</v>
      </c>
      <c r="D23" s="110">
        <f>SUM(D16:D22)</f>
        <v>0</v>
      </c>
      <c r="E23" s="111">
        <f>SUM(E18:E22)</f>
        <v>0</v>
      </c>
      <c r="F23" s="115">
        <f>SUM(F15:F22)</f>
        <v>23</v>
      </c>
      <c r="G23" s="158"/>
      <c r="H23" s="165"/>
      <c r="I23" s="168"/>
      <c r="J23" s="213">
        <f>+'1'!J23</f>
        <v>0</v>
      </c>
      <c r="K23" s="238"/>
      <c r="L23" s="238"/>
      <c r="M23" s="116">
        <f>+K23+'1'!M23+L23</f>
        <v>0</v>
      </c>
      <c r="Q23" s="148">
        <f>480-Q22</f>
        <v>-480</v>
      </c>
      <c r="R23" s="175">
        <f>+R22/Q22</f>
        <v>1201.215646701389</v>
      </c>
      <c r="S23" s="175">
        <f>+S22/Q22</f>
        <v>900.91066189236108</v>
      </c>
      <c r="X23" s="148">
        <f>480-X22</f>
        <v>-708</v>
      </c>
      <c r="Y23" s="175">
        <f>+Y22/X22</f>
        <v>1188.4848484848485</v>
      </c>
      <c r="Z23" s="175">
        <f>+Z22/X22</f>
        <v>891.36363636363637</v>
      </c>
    </row>
    <row r="24" spans="1:26" ht="13.5" customHeight="1" thickBot="1">
      <c r="A24" s="770" t="s">
        <v>391</v>
      </c>
      <c r="B24" s="169"/>
      <c r="C24" s="112">
        <f>C23/($C$23+$D$23+$E$23)</f>
        <v>1</v>
      </c>
      <c r="D24" s="113">
        <f>D23/($C$23+$D$23+$E$23)</f>
        <v>0</v>
      </c>
      <c r="E24" s="114">
        <f>E23/($C$23+$D$23+$E$23)</f>
        <v>0</v>
      </c>
      <c r="F24" s="227"/>
      <c r="G24" s="228" t="s">
        <v>12</v>
      </c>
      <c r="H24" s="229" t="s">
        <v>384</v>
      </c>
      <c r="I24" s="773" t="s">
        <v>430</v>
      </c>
      <c r="J24" s="213">
        <f>+'1'!J24</f>
        <v>0</v>
      </c>
      <c r="K24" s="238"/>
      <c r="L24" s="238"/>
      <c r="M24" s="116">
        <f>+K24+'1'!M24+L24</f>
        <v>0</v>
      </c>
    </row>
    <row r="25" spans="1:26" ht="13.5" thickBot="1">
      <c r="A25" s="776"/>
      <c r="B25" s="214" t="s">
        <v>441</v>
      </c>
      <c r="C25" s="225">
        <v>17042</v>
      </c>
      <c r="D25" s="216"/>
      <c r="E25" s="224"/>
      <c r="F25" s="230">
        <v>2</v>
      </c>
      <c r="G25" s="231" t="s">
        <v>12</v>
      </c>
      <c r="H25" s="229" t="s">
        <v>414</v>
      </c>
      <c r="I25" s="774"/>
      <c r="J25" s="213">
        <f>+'1'!J25</f>
        <v>0</v>
      </c>
      <c r="K25" s="238"/>
      <c r="L25" s="238"/>
      <c r="M25" s="116">
        <f>+K25+'1'!M25+L25</f>
        <v>0</v>
      </c>
    </row>
    <row r="26" spans="1:26" ht="13.5" thickBot="1">
      <c r="A26" s="776"/>
      <c r="B26" s="214"/>
      <c r="C26" s="225"/>
      <c r="D26" s="216"/>
      <c r="E26" s="226"/>
      <c r="F26" s="227">
        <v>12</v>
      </c>
      <c r="G26" s="231" t="s">
        <v>12</v>
      </c>
      <c r="H26" s="232" t="s">
        <v>411</v>
      </c>
      <c r="I26" s="774"/>
      <c r="J26" s="213">
        <f>+'1'!J26</f>
        <v>0</v>
      </c>
      <c r="K26" s="238"/>
      <c r="L26" s="238"/>
      <c r="M26" s="116">
        <f>+K26+'1'!M26+L26</f>
        <v>0</v>
      </c>
    </row>
    <row r="27" spans="1:26" ht="26.25" thickBot="1">
      <c r="A27" s="776"/>
      <c r="B27" s="214"/>
      <c r="C27" s="215"/>
      <c r="D27" s="216"/>
      <c r="E27" s="224"/>
      <c r="F27" s="227"/>
      <c r="G27" s="236" t="s">
        <v>13</v>
      </c>
      <c r="H27" s="232" t="s">
        <v>424</v>
      </c>
      <c r="I27" s="774"/>
      <c r="J27" s="213">
        <f>+'1'!J27</f>
        <v>0</v>
      </c>
      <c r="K27" s="238"/>
      <c r="L27" s="238"/>
      <c r="M27" s="116">
        <f>+K27+'1'!M27+L27</f>
        <v>0</v>
      </c>
    </row>
    <row r="28" spans="1:26" ht="13.5" thickBot="1">
      <c r="A28" s="776"/>
      <c r="B28" s="214"/>
      <c r="C28" s="215"/>
      <c r="D28" s="216"/>
      <c r="E28" s="224"/>
      <c r="F28" s="230"/>
      <c r="G28" s="231"/>
      <c r="H28" s="232"/>
      <c r="I28" s="774"/>
      <c r="J28" s="213">
        <f>+'1'!J28</f>
        <v>0</v>
      </c>
      <c r="K28" s="238"/>
      <c r="L28" s="238"/>
      <c r="M28" s="116">
        <f>+K28+'1'!M28+L28</f>
        <v>0</v>
      </c>
    </row>
    <row r="29" spans="1:26" ht="13.5" thickBot="1">
      <c r="A29" s="776"/>
      <c r="B29" s="214"/>
      <c r="C29" s="215"/>
      <c r="D29" s="216"/>
      <c r="E29" s="224"/>
      <c r="F29" s="235"/>
      <c r="G29" s="231"/>
      <c r="H29" s="232"/>
      <c r="I29" s="774"/>
      <c r="J29" s="213">
        <f>+'1'!J29</f>
        <v>0</v>
      </c>
      <c r="K29" s="238"/>
      <c r="L29" s="238"/>
      <c r="M29" s="116">
        <f>+K29+'1'!M29+L29</f>
        <v>0</v>
      </c>
    </row>
    <row r="30" spans="1:26" ht="13.5" thickBot="1">
      <c r="A30" s="776"/>
      <c r="B30" s="214"/>
      <c r="C30" s="225"/>
      <c r="D30" s="216"/>
      <c r="E30" s="224"/>
      <c r="F30" s="235"/>
      <c r="G30" s="231"/>
      <c r="H30" s="232"/>
      <c r="I30" s="774"/>
      <c r="J30" s="213">
        <f>+'1'!J30</f>
        <v>0</v>
      </c>
      <c r="K30" s="238"/>
      <c r="L30" s="238"/>
      <c r="M30" s="116">
        <f>+K30+'1'!M30+L30</f>
        <v>0</v>
      </c>
    </row>
    <row r="31" spans="1:26" ht="13.5" thickBot="1">
      <c r="A31" s="776"/>
      <c r="B31" s="214"/>
      <c r="C31" s="225"/>
      <c r="D31" s="216"/>
      <c r="E31" s="224"/>
      <c r="F31" s="235"/>
      <c r="G31" s="236"/>
      <c r="H31" s="443"/>
      <c r="I31" s="775"/>
      <c r="J31" s="213">
        <f>+'1'!J31</f>
        <v>0</v>
      </c>
      <c r="K31" s="238"/>
      <c r="L31" s="238"/>
      <c r="M31" s="116">
        <f>+K31+'1'!M31+L31</f>
        <v>0</v>
      </c>
    </row>
    <row r="32" spans="1:26" ht="13.5" thickBot="1">
      <c r="A32" s="777"/>
      <c r="B32" s="164" t="s">
        <v>2</v>
      </c>
      <c r="C32" s="98">
        <f>SUM(C25:C31)</f>
        <v>17042</v>
      </c>
      <c r="D32" s="99">
        <f>SUM(D25:D31)</f>
        <v>0</v>
      </c>
      <c r="E32" s="100">
        <f>SUM(E25:E31)</f>
        <v>0</v>
      </c>
      <c r="F32" s="101">
        <f>SUM(F24:F31)</f>
        <v>14</v>
      </c>
      <c r="G32" s="170"/>
      <c r="H32" s="171"/>
      <c r="I32" s="168"/>
      <c r="J32" s="213">
        <f>+'1'!J32</f>
        <v>0</v>
      </c>
      <c r="K32" s="240"/>
      <c r="L32" s="242"/>
      <c r="M32" s="116">
        <f>+K32+'1'!M32+L32</f>
        <v>0</v>
      </c>
      <c r="O32" s="148" t="s">
        <v>388</v>
      </c>
      <c r="P32" s="175">
        <v>1200</v>
      </c>
      <c r="Q32" s="175">
        <v>900</v>
      </c>
      <c r="R32" s="175">
        <v>209</v>
      </c>
    </row>
    <row r="33" spans="1:18" ht="13.5" thickBot="1">
      <c r="A33" s="172"/>
      <c r="B33" s="173"/>
      <c r="C33" s="102">
        <f>C32/($C$32+$D$32+$E$32)</f>
        <v>1</v>
      </c>
      <c r="D33" s="103">
        <f>D32/($C$32+$D$32+$E$32)</f>
        <v>0</v>
      </c>
      <c r="E33" s="104">
        <f>E32/($C$32+$D$32+$E$32)</f>
        <v>0</v>
      </c>
      <c r="F33" s="105"/>
      <c r="G33" s="174"/>
      <c r="H33" s="175"/>
      <c r="I33" s="176"/>
      <c r="J33" s="120"/>
      <c r="K33" s="121"/>
      <c r="L33" s="212"/>
      <c r="M33" s="118"/>
      <c r="O33" s="148" t="s">
        <v>428</v>
      </c>
      <c r="P33" s="148">
        <v>1150</v>
      </c>
      <c r="Q33" s="175">
        <v>851</v>
      </c>
      <c r="R33" s="175">
        <v>43</v>
      </c>
    </row>
    <row r="34" spans="1:18" ht="13.5" thickBot="1">
      <c r="A34" s="766" t="s">
        <v>57</v>
      </c>
      <c r="B34" s="767"/>
      <c r="C34" s="106">
        <f>C14+C23+C32</f>
        <v>48464</v>
      </c>
      <c r="D34" s="106">
        <f>D14+D23+D32</f>
        <v>0</v>
      </c>
      <c r="E34" s="106">
        <f>E14+E23+E32</f>
        <v>0</v>
      </c>
      <c r="F34" s="107">
        <f>F14+F23+F32</f>
        <v>70</v>
      </c>
      <c r="H34" s="177"/>
      <c r="I34" s="177"/>
      <c r="J34" s="122" t="s">
        <v>28</v>
      </c>
      <c r="K34" s="123">
        <f>SUM(K7:K32)</f>
        <v>48464</v>
      </c>
      <c r="L34" s="211">
        <f>SUM(L7:L32)</f>
        <v>0</v>
      </c>
      <c r="M34" s="119">
        <f>SUM(M7:M32)</f>
        <v>85370</v>
      </c>
      <c r="O34" s="148" t="s">
        <v>429</v>
      </c>
      <c r="P34" s="148">
        <v>1188.4848484848485</v>
      </c>
      <c r="Q34" s="148">
        <v>891.36363636363637</v>
      </c>
      <c r="R34" s="148">
        <v>1188</v>
      </c>
    </row>
    <row r="35" spans="1:18" ht="13.5" thickBot="1">
      <c r="A35" s="178"/>
      <c r="B35" s="179"/>
      <c r="C35" s="103">
        <f>C34/($C$34+$D$34+$E$34)</f>
        <v>1</v>
      </c>
      <c r="D35" s="103">
        <f>D34/($C$34+$D$34+$E$34)</f>
        <v>0</v>
      </c>
      <c r="E35" s="108">
        <f>E34/($C$34+$D$34+$E$34)</f>
        <v>0</v>
      </c>
      <c r="K35" s="154"/>
      <c r="R35" s="148">
        <f>SUM(R32:R34)</f>
        <v>1440</v>
      </c>
    </row>
    <row r="36" spans="1:18" ht="13.5" thickBot="1">
      <c r="A36" s="177"/>
      <c r="B36" s="177"/>
      <c r="C36" s="154"/>
      <c r="D36" s="154"/>
      <c r="E36" s="154"/>
      <c r="G36" s="154"/>
      <c r="H36" s="180"/>
      <c r="I36" s="161" t="s">
        <v>37</v>
      </c>
      <c r="J36" s="161" t="s">
        <v>38</v>
      </c>
      <c r="K36" s="181"/>
    </row>
    <row r="37" spans="1:18" ht="17.45" customHeight="1" thickBot="1">
      <c r="A37" s="768" t="s">
        <v>58</v>
      </c>
      <c r="B37" s="769"/>
      <c r="C37" s="161" t="s">
        <v>59</v>
      </c>
      <c r="D37" s="182" t="s">
        <v>60</v>
      </c>
      <c r="E37" s="183" t="s">
        <v>61</v>
      </c>
      <c r="F37" s="321"/>
      <c r="G37" s="323"/>
      <c r="H37" s="185" t="s">
        <v>62</v>
      </c>
      <c r="I37" s="243">
        <f>(12*209+14*43+16*1188)/1440*G42*2.74*1440/1000000</f>
        <v>54.022514903861122</v>
      </c>
      <c r="J37" s="124">
        <f>+I37+'1'!J37</f>
        <v>95.357113703861117</v>
      </c>
      <c r="K37" s="125" t="s">
        <v>63</v>
      </c>
    </row>
    <row r="38" spans="1:18" ht="17.45" customHeight="1">
      <c r="A38" s="760" t="s">
        <v>12</v>
      </c>
      <c r="B38" s="761"/>
      <c r="C38" s="163">
        <f>SUMIF($G$7:$G$31,"Process",$F$7:$F$31)</f>
        <v>70</v>
      </c>
      <c r="D38" s="117">
        <f>+C38+'1'!D38</f>
        <v>155</v>
      </c>
      <c r="E38" s="142">
        <f t="shared" ref="E38:E51" si="7">D38/60</f>
        <v>2.5833333333333335</v>
      </c>
      <c r="F38" s="321">
        <v>1167.0208333333333</v>
      </c>
      <c r="G38" s="321">
        <v>874.23541666666665</v>
      </c>
      <c r="H38" s="186" t="s">
        <v>64</v>
      </c>
      <c r="I38" s="244">
        <f>13.83+15.554+16.953</f>
        <v>46.337000000000003</v>
      </c>
      <c r="J38" s="126">
        <f>+I38+'1'!J38</f>
        <v>82.722000000000008</v>
      </c>
      <c r="K38" s="127" t="s">
        <v>63</v>
      </c>
    </row>
    <row r="39" spans="1:18" ht="17.45" customHeight="1">
      <c r="A39" s="764" t="s">
        <v>13</v>
      </c>
      <c r="B39" s="765"/>
      <c r="C39" s="163">
        <f>SUMIF($G$7:$G$31,"Cleaning",$F$7:$F$31)</f>
        <v>0</v>
      </c>
      <c r="D39" s="117">
        <f>+C39+'1'!D39</f>
        <v>0</v>
      </c>
      <c r="E39" s="142">
        <f t="shared" si="7"/>
        <v>0</v>
      </c>
      <c r="F39" s="321">
        <v>1200</v>
      </c>
      <c r="G39" s="321">
        <v>900</v>
      </c>
      <c r="H39" s="186" t="s">
        <v>65</v>
      </c>
      <c r="I39" s="141"/>
      <c r="J39" s="128">
        <f>J37/G4</f>
        <v>47.678556851930558</v>
      </c>
      <c r="K39" s="129" t="s">
        <v>63</v>
      </c>
    </row>
    <row r="40" spans="1:18" ht="17.45" customHeight="1">
      <c r="A40" s="764" t="s">
        <v>66</v>
      </c>
      <c r="B40" s="765"/>
      <c r="C40" s="163">
        <f>SUMIF($G$7:$G$31,"Mechanical",$F$7:$F$31)</f>
        <v>0</v>
      </c>
      <c r="D40" s="117">
        <f>+C40+'1'!D40</f>
        <v>0</v>
      </c>
      <c r="E40" s="142">
        <f t="shared" si="7"/>
        <v>0</v>
      </c>
      <c r="F40" s="321">
        <v>1200</v>
      </c>
      <c r="G40" s="321">
        <v>900</v>
      </c>
      <c r="H40" s="186" t="s">
        <v>67</v>
      </c>
      <c r="I40" s="117">
        <f>(K34+L34)/1000</f>
        <v>48.463999999999999</v>
      </c>
      <c r="J40" s="130">
        <f>+I40+'1'!J40</f>
        <v>85.37</v>
      </c>
      <c r="K40" s="129" t="s">
        <v>63</v>
      </c>
    </row>
    <row r="41" spans="1:18" ht="17.45" customHeight="1">
      <c r="A41" s="764" t="s">
        <v>68</v>
      </c>
      <c r="B41" s="765"/>
      <c r="C41" s="163">
        <f>SUMIF($G$7:$G$31,"Electrical",$F$7:$F$31)</f>
        <v>0</v>
      </c>
      <c r="D41" s="117">
        <f>+C41+'1'!D41</f>
        <v>0</v>
      </c>
      <c r="E41" s="142">
        <f t="shared" si="7"/>
        <v>0</v>
      </c>
      <c r="F41" s="321"/>
      <c r="G41" s="321"/>
      <c r="H41" s="186" t="s">
        <v>69</v>
      </c>
      <c r="I41" s="141"/>
      <c r="J41" s="128">
        <f>J40/G4</f>
        <v>42.685000000000002</v>
      </c>
      <c r="K41" s="129" t="s">
        <v>63</v>
      </c>
    </row>
    <row r="42" spans="1:18" ht="17.45" customHeight="1">
      <c r="A42" s="764" t="s">
        <v>16</v>
      </c>
      <c r="B42" s="765"/>
      <c r="C42" s="163">
        <f>SUMIF($G$7:$G$31,"Instrument",$F$7:$F$31)</f>
        <v>0</v>
      </c>
      <c r="D42" s="117">
        <f>+C42+'1'!D42</f>
        <v>0</v>
      </c>
      <c r="E42" s="142">
        <f t="shared" si="7"/>
        <v>0</v>
      </c>
      <c r="F42" s="321">
        <f>+(480*F38+480*F39+480*F40)/1440</f>
        <v>1189.0069444444443</v>
      </c>
      <c r="G42" s="321">
        <f>+(480*G38+480*G39+480*G40)/1440</f>
        <v>891.41180555555559</v>
      </c>
      <c r="H42" s="186" t="s">
        <v>70</v>
      </c>
      <c r="I42" s="245" t="s">
        <v>432</v>
      </c>
      <c r="J42" s="131"/>
      <c r="K42" s="129" t="s">
        <v>71</v>
      </c>
    </row>
    <row r="43" spans="1:18" ht="17.45" customHeight="1">
      <c r="A43" s="764" t="s">
        <v>72</v>
      </c>
      <c r="B43" s="765"/>
      <c r="C43" s="163">
        <f>SUMIF($G$7:$G$31,"Water",$F$7:$F$31)</f>
        <v>0</v>
      </c>
      <c r="D43" s="117">
        <f>+C43+'1'!D43</f>
        <v>0</v>
      </c>
      <c r="E43" s="142">
        <f t="shared" si="7"/>
        <v>0</v>
      </c>
      <c r="F43" s="321"/>
      <c r="G43" s="322"/>
      <c r="H43" s="187" t="s">
        <v>73</v>
      </c>
      <c r="I43" s="117">
        <f>+Report1!Z10</f>
        <v>54.3</v>
      </c>
      <c r="J43" s="132">
        <f>+I43+'1'!J43</f>
        <v>101.5</v>
      </c>
      <c r="K43" s="129" t="s">
        <v>63</v>
      </c>
      <c r="L43" s="188"/>
    </row>
    <row r="44" spans="1:18" ht="17.45" customHeight="1">
      <c r="A44" s="764" t="s">
        <v>17</v>
      </c>
      <c r="B44" s="765"/>
      <c r="C44" s="163">
        <f>SUMIF($G$7:$G$31,"PLN",$F$7:$F$31)</f>
        <v>0</v>
      </c>
      <c r="D44" s="117">
        <f>+C44+'1'!D44</f>
        <v>0</v>
      </c>
      <c r="E44" s="142">
        <f t="shared" si="7"/>
        <v>0</v>
      </c>
      <c r="F44" s="321"/>
      <c r="G44" s="322"/>
      <c r="H44" s="187" t="s">
        <v>74</v>
      </c>
      <c r="I44" s="117">
        <f>I43/I38</f>
        <v>1.1718497097352008</v>
      </c>
      <c r="J44" s="133">
        <f>J43/J38</f>
        <v>1.2270012814003528</v>
      </c>
      <c r="K44" s="129" t="s">
        <v>63</v>
      </c>
    </row>
    <row r="45" spans="1:18" ht="17.45" customHeight="1">
      <c r="A45" s="764" t="s">
        <v>18</v>
      </c>
      <c r="B45" s="765"/>
      <c r="C45" s="163">
        <f>SUMIF($G$7:$G$31,"Boiler",$F$7:$F$31)</f>
        <v>0</v>
      </c>
      <c r="D45" s="117">
        <f>+C45+'1'!D45</f>
        <v>0</v>
      </c>
      <c r="E45" s="142">
        <f t="shared" si="7"/>
        <v>0</v>
      </c>
      <c r="F45" s="321"/>
      <c r="G45" s="324"/>
      <c r="H45" s="187" t="s">
        <v>75</v>
      </c>
      <c r="I45" s="117">
        <f>I43/I40</f>
        <v>1.1204192802905248</v>
      </c>
      <c r="J45" s="133">
        <f>J43/J40</f>
        <v>1.1889422513763617</v>
      </c>
      <c r="K45" s="129" t="s">
        <v>63</v>
      </c>
    </row>
    <row r="46" spans="1:18" ht="17.45" customHeight="1">
      <c r="A46" s="764" t="s">
        <v>76</v>
      </c>
      <c r="B46" s="765"/>
      <c r="C46" s="163">
        <f>SUMIF($G$7:$G$31,"Gas",$F$7:$F$31)</f>
        <v>0</v>
      </c>
      <c r="D46" s="117">
        <f>+C46+'1'!D46</f>
        <v>0</v>
      </c>
      <c r="E46" s="142">
        <f t="shared" si="7"/>
        <v>0</v>
      </c>
      <c r="F46" s="321"/>
      <c r="G46" s="322"/>
      <c r="H46" s="187" t="s">
        <v>77</v>
      </c>
      <c r="I46" s="139">
        <f>+SUMIF(Listrik!P9,"&gt;0")</f>
        <v>34471.700000001088</v>
      </c>
      <c r="J46" s="134">
        <f>+I46+'1'!J46</f>
        <v>71002.600000001083</v>
      </c>
      <c r="K46" s="129" t="s">
        <v>78</v>
      </c>
    </row>
    <row r="47" spans="1:18" ht="17.45" customHeight="1">
      <c r="A47" s="764" t="s">
        <v>79</v>
      </c>
      <c r="B47" s="765"/>
      <c r="C47" s="163">
        <f>SUMIF($G$7:$G$31,"Gas",$F$7:$F$31)</f>
        <v>0</v>
      </c>
      <c r="D47" s="117">
        <f>+C47+'1'!D47</f>
        <v>0</v>
      </c>
      <c r="E47" s="142">
        <f t="shared" si="7"/>
        <v>0</v>
      </c>
      <c r="F47" s="321"/>
      <c r="G47" s="322"/>
      <c r="H47" s="187" t="s">
        <v>80</v>
      </c>
      <c r="I47" s="117">
        <f>I46/I38</f>
        <v>743.93465265341058</v>
      </c>
      <c r="J47" s="134">
        <f>J46/J38</f>
        <v>858.32789342618742</v>
      </c>
      <c r="K47" s="129" t="s">
        <v>24</v>
      </c>
    </row>
    <row r="48" spans="1:18" ht="17.45" customHeight="1">
      <c r="A48" s="764" t="s">
        <v>14</v>
      </c>
      <c r="B48" s="765"/>
      <c r="C48" s="163">
        <f>SUMIF($G$7:$G$31,"Start Up",$F$7:$F$31)</f>
        <v>0</v>
      </c>
      <c r="D48" s="117">
        <f>+C48+'1'!D48</f>
        <v>0</v>
      </c>
      <c r="E48" s="142">
        <f t="shared" si="7"/>
        <v>0</v>
      </c>
      <c r="F48" s="321"/>
      <c r="G48" s="322"/>
      <c r="H48" s="187" t="s">
        <v>81</v>
      </c>
      <c r="I48" s="117">
        <f>I46/I40</f>
        <v>711.284664905932</v>
      </c>
      <c r="J48" s="134">
        <f>J46/J40</f>
        <v>831.70434578893151</v>
      </c>
      <c r="K48" s="129" t="s">
        <v>24</v>
      </c>
    </row>
    <row r="49" spans="1:11" ht="17.45" customHeight="1">
      <c r="A49" s="764" t="s">
        <v>20</v>
      </c>
      <c r="B49" s="765"/>
      <c r="C49" s="163">
        <f>SUMIF($G$7:$G$31,"Others",$F$7:$F$31)</f>
        <v>0</v>
      </c>
      <c r="D49" s="117">
        <f>+C49+'1'!D49</f>
        <v>0</v>
      </c>
      <c r="E49" s="142">
        <f t="shared" si="7"/>
        <v>0</v>
      </c>
      <c r="F49" s="184"/>
      <c r="H49" s="187" t="s">
        <v>267</v>
      </c>
      <c r="I49" s="117">
        <f>+Report1!T10</f>
        <v>4967.2757501896658</v>
      </c>
      <c r="J49" s="134">
        <f>+I49+'1'!J49</f>
        <v>9513.384445355372</v>
      </c>
      <c r="K49" s="129" t="s">
        <v>82</v>
      </c>
    </row>
    <row r="50" spans="1:11" ht="17.45" customHeight="1">
      <c r="A50" s="764" t="s">
        <v>19</v>
      </c>
      <c r="B50" s="765"/>
      <c r="C50" s="163">
        <f>SUMIF($G$7:$G$31,"Steam",$F$7:$F$31)</f>
        <v>0</v>
      </c>
      <c r="D50" s="117">
        <f>+C50+'1'!D50</f>
        <v>0</v>
      </c>
      <c r="E50" s="142">
        <f t="shared" si="7"/>
        <v>0</v>
      </c>
      <c r="F50" s="184"/>
      <c r="H50" s="187" t="s">
        <v>83</v>
      </c>
      <c r="I50" s="139">
        <v>0</v>
      </c>
      <c r="J50" s="132">
        <f>J49/J38</f>
        <v>115.00428477739139</v>
      </c>
      <c r="K50" s="129" t="s">
        <v>82</v>
      </c>
    </row>
    <row r="51" spans="1:11" ht="17.45" customHeight="1" thickBot="1">
      <c r="A51" s="758" t="s">
        <v>84</v>
      </c>
      <c r="B51" s="759"/>
      <c r="C51" s="163">
        <f>SUMIF($G$7:$G$31,"Planned shut",$F$7:$F$31)</f>
        <v>0</v>
      </c>
      <c r="D51" s="117">
        <f>+C51+'1'!D51</f>
        <v>0</v>
      </c>
      <c r="E51" s="142">
        <f t="shared" si="7"/>
        <v>0</v>
      </c>
      <c r="F51" s="184"/>
      <c r="H51" s="189" t="s">
        <v>85</v>
      </c>
      <c r="I51" s="140">
        <f>I49/I40</f>
        <v>102.49413482563689</v>
      </c>
      <c r="J51" s="135">
        <f>J49/J40</f>
        <v>111.43709084403622</v>
      </c>
      <c r="K51" s="136" t="s">
        <v>82</v>
      </c>
    </row>
    <row r="52" spans="1:11" ht="13.5" thickBot="1">
      <c r="A52" s="760" t="s">
        <v>28</v>
      </c>
      <c r="B52" s="761"/>
      <c r="C52" s="143">
        <f>SUM(C38:C51)</f>
        <v>70</v>
      </c>
      <c r="D52" s="143">
        <f>SUM(D38:D51)</f>
        <v>155</v>
      </c>
      <c r="E52" s="144">
        <f>SUM(E38:E51)</f>
        <v>2.5833333333333335</v>
      </c>
      <c r="F52" s="184"/>
      <c r="H52" s="190"/>
      <c r="I52" s="191"/>
      <c r="J52" s="137"/>
      <c r="K52" s="138"/>
    </row>
    <row r="53" spans="1:11" ht="13.5" thickBot="1">
      <c r="A53" s="762"/>
      <c r="B53" s="763"/>
      <c r="C53" s="145">
        <f>C52/(24*60)</f>
        <v>4.8611111111111112E-2</v>
      </c>
      <c r="D53" s="145">
        <f>D52/(24*60*G4)</f>
        <v>5.3819444444444448E-2</v>
      </c>
      <c r="E53" s="146">
        <f>E52/(G4*24)</f>
        <v>5.3819444444444448E-2</v>
      </c>
      <c r="F53" s="184"/>
    </row>
    <row r="54" spans="1:11">
      <c r="E54" s="192"/>
      <c r="F54" s="184"/>
    </row>
    <row r="55" spans="1:11">
      <c r="E55" s="192"/>
    </row>
    <row r="56" spans="1:11">
      <c r="A56" s="193" t="s">
        <v>86</v>
      </c>
      <c r="B56" s="194"/>
      <c r="C56" s="195"/>
      <c r="D56" s="195"/>
      <c r="E56" s="195"/>
      <c r="F56" s="196"/>
      <c r="G56" s="195"/>
      <c r="H56" s="197"/>
      <c r="I56" s="198" t="s">
        <v>87</v>
      </c>
      <c r="J56" s="199">
        <f>+D34+'1'!J56</f>
        <v>540</v>
      </c>
      <c r="K56" s="200">
        <f>J56/(J40+J56/1000)/1000</f>
        <v>6.2856477709230581E-3</v>
      </c>
    </row>
    <row r="57" spans="1:11">
      <c r="A57" s="175"/>
      <c r="I57" s="198" t="s">
        <v>88</v>
      </c>
      <c r="J57" s="199">
        <f>+E34+'1'!J57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I7:I13"/>
    <mergeCell ref="I15:I22"/>
    <mergeCell ref="A7:A14"/>
    <mergeCell ref="A15:A23"/>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25" zoomScale="80" zoomScaleNormal="75" zoomScaleSheetLayoutView="80" workbookViewId="0">
      <selection activeCell="A7" sqref="A7:A32"/>
    </sheetView>
  </sheetViews>
  <sheetFormatPr defaultColWidth="9.140625" defaultRowHeight="12.75"/>
  <cols>
    <col min="1" max="1" width="8" style="148" customWidth="1"/>
    <col min="2" max="2" width="7" style="148" bestFit="1" customWidth="1"/>
    <col min="3" max="3" width="14.85546875" style="148" bestFit="1" customWidth="1"/>
    <col min="4" max="4" width="12.7109375" style="148" bestFit="1" customWidth="1"/>
    <col min="5" max="5" width="13.85546875" style="148" bestFit="1" customWidth="1"/>
    <col min="6" max="6" width="12.140625" style="109" bestFit="1" customWidth="1"/>
    <col min="7" max="7" width="13.5703125" style="148" customWidth="1"/>
    <col min="8" max="8" width="64.85546875" style="148" customWidth="1"/>
    <col min="9" max="9" width="14.7109375" style="148" bestFit="1" customWidth="1"/>
    <col min="10" max="10" width="14.7109375" style="148" customWidth="1"/>
    <col min="11" max="11" width="14" style="148" bestFit="1" customWidth="1"/>
    <col min="12" max="12" width="8.28515625" style="148" customWidth="1"/>
    <col min="13" max="13" width="14.42578125" style="148" bestFit="1" customWidth="1"/>
    <col min="14" max="16384" width="9.140625" style="148"/>
  </cols>
  <sheetData>
    <row r="1" spans="1:19" ht="15.75">
      <c r="A1" s="147"/>
    </row>
    <row r="2" spans="1:19" ht="15.75">
      <c r="A2" s="147" t="s">
        <v>182</v>
      </c>
    </row>
    <row r="3" spans="1:19" ht="15">
      <c r="A3" s="149"/>
    </row>
    <row r="4" spans="1:19" ht="20.25">
      <c r="A4" s="150" t="s">
        <v>3</v>
      </c>
      <c r="B4" s="151"/>
      <c r="F4" s="152" t="s">
        <v>29</v>
      </c>
      <c r="G4" s="153">
        <v>1</v>
      </c>
      <c r="H4" s="153" t="s">
        <v>400</v>
      </c>
      <c r="J4" s="148">
        <f>6+17+2.2</f>
        <v>25.2</v>
      </c>
    </row>
    <row r="5" spans="1:19" ht="13.5" thickBot="1">
      <c r="C5" s="154"/>
      <c r="D5" s="154"/>
    </row>
    <row r="6" spans="1:19" ht="26.25" thickBot="1">
      <c r="A6" s="155" t="s">
        <v>47</v>
      </c>
      <c r="B6" s="156" t="s">
        <v>9</v>
      </c>
      <c r="C6" s="156" t="s">
        <v>48</v>
      </c>
      <c r="D6" s="156" t="s">
        <v>49</v>
      </c>
      <c r="E6" s="157" t="s">
        <v>50</v>
      </c>
      <c r="F6" s="101" t="s">
        <v>51</v>
      </c>
      <c r="G6" s="156" t="s">
        <v>52</v>
      </c>
      <c r="H6" s="158" t="s">
        <v>53</v>
      </c>
      <c r="I6" s="159" t="s">
        <v>54</v>
      </c>
      <c r="J6" s="160" t="s">
        <v>9</v>
      </c>
      <c r="K6" s="161" t="s">
        <v>55</v>
      </c>
      <c r="L6" s="209" t="s">
        <v>142</v>
      </c>
      <c r="M6" s="162" t="s">
        <v>56</v>
      </c>
      <c r="N6" s="148" t="s">
        <v>388</v>
      </c>
      <c r="O6" s="148">
        <v>1180</v>
      </c>
      <c r="P6" s="148">
        <f>+O6-(O6*0.25)</f>
        <v>885</v>
      </c>
      <c r="Q6" s="148">
        <v>240</v>
      </c>
      <c r="R6" s="148">
        <f t="shared" ref="R6:R8" si="0">+O6*Q6</f>
        <v>283200</v>
      </c>
      <c r="S6" s="148">
        <f t="shared" ref="S6:S8" si="1">+P6*Q6</f>
        <v>212400</v>
      </c>
    </row>
    <row r="7" spans="1:19" ht="13.5" customHeight="1" thickBot="1">
      <c r="A7" s="770" t="s">
        <v>417</v>
      </c>
      <c r="B7" s="214" t="s">
        <v>389</v>
      </c>
      <c r="C7" s="215">
        <v>12258</v>
      </c>
      <c r="D7" s="216">
        <v>540</v>
      </c>
      <c r="E7" s="217"/>
      <c r="F7" s="227">
        <v>9</v>
      </c>
      <c r="G7" s="228" t="s">
        <v>12</v>
      </c>
      <c r="H7" s="229" t="s">
        <v>412</v>
      </c>
      <c r="I7" s="773" t="s">
        <v>409</v>
      </c>
      <c r="J7" s="248" t="s">
        <v>389</v>
      </c>
      <c r="K7" s="237">
        <f>+C34</f>
        <v>36906</v>
      </c>
      <c r="L7" s="241"/>
      <c r="M7" s="116">
        <f>+K7+L7</f>
        <v>36906</v>
      </c>
      <c r="O7" s="148">
        <v>1200</v>
      </c>
      <c r="P7" s="148">
        <f>+O7-(O7*0.25)</f>
        <v>900</v>
      </c>
      <c r="Q7" s="148">
        <v>240</v>
      </c>
      <c r="R7" s="148">
        <f t="shared" si="0"/>
        <v>288000</v>
      </c>
      <c r="S7" s="148">
        <f t="shared" si="1"/>
        <v>216000</v>
      </c>
    </row>
    <row r="8" spans="1:19" ht="13.5" thickBot="1">
      <c r="A8" s="771"/>
      <c r="B8" s="214"/>
      <c r="C8" s="215"/>
      <c r="D8" s="216"/>
      <c r="E8" s="218"/>
      <c r="F8" s="230"/>
      <c r="G8" s="231" t="s">
        <v>12</v>
      </c>
      <c r="H8" s="229" t="s">
        <v>283</v>
      </c>
      <c r="I8" s="774"/>
      <c r="J8" s="249"/>
      <c r="K8" s="508"/>
      <c r="L8" s="238"/>
      <c r="M8" s="116">
        <f t="shared" ref="M8:M32" si="2">+K8+L8</f>
        <v>0</v>
      </c>
      <c r="P8" s="148">
        <f>+O8-(O8*0.25)</f>
        <v>0</v>
      </c>
      <c r="R8" s="148">
        <f t="shared" si="0"/>
        <v>0</v>
      </c>
      <c r="S8" s="148">
        <f t="shared" si="1"/>
        <v>0</v>
      </c>
    </row>
    <row r="9" spans="1:19" ht="13.5" thickBot="1">
      <c r="A9" s="771"/>
      <c r="B9" s="214"/>
      <c r="C9" s="215"/>
      <c r="D9" s="216"/>
      <c r="E9" s="219"/>
      <c r="F9" s="227">
        <f>28-9</f>
        <v>19</v>
      </c>
      <c r="G9" s="231" t="s">
        <v>12</v>
      </c>
      <c r="H9" s="232" t="s">
        <v>411</v>
      </c>
      <c r="I9" s="774"/>
      <c r="J9" s="249"/>
      <c r="K9" s="238"/>
      <c r="L9" s="238"/>
      <c r="M9" s="116">
        <f t="shared" si="2"/>
        <v>0</v>
      </c>
    </row>
    <row r="10" spans="1:19" ht="51.75" thickBot="1">
      <c r="A10" s="771"/>
      <c r="B10" s="214"/>
      <c r="C10" s="215"/>
      <c r="D10" s="216"/>
      <c r="E10" s="218"/>
      <c r="F10" s="227"/>
      <c r="G10" s="236" t="s">
        <v>13</v>
      </c>
      <c r="H10" s="232" t="s">
        <v>401</v>
      </c>
      <c r="I10" s="774"/>
      <c r="J10" s="248"/>
      <c r="K10" s="238"/>
      <c r="L10" s="238"/>
      <c r="M10" s="116">
        <f t="shared" si="2"/>
        <v>0</v>
      </c>
    </row>
    <row r="11" spans="1:19" ht="97.5" customHeight="1" thickBot="1">
      <c r="A11" s="771"/>
      <c r="B11" s="214"/>
      <c r="C11" s="215"/>
      <c r="D11" s="216"/>
      <c r="E11" s="218"/>
      <c r="F11" s="227"/>
      <c r="G11" s="231"/>
      <c r="H11" s="232" t="s">
        <v>402</v>
      </c>
      <c r="I11" s="774"/>
      <c r="J11" s="248"/>
      <c r="K11" s="238"/>
      <c r="L11" s="238"/>
      <c r="M11" s="116">
        <f t="shared" si="2"/>
        <v>0</v>
      </c>
    </row>
    <row r="12" spans="1:19" ht="13.5" thickBot="1">
      <c r="A12" s="771"/>
      <c r="B12" s="214"/>
      <c r="C12" s="215"/>
      <c r="D12" s="216"/>
      <c r="E12" s="218"/>
      <c r="F12" s="227"/>
      <c r="G12" s="231"/>
      <c r="H12" s="232"/>
      <c r="I12" s="774"/>
      <c r="J12" s="248"/>
      <c r="K12" s="238"/>
      <c r="L12" s="238"/>
      <c r="M12" s="116">
        <f t="shared" si="2"/>
        <v>0</v>
      </c>
    </row>
    <row r="13" spans="1:19" ht="13.5" thickBot="1">
      <c r="A13" s="771"/>
      <c r="B13" s="214"/>
      <c r="C13" s="215"/>
      <c r="D13" s="215"/>
      <c r="E13" s="218"/>
      <c r="F13" s="227"/>
      <c r="G13" s="231"/>
      <c r="H13" s="232"/>
      <c r="I13" s="775"/>
      <c r="J13" s="248"/>
      <c r="K13" s="238"/>
      <c r="L13" s="238"/>
      <c r="M13" s="116">
        <f t="shared" si="2"/>
        <v>0</v>
      </c>
      <c r="Q13" s="175">
        <f>SUM(Q5:Q12)</f>
        <v>480</v>
      </c>
      <c r="R13" s="175">
        <f>SUM(R5:R12)</f>
        <v>571200</v>
      </c>
      <c r="S13" s="175">
        <f>SUM(S5:S12)</f>
        <v>428400</v>
      </c>
    </row>
    <row r="14" spans="1:19" ht="13.5" thickBot="1">
      <c r="A14" s="772"/>
      <c r="B14" s="164" t="s">
        <v>2</v>
      </c>
      <c r="C14" s="98">
        <f>SUM(C7:C13)</f>
        <v>12258</v>
      </c>
      <c r="D14" s="110">
        <f>SUM(D7:D13)</f>
        <v>540</v>
      </c>
      <c r="E14" s="111">
        <f>SUM(E5:E13)</f>
        <v>0</v>
      </c>
      <c r="F14" s="115">
        <f>SUM(F7:F13)</f>
        <v>28</v>
      </c>
      <c r="G14" s="158"/>
      <c r="H14" s="165"/>
      <c r="I14" s="166"/>
      <c r="J14" s="248"/>
      <c r="K14" s="238"/>
      <c r="L14" s="238"/>
      <c r="M14" s="116">
        <f t="shared" si="2"/>
        <v>0</v>
      </c>
      <c r="Q14" s="148">
        <f>480-Q13</f>
        <v>0</v>
      </c>
      <c r="R14" s="175">
        <f>+R13/Q13</f>
        <v>1190</v>
      </c>
      <c r="S14" s="175">
        <f>+S13/Q13</f>
        <v>892.5</v>
      </c>
    </row>
    <row r="15" spans="1:19" ht="13.5" customHeight="1" thickBot="1">
      <c r="A15" s="770" t="s">
        <v>390</v>
      </c>
      <c r="B15" s="164"/>
      <c r="C15" s="112">
        <f>C14/($C$23+$D$23+$E$23)</f>
        <v>1.1402790697674419</v>
      </c>
      <c r="D15" s="113">
        <f>D14/($C$23+$D$23+$E$23)</f>
        <v>5.0232558139534887E-2</v>
      </c>
      <c r="E15" s="114">
        <f>E14/($C$23+$D$23+$E$23)</f>
        <v>0</v>
      </c>
      <c r="F15" s="227">
        <v>16</v>
      </c>
      <c r="G15" s="228" t="s">
        <v>12</v>
      </c>
      <c r="H15" s="229" t="s">
        <v>413</v>
      </c>
      <c r="I15" s="773" t="s">
        <v>408</v>
      </c>
      <c r="J15" s="248"/>
      <c r="K15" s="238"/>
      <c r="L15" s="238"/>
      <c r="M15" s="116">
        <f t="shared" si="2"/>
        <v>0</v>
      </c>
      <c r="N15" s="148" t="s">
        <v>388</v>
      </c>
      <c r="O15" s="148">
        <v>1200</v>
      </c>
      <c r="P15" s="148">
        <f>+O15-(O15*0.27)</f>
        <v>876</v>
      </c>
      <c r="Q15" s="148">
        <v>480</v>
      </c>
      <c r="R15" s="148">
        <f t="shared" ref="R15" si="3">+O15*Q15</f>
        <v>576000</v>
      </c>
      <c r="S15" s="148">
        <f t="shared" ref="S15" si="4">+P15*Q15</f>
        <v>420480</v>
      </c>
    </row>
    <row r="16" spans="1:19" ht="13.5" thickBot="1">
      <c r="A16" s="776"/>
      <c r="B16" s="214" t="s">
        <v>389</v>
      </c>
      <c r="C16" s="221">
        <v>10750</v>
      </c>
      <c r="D16" s="222"/>
      <c r="E16" s="223"/>
      <c r="F16" s="230"/>
      <c r="G16" s="231" t="s">
        <v>12</v>
      </c>
      <c r="H16" s="229" t="s">
        <v>283</v>
      </c>
      <c r="I16" s="774"/>
      <c r="J16" s="248"/>
      <c r="K16" s="228"/>
      <c r="L16" s="228"/>
      <c r="M16" s="116">
        <f t="shared" si="2"/>
        <v>0</v>
      </c>
    </row>
    <row r="17" spans="1:19" ht="13.5" thickBot="1">
      <c r="A17" s="776"/>
      <c r="B17" s="214"/>
      <c r="C17" s="215"/>
      <c r="D17" s="216"/>
      <c r="E17" s="224"/>
      <c r="F17" s="227">
        <f>38-16</f>
        <v>22</v>
      </c>
      <c r="G17" s="231" t="s">
        <v>12</v>
      </c>
      <c r="H17" s="232" t="s">
        <v>385</v>
      </c>
      <c r="I17" s="774"/>
      <c r="J17" s="248"/>
      <c r="K17" s="228"/>
      <c r="L17" s="228"/>
      <c r="M17" s="116">
        <f t="shared" si="2"/>
        <v>0</v>
      </c>
    </row>
    <row r="18" spans="1:19" ht="26.25" thickBot="1">
      <c r="A18" s="776"/>
      <c r="B18" s="214"/>
      <c r="C18" s="215"/>
      <c r="D18" s="216"/>
      <c r="E18" s="224"/>
      <c r="F18" s="227"/>
      <c r="G18" s="236" t="s">
        <v>13</v>
      </c>
      <c r="H18" s="232" t="s">
        <v>403</v>
      </c>
      <c r="I18" s="774"/>
      <c r="J18" s="248"/>
      <c r="K18" s="238"/>
      <c r="L18" s="238"/>
      <c r="M18" s="116">
        <f t="shared" si="2"/>
        <v>0</v>
      </c>
    </row>
    <row r="19" spans="1:19" ht="13.5" thickBot="1">
      <c r="A19" s="776"/>
      <c r="B19" s="214"/>
      <c r="C19" s="215"/>
      <c r="D19" s="216"/>
      <c r="E19" s="224"/>
      <c r="F19" s="234"/>
      <c r="G19" s="231"/>
      <c r="H19" s="232" t="s">
        <v>404</v>
      </c>
      <c r="I19" s="774"/>
      <c r="J19" s="248"/>
      <c r="K19" s="238"/>
      <c r="L19" s="238"/>
      <c r="M19" s="116">
        <f t="shared" si="2"/>
        <v>0</v>
      </c>
    </row>
    <row r="20" spans="1:19" ht="13.5" thickBot="1">
      <c r="A20" s="776"/>
      <c r="B20" s="214"/>
      <c r="C20" s="215"/>
      <c r="D20" s="216"/>
      <c r="E20" s="224"/>
      <c r="F20" s="227"/>
      <c r="G20" s="231"/>
      <c r="H20" s="232"/>
      <c r="I20" s="774"/>
      <c r="J20" s="248"/>
      <c r="K20" s="239"/>
      <c r="L20" s="239"/>
      <c r="M20" s="116">
        <f t="shared" si="2"/>
        <v>0</v>
      </c>
    </row>
    <row r="21" spans="1:19" ht="13.5" thickBot="1">
      <c r="A21" s="776"/>
      <c r="B21" s="214"/>
      <c r="C21" s="215"/>
      <c r="D21" s="216"/>
      <c r="E21" s="224"/>
      <c r="F21" s="230"/>
      <c r="G21" s="231"/>
      <c r="H21" s="232"/>
      <c r="I21" s="774"/>
      <c r="J21" s="248"/>
      <c r="K21" s="238"/>
      <c r="L21" s="238"/>
      <c r="M21" s="116">
        <f t="shared" si="2"/>
        <v>0</v>
      </c>
    </row>
    <row r="22" spans="1:19" ht="13.5" thickBot="1">
      <c r="A22" s="776"/>
      <c r="B22" s="214"/>
      <c r="C22" s="215"/>
      <c r="D22" s="216"/>
      <c r="E22" s="224"/>
      <c r="F22" s="235"/>
      <c r="G22" s="231"/>
      <c r="H22" s="232"/>
      <c r="I22" s="775"/>
      <c r="J22" s="248"/>
      <c r="K22" s="238"/>
      <c r="L22" s="238"/>
      <c r="M22" s="116">
        <f t="shared" si="2"/>
        <v>0</v>
      </c>
      <c r="Q22" s="175">
        <f>SUM(Q14:Q21)</f>
        <v>480</v>
      </c>
      <c r="R22" s="175">
        <f>SUM(R14:R21)</f>
        <v>577190</v>
      </c>
      <c r="S22" s="175">
        <f>SUM(S14:S21)</f>
        <v>421372.5</v>
      </c>
    </row>
    <row r="23" spans="1:19" ht="13.5" thickBot="1">
      <c r="A23" s="777"/>
      <c r="B23" s="167" t="s">
        <v>2</v>
      </c>
      <c r="C23" s="99">
        <f>SUM(C16:C22)</f>
        <v>10750</v>
      </c>
      <c r="D23" s="110">
        <f>SUM(D16:D22)</f>
        <v>0</v>
      </c>
      <c r="E23" s="111">
        <f>SUM(E18:E22)</f>
        <v>0</v>
      </c>
      <c r="F23" s="115">
        <f>SUM(F15:F22)</f>
        <v>38</v>
      </c>
      <c r="G23" s="158"/>
      <c r="H23" s="165"/>
      <c r="I23" s="168"/>
      <c r="J23" s="248"/>
      <c r="K23" s="238"/>
      <c r="L23" s="238"/>
      <c r="M23" s="116">
        <f t="shared" si="2"/>
        <v>0</v>
      </c>
      <c r="Q23" s="148">
        <f>480-Q22</f>
        <v>0</v>
      </c>
      <c r="R23" s="175">
        <f>+R22/Q22</f>
        <v>1202.4791666666667</v>
      </c>
      <c r="S23" s="175">
        <f>+S22/Q22</f>
        <v>877.859375</v>
      </c>
    </row>
    <row r="24" spans="1:19" ht="13.5" customHeight="1" thickBot="1">
      <c r="A24" s="770" t="s">
        <v>391</v>
      </c>
      <c r="B24" s="169"/>
      <c r="C24" s="112">
        <f>C23/($C$23+$D$23+$E$23)</f>
        <v>1</v>
      </c>
      <c r="D24" s="113">
        <f>D23/($C$23+$D$23+$E$23)</f>
        <v>0</v>
      </c>
      <c r="E24" s="114">
        <f>E23/($C$23+$D$23+$E$23)</f>
        <v>0</v>
      </c>
      <c r="F24" s="227"/>
      <c r="G24" s="228" t="s">
        <v>12</v>
      </c>
      <c r="H24" s="229" t="s">
        <v>384</v>
      </c>
      <c r="I24" s="773" t="s">
        <v>407</v>
      </c>
      <c r="J24" s="248"/>
      <c r="K24" s="238"/>
      <c r="L24" s="238"/>
      <c r="M24" s="116">
        <f t="shared" si="2"/>
        <v>0</v>
      </c>
    </row>
    <row r="25" spans="1:19" ht="13.5" thickBot="1">
      <c r="A25" s="776"/>
      <c r="B25" s="214" t="s">
        <v>389</v>
      </c>
      <c r="C25" s="225">
        <v>13898</v>
      </c>
      <c r="D25" s="216"/>
      <c r="E25" s="224"/>
      <c r="F25" s="230">
        <v>3</v>
      </c>
      <c r="G25" s="231" t="s">
        <v>12</v>
      </c>
      <c r="H25" s="229" t="s">
        <v>414</v>
      </c>
      <c r="I25" s="774"/>
      <c r="J25" s="248"/>
      <c r="K25" s="238"/>
      <c r="L25" s="238"/>
      <c r="M25" s="116">
        <f t="shared" si="2"/>
        <v>0</v>
      </c>
      <c r="N25" s="148" t="s">
        <v>388</v>
      </c>
      <c r="O25" s="148">
        <v>1200</v>
      </c>
      <c r="P25" s="148">
        <f>+O25-(O25*0.25)</f>
        <v>900</v>
      </c>
      <c r="Q25" s="148">
        <f>60*4+21</f>
        <v>261</v>
      </c>
      <c r="R25" s="148">
        <f t="shared" ref="R25:R26" si="5">+O25*Q25</f>
        <v>313200</v>
      </c>
      <c r="S25" s="148">
        <f t="shared" ref="S25:S26" si="6">+P25*Q25</f>
        <v>234900</v>
      </c>
    </row>
    <row r="26" spans="1:19" ht="13.5" thickBot="1">
      <c r="A26" s="776"/>
      <c r="B26" s="214"/>
      <c r="C26" s="225"/>
      <c r="D26" s="216"/>
      <c r="E26" s="226"/>
      <c r="F26" s="227">
        <v>16</v>
      </c>
      <c r="G26" s="231" t="s">
        <v>12</v>
      </c>
      <c r="H26" s="232" t="s">
        <v>385</v>
      </c>
      <c r="I26" s="774"/>
      <c r="J26" s="248"/>
      <c r="K26" s="238"/>
      <c r="L26" s="238"/>
      <c r="M26" s="116">
        <f t="shared" si="2"/>
        <v>0</v>
      </c>
      <c r="O26" s="148">
        <v>1050</v>
      </c>
      <c r="P26" s="148">
        <f>+O26-(O26*0.25)</f>
        <v>787.5</v>
      </c>
      <c r="Q26" s="148">
        <f>480-Q25</f>
        <v>219</v>
      </c>
      <c r="R26" s="148">
        <f t="shared" si="5"/>
        <v>229950</v>
      </c>
      <c r="S26" s="148">
        <f t="shared" si="6"/>
        <v>172462.5</v>
      </c>
    </row>
    <row r="27" spans="1:19" ht="26.25" thickBot="1">
      <c r="A27" s="776"/>
      <c r="B27" s="214"/>
      <c r="C27" s="215"/>
      <c r="D27" s="216"/>
      <c r="E27" s="224"/>
      <c r="F27" s="227"/>
      <c r="G27" s="236" t="s">
        <v>13</v>
      </c>
      <c r="H27" s="232" t="s">
        <v>405</v>
      </c>
      <c r="I27" s="774"/>
      <c r="J27" s="248"/>
      <c r="K27" s="238"/>
      <c r="L27" s="238"/>
      <c r="M27" s="116">
        <f t="shared" si="2"/>
        <v>0</v>
      </c>
    </row>
    <row r="28" spans="1:19" ht="82.5" customHeight="1" thickBot="1">
      <c r="A28" s="776"/>
      <c r="B28" s="214"/>
      <c r="C28" s="215"/>
      <c r="D28" s="216"/>
      <c r="E28" s="224"/>
      <c r="F28" s="230"/>
      <c r="G28" s="231"/>
      <c r="H28" s="232" t="s">
        <v>406</v>
      </c>
      <c r="I28" s="774"/>
      <c r="J28" s="248"/>
      <c r="K28" s="238"/>
      <c r="L28" s="238"/>
      <c r="M28" s="116">
        <f t="shared" si="2"/>
        <v>0</v>
      </c>
    </row>
    <row r="29" spans="1:19" ht="13.5" thickBot="1">
      <c r="A29" s="776"/>
      <c r="B29" s="214"/>
      <c r="C29" s="215"/>
      <c r="D29" s="216"/>
      <c r="E29" s="224"/>
      <c r="F29" s="235"/>
      <c r="G29" s="231"/>
      <c r="H29" s="232"/>
      <c r="I29" s="774"/>
      <c r="J29" s="248"/>
      <c r="K29" s="238"/>
      <c r="L29" s="238"/>
      <c r="M29" s="116">
        <f t="shared" si="2"/>
        <v>0</v>
      </c>
    </row>
    <row r="30" spans="1:19" ht="13.5" thickBot="1">
      <c r="A30" s="776"/>
      <c r="B30" s="214"/>
      <c r="C30" s="225"/>
      <c r="D30" s="216"/>
      <c r="E30" s="224"/>
      <c r="F30" s="235"/>
      <c r="G30" s="231"/>
      <c r="H30" s="232"/>
      <c r="I30" s="774"/>
      <c r="J30" s="248"/>
      <c r="K30" s="238"/>
      <c r="L30" s="238"/>
      <c r="M30" s="116">
        <f t="shared" si="2"/>
        <v>0</v>
      </c>
    </row>
    <row r="31" spans="1:19" ht="13.5" thickBot="1">
      <c r="A31" s="776"/>
      <c r="B31" s="214"/>
      <c r="C31" s="225"/>
      <c r="D31" s="216"/>
      <c r="E31" s="224"/>
      <c r="F31" s="235"/>
      <c r="G31" s="236"/>
      <c r="H31" s="443"/>
      <c r="I31" s="775"/>
      <c r="J31" s="248"/>
      <c r="K31" s="238"/>
      <c r="L31" s="238"/>
      <c r="M31" s="116">
        <f t="shared" si="2"/>
        <v>0</v>
      </c>
    </row>
    <row r="32" spans="1:19" ht="13.5" thickBot="1">
      <c r="A32" s="777"/>
      <c r="B32" s="164" t="s">
        <v>2</v>
      </c>
      <c r="C32" s="98">
        <f>SUM(C25:C31)</f>
        <v>13898</v>
      </c>
      <c r="D32" s="99">
        <f>SUM(D25:D31)</f>
        <v>0</v>
      </c>
      <c r="E32" s="100">
        <f>SUM(E25:E31)</f>
        <v>0</v>
      </c>
      <c r="F32" s="101">
        <f>SUM(F24:F31)</f>
        <v>19</v>
      </c>
      <c r="G32" s="170"/>
      <c r="H32" s="171"/>
      <c r="I32" s="168"/>
      <c r="J32" s="250"/>
      <c r="K32" s="240"/>
      <c r="L32" s="242"/>
      <c r="M32" s="116">
        <f t="shared" si="2"/>
        <v>0</v>
      </c>
      <c r="Q32" s="175">
        <f>SUM(Q24:Q31)</f>
        <v>480</v>
      </c>
      <c r="R32" s="175">
        <f>SUM(R24:R31)</f>
        <v>543150</v>
      </c>
      <c r="S32" s="175">
        <f>SUM(S24:S31)</f>
        <v>407362.5</v>
      </c>
    </row>
    <row r="33" spans="1:19" ht="13.5" thickBot="1">
      <c r="A33" s="172"/>
      <c r="B33" s="173"/>
      <c r="C33" s="102">
        <f>C32/($C$32+$D$32+$E$32)</f>
        <v>1</v>
      </c>
      <c r="D33" s="103">
        <f>D32/($C$32+$D$32+$E$32)</f>
        <v>0</v>
      </c>
      <c r="E33" s="104">
        <f>E32/($C$32+$D$32+$E$32)</f>
        <v>0</v>
      </c>
      <c r="F33" s="105"/>
      <c r="G33" s="174"/>
      <c r="H33" s="175"/>
      <c r="I33" s="176"/>
      <c r="J33" s="120"/>
      <c r="K33" s="121"/>
      <c r="L33" s="212"/>
      <c r="M33" s="118"/>
      <c r="Q33" s="148">
        <f>480-Q32</f>
        <v>0</v>
      </c>
      <c r="R33" s="175">
        <f>+R32/Q32</f>
        <v>1131.5625</v>
      </c>
      <c r="S33" s="175">
        <f>+S32/Q32</f>
        <v>848.671875</v>
      </c>
    </row>
    <row r="34" spans="1:19" ht="13.5" thickBot="1">
      <c r="A34" s="766" t="s">
        <v>57</v>
      </c>
      <c r="B34" s="767"/>
      <c r="C34" s="106">
        <f>C14+C23+C32</f>
        <v>36906</v>
      </c>
      <c r="D34" s="106">
        <f>D14+D23+D32</f>
        <v>540</v>
      </c>
      <c r="E34" s="106">
        <f>E14+E23+E32</f>
        <v>0</v>
      </c>
      <c r="F34" s="107">
        <f>F14+F23+F32</f>
        <v>85</v>
      </c>
      <c r="H34" s="177"/>
      <c r="I34" s="177"/>
      <c r="J34" s="122" t="s">
        <v>28</v>
      </c>
      <c r="K34" s="123">
        <f>SUM(K7:K32)</f>
        <v>36906</v>
      </c>
      <c r="L34" s="211">
        <f>SUM(L7:L32)</f>
        <v>0</v>
      </c>
      <c r="M34" s="119">
        <f>SUM(M7:M32)</f>
        <v>36906</v>
      </c>
    </row>
    <row r="35" spans="1:19" ht="13.5" thickBot="1">
      <c r="A35" s="178"/>
      <c r="B35" s="179"/>
      <c r="C35" s="103">
        <f>C34/($C$34+$D$34+$E$34)</f>
        <v>0.9855792340970998</v>
      </c>
      <c r="D35" s="103">
        <f>D34/($C$34+$D$34+$E$34)</f>
        <v>1.4420765902900177E-2</v>
      </c>
      <c r="E35" s="108">
        <f>E34/($C$34+$D$34+$E$34)</f>
        <v>0</v>
      </c>
      <c r="K35" s="154"/>
    </row>
    <row r="36" spans="1:19" ht="13.5" thickBot="1">
      <c r="A36" s="177"/>
      <c r="B36" s="177"/>
      <c r="C36" s="154"/>
      <c r="D36" s="154"/>
      <c r="E36" s="154"/>
      <c r="G36" s="154"/>
      <c r="H36" s="180"/>
      <c r="I36" s="161" t="s">
        <v>37</v>
      </c>
      <c r="J36" s="161" t="s">
        <v>38</v>
      </c>
      <c r="K36" s="181"/>
    </row>
    <row r="37" spans="1:19" ht="17.45" customHeight="1" thickBot="1">
      <c r="A37" s="768" t="s">
        <v>58</v>
      </c>
      <c r="B37" s="769"/>
      <c r="C37" s="161" t="s">
        <v>59</v>
      </c>
      <c r="D37" s="182" t="s">
        <v>60</v>
      </c>
      <c r="E37" s="183" t="s">
        <v>61</v>
      </c>
      <c r="F37" s="184"/>
      <c r="G37" s="154"/>
      <c r="H37" s="185" t="s">
        <v>62</v>
      </c>
      <c r="I37" s="243">
        <f>(12*1440)/1440*G42*2.74*1440/1000000</f>
        <v>41.334598799999995</v>
      </c>
      <c r="J37" s="124">
        <f>I37</f>
        <v>41.334598799999995</v>
      </c>
      <c r="K37" s="125" t="s">
        <v>63</v>
      </c>
    </row>
    <row r="38" spans="1:19" ht="17.45" customHeight="1">
      <c r="A38" s="760" t="s">
        <v>12</v>
      </c>
      <c r="B38" s="761"/>
      <c r="C38" s="163">
        <f>SUMIF($G$7:$G$31,"Process",$F$7:$F$31)</f>
        <v>85</v>
      </c>
      <c r="D38" s="117">
        <f>C38</f>
        <v>85</v>
      </c>
      <c r="E38" s="142">
        <f t="shared" ref="E38:E51" si="7">D38/60</f>
        <v>1.4166666666666667</v>
      </c>
      <c r="F38" s="184">
        <v>1190</v>
      </c>
      <c r="G38" s="184">
        <v>892.5</v>
      </c>
      <c r="H38" s="186" t="s">
        <v>64</v>
      </c>
      <c r="I38" s="244">
        <f>13.387+11.921+11.077</f>
        <v>36.384999999999998</v>
      </c>
      <c r="J38" s="126">
        <f>I38</f>
        <v>36.384999999999998</v>
      </c>
      <c r="K38" s="127" t="s">
        <v>63</v>
      </c>
    </row>
    <row r="39" spans="1:19" ht="17.45" customHeight="1">
      <c r="A39" s="764" t="s">
        <v>13</v>
      </c>
      <c r="B39" s="765"/>
      <c r="C39" s="163">
        <f>SUMIF($G$7:$G$31,"Cleaning",$F$7:$F$31)</f>
        <v>0</v>
      </c>
      <c r="D39" s="117">
        <f>C39</f>
        <v>0</v>
      </c>
      <c r="E39" s="142">
        <f t="shared" si="7"/>
        <v>0</v>
      </c>
      <c r="F39" s="184">
        <v>1202.4791666666667</v>
      </c>
      <c r="G39" s="184">
        <v>877.859375</v>
      </c>
      <c r="H39" s="186" t="s">
        <v>65</v>
      </c>
      <c r="I39" s="141"/>
      <c r="J39" s="128">
        <f>J37/G4</f>
        <v>41.334598799999995</v>
      </c>
      <c r="K39" s="129" t="s">
        <v>63</v>
      </c>
    </row>
    <row r="40" spans="1:19" ht="17.45" customHeight="1">
      <c r="A40" s="764" t="s">
        <v>66</v>
      </c>
      <c r="B40" s="765"/>
      <c r="C40" s="163">
        <f>SUMIF($G$7:$G$31,"Mechanical",$F$7:$F$31)</f>
        <v>0</v>
      </c>
      <c r="D40" s="117">
        <f t="shared" ref="D40:D51" si="8">C40</f>
        <v>0</v>
      </c>
      <c r="E40" s="142">
        <f t="shared" si="7"/>
        <v>0</v>
      </c>
      <c r="F40" s="184">
        <v>1131.5625</v>
      </c>
      <c r="G40" s="184">
        <v>848.671875</v>
      </c>
      <c r="H40" s="186" t="s">
        <v>67</v>
      </c>
      <c r="I40" s="117">
        <f>(K34+L34)/1000</f>
        <v>36.905999999999999</v>
      </c>
      <c r="J40" s="130">
        <f>M34/1000</f>
        <v>36.905999999999999</v>
      </c>
      <c r="K40" s="129" t="s">
        <v>63</v>
      </c>
    </row>
    <row r="41" spans="1:19" ht="17.45" customHeight="1">
      <c r="A41" s="764" t="s">
        <v>68</v>
      </c>
      <c r="B41" s="765"/>
      <c r="C41" s="163">
        <f>SUMIF($G$7:$G$31,"Electrical",$F$7:$F$31)</f>
        <v>0</v>
      </c>
      <c r="D41" s="117">
        <f t="shared" si="8"/>
        <v>0</v>
      </c>
      <c r="E41" s="142">
        <f t="shared" si="7"/>
        <v>0</v>
      </c>
      <c r="F41" s="184"/>
      <c r="G41" s="184"/>
      <c r="H41" s="186" t="s">
        <v>69</v>
      </c>
      <c r="I41" s="141"/>
      <c r="J41" s="128">
        <f>J40/G4</f>
        <v>36.905999999999999</v>
      </c>
      <c r="K41" s="129" t="s">
        <v>63</v>
      </c>
    </row>
    <row r="42" spans="1:19" ht="17.45" customHeight="1">
      <c r="A42" s="764" t="s">
        <v>16</v>
      </c>
      <c r="B42" s="765"/>
      <c r="C42" s="163">
        <f>SUMIF($G$7:$G$31,"Instrument",$F$7:$F$31)</f>
        <v>0</v>
      </c>
      <c r="D42" s="117">
        <f t="shared" si="8"/>
        <v>0</v>
      </c>
      <c r="E42" s="142">
        <f t="shared" si="7"/>
        <v>0</v>
      </c>
      <c r="F42" s="321">
        <f>+(480*F38+480*F39+480*F40)/1440</f>
        <v>1174.6805555555557</v>
      </c>
      <c r="G42" s="321">
        <f>+(480*G38+480*G39+480*G40)/1440</f>
        <v>873.01041666666663</v>
      </c>
      <c r="H42" s="186" t="s">
        <v>70</v>
      </c>
      <c r="I42" s="245" t="s">
        <v>410</v>
      </c>
      <c r="J42" s="131"/>
      <c r="K42" s="129" t="s">
        <v>71</v>
      </c>
    </row>
    <row r="43" spans="1:19" ht="17.45" customHeight="1">
      <c r="A43" s="764" t="s">
        <v>219</v>
      </c>
      <c r="B43" s="765"/>
      <c r="C43" s="163">
        <f>SUMIF($G$7:$G$31,"Change Grade",$F$7:$F$31)</f>
        <v>0</v>
      </c>
      <c r="D43" s="117">
        <f t="shared" si="8"/>
        <v>0</v>
      </c>
      <c r="E43" s="142">
        <f t="shared" si="7"/>
        <v>0</v>
      </c>
      <c r="F43" s="184"/>
      <c r="H43" s="187" t="s">
        <v>73</v>
      </c>
      <c r="I43" s="117">
        <f>+Report1!Z9</f>
        <v>47.2</v>
      </c>
      <c r="J43" s="132">
        <f>I43</f>
        <v>47.2</v>
      </c>
      <c r="K43" s="129" t="s">
        <v>63</v>
      </c>
      <c r="L43" s="188"/>
    </row>
    <row r="44" spans="1:19" ht="17.45" customHeight="1">
      <c r="A44" s="764" t="s">
        <v>17</v>
      </c>
      <c r="B44" s="765"/>
      <c r="C44" s="163">
        <f>SUMIF($G$7:$G$31,"PLN",$F$7:$F$31)</f>
        <v>0</v>
      </c>
      <c r="D44" s="117">
        <f>C44</f>
        <v>0</v>
      </c>
      <c r="E44" s="142">
        <f t="shared" si="7"/>
        <v>0</v>
      </c>
      <c r="F44" s="184"/>
      <c r="H44" s="187" t="s">
        <v>74</v>
      </c>
      <c r="I44" s="117">
        <f>I43/I38</f>
        <v>1.2972378727497598</v>
      </c>
      <c r="J44" s="133">
        <f>J43/J38</f>
        <v>1.2972378727497598</v>
      </c>
      <c r="K44" s="129" t="s">
        <v>63</v>
      </c>
    </row>
    <row r="45" spans="1:19" ht="17.45" customHeight="1">
      <c r="A45" s="764" t="s">
        <v>18</v>
      </c>
      <c r="B45" s="765"/>
      <c r="C45" s="163">
        <f>SUMIF($G$7:$G$31,"Boiler",$F$7:$F$31)</f>
        <v>0</v>
      </c>
      <c r="D45" s="117">
        <f t="shared" si="8"/>
        <v>0</v>
      </c>
      <c r="E45" s="142">
        <f t="shared" si="7"/>
        <v>0</v>
      </c>
      <c r="F45" s="184"/>
      <c r="G45" s="175"/>
      <c r="H45" s="187" t="s">
        <v>75</v>
      </c>
      <c r="I45" s="117">
        <f>I43/I40</f>
        <v>1.2789248360700158</v>
      </c>
      <c r="J45" s="133">
        <f>J43/J40</f>
        <v>1.2789248360700158</v>
      </c>
      <c r="K45" s="129" t="s">
        <v>63</v>
      </c>
    </row>
    <row r="46" spans="1:19" ht="17.45" customHeight="1">
      <c r="A46" s="764" t="s">
        <v>76</v>
      </c>
      <c r="B46" s="765"/>
      <c r="C46" s="163">
        <f>SUMIF($G$7:$G$31,"Gas",$F$7:$F$31)</f>
        <v>0</v>
      </c>
      <c r="D46" s="117">
        <f t="shared" si="8"/>
        <v>0</v>
      </c>
      <c r="E46" s="142">
        <f t="shared" si="7"/>
        <v>0</v>
      </c>
      <c r="F46" s="184"/>
      <c r="H46" s="187" t="s">
        <v>77</v>
      </c>
      <c r="I46" s="139">
        <f>+SUMIF(Listrik!P8,"&gt;0")</f>
        <v>36530.9</v>
      </c>
      <c r="J46" s="134">
        <f>I46</f>
        <v>36530.9</v>
      </c>
      <c r="K46" s="129" t="s">
        <v>78</v>
      </c>
    </row>
    <row r="47" spans="1:19" ht="17.45" customHeight="1">
      <c r="A47" s="764" t="s">
        <v>79</v>
      </c>
      <c r="B47" s="765"/>
      <c r="C47" s="163">
        <f>SUMIF($G$7:$G$31,"Gas",$F$7:$F$31)</f>
        <v>0</v>
      </c>
      <c r="D47" s="117">
        <f t="shared" si="8"/>
        <v>0</v>
      </c>
      <c r="E47" s="142">
        <f t="shared" si="7"/>
        <v>0</v>
      </c>
      <c r="F47" s="184"/>
      <c r="H47" s="187" t="s">
        <v>80</v>
      </c>
      <c r="I47" s="117">
        <f>I46/I38</f>
        <v>1004.0098941871652</v>
      </c>
      <c r="J47" s="134">
        <f>J46/J38</f>
        <v>1004.0098941871652</v>
      </c>
      <c r="K47" s="129" t="s">
        <v>24</v>
      </c>
    </row>
    <row r="48" spans="1:19" ht="17.45" customHeight="1">
      <c r="A48" s="764" t="s">
        <v>14</v>
      </c>
      <c r="B48" s="765"/>
      <c r="C48" s="163">
        <f>SUMIF($G$7:$G$31,"Start Up",$F$7:$F$31)</f>
        <v>0</v>
      </c>
      <c r="D48" s="117">
        <f t="shared" si="8"/>
        <v>0</v>
      </c>
      <c r="E48" s="142">
        <f t="shared" si="7"/>
        <v>0</v>
      </c>
      <c r="F48" s="184"/>
      <c r="H48" s="187" t="s">
        <v>81</v>
      </c>
      <c r="I48" s="117">
        <f>I46/I40</f>
        <v>989.83634097436743</v>
      </c>
      <c r="J48" s="134">
        <f>J46/J40</f>
        <v>989.83634097436743</v>
      </c>
      <c r="K48" s="129" t="s">
        <v>24</v>
      </c>
    </row>
    <row r="49" spans="1:11" ht="17.45" customHeight="1">
      <c r="A49" s="764" t="s">
        <v>20</v>
      </c>
      <c r="B49" s="765"/>
      <c r="C49" s="163">
        <f>SUMIF($G$7:$G$31,"Others",$F$7:$F$31)</f>
        <v>0</v>
      </c>
      <c r="D49" s="117">
        <f t="shared" si="8"/>
        <v>0</v>
      </c>
      <c r="E49" s="142">
        <f t="shared" si="7"/>
        <v>0</v>
      </c>
      <c r="F49" s="184"/>
      <c r="H49" s="187" t="s">
        <v>267</v>
      </c>
      <c r="I49" s="117">
        <f>+Report1!T9</f>
        <v>4546.1086951657062</v>
      </c>
      <c r="J49" s="134">
        <f>I49</f>
        <v>4546.1086951657062</v>
      </c>
      <c r="K49" s="129" t="s">
        <v>82</v>
      </c>
    </row>
    <row r="50" spans="1:11" ht="17.45" customHeight="1">
      <c r="A50" s="764" t="s">
        <v>19</v>
      </c>
      <c r="B50" s="765"/>
      <c r="C50" s="163">
        <f>SUMIF($G$7:$G$31,"Steam",$F$7:$F$31)</f>
        <v>0</v>
      </c>
      <c r="D50" s="117">
        <f t="shared" si="8"/>
        <v>0</v>
      </c>
      <c r="E50" s="142">
        <f t="shared" si="7"/>
        <v>0</v>
      </c>
      <c r="F50" s="184"/>
      <c r="H50" s="187" t="s">
        <v>83</v>
      </c>
      <c r="I50" s="139">
        <f>I49/I38</f>
        <v>124.94458417385479</v>
      </c>
      <c r="J50" s="132">
        <f>J49/J38</f>
        <v>124.94458417385479</v>
      </c>
      <c r="K50" s="129" t="s">
        <v>82</v>
      </c>
    </row>
    <row r="51" spans="1:11" ht="17.45" customHeight="1" thickBot="1">
      <c r="A51" s="758" t="s">
        <v>84</v>
      </c>
      <c r="B51" s="759"/>
      <c r="C51" s="163">
        <f>SUMIF($G$7:$G$31,"Planned shut",$F$7:$F$31)</f>
        <v>0</v>
      </c>
      <c r="D51" s="117">
        <f t="shared" si="8"/>
        <v>0</v>
      </c>
      <c r="E51" s="142">
        <f t="shared" si="7"/>
        <v>0</v>
      </c>
      <c r="F51" s="184"/>
      <c r="H51" s="189" t="s">
        <v>85</v>
      </c>
      <c r="I51" s="140">
        <f>I49/I40</f>
        <v>123.18074825680665</v>
      </c>
      <c r="J51" s="135">
        <f>J49/J40</f>
        <v>123.18074825680665</v>
      </c>
      <c r="K51" s="136" t="s">
        <v>82</v>
      </c>
    </row>
    <row r="52" spans="1:11" ht="13.5" thickBot="1">
      <c r="A52" s="760" t="s">
        <v>28</v>
      </c>
      <c r="B52" s="761"/>
      <c r="C52" s="143">
        <f>SUM(C38:C51)</f>
        <v>85</v>
      </c>
      <c r="D52" s="143">
        <f>SUM(D38:D51)</f>
        <v>85</v>
      </c>
      <c r="E52" s="144">
        <f>SUM(E38:E51)</f>
        <v>1.4166666666666667</v>
      </c>
      <c r="F52" s="184"/>
      <c r="H52" s="190"/>
      <c r="I52" s="191"/>
      <c r="J52" s="137"/>
      <c r="K52" s="138"/>
    </row>
    <row r="53" spans="1:11" ht="13.5" thickBot="1">
      <c r="A53" s="762"/>
      <c r="B53" s="763"/>
      <c r="C53" s="145">
        <f>C52/(24*60)</f>
        <v>5.9027777777777776E-2</v>
      </c>
      <c r="D53" s="145">
        <f>D52/(24*60*G4)</f>
        <v>5.9027777777777776E-2</v>
      </c>
      <c r="E53" s="146">
        <f>E52/(G4*24)</f>
        <v>5.9027777777777783E-2</v>
      </c>
      <c r="F53" s="184"/>
    </row>
    <row r="54" spans="1:11">
      <c r="E54" s="192"/>
      <c r="F54" s="184"/>
    </row>
    <row r="55" spans="1:11">
      <c r="E55" s="192"/>
    </row>
    <row r="56" spans="1:11">
      <c r="A56" s="193" t="s">
        <v>86</v>
      </c>
      <c r="B56" s="194"/>
      <c r="C56" s="195"/>
      <c r="D56" s="195"/>
      <c r="E56" s="195"/>
      <c r="F56" s="196"/>
      <c r="G56" s="195"/>
      <c r="H56" s="197"/>
      <c r="I56" s="198" t="s">
        <v>87</v>
      </c>
      <c r="J56" s="199">
        <f>D34</f>
        <v>540</v>
      </c>
      <c r="K56" s="200">
        <f>J56/(J40+J56/1000)/1000</f>
        <v>1.4420765902900177E-2</v>
      </c>
    </row>
    <row r="57" spans="1:11">
      <c r="A57" s="175"/>
      <c r="I57" s="198" t="s">
        <v>88</v>
      </c>
      <c r="J57" s="199">
        <f>+E34</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2:B52"/>
    <mergeCell ref="A53:B53"/>
    <mergeCell ref="A42:B42"/>
    <mergeCell ref="A43:B43"/>
    <mergeCell ref="A44:B44"/>
    <mergeCell ref="A45:B45"/>
    <mergeCell ref="A46:B46"/>
    <mergeCell ref="A47:B47"/>
    <mergeCell ref="A50:B50"/>
    <mergeCell ref="A51:B51"/>
    <mergeCell ref="A7:A14"/>
    <mergeCell ref="I7:I13"/>
    <mergeCell ref="A15:A23"/>
    <mergeCell ref="I15:I22"/>
    <mergeCell ref="A34:B34"/>
    <mergeCell ref="A37:B37"/>
    <mergeCell ref="A24:A32"/>
    <mergeCell ref="I24:I31"/>
    <mergeCell ref="A48:B48"/>
    <mergeCell ref="A49:B49"/>
    <mergeCell ref="A40:B40"/>
    <mergeCell ref="A41:B41"/>
    <mergeCell ref="A38:B38"/>
    <mergeCell ref="A39:B39"/>
  </mergeCells>
  <phoneticPr fontId="32" type="noConversion"/>
  <printOptions horizontalCentered="1"/>
  <pageMargins left="0.15625" right="0.15625" top="0.17" bottom="0.16" header="0" footer="0"/>
  <pageSetup paperSize="9" scale="6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35</vt:i4>
      </vt:variant>
    </vt:vector>
  </HeadingPairs>
  <TitlesOfParts>
    <vt:vector size="77" baseType="lpstr">
      <vt:lpstr>Report1</vt:lpstr>
      <vt:lpstr>GRAFIK</vt:lpstr>
      <vt:lpstr>Listrik</vt:lpstr>
      <vt:lpstr>Trim Rwd</vt:lpstr>
      <vt:lpstr>Efficiency1</vt:lpstr>
      <vt:lpstr>Efficiency2</vt:lpstr>
      <vt:lpstr>Chem</vt:lpstr>
      <vt:lpstr>RBP</vt:lpstr>
      <vt:lpstr>BB</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2026-04-15T08:22:44Z</cp:lastPrinted>
  <dcterms:created xsi:type="dcterms:W3CDTF">2007-07-30T03:52:39Z</dcterms:created>
  <dcterms:modified xsi:type="dcterms:W3CDTF">2026-04-17T03:45:01Z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